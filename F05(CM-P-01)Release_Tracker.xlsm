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0.xml" ContentType="application/vnd.openxmlformats-officedocument.spreadsheetml.pivotTab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20" yWindow="300" windowWidth="2190" windowHeight="1110" tabRatio="605" firstSheet="12" activeTab="13"/>
  </bookViews>
  <sheets>
    <sheet name="Derived Data-Component Specific" sheetId="16" r:id="rId1"/>
    <sheet name="Total Dash" sheetId="17" r:id="rId2"/>
    <sheet name="Sequential Track Record" sheetId="1" r:id="rId3"/>
    <sheet name="Patch_Tracker_Template" sheetId="11" state="hidden" r:id="rId4"/>
    <sheet name="Sheet2" sheetId="24" state="hidden" r:id="rId5"/>
    <sheet name="Sheet1" sheetId="25" state="hidden" r:id="rId6"/>
    <sheet name="Release_Versions_graph" sheetId="26" state="hidden" r:id="rId7"/>
    <sheet name="Obsolete Releases" sheetId="27" r:id="rId8"/>
    <sheet name="Release_Versions" sheetId="29" r:id="rId9"/>
    <sheet name="Pivot_1" sheetId="30" state="hidden" r:id="rId10"/>
    <sheet name="Pivot" sheetId="31" r:id="rId11"/>
    <sheet name="AWF release new format" sheetId="32" r:id="rId12"/>
    <sheet name="Stable_Product_build" sheetId="33" r:id="rId13"/>
    <sheet name="Production_version_16july2015" sheetId="34" r:id="rId14"/>
    <sheet name="AWF_Version-(updated by CMteam)" sheetId="35" r:id="rId15"/>
    <sheet name="Sheet3" sheetId="36" r:id="rId16"/>
  </sheets>
  <definedNames>
    <definedName name="_xlnm._FilterDatabase" localSheetId="8" hidden="1">Release_Versions!$A$2:$H$181</definedName>
    <definedName name="_xlnm._FilterDatabase" localSheetId="2" hidden="1">'Sequential Track Record'!$B$5:$AB$1871</definedName>
    <definedName name="Utility">'Sequential Track Record'!$AI$5</definedName>
  </definedNames>
  <calcPr calcId="145621"/>
  <pivotCaches>
    <pivotCache cacheId="0" r:id="rId17"/>
    <pivotCache cacheId="1" r:id="rId18"/>
    <pivotCache cacheId="2" r:id="rId19"/>
    <pivotCache cacheId="3" r:id="rId20"/>
  </pivotCaches>
</workbook>
</file>

<file path=xl/calcChain.xml><?xml version="1.0" encoding="utf-8"?>
<calcChain xmlns="http://schemas.openxmlformats.org/spreadsheetml/2006/main">
  <c r="F1840" i="1" l="1"/>
  <c r="D1840" i="1"/>
  <c r="E1840" i="1" s="1"/>
  <c r="F1839" i="1"/>
  <c r="D1839" i="1"/>
  <c r="E1839" i="1" s="1"/>
  <c r="F1838" i="1"/>
  <c r="E1838" i="1"/>
  <c r="D1838" i="1"/>
  <c r="F1837" i="1"/>
  <c r="D1837" i="1"/>
  <c r="E1837" i="1" s="1"/>
  <c r="F1836" i="1" l="1"/>
  <c r="D1836" i="1"/>
  <c r="E1836" i="1" s="1"/>
  <c r="F1835" i="1"/>
  <c r="D1835" i="1"/>
  <c r="E1835" i="1" s="1"/>
  <c r="F1834" i="1"/>
  <c r="E1834" i="1"/>
  <c r="D1834" i="1"/>
  <c r="F1833" i="1"/>
  <c r="D1833" i="1"/>
  <c r="E1833" i="1" s="1"/>
  <c r="F1832" i="1"/>
  <c r="D1832" i="1"/>
  <c r="E1832" i="1" s="1"/>
  <c r="F1831" i="1"/>
  <c r="D1831" i="1"/>
  <c r="E1831" i="1" s="1"/>
  <c r="F1830" i="1" l="1"/>
  <c r="D1830" i="1"/>
  <c r="E1830" i="1" s="1"/>
  <c r="F1829" i="1"/>
  <c r="D1829" i="1"/>
  <c r="E1829" i="1" s="1"/>
  <c r="F1828" i="1"/>
  <c r="D1828" i="1"/>
  <c r="E1828" i="1" s="1"/>
  <c r="F1827" i="1"/>
  <c r="D1827" i="1"/>
  <c r="E1827" i="1" s="1"/>
  <c r="F1826" i="1" l="1"/>
  <c r="D1826" i="1"/>
  <c r="E1826" i="1" s="1"/>
  <c r="F1825" i="1"/>
  <c r="D1825" i="1"/>
  <c r="E1825" i="1" s="1"/>
  <c r="F1824" i="1"/>
  <c r="D1824" i="1"/>
  <c r="E1824" i="1" s="1"/>
  <c r="F1823" i="1"/>
  <c r="D1823" i="1"/>
  <c r="E1823" i="1" s="1"/>
  <c r="F1822" i="1" l="1"/>
  <c r="D1822" i="1"/>
  <c r="E1822" i="1" s="1"/>
  <c r="F1821" i="1"/>
  <c r="D1821" i="1"/>
  <c r="E1821" i="1" s="1"/>
  <c r="F1820" i="1"/>
  <c r="D1820" i="1"/>
  <c r="E1820" i="1" s="1"/>
  <c r="F1819" i="1" l="1"/>
  <c r="D1819" i="1"/>
  <c r="E1819" i="1" s="1"/>
  <c r="F1818" i="1"/>
  <c r="D1818" i="1"/>
  <c r="E1818" i="1" s="1"/>
  <c r="F1817" i="1"/>
  <c r="E1817" i="1"/>
  <c r="D1817" i="1"/>
  <c r="F1816" i="1" l="1"/>
  <c r="D1816" i="1"/>
  <c r="E1816" i="1" s="1"/>
  <c r="F1815" i="1"/>
  <c r="D1815" i="1"/>
  <c r="E1815" i="1" s="1"/>
  <c r="F1814" i="1" l="1"/>
  <c r="D1814" i="1"/>
  <c r="E1814" i="1" s="1"/>
  <c r="F1813" i="1"/>
  <c r="D1813" i="1"/>
  <c r="E1813" i="1" s="1"/>
  <c r="F1812" i="1"/>
  <c r="D1812" i="1"/>
  <c r="E1812" i="1" s="1"/>
  <c r="F1811" i="1" l="1"/>
  <c r="D1811" i="1"/>
  <c r="E1811" i="1" s="1"/>
  <c r="F1810" i="1"/>
  <c r="D1810" i="1"/>
  <c r="E1810" i="1" s="1"/>
  <c r="F1809" i="1" l="1"/>
  <c r="D1809" i="1"/>
  <c r="E1809" i="1" s="1"/>
  <c r="F1808" i="1"/>
  <c r="D1808" i="1"/>
  <c r="E1808" i="1" s="1"/>
  <c r="F1807" i="1"/>
  <c r="D1807" i="1"/>
  <c r="E1807" i="1" s="1"/>
  <c r="F1806" i="1"/>
  <c r="D1806" i="1"/>
  <c r="E1806" i="1" s="1"/>
  <c r="F1805" i="1"/>
  <c r="D1805" i="1"/>
  <c r="E1805" i="1" s="1"/>
  <c r="F1804" i="1"/>
  <c r="D1804" i="1"/>
  <c r="E1804" i="1" s="1"/>
  <c r="F1803" i="1"/>
  <c r="D1803" i="1"/>
  <c r="E1803" i="1" s="1"/>
  <c r="F1802" i="1"/>
  <c r="D1802" i="1"/>
  <c r="E1802" i="1" s="1"/>
  <c r="F1801" i="1" l="1"/>
  <c r="D1801" i="1"/>
  <c r="E1801" i="1" s="1"/>
  <c r="F1800" i="1"/>
  <c r="D1800" i="1"/>
  <c r="E1800" i="1" s="1"/>
  <c r="F1799" i="1"/>
  <c r="D1799" i="1"/>
  <c r="E1799" i="1" s="1"/>
  <c r="F1798" i="1"/>
  <c r="D1798" i="1"/>
  <c r="E1798" i="1" s="1"/>
  <c r="F1797" i="1"/>
  <c r="D1797" i="1"/>
  <c r="E1797" i="1" s="1"/>
  <c r="F1796" i="1"/>
  <c r="D1796" i="1"/>
  <c r="E1796" i="1" s="1"/>
  <c r="F1795" i="1" l="1"/>
  <c r="D1795" i="1"/>
  <c r="E1795" i="1" s="1"/>
  <c r="F1794" i="1"/>
  <c r="D1794" i="1"/>
  <c r="E1794" i="1" s="1"/>
  <c r="F1793" i="1"/>
  <c r="D1793" i="1"/>
  <c r="E1793" i="1" s="1"/>
  <c r="F1792" i="1"/>
  <c r="D1792" i="1"/>
  <c r="E1792" i="1" s="1"/>
  <c r="F1791" i="1"/>
  <c r="D1791" i="1"/>
  <c r="E1791" i="1" s="1"/>
  <c r="F1790" i="1"/>
  <c r="D1790" i="1"/>
  <c r="E1790" i="1" s="1"/>
  <c r="F1789" i="1" l="1"/>
  <c r="D1789" i="1"/>
  <c r="E1789" i="1" s="1"/>
  <c r="F1788" i="1"/>
  <c r="D1788" i="1"/>
  <c r="E1788" i="1" s="1"/>
  <c r="F1787" i="1"/>
  <c r="D1787" i="1"/>
  <c r="E1787" i="1" s="1"/>
  <c r="F1786" i="1" l="1"/>
  <c r="D1786" i="1"/>
  <c r="E1786" i="1" s="1"/>
  <c r="F1785" i="1"/>
  <c r="D1785" i="1"/>
  <c r="E1785" i="1" s="1"/>
  <c r="F1784" i="1"/>
  <c r="D1784" i="1"/>
  <c r="E1784" i="1" s="1"/>
  <c r="F1783" i="1" l="1"/>
  <c r="D1783" i="1"/>
  <c r="E1783" i="1" s="1"/>
  <c r="F1782" i="1"/>
  <c r="D1782" i="1"/>
  <c r="E1782" i="1" s="1"/>
  <c r="F1781" i="1"/>
  <c r="D1781" i="1"/>
  <c r="E1781" i="1" s="1"/>
  <c r="F1780" i="1" l="1"/>
  <c r="D1780" i="1"/>
  <c r="E1780" i="1" s="1"/>
  <c r="F1779" i="1"/>
  <c r="D1779" i="1"/>
  <c r="E1779" i="1" s="1"/>
  <c r="F1778" i="1"/>
  <c r="D1778" i="1"/>
  <c r="E1778" i="1" s="1"/>
  <c r="F1777" i="1"/>
  <c r="D1777" i="1"/>
  <c r="E1777" i="1" s="1"/>
  <c r="F1776" i="1"/>
  <c r="D1776" i="1"/>
  <c r="E1776" i="1" s="1"/>
  <c r="F1775" i="1"/>
  <c r="D1775" i="1"/>
  <c r="E1775" i="1" s="1"/>
  <c r="F1774" i="1"/>
  <c r="D1774" i="1"/>
  <c r="E1774" i="1" s="1"/>
  <c r="F1773" i="1"/>
  <c r="D1773" i="1"/>
  <c r="E1773" i="1" s="1"/>
  <c r="F1772" i="1"/>
  <c r="D1772" i="1"/>
  <c r="E1772" i="1" s="1"/>
  <c r="F1769" i="1" l="1"/>
  <c r="D1769" i="1"/>
  <c r="E1769" i="1" s="1"/>
  <c r="F1770" i="1"/>
  <c r="D1770" i="1"/>
  <c r="E1770" i="1" s="1"/>
  <c r="F1771" i="1"/>
  <c r="D1771" i="1"/>
  <c r="E1771" i="1" s="1"/>
  <c r="F1768" i="1"/>
  <c r="D1768" i="1"/>
  <c r="E1768" i="1" s="1"/>
  <c r="F1767" i="1"/>
  <c r="D1767" i="1"/>
  <c r="E1767" i="1" s="1"/>
  <c r="F519" i="1" l="1"/>
  <c r="D519" i="1"/>
  <c r="E519" i="1" s="1"/>
  <c r="F1766" i="1" l="1"/>
  <c r="D1766" i="1"/>
  <c r="E1766" i="1" s="1"/>
  <c r="F1765" i="1"/>
  <c r="D1765" i="1"/>
  <c r="E1765" i="1" s="1"/>
  <c r="F1764" i="1"/>
  <c r="D1764" i="1"/>
  <c r="E1764" i="1" s="1"/>
  <c r="F1763" i="1" l="1"/>
  <c r="D1763" i="1"/>
  <c r="E1763" i="1" s="1"/>
  <c r="F1762" i="1"/>
  <c r="D1762" i="1"/>
  <c r="E1762" i="1" s="1"/>
  <c r="F1761" i="1"/>
  <c r="D1761" i="1"/>
  <c r="E1761" i="1" s="1"/>
  <c r="F1760" i="1"/>
  <c r="D1760" i="1"/>
  <c r="E1760" i="1" s="1"/>
  <c r="F1759" i="1"/>
  <c r="D1759" i="1"/>
  <c r="E1759" i="1" s="1"/>
  <c r="F1758" i="1"/>
  <c r="D1758" i="1"/>
  <c r="E1758" i="1" s="1"/>
  <c r="F1757" i="1"/>
  <c r="D1757" i="1"/>
  <c r="E1757" i="1" s="1"/>
  <c r="F1756" i="1" l="1"/>
  <c r="D1756" i="1"/>
  <c r="E1756" i="1" s="1"/>
  <c r="F1755" i="1"/>
  <c r="D1755" i="1"/>
  <c r="E1755" i="1" s="1"/>
  <c r="F1754" i="1" l="1"/>
  <c r="D1754" i="1"/>
  <c r="E1754" i="1" s="1"/>
  <c r="F1753" i="1"/>
  <c r="D1753" i="1"/>
  <c r="E1753" i="1" s="1"/>
  <c r="F1752" i="1" l="1"/>
  <c r="D1752" i="1"/>
  <c r="E1752" i="1" s="1"/>
  <c r="F1751" i="1"/>
  <c r="D1751" i="1"/>
  <c r="E1751" i="1" s="1"/>
  <c r="F1750" i="1"/>
  <c r="D1750" i="1"/>
  <c r="E1750" i="1" s="1"/>
  <c r="F1749" i="1" l="1"/>
  <c r="D1749" i="1"/>
  <c r="E1749" i="1" s="1"/>
  <c r="F1748" i="1"/>
  <c r="D1748" i="1"/>
  <c r="E1748" i="1" s="1"/>
  <c r="F1747" i="1"/>
  <c r="D1747" i="1"/>
  <c r="E1747" i="1" s="1"/>
  <c r="F1746" i="1"/>
  <c r="D1746" i="1"/>
  <c r="E1746" i="1" s="1"/>
  <c r="F1745" i="1"/>
  <c r="D1745" i="1"/>
  <c r="E1745" i="1" s="1"/>
  <c r="F1744" i="1" l="1"/>
  <c r="D1744" i="1"/>
  <c r="E1744" i="1" s="1"/>
  <c r="F1743" i="1"/>
  <c r="D1743" i="1"/>
  <c r="E1743" i="1" s="1"/>
  <c r="F1742" i="1"/>
  <c r="D1742" i="1"/>
  <c r="E1742" i="1" s="1"/>
  <c r="F1741" i="1"/>
  <c r="D1741" i="1"/>
  <c r="E1741" i="1" s="1"/>
  <c r="F1740" i="1" l="1"/>
  <c r="D1740" i="1"/>
  <c r="E1740" i="1" s="1"/>
  <c r="F1739" i="1"/>
  <c r="D1739" i="1"/>
  <c r="E1739" i="1" s="1"/>
  <c r="F1738" i="1"/>
  <c r="D1738" i="1"/>
  <c r="E1738" i="1" s="1"/>
  <c r="F1737" i="1" l="1"/>
  <c r="D1737" i="1"/>
  <c r="E1737" i="1" s="1"/>
  <c r="F1736" i="1" l="1"/>
  <c r="D1736" i="1"/>
  <c r="E1736" i="1" s="1"/>
  <c r="F1735" i="1" l="1"/>
  <c r="D1735" i="1"/>
  <c r="E1735" i="1" s="1"/>
  <c r="F1734" i="1"/>
  <c r="D1734" i="1"/>
  <c r="E1734" i="1" s="1"/>
  <c r="F1733" i="1"/>
  <c r="D1733" i="1"/>
  <c r="E1733" i="1" s="1"/>
  <c r="F1732" i="1"/>
  <c r="D1732" i="1"/>
  <c r="E1732" i="1" s="1"/>
  <c r="F1731" i="1" l="1"/>
  <c r="D1731" i="1"/>
  <c r="E1731" i="1" s="1"/>
  <c r="F1730" i="1"/>
  <c r="D1730" i="1"/>
  <c r="E1730" i="1" s="1"/>
  <c r="F1729" i="1"/>
  <c r="D1729" i="1"/>
  <c r="E1729" i="1" s="1"/>
  <c r="F1728" i="1" l="1"/>
  <c r="D1728" i="1"/>
  <c r="E1728" i="1" s="1"/>
  <c r="F1727" i="1"/>
  <c r="D1727" i="1"/>
  <c r="E1727" i="1" s="1"/>
  <c r="F1726" i="1"/>
  <c r="D1726" i="1"/>
  <c r="E1726" i="1" s="1"/>
  <c r="F1725" i="1"/>
  <c r="D1725" i="1"/>
  <c r="E1725" i="1" s="1"/>
  <c r="F1724" i="1" l="1"/>
  <c r="D1724" i="1"/>
  <c r="E1724" i="1" s="1"/>
  <c r="F1723" i="1" l="1"/>
  <c r="D1723" i="1"/>
  <c r="E1723" i="1" s="1"/>
  <c r="F1722" i="1"/>
  <c r="D1722" i="1"/>
  <c r="E1722" i="1" s="1"/>
  <c r="F1721" i="1"/>
  <c r="D1721" i="1"/>
  <c r="E1721" i="1" s="1"/>
  <c r="F1720" i="1"/>
  <c r="D1720" i="1"/>
  <c r="E1720" i="1" s="1"/>
  <c r="F1719" i="1"/>
  <c r="D1719" i="1"/>
  <c r="E1719" i="1" s="1"/>
  <c r="F1718" i="1" l="1"/>
  <c r="D1718" i="1"/>
  <c r="E1718" i="1" s="1"/>
  <c r="F1717" i="1" l="1"/>
  <c r="D1717" i="1"/>
  <c r="E1717" i="1" s="1"/>
  <c r="F1716" i="1"/>
  <c r="D1716" i="1"/>
  <c r="E1716" i="1" s="1"/>
  <c r="F1715" i="1"/>
  <c r="D1715" i="1"/>
  <c r="E1715" i="1" s="1"/>
  <c r="F1714" i="1"/>
  <c r="D1714" i="1"/>
  <c r="E1714" i="1" s="1"/>
  <c r="F1713" i="1"/>
  <c r="D1713" i="1"/>
  <c r="E1713" i="1" s="1"/>
  <c r="F1712" i="1"/>
  <c r="D1712" i="1"/>
  <c r="E1712" i="1" s="1"/>
  <c r="F1711" i="1" l="1"/>
  <c r="D1711" i="1"/>
  <c r="E1711" i="1" s="1"/>
  <c r="F1710" i="1"/>
  <c r="D1710" i="1"/>
  <c r="E1710" i="1" s="1"/>
  <c r="F1709" i="1" l="1"/>
  <c r="D1709" i="1"/>
  <c r="E1709" i="1" s="1"/>
  <c r="F1708" i="1"/>
  <c r="D1708" i="1"/>
  <c r="E1708" i="1" s="1"/>
  <c r="F1707" i="1"/>
  <c r="D1707" i="1"/>
  <c r="E1707" i="1" s="1"/>
  <c r="F1706" i="1"/>
  <c r="D1706" i="1"/>
  <c r="E1706" i="1" s="1"/>
  <c r="F1705" i="1"/>
  <c r="D1705" i="1"/>
  <c r="E1705" i="1" s="1"/>
  <c r="F1704" i="1"/>
  <c r="D1704" i="1"/>
  <c r="E1704" i="1" s="1"/>
  <c r="F1703" i="1"/>
  <c r="D1703" i="1"/>
  <c r="E1703" i="1" s="1"/>
  <c r="F1702" i="1"/>
  <c r="D1702" i="1"/>
  <c r="E1702" i="1" s="1"/>
  <c r="F1701" i="1"/>
  <c r="D1701" i="1"/>
  <c r="E1701" i="1" s="1"/>
  <c r="F1700" i="1"/>
  <c r="D1700" i="1"/>
  <c r="E1700" i="1" s="1"/>
  <c r="F1699" i="1" l="1"/>
  <c r="D1699" i="1"/>
  <c r="E1699" i="1" s="1"/>
  <c r="F1698" i="1"/>
  <c r="D1698" i="1"/>
  <c r="E1698" i="1" s="1"/>
  <c r="F1697" i="1" l="1"/>
  <c r="D1697" i="1"/>
  <c r="E1697" i="1" s="1"/>
  <c r="F1696" i="1"/>
  <c r="D1696" i="1"/>
  <c r="E1696" i="1" s="1"/>
  <c r="F1695" i="1"/>
  <c r="D1695" i="1"/>
  <c r="E1695" i="1" s="1"/>
  <c r="F1694" i="1"/>
  <c r="D1694" i="1"/>
  <c r="E1694" i="1" s="1"/>
  <c r="F1693" i="1"/>
  <c r="D1693" i="1"/>
  <c r="E1693" i="1" s="1"/>
  <c r="F1692" i="1" l="1"/>
  <c r="D1692" i="1"/>
  <c r="E1692" i="1" s="1"/>
  <c r="F1691" i="1" l="1"/>
  <c r="D1691" i="1"/>
  <c r="E1691" i="1" s="1"/>
  <c r="F1690" i="1" l="1"/>
  <c r="D1690" i="1"/>
  <c r="E1690" i="1" s="1"/>
  <c r="F1689" i="1"/>
  <c r="D1689" i="1"/>
  <c r="E1689" i="1" s="1"/>
  <c r="F1688" i="1"/>
  <c r="D1688" i="1"/>
  <c r="E1688" i="1" s="1"/>
  <c r="F1687" i="1"/>
  <c r="D1687" i="1"/>
  <c r="E1687" i="1" s="1"/>
  <c r="F1686" i="1"/>
  <c r="D1686" i="1"/>
  <c r="E1686" i="1" s="1"/>
  <c r="F1685" i="1" l="1"/>
  <c r="D1685" i="1"/>
  <c r="E1685" i="1" s="1"/>
  <c r="F1684" i="1"/>
  <c r="D1684" i="1"/>
  <c r="E1684" i="1" s="1"/>
  <c r="F1683" i="1"/>
  <c r="D1683" i="1"/>
  <c r="E1683" i="1" s="1"/>
  <c r="F1682" i="1"/>
  <c r="D1682" i="1"/>
  <c r="E1682" i="1" s="1"/>
  <c r="F1681" i="1" l="1"/>
  <c r="D1681" i="1"/>
  <c r="E1681" i="1" s="1"/>
  <c r="F1680" i="1"/>
  <c r="D1680" i="1"/>
  <c r="E1680" i="1" s="1"/>
  <c r="F1679" i="1"/>
  <c r="D1679" i="1"/>
  <c r="E1679" i="1" s="1"/>
  <c r="F1678" i="1"/>
  <c r="D1678" i="1"/>
  <c r="E1678" i="1" s="1"/>
  <c r="F1677" i="1" l="1"/>
  <c r="D1677" i="1"/>
  <c r="E1677" i="1" s="1"/>
  <c r="F1676" i="1" l="1"/>
  <c r="D1676" i="1"/>
  <c r="E1676" i="1" s="1"/>
  <c r="F1675" i="1"/>
  <c r="D1675" i="1"/>
  <c r="E1675" i="1" s="1"/>
  <c r="F1674" i="1"/>
  <c r="D1674" i="1"/>
  <c r="E1674" i="1" s="1"/>
  <c r="Y1660" i="1" l="1"/>
  <c r="Z1660" i="1"/>
  <c r="AA1660" i="1" s="1"/>
  <c r="Y1661" i="1"/>
  <c r="Z1661" i="1"/>
  <c r="AA1661" i="1" s="1"/>
  <c r="Y1662" i="1"/>
  <c r="Z1662" i="1"/>
  <c r="AA1662" i="1" s="1"/>
  <c r="Y1663" i="1"/>
  <c r="Z1663" i="1"/>
  <c r="AA1663" i="1" s="1"/>
  <c r="Y1664" i="1"/>
  <c r="Z1664" i="1"/>
  <c r="AA1664" i="1" s="1"/>
  <c r="Y1665" i="1"/>
  <c r="Z1665" i="1"/>
  <c r="AA1665" i="1" s="1"/>
  <c r="Y1666" i="1"/>
  <c r="Z1666" i="1"/>
  <c r="AA1666" i="1" s="1"/>
  <c r="Y1667" i="1"/>
  <c r="Z1667" i="1"/>
  <c r="AA1667" i="1" s="1"/>
  <c r="Y1668" i="1"/>
  <c r="Z1668" i="1"/>
  <c r="AA1668" i="1" s="1"/>
  <c r="Y1669" i="1"/>
  <c r="Z1669" i="1"/>
  <c r="AA1669" i="1" s="1"/>
  <c r="Y1670" i="1"/>
  <c r="Z1670" i="1"/>
  <c r="AA1670" i="1" s="1"/>
  <c r="Y1671" i="1"/>
  <c r="Z1671" i="1"/>
  <c r="AA1671" i="1" s="1"/>
  <c r="Y1672" i="1"/>
  <c r="Z1672" i="1"/>
  <c r="AA1672" i="1" s="1"/>
  <c r="Y1673" i="1"/>
  <c r="Z1673" i="1"/>
  <c r="Y1674" i="1"/>
  <c r="Z1674" i="1"/>
  <c r="AA1674" i="1" s="1"/>
  <c r="Y1675" i="1"/>
  <c r="Z1675" i="1"/>
  <c r="AA1675" i="1" s="1"/>
  <c r="Y1676" i="1"/>
  <c r="Z1676" i="1"/>
  <c r="AA1676" i="1" s="1"/>
  <c r="Y1677" i="1"/>
  <c r="Z1677" i="1"/>
  <c r="AB1677" i="1" s="1"/>
  <c r="Y1678" i="1"/>
  <c r="Z1678" i="1"/>
  <c r="AB1678" i="1" s="1"/>
  <c r="Y1679" i="1"/>
  <c r="Z1679" i="1"/>
  <c r="Y1680" i="1"/>
  <c r="Z1680" i="1"/>
  <c r="AB1680" i="1" s="1"/>
  <c r="Y1681" i="1"/>
  <c r="Z1681" i="1"/>
  <c r="AA1681" i="1" s="1"/>
  <c r="Y1682" i="1"/>
  <c r="Z1682" i="1"/>
  <c r="AA1682" i="1" s="1"/>
  <c r="Y1683" i="1"/>
  <c r="Z1683" i="1"/>
  <c r="AB1683" i="1" s="1"/>
  <c r="Y1684" i="1"/>
  <c r="Z1684" i="1"/>
  <c r="AA1684" i="1" s="1"/>
  <c r="Y1685" i="1"/>
  <c r="Z1685" i="1"/>
  <c r="AA1685" i="1" s="1"/>
  <c r="Y1686" i="1"/>
  <c r="Z1686" i="1"/>
  <c r="AA1686" i="1" s="1"/>
  <c r="Y1687" i="1"/>
  <c r="Z1687" i="1"/>
  <c r="AA1687" i="1" s="1"/>
  <c r="Y1688" i="1"/>
  <c r="Z1688" i="1"/>
  <c r="AA1688" i="1" s="1"/>
  <c r="Y1689" i="1"/>
  <c r="Z1689" i="1"/>
  <c r="AA1689" i="1" s="1"/>
  <c r="Y1690" i="1"/>
  <c r="Z1690" i="1"/>
  <c r="AA1690" i="1" s="1"/>
  <c r="Y1691" i="1"/>
  <c r="Z1691" i="1"/>
  <c r="AA1691" i="1" s="1"/>
  <c r="Y1692" i="1"/>
  <c r="Z1692" i="1"/>
  <c r="Y1693" i="1"/>
  <c r="Z1693" i="1"/>
  <c r="AA1693" i="1" s="1"/>
  <c r="Y1694" i="1"/>
  <c r="Z1694" i="1"/>
  <c r="AA1694" i="1" s="1"/>
  <c r="Y1695" i="1"/>
  <c r="Z1695" i="1"/>
  <c r="AA1695" i="1" s="1"/>
  <c r="Y1696" i="1"/>
  <c r="Z1696" i="1"/>
  <c r="AA1696" i="1" s="1"/>
  <c r="Y1697" i="1"/>
  <c r="Z1697" i="1"/>
  <c r="AA1697" i="1" s="1"/>
  <c r="Y1698" i="1"/>
  <c r="Z1698" i="1"/>
  <c r="AB1698" i="1" s="1"/>
  <c r="Y1699" i="1"/>
  <c r="Z1699" i="1"/>
  <c r="AA1699" i="1" s="1"/>
  <c r="Y1700" i="1"/>
  <c r="Z1700" i="1"/>
  <c r="Y1701" i="1"/>
  <c r="Z1701" i="1"/>
  <c r="AA1701" i="1" s="1"/>
  <c r="Y1702" i="1"/>
  <c r="Z1702" i="1"/>
  <c r="AB1702" i="1" s="1"/>
  <c r="Y1703" i="1"/>
  <c r="Z1703" i="1"/>
  <c r="AA1703" i="1" s="1"/>
  <c r="Y1704" i="1"/>
  <c r="Z1704" i="1"/>
  <c r="AA1704" i="1" s="1"/>
  <c r="Y1705" i="1"/>
  <c r="Z1705" i="1"/>
  <c r="Y1706" i="1"/>
  <c r="Z1706" i="1"/>
  <c r="AA1706" i="1" s="1"/>
  <c r="Y1707" i="1"/>
  <c r="Z1707" i="1"/>
  <c r="AA1707" i="1" s="1"/>
  <c r="Y1708" i="1"/>
  <c r="Z1708" i="1"/>
  <c r="AA1708" i="1" s="1"/>
  <c r="Y1709" i="1"/>
  <c r="Z1709" i="1"/>
  <c r="Y1710" i="1"/>
  <c r="Z1710" i="1"/>
  <c r="AB1710" i="1" s="1"/>
  <c r="Y1711" i="1"/>
  <c r="Z1711" i="1"/>
  <c r="AB1711" i="1" s="1"/>
  <c r="Y1712" i="1"/>
  <c r="Z1712" i="1"/>
  <c r="AA1712" i="1" s="1"/>
  <c r="Y1713" i="1"/>
  <c r="Z1713" i="1"/>
  <c r="AA1713" i="1" s="1"/>
  <c r="Y1714" i="1"/>
  <c r="Z1714" i="1"/>
  <c r="AA1714" i="1" s="1"/>
  <c r="Y1715" i="1"/>
  <c r="Z1715" i="1"/>
  <c r="AA1715" i="1" s="1"/>
  <c r="Y1716" i="1"/>
  <c r="Z1716" i="1"/>
  <c r="AA1716" i="1" s="1"/>
  <c r="Y1717" i="1"/>
  <c r="Z1717" i="1"/>
  <c r="AA1717" i="1" s="1"/>
  <c r="Y1718" i="1"/>
  <c r="Z1718" i="1"/>
  <c r="AA1718" i="1" s="1"/>
  <c r="Y1719" i="1"/>
  <c r="Z1719" i="1"/>
  <c r="AA1719" i="1" s="1"/>
  <c r="Y1720" i="1"/>
  <c r="Z1720" i="1"/>
  <c r="AA1720" i="1" s="1"/>
  <c r="Y1721" i="1"/>
  <c r="Z1721" i="1"/>
  <c r="AA1721" i="1" s="1"/>
  <c r="Y1722" i="1"/>
  <c r="Z1722" i="1"/>
  <c r="AA1722" i="1" s="1"/>
  <c r="Y1723" i="1"/>
  <c r="Z1723" i="1"/>
  <c r="AA1723" i="1" s="1"/>
  <c r="Y1724" i="1"/>
  <c r="Z1724" i="1"/>
  <c r="AA1724" i="1" s="1"/>
  <c r="Y1725" i="1"/>
  <c r="Z1725" i="1"/>
  <c r="AA1725" i="1" s="1"/>
  <c r="Y1726" i="1"/>
  <c r="Z1726" i="1"/>
  <c r="AA1726" i="1" s="1"/>
  <c r="Y1727" i="1"/>
  <c r="Z1727" i="1"/>
  <c r="Y1728" i="1"/>
  <c r="Z1728" i="1"/>
  <c r="AA1728" i="1" s="1"/>
  <c r="Y1729" i="1"/>
  <c r="Z1729" i="1"/>
  <c r="AA1729" i="1" s="1"/>
  <c r="Y1730" i="1"/>
  <c r="Z1730" i="1"/>
  <c r="AA1730" i="1" s="1"/>
  <c r="Y1731" i="1"/>
  <c r="Z1731" i="1"/>
  <c r="AA1731" i="1" s="1"/>
  <c r="Y1732" i="1"/>
  <c r="Z1732" i="1"/>
  <c r="AA1732" i="1" s="1"/>
  <c r="Y1733" i="1"/>
  <c r="Z1733" i="1"/>
  <c r="AA1733" i="1" s="1"/>
  <c r="Y1734" i="1"/>
  <c r="Z1734" i="1"/>
  <c r="AA1734" i="1" s="1"/>
  <c r="Y1735" i="1"/>
  <c r="Z1735" i="1"/>
  <c r="AA1735" i="1" s="1"/>
  <c r="Y1736" i="1"/>
  <c r="Z1736" i="1"/>
  <c r="AA1736" i="1" s="1"/>
  <c r="Y1737" i="1"/>
  <c r="Z1737" i="1"/>
  <c r="AA1737" i="1" s="1"/>
  <c r="Y1738" i="1"/>
  <c r="Z1738" i="1"/>
  <c r="AA1738" i="1" s="1"/>
  <c r="Y1739" i="1"/>
  <c r="Z1739" i="1"/>
  <c r="AA1739" i="1" s="1"/>
  <c r="Y1740" i="1"/>
  <c r="Z1740" i="1"/>
  <c r="AA1740" i="1" s="1"/>
  <c r="Y1741" i="1"/>
  <c r="Z1741" i="1"/>
  <c r="AA1741" i="1" s="1"/>
  <c r="Y1742" i="1"/>
  <c r="Z1742" i="1"/>
  <c r="AA1742" i="1" s="1"/>
  <c r="Y1743" i="1"/>
  <c r="Z1743" i="1"/>
  <c r="AA1743" i="1" s="1"/>
  <c r="Y1744" i="1"/>
  <c r="Z1744" i="1"/>
  <c r="AA1744" i="1" s="1"/>
  <c r="Y1745" i="1"/>
  <c r="Z1745" i="1"/>
  <c r="AA1745" i="1" s="1"/>
  <c r="Y1746" i="1"/>
  <c r="Z1746" i="1"/>
  <c r="AA1746" i="1" s="1"/>
  <c r="Y1747" i="1"/>
  <c r="Z1747" i="1"/>
  <c r="AA1747" i="1" s="1"/>
  <c r="Y1748" i="1"/>
  <c r="Z1748" i="1"/>
  <c r="AA1748" i="1" s="1"/>
  <c r="Y1749" i="1"/>
  <c r="Z1749" i="1"/>
  <c r="AA1749" i="1" s="1"/>
  <c r="Y1750" i="1"/>
  <c r="Z1750" i="1"/>
  <c r="AA1750" i="1" s="1"/>
  <c r="Y1751" i="1"/>
  <c r="Z1751" i="1"/>
  <c r="AA1751" i="1" s="1"/>
  <c r="Y1752" i="1"/>
  <c r="Z1752" i="1"/>
  <c r="AA1752" i="1" s="1"/>
  <c r="Y1753" i="1"/>
  <c r="Z1753" i="1"/>
  <c r="AA1753" i="1" s="1"/>
  <c r="Y1754" i="1"/>
  <c r="Z1754" i="1"/>
  <c r="AA1754" i="1" s="1"/>
  <c r="Y1755" i="1"/>
  <c r="Z1755" i="1"/>
  <c r="AA1755" i="1" s="1"/>
  <c r="Y1756" i="1"/>
  <c r="Z1756" i="1"/>
  <c r="AA1756" i="1" s="1"/>
  <c r="Y1757" i="1"/>
  <c r="Z1757" i="1"/>
  <c r="AA1757" i="1" s="1"/>
  <c r="Y1758" i="1"/>
  <c r="Z1758" i="1"/>
  <c r="AA1758" i="1" s="1"/>
  <c r="Y1759" i="1"/>
  <c r="Z1759" i="1"/>
  <c r="AA1759" i="1" s="1"/>
  <c r="Y1760" i="1"/>
  <c r="Z1760" i="1"/>
  <c r="AA1760" i="1" s="1"/>
  <c r="Y1761" i="1"/>
  <c r="Z1761" i="1"/>
  <c r="AA1761" i="1" s="1"/>
  <c r="Y1762" i="1"/>
  <c r="Z1762" i="1"/>
  <c r="AA1762" i="1" s="1"/>
  <c r="Y1763" i="1"/>
  <c r="Z1763" i="1"/>
  <c r="AA1763" i="1" s="1"/>
  <c r="Y1764" i="1"/>
  <c r="Z1764" i="1"/>
  <c r="AA1764" i="1" s="1"/>
  <c r="Y1765" i="1"/>
  <c r="Z1765" i="1"/>
  <c r="AA1765" i="1" s="1"/>
  <c r="Y1766" i="1"/>
  <c r="Z1766" i="1"/>
  <c r="Y1767" i="1"/>
  <c r="Z1767" i="1"/>
  <c r="AA1767" i="1" s="1"/>
  <c r="Y1768" i="1"/>
  <c r="Z1768" i="1"/>
  <c r="AA1768" i="1" s="1"/>
  <c r="Y1769" i="1"/>
  <c r="Z1769" i="1"/>
  <c r="AA1769" i="1" s="1"/>
  <c r="Y1770" i="1"/>
  <c r="Z1770" i="1"/>
  <c r="AA1770" i="1" s="1"/>
  <c r="Y1771" i="1"/>
  <c r="Z1771" i="1"/>
  <c r="AA1771" i="1" s="1"/>
  <c r="Y1772" i="1"/>
  <c r="Z1772" i="1"/>
  <c r="AA1772" i="1" s="1"/>
  <c r="Y1773" i="1"/>
  <c r="Z1773" i="1"/>
  <c r="AA1773" i="1" s="1"/>
  <c r="Y1774" i="1"/>
  <c r="Z1774" i="1"/>
  <c r="AA1774" i="1" s="1"/>
  <c r="Y1775" i="1"/>
  <c r="Z1775" i="1"/>
  <c r="AA1775" i="1" s="1"/>
  <c r="Y1776" i="1"/>
  <c r="Z1776" i="1"/>
  <c r="AA1776" i="1" s="1"/>
  <c r="Y1777" i="1"/>
  <c r="Z1777" i="1"/>
  <c r="AA1777" i="1" s="1"/>
  <c r="Y1778" i="1"/>
  <c r="Z1778" i="1"/>
  <c r="AA1778" i="1" s="1"/>
  <c r="Y1779" i="1"/>
  <c r="Z1779" i="1"/>
  <c r="AA1779" i="1" s="1"/>
  <c r="Y1780" i="1"/>
  <c r="Z1780" i="1"/>
  <c r="AA1780" i="1" s="1"/>
  <c r="Y1781" i="1"/>
  <c r="Z1781" i="1"/>
  <c r="AA1781" i="1" s="1"/>
  <c r="Y1782" i="1"/>
  <c r="Z1782" i="1"/>
  <c r="AA1782" i="1" s="1"/>
  <c r="Y1783" i="1"/>
  <c r="Z1783" i="1"/>
  <c r="AA1783" i="1" s="1"/>
  <c r="Y1784" i="1"/>
  <c r="Z1784" i="1"/>
  <c r="AA1784" i="1" s="1"/>
  <c r="Y1785" i="1"/>
  <c r="Z1785" i="1"/>
  <c r="AA1785" i="1" s="1"/>
  <c r="Y1786" i="1"/>
  <c r="Z1786" i="1"/>
  <c r="AA1786" i="1" s="1"/>
  <c r="Y1787" i="1"/>
  <c r="Z1787" i="1"/>
  <c r="AA1787" i="1" s="1"/>
  <c r="Y1788" i="1"/>
  <c r="Z1788" i="1"/>
  <c r="AA1788" i="1" s="1"/>
  <c r="Y1789" i="1"/>
  <c r="Z1789" i="1"/>
  <c r="AA1789" i="1" s="1"/>
  <c r="Y1790" i="1"/>
  <c r="Z1790" i="1"/>
  <c r="Y1791" i="1"/>
  <c r="Z1791" i="1"/>
  <c r="AA1791" i="1" s="1"/>
  <c r="Y1792" i="1"/>
  <c r="Z1792" i="1"/>
  <c r="AA1792" i="1" s="1"/>
  <c r="Y1793" i="1"/>
  <c r="Z1793" i="1"/>
  <c r="AA1793" i="1" s="1"/>
  <c r="Y1794" i="1"/>
  <c r="Z1794" i="1"/>
  <c r="AA1794" i="1" s="1"/>
  <c r="Y1795" i="1"/>
  <c r="Z1795" i="1"/>
  <c r="AA1795" i="1" s="1"/>
  <c r="Y1796" i="1"/>
  <c r="Z1796" i="1"/>
  <c r="AA1796" i="1" s="1"/>
  <c r="Y1797" i="1"/>
  <c r="Z1797" i="1"/>
  <c r="AA1797" i="1" s="1"/>
  <c r="Y1798" i="1"/>
  <c r="Z1798" i="1"/>
  <c r="AA1798" i="1" s="1"/>
  <c r="Y1799" i="1"/>
  <c r="Z1799" i="1"/>
  <c r="AA1799" i="1" s="1"/>
  <c r="Y1800" i="1"/>
  <c r="Z1800" i="1"/>
  <c r="AA1800" i="1" s="1"/>
  <c r="Y1801" i="1"/>
  <c r="Z1801" i="1"/>
  <c r="AA1801" i="1" s="1"/>
  <c r="Y1802" i="1"/>
  <c r="Z1802" i="1"/>
  <c r="AA1802" i="1" s="1"/>
  <c r="Y1803" i="1"/>
  <c r="Z1803" i="1"/>
  <c r="AA1803" i="1" s="1"/>
  <c r="Y1804" i="1"/>
  <c r="Z1804" i="1"/>
  <c r="AA1804" i="1" s="1"/>
  <c r="Y1805" i="1"/>
  <c r="Z1805" i="1"/>
  <c r="AA1805" i="1" s="1"/>
  <c r="Y1806" i="1"/>
  <c r="Z1806" i="1"/>
  <c r="AA1806" i="1" s="1"/>
  <c r="Y1807" i="1"/>
  <c r="Z1807" i="1"/>
  <c r="AA1807" i="1" s="1"/>
  <c r="Y1808" i="1"/>
  <c r="Z1808" i="1"/>
  <c r="AA1808" i="1" s="1"/>
  <c r="Y1809" i="1"/>
  <c r="Z1809" i="1"/>
  <c r="AA1809" i="1" s="1"/>
  <c r="Y1810" i="1"/>
  <c r="Z1810" i="1"/>
  <c r="AA1810" i="1" s="1"/>
  <c r="Y1811" i="1"/>
  <c r="Z1811" i="1"/>
  <c r="AA1811" i="1" s="1"/>
  <c r="Y1812" i="1"/>
  <c r="Z1812" i="1"/>
  <c r="Y1813" i="1"/>
  <c r="Z1813" i="1"/>
  <c r="Y1814" i="1"/>
  <c r="Z1814" i="1"/>
  <c r="Y1815" i="1"/>
  <c r="Z1815" i="1"/>
  <c r="Y1816" i="1"/>
  <c r="Z1816" i="1"/>
  <c r="Y1817" i="1"/>
  <c r="Z1817" i="1"/>
  <c r="Y1818" i="1"/>
  <c r="Z1818" i="1"/>
  <c r="Y1819" i="1"/>
  <c r="Z1819" i="1"/>
  <c r="Y1820" i="1"/>
  <c r="Z1820" i="1"/>
  <c r="Y1821" i="1"/>
  <c r="Z1821" i="1"/>
  <c r="Y1822" i="1"/>
  <c r="Z1822" i="1"/>
  <c r="Y1823" i="1"/>
  <c r="Z1823" i="1"/>
  <c r="Y1824" i="1"/>
  <c r="Z1824" i="1"/>
  <c r="Y1825" i="1"/>
  <c r="Z1825" i="1"/>
  <c r="Y1826" i="1"/>
  <c r="Z1826" i="1"/>
  <c r="Y1827" i="1"/>
  <c r="Z1827" i="1"/>
  <c r="Y1828" i="1"/>
  <c r="Z1828" i="1"/>
  <c r="Y1829" i="1"/>
  <c r="Z1829" i="1"/>
  <c r="Y1830" i="1"/>
  <c r="Z1830" i="1"/>
  <c r="Y1831" i="1"/>
  <c r="Z1831" i="1"/>
  <c r="Y1832" i="1"/>
  <c r="Z1832" i="1"/>
  <c r="Y1833" i="1"/>
  <c r="Z1833" i="1"/>
  <c r="Y1834" i="1"/>
  <c r="Z1834" i="1"/>
  <c r="Y1835" i="1"/>
  <c r="Z1835" i="1"/>
  <c r="Y1836" i="1"/>
  <c r="Z1836" i="1"/>
  <c r="Y1837" i="1"/>
  <c r="Z1837" i="1"/>
  <c r="Y1838" i="1"/>
  <c r="Z1838" i="1"/>
  <c r="Y1839" i="1"/>
  <c r="Z1839" i="1"/>
  <c r="Y1840" i="1"/>
  <c r="Z1840" i="1"/>
  <c r="Y1841" i="1"/>
  <c r="Z1841" i="1"/>
  <c r="Y1842" i="1"/>
  <c r="Z1842" i="1"/>
  <c r="Y1843" i="1"/>
  <c r="Z1843" i="1"/>
  <c r="Y1844" i="1"/>
  <c r="Z1844" i="1"/>
  <c r="Y1845" i="1"/>
  <c r="Z1845" i="1"/>
  <c r="Y1846" i="1"/>
  <c r="Z1846" i="1"/>
  <c r="Y1847" i="1"/>
  <c r="Z1847" i="1"/>
  <c r="Y1848" i="1"/>
  <c r="Z1848" i="1"/>
  <c r="Y1849" i="1"/>
  <c r="Z1849" i="1"/>
  <c r="Y1850" i="1"/>
  <c r="Z1850" i="1"/>
  <c r="Y1851" i="1"/>
  <c r="Z1851" i="1"/>
  <c r="Y1852" i="1"/>
  <c r="Z1852" i="1"/>
  <c r="Y1853" i="1"/>
  <c r="Z1853" i="1"/>
  <c r="Y1854" i="1"/>
  <c r="Z1854" i="1"/>
  <c r="Y1855" i="1"/>
  <c r="Z1855" i="1"/>
  <c r="Y1856" i="1"/>
  <c r="Z1856" i="1"/>
  <c r="Y1857" i="1"/>
  <c r="Z1857" i="1"/>
  <c r="Y1858" i="1"/>
  <c r="Z1858" i="1"/>
  <c r="Y1859" i="1"/>
  <c r="Z1859" i="1"/>
  <c r="Y1860" i="1"/>
  <c r="Z1860" i="1"/>
  <c r="Y1861" i="1"/>
  <c r="Z1861" i="1"/>
  <c r="Y1862" i="1"/>
  <c r="Z1862" i="1"/>
  <c r="Y1863" i="1"/>
  <c r="Z1863" i="1"/>
  <c r="Y1864" i="1"/>
  <c r="Z1864" i="1"/>
  <c r="Y1865" i="1"/>
  <c r="Z1865" i="1"/>
  <c r="Y1866" i="1"/>
  <c r="Z1866" i="1"/>
  <c r="Y1867" i="1"/>
  <c r="Z1867" i="1"/>
  <c r="Y1868" i="1"/>
  <c r="Z1868" i="1"/>
  <c r="Y1869" i="1"/>
  <c r="Z1869" i="1"/>
  <c r="Y1870" i="1"/>
  <c r="Z1870" i="1"/>
  <c r="Y1871" i="1"/>
  <c r="Z1871" i="1"/>
  <c r="F1673" i="1"/>
  <c r="D1673" i="1"/>
  <c r="E1673" i="1" s="1"/>
  <c r="D1672" i="1"/>
  <c r="E1672" i="1" s="1"/>
  <c r="F1672" i="1"/>
  <c r="AB1774" i="1" l="1"/>
  <c r="AB1732" i="1"/>
  <c r="AB1806" i="1"/>
  <c r="AB1764" i="1"/>
  <c r="AB1796" i="1"/>
  <c r="AB1750" i="1"/>
  <c r="AB1782" i="1"/>
  <c r="AB1742" i="1"/>
  <c r="AA1683" i="1"/>
  <c r="AA1869" i="1"/>
  <c r="AB1869" i="1"/>
  <c r="AA1867" i="1"/>
  <c r="AB1867" i="1"/>
  <c r="AA1861" i="1"/>
  <c r="AB1861" i="1"/>
  <c r="AA1859" i="1"/>
  <c r="AB1859" i="1"/>
  <c r="AA1853" i="1"/>
  <c r="AB1853" i="1"/>
  <c r="AA1847" i="1"/>
  <c r="AB1847" i="1"/>
  <c r="AA1843" i="1"/>
  <c r="AB1843" i="1"/>
  <c r="AA1839" i="1"/>
  <c r="AB1839" i="1"/>
  <c r="AA1833" i="1"/>
  <c r="AB1833" i="1"/>
  <c r="AA1831" i="1"/>
  <c r="AB1831" i="1"/>
  <c r="AA1827" i="1"/>
  <c r="AB1827" i="1"/>
  <c r="AA1821" i="1"/>
  <c r="AB1821" i="1"/>
  <c r="AA1819" i="1"/>
  <c r="AB1819" i="1"/>
  <c r="AA1815" i="1"/>
  <c r="AB1815" i="1"/>
  <c r="AA1870" i="1"/>
  <c r="AB1870" i="1"/>
  <c r="AA1868" i="1"/>
  <c r="AB1868" i="1"/>
  <c r="AA1866" i="1"/>
  <c r="AB1866" i="1"/>
  <c r="AA1864" i="1"/>
  <c r="AB1864" i="1"/>
  <c r="AA1862" i="1"/>
  <c r="AB1862" i="1"/>
  <c r="AA1860" i="1"/>
  <c r="AB1860" i="1"/>
  <c r="AA1858" i="1"/>
  <c r="AB1858" i="1"/>
  <c r="AA1856" i="1"/>
  <c r="AB1856" i="1"/>
  <c r="AA1854" i="1"/>
  <c r="AB1854" i="1"/>
  <c r="AA1852" i="1"/>
  <c r="AB1852" i="1"/>
  <c r="AA1850" i="1"/>
  <c r="AB1850" i="1"/>
  <c r="AA1848" i="1"/>
  <c r="AB1848" i="1"/>
  <c r="AA1846" i="1"/>
  <c r="AB1846" i="1"/>
  <c r="AA1844" i="1"/>
  <c r="AB1844" i="1"/>
  <c r="AA1842" i="1"/>
  <c r="AB1842" i="1"/>
  <c r="AA1840" i="1"/>
  <c r="AB1840" i="1"/>
  <c r="AA1838" i="1"/>
  <c r="AB1838" i="1"/>
  <c r="AA1836" i="1"/>
  <c r="AB1836" i="1"/>
  <c r="AA1834" i="1"/>
  <c r="AB1834" i="1"/>
  <c r="AA1832" i="1"/>
  <c r="AB1832" i="1"/>
  <c r="AA1830" i="1"/>
  <c r="AB1830" i="1"/>
  <c r="AA1828" i="1"/>
  <c r="AB1828" i="1"/>
  <c r="AA1826" i="1"/>
  <c r="AB1826" i="1"/>
  <c r="AA1824" i="1"/>
  <c r="AB1824" i="1"/>
  <c r="AA1822" i="1"/>
  <c r="AB1822" i="1"/>
  <c r="AA1820" i="1"/>
  <c r="AB1820" i="1"/>
  <c r="AA1818" i="1"/>
  <c r="AB1818" i="1"/>
  <c r="AA1816" i="1"/>
  <c r="AB1816" i="1"/>
  <c r="AA1814" i="1"/>
  <c r="AB1814" i="1"/>
  <c r="AA1812" i="1"/>
  <c r="AB1812" i="1"/>
  <c r="AA1766" i="1"/>
  <c r="AB1766" i="1"/>
  <c r="AA1871" i="1"/>
  <c r="AB1871" i="1"/>
  <c r="AA1863" i="1"/>
  <c r="AB1863" i="1"/>
  <c r="AA1855" i="1"/>
  <c r="AB1855" i="1"/>
  <c r="AA1851" i="1"/>
  <c r="AB1851" i="1"/>
  <c r="AA1845" i="1"/>
  <c r="AB1845" i="1"/>
  <c r="AA1835" i="1"/>
  <c r="AB1835" i="1"/>
  <c r="AA1825" i="1"/>
  <c r="AB1825" i="1"/>
  <c r="AA1865" i="1"/>
  <c r="AB1865" i="1"/>
  <c r="AA1857" i="1"/>
  <c r="AB1857" i="1"/>
  <c r="AA1849" i="1"/>
  <c r="AB1849" i="1"/>
  <c r="AA1841" i="1"/>
  <c r="AB1841" i="1"/>
  <c r="AA1837" i="1"/>
  <c r="AB1837" i="1"/>
  <c r="AA1829" i="1"/>
  <c r="AB1829" i="1"/>
  <c r="AA1823" i="1"/>
  <c r="AB1823" i="1"/>
  <c r="AA1817" i="1"/>
  <c r="AB1817" i="1"/>
  <c r="AA1813" i="1"/>
  <c r="AB1813" i="1"/>
  <c r="AA1790" i="1"/>
  <c r="AB1790" i="1"/>
  <c r="AB1798" i="1"/>
  <c r="AB1780" i="1"/>
  <c r="AB1758" i="1"/>
  <c r="AB1734" i="1"/>
  <c r="AA1711" i="1"/>
  <c r="AB1676" i="1"/>
  <c r="AB1748" i="1"/>
  <c r="AB1804" i="1"/>
  <c r="AB1788" i="1"/>
  <c r="AB1772" i="1"/>
  <c r="AB1756" i="1"/>
  <c r="AB1740" i="1"/>
  <c r="AA1702" i="1"/>
  <c r="AB1808" i="1"/>
  <c r="AB1800" i="1"/>
  <c r="AB1792" i="1"/>
  <c r="AB1784" i="1"/>
  <c r="AB1776" i="1"/>
  <c r="AB1768" i="1"/>
  <c r="AB1760" i="1"/>
  <c r="AB1752" i="1"/>
  <c r="AB1744" i="1"/>
  <c r="AB1736" i="1"/>
  <c r="AB1728" i="1"/>
  <c r="AB1717" i="1"/>
  <c r="AB1706" i="1"/>
  <c r="AB1699" i="1"/>
  <c r="AB1810" i="1"/>
  <c r="AB1802" i="1"/>
  <c r="AB1794" i="1"/>
  <c r="AB1786" i="1"/>
  <c r="AB1778" i="1"/>
  <c r="AB1770" i="1"/>
  <c r="AB1762" i="1"/>
  <c r="AB1754" i="1"/>
  <c r="AB1746" i="1"/>
  <c r="AB1738" i="1"/>
  <c r="AB1730" i="1"/>
  <c r="AB1723" i="1"/>
  <c r="AA1698" i="1"/>
  <c r="AA1692" i="1"/>
  <c r="AB1692" i="1"/>
  <c r="AA1673" i="1"/>
  <c r="AB1673" i="1"/>
  <c r="AB1809" i="1"/>
  <c r="AB1805" i="1"/>
  <c r="AB1801" i="1"/>
  <c r="AB1797" i="1"/>
  <c r="AB1793" i="1"/>
  <c r="AB1789" i="1"/>
  <c r="AB1785" i="1"/>
  <c r="AB1781" i="1"/>
  <c r="AB1777" i="1"/>
  <c r="AB1773" i="1"/>
  <c r="AB1769" i="1"/>
  <c r="AB1765" i="1"/>
  <c r="AB1761" i="1"/>
  <c r="AB1757" i="1"/>
  <c r="AB1753" i="1"/>
  <c r="AB1749" i="1"/>
  <c r="AB1745" i="1"/>
  <c r="AB1741" i="1"/>
  <c r="AB1737" i="1"/>
  <c r="AB1733" i="1"/>
  <c r="AB1729" i="1"/>
  <c r="AB1724" i="1"/>
  <c r="AA1709" i="1"/>
  <c r="AB1709" i="1"/>
  <c r="AA1700" i="1"/>
  <c r="AB1700" i="1"/>
  <c r="AB1811" i="1"/>
  <c r="AB1807" i="1"/>
  <c r="AB1803" i="1"/>
  <c r="AB1799" i="1"/>
  <c r="AB1795" i="1"/>
  <c r="AB1791" i="1"/>
  <c r="AB1787" i="1"/>
  <c r="AB1783" i="1"/>
  <c r="AB1779" i="1"/>
  <c r="AB1775" i="1"/>
  <c r="AB1771" i="1"/>
  <c r="AB1767" i="1"/>
  <c r="AB1763" i="1"/>
  <c r="AB1759" i="1"/>
  <c r="AB1755" i="1"/>
  <c r="AB1751" i="1"/>
  <c r="AB1747" i="1"/>
  <c r="AB1743" i="1"/>
  <c r="AB1739" i="1"/>
  <c r="AB1735" i="1"/>
  <c r="AB1731" i="1"/>
  <c r="AA1727" i="1"/>
  <c r="AB1727" i="1"/>
  <c r="AB1720" i="1"/>
  <c r="AB1715" i="1"/>
  <c r="AB1708" i="1"/>
  <c r="AA1705" i="1"/>
  <c r="AB1705" i="1"/>
  <c r="AA1679" i="1"/>
  <c r="AB1679" i="1"/>
  <c r="AB1726" i="1"/>
  <c r="AB1725" i="1"/>
  <c r="AB1722" i="1"/>
  <c r="AB1721" i="1"/>
  <c r="AB1719" i="1"/>
  <c r="AB1718" i="1"/>
  <c r="AB1716" i="1"/>
  <c r="AB1713" i="1"/>
  <c r="AB1714" i="1"/>
  <c r="AB1712" i="1"/>
  <c r="AA1710" i="1"/>
  <c r="AB1707" i="1"/>
  <c r="AB1704" i="1"/>
  <c r="AB1703" i="1"/>
  <c r="AB1701" i="1"/>
  <c r="AB1687" i="1"/>
  <c r="AA1680" i="1"/>
  <c r="AB1675" i="1"/>
  <c r="AB1669" i="1"/>
  <c r="AB1663" i="1"/>
  <c r="AB1682" i="1"/>
  <c r="AA1678" i="1"/>
  <c r="AB1671" i="1"/>
  <c r="AB1665" i="1"/>
  <c r="AB1661" i="1"/>
  <c r="AB1697" i="1"/>
  <c r="AB1696" i="1"/>
  <c r="AB1695" i="1"/>
  <c r="AB1694" i="1"/>
  <c r="AB1693" i="1"/>
  <c r="AB1691" i="1"/>
  <c r="AB1690" i="1"/>
  <c r="AB1689" i="1"/>
  <c r="AB1681" i="1"/>
  <c r="AB1688" i="1"/>
  <c r="AB1686" i="1"/>
  <c r="AB1685" i="1"/>
  <c r="AB1684" i="1"/>
  <c r="AA1677" i="1"/>
  <c r="AB1674" i="1"/>
  <c r="AB1667" i="1"/>
  <c r="AB1672" i="1"/>
  <c r="AB1668" i="1"/>
  <c r="AB1664" i="1"/>
  <c r="AB1660" i="1"/>
  <c r="AB1670" i="1"/>
  <c r="AB1666" i="1"/>
  <c r="AB1662" i="1"/>
  <c r="F1671" i="1"/>
  <c r="D1671" i="1"/>
  <c r="E1671" i="1" s="1"/>
  <c r="F1670" i="1" l="1"/>
  <c r="D1670" i="1"/>
  <c r="E1670" i="1" s="1"/>
  <c r="F1669" i="1"/>
  <c r="D1669" i="1"/>
  <c r="E1669" i="1" s="1"/>
  <c r="F1668" i="1"/>
  <c r="D1668" i="1"/>
  <c r="E1668" i="1" s="1"/>
  <c r="F1667" i="1"/>
  <c r="D1667" i="1"/>
  <c r="E1667" i="1" s="1"/>
  <c r="F1666" i="1"/>
  <c r="D1666" i="1"/>
  <c r="E1666" i="1" s="1"/>
  <c r="F1665" i="1" l="1"/>
  <c r="D1665" i="1"/>
  <c r="E1665" i="1" s="1"/>
  <c r="F1664" i="1" l="1"/>
  <c r="D1664" i="1"/>
  <c r="E1664" i="1" s="1"/>
  <c r="F1663" i="1"/>
  <c r="D1663" i="1"/>
  <c r="E1663" i="1" s="1"/>
  <c r="F1662" i="1"/>
  <c r="D1662" i="1"/>
  <c r="E1662" i="1" s="1"/>
  <c r="F1661" i="1"/>
  <c r="D1661" i="1"/>
  <c r="E1661" i="1" s="1"/>
  <c r="F1660" i="1" l="1"/>
  <c r="D1660" i="1"/>
  <c r="E1660" i="1" s="1"/>
  <c r="F1659" i="1"/>
  <c r="D1659" i="1"/>
  <c r="E1659" i="1" s="1"/>
  <c r="F1658" i="1"/>
  <c r="D1658" i="1"/>
  <c r="E1658" i="1" s="1"/>
  <c r="F1657" i="1" l="1"/>
  <c r="D1657" i="1"/>
  <c r="E1657" i="1" s="1"/>
  <c r="F1656" i="1"/>
  <c r="D1656" i="1"/>
  <c r="E1656" i="1" s="1"/>
  <c r="F1655" i="1" l="1"/>
  <c r="D1655" i="1"/>
  <c r="E1655" i="1" s="1"/>
  <c r="F1654" i="1" l="1"/>
  <c r="D1654" i="1"/>
  <c r="E1654" i="1" s="1"/>
  <c r="F1653" i="1"/>
  <c r="D1653" i="1"/>
  <c r="E1653" i="1" s="1"/>
  <c r="Z1652" i="1"/>
  <c r="AB1652" i="1" s="1"/>
  <c r="Y1652" i="1"/>
  <c r="F1652" i="1"/>
  <c r="D1652" i="1"/>
  <c r="E1652" i="1" s="1"/>
  <c r="Z1651" i="1"/>
  <c r="AB1651" i="1" s="1"/>
  <c r="Y1651" i="1"/>
  <c r="F1651" i="1"/>
  <c r="D1651" i="1"/>
  <c r="E1651" i="1" s="1"/>
  <c r="F1650" i="1"/>
  <c r="D1650" i="1"/>
  <c r="E1650" i="1" s="1"/>
  <c r="F1649" i="1"/>
  <c r="D1649" i="1"/>
  <c r="E1649" i="1" s="1"/>
  <c r="F1648" i="1"/>
  <c r="D1648" i="1"/>
  <c r="E1648" i="1" s="1"/>
  <c r="AA1652" i="1" l="1"/>
  <c r="AA1651" i="1"/>
  <c r="F1647" i="1"/>
  <c r="D1647" i="1"/>
  <c r="E1647" i="1" s="1"/>
  <c r="F1646" i="1"/>
  <c r="D1646" i="1"/>
  <c r="E1646" i="1" s="1"/>
  <c r="F1645" i="1"/>
  <c r="D1645" i="1"/>
  <c r="E1645" i="1" s="1"/>
  <c r="F1644" i="1"/>
  <c r="D1644" i="1"/>
  <c r="E1644" i="1" s="1"/>
  <c r="Y1641" i="1" l="1"/>
  <c r="Z1641" i="1"/>
  <c r="AB1641" i="1" s="1"/>
  <c r="Y1642" i="1"/>
  <c r="Z1642" i="1"/>
  <c r="AB1642" i="1" s="1"/>
  <c r="Y1643" i="1"/>
  <c r="Z1643" i="1"/>
  <c r="AB1643" i="1" s="1"/>
  <c r="Y1644" i="1"/>
  <c r="Z1644" i="1"/>
  <c r="AB1644" i="1" s="1"/>
  <c r="Y1645" i="1"/>
  <c r="Z1645" i="1"/>
  <c r="AB1645" i="1" s="1"/>
  <c r="Y1646" i="1"/>
  <c r="Z1646" i="1"/>
  <c r="AB1646" i="1" s="1"/>
  <c r="Y1647" i="1"/>
  <c r="Z1647" i="1"/>
  <c r="AB1647" i="1" s="1"/>
  <c r="Y1648" i="1"/>
  <c r="Z1648" i="1"/>
  <c r="AB1648" i="1" s="1"/>
  <c r="Y1649" i="1"/>
  <c r="Z1649" i="1"/>
  <c r="AB1649" i="1" s="1"/>
  <c r="Y1650" i="1"/>
  <c r="Z1650" i="1"/>
  <c r="AB1650" i="1" s="1"/>
  <c r="Y1653" i="1"/>
  <c r="Z1653" i="1"/>
  <c r="AB1653" i="1" s="1"/>
  <c r="Y1654" i="1"/>
  <c r="Z1654" i="1"/>
  <c r="AB1654" i="1" s="1"/>
  <c r="Y1655" i="1"/>
  <c r="Z1655" i="1"/>
  <c r="AB1655" i="1" s="1"/>
  <c r="F1643" i="1"/>
  <c r="D1643" i="1"/>
  <c r="E1643" i="1" s="1"/>
  <c r="F1642" i="1"/>
  <c r="D1642" i="1"/>
  <c r="E1642" i="1" s="1"/>
  <c r="F1641" i="1"/>
  <c r="D1641" i="1"/>
  <c r="E1641" i="1" s="1"/>
  <c r="AA1643" i="1" l="1"/>
  <c r="AA1646" i="1"/>
  <c r="AA1641" i="1"/>
  <c r="AA1649" i="1"/>
  <c r="AA1644" i="1"/>
  <c r="AA1642" i="1"/>
  <c r="AA1655" i="1"/>
  <c r="AA1654" i="1"/>
  <c r="AA1653" i="1"/>
  <c r="AA1650" i="1"/>
  <c r="AA1647" i="1"/>
  <c r="AA1648" i="1"/>
  <c r="AA1645" i="1"/>
  <c r="F1640" i="1"/>
  <c r="D1640" i="1"/>
  <c r="E1640" i="1" s="1"/>
  <c r="F1639" i="1"/>
  <c r="D1639" i="1"/>
  <c r="E1639" i="1" s="1"/>
  <c r="F1638" i="1"/>
  <c r="D1638" i="1"/>
  <c r="E1638" i="1" s="1"/>
  <c r="F1637" i="1"/>
  <c r="D1637" i="1"/>
  <c r="E1637" i="1" s="1"/>
  <c r="F1636" i="1" l="1"/>
  <c r="D1636" i="1"/>
  <c r="E1636" i="1" s="1"/>
  <c r="F1635" i="1"/>
  <c r="D1635" i="1"/>
  <c r="E1635" i="1" s="1"/>
  <c r="F1634" i="1"/>
  <c r="D1634" i="1"/>
  <c r="E1634" i="1" s="1"/>
  <c r="F1633" i="1" l="1"/>
  <c r="D1633" i="1"/>
  <c r="E1633" i="1" s="1"/>
  <c r="F1632" i="1" l="1"/>
  <c r="D1632" i="1"/>
  <c r="E1632" i="1" s="1"/>
  <c r="F1631" i="1"/>
  <c r="D1631" i="1"/>
  <c r="E1631" i="1" s="1"/>
  <c r="Y1621" i="1" l="1"/>
  <c r="Z1621" i="1"/>
  <c r="AA1621" i="1" s="1"/>
  <c r="Y1622" i="1"/>
  <c r="Z1622" i="1"/>
  <c r="AA1622" i="1" s="1"/>
  <c r="Y1623" i="1"/>
  <c r="Z1623" i="1"/>
  <c r="AA1623" i="1" s="1"/>
  <c r="Y1624" i="1"/>
  <c r="Z1624" i="1"/>
  <c r="AA1624" i="1" s="1"/>
  <c r="Y1625" i="1"/>
  <c r="Z1625" i="1"/>
  <c r="AA1625" i="1" s="1"/>
  <c r="Y1626" i="1"/>
  <c r="Z1626" i="1"/>
  <c r="AA1626" i="1" s="1"/>
  <c r="Y1627" i="1"/>
  <c r="Z1627" i="1"/>
  <c r="AA1627" i="1" s="1"/>
  <c r="Y1628" i="1"/>
  <c r="Z1628" i="1"/>
  <c r="AA1628" i="1" s="1"/>
  <c r="Y1629" i="1"/>
  <c r="Z1629" i="1"/>
  <c r="AA1629" i="1" s="1"/>
  <c r="Y1630" i="1"/>
  <c r="Z1630" i="1"/>
  <c r="AA1630" i="1" s="1"/>
  <c r="Y1631" i="1"/>
  <c r="Z1631" i="1"/>
  <c r="AA1631" i="1" s="1"/>
  <c r="Y1632" i="1"/>
  <c r="Z1632" i="1"/>
  <c r="AA1632" i="1" s="1"/>
  <c r="Y1633" i="1"/>
  <c r="Z1633" i="1"/>
  <c r="AA1633" i="1" s="1"/>
  <c r="Y1634" i="1"/>
  <c r="Z1634" i="1"/>
  <c r="AA1634" i="1" s="1"/>
  <c r="Y1635" i="1"/>
  <c r="Z1635" i="1"/>
  <c r="AA1635" i="1" s="1"/>
  <c r="Y1636" i="1"/>
  <c r="Z1636" i="1"/>
  <c r="AA1636" i="1" s="1"/>
  <c r="Y1637" i="1"/>
  <c r="Z1637" i="1"/>
  <c r="AA1637" i="1" s="1"/>
  <c r="Y1638" i="1"/>
  <c r="Z1638" i="1"/>
  <c r="AA1638" i="1" s="1"/>
  <c r="Y1639" i="1"/>
  <c r="Z1639" i="1"/>
  <c r="AA1639" i="1" s="1"/>
  <c r="Y1640" i="1"/>
  <c r="Z1640" i="1"/>
  <c r="AA1640" i="1" s="1"/>
  <c r="Y1656" i="1"/>
  <c r="Z1656" i="1"/>
  <c r="AA1656" i="1" s="1"/>
  <c r="Y1657" i="1"/>
  <c r="Z1657" i="1"/>
  <c r="AA1657" i="1" s="1"/>
  <c r="Y1658" i="1"/>
  <c r="Z1658" i="1"/>
  <c r="AA1658" i="1" s="1"/>
  <c r="Y1659" i="1"/>
  <c r="Z1659" i="1"/>
  <c r="AA1659" i="1" s="1"/>
  <c r="AB1659" i="1" l="1"/>
  <c r="AB1658" i="1"/>
  <c r="AB1657" i="1"/>
  <c r="AB1656" i="1"/>
  <c r="AB1640" i="1"/>
  <c r="AB1639" i="1"/>
  <c r="AB1638" i="1"/>
  <c r="AB1637" i="1"/>
  <c r="AB1636" i="1"/>
  <c r="AB1635" i="1"/>
  <c r="AB1634" i="1"/>
  <c r="AB1633" i="1"/>
  <c r="AB1632" i="1"/>
  <c r="AB1631" i="1"/>
  <c r="AB1630" i="1"/>
  <c r="AB1629" i="1"/>
  <c r="AB1628" i="1"/>
  <c r="AB1627" i="1"/>
  <c r="AB1626" i="1"/>
  <c r="AB1625" i="1"/>
  <c r="AB1624" i="1"/>
  <c r="AB1623" i="1"/>
  <c r="AB1622" i="1"/>
  <c r="AB1621" i="1"/>
  <c r="F1630" i="1"/>
  <c r="D1630" i="1"/>
  <c r="E1630" i="1" s="1"/>
  <c r="F1629" i="1"/>
  <c r="D1629" i="1"/>
  <c r="E1629" i="1" s="1"/>
  <c r="F1628" i="1"/>
  <c r="D1628" i="1"/>
  <c r="E1628" i="1" s="1"/>
  <c r="F1627" i="1"/>
  <c r="D1627" i="1"/>
  <c r="E1627" i="1" s="1"/>
  <c r="F1626" i="1"/>
  <c r="D1626" i="1"/>
  <c r="E1626" i="1" s="1"/>
  <c r="F1625" i="1" l="1"/>
  <c r="D1625" i="1"/>
  <c r="E1625" i="1" s="1"/>
  <c r="F1624" i="1"/>
  <c r="D1624" i="1"/>
  <c r="E1624" i="1" s="1"/>
  <c r="F1623" i="1"/>
  <c r="D1623" i="1"/>
  <c r="E1623" i="1" s="1"/>
  <c r="F1622" i="1"/>
  <c r="D1622" i="1"/>
  <c r="E1622" i="1" s="1"/>
  <c r="F1621" i="1" l="1"/>
  <c r="D1621" i="1"/>
  <c r="E1621" i="1" s="1"/>
  <c r="F1620" i="1"/>
  <c r="D1620" i="1"/>
  <c r="E1620" i="1" s="1"/>
  <c r="F1619" i="1"/>
  <c r="D1619" i="1"/>
  <c r="E1619" i="1" s="1"/>
  <c r="F1618" i="1" l="1"/>
  <c r="D1618" i="1"/>
  <c r="E1618" i="1" s="1"/>
  <c r="F1617" i="1" l="1"/>
  <c r="D1617" i="1"/>
  <c r="E1617" i="1" s="1"/>
  <c r="F1616" i="1"/>
  <c r="D1616" i="1"/>
  <c r="E1616" i="1" s="1"/>
  <c r="F1615" i="1" l="1"/>
  <c r="D1615" i="1"/>
  <c r="E1615" i="1" s="1"/>
  <c r="F1614" i="1"/>
  <c r="D1614" i="1"/>
  <c r="E1614" i="1" s="1"/>
  <c r="F1613" i="1"/>
  <c r="D1613" i="1"/>
  <c r="E1613" i="1" s="1"/>
  <c r="F1612" i="1" l="1"/>
  <c r="D1612" i="1"/>
  <c r="E1612" i="1" s="1"/>
  <c r="Y1605" i="1" l="1"/>
  <c r="Z1605" i="1"/>
  <c r="AA1605" i="1" s="1"/>
  <c r="Y1606" i="1"/>
  <c r="Z1606" i="1"/>
  <c r="AA1606" i="1" s="1"/>
  <c r="Y1607" i="1"/>
  <c r="Z1607" i="1"/>
  <c r="AA1607" i="1" s="1"/>
  <c r="Y1608" i="1"/>
  <c r="Z1608" i="1"/>
  <c r="AA1608" i="1" s="1"/>
  <c r="Y1609" i="1"/>
  <c r="Z1609" i="1"/>
  <c r="AA1609" i="1" s="1"/>
  <c r="Y1610" i="1"/>
  <c r="Z1610" i="1"/>
  <c r="AA1610" i="1" s="1"/>
  <c r="Y1611" i="1"/>
  <c r="Z1611" i="1"/>
  <c r="AA1611" i="1" s="1"/>
  <c r="Y1612" i="1"/>
  <c r="Z1612" i="1"/>
  <c r="AA1612" i="1" s="1"/>
  <c r="Y1613" i="1"/>
  <c r="Z1613" i="1"/>
  <c r="AA1613" i="1" s="1"/>
  <c r="Y1614" i="1"/>
  <c r="Z1614" i="1"/>
  <c r="AB1614" i="1" s="1"/>
  <c r="Y1615" i="1"/>
  <c r="Z1615" i="1"/>
  <c r="AA1615" i="1" s="1"/>
  <c r="Y1616" i="1"/>
  <c r="Z1616" i="1"/>
  <c r="AB1616" i="1" s="1"/>
  <c r="Y1617" i="1"/>
  <c r="Z1617" i="1"/>
  <c r="AB1617" i="1" s="1"/>
  <c r="Y1618" i="1"/>
  <c r="Z1618" i="1"/>
  <c r="AB1618" i="1" s="1"/>
  <c r="Y1619" i="1"/>
  <c r="Z1619" i="1"/>
  <c r="AB1619" i="1" s="1"/>
  <c r="Y1620" i="1"/>
  <c r="Z1620" i="1"/>
  <c r="AA1620" i="1" s="1"/>
  <c r="F1611" i="1"/>
  <c r="D1611" i="1"/>
  <c r="E1611" i="1" s="1"/>
  <c r="F1610" i="1"/>
  <c r="D1610" i="1"/>
  <c r="E1610" i="1" s="1"/>
  <c r="F1609" i="1"/>
  <c r="D1609" i="1"/>
  <c r="E1609" i="1" s="1"/>
  <c r="F1608" i="1"/>
  <c r="D1608" i="1"/>
  <c r="E1608" i="1" s="1"/>
  <c r="AA1617" i="1" l="1"/>
  <c r="AA1619" i="1"/>
  <c r="AA1618" i="1"/>
  <c r="AB1615" i="1"/>
  <c r="AB1611" i="1"/>
  <c r="AB1610" i="1"/>
  <c r="AB1609" i="1"/>
  <c r="AB1608" i="1"/>
  <c r="AB1607" i="1"/>
  <c r="AB1606" i="1"/>
  <c r="AB1605" i="1"/>
  <c r="AA1616" i="1"/>
  <c r="AB1620" i="1"/>
  <c r="AA1614" i="1"/>
  <c r="AB1613" i="1"/>
  <c r="AB1612" i="1"/>
  <c r="F1607" i="1"/>
  <c r="D1607" i="1"/>
  <c r="E1607" i="1" s="1"/>
  <c r="F1606" i="1" l="1"/>
  <c r="D1606" i="1"/>
  <c r="E1606" i="1" s="1"/>
  <c r="F1605" i="1"/>
  <c r="D1605" i="1"/>
  <c r="E1605" i="1" s="1"/>
  <c r="F1604" i="1"/>
  <c r="D1604" i="1"/>
  <c r="E1604" i="1" s="1"/>
  <c r="F1603" i="1" l="1"/>
  <c r="D1603" i="1"/>
  <c r="E1603" i="1" s="1"/>
  <c r="F1602" i="1" l="1"/>
  <c r="D1602" i="1"/>
  <c r="E1602" i="1" s="1"/>
  <c r="F1601" i="1" l="1"/>
  <c r="D1601" i="1"/>
  <c r="E1601" i="1" s="1"/>
  <c r="F1600" i="1"/>
  <c r="D1600" i="1"/>
  <c r="E1600" i="1" s="1"/>
  <c r="F1599" i="1"/>
  <c r="D1599" i="1"/>
  <c r="E1599" i="1" s="1"/>
  <c r="F1598" i="1"/>
  <c r="D1598" i="1"/>
  <c r="E1598" i="1" s="1"/>
  <c r="F1597" i="1"/>
  <c r="D1597" i="1"/>
  <c r="E1597" i="1" s="1"/>
  <c r="F1596" i="1"/>
  <c r="D1596" i="1"/>
  <c r="E1596" i="1" s="1"/>
  <c r="F1595" i="1"/>
  <c r="D1595" i="1"/>
  <c r="E1595" i="1" s="1"/>
  <c r="F1594" i="1"/>
  <c r="D1594" i="1"/>
  <c r="E1594" i="1" s="1"/>
  <c r="F1593" i="1" l="1"/>
  <c r="D1593" i="1"/>
  <c r="E1593" i="1" s="1"/>
  <c r="Z1592" i="1"/>
  <c r="AB1592" i="1" s="1"/>
  <c r="Y1592" i="1"/>
  <c r="F1592" i="1"/>
  <c r="D1592" i="1"/>
  <c r="E1592" i="1" s="1"/>
  <c r="Z1591" i="1"/>
  <c r="AB1591" i="1" s="1"/>
  <c r="Y1591" i="1"/>
  <c r="F1591" i="1"/>
  <c r="D1591" i="1"/>
  <c r="E1591" i="1" s="1"/>
  <c r="Z1590" i="1"/>
  <c r="AB1590" i="1" s="1"/>
  <c r="Y1590" i="1"/>
  <c r="F1590" i="1"/>
  <c r="D1590" i="1"/>
  <c r="E1590" i="1" s="1"/>
  <c r="Z1589" i="1"/>
  <c r="AB1589" i="1" s="1"/>
  <c r="Y1589" i="1"/>
  <c r="F1589" i="1"/>
  <c r="D1589" i="1"/>
  <c r="E1589" i="1" s="1"/>
  <c r="F1588" i="1"/>
  <c r="D1588" i="1"/>
  <c r="E1588" i="1" s="1"/>
  <c r="AA1590" i="1" l="1"/>
  <c r="AA1592" i="1"/>
  <c r="AA1591" i="1"/>
  <c r="AA1589" i="1"/>
  <c r="F1587" i="1"/>
  <c r="D1587" i="1"/>
  <c r="E1587" i="1" s="1"/>
  <c r="F1586" i="1"/>
  <c r="D1586" i="1"/>
  <c r="E1586" i="1" s="1"/>
  <c r="F1585" i="1"/>
  <c r="D1585" i="1"/>
  <c r="E1585" i="1" s="1"/>
  <c r="F1584" i="1"/>
  <c r="D1584" i="1"/>
  <c r="E1584" i="1" s="1"/>
  <c r="F1583" i="1" l="1"/>
  <c r="D1583" i="1"/>
  <c r="E1583" i="1" s="1"/>
  <c r="F1582" i="1"/>
  <c r="D1582" i="1"/>
  <c r="E1582" i="1" s="1"/>
  <c r="F1581" i="1" l="1"/>
  <c r="D1581" i="1"/>
  <c r="E1581" i="1" s="1"/>
  <c r="F1580" i="1" l="1"/>
  <c r="D1580" i="1"/>
  <c r="E1580" i="1" s="1"/>
  <c r="F1579" i="1"/>
  <c r="D1579" i="1"/>
  <c r="E1579" i="1" s="1"/>
  <c r="F1578" i="1"/>
  <c r="D1578" i="1"/>
  <c r="E1578" i="1" s="1"/>
  <c r="F1577" i="1"/>
  <c r="D1577" i="1"/>
  <c r="E1577" i="1" s="1"/>
  <c r="F1576" i="1"/>
  <c r="D1576" i="1"/>
  <c r="E1576" i="1" s="1"/>
  <c r="F1575" i="1"/>
  <c r="D1575" i="1"/>
  <c r="E1575" i="1" s="1"/>
  <c r="F1574" i="1"/>
  <c r="D1574" i="1"/>
  <c r="E1574" i="1" s="1"/>
  <c r="F1573" i="1" l="1"/>
  <c r="D1573" i="1"/>
  <c r="E1573" i="1" s="1"/>
  <c r="F1572" i="1"/>
  <c r="D1572" i="1"/>
  <c r="E1572" i="1" s="1"/>
  <c r="F1571" i="1"/>
  <c r="D1571" i="1"/>
  <c r="E1571" i="1" s="1"/>
  <c r="F1570" i="1"/>
  <c r="D1570" i="1"/>
  <c r="E1570" i="1" s="1"/>
  <c r="F1569" i="1"/>
  <c r="D1569" i="1"/>
  <c r="E1569" i="1" s="1"/>
  <c r="F1568" i="1"/>
  <c r="D1568" i="1"/>
  <c r="E1568" i="1" s="1"/>
  <c r="F1567" i="1" l="1"/>
  <c r="D1567" i="1"/>
  <c r="E1567" i="1" s="1"/>
  <c r="F1566" i="1" l="1"/>
  <c r="D1566" i="1"/>
  <c r="E1566" i="1" s="1"/>
  <c r="F1565" i="1"/>
  <c r="D1565" i="1"/>
  <c r="E1565" i="1" s="1"/>
  <c r="F1564" i="1" l="1"/>
  <c r="D1564" i="1"/>
  <c r="E1564" i="1" s="1"/>
  <c r="F1563" i="1"/>
  <c r="D1563" i="1"/>
  <c r="E1563" i="1" s="1"/>
  <c r="F1562" i="1"/>
  <c r="D1562" i="1"/>
  <c r="E1562" i="1" s="1"/>
  <c r="F1561" i="1"/>
  <c r="D1561" i="1"/>
  <c r="E1561" i="1" s="1"/>
  <c r="F1560" i="1"/>
  <c r="D1560" i="1"/>
  <c r="E1560" i="1" s="1"/>
  <c r="F1559" i="1"/>
  <c r="D1559" i="1"/>
  <c r="E1559" i="1" s="1"/>
  <c r="F1558" i="1" l="1"/>
  <c r="D1558" i="1"/>
  <c r="E1558" i="1" s="1"/>
  <c r="F1557" i="1"/>
  <c r="D1557" i="1"/>
  <c r="E1557" i="1" s="1"/>
  <c r="F1556" i="1"/>
  <c r="D1556" i="1"/>
  <c r="E1556" i="1" s="1"/>
  <c r="F1555" i="1"/>
  <c r="D1555" i="1"/>
  <c r="E1555" i="1" s="1"/>
  <c r="F1554" i="1" l="1"/>
  <c r="D1554" i="1"/>
  <c r="E1554" i="1" s="1"/>
  <c r="F1553" i="1" l="1"/>
  <c r="D1553" i="1"/>
  <c r="E1553" i="1" s="1"/>
  <c r="F1552" i="1"/>
  <c r="D1552" i="1"/>
  <c r="E1552" i="1" s="1"/>
  <c r="F1551" i="1"/>
  <c r="D1551" i="1"/>
  <c r="E1551" i="1" s="1"/>
  <c r="F1550" i="1"/>
  <c r="D1550" i="1"/>
  <c r="E1550" i="1" s="1"/>
  <c r="F1549" i="1" l="1"/>
  <c r="D1549" i="1"/>
  <c r="E1549" i="1" s="1"/>
  <c r="F1548" i="1"/>
  <c r="D1548" i="1"/>
  <c r="E1548" i="1" s="1"/>
  <c r="F1547" i="1"/>
  <c r="D1547" i="1"/>
  <c r="E1547" i="1" s="1"/>
  <c r="F1546" i="1"/>
  <c r="D1546" i="1"/>
  <c r="E1546" i="1" s="1"/>
  <c r="F1545" i="1"/>
  <c r="D1545" i="1"/>
  <c r="E1545" i="1" s="1"/>
  <c r="F1544" i="1"/>
  <c r="D1544" i="1"/>
  <c r="E1544" i="1" s="1"/>
  <c r="F1543" i="1"/>
  <c r="D1543" i="1"/>
  <c r="E1543" i="1" s="1"/>
  <c r="F1542" i="1"/>
  <c r="D1542" i="1"/>
  <c r="E1542" i="1" s="1"/>
  <c r="F1541" i="1"/>
  <c r="D1541" i="1"/>
  <c r="E1541" i="1" s="1"/>
  <c r="F1540" i="1"/>
  <c r="D1540" i="1"/>
  <c r="E1540" i="1" s="1"/>
  <c r="F1539" i="1"/>
  <c r="D1539" i="1"/>
  <c r="E1539" i="1" s="1"/>
  <c r="F1538" i="1"/>
  <c r="D1538" i="1"/>
  <c r="E1538" i="1" s="1"/>
  <c r="F1537" i="1" l="1"/>
  <c r="D1537" i="1"/>
  <c r="E1537" i="1" s="1"/>
  <c r="F1536" i="1"/>
  <c r="D1536" i="1"/>
  <c r="E1536" i="1" s="1"/>
  <c r="F1535" i="1" l="1"/>
  <c r="D1535" i="1"/>
  <c r="E1535" i="1" s="1"/>
  <c r="F1534" i="1" l="1"/>
  <c r="D1534" i="1"/>
  <c r="E1534" i="1" s="1"/>
  <c r="Y1531" i="1" l="1"/>
  <c r="Z1531" i="1"/>
  <c r="AA1531" i="1" s="1"/>
  <c r="Y1532" i="1"/>
  <c r="Z1532" i="1"/>
  <c r="AA1532" i="1" s="1"/>
  <c r="Y1533" i="1"/>
  <c r="Z1533" i="1"/>
  <c r="AA1533" i="1" s="1"/>
  <c r="Y1534" i="1"/>
  <c r="Z1534" i="1"/>
  <c r="AA1534" i="1" s="1"/>
  <c r="Y1535" i="1"/>
  <c r="Z1535" i="1"/>
  <c r="AA1535" i="1" s="1"/>
  <c r="Y1536" i="1"/>
  <c r="Z1536" i="1"/>
  <c r="AA1536" i="1" s="1"/>
  <c r="Y1537" i="1"/>
  <c r="Z1537" i="1"/>
  <c r="AA1537" i="1" s="1"/>
  <c r="Y1538" i="1"/>
  <c r="Z1538" i="1"/>
  <c r="AB1538" i="1" s="1"/>
  <c r="Y1539" i="1"/>
  <c r="Z1539" i="1"/>
  <c r="AA1539" i="1" s="1"/>
  <c r="Y1540" i="1"/>
  <c r="Z1540" i="1"/>
  <c r="AB1540" i="1" s="1"/>
  <c r="Y1541" i="1"/>
  <c r="Z1541" i="1"/>
  <c r="AB1541" i="1" s="1"/>
  <c r="Y1542" i="1"/>
  <c r="Z1542" i="1"/>
  <c r="AA1542" i="1" s="1"/>
  <c r="Y1543" i="1"/>
  <c r="Z1543" i="1"/>
  <c r="AA1543" i="1" s="1"/>
  <c r="Y1544" i="1"/>
  <c r="Z1544" i="1"/>
  <c r="AA1544" i="1" s="1"/>
  <c r="Y1545" i="1"/>
  <c r="Z1545" i="1"/>
  <c r="AA1545" i="1" s="1"/>
  <c r="Y1546" i="1"/>
  <c r="Z1546" i="1"/>
  <c r="AA1546" i="1" s="1"/>
  <c r="Y1547" i="1"/>
  <c r="Z1547" i="1"/>
  <c r="AA1547" i="1" s="1"/>
  <c r="Y1548" i="1"/>
  <c r="Z1548" i="1"/>
  <c r="AA1548" i="1" s="1"/>
  <c r="Y1549" i="1"/>
  <c r="Z1549" i="1"/>
  <c r="AA1549" i="1" s="1"/>
  <c r="Y1550" i="1"/>
  <c r="Z1550" i="1"/>
  <c r="AA1550" i="1" s="1"/>
  <c r="Y1551" i="1"/>
  <c r="Z1551" i="1"/>
  <c r="AA1551" i="1" s="1"/>
  <c r="Y1552" i="1"/>
  <c r="Z1552" i="1"/>
  <c r="AA1552" i="1" s="1"/>
  <c r="Y1553" i="1"/>
  <c r="Z1553" i="1"/>
  <c r="AA1553" i="1" s="1"/>
  <c r="Y1554" i="1"/>
  <c r="Z1554" i="1"/>
  <c r="AA1554" i="1" s="1"/>
  <c r="Y1555" i="1"/>
  <c r="Z1555" i="1"/>
  <c r="AB1555" i="1" s="1"/>
  <c r="Y1556" i="1"/>
  <c r="Z1556" i="1"/>
  <c r="AA1556" i="1" s="1"/>
  <c r="Y1557" i="1"/>
  <c r="Z1557" i="1"/>
  <c r="AA1557" i="1" s="1"/>
  <c r="Y1558" i="1"/>
  <c r="Z1558" i="1"/>
  <c r="AB1558" i="1" s="1"/>
  <c r="Y1559" i="1"/>
  <c r="Z1559" i="1"/>
  <c r="AA1559" i="1" s="1"/>
  <c r="Y1560" i="1"/>
  <c r="Z1560" i="1"/>
  <c r="AA1560" i="1" s="1"/>
  <c r="Y1561" i="1"/>
  <c r="Z1561" i="1"/>
  <c r="AA1561" i="1" s="1"/>
  <c r="Y1562" i="1"/>
  <c r="Z1562" i="1"/>
  <c r="AB1562" i="1" s="1"/>
  <c r="Y1563" i="1"/>
  <c r="Z1563" i="1"/>
  <c r="AA1563" i="1" s="1"/>
  <c r="Y1564" i="1"/>
  <c r="Z1564" i="1"/>
  <c r="AB1564" i="1" s="1"/>
  <c r="Y1565" i="1"/>
  <c r="Z1565" i="1"/>
  <c r="AA1565" i="1" s="1"/>
  <c r="Y1566" i="1"/>
  <c r="Z1566" i="1"/>
  <c r="AA1566" i="1" s="1"/>
  <c r="Y1567" i="1"/>
  <c r="Z1567" i="1"/>
  <c r="AA1567" i="1" s="1"/>
  <c r="Y1568" i="1"/>
  <c r="Z1568" i="1"/>
  <c r="AA1568" i="1" s="1"/>
  <c r="Y1569" i="1"/>
  <c r="Z1569" i="1"/>
  <c r="AA1569" i="1" s="1"/>
  <c r="Y1570" i="1"/>
  <c r="Z1570" i="1"/>
  <c r="AA1570" i="1" s="1"/>
  <c r="Y1571" i="1"/>
  <c r="Z1571" i="1"/>
  <c r="AA1571" i="1" s="1"/>
  <c r="Y1572" i="1"/>
  <c r="Z1572" i="1"/>
  <c r="AA1572" i="1" s="1"/>
  <c r="Y1573" i="1"/>
  <c r="Z1573" i="1"/>
  <c r="AA1573" i="1" s="1"/>
  <c r="Y1574" i="1"/>
  <c r="Z1574" i="1"/>
  <c r="AA1574" i="1" s="1"/>
  <c r="Y1575" i="1"/>
  <c r="Z1575" i="1"/>
  <c r="AA1575" i="1" s="1"/>
  <c r="Y1576" i="1"/>
  <c r="Z1576" i="1"/>
  <c r="AA1576" i="1" s="1"/>
  <c r="Y1577" i="1"/>
  <c r="Z1577" i="1"/>
  <c r="AB1577" i="1" s="1"/>
  <c r="Y1578" i="1"/>
  <c r="Z1578" i="1"/>
  <c r="AB1578" i="1" s="1"/>
  <c r="Y1579" i="1"/>
  <c r="Z1579" i="1"/>
  <c r="AA1579" i="1" s="1"/>
  <c r="Y1580" i="1"/>
  <c r="Z1580" i="1"/>
  <c r="AA1580" i="1" s="1"/>
  <c r="Y1581" i="1"/>
  <c r="Z1581" i="1"/>
  <c r="AA1581" i="1" s="1"/>
  <c r="Y1582" i="1"/>
  <c r="Z1582" i="1"/>
  <c r="AA1582" i="1" s="1"/>
  <c r="Y1583" i="1"/>
  <c r="Z1583" i="1"/>
  <c r="AA1583" i="1" s="1"/>
  <c r="Y1584" i="1"/>
  <c r="Z1584" i="1"/>
  <c r="AB1584" i="1" s="1"/>
  <c r="Y1585" i="1"/>
  <c r="Z1585" i="1"/>
  <c r="AA1585" i="1" s="1"/>
  <c r="Y1586" i="1"/>
  <c r="Z1586" i="1"/>
  <c r="AA1586" i="1" s="1"/>
  <c r="Y1587" i="1"/>
  <c r="Z1587" i="1"/>
  <c r="AA1587" i="1" s="1"/>
  <c r="Y1588" i="1"/>
  <c r="Z1588" i="1"/>
  <c r="AA1588" i="1" s="1"/>
  <c r="Y1593" i="1"/>
  <c r="Z1593" i="1"/>
  <c r="AA1593" i="1" s="1"/>
  <c r="Y1594" i="1"/>
  <c r="Z1594" i="1"/>
  <c r="AA1594" i="1" s="1"/>
  <c r="Y1595" i="1"/>
  <c r="Z1595" i="1"/>
  <c r="AB1595" i="1" s="1"/>
  <c r="Y1596" i="1"/>
  <c r="Z1596" i="1"/>
  <c r="AB1596" i="1" s="1"/>
  <c r="Y1597" i="1"/>
  <c r="Z1597" i="1"/>
  <c r="AB1597" i="1" s="1"/>
  <c r="Y1598" i="1"/>
  <c r="Z1598" i="1"/>
  <c r="AA1598" i="1" s="1"/>
  <c r="Y1599" i="1"/>
  <c r="Z1599" i="1"/>
  <c r="AB1599" i="1" s="1"/>
  <c r="Y1600" i="1"/>
  <c r="Z1600" i="1"/>
  <c r="AA1600" i="1" s="1"/>
  <c r="Y1601" i="1"/>
  <c r="Z1601" i="1"/>
  <c r="AA1601" i="1" s="1"/>
  <c r="Y1602" i="1"/>
  <c r="Z1602" i="1"/>
  <c r="AB1602" i="1" s="1"/>
  <c r="Y1603" i="1"/>
  <c r="Z1603" i="1"/>
  <c r="AA1603" i="1" s="1"/>
  <c r="Y1604" i="1"/>
  <c r="Z1604" i="1"/>
  <c r="AA1604" i="1" s="1"/>
  <c r="F1533" i="1"/>
  <c r="D1533" i="1"/>
  <c r="E1533" i="1" s="1"/>
  <c r="F1532" i="1"/>
  <c r="D1532" i="1"/>
  <c r="E1532" i="1" s="1"/>
  <c r="F1531" i="1"/>
  <c r="D1531" i="1"/>
  <c r="E1531" i="1" s="1"/>
  <c r="AB1531" i="1" l="1"/>
  <c r="AB1532" i="1"/>
  <c r="AB1533" i="1"/>
  <c r="AB1604" i="1"/>
  <c r="AB1603" i="1"/>
  <c r="AA1602" i="1"/>
  <c r="AB1573" i="1"/>
  <c r="AA1597" i="1"/>
  <c r="AB1561" i="1"/>
  <c r="AB1576" i="1"/>
  <c r="AB1569" i="1"/>
  <c r="AB1557" i="1"/>
  <c r="AB1547" i="1"/>
  <c r="AA1599" i="1"/>
  <c r="AA1577" i="1"/>
  <c r="AB1568" i="1"/>
  <c r="AA1558" i="1"/>
  <c r="AA1541" i="1"/>
  <c r="AB1563" i="1"/>
  <c r="AB1586" i="1"/>
  <c r="AB1585" i="1"/>
  <c r="AB1598" i="1"/>
  <c r="AB1593" i="1"/>
  <c r="AB1571" i="1"/>
  <c r="AB1556" i="1"/>
  <c r="AB1539" i="1"/>
  <c r="AB1601" i="1"/>
  <c r="AB1600" i="1"/>
  <c r="AA1596" i="1"/>
  <c r="AA1595" i="1"/>
  <c r="AB1594" i="1"/>
  <c r="AB1588" i="1"/>
  <c r="AB1587" i="1"/>
  <c r="AA1584" i="1"/>
  <c r="AB1583" i="1"/>
  <c r="AB1582" i="1"/>
  <c r="AB1581" i="1"/>
  <c r="AB1580" i="1"/>
  <c r="AB1579" i="1"/>
  <c r="AA1578" i="1"/>
  <c r="AB1575" i="1"/>
  <c r="AB1574" i="1"/>
  <c r="AB1572" i="1"/>
  <c r="AB1570" i="1"/>
  <c r="AB1565" i="1"/>
  <c r="AB1567" i="1"/>
  <c r="AB1534" i="1"/>
  <c r="AB1566" i="1"/>
  <c r="AA1564" i="1"/>
  <c r="AA1562" i="1"/>
  <c r="AB1560" i="1"/>
  <c r="AB1559" i="1"/>
  <c r="AB1553" i="1"/>
  <c r="AA1555" i="1"/>
  <c r="AB1554" i="1"/>
  <c r="AB1552" i="1"/>
  <c r="AB1551" i="1"/>
  <c r="AB1550" i="1"/>
  <c r="AB1549" i="1"/>
  <c r="AB1548" i="1"/>
  <c r="AB1546" i="1"/>
  <c r="AB1545" i="1"/>
  <c r="AB1544" i="1"/>
  <c r="AB1543" i="1"/>
  <c r="AB1542" i="1"/>
  <c r="AA1540" i="1"/>
  <c r="AA1538" i="1"/>
  <c r="AB1537" i="1"/>
  <c r="AB1536" i="1"/>
  <c r="AB1535" i="1"/>
  <c r="F1530" i="1"/>
  <c r="D1530" i="1"/>
  <c r="E1530" i="1" s="1"/>
  <c r="F1529" i="1"/>
  <c r="D1529" i="1"/>
  <c r="E1529" i="1" s="1"/>
  <c r="F1528" i="1"/>
  <c r="D1528" i="1"/>
  <c r="E1528" i="1" s="1"/>
  <c r="Z1527" i="1"/>
  <c r="AA1527" i="1" s="1"/>
  <c r="Y1527" i="1"/>
  <c r="F1527" i="1"/>
  <c r="D1527" i="1"/>
  <c r="E1527" i="1" s="1"/>
  <c r="F1526" i="1"/>
  <c r="D1526" i="1"/>
  <c r="E1526" i="1" s="1"/>
  <c r="AB1527" i="1" l="1"/>
  <c r="F1525" i="1"/>
  <c r="D1525" i="1"/>
  <c r="E1525" i="1" s="1"/>
  <c r="F1524" i="1"/>
  <c r="D1524" i="1"/>
  <c r="E1524" i="1" s="1"/>
  <c r="F1523" i="1"/>
  <c r="D1523" i="1"/>
  <c r="E1523" i="1" s="1"/>
  <c r="F1522" i="1"/>
  <c r="D1522" i="1"/>
  <c r="E1522" i="1" s="1"/>
  <c r="F1521" i="1"/>
  <c r="D1521" i="1"/>
  <c r="E1521" i="1" s="1"/>
  <c r="Y1489" i="1"/>
  <c r="Z1489" i="1"/>
  <c r="AB1489" i="1" s="1"/>
  <c r="Y1490" i="1"/>
  <c r="Z1490" i="1"/>
  <c r="AB1490" i="1" s="1"/>
  <c r="Y1491" i="1"/>
  <c r="Z1491" i="1"/>
  <c r="AB1491" i="1" s="1"/>
  <c r="Y1492" i="1"/>
  <c r="Z1492" i="1"/>
  <c r="AB1492" i="1" s="1"/>
  <c r="Y1493" i="1"/>
  <c r="Z1493" i="1"/>
  <c r="AB1493" i="1" s="1"/>
  <c r="Y1494" i="1"/>
  <c r="Z1494" i="1"/>
  <c r="AB1494" i="1" s="1"/>
  <c r="Y1495" i="1"/>
  <c r="Z1495" i="1"/>
  <c r="AB1495" i="1" s="1"/>
  <c r="Y1496" i="1"/>
  <c r="Z1496" i="1"/>
  <c r="AB1496" i="1" s="1"/>
  <c r="Y1497" i="1"/>
  <c r="Z1497" i="1"/>
  <c r="AB1497" i="1" s="1"/>
  <c r="Y1498" i="1"/>
  <c r="Z1498" i="1"/>
  <c r="AB1498" i="1" s="1"/>
  <c r="Y1499" i="1"/>
  <c r="Z1499" i="1"/>
  <c r="AB1499" i="1" s="1"/>
  <c r="Y1500" i="1"/>
  <c r="Z1500" i="1"/>
  <c r="AB1500" i="1" s="1"/>
  <c r="Y1501" i="1"/>
  <c r="Z1501" i="1"/>
  <c r="AB1501" i="1" s="1"/>
  <c r="Y1502" i="1"/>
  <c r="Z1502" i="1"/>
  <c r="AB1502" i="1" s="1"/>
  <c r="Y1503" i="1"/>
  <c r="Z1503" i="1"/>
  <c r="AB1503" i="1" s="1"/>
  <c r="Y1504" i="1"/>
  <c r="Z1504" i="1"/>
  <c r="AB1504" i="1" s="1"/>
  <c r="Y1505" i="1"/>
  <c r="Z1505" i="1"/>
  <c r="AB1505" i="1" s="1"/>
  <c r="Y1506" i="1"/>
  <c r="Z1506" i="1"/>
  <c r="AB1506" i="1" s="1"/>
  <c r="Y1507" i="1"/>
  <c r="Z1507" i="1"/>
  <c r="AB1507" i="1" s="1"/>
  <c r="Y1508" i="1"/>
  <c r="Z1508" i="1"/>
  <c r="AB1508" i="1" s="1"/>
  <c r="Y1509" i="1"/>
  <c r="Z1509" i="1"/>
  <c r="AB1509" i="1" s="1"/>
  <c r="Y1510" i="1"/>
  <c r="Z1510" i="1"/>
  <c r="AB1510" i="1" s="1"/>
  <c r="Y1511" i="1"/>
  <c r="Z1511" i="1"/>
  <c r="AB1511" i="1" s="1"/>
  <c r="Y1512" i="1"/>
  <c r="Z1512" i="1"/>
  <c r="AB1512" i="1" s="1"/>
  <c r="Y1513" i="1"/>
  <c r="Z1513" i="1"/>
  <c r="AB1513" i="1" s="1"/>
  <c r="Y1514" i="1"/>
  <c r="Z1514" i="1"/>
  <c r="AB1514" i="1" s="1"/>
  <c r="Y1515" i="1"/>
  <c r="Z1515" i="1"/>
  <c r="AB1515" i="1" s="1"/>
  <c r="Y1516" i="1"/>
  <c r="Z1516" i="1"/>
  <c r="AB1516" i="1" s="1"/>
  <c r="Y1517" i="1"/>
  <c r="Z1517" i="1"/>
  <c r="AB1517" i="1" s="1"/>
  <c r="Y1518" i="1"/>
  <c r="Z1518" i="1"/>
  <c r="AB1518" i="1" s="1"/>
  <c r="Y1519" i="1"/>
  <c r="Z1519" i="1"/>
  <c r="AB1519" i="1" s="1"/>
  <c r="Y1520" i="1"/>
  <c r="Z1520" i="1"/>
  <c r="AB1520" i="1" s="1"/>
  <c r="Y1521" i="1"/>
  <c r="Z1521" i="1"/>
  <c r="AB1521" i="1" s="1"/>
  <c r="Y1522" i="1"/>
  <c r="Z1522" i="1"/>
  <c r="AB1522" i="1" s="1"/>
  <c r="Y1523" i="1"/>
  <c r="Z1523" i="1"/>
  <c r="AB1523" i="1" s="1"/>
  <c r="Y1524" i="1"/>
  <c r="Z1524" i="1"/>
  <c r="AB1524" i="1" s="1"/>
  <c r="Y1525" i="1"/>
  <c r="Z1525" i="1"/>
  <c r="AB1525" i="1" s="1"/>
  <c r="Y1526" i="1"/>
  <c r="Z1526" i="1"/>
  <c r="AB1526" i="1" s="1"/>
  <c r="Y1528" i="1"/>
  <c r="Z1528" i="1"/>
  <c r="AB1528" i="1" s="1"/>
  <c r="Y1529" i="1"/>
  <c r="Z1529" i="1"/>
  <c r="AB1529" i="1" s="1"/>
  <c r="Y1530" i="1"/>
  <c r="Z1530" i="1"/>
  <c r="AB1530" i="1" s="1"/>
  <c r="F1514" i="1"/>
  <c r="D1514" i="1"/>
  <c r="E1514" i="1" s="1"/>
  <c r="AA1503" i="1" l="1"/>
  <c r="AA1519" i="1"/>
  <c r="AA1510" i="1"/>
  <c r="AA1495" i="1"/>
  <c r="AA1525" i="1"/>
  <c r="AA1515" i="1"/>
  <c r="AA1507" i="1"/>
  <c r="AA1499" i="1"/>
  <c r="AA1491" i="1"/>
  <c r="AA1530" i="1"/>
  <c r="AA1523" i="1"/>
  <c r="AA1517" i="1"/>
  <c r="AA1512" i="1"/>
  <c r="AA1508" i="1"/>
  <c r="AA1505" i="1"/>
  <c r="AA1501" i="1"/>
  <c r="AA1497" i="1"/>
  <c r="AA1493" i="1"/>
  <c r="AA1489" i="1"/>
  <c r="AA1506" i="1"/>
  <c r="AA1504" i="1"/>
  <c r="AA1502" i="1"/>
  <c r="AA1500" i="1"/>
  <c r="AA1498" i="1"/>
  <c r="AA1496" i="1"/>
  <c r="AA1494" i="1"/>
  <c r="AA1492" i="1"/>
  <c r="AA1490" i="1"/>
  <c r="AA1529" i="1"/>
  <c r="AA1524" i="1"/>
  <c r="AA1520" i="1"/>
  <c r="AA1518" i="1"/>
  <c r="AA1516" i="1"/>
  <c r="AA1514" i="1"/>
  <c r="AA1511" i="1"/>
  <c r="AA1509" i="1"/>
  <c r="AA1513" i="1"/>
  <c r="AA1528" i="1"/>
  <c r="AA1526" i="1"/>
  <c r="AA1522" i="1"/>
  <c r="AA1521" i="1"/>
  <c r="F1520" i="1"/>
  <c r="D1520" i="1"/>
  <c r="E1520" i="1" s="1"/>
  <c r="F1519" i="1" l="1"/>
  <c r="D1519" i="1"/>
  <c r="E1519" i="1" s="1"/>
  <c r="F1518" i="1"/>
  <c r="D1518" i="1"/>
  <c r="E1518" i="1" s="1"/>
  <c r="F1517" i="1"/>
  <c r="D1517" i="1"/>
  <c r="E1517" i="1" s="1"/>
  <c r="F1516" i="1"/>
  <c r="D1516" i="1"/>
  <c r="E1516" i="1" s="1"/>
  <c r="F1515" i="1" l="1"/>
  <c r="D1515" i="1"/>
  <c r="E1515" i="1" s="1"/>
  <c r="F1513" i="1"/>
  <c r="D1513" i="1"/>
  <c r="E1513" i="1" s="1"/>
  <c r="F1512" i="1"/>
  <c r="D1512" i="1"/>
  <c r="E1512" i="1" s="1"/>
  <c r="F1511" i="1" l="1"/>
  <c r="D1511" i="1"/>
  <c r="E1511" i="1" s="1"/>
  <c r="F1510" i="1"/>
  <c r="D1510" i="1"/>
  <c r="E1510" i="1" s="1"/>
  <c r="F1509" i="1" l="1"/>
  <c r="D1509" i="1"/>
  <c r="E1509" i="1" s="1"/>
  <c r="F1508" i="1"/>
  <c r="D1508" i="1"/>
  <c r="E1508" i="1" s="1"/>
  <c r="F1507" i="1" l="1"/>
  <c r="D1507" i="1"/>
  <c r="E1507" i="1" s="1"/>
  <c r="F1506" i="1"/>
  <c r="D1506" i="1"/>
  <c r="E1506" i="1" s="1"/>
  <c r="F1505" i="1"/>
  <c r="D1505" i="1"/>
  <c r="E1505" i="1" s="1"/>
  <c r="F1504" i="1"/>
  <c r="D1504" i="1"/>
  <c r="E1504" i="1" s="1"/>
  <c r="F1503" i="1"/>
  <c r="D1503" i="1"/>
  <c r="E1503" i="1" s="1"/>
  <c r="F1502" i="1"/>
  <c r="D1502" i="1"/>
  <c r="E1502" i="1" s="1"/>
  <c r="F1501" i="1"/>
  <c r="D1501" i="1"/>
  <c r="E1501" i="1" s="1"/>
  <c r="F1500" i="1"/>
  <c r="D1500" i="1"/>
  <c r="E1500" i="1" s="1"/>
  <c r="F1499" i="1"/>
  <c r="D1499" i="1"/>
  <c r="E1499" i="1" s="1"/>
  <c r="F1498" i="1" l="1"/>
  <c r="D1498" i="1"/>
  <c r="E1498" i="1" s="1"/>
  <c r="F1497" i="1"/>
  <c r="D1497" i="1"/>
  <c r="E1497" i="1" s="1"/>
  <c r="F1496" i="1" l="1"/>
  <c r="D1496" i="1"/>
  <c r="E1496" i="1" s="1"/>
  <c r="F1495" i="1" l="1"/>
  <c r="D1495" i="1"/>
  <c r="E1495" i="1" s="1"/>
  <c r="F1494" i="1"/>
  <c r="D1494" i="1"/>
  <c r="E1494" i="1" s="1"/>
  <c r="F1493" i="1"/>
  <c r="D1493" i="1"/>
  <c r="E1493" i="1" s="1"/>
  <c r="F1492" i="1" l="1"/>
  <c r="D1492" i="1"/>
  <c r="E1492" i="1" s="1"/>
  <c r="F1491" i="1"/>
  <c r="D1491" i="1"/>
  <c r="E1491" i="1" s="1"/>
  <c r="F1490" i="1"/>
  <c r="D1490" i="1"/>
  <c r="E1490" i="1" s="1"/>
  <c r="F1489" i="1" l="1"/>
  <c r="D1489" i="1"/>
  <c r="E1489" i="1" s="1"/>
  <c r="F1488" i="1"/>
  <c r="D1488" i="1"/>
  <c r="E1488" i="1" s="1"/>
  <c r="F1487" i="1"/>
  <c r="D1487" i="1"/>
  <c r="E1487" i="1" s="1"/>
  <c r="F1486" i="1"/>
  <c r="D1486" i="1"/>
  <c r="E1486" i="1" s="1"/>
  <c r="F1485" i="1"/>
  <c r="D1485" i="1"/>
  <c r="E1485" i="1" s="1"/>
  <c r="F1484" i="1"/>
  <c r="D1484" i="1"/>
  <c r="E1484" i="1" s="1"/>
  <c r="F1483" i="1" l="1"/>
  <c r="D1483" i="1"/>
  <c r="E1483" i="1" s="1"/>
  <c r="F1482" i="1"/>
  <c r="D1482" i="1"/>
  <c r="E1482" i="1" s="1"/>
  <c r="F1481" i="1"/>
  <c r="D1481" i="1"/>
  <c r="E1481" i="1" s="1"/>
  <c r="F1480" i="1"/>
  <c r="D1480" i="1"/>
  <c r="E1480" i="1" s="1"/>
  <c r="F1479" i="1"/>
  <c r="D1479" i="1"/>
  <c r="E1479" i="1" s="1"/>
  <c r="F1478" i="1"/>
  <c r="D1478" i="1"/>
  <c r="E1478" i="1" s="1"/>
  <c r="F1477" i="1"/>
  <c r="D1477" i="1"/>
  <c r="E1477" i="1" s="1"/>
  <c r="F1476" i="1" l="1"/>
  <c r="D1476" i="1"/>
  <c r="E1476" i="1" s="1"/>
  <c r="F1475" i="1" l="1"/>
  <c r="D1475" i="1"/>
  <c r="E1475" i="1" s="1"/>
  <c r="F1474" i="1"/>
  <c r="D1474" i="1"/>
  <c r="E1474" i="1" s="1"/>
  <c r="F1473" i="1"/>
  <c r="D1473" i="1"/>
  <c r="E1473" i="1" s="1"/>
  <c r="Z1472" i="1" l="1"/>
  <c r="AA1472" i="1" s="1"/>
  <c r="Y1472" i="1"/>
  <c r="F1472" i="1"/>
  <c r="D1472" i="1"/>
  <c r="E1472" i="1" s="1"/>
  <c r="F1471" i="1"/>
  <c r="D1471" i="1"/>
  <c r="E1471" i="1" s="1"/>
  <c r="F1470" i="1"/>
  <c r="D1470" i="1"/>
  <c r="E1470" i="1" s="1"/>
  <c r="F1469" i="1"/>
  <c r="D1469" i="1"/>
  <c r="E1469" i="1" s="1"/>
  <c r="F1468" i="1"/>
  <c r="D1468" i="1"/>
  <c r="E1468" i="1" s="1"/>
  <c r="AB1472" i="1" l="1"/>
  <c r="D1466" i="1"/>
  <c r="E1466" i="1" s="1"/>
  <c r="F1466" i="1"/>
  <c r="F1467" i="1"/>
  <c r="D1467" i="1"/>
  <c r="E1467" i="1" s="1"/>
  <c r="Z1466" i="1"/>
  <c r="AB1466" i="1" s="1"/>
  <c r="Y1466" i="1"/>
  <c r="AA1466" i="1" l="1"/>
  <c r="Z1465" i="1"/>
  <c r="AB1465" i="1" s="1"/>
  <c r="Y1465" i="1"/>
  <c r="F1465" i="1"/>
  <c r="D1465" i="1"/>
  <c r="E1465" i="1" s="1"/>
  <c r="F1464" i="1"/>
  <c r="D1464" i="1"/>
  <c r="E1464" i="1" s="1"/>
  <c r="F1463" i="1"/>
  <c r="D1463" i="1"/>
  <c r="E1463" i="1" s="1"/>
  <c r="F1462" i="1"/>
  <c r="D1462" i="1"/>
  <c r="E1462" i="1" s="1"/>
  <c r="Y1443" i="1"/>
  <c r="Z1443" i="1"/>
  <c r="Y1444" i="1"/>
  <c r="Z1444" i="1"/>
  <c r="Y1445" i="1"/>
  <c r="Z1445" i="1"/>
  <c r="Y1446" i="1"/>
  <c r="Z1446" i="1"/>
  <c r="Y1447" i="1"/>
  <c r="Z1447" i="1"/>
  <c r="Y1448" i="1"/>
  <c r="Z1448" i="1"/>
  <c r="Y1449" i="1"/>
  <c r="Z1449" i="1"/>
  <c r="Y1450" i="1"/>
  <c r="Z1450" i="1"/>
  <c r="Y1451" i="1"/>
  <c r="Z1451" i="1"/>
  <c r="Y1452" i="1"/>
  <c r="Z1452" i="1"/>
  <c r="Y1453" i="1"/>
  <c r="Z1453" i="1"/>
  <c r="Y1454" i="1"/>
  <c r="Z1454" i="1"/>
  <c r="Y1455" i="1"/>
  <c r="Z1455" i="1"/>
  <c r="Y1456" i="1"/>
  <c r="Z1456" i="1"/>
  <c r="Y1457" i="1"/>
  <c r="Z1457" i="1"/>
  <c r="Y1458" i="1"/>
  <c r="Z1458" i="1"/>
  <c r="Y1459" i="1"/>
  <c r="Z1459" i="1"/>
  <c r="Y1460" i="1"/>
  <c r="Z1460" i="1"/>
  <c r="Y1461" i="1"/>
  <c r="Z1461" i="1"/>
  <c r="Y1462" i="1"/>
  <c r="Z1462" i="1"/>
  <c r="Y1463" i="1"/>
  <c r="Z1463" i="1"/>
  <c r="Y1464" i="1"/>
  <c r="Z1464" i="1"/>
  <c r="Y1467" i="1"/>
  <c r="Z1467" i="1"/>
  <c r="Y1468" i="1"/>
  <c r="Z1468" i="1"/>
  <c r="Y1469" i="1"/>
  <c r="Z1469" i="1"/>
  <c r="Y1470" i="1"/>
  <c r="Z1470" i="1"/>
  <c r="Y1471" i="1"/>
  <c r="Z1471" i="1"/>
  <c r="Y1473" i="1"/>
  <c r="Z1473" i="1"/>
  <c r="Y1474" i="1"/>
  <c r="Z1474" i="1"/>
  <c r="Y1475" i="1"/>
  <c r="Z1475" i="1"/>
  <c r="Y1476" i="1"/>
  <c r="Z1476" i="1"/>
  <c r="Y1477" i="1"/>
  <c r="Z1477" i="1"/>
  <c r="Y1478" i="1"/>
  <c r="Z1478" i="1"/>
  <c r="Y1479" i="1"/>
  <c r="Z1479" i="1"/>
  <c r="Y1480" i="1"/>
  <c r="Z1480" i="1"/>
  <c r="Y1481" i="1"/>
  <c r="Z1481" i="1"/>
  <c r="Y1482" i="1"/>
  <c r="Z1482" i="1"/>
  <c r="AA1482" i="1" s="1"/>
  <c r="Y1483" i="1"/>
  <c r="Z1483" i="1"/>
  <c r="AA1483" i="1" s="1"/>
  <c r="Y1484" i="1"/>
  <c r="Z1484" i="1"/>
  <c r="AA1484" i="1" s="1"/>
  <c r="Y1485" i="1"/>
  <c r="Z1485" i="1"/>
  <c r="AA1485" i="1" s="1"/>
  <c r="Y1486" i="1"/>
  <c r="Z1486" i="1"/>
  <c r="AA1486" i="1" s="1"/>
  <c r="Y1487" i="1"/>
  <c r="Z1487" i="1"/>
  <c r="AA1487" i="1" s="1"/>
  <c r="Y1488" i="1"/>
  <c r="Z1488" i="1"/>
  <c r="AA1488" i="1" s="1"/>
  <c r="F1461" i="1"/>
  <c r="D1461" i="1"/>
  <c r="E1461" i="1" s="1"/>
  <c r="F1460" i="1"/>
  <c r="D1460" i="1"/>
  <c r="E1460" i="1" s="1"/>
  <c r="AB1486" i="1" l="1"/>
  <c r="AB1487" i="1"/>
  <c r="AB1485" i="1"/>
  <c r="AB1484" i="1"/>
  <c r="AB1483" i="1"/>
  <c r="AA1465" i="1"/>
  <c r="AA1478" i="1"/>
  <c r="AB1478" i="1"/>
  <c r="AA1474" i="1"/>
  <c r="AB1474" i="1"/>
  <c r="AA1470" i="1"/>
  <c r="AB1470" i="1"/>
  <c r="AA1462" i="1"/>
  <c r="AB1462" i="1"/>
  <c r="AA1460" i="1"/>
  <c r="AB1460" i="1"/>
  <c r="AA1458" i="1"/>
  <c r="AB1458" i="1"/>
  <c r="AA1456" i="1"/>
  <c r="AB1456" i="1"/>
  <c r="AA1454" i="1"/>
  <c r="AB1454" i="1"/>
  <c r="AA1452" i="1"/>
  <c r="AB1452" i="1"/>
  <c r="AA1450" i="1"/>
  <c r="AB1450" i="1"/>
  <c r="AA1448" i="1"/>
  <c r="AB1448" i="1"/>
  <c r="AA1446" i="1"/>
  <c r="AB1446" i="1"/>
  <c r="AA1444" i="1"/>
  <c r="AB1444" i="1"/>
  <c r="AB1488" i="1"/>
  <c r="AA1480" i="1"/>
  <c r="AB1480" i="1"/>
  <c r="AA1476" i="1"/>
  <c r="AB1476" i="1"/>
  <c r="AA1468" i="1"/>
  <c r="AB1468" i="1"/>
  <c r="AA1464" i="1"/>
  <c r="AB1464" i="1"/>
  <c r="AA1481" i="1"/>
  <c r="AB1481" i="1"/>
  <c r="AA1479" i="1"/>
  <c r="AB1479" i="1"/>
  <c r="AA1477" i="1"/>
  <c r="AB1477" i="1"/>
  <c r="AA1475" i="1"/>
  <c r="AB1475" i="1"/>
  <c r="AA1473" i="1"/>
  <c r="AB1473" i="1"/>
  <c r="AA1471" i="1"/>
  <c r="AB1471" i="1"/>
  <c r="AA1469" i="1"/>
  <c r="AB1469" i="1"/>
  <c r="AA1467" i="1"/>
  <c r="AB1467" i="1"/>
  <c r="AA1463" i="1"/>
  <c r="AB1463" i="1"/>
  <c r="AA1461" i="1"/>
  <c r="AB1461" i="1"/>
  <c r="AA1459" i="1"/>
  <c r="AB1459" i="1"/>
  <c r="AA1457" i="1"/>
  <c r="AB1457" i="1"/>
  <c r="AA1455" i="1"/>
  <c r="AB1455" i="1"/>
  <c r="AA1453" i="1"/>
  <c r="AB1453" i="1"/>
  <c r="AA1451" i="1"/>
  <c r="AB1451" i="1"/>
  <c r="AA1449" i="1"/>
  <c r="AB1449" i="1"/>
  <c r="AA1447" i="1"/>
  <c r="AB1447" i="1"/>
  <c r="AA1445" i="1"/>
  <c r="AB1445" i="1"/>
  <c r="AA1443" i="1"/>
  <c r="AB1443" i="1"/>
  <c r="AB1482" i="1"/>
  <c r="F1459" i="1"/>
  <c r="D1459" i="1"/>
  <c r="E1459" i="1" s="1"/>
  <c r="F1458" i="1"/>
  <c r="D1458" i="1"/>
  <c r="E1458" i="1" s="1"/>
  <c r="F1457" i="1"/>
  <c r="D1457" i="1"/>
  <c r="E1457" i="1" s="1"/>
  <c r="F1456" i="1" l="1"/>
  <c r="D1456" i="1"/>
  <c r="E1456" i="1" s="1"/>
  <c r="F1455" i="1"/>
  <c r="D1455" i="1"/>
  <c r="E1455" i="1" s="1"/>
  <c r="F1454" i="1"/>
  <c r="D1454" i="1"/>
  <c r="E1454" i="1" s="1"/>
  <c r="F1453" i="1" l="1"/>
  <c r="D1453" i="1"/>
  <c r="E1453" i="1" s="1"/>
  <c r="F1452" i="1"/>
  <c r="D1452" i="1"/>
  <c r="E1452" i="1" s="1"/>
  <c r="F1451" i="1"/>
  <c r="D1451" i="1"/>
  <c r="E1451" i="1" s="1"/>
  <c r="F1450" i="1"/>
  <c r="D1450" i="1"/>
  <c r="E1450" i="1" s="1"/>
  <c r="F1449" i="1"/>
  <c r="D1449" i="1"/>
  <c r="E1449" i="1" s="1"/>
  <c r="F1448" i="1"/>
  <c r="D1448" i="1"/>
  <c r="E1448" i="1" s="1"/>
  <c r="F1447" i="1"/>
  <c r="D1447" i="1"/>
  <c r="E1447" i="1" s="1"/>
  <c r="F1446" i="1"/>
  <c r="D1446" i="1"/>
  <c r="E1446" i="1" s="1"/>
  <c r="F1445" i="1"/>
  <c r="D1445" i="1"/>
  <c r="E1445" i="1" s="1"/>
  <c r="F1444" i="1"/>
  <c r="D1444" i="1"/>
  <c r="E1444" i="1" s="1"/>
  <c r="F1443" i="1"/>
  <c r="D1443" i="1"/>
  <c r="E1443" i="1" s="1"/>
  <c r="Z1442" i="1"/>
  <c r="AA1442" i="1" s="1"/>
  <c r="Y1442" i="1"/>
  <c r="F1442" i="1"/>
  <c r="D1442" i="1"/>
  <c r="E1442" i="1" s="1"/>
  <c r="Z1441" i="1"/>
  <c r="AB1441" i="1" s="1"/>
  <c r="Y1441" i="1"/>
  <c r="F1441" i="1"/>
  <c r="D1441" i="1"/>
  <c r="E1441" i="1" s="1"/>
  <c r="F1440" i="1"/>
  <c r="D1440" i="1"/>
  <c r="E1440" i="1" s="1"/>
  <c r="F1439" i="1"/>
  <c r="D1439" i="1"/>
  <c r="E1439" i="1" s="1"/>
  <c r="F1438" i="1"/>
  <c r="D1438" i="1"/>
  <c r="E1438" i="1" s="1"/>
  <c r="Z1187" i="1"/>
  <c r="AA1187" i="1" s="1"/>
  <c r="Y1187" i="1"/>
  <c r="F1187" i="1"/>
  <c r="D1187" i="1"/>
  <c r="E1187" i="1" s="1"/>
  <c r="F1437" i="1"/>
  <c r="D1437" i="1"/>
  <c r="E1437" i="1" s="1"/>
  <c r="F1436" i="1"/>
  <c r="D1436" i="1"/>
  <c r="E1436" i="1" s="1"/>
  <c r="F1435" i="1"/>
  <c r="D1435" i="1"/>
  <c r="E1435" i="1" s="1"/>
  <c r="F1434" i="1"/>
  <c r="D1434" i="1"/>
  <c r="E1434" i="1" s="1"/>
  <c r="F1433" i="1"/>
  <c r="D1433" i="1"/>
  <c r="E1433" i="1" s="1"/>
  <c r="F1432" i="1"/>
  <c r="D1432" i="1"/>
  <c r="E1432" i="1" s="1"/>
  <c r="Y68" i="1"/>
  <c r="F68" i="1"/>
  <c r="D68" i="1"/>
  <c r="E68" i="1" s="1"/>
  <c r="Z1431" i="1"/>
  <c r="AB1431" i="1" s="1"/>
  <c r="Y1431" i="1"/>
  <c r="F1431" i="1"/>
  <c r="D1431" i="1"/>
  <c r="E1431" i="1" s="1"/>
  <c r="F1430" i="1"/>
  <c r="D1430" i="1"/>
  <c r="E1430" i="1" s="1"/>
  <c r="F1429" i="1"/>
  <c r="D1429" i="1"/>
  <c r="E1429" i="1" s="1"/>
  <c r="F1428" i="1"/>
  <c r="D1428" i="1"/>
  <c r="E1428" i="1" s="1"/>
  <c r="D1426" i="1"/>
  <c r="E1426" i="1" s="1"/>
  <c r="F1426" i="1"/>
  <c r="F1427" i="1"/>
  <c r="D1427" i="1"/>
  <c r="E1427" i="1" s="1"/>
  <c r="F1425" i="1"/>
  <c r="D1425" i="1"/>
  <c r="E1425" i="1" s="1"/>
  <c r="F1424" i="1"/>
  <c r="D1424" i="1"/>
  <c r="E1424" i="1" s="1"/>
  <c r="F1423" i="1"/>
  <c r="D1423" i="1"/>
  <c r="E1423" i="1" s="1"/>
  <c r="F1422" i="1"/>
  <c r="D1422" i="1"/>
  <c r="E1422" i="1" s="1"/>
  <c r="F1421" i="1"/>
  <c r="D1421" i="1"/>
  <c r="E1421" i="1" s="1"/>
  <c r="F1420" i="1"/>
  <c r="D1420" i="1"/>
  <c r="E1420" i="1" s="1"/>
  <c r="F1419" i="1"/>
  <c r="D1419" i="1"/>
  <c r="E1419" i="1" s="1"/>
  <c r="Z1418" i="1"/>
  <c r="AB1418" i="1" s="1"/>
  <c r="Y1418" i="1"/>
  <c r="F1418" i="1"/>
  <c r="D1418" i="1"/>
  <c r="E1418" i="1" s="1"/>
  <c r="F1417" i="1"/>
  <c r="D1417" i="1"/>
  <c r="E1417" i="1" s="1"/>
  <c r="F1416" i="1"/>
  <c r="D1416" i="1"/>
  <c r="E1416" i="1" s="1"/>
  <c r="F1415" i="1"/>
  <c r="D1415" i="1"/>
  <c r="E1415" i="1" s="1"/>
  <c r="F1414" i="1"/>
  <c r="D1414" i="1"/>
  <c r="E1414" i="1" s="1"/>
  <c r="F1413" i="1"/>
  <c r="D1413" i="1"/>
  <c r="E1413" i="1" s="1"/>
  <c r="Z1412" i="1"/>
  <c r="AB1412" i="1" s="1"/>
  <c r="Y1412" i="1"/>
  <c r="F1412" i="1"/>
  <c r="D1412" i="1"/>
  <c r="E1412" i="1" s="1"/>
  <c r="D1410" i="1"/>
  <c r="E1410" i="1" s="1"/>
  <c r="F1410" i="1"/>
  <c r="F1411" i="1"/>
  <c r="D1411" i="1"/>
  <c r="E1411" i="1" s="1"/>
  <c r="F1409" i="1"/>
  <c r="D1409" i="1"/>
  <c r="E1409" i="1" s="1"/>
  <c r="F1408" i="1"/>
  <c r="D1408" i="1"/>
  <c r="E1408" i="1" s="1"/>
  <c r="F1407" i="1"/>
  <c r="D1407" i="1"/>
  <c r="E1407" i="1" s="1"/>
  <c r="Z1406" i="1"/>
  <c r="AA1406" i="1" s="1"/>
  <c r="Y1406" i="1"/>
  <c r="F1406" i="1"/>
  <c r="D1406" i="1"/>
  <c r="E1406" i="1" s="1"/>
  <c r="F1405" i="1"/>
  <c r="D1405" i="1"/>
  <c r="E1405" i="1" s="1"/>
  <c r="F1404" i="1"/>
  <c r="D1404" i="1"/>
  <c r="E1404" i="1" s="1"/>
  <c r="F1403" i="1"/>
  <c r="D1403" i="1"/>
  <c r="E1403" i="1" s="1"/>
  <c r="F1402" i="1"/>
  <c r="D1402" i="1"/>
  <c r="E1402" i="1" s="1"/>
  <c r="F1401" i="1"/>
  <c r="D1401" i="1"/>
  <c r="E1401" i="1" s="1"/>
  <c r="F1400" i="1"/>
  <c r="D1400" i="1"/>
  <c r="E1400" i="1" s="1"/>
  <c r="F1399" i="1"/>
  <c r="D1399" i="1"/>
  <c r="E1399" i="1" s="1"/>
  <c r="Y1397" i="1"/>
  <c r="Z1397" i="1"/>
  <c r="AB1397" i="1" s="1"/>
  <c r="Y1398" i="1"/>
  <c r="Z1398" i="1"/>
  <c r="AB1398" i="1" s="1"/>
  <c r="Y1399" i="1"/>
  <c r="Z1399" i="1"/>
  <c r="AB1399" i="1" s="1"/>
  <c r="Y1400" i="1"/>
  <c r="Z1400" i="1"/>
  <c r="AB1400" i="1" s="1"/>
  <c r="Y1401" i="1"/>
  <c r="Z1401" i="1"/>
  <c r="AB1401" i="1" s="1"/>
  <c r="Y1402" i="1"/>
  <c r="Z1402" i="1"/>
  <c r="AB1402" i="1" s="1"/>
  <c r="Y1403" i="1"/>
  <c r="Z1403" i="1"/>
  <c r="AB1403" i="1" s="1"/>
  <c r="Y1404" i="1"/>
  <c r="Z1404" i="1"/>
  <c r="AB1404" i="1" s="1"/>
  <c r="Y1405" i="1"/>
  <c r="Z1405" i="1"/>
  <c r="AB1405" i="1" s="1"/>
  <c r="Y1407" i="1"/>
  <c r="Z1407" i="1"/>
  <c r="AB1407" i="1" s="1"/>
  <c r="Y1408" i="1"/>
  <c r="Z1408" i="1"/>
  <c r="AB1408" i="1" s="1"/>
  <c r="Y1409" i="1"/>
  <c r="Z1409" i="1"/>
  <c r="AB1409" i="1" s="1"/>
  <c r="Y1410" i="1"/>
  <c r="Z1410" i="1"/>
  <c r="AB1410" i="1" s="1"/>
  <c r="Y1411" i="1"/>
  <c r="Z1411" i="1"/>
  <c r="AB1411" i="1" s="1"/>
  <c r="Y1413" i="1"/>
  <c r="Z1413" i="1"/>
  <c r="AB1413" i="1" s="1"/>
  <c r="Y1414" i="1"/>
  <c r="Z1414" i="1"/>
  <c r="AB1414" i="1" s="1"/>
  <c r="Y1415" i="1"/>
  <c r="Z1415" i="1"/>
  <c r="AB1415" i="1" s="1"/>
  <c r="Y1416" i="1"/>
  <c r="Z1416" i="1"/>
  <c r="AB1416" i="1" s="1"/>
  <c r="Y1417" i="1"/>
  <c r="Z1417" i="1"/>
  <c r="AB1417" i="1" s="1"/>
  <c r="Y1419" i="1"/>
  <c r="Z1419" i="1"/>
  <c r="AB1419" i="1" s="1"/>
  <c r="Y1420" i="1"/>
  <c r="Z1420" i="1"/>
  <c r="AB1420" i="1" s="1"/>
  <c r="Y1421" i="1"/>
  <c r="Z1421" i="1"/>
  <c r="AB1421" i="1" s="1"/>
  <c r="Y1422" i="1"/>
  <c r="Z1422" i="1"/>
  <c r="AB1422" i="1" s="1"/>
  <c r="Y1423" i="1"/>
  <c r="Z1423" i="1"/>
  <c r="AB1423" i="1" s="1"/>
  <c r="Y1424" i="1"/>
  <c r="Z1424" i="1"/>
  <c r="AB1424" i="1" s="1"/>
  <c r="Y1425" i="1"/>
  <c r="Z1425" i="1"/>
  <c r="AB1425" i="1" s="1"/>
  <c r="Y1426" i="1"/>
  <c r="Z1426" i="1"/>
  <c r="AB1426" i="1" s="1"/>
  <c r="Y1427" i="1"/>
  <c r="Z1427" i="1"/>
  <c r="AB1427" i="1" s="1"/>
  <c r="Y1428" i="1"/>
  <c r="Z1428" i="1"/>
  <c r="AB1428" i="1" s="1"/>
  <c r="Y1429" i="1"/>
  <c r="Z1429" i="1"/>
  <c r="AB1429" i="1" s="1"/>
  <c r="Y1430" i="1"/>
  <c r="Z1430" i="1"/>
  <c r="AB1430" i="1" s="1"/>
  <c r="Y1432" i="1"/>
  <c r="Z1432" i="1"/>
  <c r="AB1432" i="1" s="1"/>
  <c r="Y1433" i="1"/>
  <c r="Z1433" i="1"/>
  <c r="AB1433" i="1" s="1"/>
  <c r="Y1434" i="1"/>
  <c r="Z1434" i="1"/>
  <c r="AB1434" i="1" s="1"/>
  <c r="Y1435" i="1"/>
  <c r="Z1435" i="1"/>
  <c r="AB1435" i="1" s="1"/>
  <c r="Y1436" i="1"/>
  <c r="Z1436" i="1"/>
  <c r="AB1436" i="1" s="1"/>
  <c r="Y1437" i="1"/>
  <c r="Z1437" i="1"/>
  <c r="AB1437" i="1" s="1"/>
  <c r="Y1438" i="1"/>
  <c r="Z1438" i="1"/>
  <c r="AB1438" i="1" s="1"/>
  <c r="Y1439" i="1"/>
  <c r="Z1439" i="1"/>
  <c r="AB1439" i="1" s="1"/>
  <c r="Y1440" i="1"/>
  <c r="Z1440" i="1"/>
  <c r="AB1440" i="1" s="1"/>
  <c r="Y1367" i="1"/>
  <c r="Z1367" i="1"/>
  <c r="AB1367" i="1" s="1"/>
  <c r="Y1368" i="1"/>
  <c r="Z1368" i="1"/>
  <c r="AB1368" i="1" s="1"/>
  <c r="Y1369" i="1"/>
  <c r="Z1369" i="1"/>
  <c r="AB1369" i="1" s="1"/>
  <c r="Y1370" i="1"/>
  <c r="Z1370" i="1"/>
  <c r="AB1370" i="1" s="1"/>
  <c r="Y1371" i="1"/>
  <c r="Z1371" i="1"/>
  <c r="AB1371" i="1" s="1"/>
  <c r="Y1372" i="1"/>
  <c r="Z1372" i="1"/>
  <c r="AB1372" i="1" s="1"/>
  <c r="Y1373" i="1"/>
  <c r="Z1373" i="1"/>
  <c r="AB1373" i="1" s="1"/>
  <c r="Y1374" i="1"/>
  <c r="Z1374" i="1"/>
  <c r="AB1374" i="1" s="1"/>
  <c r="Y1375" i="1"/>
  <c r="Z1375" i="1"/>
  <c r="AB1375" i="1" s="1"/>
  <c r="Y1376" i="1"/>
  <c r="Z1376" i="1"/>
  <c r="AB1376" i="1" s="1"/>
  <c r="Y1377" i="1"/>
  <c r="Z1377" i="1"/>
  <c r="AB1377" i="1" s="1"/>
  <c r="Y1378" i="1"/>
  <c r="Z1378" i="1"/>
  <c r="AB1378" i="1" s="1"/>
  <c r="Y1379" i="1"/>
  <c r="Z1379" i="1"/>
  <c r="AB1379" i="1" s="1"/>
  <c r="Y1380" i="1"/>
  <c r="Z1380" i="1"/>
  <c r="AB1380" i="1" s="1"/>
  <c r="Y1381" i="1"/>
  <c r="Z1381" i="1"/>
  <c r="AB1381" i="1" s="1"/>
  <c r="Y1382" i="1"/>
  <c r="Z1382" i="1"/>
  <c r="AB1382" i="1" s="1"/>
  <c r="Y1383" i="1"/>
  <c r="Z1383" i="1"/>
  <c r="AB1383" i="1" s="1"/>
  <c r="Y1384" i="1"/>
  <c r="Z1384" i="1"/>
  <c r="AB1384" i="1" s="1"/>
  <c r="Y1385" i="1"/>
  <c r="Z1385" i="1"/>
  <c r="AB1385" i="1" s="1"/>
  <c r="Y1386" i="1"/>
  <c r="Z1386" i="1"/>
  <c r="AB1386" i="1" s="1"/>
  <c r="Y1387" i="1"/>
  <c r="Z1387" i="1"/>
  <c r="AB1387" i="1" s="1"/>
  <c r="Y1388" i="1"/>
  <c r="Z1388" i="1"/>
  <c r="AB1388" i="1" s="1"/>
  <c r="Y1389" i="1"/>
  <c r="Z1389" i="1"/>
  <c r="AB1389" i="1" s="1"/>
  <c r="Y1390" i="1"/>
  <c r="Z1390" i="1"/>
  <c r="AB1390" i="1" s="1"/>
  <c r="Y1391" i="1"/>
  <c r="Z1391" i="1"/>
  <c r="AB1391" i="1" s="1"/>
  <c r="Y1392" i="1"/>
  <c r="Z1392" i="1"/>
  <c r="AB1392" i="1" s="1"/>
  <c r="Y1393" i="1"/>
  <c r="Z1393" i="1"/>
  <c r="AB1393" i="1" s="1"/>
  <c r="Y1394" i="1"/>
  <c r="Z1394" i="1"/>
  <c r="AB1394" i="1" s="1"/>
  <c r="Y1395" i="1"/>
  <c r="Z1395" i="1"/>
  <c r="AB1395" i="1" s="1"/>
  <c r="Y1396" i="1"/>
  <c r="Z1396" i="1"/>
  <c r="AB1396" i="1" s="1"/>
  <c r="F1398" i="1"/>
  <c r="D1398" i="1"/>
  <c r="E1398" i="1" s="1"/>
  <c r="F1397" i="1"/>
  <c r="D1397" i="1"/>
  <c r="E1397" i="1" s="1"/>
  <c r="F1396" i="1"/>
  <c r="D1396" i="1"/>
  <c r="E1396" i="1" s="1"/>
  <c r="F1395" i="1"/>
  <c r="D1395" i="1"/>
  <c r="E1395" i="1" s="1"/>
  <c r="F1394" i="1"/>
  <c r="D1394" i="1"/>
  <c r="E1394" i="1" s="1"/>
  <c r="F1393" i="1"/>
  <c r="D1393" i="1"/>
  <c r="E1393" i="1" s="1"/>
  <c r="F1392" i="1"/>
  <c r="D1392" i="1"/>
  <c r="E1392" i="1" s="1"/>
  <c r="F1391" i="1"/>
  <c r="D1391" i="1"/>
  <c r="E1391" i="1" s="1"/>
  <c r="F1390" i="1"/>
  <c r="D1390" i="1"/>
  <c r="E1390" i="1" s="1"/>
  <c r="F1389" i="1"/>
  <c r="D1389" i="1"/>
  <c r="E1389" i="1" s="1"/>
  <c r="F1388" i="1"/>
  <c r="D1388" i="1"/>
  <c r="E1388" i="1" s="1"/>
  <c r="F1387" i="1"/>
  <c r="D1387" i="1"/>
  <c r="E1387" i="1" s="1"/>
  <c r="F1386" i="1"/>
  <c r="D1386" i="1"/>
  <c r="E1386" i="1" s="1"/>
  <c r="F1385" i="1"/>
  <c r="D1385" i="1"/>
  <c r="E1385" i="1" s="1"/>
  <c r="F1384" i="1"/>
  <c r="D1384" i="1"/>
  <c r="E1384" i="1" s="1"/>
  <c r="F1381" i="1"/>
  <c r="D1381" i="1"/>
  <c r="E1381" i="1" s="1"/>
  <c r="F1383" i="1"/>
  <c r="D1383" i="1"/>
  <c r="E1383" i="1" s="1"/>
  <c r="F1382" i="1"/>
  <c r="D1382" i="1"/>
  <c r="E1382" i="1" s="1"/>
  <c r="F1380" i="1"/>
  <c r="D1380" i="1"/>
  <c r="E1380" i="1" s="1"/>
  <c r="F1379" i="1"/>
  <c r="D1379" i="1"/>
  <c r="E1379" i="1" s="1"/>
  <c r="F1378" i="1"/>
  <c r="D1378" i="1"/>
  <c r="E1378" i="1" s="1"/>
  <c r="F1377" i="1"/>
  <c r="D1377" i="1"/>
  <c r="E1377" i="1" s="1"/>
  <c r="F1376" i="1"/>
  <c r="D1376" i="1"/>
  <c r="E1376" i="1" s="1"/>
  <c r="F1375" i="1"/>
  <c r="D1375" i="1"/>
  <c r="E1375" i="1" s="1"/>
  <c r="F1374" i="1"/>
  <c r="D1374" i="1"/>
  <c r="E1374" i="1" s="1"/>
  <c r="F1373" i="1"/>
  <c r="D1373" i="1"/>
  <c r="E1373" i="1" s="1"/>
  <c r="F1372" i="1"/>
  <c r="D1372" i="1"/>
  <c r="E1372" i="1" s="1"/>
  <c r="F1371" i="1"/>
  <c r="D1371" i="1"/>
  <c r="E1371" i="1" s="1"/>
  <c r="F1370" i="1"/>
  <c r="D1370" i="1"/>
  <c r="E1370" i="1" s="1"/>
  <c r="F1369" i="1"/>
  <c r="D1369" i="1"/>
  <c r="E1369" i="1" s="1"/>
  <c r="F1368" i="1"/>
  <c r="D1368" i="1"/>
  <c r="E1368" i="1" s="1"/>
  <c r="F1367" i="1"/>
  <c r="D1367" i="1"/>
  <c r="E1367" i="1" s="1"/>
  <c r="Z1366" i="1"/>
  <c r="AB1366" i="1" s="1"/>
  <c r="Y1366" i="1"/>
  <c r="F1366" i="1"/>
  <c r="D1366" i="1"/>
  <c r="E1366" i="1" s="1"/>
  <c r="F1365" i="1"/>
  <c r="D1365" i="1"/>
  <c r="E1365" i="1" s="1"/>
  <c r="F1364" i="1"/>
  <c r="D1364" i="1"/>
  <c r="E1364" i="1" s="1"/>
  <c r="F1363" i="1"/>
  <c r="D1363" i="1"/>
  <c r="E1363" i="1" s="1"/>
  <c r="Y1341" i="1"/>
  <c r="Z1341" i="1"/>
  <c r="AB1341" i="1" s="1"/>
  <c r="Y1342" i="1"/>
  <c r="Z1342" i="1"/>
  <c r="AB1342" i="1" s="1"/>
  <c r="Y1343" i="1"/>
  <c r="Z1343" i="1"/>
  <c r="AB1343" i="1" s="1"/>
  <c r="Y1344" i="1"/>
  <c r="Z1344" i="1"/>
  <c r="AB1344" i="1" s="1"/>
  <c r="Y1345" i="1"/>
  <c r="Z1345" i="1"/>
  <c r="AB1345" i="1" s="1"/>
  <c r="Y1346" i="1"/>
  <c r="Z1346" i="1"/>
  <c r="AB1346" i="1" s="1"/>
  <c r="Y1347" i="1"/>
  <c r="Z1347" i="1"/>
  <c r="AB1347" i="1" s="1"/>
  <c r="Y1348" i="1"/>
  <c r="Z1348" i="1"/>
  <c r="AB1348" i="1" s="1"/>
  <c r="Y1349" i="1"/>
  <c r="Z1349" i="1"/>
  <c r="AB1349" i="1" s="1"/>
  <c r="Y1350" i="1"/>
  <c r="Z1350" i="1"/>
  <c r="AB1350" i="1" s="1"/>
  <c r="Y1351" i="1"/>
  <c r="Z1351" i="1"/>
  <c r="AB1351" i="1" s="1"/>
  <c r="Y1352" i="1"/>
  <c r="Z1352" i="1"/>
  <c r="AB1352" i="1" s="1"/>
  <c r="Y1353" i="1"/>
  <c r="Z1353" i="1"/>
  <c r="AB1353" i="1" s="1"/>
  <c r="Y1354" i="1"/>
  <c r="Z1354" i="1"/>
  <c r="AB1354" i="1" s="1"/>
  <c r="Y1355" i="1"/>
  <c r="Z1355" i="1"/>
  <c r="AB1355" i="1" s="1"/>
  <c r="Y1356" i="1"/>
  <c r="Z1356" i="1"/>
  <c r="AB1356" i="1" s="1"/>
  <c r="Y1357" i="1"/>
  <c r="Z1357" i="1"/>
  <c r="AB1357" i="1" s="1"/>
  <c r="Y1358" i="1"/>
  <c r="Z1358" i="1"/>
  <c r="AB1358" i="1" s="1"/>
  <c r="Y1359" i="1"/>
  <c r="Z1359" i="1"/>
  <c r="AA1359" i="1" s="1"/>
  <c r="Y1360" i="1"/>
  <c r="Z1360" i="1"/>
  <c r="AB1360" i="1" s="1"/>
  <c r="Y1361" i="1"/>
  <c r="Z1361" i="1"/>
  <c r="AB1361" i="1" s="1"/>
  <c r="Y1362" i="1"/>
  <c r="Z1362" i="1"/>
  <c r="AB1362" i="1" s="1"/>
  <c r="Y1363" i="1"/>
  <c r="Z1363" i="1"/>
  <c r="AB1363" i="1" s="1"/>
  <c r="Y1364" i="1"/>
  <c r="Z1364" i="1"/>
  <c r="AB1364" i="1" s="1"/>
  <c r="Y1365" i="1"/>
  <c r="Z1365" i="1"/>
  <c r="AB1365" i="1" s="1"/>
  <c r="F1362" i="1"/>
  <c r="D1362" i="1"/>
  <c r="E1362" i="1" s="1"/>
  <c r="F1361" i="1"/>
  <c r="D1361" i="1"/>
  <c r="E1361" i="1" s="1"/>
  <c r="AA1382" i="1" l="1"/>
  <c r="AA1390" i="1"/>
  <c r="AA1374" i="1"/>
  <c r="AA1394" i="1"/>
  <c r="AA1386" i="1"/>
  <c r="AA1378" i="1"/>
  <c r="AA1370" i="1"/>
  <c r="AA1392" i="1"/>
  <c r="AA1388" i="1"/>
  <c r="AA1384" i="1"/>
  <c r="AA1380" i="1"/>
  <c r="AA1376" i="1"/>
  <c r="AA1372" i="1"/>
  <c r="AA1368" i="1"/>
  <c r="AA1395" i="1"/>
  <c r="AA1393" i="1"/>
  <c r="AA1391" i="1"/>
  <c r="AA1389" i="1"/>
  <c r="AA1387" i="1"/>
  <c r="AA1385" i="1"/>
  <c r="AA1383" i="1"/>
  <c r="AA1381" i="1"/>
  <c r="AA1379" i="1"/>
  <c r="AA1377" i="1"/>
  <c r="AA1375" i="1"/>
  <c r="AA1373" i="1"/>
  <c r="AA1371" i="1"/>
  <c r="AA1369" i="1"/>
  <c r="AA1367" i="1"/>
  <c r="AA1396" i="1"/>
  <c r="AB1187" i="1"/>
  <c r="AA1366" i="1"/>
  <c r="AA1431" i="1"/>
  <c r="AA1441" i="1"/>
  <c r="AB1442" i="1"/>
  <c r="AA1418" i="1"/>
  <c r="AA1412" i="1"/>
  <c r="AB1406" i="1"/>
  <c r="AA1440" i="1"/>
  <c r="AA1439" i="1"/>
  <c r="AA1438" i="1"/>
  <c r="AA1437" i="1"/>
  <c r="AA1436" i="1"/>
  <c r="AA1435" i="1"/>
  <c r="AA1434" i="1"/>
  <c r="AA1433" i="1"/>
  <c r="AA1432" i="1"/>
  <c r="AA1430" i="1"/>
  <c r="AA1429" i="1"/>
  <c r="AA1428" i="1"/>
  <c r="AA1427" i="1"/>
  <c r="AA1426" i="1"/>
  <c r="AA1425" i="1"/>
  <c r="AA1424" i="1"/>
  <c r="AA1423" i="1"/>
  <c r="AA1422" i="1"/>
  <c r="AA1421" i="1"/>
  <c r="AA1420" i="1"/>
  <c r="AA1419" i="1"/>
  <c r="AA1417" i="1"/>
  <c r="AA1416" i="1"/>
  <c r="AA1415" i="1"/>
  <c r="AA1414" i="1"/>
  <c r="AA1413" i="1"/>
  <c r="AA1411" i="1"/>
  <c r="AA1410" i="1"/>
  <c r="AA1409" i="1"/>
  <c r="AA1408" i="1"/>
  <c r="AA1407" i="1"/>
  <c r="AA1405" i="1"/>
  <c r="AA1404" i="1"/>
  <c r="AA1403" i="1"/>
  <c r="AA1402" i="1"/>
  <c r="AA1401" i="1"/>
  <c r="AA1400" i="1"/>
  <c r="AA1399" i="1"/>
  <c r="AA1398" i="1"/>
  <c r="AA1397" i="1"/>
  <c r="AA1365" i="1"/>
  <c r="AA1363" i="1"/>
  <c r="AA1361" i="1"/>
  <c r="AA1357" i="1"/>
  <c r="AB1359" i="1"/>
  <c r="AA1364" i="1"/>
  <c r="AA1362" i="1"/>
  <c r="AA1360" i="1"/>
  <c r="AA1358" i="1"/>
  <c r="AA1356" i="1"/>
  <c r="AA1355" i="1"/>
  <c r="AA1354" i="1"/>
  <c r="AA1353" i="1"/>
  <c r="AA1352" i="1"/>
  <c r="AA1351" i="1"/>
  <c r="AA1350" i="1"/>
  <c r="AA1349" i="1"/>
  <c r="AA1348" i="1"/>
  <c r="AA1347" i="1"/>
  <c r="AA1346" i="1"/>
  <c r="AA1345" i="1"/>
  <c r="AA1344" i="1"/>
  <c r="AA1343" i="1"/>
  <c r="AA1342" i="1"/>
  <c r="AA1341" i="1"/>
  <c r="F1360" i="1"/>
  <c r="D1360" i="1"/>
  <c r="E1360" i="1" s="1"/>
  <c r="F1359" i="1"/>
  <c r="D1359" i="1"/>
  <c r="E1359" i="1" s="1"/>
  <c r="F1358" i="1"/>
  <c r="D1358" i="1"/>
  <c r="E1358" i="1" s="1"/>
  <c r="F1357" i="1"/>
  <c r="D1357" i="1"/>
  <c r="E1357" i="1" s="1"/>
  <c r="F1356" i="1"/>
  <c r="D1356" i="1"/>
  <c r="E1356" i="1" s="1"/>
  <c r="F1355" i="1"/>
  <c r="D1355" i="1"/>
  <c r="E1355" i="1" s="1"/>
  <c r="F1354" i="1"/>
  <c r="D1354" i="1"/>
  <c r="E1354" i="1" s="1"/>
  <c r="F1353" i="1"/>
  <c r="D1353" i="1"/>
  <c r="E1353" i="1" s="1"/>
  <c r="F1352" i="1"/>
  <c r="D1352" i="1"/>
  <c r="E1352" i="1" s="1"/>
  <c r="F1351" i="1"/>
  <c r="D1351" i="1"/>
  <c r="E1351" i="1" s="1"/>
  <c r="F1350" i="1"/>
  <c r="D1350" i="1"/>
  <c r="E1350" i="1" s="1"/>
  <c r="F1349" i="1"/>
  <c r="D1349" i="1"/>
  <c r="E1349" i="1" s="1"/>
  <c r="F1348" i="1"/>
  <c r="D1348" i="1"/>
  <c r="E1348" i="1" s="1"/>
  <c r="F1347" i="1"/>
  <c r="D1347" i="1"/>
  <c r="E1347" i="1" s="1"/>
  <c r="F1346" i="1"/>
  <c r="D1346" i="1"/>
  <c r="E1346" i="1" s="1"/>
  <c r="F1345" i="1"/>
  <c r="D1345" i="1"/>
  <c r="E1345" i="1" s="1"/>
  <c r="D1343" i="1"/>
  <c r="E1343" i="1" s="1"/>
  <c r="F1343" i="1"/>
  <c r="D1344" i="1"/>
  <c r="E1344" i="1" s="1"/>
  <c r="F1344" i="1"/>
  <c r="F1342" i="1"/>
  <c r="D1342" i="1"/>
  <c r="E1342" i="1" s="1"/>
  <c r="F1341" i="1"/>
  <c r="D1341" i="1"/>
  <c r="E1341" i="1" s="1"/>
  <c r="D1326" i="1"/>
  <c r="E1326" i="1" s="1"/>
  <c r="F1326" i="1"/>
  <c r="Y1326" i="1"/>
  <c r="Z1326" i="1"/>
  <c r="AA1326" i="1" s="1"/>
  <c r="F1340" i="1"/>
  <c r="D1340" i="1"/>
  <c r="E1340" i="1" s="1"/>
  <c r="F1339" i="1"/>
  <c r="D1339" i="1"/>
  <c r="E1339" i="1" s="1"/>
  <c r="F1338" i="1"/>
  <c r="D1338" i="1"/>
  <c r="E1338" i="1" s="1"/>
  <c r="F1337" i="1"/>
  <c r="D1337" i="1"/>
  <c r="E1337" i="1" s="1"/>
  <c r="F1336" i="1"/>
  <c r="D1336" i="1"/>
  <c r="E1336" i="1" s="1"/>
  <c r="F1335" i="1"/>
  <c r="D1335" i="1"/>
  <c r="E1335" i="1" s="1"/>
  <c r="F1334" i="1"/>
  <c r="D1334" i="1"/>
  <c r="E1334" i="1" s="1"/>
  <c r="F1333" i="1"/>
  <c r="D1333" i="1"/>
  <c r="E1333" i="1" s="1"/>
  <c r="F1332" i="1"/>
  <c r="D1332" i="1"/>
  <c r="E1332" i="1" s="1"/>
  <c r="F1331" i="1"/>
  <c r="D1331" i="1"/>
  <c r="E1331" i="1" s="1"/>
  <c r="D1329" i="1"/>
  <c r="E1329" i="1" s="1"/>
  <c r="F1329" i="1"/>
  <c r="F1330" i="1"/>
  <c r="D1330" i="1"/>
  <c r="E1330" i="1" s="1"/>
  <c r="F1328" i="1"/>
  <c r="D1328" i="1"/>
  <c r="E1328" i="1" s="1"/>
  <c r="F1327" i="1"/>
  <c r="D1327" i="1"/>
  <c r="E1327" i="1" s="1"/>
  <c r="Y1327" i="1"/>
  <c r="Z1327" i="1"/>
  <c r="AB1327" i="1" s="1"/>
  <c r="Y1328" i="1"/>
  <c r="Z1328" i="1"/>
  <c r="AB1328" i="1" s="1"/>
  <c r="Y1329" i="1"/>
  <c r="Z1329" i="1"/>
  <c r="AB1329" i="1" s="1"/>
  <c r="Y1330" i="1"/>
  <c r="Z1330" i="1"/>
  <c r="AB1330" i="1" s="1"/>
  <c r="Y1331" i="1"/>
  <c r="Z1331" i="1"/>
  <c r="AB1331" i="1" s="1"/>
  <c r="Y1332" i="1"/>
  <c r="Z1332" i="1"/>
  <c r="AB1332" i="1" s="1"/>
  <c r="Y1333" i="1"/>
  <c r="Z1333" i="1"/>
  <c r="AB1333" i="1" s="1"/>
  <c r="Y1334" i="1"/>
  <c r="Z1334" i="1"/>
  <c r="AB1334" i="1" s="1"/>
  <c r="Y1335" i="1"/>
  <c r="Z1335" i="1"/>
  <c r="AB1335" i="1" s="1"/>
  <c r="Y1336" i="1"/>
  <c r="Z1336" i="1"/>
  <c r="AB1336" i="1" s="1"/>
  <c r="Y1337" i="1"/>
  <c r="Z1337" i="1"/>
  <c r="AB1337" i="1" s="1"/>
  <c r="Y1338" i="1"/>
  <c r="Z1338" i="1"/>
  <c r="AB1338" i="1" s="1"/>
  <c r="Y1339" i="1"/>
  <c r="Z1339" i="1"/>
  <c r="AB1339" i="1" s="1"/>
  <c r="Y1340" i="1"/>
  <c r="Z1340" i="1"/>
  <c r="AB1340" i="1" s="1"/>
  <c r="Y1312" i="1"/>
  <c r="Z1312" i="1"/>
  <c r="AB1312" i="1" s="1"/>
  <c r="Y1313" i="1"/>
  <c r="Z1313" i="1"/>
  <c r="AB1313" i="1" s="1"/>
  <c r="Y1314" i="1"/>
  <c r="Z1314" i="1"/>
  <c r="AB1314" i="1" s="1"/>
  <c r="Y1315" i="1"/>
  <c r="Z1315" i="1"/>
  <c r="AB1315" i="1" s="1"/>
  <c r="Y1316" i="1"/>
  <c r="Z1316" i="1"/>
  <c r="AB1316" i="1" s="1"/>
  <c r="Y1317" i="1"/>
  <c r="Z1317" i="1"/>
  <c r="AB1317" i="1" s="1"/>
  <c r="Y1318" i="1"/>
  <c r="Z1318" i="1"/>
  <c r="AB1318" i="1" s="1"/>
  <c r="Y1319" i="1"/>
  <c r="Z1319" i="1"/>
  <c r="AB1319" i="1" s="1"/>
  <c r="Y1320" i="1"/>
  <c r="Z1320" i="1"/>
  <c r="AB1320" i="1" s="1"/>
  <c r="Y1321" i="1"/>
  <c r="Z1321" i="1"/>
  <c r="AB1321" i="1" s="1"/>
  <c r="Y1322" i="1"/>
  <c r="Z1322" i="1"/>
  <c r="AB1322" i="1" s="1"/>
  <c r="Y1323" i="1"/>
  <c r="Z1323" i="1"/>
  <c r="AB1323" i="1" s="1"/>
  <c r="Y1324" i="1"/>
  <c r="Z1324" i="1"/>
  <c r="AB1324" i="1" s="1"/>
  <c r="Y1325" i="1"/>
  <c r="Z1325" i="1"/>
  <c r="AB1325" i="1" s="1"/>
  <c r="Y1293" i="1"/>
  <c r="Z1293" i="1"/>
  <c r="AB1293" i="1" s="1"/>
  <c r="Y1294" i="1"/>
  <c r="Z1294" i="1"/>
  <c r="AB1294" i="1" s="1"/>
  <c r="Y1295" i="1"/>
  <c r="Z1295" i="1"/>
  <c r="AB1295" i="1" s="1"/>
  <c r="Y1296" i="1"/>
  <c r="Z1296" i="1"/>
  <c r="AB1296" i="1" s="1"/>
  <c r="Y1297" i="1"/>
  <c r="Z1297" i="1"/>
  <c r="AB1297" i="1" s="1"/>
  <c r="Y1298" i="1"/>
  <c r="Z1298" i="1"/>
  <c r="AB1298" i="1" s="1"/>
  <c r="Y1299" i="1"/>
  <c r="Z1299" i="1"/>
  <c r="AB1299" i="1" s="1"/>
  <c r="Y1300" i="1"/>
  <c r="Z1300" i="1"/>
  <c r="AB1300" i="1" s="1"/>
  <c r="Y1301" i="1"/>
  <c r="Z1301" i="1"/>
  <c r="AB1301" i="1" s="1"/>
  <c r="Y1302" i="1"/>
  <c r="Z1302" i="1"/>
  <c r="AB1302" i="1" s="1"/>
  <c r="Y1303" i="1"/>
  <c r="Z1303" i="1"/>
  <c r="AB1303" i="1" s="1"/>
  <c r="Y1304" i="1"/>
  <c r="Z1304" i="1"/>
  <c r="AB1304" i="1" s="1"/>
  <c r="Y1305" i="1"/>
  <c r="Z1305" i="1"/>
  <c r="AB1305" i="1" s="1"/>
  <c r="Y1306" i="1"/>
  <c r="Z1306" i="1"/>
  <c r="AB1306" i="1" s="1"/>
  <c r="Y1307" i="1"/>
  <c r="Z1307" i="1"/>
  <c r="AB1307" i="1" s="1"/>
  <c r="Y1308" i="1"/>
  <c r="Z1308" i="1"/>
  <c r="AB1308" i="1" s="1"/>
  <c r="Y1309" i="1"/>
  <c r="Z1309" i="1"/>
  <c r="AB1309" i="1" s="1"/>
  <c r="Y1310" i="1"/>
  <c r="Z1310" i="1"/>
  <c r="AB1310" i="1" s="1"/>
  <c r="Y1311" i="1"/>
  <c r="Z1311" i="1"/>
  <c r="AB1311" i="1" s="1"/>
  <c r="D1323" i="1"/>
  <c r="E1323" i="1" s="1"/>
  <c r="F1323" i="1"/>
  <c r="D1324" i="1"/>
  <c r="E1324" i="1" s="1"/>
  <c r="F1324" i="1"/>
  <c r="D1325" i="1"/>
  <c r="E1325" i="1" s="1"/>
  <c r="F1325" i="1"/>
  <c r="F1322" i="1"/>
  <c r="D1322" i="1"/>
  <c r="E1322" i="1" s="1"/>
  <c r="F1321" i="1"/>
  <c r="D1321" i="1"/>
  <c r="E1321" i="1" s="1"/>
  <c r="F1320" i="1"/>
  <c r="D1320" i="1"/>
  <c r="E1320" i="1" s="1"/>
  <c r="F1319" i="1"/>
  <c r="D1319" i="1"/>
  <c r="E1319" i="1" s="1"/>
  <c r="F1318" i="1"/>
  <c r="D1318" i="1"/>
  <c r="E1318" i="1" s="1"/>
  <c r="F1317" i="1"/>
  <c r="D1317" i="1"/>
  <c r="E1317" i="1" s="1"/>
  <c r="F1316" i="1"/>
  <c r="D1316" i="1"/>
  <c r="E1316" i="1" s="1"/>
  <c r="F1315" i="1"/>
  <c r="D1315" i="1"/>
  <c r="E1315" i="1" s="1"/>
  <c r="F1314" i="1"/>
  <c r="D1314" i="1"/>
  <c r="E1314" i="1" s="1"/>
  <c r="F1313" i="1"/>
  <c r="D1313" i="1"/>
  <c r="E1313" i="1" s="1"/>
  <c r="F1312" i="1"/>
  <c r="D1312" i="1"/>
  <c r="E1312" i="1" s="1"/>
  <c r="F1311" i="1"/>
  <c r="D1311" i="1"/>
  <c r="E1311" i="1" s="1"/>
  <c r="F1310" i="1"/>
  <c r="D1310" i="1"/>
  <c r="E1310" i="1" s="1"/>
  <c r="F1309" i="1"/>
  <c r="D1309" i="1"/>
  <c r="E1309" i="1" s="1"/>
  <c r="F1308" i="1"/>
  <c r="D1308" i="1"/>
  <c r="E1308" i="1" s="1"/>
  <c r="F1307" i="1"/>
  <c r="D1307" i="1"/>
  <c r="E1307" i="1" s="1"/>
  <c r="F1306" i="1"/>
  <c r="D1306" i="1"/>
  <c r="E1306" i="1" s="1"/>
  <c r="F1305" i="1"/>
  <c r="D1305" i="1"/>
  <c r="E1305" i="1" s="1"/>
  <c r="F1304" i="1"/>
  <c r="D1304" i="1"/>
  <c r="E1304" i="1" s="1"/>
  <c r="F1303" i="1"/>
  <c r="D1303" i="1"/>
  <c r="E1303" i="1" s="1"/>
  <c r="F1302" i="1"/>
  <c r="D1302" i="1"/>
  <c r="E1302" i="1" s="1"/>
  <c r="F1301" i="1"/>
  <c r="D1301" i="1"/>
  <c r="E1301" i="1" s="1"/>
  <c r="F1300" i="1"/>
  <c r="D1300" i="1"/>
  <c r="E1300" i="1" s="1"/>
  <c r="F1299" i="1"/>
  <c r="D1299" i="1"/>
  <c r="E1299" i="1" s="1"/>
  <c r="F1298" i="1"/>
  <c r="D1298" i="1"/>
  <c r="E1298" i="1" s="1"/>
  <c r="F1297" i="1"/>
  <c r="D1297" i="1"/>
  <c r="E1297" i="1" s="1"/>
  <c r="F1296" i="1"/>
  <c r="D1296" i="1"/>
  <c r="E1296" i="1" s="1"/>
  <c r="F1295" i="1"/>
  <c r="D1295" i="1"/>
  <c r="E1295" i="1" s="1"/>
  <c r="F1294" i="1"/>
  <c r="D1294" i="1"/>
  <c r="E1294" i="1" s="1"/>
  <c r="F1293" i="1"/>
  <c r="D1293" i="1"/>
  <c r="E1293" i="1" s="1"/>
  <c r="F1292" i="1"/>
  <c r="D1292" i="1"/>
  <c r="E1292" i="1" s="1"/>
  <c r="F1291" i="1"/>
  <c r="D1291" i="1"/>
  <c r="E1291" i="1" s="1"/>
  <c r="F1290" i="1"/>
  <c r="D1290" i="1"/>
  <c r="E1290" i="1" s="1"/>
  <c r="F1289" i="1"/>
  <c r="D1289" i="1"/>
  <c r="E1289" i="1" s="1"/>
  <c r="F1288" i="1"/>
  <c r="D1288" i="1"/>
  <c r="E1288" i="1" s="1"/>
  <c r="F1287" i="1"/>
  <c r="D1287" i="1"/>
  <c r="E1287" i="1" s="1"/>
  <c r="F1286" i="1"/>
  <c r="D1286" i="1"/>
  <c r="E1286" i="1" s="1"/>
  <c r="F1285" i="1"/>
  <c r="D1285" i="1"/>
  <c r="E1285" i="1" s="1"/>
  <c r="F1284" i="1"/>
  <c r="D1284" i="1"/>
  <c r="E1284" i="1" s="1"/>
  <c r="F1283" i="1"/>
  <c r="D1283" i="1"/>
  <c r="E1283" i="1" s="1"/>
  <c r="F1282" i="1"/>
  <c r="D1282" i="1"/>
  <c r="E1282" i="1" s="1"/>
  <c r="F1281" i="1"/>
  <c r="D1281" i="1"/>
  <c r="E1281" i="1" s="1"/>
  <c r="F1280" i="1"/>
  <c r="D1280" i="1"/>
  <c r="E1280" i="1" s="1"/>
  <c r="F1279" i="1"/>
  <c r="D1279" i="1"/>
  <c r="E1279" i="1" s="1"/>
  <c r="F1278" i="1"/>
  <c r="D1278" i="1"/>
  <c r="E1278" i="1" s="1"/>
  <c r="F1277" i="1"/>
  <c r="D1277" i="1"/>
  <c r="E1277" i="1" s="1"/>
  <c r="F1276" i="1"/>
  <c r="D1276" i="1"/>
  <c r="E1276" i="1" s="1"/>
  <c r="F1275" i="1"/>
  <c r="D1275" i="1"/>
  <c r="E1275" i="1" s="1"/>
  <c r="F1274" i="1"/>
  <c r="D1274" i="1"/>
  <c r="E1274" i="1" s="1"/>
  <c r="F1273" i="1"/>
  <c r="D1273" i="1"/>
  <c r="E1273" i="1" s="1"/>
  <c r="F1272" i="1"/>
  <c r="D1272" i="1"/>
  <c r="E1272" i="1" s="1"/>
  <c r="F1271" i="1"/>
  <c r="D1271" i="1"/>
  <c r="E1271" i="1" s="1"/>
  <c r="F1270" i="1"/>
  <c r="D1270" i="1"/>
  <c r="E1270" i="1" s="1"/>
  <c r="F1269" i="1"/>
  <c r="D1269" i="1"/>
  <c r="E1269" i="1" s="1"/>
  <c r="F1268" i="1"/>
  <c r="D1268" i="1"/>
  <c r="E1268" i="1" s="1"/>
  <c r="F1267" i="1"/>
  <c r="D1267" i="1"/>
  <c r="E1267" i="1" s="1"/>
  <c r="F1266" i="1"/>
  <c r="D1266" i="1"/>
  <c r="E1266" i="1" s="1"/>
  <c r="F1265" i="1"/>
  <c r="D1265" i="1"/>
  <c r="E1265" i="1" s="1"/>
  <c r="F1264" i="1"/>
  <c r="D1264" i="1"/>
  <c r="E1264" i="1" s="1"/>
  <c r="F1263" i="1"/>
  <c r="D1263" i="1"/>
  <c r="E1263" i="1" s="1"/>
  <c r="F1262" i="1"/>
  <c r="D1262" i="1"/>
  <c r="E1262" i="1" s="1"/>
  <c r="F1261" i="1"/>
  <c r="D1261" i="1"/>
  <c r="E1261" i="1" s="1"/>
  <c r="F1260" i="1"/>
  <c r="D1260" i="1"/>
  <c r="E1260" i="1" s="1"/>
  <c r="F1259" i="1"/>
  <c r="D1259" i="1"/>
  <c r="E1259" i="1" s="1"/>
  <c r="F1258" i="1"/>
  <c r="D1258" i="1"/>
  <c r="E1258" i="1" s="1"/>
  <c r="F1257" i="1"/>
  <c r="D1257" i="1"/>
  <c r="E1257" i="1" s="1"/>
  <c r="F1256" i="1"/>
  <c r="D1256" i="1"/>
  <c r="E1256" i="1" s="1"/>
  <c r="F1255" i="1"/>
  <c r="D1255" i="1"/>
  <c r="E1255" i="1" s="1"/>
  <c r="F1254" i="1"/>
  <c r="D1254" i="1"/>
  <c r="E1254" i="1" s="1"/>
  <c r="Y1259" i="1"/>
  <c r="Z1259" i="1"/>
  <c r="AB1259" i="1" s="1"/>
  <c r="Y1260" i="1"/>
  <c r="Z1260" i="1"/>
  <c r="AB1260" i="1" s="1"/>
  <c r="Y1261" i="1"/>
  <c r="Z1261" i="1"/>
  <c r="AB1261" i="1" s="1"/>
  <c r="Y1262" i="1"/>
  <c r="Z1262" i="1"/>
  <c r="AB1262" i="1" s="1"/>
  <c r="Y1263" i="1"/>
  <c r="Z1263" i="1"/>
  <c r="AB1263" i="1" s="1"/>
  <c r="Y1264" i="1"/>
  <c r="Z1264" i="1"/>
  <c r="AB1264" i="1" s="1"/>
  <c r="Y1265" i="1"/>
  <c r="Z1265" i="1"/>
  <c r="AB1265" i="1" s="1"/>
  <c r="Y1266" i="1"/>
  <c r="Z1266" i="1"/>
  <c r="AB1266" i="1" s="1"/>
  <c r="Y1267" i="1"/>
  <c r="Z1267" i="1"/>
  <c r="AB1267" i="1" s="1"/>
  <c r="Y1268" i="1"/>
  <c r="Z1268" i="1"/>
  <c r="AB1268" i="1" s="1"/>
  <c r="Y1269" i="1"/>
  <c r="Z1269" i="1"/>
  <c r="AB1269" i="1" s="1"/>
  <c r="Y1270" i="1"/>
  <c r="Z1270" i="1"/>
  <c r="AB1270" i="1" s="1"/>
  <c r="Y1271" i="1"/>
  <c r="Z1271" i="1"/>
  <c r="AB1271" i="1" s="1"/>
  <c r="Y1272" i="1"/>
  <c r="Z1272" i="1"/>
  <c r="AB1272" i="1" s="1"/>
  <c r="Y1273" i="1"/>
  <c r="Z1273" i="1"/>
  <c r="AB1273" i="1" s="1"/>
  <c r="Y1274" i="1"/>
  <c r="Z1274" i="1"/>
  <c r="AB1274" i="1" s="1"/>
  <c r="Y1275" i="1"/>
  <c r="Z1275" i="1"/>
  <c r="AB1275" i="1" s="1"/>
  <c r="Y1276" i="1"/>
  <c r="Z1276" i="1"/>
  <c r="AB1276" i="1" s="1"/>
  <c r="Y1277" i="1"/>
  <c r="Z1277" i="1"/>
  <c r="AB1277" i="1" s="1"/>
  <c r="Y1278" i="1"/>
  <c r="Z1278" i="1"/>
  <c r="AB1278" i="1" s="1"/>
  <c r="Y1279" i="1"/>
  <c r="Z1279" i="1"/>
  <c r="AB1279" i="1" s="1"/>
  <c r="Y1280" i="1"/>
  <c r="Z1280" i="1"/>
  <c r="AB1280" i="1" s="1"/>
  <c r="Y1281" i="1"/>
  <c r="Z1281" i="1"/>
  <c r="AB1281" i="1" s="1"/>
  <c r="Y1282" i="1"/>
  <c r="Z1282" i="1"/>
  <c r="AB1282" i="1" s="1"/>
  <c r="Y1283" i="1"/>
  <c r="Z1283" i="1"/>
  <c r="AB1283" i="1" s="1"/>
  <c r="Y1284" i="1"/>
  <c r="Z1284" i="1"/>
  <c r="AB1284" i="1" s="1"/>
  <c r="Y1285" i="1"/>
  <c r="Z1285" i="1"/>
  <c r="AB1285" i="1" s="1"/>
  <c r="Y1286" i="1"/>
  <c r="Z1286" i="1"/>
  <c r="AB1286" i="1" s="1"/>
  <c r="Y1287" i="1"/>
  <c r="Z1287" i="1"/>
  <c r="AB1287" i="1" s="1"/>
  <c r="Y1288" i="1"/>
  <c r="Z1288" i="1"/>
  <c r="AB1288" i="1" s="1"/>
  <c r="Y1289" i="1"/>
  <c r="Z1289" i="1"/>
  <c r="AB1289" i="1" s="1"/>
  <c r="Y1290" i="1"/>
  <c r="Z1290" i="1"/>
  <c r="AB1290" i="1" s="1"/>
  <c r="Y1291" i="1"/>
  <c r="Z1291" i="1"/>
  <c r="AB1291" i="1" s="1"/>
  <c r="Y1292" i="1"/>
  <c r="Z1292" i="1"/>
  <c r="AB1292" i="1" s="1"/>
  <c r="Y1246" i="1"/>
  <c r="Z1246" i="1"/>
  <c r="AB1246" i="1" s="1"/>
  <c r="Y1247" i="1"/>
  <c r="Z1247" i="1"/>
  <c r="AB1247" i="1" s="1"/>
  <c r="Y1248" i="1"/>
  <c r="Z1248" i="1"/>
  <c r="AB1248" i="1" s="1"/>
  <c r="Y1249" i="1"/>
  <c r="Z1249" i="1"/>
  <c r="AB1249" i="1" s="1"/>
  <c r="Y1250" i="1"/>
  <c r="Z1250" i="1"/>
  <c r="AB1250" i="1" s="1"/>
  <c r="Y1251" i="1"/>
  <c r="Z1251" i="1"/>
  <c r="AB1251" i="1" s="1"/>
  <c r="Y1252" i="1"/>
  <c r="Z1252" i="1"/>
  <c r="AB1252" i="1" s="1"/>
  <c r="Y1253" i="1"/>
  <c r="Z1253" i="1"/>
  <c r="AB1253" i="1" s="1"/>
  <c r="Y1254" i="1"/>
  <c r="Z1254" i="1"/>
  <c r="AB1254" i="1" s="1"/>
  <c r="Y1255" i="1"/>
  <c r="Z1255" i="1"/>
  <c r="AB1255" i="1" s="1"/>
  <c r="Y1256" i="1"/>
  <c r="Z1256" i="1"/>
  <c r="AB1256" i="1" s="1"/>
  <c r="Y1257" i="1"/>
  <c r="Z1257" i="1"/>
  <c r="AB1257" i="1" s="1"/>
  <c r="Y1258" i="1"/>
  <c r="Z1258" i="1"/>
  <c r="AB1258" i="1" s="1"/>
  <c r="F1253" i="1"/>
  <c r="D1253" i="1"/>
  <c r="E1253" i="1" s="1"/>
  <c r="F1252" i="1"/>
  <c r="D1252" i="1"/>
  <c r="E1252" i="1" s="1"/>
  <c r="F1251" i="1"/>
  <c r="D1251" i="1"/>
  <c r="E1251" i="1" s="1"/>
  <c r="F1250" i="1"/>
  <c r="D1250" i="1"/>
  <c r="E1250" i="1" s="1"/>
  <c r="F1249" i="1"/>
  <c r="D1249" i="1"/>
  <c r="E1249" i="1" s="1"/>
  <c r="F1248" i="1"/>
  <c r="D1248" i="1"/>
  <c r="E1248" i="1" s="1"/>
  <c r="F1247" i="1"/>
  <c r="D1247" i="1"/>
  <c r="E1247" i="1" s="1"/>
  <c r="F1246" i="1"/>
  <c r="D1246" i="1"/>
  <c r="E1246" i="1" s="1"/>
  <c r="F1245" i="1"/>
  <c r="D1245" i="1"/>
  <c r="E1245" i="1" s="1"/>
  <c r="F1244" i="1"/>
  <c r="D1244" i="1"/>
  <c r="E1244" i="1" s="1"/>
  <c r="F1243" i="1"/>
  <c r="D1243" i="1"/>
  <c r="E1243" i="1" s="1"/>
  <c r="F1242" i="1"/>
  <c r="D1242" i="1"/>
  <c r="E1242" i="1" s="1"/>
  <c r="F1241" i="1"/>
  <c r="D1241" i="1"/>
  <c r="E1241" i="1" s="1"/>
  <c r="F1240" i="1"/>
  <c r="D1240" i="1"/>
  <c r="E1240" i="1" s="1"/>
  <c r="F1239" i="1"/>
  <c r="D1239" i="1"/>
  <c r="E1239" i="1" s="1"/>
  <c r="F1238" i="1"/>
  <c r="D1238" i="1"/>
  <c r="E1238" i="1" s="1"/>
  <c r="F1237" i="1"/>
  <c r="D1237" i="1"/>
  <c r="E1237" i="1" s="1"/>
  <c r="F1236" i="1"/>
  <c r="D1236" i="1"/>
  <c r="E1236" i="1" s="1"/>
  <c r="F1235" i="1"/>
  <c r="D1235" i="1"/>
  <c r="E1235" i="1" s="1"/>
  <c r="Z1234" i="1"/>
  <c r="AB1234" i="1" s="1"/>
  <c r="Y1234" i="1"/>
  <c r="F1234" i="1"/>
  <c r="D1234" i="1"/>
  <c r="E1234" i="1" s="1"/>
  <c r="Z1233" i="1"/>
  <c r="AB1233" i="1" s="1"/>
  <c r="Y1233" i="1"/>
  <c r="F1233" i="1"/>
  <c r="D1233" i="1"/>
  <c r="E1233" i="1" s="1"/>
  <c r="F1232" i="1"/>
  <c r="D1232" i="1"/>
  <c r="E1232" i="1" s="1"/>
  <c r="F1231" i="1"/>
  <c r="D1231" i="1"/>
  <c r="E1231" i="1" s="1"/>
  <c r="F1230" i="1"/>
  <c r="D1230" i="1"/>
  <c r="E1230" i="1" s="1"/>
  <c r="F1229" i="1"/>
  <c r="D1229" i="1"/>
  <c r="E1229" i="1" s="1"/>
  <c r="F1228" i="1"/>
  <c r="D1228" i="1"/>
  <c r="E1228" i="1" s="1"/>
  <c r="F1227" i="1"/>
  <c r="D1227" i="1"/>
  <c r="E1227" i="1" s="1"/>
  <c r="F1226" i="1"/>
  <c r="D1226" i="1"/>
  <c r="E1226" i="1" s="1"/>
  <c r="F1225" i="1"/>
  <c r="D1225" i="1"/>
  <c r="E1225" i="1" s="1"/>
  <c r="F1224" i="1"/>
  <c r="D1224" i="1"/>
  <c r="E1224" i="1" s="1"/>
  <c r="F1223" i="1"/>
  <c r="D1223" i="1"/>
  <c r="E1223" i="1" s="1"/>
  <c r="F1222" i="1"/>
  <c r="D1222" i="1"/>
  <c r="E1222" i="1" s="1"/>
  <c r="F1221" i="1"/>
  <c r="D1221" i="1"/>
  <c r="E1221" i="1" s="1"/>
  <c r="F1220" i="1"/>
  <c r="D1220" i="1"/>
  <c r="E1220" i="1" s="1"/>
  <c r="F1219" i="1"/>
  <c r="D1219" i="1"/>
  <c r="E1219" i="1" s="1"/>
  <c r="F1218" i="1"/>
  <c r="D1218" i="1"/>
  <c r="E1218" i="1" s="1"/>
  <c r="F1217" i="1"/>
  <c r="D1217" i="1"/>
  <c r="E1217" i="1" s="1"/>
  <c r="F1216" i="1"/>
  <c r="D1216" i="1"/>
  <c r="E1216" i="1" s="1"/>
  <c r="F1215" i="1"/>
  <c r="D1215" i="1"/>
  <c r="E1215" i="1" s="1"/>
  <c r="F1214" i="1"/>
  <c r="D1214" i="1"/>
  <c r="E1214" i="1" s="1"/>
  <c r="F1213" i="1"/>
  <c r="D1213" i="1"/>
  <c r="E1213" i="1" s="1"/>
  <c r="F1212" i="1"/>
  <c r="D1212" i="1"/>
  <c r="E1212" i="1" s="1"/>
  <c r="F1211" i="1"/>
  <c r="D1211" i="1"/>
  <c r="E1211" i="1" s="1"/>
  <c r="F1210" i="1"/>
  <c r="D1210" i="1"/>
  <c r="E1210" i="1" s="1"/>
  <c r="F1209" i="1"/>
  <c r="D1209" i="1"/>
  <c r="E1209" i="1" s="1"/>
  <c r="F1208" i="1"/>
  <c r="D1208" i="1"/>
  <c r="E1208" i="1" s="1"/>
  <c r="F1207" i="1"/>
  <c r="D1207" i="1"/>
  <c r="E1207" i="1" s="1"/>
  <c r="F1206" i="1"/>
  <c r="D1206" i="1"/>
  <c r="E1206" i="1" s="1"/>
  <c r="F1205" i="1"/>
  <c r="D1205" i="1"/>
  <c r="E1205" i="1" s="1"/>
  <c r="F1204" i="1"/>
  <c r="D1204" i="1"/>
  <c r="E1204" i="1" s="1"/>
  <c r="F1203" i="1"/>
  <c r="D1203" i="1"/>
  <c r="E1203" i="1" s="1"/>
  <c r="F1202" i="1"/>
  <c r="D1202" i="1"/>
  <c r="E1202" i="1" s="1"/>
  <c r="Z1201" i="1"/>
  <c r="AB1201" i="1" s="1"/>
  <c r="Y1201" i="1"/>
  <c r="F1201" i="1"/>
  <c r="D1201" i="1"/>
  <c r="E1201" i="1" s="1"/>
  <c r="F1200" i="1"/>
  <c r="D1200" i="1"/>
  <c r="E1200" i="1" s="1"/>
  <c r="F1199" i="1"/>
  <c r="D1199" i="1"/>
  <c r="E1199" i="1" s="1"/>
  <c r="F1198" i="1"/>
  <c r="D1198" i="1"/>
  <c r="E1198" i="1" s="1"/>
  <c r="F1197" i="1"/>
  <c r="D1197" i="1"/>
  <c r="E1197" i="1" s="1"/>
  <c r="F1196" i="1"/>
  <c r="D1196" i="1"/>
  <c r="E1196" i="1" s="1"/>
  <c r="F1195" i="1"/>
  <c r="D1195" i="1"/>
  <c r="E1195" i="1" s="1"/>
  <c r="F1194" i="1"/>
  <c r="D1194" i="1"/>
  <c r="E1194" i="1" s="1"/>
  <c r="F1193" i="1"/>
  <c r="D1193" i="1"/>
  <c r="E1193" i="1" s="1"/>
  <c r="F1192" i="1"/>
  <c r="D1192" i="1"/>
  <c r="E1192" i="1" s="1"/>
  <c r="F1191" i="1"/>
  <c r="D1191" i="1"/>
  <c r="E1191" i="1" s="1"/>
  <c r="F1190" i="1"/>
  <c r="D1190" i="1"/>
  <c r="E1190" i="1" s="1"/>
  <c r="Y1224" i="1"/>
  <c r="Z1224" i="1"/>
  <c r="AB1224" i="1" s="1"/>
  <c r="Y1225" i="1"/>
  <c r="Z1225" i="1"/>
  <c r="AB1225" i="1" s="1"/>
  <c r="Y1226" i="1"/>
  <c r="Z1226" i="1"/>
  <c r="AB1226" i="1" s="1"/>
  <c r="Y1227" i="1"/>
  <c r="Z1227" i="1"/>
  <c r="AB1227" i="1" s="1"/>
  <c r="Y1228" i="1"/>
  <c r="Z1228" i="1"/>
  <c r="AB1228" i="1" s="1"/>
  <c r="Y1229" i="1"/>
  <c r="Z1229" i="1"/>
  <c r="AB1229" i="1" s="1"/>
  <c r="Y1230" i="1"/>
  <c r="Z1230" i="1"/>
  <c r="AB1230" i="1" s="1"/>
  <c r="Y1231" i="1"/>
  <c r="Z1231" i="1"/>
  <c r="AB1231" i="1" s="1"/>
  <c r="Y1232" i="1"/>
  <c r="Z1232" i="1"/>
  <c r="AB1232" i="1" s="1"/>
  <c r="Y1235" i="1"/>
  <c r="Z1235" i="1"/>
  <c r="AB1235" i="1" s="1"/>
  <c r="Y1236" i="1"/>
  <c r="Z1236" i="1"/>
  <c r="AB1236" i="1" s="1"/>
  <c r="Y1237" i="1"/>
  <c r="Z1237" i="1"/>
  <c r="AB1237" i="1" s="1"/>
  <c r="Y1238" i="1"/>
  <c r="Z1238" i="1"/>
  <c r="AB1238" i="1" s="1"/>
  <c r="Y1239" i="1"/>
  <c r="Z1239" i="1"/>
  <c r="AB1239" i="1" s="1"/>
  <c r="Y1240" i="1"/>
  <c r="Z1240" i="1"/>
  <c r="AB1240" i="1" s="1"/>
  <c r="Y1241" i="1"/>
  <c r="Z1241" i="1"/>
  <c r="AB1241" i="1" s="1"/>
  <c r="Y1242" i="1"/>
  <c r="Z1242" i="1"/>
  <c r="AB1242" i="1" s="1"/>
  <c r="Y1243" i="1"/>
  <c r="Z1243" i="1"/>
  <c r="AB1243" i="1" s="1"/>
  <c r="Y1244" i="1"/>
  <c r="Z1244" i="1"/>
  <c r="AB1244" i="1" s="1"/>
  <c r="Y1245" i="1"/>
  <c r="Z1245" i="1"/>
  <c r="AB1245" i="1" s="1"/>
  <c r="Y1211" i="1"/>
  <c r="Z1211" i="1"/>
  <c r="AB1211" i="1" s="1"/>
  <c r="Y1212" i="1"/>
  <c r="Z1212" i="1"/>
  <c r="AB1212" i="1" s="1"/>
  <c r="Y1213" i="1"/>
  <c r="Z1213" i="1"/>
  <c r="AB1213" i="1" s="1"/>
  <c r="Y1214" i="1"/>
  <c r="Z1214" i="1"/>
  <c r="AB1214" i="1" s="1"/>
  <c r="Y1215" i="1"/>
  <c r="Z1215" i="1"/>
  <c r="AB1215" i="1" s="1"/>
  <c r="Y1216" i="1"/>
  <c r="Z1216" i="1"/>
  <c r="AB1216" i="1" s="1"/>
  <c r="Y1217" i="1"/>
  <c r="Z1217" i="1"/>
  <c r="AB1217" i="1" s="1"/>
  <c r="Y1218" i="1"/>
  <c r="Z1218" i="1"/>
  <c r="AB1218" i="1" s="1"/>
  <c r="Y1219" i="1"/>
  <c r="Z1219" i="1"/>
  <c r="AB1219" i="1" s="1"/>
  <c r="Y1220" i="1"/>
  <c r="Z1220" i="1"/>
  <c r="AB1220" i="1" s="1"/>
  <c r="Y1221" i="1"/>
  <c r="Z1221" i="1"/>
  <c r="AB1221" i="1" s="1"/>
  <c r="Y1222" i="1"/>
  <c r="Z1222" i="1"/>
  <c r="AB1222" i="1" s="1"/>
  <c r="Y1223" i="1"/>
  <c r="Z1223" i="1"/>
  <c r="AB1223" i="1" s="1"/>
  <c r="Y1177" i="1"/>
  <c r="Z1177" i="1"/>
  <c r="AB1177" i="1" s="1"/>
  <c r="Y1178" i="1"/>
  <c r="Z1178" i="1"/>
  <c r="AB1178" i="1" s="1"/>
  <c r="Y1179" i="1"/>
  <c r="Z1179" i="1"/>
  <c r="AB1179" i="1" s="1"/>
  <c r="Y1180" i="1"/>
  <c r="Z1180" i="1"/>
  <c r="AB1180" i="1" s="1"/>
  <c r="Y1181" i="1"/>
  <c r="Z1181" i="1"/>
  <c r="AB1181" i="1" s="1"/>
  <c r="Y1182" i="1"/>
  <c r="Z1182" i="1"/>
  <c r="AB1182" i="1" s="1"/>
  <c r="Y1183" i="1"/>
  <c r="Z1183" i="1"/>
  <c r="AB1183" i="1" s="1"/>
  <c r="Y1184" i="1"/>
  <c r="Z1184" i="1"/>
  <c r="AB1184" i="1" s="1"/>
  <c r="Y1185" i="1"/>
  <c r="Z1185" i="1"/>
  <c r="AB1185" i="1" s="1"/>
  <c r="Y1186" i="1"/>
  <c r="Z1186" i="1"/>
  <c r="AB1186" i="1" s="1"/>
  <c r="Y1188" i="1"/>
  <c r="Z1188" i="1"/>
  <c r="AB1188" i="1" s="1"/>
  <c r="Y1189" i="1"/>
  <c r="Z1189" i="1"/>
  <c r="AB1189" i="1" s="1"/>
  <c r="Y1190" i="1"/>
  <c r="Z1190" i="1"/>
  <c r="AB1190" i="1" s="1"/>
  <c r="Y1191" i="1"/>
  <c r="Z1191" i="1"/>
  <c r="AB1191" i="1" s="1"/>
  <c r="Y1192" i="1"/>
  <c r="Z1192" i="1"/>
  <c r="AB1192" i="1" s="1"/>
  <c r="Y1193" i="1"/>
  <c r="Z1193" i="1"/>
  <c r="AB1193" i="1" s="1"/>
  <c r="Y1194" i="1"/>
  <c r="Z1194" i="1"/>
  <c r="AB1194" i="1" s="1"/>
  <c r="Y1195" i="1"/>
  <c r="Z1195" i="1"/>
  <c r="AB1195" i="1" s="1"/>
  <c r="Y1196" i="1"/>
  <c r="Z1196" i="1"/>
  <c r="AB1196" i="1" s="1"/>
  <c r="Y1197" i="1"/>
  <c r="Z1197" i="1"/>
  <c r="AB1197" i="1" s="1"/>
  <c r="Y1198" i="1"/>
  <c r="Z1198" i="1"/>
  <c r="AB1198" i="1" s="1"/>
  <c r="Y1199" i="1"/>
  <c r="Z1199" i="1"/>
  <c r="AB1199" i="1" s="1"/>
  <c r="Y1200" i="1"/>
  <c r="Z1200" i="1"/>
  <c r="AB1200" i="1" s="1"/>
  <c r="Y1202" i="1"/>
  <c r="Z1202" i="1"/>
  <c r="AB1202" i="1" s="1"/>
  <c r="Y1203" i="1"/>
  <c r="Z1203" i="1"/>
  <c r="AB1203" i="1" s="1"/>
  <c r="Y1204" i="1"/>
  <c r="Z1204" i="1"/>
  <c r="AB1204" i="1" s="1"/>
  <c r="Y1205" i="1"/>
  <c r="Z1205" i="1"/>
  <c r="AB1205" i="1" s="1"/>
  <c r="Y1206" i="1"/>
  <c r="Z1206" i="1"/>
  <c r="AB1206" i="1" s="1"/>
  <c r="Y1207" i="1"/>
  <c r="Z1207" i="1"/>
  <c r="AB1207" i="1" s="1"/>
  <c r="Y1208" i="1"/>
  <c r="Z1208" i="1"/>
  <c r="AB1208" i="1" s="1"/>
  <c r="Y1209" i="1"/>
  <c r="Z1209" i="1"/>
  <c r="AB1209" i="1" s="1"/>
  <c r="Y1210" i="1"/>
  <c r="Z1210" i="1"/>
  <c r="AB1210" i="1" s="1"/>
  <c r="F1189" i="1"/>
  <c r="D1189" i="1"/>
  <c r="E1189" i="1" s="1"/>
  <c r="F1188" i="1"/>
  <c r="D1188" i="1"/>
  <c r="E1188" i="1" s="1"/>
  <c r="F1186" i="1"/>
  <c r="D1186" i="1"/>
  <c r="E1186" i="1" s="1"/>
  <c r="F1185" i="1"/>
  <c r="D1185" i="1"/>
  <c r="E1185" i="1" s="1"/>
  <c r="F1184" i="1"/>
  <c r="D1184" i="1"/>
  <c r="E1184" i="1" s="1"/>
  <c r="F1183" i="1"/>
  <c r="D1183" i="1"/>
  <c r="E1183" i="1" s="1"/>
  <c r="F1182" i="1"/>
  <c r="D1182" i="1"/>
  <c r="E1182" i="1" s="1"/>
  <c r="F1181" i="1"/>
  <c r="D1181" i="1"/>
  <c r="E1181" i="1" s="1"/>
  <c r="F1180" i="1"/>
  <c r="D1180" i="1"/>
  <c r="E1180" i="1" s="1"/>
  <c r="F1179" i="1"/>
  <c r="D1179" i="1"/>
  <c r="E1179" i="1" s="1"/>
  <c r="F1178" i="1"/>
  <c r="D1178" i="1"/>
  <c r="E1178" i="1" s="1"/>
  <c r="F1177" i="1"/>
  <c r="D1177" i="1"/>
  <c r="E1177" i="1" s="1"/>
  <c r="F1176" i="1"/>
  <c r="D1176" i="1"/>
  <c r="E1176" i="1" s="1"/>
  <c r="F1175" i="1"/>
  <c r="D1175" i="1"/>
  <c r="E1175" i="1" s="1"/>
  <c r="F1174" i="1"/>
  <c r="D1174" i="1"/>
  <c r="E1174" i="1" s="1"/>
  <c r="F1173" i="1"/>
  <c r="D1173" i="1"/>
  <c r="E1173" i="1" s="1"/>
  <c r="F1172" i="1"/>
  <c r="D1172" i="1"/>
  <c r="E1172" i="1" s="1"/>
  <c r="F1171" i="1"/>
  <c r="D1171" i="1"/>
  <c r="E1171" i="1" s="1"/>
  <c r="F1170" i="1"/>
  <c r="D1170" i="1"/>
  <c r="E1170" i="1" s="1"/>
  <c r="Z1162" i="1"/>
  <c r="AA1162" i="1" s="1"/>
  <c r="Y1162" i="1"/>
  <c r="F1162" i="1"/>
  <c r="D1162" i="1"/>
  <c r="E1162" i="1" s="1"/>
  <c r="F1169" i="1"/>
  <c r="D1169" i="1"/>
  <c r="E1169" i="1" s="1"/>
  <c r="F1168" i="1"/>
  <c r="D1168" i="1"/>
  <c r="E1168" i="1" s="1"/>
  <c r="F1167" i="1"/>
  <c r="D1167" i="1"/>
  <c r="E1167" i="1" s="1"/>
  <c r="F1166" i="1"/>
  <c r="D1166" i="1"/>
  <c r="E1166" i="1" s="1"/>
  <c r="F1165" i="1"/>
  <c r="D1165" i="1"/>
  <c r="E1165" i="1" s="1"/>
  <c r="Y1155" i="1"/>
  <c r="Z1155" i="1"/>
  <c r="AB1155" i="1" s="1"/>
  <c r="Y1156" i="1"/>
  <c r="Z1156" i="1"/>
  <c r="AB1156" i="1" s="1"/>
  <c r="Y1157" i="1"/>
  <c r="Z1157" i="1"/>
  <c r="AB1157" i="1" s="1"/>
  <c r="Y1158" i="1"/>
  <c r="Z1158" i="1"/>
  <c r="AB1158" i="1" s="1"/>
  <c r="Y1159" i="1"/>
  <c r="Z1159" i="1"/>
  <c r="AB1159" i="1" s="1"/>
  <c r="Y1160" i="1"/>
  <c r="Z1160" i="1"/>
  <c r="AB1160" i="1" s="1"/>
  <c r="Y1161" i="1"/>
  <c r="Z1161" i="1"/>
  <c r="AB1161" i="1" s="1"/>
  <c r="Y1163" i="1"/>
  <c r="Z1163" i="1"/>
  <c r="AB1163" i="1" s="1"/>
  <c r="Y1164" i="1"/>
  <c r="Z1164" i="1"/>
  <c r="AB1164" i="1" s="1"/>
  <c r="Y1165" i="1"/>
  <c r="Z1165" i="1"/>
  <c r="AB1165" i="1" s="1"/>
  <c r="Y1166" i="1"/>
  <c r="Z1166" i="1"/>
  <c r="AB1166" i="1" s="1"/>
  <c r="Y1167" i="1"/>
  <c r="Z1167" i="1"/>
  <c r="AB1167" i="1" s="1"/>
  <c r="Y1168" i="1"/>
  <c r="Z1168" i="1"/>
  <c r="AB1168" i="1" s="1"/>
  <c r="Y1169" i="1"/>
  <c r="Z1169" i="1"/>
  <c r="AB1169" i="1" s="1"/>
  <c r="Y1170" i="1"/>
  <c r="Z1170" i="1"/>
  <c r="AB1170" i="1" s="1"/>
  <c r="Y1171" i="1"/>
  <c r="Z1171" i="1"/>
  <c r="AB1171" i="1" s="1"/>
  <c r="Y1172" i="1"/>
  <c r="Z1172" i="1"/>
  <c r="AB1172" i="1" s="1"/>
  <c r="Y1173" i="1"/>
  <c r="Z1173" i="1"/>
  <c r="AB1173" i="1" s="1"/>
  <c r="Y1174" i="1"/>
  <c r="Z1174" i="1"/>
  <c r="AB1174" i="1" s="1"/>
  <c r="Y1175" i="1"/>
  <c r="Z1175" i="1"/>
  <c r="AB1175" i="1" s="1"/>
  <c r="Y1176" i="1"/>
  <c r="Z1176" i="1"/>
  <c r="AB1176" i="1" s="1"/>
  <c r="F1164" i="1"/>
  <c r="D1164" i="1"/>
  <c r="E1164" i="1" s="1"/>
  <c r="F1163" i="1"/>
  <c r="D1163" i="1"/>
  <c r="E1163" i="1" s="1"/>
  <c r="F1161" i="1"/>
  <c r="D1161" i="1"/>
  <c r="E1161" i="1" s="1"/>
  <c r="F1160" i="1"/>
  <c r="D1160" i="1"/>
  <c r="E1160" i="1" s="1"/>
  <c r="F1159" i="1"/>
  <c r="D1159" i="1"/>
  <c r="E1159" i="1" s="1"/>
  <c r="F1158" i="1"/>
  <c r="D1158" i="1"/>
  <c r="E1158" i="1" s="1"/>
  <c r="F1157" i="1"/>
  <c r="D1157" i="1"/>
  <c r="E1157" i="1" s="1"/>
  <c r="F1156" i="1"/>
  <c r="D1156" i="1"/>
  <c r="E1156" i="1" s="1"/>
  <c r="F1155" i="1"/>
  <c r="D1155" i="1"/>
  <c r="E1155" i="1" s="1"/>
  <c r="F1154" i="1"/>
  <c r="D1154" i="1"/>
  <c r="E1154" i="1" s="1"/>
  <c r="Z1153" i="1"/>
  <c r="AB1153" i="1" s="1"/>
  <c r="Y1153" i="1"/>
  <c r="F1153" i="1"/>
  <c r="D1153" i="1"/>
  <c r="E1153" i="1" s="1"/>
  <c r="F1152" i="1"/>
  <c r="D1152" i="1"/>
  <c r="E1152" i="1" s="1"/>
  <c r="F1151" i="1"/>
  <c r="D1151" i="1"/>
  <c r="E1151" i="1" s="1"/>
  <c r="Z1150" i="1"/>
  <c r="AA1150" i="1" s="1"/>
  <c r="Y1150" i="1"/>
  <c r="F1150" i="1"/>
  <c r="D1150" i="1"/>
  <c r="E1150" i="1" s="1"/>
  <c r="F1149" i="1"/>
  <c r="D1149" i="1"/>
  <c r="E1149" i="1" s="1"/>
  <c r="F1148" i="1"/>
  <c r="D1148" i="1"/>
  <c r="E1148" i="1" s="1"/>
  <c r="F1147" i="1"/>
  <c r="D1147" i="1"/>
  <c r="E1147" i="1" s="1"/>
  <c r="F1146" i="1"/>
  <c r="D1146" i="1"/>
  <c r="E1146" i="1" s="1"/>
  <c r="F1145" i="1"/>
  <c r="D1145" i="1"/>
  <c r="E1145" i="1" s="1"/>
  <c r="Y1142" i="1"/>
  <c r="Z1142" i="1"/>
  <c r="AB1142" i="1" s="1"/>
  <c r="Y1143" i="1"/>
  <c r="Z1143" i="1"/>
  <c r="AB1143" i="1" s="1"/>
  <c r="Y1144" i="1"/>
  <c r="Z1144" i="1"/>
  <c r="AB1144" i="1" s="1"/>
  <c r="Y1145" i="1"/>
  <c r="Z1145" i="1"/>
  <c r="AB1145" i="1" s="1"/>
  <c r="Y1146" i="1"/>
  <c r="Z1146" i="1"/>
  <c r="AB1146" i="1" s="1"/>
  <c r="Y1147" i="1"/>
  <c r="Z1147" i="1"/>
  <c r="AB1147" i="1" s="1"/>
  <c r="Y1148" i="1"/>
  <c r="Z1148" i="1"/>
  <c r="AB1148" i="1" s="1"/>
  <c r="Y1149" i="1"/>
  <c r="Z1149" i="1"/>
  <c r="AB1149" i="1" s="1"/>
  <c r="Y1151" i="1"/>
  <c r="Z1151" i="1"/>
  <c r="AB1151" i="1" s="1"/>
  <c r="Y1152" i="1"/>
  <c r="Z1152" i="1"/>
  <c r="AB1152" i="1" s="1"/>
  <c r="Y1154" i="1"/>
  <c r="Z1154" i="1"/>
  <c r="AB1154" i="1" s="1"/>
  <c r="F1144" i="1"/>
  <c r="D1144" i="1"/>
  <c r="E1144" i="1" s="1"/>
  <c r="F1143" i="1"/>
  <c r="D1143" i="1"/>
  <c r="E1143" i="1" s="1"/>
  <c r="F1142" i="1"/>
  <c r="D1142" i="1"/>
  <c r="E1142" i="1" s="1"/>
  <c r="F1141" i="1"/>
  <c r="D1141" i="1"/>
  <c r="E1141" i="1" s="1"/>
  <c r="Y1119" i="1"/>
  <c r="Z1119" i="1"/>
  <c r="AB1119" i="1" s="1"/>
  <c r="Y1120" i="1"/>
  <c r="Z1120" i="1"/>
  <c r="AB1120" i="1" s="1"/>
  <c r="Y1121" i="1"/>
  <c r="Z1121" i="1"/>
  <c r="AB1121" i="1" s="1"/>
  <c r="Y1122" i="1"/>
  <c r="Z1122" i="1"/>
  <c r="AB1122" i="1" s="1"/>
  <c r="Y1123" i="1"/>
  <c r="Z1123" i="1"/>
  <c r="AB1123" i="1" s="1"/>
  <c r="Y1124" i="1"/>
  <c r="Z1124" i="1"/>
  <c r="AB1124" i="1" s="1"/>
  <c r="Y1125" i="1"/>
  <c r="Z1125" i="1"/>
  <c r="AB1125" i="1" s="1"/>
  <c r="Y1126" i="1"/>
  <c r="Z1126" i="1"/>
  <c r="AB1126" i="1" s="1"/>
  <c r="Y1127" i="1"/>
  <c r="Z1127" i="1"/>
  <c r="AB1127" i="1" s="1"/>
  <c r="Y1128" i="1"/>
  <c r="Z1128" i="1"/>
  <c r="AB1128" i="1" s="1"/>
  <c r="Y1129" i="1"/>
  <c r="Z1129" i="1"/>
  <c r="AB1129" i="1" s="1"/>
  <c r="Y1130" i="1"/>
  <c r="Z1130" i="1"/>
  <c r="AB1130" i="1" s="1"/>
  <c r="Y1131" i="1"/>
  <c r="Z1131" i="1"/>
  <c r="AB1131" i="1" s="1"/>
  <c r="Y1132" i="1"/>
  <c r="Z1132" i="1"/>
  <c r="AB1132" i="1" s="1"/>
  <c r="Y1133" i="1"/>
  <c r="Z1133" i="1"/>
  <c r="AB1133" i="1" s="1"/>
  <c r="Y1134" i="1"/>
  <c r="Z1134" i="1"/>
  <c r="AB1134" i="1" s="1"/>
  <c r="Y1135" i="1"/>
  <c r="Z1135" i="1"/>
  <c r="AB1135" i="1" s="1"/>
  <c r="Y1136" i="1"/>
  <c r="Z1136" i="1"/>
  <c r="AB1136" i="1" s="1"/>
  <c r="Y1137" i="1"/>
  <c r="Z1137" i="1"/>
  <c r="AB1137" i="1" s="1"/>
  <c r="Y1138" i="1"/>
  <c r="Z1138" i="1"/>
  <c r="AB1138" i="1" s="1"/>
  <c r="Y1139" i="1"/>
  <c r="Z1139" i="1"/>
  <c r="AB1139" i="1" s="1"/>
  <c r="Y1140" i="1"/>
  <c r="Z1140" i="1"/>
  <c r="AB1140" i="1" s="1"/>
  <c r="Y1141" i="1"/>
  <c r="Z1141" i="1"/>
  <c r="AB1141" i="1" s="1"/>
  <c r="F1140" i="1"/>
  <c r="D1140" i="1"/>
  <c r="E1140" i="1" s="1"/>
  <c r="F1139" i="1"/>
  <c r="D1139" i="1"/>
  <c r="E1139" i="1" s="1"/>
  <c r="F1138" i="1"/>
  <c r="D1138" i="1"/>
  <c r="E1138" i="1" s="1"/>
  <c r="F1137" i="1"/>
  <c r="D1137" i="1"/>
  <c r="E1137" i="1" s="1"/>
  <c r="F1136" i="1"/>
  <c r="D1136" i="1"/>
  <c r="E1136" i="1" s="1"/>
  <c r="F1135" i="1"/>
  <c r="D1135" i="1"/>
  <c r="E1135" i="1" s="1"/>
  <c r="F1134" i="1"/>
  <c r="D1134" i="1"/>
  <c r="E1134" i="1" s="1"/>
  <c r="F1133" i="1"/>
  <c r="D1133" i="1"/>
  <c r="E1133" i="1" s="1"/>
  <c r="F1132" i="1"/>
  <c r="D1132" i="1"/>
  <c r="E1132" i="1" s="1"/>
  <c r="F1131" i="1"/>
  <c r="D1131" i="1"/>
  <c r="E1131" i="1" s="1"/>
  <c r="F1130" i="1"/>
  <c r="D1130" i="1"/>
  <c r="E1130" i="1" s="1"/>
  <c r="F1129" i="1"/>
  <c r="D1129" i="1"/>
  <c r="E1129" i="1" s="1"/>
  <c r="F1128" i="1"/>
  <c r="D1128" i="1"/>
  <c r="E1128" i="1" s="1"/>
  <c r="F1127" i="1"/>
  <c r="D1127" i="1"/>
  <c r="E1127" i="1" s="1"/>
  <c r="F1126" i="1"/>
  <c r="D1126" i="1"/>
  <c r="E1126" i="1" s="1"/>
  <c r="F1125" i="1"/>
  <c r="D1125" i="1"/>
  <c r="E1125" i="1" s="1"/>
  <c r="F1124" i="1"/>
  <c r="D1124" i="1"/>
  <c r="E1124" i="1" s="1"/>
  <c r="F1123" i="1"/>
  <c r="D1123" i="1"/>
  <c r="E1123" i="1" s="1"/>
  <c r="F1122" i="1"/>
  <c r="D1122" i="1"/>
  <c r="E1122" i="1" s="1"/>
  <c r="F1121" i="1"/>
  <c r="D1121" i="1"/>
  <c r="E1121" i="1" s="1"/>
  <c r="F1120" i="1"/>
  <c r="D1120" i="1"/>
  <c r="E1120" i="1" s="1"/>
  <c r="F1119" i="1"/>
  <c r="D1119" i="1"/>
  <c r="E1119" i="1" s="1"/>
  <c r="F1118" i="1"/>
  <c r="D1118" i="1"/>
  <c r="E1118" i="1" s="1"/>
  <c r="F1117" i="1"/>
  <c r="D1117" i="1"/>
  <c r="E1117" i="1" s="1"/>
  <c r="F1116" i="1"/>
  <c r="D1116" i="1"/>
  <c r="E1116" i="1" s="1"/>
  <c r="Y1096" i="1"/>
  <c r="Z1096" i="1"/>
  <c r="AB1096" i="1" s="1"/>
  <c r="Y1097" i="1"/>
  <c r="Z1097" i="1"/>
  <c r="AB1097" i="1" s="1"/>
  <c r="Y1098" i="1"/>
  <c r="Z1098" i="1"/>
  <c r="AB1098" i="1" s="1"/>
  <c r="Y1099" i="1"/>
  <c r="Z1099" i="1"/>
  <c r="AB1099" i="1" s="1"/>
  <c r="Y1100" i="1"/>
  <c r="Z1100" i="1"/>
  <c r="AB1100" i="1" s="1"/>
  <c r="Y1101" i="1"/>
  <c r="Z1101" i="1"/>
  <c r="AB1101" i="1" s="1"/>
  <c r="Y1102" i="1"/>
  <c r="Z1102" i="1"/>
  <c r="AB1102" i="1" s="1"/>
  <c r="Y1103" i="1"/>
  <c r="Z1103" i="1"/>
  <c r="AB1103" i="1" s="1"/>
  <c r="Y1104" i="1"/>
  <c r="Z1104" i="1"/>
  <c r="AB1104" i="1" s="1"/>
  <c r="Y1105" i="1"/>
  <c r="Z1105" i="1"/>
  <c r="AB1105" i="1" s="1"/>
  <c r="Y1106" i="1"/>
  <c r="Z1106" i="1"/>
  <c r="AB1106" i="1" s="1"/>
  <c r="Y1107" i="1"/>
  <c r="Z1107" i="1"/>
  <c r="AB1107" i="1" s="1"/>
  <c r="Y1108" i="1"/>
  <c r="Z1108" i="1"/>
  <c r="AB1108" i="1" s="1"/>
  <c r="Y1109" i="1"/>
  <c r="Z1109" i="1"/>
  <c r="AB1109" i="1" s="1"/>
  <c r="Y1110" i="1"/>
  <c r="Z1110" i="1"/>
  <c r="AB1110" i="1" s="1"/>
  <c r="Y1111" i="1"/>
  <c r="Z1111" i="1"/>
  <c r="AB1111" i="1" s="1"/>
  <c r="Y1112" i="1"/>
  <c r="Z1112" i="1"/>
  <c r="AB1112" i="1" s="1"/>
  <c r="Y1113" i="1"/>
  <c r="Z1113" i="1"/>
  <c r="AB1113" i="1" s="1"/>
  <c r="Y1114" i="1"/>
  <c r="Z1114" i="1"/>
  <c r="AB1114" i="1" s="1"/>
  <c r="Y1115" i="1"/>
  <c r="Z1115" i="1"/>
  <c r="AB1115" i="1" s="1"/>
  <c r="Y1116" i="1"/>
  <c r="Z1116" i="1"/>
  <c r="AB1116" i="1" s="1"/>
  <c r="Y1117" i="1"/>
  <c r="Z1117" i="1"/>
  <c r="AB1117" i="1" s="1"/>
  <c r="Y1118" i="1"/>
  <c r="Z1118" i="1"/>
  <c r="AB1118" i="1" s="1"/>
  <c r="F1115" i="1"/>
  <c r="D1115" i="1"/>
  <c r="E1115" i="1" s="1"/>
  <c r="F1114" i="1"/>
  <c r="D1114" i="1"/>
  <c r="E1114" i="1" s="1"/>
  <c r="F1113" i="1"/>
  <c r="D1113" i="1"/>
  <c r="E1113" i="1" s="1"/>
  <c r="F1112" i="1"/>
  <c r="D1112" i="1"/>
  <c r="E1112" i="1" s="1"/>
  <c r="F1111" i="1"/>
  <c r="D1111" i="1"/>
  <c r="E1111" i="1" s="1"/>
  <c r="F1110" i="1"/>
  <c r="D1110" i="1"/>
  <c r="E1110" i="1" s="1"/>
  <c r="F1109" i="1"/>
  <c r="D1109" i="1"/>
  <c r="E1109" i="1" s="1"/>
  <c r="F1108" i="1"/>
  <c r="D1108" i="1"/>
  <c r="E1108" i="1" s="1"/>
  <c r="F1107" i="1"/>
  <c r="D1107" i="1"/>
  <c r="E1107" i="1" s="1"/>
  <c r="F1106" i="1"/>
  <c r="D1106" i="1"/>
  <c r="E1106" i="1" s="1"/>
  <c r="F1105" i="1"/>
  <c r="D1105" i="1"/>
  <c r="E1105" i="1" s="1"/>
  <c r="F1104" i="1"/>
  <c r="D1104" i="1"/>
  <c r="E1104" i="1" s="1"/>
  <c r="F1103" i="1"/>
  <c r="D1103" i="1"/>
  <c r="E1103" i="1" s="1"/>
  <c r="F1102" i="1"/>
  <c r="D1102" i="1"/>
  <c r="E1102" i="1" s="1"/>
  <c r="F1101" i="1"/>
  <c r="D1101" i="1"/>
  <c r="E1101" i="1" s="1"/>
  <c r="F1100" i="1"/>
  <c r="D1100" i="1"/>
  <c r="E1100" i="1" s="1"/>
  <c r="F1099" i="1"/>
  <c r="D1099" i="1"/>
  <c r="E1099" i="1" s="1"/>
  <c r="F1098" i="1"/>
  <c r="D1098" i="1"/>
  <c r="E1098" i="1" s="1"/>
  <c r="F1097" i="1"/>
  <c r="D1097" i="1"/>
  <c r="E1097" i="1" s="1"/>
  <c r="F1096" i="1"/>
  <c r="D1096" i="1"/>
  <c r="E1096" i="1" s="1"/>
  <c r="Z1095" i="1"/>
  <c r="AB1095" i="1" s="1"/>
  <c r="Y1095" i="1"/>
  <c r="F1095" i="1"/>
  <c r="D1095" i="1"/>
  <c r="E1095" i="1" s="1"/>
  <c r="Z1094" i="1"/>
  <c r="AA1094" i="1" s="1"/>
  <c r="Y1094" i="1"/>
  <c r="F1094" i="1"/>
  <c r="D1094" i="1"/>
  <c r="E1094" i="1" s="1"/>
  <c r="Z1093" i="1"/>
  <c r="AA1093" i="1" s="1"/>
  <c r="Y1093" i="1"/>
  <c r="F1093" i="1"/>
  <c r="D1093" i="1"/>
  <c r="E1093" i="1" s="1"/>
  <c r="Z1092" i="1"/>
  <c r="AB1092" i="1" s="1"/>
  <c r="Y1092" i="1"/>
  <c r="F1092" i="1"/>
  <c r="D1092" i="1"/>
  <c r="E1092" i="1" s="1"/>
  <c r="F1091" i="1"/>
  <c r="D1091" i="1"/>
  <c r="E1091" i="1" s="1"/>
  <c r="Z1090" i="1"/>
  <c r="AB1090" i="1" s="1"/>
  <c r="Y1090" i="1"/>
  <c r="F1090" i="1"/>
  <c r="D1090" i="1"/>
  <c r="E1090" i="1" s="1"/>
  <c r="F1089" i="1"/>
  <c r="D1089" i="1"/>
  <c r="E1089" i="1" s="1"/>
  <c r="F1088" i="1"/>
  <c r="D1088" i="1"/>
  <c r="E1088" i="1" s="1"/>
  <c r="F1087" i="1"/>
  <c r="D1087" i="1"/>
  <c r="E1087" i="1" s="1"/>
  <c r="F1086" i="1"/>
  <c r="D1086" i="1"/>
  <c r="E1086" i="1" s="1"/>
  <c r="F1085" i="1"/>
  <c r="D1085" i="1"/>
  <c r="E1085" i="1" s="1"/>
  <c r="F1084" i="1"/>
  <c r="D1084" i="1"/>
  <c r="E1084" i="1" s="1"/>
  <c r="F1083" i="1"/>
  <c r="D1083" i="1"/>
  <c r="E1083" i="1" s="1"/>
  <c r="F1082" i="1"/>
  <c r="D1082" i="1"/>
  <c r="E1082" i="1" s="1"/>
  <c r="F1081" i="1"/>
  <c r="D1081" i="1"/>
  <c r="E1081" i="1" s="1"/>
  <c r="F1080" i="1"/>
  <c r="D1080" i="1"/>
  <c r="E1080" i="1" s="1"/>
  <c r="F1079" i="1"/>
  <c r="D1079" i="1"/>
  <c r="E1079" i="1" s="1"/>
  <c r="F1078" i="1"/>
  <c r="D1078" i="1"/>
  <c r="E1078" i="1" s="1"/>
  <c r="F1077" i="1"/>
  <c r="D1077" i="1"/>
  <c r="E1077" i="1" s="1"/>
  <c r="F1076" i="1"/>
  <c r="D1076" i="1"/>
  <c r="E1076" i="1" s="1"/>
  <c r="Z1075" i="1"/>
  <c r="AA1075" i="1" s="1"/>
  <c r="Y1075" i="1"/>
  <c r="F1075" i="1"/>
  <c r="D1075" i="1"/>
  <c r="E1075" i="1" s="1"/>
  <c r="Z1074" i="1"/>
  <c r="AB1074" i="1" s="1"/>
  <c r="Y1074" i="1"/>
  <c r="F1074" i="1"/>
  <c r="D1074" i="1"/>
  <c r="E1074" i="1" s="1"/>
  <c r="Z1073" i="1"/>
  <c r="AA1073" i="1" s="1"/>
  <c r="Y1073" i="1"/>
  <c r="F1073" i="1"/>
  <c r="D1073" i="1"/>
  <c r="E1073" i="1" s="1"/>
  <c r="F1072" i="1"/>
  <c r="D1072" i="1"/>
  <c r="E1072" i="1" s="1"/>
  <c r="F1071" i="1"/>
  <c r="D1071" i="1"/>
  <c r="E1071" i="1" s="1"/>
  <c r="F1070" i="1"/>
  <c r="D1070" i="1"/>
  <c r="E1070" i="1" s="1"/>
  <c r="F1069" i="1"/>
  <c r="D1069" i="1"/>
  <c r="E1069" i="1" s="1"/>
  <c r="F1068" i="1"/>
  <c r="D1068" i="1"/>
  <c r="E1068" i="1" s="1"/>
  <c r="F1067" i="1"/>
  <c r="D1067" i="1"/>
  <c r="E1067" i="1" s="1"/>
  <c r="Z1066" i="1"/>
  <c r="AA1066" i="1" s="1"/>
  <c r="Y1066" i="1"/>
  <c r="F1066" i="1"/>
  <c r="D1066" i="1"/>
  <c r="E1066" i="1" s="1"/>
  <c r="Z1065" i="1"/>
  <c r="AB1065" i="1" s="1"/>
  <c r="Y1065" i="1"/>
  <c r="F1065" i="1"/>
  <c r="D1065" i="1"/>
  <c r="E1065" i="1" s="1"/>
  <c r="Z1064" i="1"/>
  <c r="AB1064" i="1" s="1"/>
  <c r="Y1064" i="1"/>
  <c r="F1064" i="1"/>
  <c r="D1064" i="1"/>
  <c r="E1064" i="1" s="1"/>
  <c r="F1063" i="1"/>
  <c r="D1063" i="1"/>
  <c r="E1063" i="1" s="1"/>
  <c r="F1062" i="1"/>
  <c r="D1062" i="1"/>
  <c r="E1062" i="1" s="1"/>
  <c r="F1061" i="1"/>
  <c r="D1061" i="1"/>
  <c r="E1061" i="1" s="1"/>
  <c r="F1060" i="1"/>
  <c r="D1060" i="1"/>
  <c r="E1060" i="1" s="1"/>
  <c r="F1059" i="1"/>
  <c r="D1059" i="1"/>
  <c r="E1059" i="1" s="1"/>
  <c r="Z1058" i="1"/>
  <c r="AB1058" i="1" s="1"/>
  <c r="Y1058" i="1"/>
  <c r="F1058" i="1"/>
  <c r="D1058" i="1"/>
  <c r="E1058" i="1" s="1"/>
  <c r="Z1057" i="1"/>
  <c r="AB1057" i="1" s="1"/>
  <c r="Y1057" i="1"/>
  <c r="F1057" i="1"/>
  <c r="D1057" i="1"/>
  <c r="E1057" i="1" s="1"/>
  <c r="F1056" i="1"/>
  <c r="D1056" i="1"/>
  <c r="E1056" i="1" s="1"/>
  <c r="Z1056" i="1"/>
  <c r="AA1056" i="1" s="1"/>
  <c r="Y1056" i="1"/>
  <c r="Z1055" i="1"/>
  <c r="AA1055" i="1" s="1"/>
  <c r="Y1055" i="1"/>
  <c r="F1055" i="1"/>
  <c r="D1055" i="1"/>
  <c r="E1055" i="1" s="1"/>
  <c r="Z1054" i="1"/>
  <c r="AA1054" i="1" s="1"/>
  <c r="Y1054" i="1"/>
  <c r="F1054" i="1"/>
  <c r="D1054" i="1"/>
  <c r="E1054" i="1" s="1"/>
  <c r="Z1053" i="1"/>
  <c r="AB1053" i="1" s="1"/>
  <c r="Y1053" i="1"/>
  <c r="F1053" i="1"/>
  <c r="D1053" i="1"/>
  <c r="E1053" i="1" s="1"/>
  <c r="F1052" i="1"/>
  <c r="D1052" i="1"/>
  <c r="E1052" i="1" s="1"/>
  <c r="F1051" i="1"/>
  <c r="D1051" i="1"/>
  <c r="E1051" i="1" s="1"/>
  <c r="F1050" i="1"/>
  <c r="D1050" i="1"/>
  <c r="E1050" i="1" s="1"/>
  <c r="F1049" i="1"/>
  <c r="D1049" i="1"/>
  <c r="E1049" i="1" s="1"/>
  <c r="Y1049" i="1"/>
  <c r="Z1049" i="1"/>
  <c r="AA1049" i="1" s="1"/>
  <c r="Y1050" i="1"/>
  <c r="Z1050" i="1"/>
  <c r="AA1050" i="1" s="1"/>
  <c r="Y1051" i="1"/>
  <c r="Z1051" i="1"/>
  <c r="AA1051" i="1" s="1"/>
  <c r="Y1052" i="1"/>
  <c r="Z1052" i="1"/>
  <c r="AA1052" i="1" s="1"/>
  <c r="Y1059" i="1"/>
  <c r="Z1059" i="1"/>
  <c r="AA1059" i="1" s="1"/>
  <c r="Y1060" i="1"/>
  <c r="Z1060" i="1"/>
  <c r="AA1060" i="1" s="1"/>
  <c r="Y1061" i="1"/>
  <c r="Z1061" i="1"/>
  <c r="AA1061" i="1" s="1"/>
  <c r="Y1062" i="1"/>
  <c r="Z1062" i="1"/>
  <c r="AA1062" i="1" s="1"/>
  <c r="Y1063" i="1"/>
  <c r="Z1063" i="1"/>
  <c r="AA1063" i="1" s="1"/>
  <c r="Y1067" i="1"/>
  <c r="Z1067" i="1"/>
  <c r="AA1067" i="1" s="1"/>
  <c r="Y1068" i="1"/>
  <c r="Z1068" i="1"/>
  <c r="AA1068" i="1" s="1"/>
  <c r="Y1069" i="1"/>
  <c r="Z1069" i="1"/>
  <c r="AA1069" i="1" s="1"/>
  <c r="Y1070" i="1"/>
  <c r="Z1070" i="1"/>
  <c r="AA1070" i="1" s="1"/>
  <c r="Y1071" i="1"/>
  <c r="Z1071" i="1"/>
  <c r="AA1071" i="1" s="1"/>
  <c r="Y1072" i="1"/>
  <c r="Z1072" i="1"/>
  <c r="AA1072" i="1" s="1"/>
  <c r="Y1076" i="1"/>
  <c r="Z1076" i="1"/>
  <c r="AA1076" i="1" s="1"/>
  <c r="Y1077" i="1"/>
  <c r="Z1077" i="1"/>
  <c r="AA1077" i="1" s="1"/>
  <c r="Y1078" i="1"/>
  <c r="Z1078" i="1"/>
  <c r="AA1078" i="1" s="1"/>
  <c r="Y1079" i="1"/>
  <c r="Z1079" i="1"/>
  <c r="AA1079" i="1" s="1"/>
  <c r="Y1080" i="1"/>
  <c r="Z1080" i="1"/>
  <c r="AA1080" i="1" s="1"/>
  <c r="Y1081" i="1"/>
  <c r="Z1081" i="1"/>
  <c r="AA1081" i="1" s="1"/>
  <c r="Y1082" i="1"/>
  <c r="Z1082" i="1"/>
  <c r="AA1082" i="1" s="1"/>
  <c r="Y1083" i="1"/>
  <c r="Z1083" i="1"/>
  <c r="AA1083" i="1" s="1"/>
  <c r="Y1084" i="1"/>
  <c r="Z1084" i="1"/>
  <c r="AA1084" i="1" s="1"/>
  <c r="Y1085" i="1"/>
  <c r="Z1085" i="1"/>
  <c r="AA1085" i="1" s="1"/>
  <c r="Y1086" i="1"/>
  <c r="Z1086" i="1"/>
  <c r="AA1086" i="1" s="1"/>
  <c r="Y1087" i="1"/>
  <c r="Z1087" i="1"/>
  <c r="AA1087" i="1" s="1"/>
  <c r="Y1088" i="1"/>
  <c r="Z1088" i="1"/>
  <c r="AA1088" i="1" s="1"/>
  <c r="Y1089" i="1"/>
  <c r="Z1089" i="1"/>
  <c r="AA1089" i="1" s="1"/>
  <c r="Y1091" i="1"/>
  <c r="Z1091" i="1"/>
  <c r="AA1091" i="1" s="1"/>
  <c r="F1048" i="1"/>
  <c r="D1048" i="1"/>
  <c r="E1048" i="1" s="1"/>
  <c r="F1047" i="1"/>
  <c r="D1047" i="1"/>
  <c r="E1047" i="1" s="1"/>
  <c r="F1046" i="1"/>
  <c r="D1046" i="1"/>
  <c r="E1046" i="1" s="1"/>
  <c r="F1045" i="1"/>
  <c r="D1045" i="1"/>
  <c r="E1045" i="1" s="1"/>
  <c r="AB1326" i="1" l="1"/>
  <c r="AA1340" i="1"/>
  <c r="AA1338" i="1"/>
  <c r="AA1336" i="1"/>
  <c r="AA1334" i="1"/>
  <c r="AA1332" i="1"/>
  <c r="AA1331" i="1"/>
  <c r="AA1330" i="1"/>
  <c r="AA1329" i="1"/>
  <c r="AA1327" i="1"/>
  <c r="AA1339" i="1"/>
  <c r="AA1337" i="1"/>
  <c r="AA1335" i="1"/>
  <c r="AA1333" i="1"/>
  <c r="AA1328" i="1"/>
  <c r="AA1325" i="1"/>
  <c r="AA1324" i="1"/>
  <c r="AA1323" i="1"/>
  <c r="AA1322" i="1"/>
  <c r="AA1321" i="1"/>
  <c r="AA1320" i="1"/>
  <c r="AA1319" i="1"/>
  <c r="AA1318" i="1"/>
  <c r="AA1317" i="1"/>
  <c r="AA1316" i="1"/>
  <c r="AA1315" i="1"/>
  <c r="AA1314" i="1"/>
  <c r="AA1313" i="1"/>
  <c r="AA1312" i="1"/>
  <c r="AA1311" i="1"/>
  <c r="AA1310" i="1"/>
  <c r="AA1309" i="1"/>
  <c r="AA1308" i="1"/>
  <c r="AA1307" i="1"/>
  <c r="AA1306" i="1"/>
  <c r="AA1305" i="1"/>
  <c r="AA1304" i="1"/>
  <c r="AA1303" i="1"/>
  <c r="AA1302" i="1"/>
  <c r="AA1301" i="1"/>
  <c r="AA1300" i="1"/>
  <c r="AA1299" i="1"/>
  <c r="AA1298" i="1"/>
  <c r="AA1297" i="1"/>
  <c r="AA1296" i="1"/>
  <c r="AA1295" i="1"/>
  <c r="AA1294" i="1"/>
  <c r="AA1293" i="1"/>
  <c r="AB1073" i="1"/>
  <c r="AB1150" i="1"/>
  <c r="AA1053" i="1"/>
  <c r="AA1292" i="1"/>
  <c r="AA1291" i="1"/>
  <c r="AA1290" i="1"/>
  <c r="AA1289" i="1"/>
  <c r="AA1288" i="1"/>
  <c r="AA1287" i="1"/>
  <c r="AA1286" i="1"/>
  <c r="AA1285" i="1"/>
  <c r="AA1284" i="1"/>
  <c r="AA1283" i="1"/>
  <c r="AA1282" i="1"/>
  <c r="AA1281" i="1"/>
  <c r="AA1280" i="1"/>
  <c r="AA1279" i="1"/>
  <c r="AA1278" i="1"/>
  <c r="AA1277" i="1"/>
  <c r="AA1276" i="1"/>
  <c r="AA1275" i="1"/>
  <c r="AA1274" i="1"/>
  <c r="AA1273" i="1"/>
  <c r="AA1272" i="1"/>
  <c r="AA1271" i="1"/>
  <c r="AA1270" i="1"/>
  <c r="AA1269" i="1"/>
  <c r="AA1268" i="1"/>
  <c r="AA1267" i="1"/>
  <c r="AA1266" i="1"/>
  <c r="AA1265" i="1"/>
  <c r="AA1264" i="1"/>
  <c r="AA1263" i="1"/>
  <c r="AA1262" i="1"/>
  <c r="AA1261" i="1"/>
  <c r="AA1260" i="1"/>
  <c r="AA1259" i="1"/>
  <c r="AA1258" i="1"/>
  <c r="AA1257" i="1"/>
  <c r="AA1256" i="1"/>
  <c r="AA1255" i="1"/>
  <c r="AA1254" i="1"/>
  <c r="AA1253" i="1"/>
  <c r="AA1252" i="1"/>
  <c r="AA1251" i="1"/>
  <c r="AA1250" i="1"/>
  <c r="AA1249" i="1"/>
  <c r="AA1248" i="1"/>
  <c r="AA1247" i="1"/>
  <c r="AA1246" i="1"/>
  <c r="AB1054" i="1"/>
  <c r="AA1234" i="1"/>
  <c r="AA1058" i="1"/>
  <c r="AB1075" i="1"/>
  <c r="AB1093" i="1"/>
  <c r="AA1201" i="1"/>
  <c r="AA1233" i="1"/>
  <c r="AA1245" i="1"/>
  <c r="AA1244" i="1"/>
  <c r="AA1243" i="1"/>
  <c r="AA1242" i="1"/>
  <c r="AA1241" i="1"/>
  <c r="AA1240" i="1"/>
  <c r="AA1239" i="1"/>
  <c r="AA1238" i="1"/>
  <c r="AA1237" i="1"/>
  <c r="AA1236" i="1"/>
  <c r="AA1235" i="1"/>
  <c r="AA1232" i="1"/>
  <c r="AA1231" i="1"/>
  <c r="AA1230" i="1"/>
  <c r="AA1229" i="1"/>
  <c r="AA1228" i="1"/>
  <c r="AA1227" i="1"/>
  <c r="AA1226" i="1"/>
  <c r="AA1225" i="1"/>
  <c r="AA1224" i="1"/>
  <c r="AA1223" i="1"/>
  <c r="AA1222" i="1"/>
  <c r="AA1221" i="1"/>
  <c r="AA1220" i="1"/>
  <c r="AA1219" i="1"/>
  <c r="AA1218" i="1"/>
  <c r="AA1217" i="1"/>
  <c r="AA1216" i="1"/>
  <c r="AA1215" i="1"/>
  <c r="AA1214" i="1"/>
  <c r="AA1213" i="1"/>
  <c r="AA1212" i="1"/>
  <c r="AA1211" i="1"/>
  <c r="AA1210" i="1"/>
  <c r="AA1209" i="1"/>
  <c r="AA1208" i="1"/>
  <c r="AA1207" i="1"/>
  <c r="AA1206" i="1"/>
  <c r="AA1205" i="1"/>
  <c r="AA1204" i="1"/>
  <c r="AA1203" i="1"/>
  <c r="AA1202" i="1"/>
  <c r="AA1200" i="1"/>
  <c r="AA1199" i="1"/>
  <c r="AA1198" i="1"/>
  <c r="AA1197" i="1"/>
  <c r="AA1196" i="1"/>
  <c r="AA1195" i="1"/>
  <c r="AA1194" i="1"/>
  <c r="AA1193" i="1"/>
  <c r="AA1192" i="1"/>
  <c r="AA1191" i="1"/>
  <c r="AA1190" i="1"/>
  <c r="AA1189" i="1"/>
  <c r="AA1188" i="1"/>
  <c r="AA1186" i="1"/>
  <c r="AA1185" i="1"/>
  <c r="AA1184" i="1"/>
  <c r="AA1183" i="1"/>
  <c r="AA1182" i="1"/>
  <c r="AA1181" i="1"/>
  <c r="AA1180" i="1"/>
  <c r="AA1179" i="1"/>
  <c r="AA1178" i="1"/>
  <c r="AA1177" i="1"/>
  <c r="AB1162" i="1"/>
  <c r="AB1055" i="1"/>
  <c r="AA1090" i="1"/>
  <c r="AA1057" i="1"/>
  <c r="AA1176" i="1"/>
  <c r="AA1174" i="1"/>
  <c r="AA1172" i="1"/>
  <c r="AA1170" i="1"/>
  <c r="AA1167" i="1"/>
  <c r="AA1156" i="1"/>
  <c r="AA1175" i="1"/>
  <c r="AA1173" i="1"/>
  <c r="AA1171" i="1"/>
  <c r="AA1169" i="1"/>
  <c r="AA1168" i="1"/>
  <c r="AA1166" i="1"/>
  <c r="AA1165" i="1"/>
  <c r="AA1164" i="1"/>
  <c r="AA1163" i="1"/>
  <c r="AA1161" i="1"/>
  <c r="AA1160" i="1"/>
  <c r="AA1159" i="1"/>
  <c r="AA1158" i="1"/>
  <c r="AA1157" i="1"/>
  <c r="AA1155" i="1"/>
  <c r="AA1153" i="1"/>
  <c r="AA1154" i="1"/>
  <c r="AA1152" i="1"/>
  <c r="AA1151" i="1"/>
  <c r="AA1149" i="1"/>
  <c r="AA1148" i="1"/>
  <c r="AA1147" i="1"/>
  <c r="AA1146" i="1"/>
  <c r="AA1145" i="1"/>
  <c r="AA1144" i="1"/>
  <c r="AA1142" i="1"/>
  <c r="AA1143" i="1"/>
  <c r="AB1086" i="1"/>
  <c r="AB1079" i="1"/>
  <c r="AA1074" i="1"/>
  <c r="AA1141" i="1"/>
  <c r="AA1140" i="1"/>
  <c r="AA1139" i="1"/>
  <c r="AA1138" i="1"/>
  <c r="AA1137" i="1"/>
  <c r="AA1136" i="1"/>
  <c r="AA1135" i="1"/>
  <c r="AA1134" i="1"/>
  <c r="AA1133" i="1"/>
  <c r="AA1132" i="1"/>
  <c r="AA1131" i="1"/>
  <c r="AA1130" i="1"/>
  <c r="AA1129" i="1"/>
  <c r="AA1128" i="1"/>
  <c r="AA1127" i="1"/>
  <c r="AA1126" i="1"/>
  <c r="AA1125" i="1"/>
  <c r="AA1124" i="1"/>
  <c r="AA1123" i="1"/>
  <c r="AA1122" i="1"/>
  <c r="AA1121" i="1"/>
  <c r="AA1120" i="1"/>
  <c r="AA1119" i="1"/>
  <c r="AA1096" i="1"/>
  <c r="AA1118" i="1"/>
  <c r="AA1117" i="1"/>
  <c r="AA1116" i="1"/>
  <c r="AA1115" i="1"/>
  <c r="AA1114" i="1"/>
  <c r="AA1113" i="1"/>
  <c r="AA1112" i="1"/>
  <c r="AA1111" i="1"/>
  <c r="AA1110" i="1"/>
  <c r="AA1109" i="1"/>
  <c r="AA1108" i="1"/>
  <c r="AA1107" i="1"/>
  <c r="AA1106" i="1"/>
  <c r="AA1105" i="1"/>
  <c r="AA1104" i="1"/>
  <c r="AA1103" i="1"/>
  <c r="AA1102" i="1"/>
  <c r="AA1101" i="1"/>
  <c r="AA1100" i="1"/>
  <c r="AA1099" i="1"/>
  <c r="AA1098" i="1"/>
  <c r="AA1097" i="1"/>
  <c r="AA1095" i="1"/>
  <c r="AA1092" i="1"/>
  <c r="AB1094" i="1"/>
  <c r="AB1091" i="1"/>
  <c r="AB1089" i="1"/>
  <c r="AB1088" i="1"/>
  <c r="AB1087" i="1"/>
  <c r="AB1085" i="1"/>
  <c r="AB1084" i="1"/>
  <c r="AB1083" i="1"/>
  <c r="AB1082" i="1"/>
  <c r="AB1081" i="1"/>
  <c r="AB1080" i="1"/>
  <c r="AB1078" i="1"/>
  <c r="AB1077" i="1"/>
  <c r="AB1076" i="1"/>
  <c r="AB1072" i="1"/>
  <c r="AB1071" i="1"/>
  <c r="AB1070" i="1"/>
  <c r="AA1065" i="1"/>
  <c r="AB1069" i="1"/>
  <c r="AB1068" i="1"/>
  <c r="AB1067" i="1"/>
  <c r="AA1064" i="1"/>
  <c r="AB1066" i="1"/>
  <c r="AB1063" i="1"/>
  <c r="AB1062" i="1"/>
  <c r="AB1061" i="1"/>
  <c r="AB1060" i="1"/>
  <c r="AB1059" i="1"/>
  <c r="AB1056" i="1"/>
  <c r="AB1052" i="1"/>
  <c r="AB1051" i="1"/>
  <c r="AB1050" i="1"/>
  <c r="AB1049" i="1"/>
  <c r="F1044" i="1"/>
  <c r="D1044" i="1"/>
  <c r="E1044" i="1" s="1"/>
  <c r="D1043" i="1"/>
  <c r="E1043" i="1" s="1"/>
  <c r="F1043" i="1"/>
  <c r="F1042" i="1"/>
  <c r="D1042" i="1"/>
  <c r="E1042" i="1" s="1"/>
  <c r="F1041" i="1"/>
  <c r="D1041" i="1"/>
  <c r="E1041" i="1" s="1"/>
  <c r="F1040" i="1"/>
  <c r="D1040" i="1"/>
  <c r="E1040" i="1" s="1"/>
  <c r="F1039" i="1"/>
  <c r="D1039" i="1"/>
  <c r="E1039" i="1" s="1"/>
  <c r="F1038" i="1"/>
  <c r="D1038" i="1"/>
  <c r="E1038" i="1" s="1"/>
  <c r="F1037" i="1"/>
  <c r="D1037" i="1"/>
  <c r="E1037" i="1" s="1"/>
  <c r="F1036" i="1"/>
  <c r="D1036" i="1"/>
  <c r="E1036" i="1" s="1"/>
  <c r="F1035" i="1"/>
  <c r="D1035" i="1"/>
  <c r="E1035" i="1" s="1"/>
  <c r="F1034" i="1"/>
  <c r="D1034" i="1"/>
  <c r="E1034" i="1" s="1"/>
  <c r="Y1027" i="1"/>
  <c r="Z1027" i="1"/>
  <c r="AB1027" i="1" s="1"/>
  <c r="Y1028" i="1"/>
  <c r="Z1028" i="1"/>
  <c r="AB1028" i="1" s="1"/>
  <c r="Y1029" i="1"/>
  <c r="Z1029" i="1"/>
  <c r="AB1029" i="1" s="1"/>
  <c r="Y1030" i="1"/>
  <c r="Z1030" i="1"/>
  <c r="AB1030" i="1" s="1"/>
  <c r="Y1031" i="1"/>
  <c r="Z1031" i="1"/>
  <c r="AB1031" i="1" s="1"/>
  <c r="Y1032" i="1"/>
  <c r="Z1032" i="1"/>
  <c r="AB1032" i="1" s="1"/>
  <c r="Y1033" i="1"/>
  <c r="Z1033" i="1"/>
  <c r="AB1033" i="1" s="1"/>
  <c r="Y1034" i="1"/>
  <c r="Z1034" i="1"/>
  <c r="AB1034" i="1" s="1"/>
  <c r="Y1035" i="1"/>
  <c r="Z1035" i="1"/>
  <c r="AB1035" i="1" s="1"/>
  <c r="Y1036" i="1"/>
  <c r="Z1036" i="1"/>
  <c r="AB1036" i="1" s="1"/>
  <c r="Y1037" i="1"/>
  <c r="Z1037" i="1"/>
  <c r="AB1037" i="1" s="1"/>
  <c r="Y1038" i="1"/>
  <c r="Z1038" i="1"/>
  <c r="AB1038" i="1" s="1"/>
  <c r="Y1039" i="1"/>
  <c r="Z1039" i="1"/>
  <c r="AB1039" i="1" s="1"/>
  <c r="Y1040" i="1"/>
  <c r="Z1040" i="1"/>
  <c r="AB1040" i="1" s="1"/>
  <c r="Y1041" i="1"/>
  <c r="Z1041" i="1"/>
  <c r="AB1041" i="1" s="1"/>
  <c r="Y1042" i="1"/>
  <c r="Z1042" i="1"/>
  <c r="AB1042" i="1" s="1"/>
  <c r="Y1043" i="1"/>
  <c r="Z1043" i="1"/>
  <c r="AB1043" i="1" s="1"/>
  <c r="Y1044" i="1"/>
  <c r="Z1044" i="1"/>
  <c r="AB1044" i="1" s="1"/>
  <c r="Y1045" i="1"/>
  <c r="Z1045" i="1"/>
  <c r="AB1045" i="1" s="1"/>
  <c r="Y1046" i="1"/>
  <c r="Z1046" i="1"/>
  <c r="AB1046" i="1" s="1"/>
  <c r="Y1047" i="1"/>
  <c r="Z1047" i="1"/>
  <c r="AB1047" i="1" s="1"/>
  <c r="Y1048" i="1"/>
  <c r="Z1048" i="1"/>
  <c r="AB1048" i="1" s="1"/>
  <c r="Y963" i="1"/>
  <c r="F963" i="1"/>
  <c r="D963" i="1"/>
  <c r="E963" i="1" s="1"/>
  <c r="F1033" i="1"/>
  <c r="D1033" i="1"/>
  <c r="E1033" i="1" s="1"/>
  <c r="F1032" i="1"/>
  <c r="D1032" i="1"/>
  <c r="E1032" i="1" s="1"/>
  <c r="F1031" i="1"/>
  <c r="D1031" i="1"/>
  <c r="E1031" i="1" s="1"/>
  <c r="F1030" i="1"/>
  <c r="D1030" i="1"/>
  <c r="E1030" i="1" s="1"/>
  <c r="F1029" i="1"/>
  <c r="D1029" i="1"/>
  <c r="E1029" i="1" s="1"/>
  <c r="F1028" i="1"/>
  <c r="D1028" i="1"/>
  <c r="E1028" i="1" s="1"/>
  <c r="F1027" i="1"/>
  <c r="D1027" i="1"/>
  <c r="E1027" i="1" s="1"/>
  <c r="F1026" i="1"/>
  <c r="D1026" i="1"/>
  <c r="E1026" i="1" s="1"/>
  <c r="F1025" i="1"/>
  <c r="D1025" i="1"/>
  <c r="E1025" i="1" s="1"/>
  <c r="F1024" i="1"/>
  <c r="D1024" i="1"/>
  <c r="E1024" i="1" s="1"/>
  <c r="F1023" i="1"/>
  <c r="D1023" i="1"/>
  <c r="E1023" i="1" s="1"/>
  <c r="F1022" i="1"/>
  <c r="D1022" i="1"/>
  <c r="E1022" i="1" s="1"/>
  <c r="F1021" i="1"/>
  <c r="D1021" i="1"/>
  <c r="E1021" i="1" s="1"/>
  <c r="F1020" i="1"/>
  <c r="D1020" i="1"/>
  <c r="E1020" i="1" s="1"/>
  <c r="F1019" i="1"/>
  <c r="D1019" i="1"/>
  <c r="E1019" i="1" s="1"/>
  <c r="F1018" i="1"/>
  <c r="D1018" i="1"/>
  <c r="E1018" i="1" s="1"/>
  <c r="F1017" i="1"/>
  <c r="D1017" i="1"/>
  <c r="E1017" i="1" s="1"/>
  <c r="F1016" i="1"/>
  <c r="D1016" i="1"/>
  <c r="E1016" i="1" s="1"/>
  <c r="F1015" i="1"/>
  <c r="D1015" i="1"/>
  <c r="E1015" i="1" s="1"/>
  <c r="F1014" i="1"/>
  <c r="D1014" i="1"/>
  <c r="E1014" i="1" s="1"/>
  <c r="F1013" i="1"/>
  <c r="D1013" i="1"/>
  <c r="E1013" i="1" s="1"/>
  <c r="F1012" i="1"/>
  <c r="D1012" i="1"/>
  <c r="E1012" i="1" s="1"/>
  <c r="F1011" i="1"/>
  <c r="D1011" i="1"/>
  <c r="E1011" i="1" s="1"/>
  <c r="F1010" i="1"/>
  <c r="D1010" i="1"/>
  <c r="E1010" i="1" s="1"/>
  <c r="F1009" i="1"/>
  <c r="D1009" i="1"/>
  <c r="E1009" i="1" s="1"/>
  <c r="F1008" i="1"/>
  <c r="D1008" i="1"/>
  <c r="E1008" i="1" s="1"/>
  <c r="F1007" i="1"/>
  <c r="D1007" i="1"/>
  <c r="E1007" i="1" s="1"/>
  <c r="F1006" i="1"/>
  <c r="D1006" i="1"/>
  <c r="E1006" i="1" s="1"/>
  <c r="F1005" i="1"/>
  <c r="D1005" i="1"/>
  <c r="E1005" i="1" s="1"/>
  <c r="F1004" i="1"/>
  <c r="D1004" i="1"/>
  <c r="E1004" i="1" s="1"/>
  <c r="F1003" i="1"/>
  <c r="D1003" i="1"/>
  <c r="E1003" i="1" s="1"/>
  <c r="F1002" i="1"/>
  <c r="D1002" i="1"/>
  <c r="E1002" i="1" s="1"/>
  <c r="F1001" i="1"/>
  <c r="D1001" i="1"/>
  <c r="E1001" i="1" s="1"/>
  <c r="F1000" i="1"/>
  <c r="D1000" i="1"/>
  <c r="E1000" i="1" s="1"/>
  <c r="F999" i="1"/>
  <c r="D999" i="1"/>
  <c r="E999" i="1" s="1"/>
  <c r="F998" i="1"/>
  <c r="D998" i="1"/>
  <c r="E998" i="1" s="1"/>
  <c r="F997" i="1"/>
  <c r="D997" i="1"/>
  <c r="E997" i="1" s="1"/>
  <c r="AA1047" i="1" l="1"/>
  <c r="AA1045" i="1"/>
  <c r="AA1044" i="1"/>
  <c r="AA1043" i="1"/>
  <c r="AA1041" i="1"/>
  <c r="AA1040" i="1"/>
  <c r="AA1039" i="1"/>
  <c r="AA1038" i="1"/>
  <c r="AA1037" i="1"/>
  <c r="AA1036" i="1"/>
  <c r="AA1035" i="1"/>
  <c r="AA1034" i="1"/>
  <c r="AA1033" i="1"/>
  <c r="AA1032" i="1"/>
  <c r="AA1031" i="1"/>
  <c r="AA1030" i="1"/>
  <c r="AA1029" i="1"/>
  <c r="AA1028" i="1"/>
  <c r="AA1027" i="1"/>
  <c r="AA1048" i="1"/>
  <c r="AA1046" i="1"/>
  <c r="AA1042" i="1"/>
  <c r="F996" i="1"/>
  <c r="D996" i="1"/>
  <c r="E996" i="1" s="1"/>
  <c r="F995" i="1"/>
  <c r="D995" i="1"/>
  <c r="E995" i="1" s="1"/>
  <c r="F994" i="1"/>
  <c r="D994" i="1"/>
  <c r="E994" i="1" s="1"/>
  <c r="F993" i="1"/>
  <c r="D993" i="1"/>
  <c r="E993" i="1" s="1"/>
  <c r="F992" i="1"/>
  <c r="D992" i="1"/>
  <c r="E992" i="1" s="1"/>
  <c r="Y992" i="1"/>
  <c r="Z992" i="1"/>
  <c r="AB992" i="1" s="1"/>
  <c r="Y993" i="1"/>
  <c r="Z993" i="1"/>
  <c r="AB993" i="1" s="1"/>
  <c r="Y994" i="1"/>
  <c r="Z994" i="1"/>
  <c r="AB994" i="1" s="1"/>
  <c r="Y995" i="1"/>
  <c r="Z995" i="1"/>
  <c r="AB995" i="1" s="1"/>
  <c r="Y996" i="1"/>
  <c r="Z996" i="1"/>
  <c r="AB996" i="1" s="1"/>
  <c r="Y997" i="1"/>
  <c r="Z997" i="1"/>
  <c r="AB997" i="1" s="1"/>
  <c r="Y998" i="1"/>
  <c r="Z998" i="1"/>
  <c r="AB998" i="1" s="1"/>
  <c r="Y999" i="1"/>
  <c r="Z999" i="1"/>
  <c r="AB999" i="1" s="1"/>
  <c r="Y1000" i="1"/>
  <c r="Z1000" i="1"/>
  <c r="AB1000" i="1" s="1"/>
  <c r="Y1001" i="1"/>
  <c r="Z1001" i="1"/>
  <c r="AB1001" i="1" s="1"/>
  <c r="Y1002" i="1"/>
  <c r="Z1002" i="1"/>
  <c r="AB1002" i="1" s="1"/>
  <c r="Y1003" i="1"/>
  <c r="Z1003" i="1"/>
  <c r="AB1003" i="1" s="1"/>
  <c r="Y1004" i="1"/>
  <c r="Z1004" i="1"/>
  <c r="AB1004" i="1" s="1"/>
  <c r="Y1005" i="1"/>
  <c r="Z1005" i="1"/>
  <c r="AB1005" i="1" s="1"/>
  <c r="Y1006" i="1"/>
  <c r="Z1006" i="1"/>
  <c r="AB1006" i="1" s="1"/>
  <c r="Y1007" i="1"/>
  <c r="Z1007" i="1"/>
  <c r="AB1007" i="1" s="1"/>
  <c r="Y1008" i="1"/>
  <c r="Z1008" i="1"/>
  <c r="AB1008" i="1" s="1"/>
  <c r="Y1009" i="1"/>
  <c r="Z1009" i="1"/>
  <c r="AB1009" i="1" s="1"/>
  <c r="Y1010" i="1"/>
  <c r="Z1010" i="1"/>
  <c r="AB1010" i="1" s="1"/>
  <c r="Y1011" i="1"/>
  <c r="Z1011" i="1"/>
  <c r="AB1011" i="1" s="1"/>
  <c r="Y1012" i="1"/>
  <c r="Z1012" i="1"/>
  <c r="AB1012" i="1" s="1"/>
  <c r="Y1013" i="1"/>
  <c r="Z1013" i="1"/>
  <c r="AB1013" i="1" s="1"/>
  <c r="Y1014" i="1"/>
  <c r="Z1014" i="1"/>
  <c r="AB1014" i="1" s="1"/>
  <c r="Y1015" i="1"/>
  <c r="Z1015" i="1"/>
  <c r="AB1015" i="1" s="1"/>
  <c r="Y1016" i="1"/>
  <c r="Z1016" i="1"/>
  <c r="AB1016" i="1" s="1"/>
  <c r="Y1017" i="1"/>
  <c r="Z1017" i="1"/>
  <c r="AB1017" i="1" s="1"/>
  <c r="Y1018" i="1"/>
  <c r="Z1018" i="1"/>
  <c r="AB1018" i="1" s="1"/>
  <c r="Y1019" i="1"/>
  <c r="Z1019" i="1"/>
  <c r="AB1019" i="1" s="1"/>
  <c r="Y1020" i="1"/>
  <c r="Z1020" i="1"/>
  <c r="AB1020" i="1" s="1"/>
  <c r="Y1021" i="1"/>
  <c r="Z1021" i="1"/>
  <c r="AB1021" i="1" s="1"/>
  <c r="Y1022" i="1"/>
  <c r="Z1022" i="1"/>
  <c r="AB1022" i="1" s="1"/>
  <c r="Y1023" i="1"/>
  <c r="Z1023" i="1"/>
  <c r="AB1023" i="1" s="1"/>
  <c r="Y1024" i="1"/>
  <c r="Z1024" i="1"/>
  <c r="AB1024" i="1" s="1"/>
  <c r="Y1025" i="1"/>
  <c r="Z1025" i="1"/>
  <c r="AB1025" i="1" s="1"/>
  <c r="Y1026" i="1"/>
  <c r="Z1026" i="1"/>
  <c r="AB1026" i="1" s="1"/>
  <c r="F991" i="1"/>
  <c r="D991" i="1"/>
  <c r="E991" i="1" s="1"/>
  <c r="F990" i="1"/>
  <c r="D990" i="1"/>
  <c r="E990" i="1" s="1"/>
  <c r="F989" i="1"/>
  <c r="D989" i="1"/>
  <c r="E989" i="1" s="1"/>
  <c r="F988" i="1"/>
  <c r="D988" i="1"/>
  <c r="E988" i="1" s="1"/>
  <c r="F987" i="1"/>
  <c r="D987" i="1"/>
  <c r="E987" i="1" s="1"/>
  <c r="F986" i="1"/>
  <c r="D986" i="1"/>
  <c r="E986" i="1" s="1"/>
  <c r="F985" i="1"/>
  <c r="D985" i="1"/>
  <c r="E985" i="1" s="1"/>
  <c r="F984" i="1"/>
  <c r="D984" i="1"/>
  <c r="E984" i="1" s="1"/>
  <c r="F983" i="1"/>
  <c r="D983" i="1"/>
  <c r="E983" i="1" s="1"/>
  <c r="F982" i="1"/>
  <c r="D982" i="1"/>
  <c r="E982" i="1" s="1"/>
  <c r="Y982" i="1"/>
  <c r="Z982" i="1"/>
  <c r="AB982" i="1" s="1"/>
  <c r="F981" i="1"/>
  <c r="D981" i="1"/>
  <c r="E981" i="1" s="1"/>
  <c r="F980" i="1"/>
  <c r="D980" i="1"/>
  <c r="E980" i="1" s="1"/>
  <c r="F979" i="1"/>
  <c r="D979" i="1"/>
  <c r="E979" i="1" s="1"/>
  <c r="F978" i="1"/>
  <c r="D978" i="1"/>
  <c r="E978" i="1" s="1"/>
  <c r="F977" i="1"/>
  <c r="D977" i="1"/>
  <c r="E977" i="1" s="1"/>
  <c r="F976" i="1"/>
  <c r="D976" i="1"/>
  <c r="E976" i="1" s="1"/>
  <c r="F975" i="1"/>
  <c r="D975" i="1"/>
  <c r="E975" i="1" s="1"/>
  <c r="F974" i="1"/>
  <c r="D974" i="1"/>
  <c r="E974" i="1" s="1"/>
  <c r="F973" i="1"/>
  <c r="D973" i="1"/>
  <c r="E973" i="1" s="1"/>
  <c r="F972" i="1"/>
  <c r="D972" i="1"/>
  <c r="E972" i="1" s="1"/>
  <c r="F971" i="1"/>
  <c r="D971" i="1"/>
  <c r="E971" i="1" s="1"/>
  <c r="F970" i="1"/>
  <c r="D970" i="1"/>
  <c r="E970" i="1" s="1"/>
  <c r="F969" i="1"/>
  <c r="D969" i="1"/>
  <c r="E969" i="1" s="1"/>
  <c r="F968" i="1"/>
  <c r="D968" i="1"/>
  <c r="E968" i="1" s="1"/>
  <c r="D967" i="1"/>
  <c r="E967" i="1" s="1"/>
  <c r="F967" i="1"/>
  <c r="F966" i="1"/>
  <c r="D966" i="1"/>
  <c r="E966" i="1" s="1"/>
  <c r="Y970" i="1"/>
  <c r="Z970" i="1"/>
  <c r="AB970" i="1" s="1"/>
  <c r="Y971" i="1"/>
  <c r="Z971" i="1"/>
  <c r="AB971" i="1" s="1"/>
  <c r="Y972" i="1"/>
  <c r="Z972" i="1"/>
  <c r="AB972" i="1" s="1"/>
  <c r="Y973" i="1"/>
  <c r="Z973" i="1"/>
  <c r="AB973" i="1" s="1"/>
  <c r="Y974" i="1"/>
  <c r="Z974" i="1"/>
  <c r="AB974" i="1" s="1"/>
  <c r="Y975" i="1"/>
  <c r="Z975" i="1"/>
  <c r="AB975" i="1" s="1"/>
  <c r="Y976" i="1"/>
  <c r="Z976" i="1"/>
  <c r="AB976" i="1" s="1"/>
  <c r="Y977" i="1"/>
  <c r="Z977" i="1"/>
  <c r="AB977" i="1" s="1"/>
  <c r="Y978" i="1"/>
  <c r="Z978" i="1"/>
  <c r="AB978" i="1" s="1"/>
  <c r="Y979" i="1"/>
  <c r="Z979" i="1"/>
  <c r="AB979" i="1" s="1"/>
  <c r="Y980" i="1"/>
  <c r="Z980" i="1"/>
  <c r="AB980" i="1" s="1"/>
  <c r="Y981" i="1"/>
  <c r="Z981" i="1"/>
  <c r="AB981" i="1" s="1"/>
  <c r="Y983" i="1"/>
  <c r="Z983" i="1"/>
  <c r="AB983" i="1" s="1"/>
  <c r="Y984" i="1"/>
  <c r="Z984" i="1"/>
  <c r="AB984" i="1" s="1"/>
  <c r="Y985" i="1"/>
  <c r="Z985" i="1"/>
  <c r="AB985" i="1" s="1"/>
  <c r="Y986" i="1"/>
  <c r="Z986" i="1"/>
  <c r="AB986" i="1" s="1"/>
  <c r="Y987" i="1"/>
  <c r="Z987" i="1"/>
  <c r="AB987" i="1" s="1"/>
  <c r="Y988" i="1"/>
  <c r="Z988" i="1"/>
  <c r="AB988" i="1" s="1"/>
  <c r="Y989" i="1"/>
  <c r="Z989" i="1"/>
  <c r="AB989" i="1" s="1"/>
  <c r="Y990" i="1"/>
  <c r="Z990" i="1"/>
  <c r="AB990" i="1" s="1"/>
  <c r="Y991" i="1"/>
  <c r="Z991" i="1"/>
  <c r="AB991" i="1" s="1"/>
  <c r="Y935" i="1"/>
  <c r="Z935" i="1"/>
  <c r="AB935" i="1" s="1"/>
  <c r="Y936" i="1"/>
  <c r="Z936" i="1"/>
  <c r="AB936" i="1" s="1"/>
  <c r="Y937" i="1"/>
  <c r="Z937" i="1"/>
  <c r="AB937" i="1" s="1"/>
  <c r="Y938" i="1"/>
  <c r="Z938" i="1"/>
  <c r="AB938" i="1" s="1"/>
  <c r="Y939" i="1"/>
  <c r="Z939" i="1"/>
  <c r="AB939" i="1" s="1"/>
  <c r="Y940" i="1"/>
  <c r="Z940" i="1"/>
  <c r="AB940" i="1" s="1"/>
  <c r="Y941" i="1"/>
  <c r="Z941" i="1"/>
  <c r="AB941" i="1" s="1"/>
  <c r="Y942" i="1"/>
  <c r="Z942" i="1"/>
  <c r="AB942" i="1" s="1"/>
  <c r="Y943" i="1"/>
  <c r="Z943" i="1"/>
  <c r="AB943" i="1" s="1"/>
  <c r="Y944" i="1"/>
  <c r="Z944" i="1"/>
  <c r="AB944" i="1" s="1"/>
  <c r="Y945" i="1"/>
  <c r="Z945" i="1"/>
  <c r="AB945" i="1" s="1"/>
  <c r="Y946" i="1"/>
  <c r="Z946" i="1"/>
  <c r="AB946" i="1" s="1"/>
  <c r="Y947" i="1"/>
  <c r="Z947" i="1"/>
  <c r="AB947" i="1" s="1"/>
  <c r="Y948" i="1"/>
  <c r="Z948" i="1"/>
  <c r="AB948" i="1" s="1"/>
  <c r="Y949" i="1"/>
  <c r="Z949" i="1"/>
  <c r="AB949" i="1" s="1"/>
  <c r="Y950" i="1"/>
  <c r="Z950" i="1"/>
  <c r="AB950" i="1" s="1"/>
  <c r="Y951" i="1"/>
  <c r="Z951" i="1"/>
  <c r="AB951" i="1" s="1"/>
  <c r="Y952" i="1"/>
  <c r="Z952" i="1"/>
  <c r="AB952" i="1" s="1"/>
  <c r="Y953" i="1"/>
  <c r="Z953" i="1"/>
  <c r="AB953" i="1" s="1"/>
  <c r="Y954" i="1"/>
  <c r="Z954" i="1"/>
  <c r="AB954" i="1" s="1"/>
  <c r="Y955" i="1"/>
  <c r="Z955" i="1"/>
  <c r="AB955" i="1" s="1"/>
  <c r="Y956" i="1"/>
  <c r="Z956" i="1"/>
  <c r="AB956" i="1" s="1"/>
  <c r="Y957" i="1"/>
  <c r="Z957" i="1"/>
  <c r="AB957" i="1" s="1"/>
  <c r="Y958" i="1"/>
  <c r="Z958" i="1"/>
  <c r="AB958" i="1" s="1"/>
  <c r="Y959" i="1"/>
  <c r="Z959" i="1"/>
  <c r="AB959" i="1" s="1"/>
  <c r="Y960" i="1"/>
  <c r="Z960" i="1"/>
  <c r="AB960" i="1" s="1"/>
  <c r="Y961" i="1"/>
  <c r="Z961" i="1"/>
  <c r="AB961" i="1" s="1"/>
  <c r="Y962" i="1"/>
  <c r="Z962" i="1"/>
  <c r="AB962" i="1" s="1"/>
  <c r="Y964" i="1"/>
  <c r="Z964" i="1"/>
  <c r="AB964" i="1" s="1"/>
  <c r="Y965" i="1"/>
  <c r="Z965" i="1"/>
  <c r="AB965" i="1" s="1"/>
  <c r="Y966" i="1"/>
  <c r="Z966" i="1"/>
  <c r="AB966" i="1" s="1"/>
  <c r="Y967" i="1"/>
  <c r="Z967" i="1"/>
  <c r="AB967" i="1" s="1"/>
  <c r="Y968" i="1"/>
  <c r="Z968" i="1"/>
  <c r="AB968" i="1" s="1"/>
  <c r="Y969" i="1"/>
  <c r="Z969" i="1"/>
  <c r="AB969" i="1" s="1"/>
  <c r="F965" i="1"/>
  <c r="D965" i="1"/>
  <c r="E965" i="1" s="1"/>
  <c r="F964" i="1"/>
  <c r="D964" i="1"/>
  <c r="E964" i="1" s="1"/>
  <c r="F962" i="1"/>
  <c r="D962" i="1"/>
  <c r="E962" i="1" s="1"/>
  <c r="F961" i="1"/>
  <c r="D961" i="1"/>
  <c r="E961" i="1" s="1"/>
  <c r="F948" i="1"/>
  <c r="D948" i="1"/>
  <c r="E948" i="1" s="1"/>
  <c r="F949" i="1"/>
  <c r="D949" i="1"/>
  <c r="E949" i="1" s="1"/>
  <c r="F950" i="1"/>
  <c r="D950" i="1"/>
  <c r="E950" i="1" s="1"/>
  <c r="D951" i="1"/>
  <c r="E951" i="1" s="1"/>
  <c r="F951" i="1"/>
  <c r="F947" i="1"/>
  <c r="D947" i="1"/>
  <c r="E947" i="1" s="1"/>
  <c r="F960" i="1"/>
  <c r="D960" i="1"/>
  <c r="E960" i="1" s="1"/>
  <c r="F959" i="1"/>
  <c r="D959" i="1"/>
  <c r="E959" i="1" s="1"/>
  <c r="F958" i="1"/>
  <c r="D958" i="1"/>
  <c r="E958" i="1" s="1"/>
  <c r="F957" i="1"/>
  <c r="D957" i="1"/>
  <c r="E957" i="1" s="1"/>
  <c r="F956" i="1"/>
  <c r="D956" i="1"/>
  <c r="E956" i="1" s="1"/>
  <c r="F955" i="1"/>
  <c r="D955" i="1"/>
  <c r="E955" i="1" s="1"/>
  <c r="F954" i="1"/>
  <c r="D954" i="1"/>
  <c r="E954" i="1" s="1"/>
  <c r="F953" i="1"/>
  <c r="D953" i="1"/>
  <c r="E953" i="1" s="1"/>
  <c r="F952" i="1"/>
  <c r="D952" i="1"/>
  <c r="E952" i="1" s="1"/>
  <c r="D946" i="1"/>
  <c r="E946" i="1" s="1"/>
  <c r="F946" i="1"/>
  <c r="F945" i="1"/>
  <c r="D945" i="1"/>
  <c r="E945" i="1" s="1"/>
  <c r="F944" i="1"/>
  <c r="D944" i="1"/>
  <c r="E944" i="1" s="1"/>
  <c r="F943" i="1"/>
  <c r="D943" i="1"/>
  <c r="E943" i="1" s="1"/>
  <c r="F942" i="1"/>
  <c r="D942" i="1"/>
  <c r="E942" i="1" s="1"/>
  <c r="F941" i="1"/>
  <c r="D941" i="1"/>
  <c r="E941" i="1" s="1"/>
  <c r="F940" i="1"/>
  <c r="D940" i="1"/>
  <c r="E940" i="1" s="1"/>
  <c r="F939" i="1"/>
  <c r="D939" i="1"/>
  <c r="E939" i="1" s="1"/>
  <c r="F938" i="1"/>
  <c r="D938" i="1"/>
  <c r="E938" i="1" s="1"/>
  <c r="F937" i="1"/>
  <c r="D937" i="1"/>
  <c r="E937" i="1" s="1"/>
  <c r="F936" i="1"/>
  <c r="D936" i="1"/>
  <c r="E936" i="1" s="1"/>
  <c r="F935" i="1"/>
  <c r="D935" i="1"/>
  <c r="E935" i="1" s="1"/>
  <c r="F934" i="1"/>
  <c r="D934" i="1"/>
  <c r="E934" i="1" s="1"/>
  <c r="F933" i="1"/>
  <c r="D933" i="1"/>
  <c r="E933" i="1" s="1"/>
  <c r="F932" i="1"/>
  <c r="D932" i="1"/>
  <c r="E932" i="1" s="1"/>
  <c r="F931" i="1"/>
  <c r="D931" i="1"/>
  <c r="E931" i="1" s="1"/>
  <c r="F930" i="1"/>
  <c r="D930" i="1"/>
  <c r="E930" i="1" s="1"/>
  <c r="F929" i="1"/>
  <c r="D929" i="1"/>
  <c r="E929" i="1" s="1"/>
  <c r="F928" i="1"/>
  <c r="D928" i="1"/>
  <c r="E928" i="1" s="1"/>
  <c r="F927" i="1"/>
  <c r="D927" i="1"/>
  <c r="E927" i="1" s="1"/>
  <c r="F926" i="1"/>
  <c r="D926" i="1"/>
  <c r="E926" i="1" s="1"/>
  <c r="F925" i="1"/>
  <c r="D925" i="1"/>
  <c r="E925" i="1" s="1"/>
  <c r="F924" i="1"/>
  <c r="D924" i="1"/>
  <c r="E924" i="1" s="1"/>
  <c r="F923" i="1"/>
  <c r="D923" i="1"/>
  <c r="E923" i="1" s="1"/>
  <c r="F922" i="1"/>
  <c r="D922" i="1"/>
  <c r="E922" i="1" s="1"/>
  <c r="F921" i="1"/>
  <c r="D921" i="1"/>
  <c r="E921" i="1" s="1"/>
  <c r="F920" i="1"/>
  <c r="D920" i="1"/>
  <c r="E920" i="1" s="1"/>
  <c r="F919" i="1"/>
  <c r="D919" i="1"/>
  <c r="E919" i="1" s="1"/>
  <c r="Y920" i="1"/>
  <c r="Z920" i="1"/>
  <c r="AB920" i="1" s="1"/>
  <c r="Y921" i="1"/>
  <c r="Z921" i="1"/>
  <c r="AB921" i="1" s="1"/>
  <c r="Y922" i="1"/>
  <c r="Z922" i="1"/>
  <c r="AB922" i="1" s="1"/>
  <c r="Y923" i="1"/>
  <c r="Z923" i="1"/>
  <c r="AB923" i="1" s="1"/>
  <c r="Y924" i="1"/>
  <c r="Z924" i="1"/>
  <c r="AB924" i="1" s="1"/>
  <c r="Y925" i="1"/>
  <c r="Z925" i="1"/>
  <c r="AB925" i="1" s="1"/>
  <c r="Y926" i="1"/>
  <c r="Z926" i="1"/>
  <c r="AB926" i="1" s="1"/>
  <c r="Y927" i="1"/>
  <c r="Z927" i="1"/>
  <c r="AB927" i="1" s="1"/>
  <c r="Y928" i="1"/>
  <c r="Z928" i="1"/>
  <c r="AB928" i="1" s="1"/>
  <c r="Y929" i="1"/>
  <c r="Z929" i="1"/>
  <c r="AB929" i="1" s="1"/>
  <c r="Y930" i="1"/>
  <c r="Z930" i="1"/>
  <c r="AB930" i="1" s="1"/>
  <c r="Y931" i="1"/>
  <c r="Z931" i="1"/>
  <c r="AB931" i="1" s="1"/>
  <c r="Y932" i="1"/>
  <c r="Z932" i="1"/>
  <c r="AB932" i="1" s="1"/>
  <c r="Y933" i="1"/>
  <c r="Z933" i="1"/>
  <c r="AB933" i="1" s="1"/>
  <c r="Y934" i="1"/>
  <c r="Z934" i="1"/>
  <c r="AB934" i="1" s="1"/>
  <c r="F918" i="1"/>
  <c r="D918" i="1"/>
  <c r="E918" i="1" s="1"/>
  <c r="F917" i="1"/>
  <c r="D917" i="1"/>
  <c r="E917" i="1" s="1"/>
  <c r="F916" i="1"/>
  <c r="D916" i="1"/>
  <c r="E916" i="1" s="1"/>
  <c r="F915" i="1"/>
  <c r="D915" i="1"/>
  <c r="E915" i="1" s="1"/>
  <c r="F914" i="1"/>
  <c r="D914" i="1"/>
  <c r="E914" i="1" s="1"/>
  <c r="F913" i="1"/>
  <c r="D913" i="1"/>
  <c r="E913" i="1" s="1"/>
  <c r="F912" i="1"/>
  <c r="D912" i="1"/>
  <c r="E912" i="1" s="1"/>
  <c r="F911" i="1"/>
  <c r="D911" i="1"/>
  <c r="E911" i="1" s="1"/>
  <c r="F910" i="1"/>
  <c r="D910" i="1"/>
  <c r="E910" i="1" s="1"/>
  <c r="F909" i="1"/>
  <c r="D909" i="1"/>
  <c r="E909" i="1" s="1"/>
  <c r="F908" i="1"/>
  <c r="D908" i="1"/>
  <c r="E908" i="1" s="1"/>
  <c r="F907" i="1"/>
  <c r="D907" i="1"/>
  <c r="E907" i="1" s="1"/>
  <c r="Y894" i="1"/>
  <c r="Z894" i="1"/>
  <c r="AB894" i="1" s="1"/>
  <c r="Y895" i="1"/>
  <c r="Z895" i="1"/>
  <c r="AB895" i="1" s="1"/>
  <c r="Y896" i="1"/>
  <c r="Z896" i="1"/>
  <c r="AB896" i="1" s="1"/>
  <c r="Y897" i="1"/>
  <c r="Z897" i="1"/>
  <c r="AB897" i="1" s="1"/>
  <c r="Y898" i="1"/>
  <c r="Z898" i="1"/>
  <c r="AB898" i="1" s="1"/>
  <c r="Y899" i="1"/>
  <c r="Z899" i="1"/>
  <c r="AB899" i="1" s="1"/>
  <c r="Y900" i="1"/>
  <c r="Z900" i="1"/>
  <c r="AB900" i="1" s="1"/>
  <c r="Y901" i="1"/>
  <c r="Z901" i="1"/>
  <c r="AB901" i="1" s="1"/>
  <c r="Y902" i="1"/>
  <c r="Z902" i="1"/>
  <c r="AB902" i="1" s="1"/>
  <c r="Y903" i="1"/>
  <c r="Z903" i="1"/>
  <c r="AB903" i="1" s="1"/>
  <c r="Y904" i="1"/>
  <c r="Z904" i="1"/>
  <c r="AB904" i="1" s="1"/>
  <c r="Y905" i="1"/>
  <c r="Z905" i="1"/>
  <c r="AB905" i="1" s="1"/>
  <c r="Y906" i="1"/>
  <c r="Z906" i="1"/>
  <c r="AB906" i="1" s="1"/>
  <c r="Y907" i="1"/>
  <c r="Z907" i="1"/>
  <c r="AB907" i="1" s="1"/>
  <c r="Y908" i="1"/>
  <c r="Z908" i="1"/>
  <c r="AB908" i="1" s="1"/>
  <c r="Y909" i="1"/>
  <c r="Z909" i="1"/>
  <c r="AB909" i="1" s="1"/>
  <c r="Y910" i="1"/>
  <c r="Z910" i="1"/>
  <c r="AB910" i="1" s="1"/>
  <c r="Y911" i="1"/>
  <c r="Z911" i="1"/>
  <c r="AB911" i="1" s="1"/>
  <c r="Y912" i="1"/>
  <c r="Z912" i="1"/>
  <c r="AB912" i="1" s="1"/>
  <c r="Y913" i="1"/>
  <c r="Z913" i="1"/>
  <c r="AB913" i="1" s="1"/>
  <c r="Y914" i="1"/>
  <c r="Z914" i="1"/>
  <c r="AB914" i="1" s="1"/>
  <c r="Y915" i="1"/>
  <c r="Z915" i="1"/>
  <c r="AB915" i="1" s="1"/>
  <c r="Y916" i="1"/>
  <c r="Z916" i="1"/>
  <c r="AB916" i="1" s="1"/>
  <c r="Y917" i="1"/>
  <c r="Z917" i="1"/>
  <c r="AB917" i="1" s="1"/>
  <c r="Y918" i="1"/>
  <c r="Z918" i="1"/>
  <c r="AB918" i="1" s="1"/>
  <c r="Y919" i="1"/>
  <c r="Z919" i="1"/>
  <c r="AB919" i="1" s="1"/>
  <c r="F906" i="1"/>
  <c r="D906" i="1"/>
  <c r="E906" i="1" s="1"/>
  <c r="F905" i="1"/>
  <c r="D905" i="1"/>
  <c r="E905" i="1" s="1"/>
  <c r="F904" i="1"/>
  <c r="D904" i="1"/>
  <c r="E904" i="1" s="1"/>
  <c r="F903" i="1"/>
  <c r="D903" i="1"/>
  <c r="E903" i="1" s="1"/>
  <c r="F902" i="1"/>
  <c r="D902" i="1"/>
  <c r="E902" i="1" s="1"/>
  <c r="F901" i="1"/>
  <c r="D901" i="1"/>
  <c r="E901" i="1" s="1"/>
  <c r="F900" i="1"/>
  <c r="D900" i="1"/>
  <c r="E900" i="1" s="1"/>
  <c r="F899" i="1"/>
  <c r="D899" i="1"/>
  <c r="E899" i="1" s="1"/>
  <c r="F898" i="1"/>
  <c r="D898" i="1"/>
  <c r="E898" i="1" s="1"/>
  <c r="F897" i="1"/>
  <c r="D897" i="1"/>
  <c r="E897" i="1" s="1"/>
  <c r="F896" i="1"/>
  <c r="D896" i="1"/>
  <c r="E896" i="1" s="1"/>
  <c r="F894" i="1"/>
  <c r="D894" i="1"/>
  <c r="E894" i="1" s="1"/>
  <c r="F895" i="1"/>
  <c r="D895" i="1"/>
  <c r="E895" i="1" s="1"/>
  <c r="F893" i="1"/>
  <c r="D893" i="1"/>
  <c r="E893" i="1" s="1"/>
  <c r="F892" i="1"/>
  <c r="D892" i="1"/>
  <c r="E892" i="1" s="1"/>
  <c r="D891" i="1"/>
  <c r="E891" i="1" s="1"/>
  <c r="F891" i="1"/>
  <c r="F890" i="1"/>
  <c r="D890" i="1"/>
  <c r="E890" i="1" s="1"/>
  <c r="F889" i="1"/>
  <c r="D889" i="1"/>
  <c r="E889" i="1" s="1"/>
  <c r="F888" i="1"/>
  <c r="D888" i="1"/>
  <c r="E888" i="1" s="1"/>
  <c r="F887" i="1"/>
  <c r="D887" i="1"/>
  <c r="E887" i="1" s="1"/>
  <c r="F886" i="1"/>
  <c r="D886" i="1"/>
  <c r="E886" i="1" s="1"/>
  <c r="F885" i="1"/>
  <c r="D885" i="1"/>
  <c r="E885" i="1" s="1"/>
  <c r="F884" i="1"/>
  <c r="D884" i="1"/>
  <c r="E884" i="1" s="1"/>
  <c r="F883" i="1"/>
  <c r="D883" i="1"/>
  <c r="E883" i="1" s="1"/>
  <c r="F882" i="1"/>
  <c r="D882" i="1"/>
  <c r="E882" i="1" s="1"/>
  <c r="F881" i="1"/>
  <c r="D881" i="1"/>
  <c r="E881" i="1" s="1"/>
  <c r="F880" i="1"/>
  <c r="D880" i="1"/>
  <c r="E880" i="1" s="1"/>
  <c r="F879" i="1"/>
  <c r="D879" i="1"/>
  <c r="E879" i="1" s="1"/>
  <c r="F878" i="1"/>
  <c r="D878" i="1"/>
  <c r="E878" i="1" s="1"/>
  <c r="F877" i="1"/>
  <c r="D877" i="1"/>
  <c r="E877" i="1" s="1"/>
  <c r="F876" i="1"/>
  <c r="D876" i="1"/>
  <c r="E876" i="1" s="1"/>
  <c r="F875" i="1"/>
  <c r="D875" i="1"/>
  <c r="E875" i="1" s="1"/>
  <c r="F874" i="1"/>
  <c r="D874" i="1"/>
  <c r="E874" i="1" s="1"/>
  <c r="F873" i="1"/>
  <c r="D873" i="1"/>
  <c r="E873" i="1" s="1"/>
  <c r="F872" i="1"/>
  <c r="D872" i="1"/>
  <c r="E872" i="1" s="1"/>
  <c r="F871" i="1"/>
  <c r="D871" i="1"/>
  <c r="E871" i="1" s="1"/>
  <c r="F870" i="1"/>
  <c r="D870" i="1"/>
  <c r="E870" i="1" s="1"/>
  <c r="F869" i="1"/>
  <c r="D869" i="1"/>
  <c r="E869" i="1" s="1"/>
  <c r="F868" i="1"/>
  <c r="D868" i="1"/>
  <c r="E868" i="1" s="1"/>
  <c r="F867" i="1"/>
  <c r="D867" i="1"/>
  <c r="E867" i="1" s="1"/>
  <c r="F866" i="1"/>
  <c r="D866" i="1"/>
  <c r="E866" i="1" s="1"/>
  <c r="F865" i="1"/>
  <c r="D865" i="1"/>
  <c r="E865" i="1" s="1"/>
  <c r="F864" i="1"/>
  <c r="D864" i="1"/>
  <c r="E864" i="1" s="1"/>
  <c r="F863" i="1"/>
  <c r="D863" i="1"/>
  <c r="E863" i="1" s="1"/>
  <c r="F862" i="1"/>
  <c r="D862" i="1"/>
  <c r="E862" i="1" s="1"/>
  <c r="F861" i="1"/>
  <c r="D861" i="1"/>
  <c r="E861" i="1" s="1"/>
  <c r="F860" i="1"/>
  <c r="D860" i="1"/>
  <c r="E860" i="1" s="1"/>
  <c r="F859" i="1"/>
  <c r="D859" i="1"/>
  <c r="E859" i="1" s="1"/>
  <c r="F858" i="1"/>
  <c r="D858" i="1"/>
  <c r="E858" i="1" s="1"/>
  <c r="F857" i="1"/>
  <c r="D857" i="1"/>
  <c r="E857" i="1" s="1"/>
  <c r="F856" i="1"/>
  <c r="D856" i="1"/>
  <c r="E856" i="1" s="1"/>
  <c r="F855" i="1"/>
  <c r="D855" i="1"/>
  <c r="E855" i="1" s="1"/>
  <c r="F854" i="1"/>
  <c r="D854" i="1"/>
  <c r="E854" i="1" s="1"/>
  <c r="Y881" i="1"/>
  <c r="Z881" i="1"/>
  <c r="AB881" i="1" s="1"/>
  <c r="Y882" i="1"/>
  <c r="Z882" i="1"/>
  <c r="AB882" i="1" s="1"/>
  <c r="Y883" i="1"/>
  <c r="Z883" i="1"/>
  <c r="AB883" i="1" s="1"/>
  <c r="Y884" i="1"/>
  <c r="Z884" i="1"/>
  <c r="AB884" i="1" s="1"/>
  <c r="Y885" i="1"/>
  <c r="Z885" i="1"/>
  <c r="AB885" i="1" s="1"/>
  <c r="Y886" i="1"/>
  <c r="Z886" i="1"/>
  <c r="AB886" i="1" s="1"/>
  <c r="Y887" i="1"/>
  <c r="Z887" i="1"/>
  <c r="AB887" i="1" s="1"/>
  <c r="Y888" i="1"/>
  <c r="Z888" i="1"/>
  <c r="AB888" i="1" s="1"/>
  <c r="Y889" i="1"/>
  <c r="Z889" i="1"/>
  <c r="AB889" i="1" s="1"/>
  <c r="Y890" i="1"/>
  <c r="Z890" i="1"/>
  <c r="AB890" i="1" s="1"/>
  <c r="Y891" i="1"/>
  <c r="Z891" i="1"/>
  <c r="AB891" i="1" s="1"/>
  <c r="Y892" i="1"/>
  <c r="Z892" i="1"/>
  <c r="AB892" i="1" s="1"/>
  <c r="Y893" i="1"/>
  <c r="Z893" i="1"/>
  <c r="AB893" i="1" s="1"/>
  <c r="Y867" i="1"/>
  <c r="Z867" i="1"/>
  <c r="AA867" i="1" s="1"/>
  <c r="Y868" i="1"/>
  <c r="Z868" i="1"/>
  <c r="AA868" i="1" s="1"/>
  <c r="Y869" i="1"/>
  <c r="Z869" i="1"/>
  <c r="AA869" i="1" s="1"/>
  <c r="Y870" i="1"/>
  <c r="Z870" i="1"/>
  <c r="AA870" i="1" s="1"/>
  <c r="Y871" i="1"/>
  <c r="Z871" i="1"/>
  <c r="AA871" i="1" s="1"/>
  <c r="Y872" i="1"/>
  <c r="Z872" i="1"/>
  <c r="AA872" i="1" s="1"/>
  <c r="Y873" i="1"/>
  <c r="Z873" i="1"/>
  <c r="AA873" i="1" s="1"/>
  <c r="Y874" i="1"/>
  <c r="Z874" i="1"/>
  <c r="AA874" i="1" s="1"/>
  <c r="Y875" i="1"/>
  <c r="Z875" i="1"/>
  <c r="AA875" i="1" s="1"/>
  <c r="Y876" i="1"/>
  <c r="Z876" i="1"/>
  <c r="AA876" i="1" s="1"/>
  <c r="Y877" i="1"/>
  <c r="Z877" i="1"/>
  <c r="AA877" i="1" s="1"/>
  <c r="Y878" i="1"/>
  <c r="Z878" i="1"/>
  <c r="AA878" i="1" s="1"/>
  <c r="Y879" i="1"/>
  <c r="Z879" i="1"/>
  <c r="AA879" i="1" s="1"/>
  <c r="Y880" i="1"/>
  <c r="Z880" i="1"/>
  <c r="AA880" i="1" s="1"/>
  <c r="Y848" i="1"/>
  <c r="Z848" i="1"/>
  <c r="AB848" i="1" s="1"/>
  <c r="Y849" i="1"/>
  <c r="Z849" i="1"/>
  <c r="AB849" i="1" s="1"/>
  <c r="Y850" i="1"/>
  <c r="Z850" i="1"/>
  <c r="AB850" i="1" s="1"/>
  <c r="Y851" i="1"/>
  <c r="Z851" i="1"/>
  <c r="AB851" i="1" s="1"/>
  <c r="Y852" i="1"/>
  <c r="Z852" i="1"/>
  <c r="AB852" i="1" s="1"/>
  <c r="Y853" i="1"/>
  <c r="Z853" i="1"/>
  <c r="AB853" i="1" s="1"/>
  <c r="Y854" i="1"/>
  <c r="Z854" i="1"/>
  <c r="AB854" i="1" s="1"/>
  <c r="Y855" i="1"/>
  <c r="Z855" i="1"/>
  <c r="AB855" i="1" s="1"/>
  <c r="Y856" i="1"/>
  <c r="Z856" i="1"/>
  <c r="AB856" i="1" s="1"/>
  <c r="Y857" i="1"/>
  <c r="Z857" i="1"/>
  <c r="AB857" i="1" s="1"/>
  <c r="Y858" i="1"/>
  <c r="Z858" i="1"/>
  <c r="AB858" i="1" s="1"/>
  <c r="Y859" i="1"/>
  <c r="Z859" i="1"/>
  <c r="AB859" i="1" s="1"/>
  <c r="Y860" i="1"/>
  <c r="Z860" i="1"/>
  <c r="AB860" i="1" s="1"/>
  <c r="Y861" i="1"/>
  <c r="Z861" i="1"/>
  <c r="AB861" i="1" s="1"/>
  <c r="Y862" i="1"/>
  <c r="Z862" i="1"/>
  <c r="AB862" i="1" s="1"/>
  <c r="Y863" i="1"/>
  <c r="Z863" i="1"/>
  <c r="AB863" i="1" s="1"/>
  <c r="Y864" i="1"/>
  <c r="Z864" i="1"/>
  <c r="AB864" i="1" s="1"/>
  <c r="Y865" i="1"/>
  <c r="Z865" i="1"/>
  <c r="AB865" i="1" s="1"/>
  <c r="Y866" i="1"/>
  <c r="Z866" i="1"/>
  <c r="AB866" i="1" s="1"/>
  <c r="F853" i="1"/>
  <c r="D853" i="1"/>
  <c r="E853" i="1" s="1"/>
  <c r="F852" i="1"/>
  <c r="D852" i="1"/>
  <c r="E852" i="1" s="1"/>
  <c r="F851" i="1"/>
  <c r="D851" i="1"/>
  <c r="E851" i="1" s="1"/>
  <c r="Z834" i="1"/>
  <c r="AB834" i="1" s="1"/>
  <c r="Z835" i="1"/>
  <c r="AB835" i="1" s="1"/>
  <c r="Z836" i="1"/>
  <c r="AA836" i="1" s="1"/>
  <c r="Z837" i="1"/>
  <c r="AA837" i="1" s="1"/>
  <c r="Z838" i="1"/>
  <c r="AB838" i="1" s="1"/>
  <c r="Z839" i="1"/>
  <c r="AB839" i="1" s="1"/>
  <c r="Z840" i="1"/>
  <c r="AA840" i="1" s="1"/>
  <c r="Z841" i="1"/>
  <c r="AA841" i="1" s="1"/>
  <c r="Z842" i="1"/>
  <c r="AB842" i="1" s="1"/>
  <c r="Z843" i="1"/>
  <c r="AB843" i="1" s="1"/>
  <c r="Z844" i="1"/>
  <c r="AB844" i="1" s="1"/>
  <c r="Z845" i="1"/>
  <c r="AA845" i="1" s="1"/>
  <c r="Z846" i="1"/>
  <c r="AB846" i="1" s="1"/>
  <c r="Z847" i="1"/>
  <c r="AA847" i="1" s="1"/>
  <c r="F850" i="1"/>
  <c r="D850" i="1"/>
  <c r="E850" i="1" s="1"/>
  <c r="F849" i="1"/>
  <c r="D849" i="1"/>
  <c r="E849" i="1" s="1"/>
  <c r="Y844" i="1"/>
  <c r="Y845" i="1"/>
  <c r="Y846" i="1"/>
  <c r="Y847" i="1"/>
  <c r="D848" i="1"/>
  <c r="E848" i="1" s="1"/>
  <c r="F848" i="1"/>
  <c r="F847" i="1"/>
  <c r="D847" i="1"/>
  <c r="E847" i="1" s="1"/>
  <c r="D846" i="1"/>
  <c r="E846" i="1" s="1"/>
  <c r="F846" i="1"/>
  <c r="F845" i="1"/>
  <c r="D845" i="1"/>
  <c r="E845" i="1" s="1"/>
  <c r="F844" i="1"/>
  <c r="D844" i="1"/>
  <c r="E844" i="1" s="1"/>
  <c r="F843" i="1"/>
  <c r="D843" i="1"/>
  <c r="E843" i="1" s="1"/>
  <c r="F842" i="1"/>
  <c r="D842" i="1"/>
  <c r="E842" i="1" s="1"/>
  <c r="F841" i="1"/>
  <c r="D841" i="1"/>
  <c r="E841" i="1" s="1"/>
  <c r="F840" i="1"/>
  <c r="D840" i="1"/>
  <c r="E840" i="1" s="1"/>
  <c r="F839" i="1"/>
  <c r="D839" i="1"/>
  <c r="E839" i="1" s="1"/>
  <c r="F838" i="1"/>
  <c r="D838" i="1"/>
  <c r="E838" i="1" s="1"/>
  <c r="F837" i="1"/>
  <c r="D837" i="1"/>
  <c r="E837" i="1" s="1"/>
  <c r="F836" i="1"/>
  <c r="D836" i="1"/>
  <c r="E836" i="1" s="1"/>
  <c r="F835" i="1"/>
  <c r="D835" i="1"/>
  <c r="E835" i="1" s="1"/>
  <c r="F834" i="1"/>
  <c r="D834" i="1"/>
  <c r="E834" i="1" s="1"/>
  <c r="F833" i="1"/>
  <c r="D833" i="1"/>
  <c r="E833" i="1" s="1"/>
  <c r="F832" i="1"/>
  <c r="D832" i="1"/>
  <c r="E832" i="1" s="1"/>
  <c r="F831" i="1"/>
  <c r="D831" i="1"/>
  <c r="E831" i="1" s="1"/>
  <c r="F830" i="1"/>
  <c r="D830" i="1"/>
  <c r="E830" i="1" s="1"/>
  <c r="F829" i="1"/>
  <c r="D829" i="1"/>
  <c r="E829" i="1" s="1"/>
  <c r="F828" i="1"/>
  <c r="D828" i="1"/>
  <c r="E828" i="1" s="1"/>
  <c r="F827" i="1"/>
  <c r="D827" i="1"/>
  <c r="E827" i="1" s="1"/>
  <c r="Y820" i="1"/>
  <c r="Z820" i="1"/>
  <c r="AB820" i="1" s="1"/>
  <c r="Y821" i="1"/>
  <c r="Z821" i="1"/>
  <c r="AB821" i="1" s="1"/>
  <c r="Y822" i="1"/>
  <c r="Z822" i="1"/>
  <c r="AB822" i="1" s="1"/>
  <c r="Y823" i="1"/>
  <c r="Z823" i="1"/>
  <c r="AB823" i="1" s="1"/>
  <c r="Y824" i="1"/>
  <c r="Z824" i="1"/>
  <c r="AB824" i="1" s="1"/>
  <c r="Y825" i="1"/>
  <c r="Z825" i="1"/>
  <c r="AB825" i="1" s="1"/>
  <c r="Y826" i="1"/>
  <c r="Z826" i="1"/>
  <c r="AB826" i="1" s="1"/>
  <c r="Y827" i="1"/>
  <c r="Z827" i="1"/>
  <c r="AB827" i="1" s="1"/>
  <c r="Y828" i="1"/>
  <c r="Z828" i="1"/>
  <c r="AB828" i="1" s="1"/>
  <c r="Y829" i="1"/>
  <c r="Z829" i="1"/>
  <c r="AB829" i="1" s="1"/>
  <c r="Y830" i="1"/>
  <c r="Z830" i="1"/>
  <c r="AB830" i="1" s="1"/>
  <c r="Y831" i="1"/>
  <c r="Z831" i="1"/>
  <c r="AB831" i="1" s="1"/>
  <c r="Y832" i="1"/>
  <c r="Z832" i="1"/>
  <c r="AB832" i="1" s="1"/>
  <c r="Y833" i="1"/>
  <c r="Z833" i="1"/>
  <c r="AB833" i="1" s="1"/>
  <c r="Y834" i="1"/>
  <c r="Y835" i="1"/>
  <c r="Y836" i="1"/>
  <c r="Y837" i="1"/>
  <c r="Y838" i="1"/>
  <c r="Y839" i="1"/>
  <c r="Y840" i="1"/>
  <c r="Y841" i="1"/>
  <c r="Y842" i="1"/>
  <c r="Y843" i="1"/>
  <c r="F826" i="1"/>
  <c r="D826" i="1"/>
  <c r="E826" i="1" s="1"/>
  <c r="F825" i="1"/>
  <c r="D825" i="1"/>
  <c r="E825" i="1" s="1"/>
  <c r="F824" i="1"/>
  <c r="D824" i="1"/>
  <c r="E824" i="1" s="1"/>
  <c r="F823" i="1"/>
  <c r="D823" i="1"/>
  <c r="E823" i="1" s="1"/>
  <c r="F822" i="1"/>
  <c r="D822" i="1"/>
  <c r="E822" i="1" s="1"/>
  <c r="F821" i="1"/>
  <c r="D821" i="1"/>
  <c r="E821" i="1" s="1"/>
  <c r="F820" i="1"/>
  <c r="D820" i="1"/>
  <c r="E820" i="1" s="1"/>
  <c r="Y811" i="1"/>
  <c r="Z811" i="1"/>
  <c r="AB811" i="1" s="1"/>
  <c r="Y812" i="1"/>
  <c r="Z812" i="1"/>
  <c r="AB812" i="1" s="1"/>
  <c r="Y813" i="1"/>
  <c r="Z813" i="1"/>
  <c r="AB813" i="1" s="1"/>
  <c r="Y814" i="1"/>
  <c r="Z814" i="1"/>
  <c r="AB814" i="1" s="1"/>
  <c r="Y815" i="1"/>
  <c r="Z815" i="1"/>
  <c r="AB815" i="1" s="1"/>
  <c r="Y816" i="1"/>
  <c r="Z816" i="1"/>
  <c r="AB816" i="1" s="1"/>
  <c r="Y817" i="1"/>
  <c r="Z817" i="1"/>
  <c r="AB817" i="1" s="1"/>
  <c r="Y818" i="1"/>
  <c r="Z818" i="1"/>
  <c r="AB818" i="1" s="1"/>
  <c r="Y819" i="1"/>
  <c r="Z819" i="1"/>
  <c r="AB819" i="1" s="1"/>
  <c r="F819" i="1"/>
  <c r="D819" i="1"/>
  <c r="E819" i="1" s="1"/>
  <c r="F818" i="1"/>
  <c r="D818" i="1"/>
  <c r="E818" i="1" s="1"/>
  <c r="F817" i="1"/>
  <c r="D817" i="1"/>
  <c r="E817" i="1" s="1"/>
  <c r="F816" i="1"/>
  <c r="D816" i="1"/>
  <c r="E816" i="1" s="1"/>
  <c r="F815" i="1"/>
  <c r="D815" i="1"/>
  <c r="E815" i="1" s="1"/>
  <c r="F814" i="1"/>
  <c r="D814" i="1"/>
  <c r="E814" i="1" s="1"/>
  <c r="F813" i="1"/>
  <c r="D813" i="1"/>
  <c r="E813" i="1" s="1"/>
  <c r="F812" i="1"/>
  <c r="D812" i="1"/>
  <c r="E812" i="1" s="1"/>
  <c r="F811" i="1"/>
  <c r="D811" i="1"/>
  <c r="E811" i="1" s="1"/>
  <c r="F810" i="1"/>
  <c r="D810" i="1"/>
  <c r="E810" i="1" s="1"/>
  <c r="F809" i="1"/>
  <c r="D809" i="1"/>
  <c r="E809" i="1" s="1"/>
  <c r="F808" i="1"/>
  <c r="D808" i="1"/>
  <c r="E808" i="1" s="1"/>
  <c r="Y797" i="1"/>
  <c r="F797" i="1"/>
  <c r="D797" i="1"/>
  <c r="E797" i="1" s="1"/>
  <c r="F807" i="1"/>
  <c r="D807" i="1"/>
  <c r="E807" i="1" s="1"/>
  <c r="F806" i="1"/>
  <c r="D806" i="1"/>
  <c r="E806" i="1" s="1"/>
  <c r="F805" i="1"/>
  <c r="D805" i="1"/>
  <c r="E805" i="1" s="1"/>
  <c r="F804" i="1"/>
  <c r="D804" i="1"/>
  <c r="E804" i="1" s="1"/>
  <c r="F803" i="1"/>
  <c r="D803" i="1"/>
  <c r="E803" i="1" s="1"/>
  <c r="F802" i="1"/>
  <c r="D802" i="1"/>
  <c r="E802" i="1" s="1"/>
  <c r="F801" i="1"/>
  <c r="D801" i="1"/>
  <c r="E801" i="1" s="1"/>
  <c r="F800" i="1"/>
  <c r="D800" i="1"/>
  <c r="E800" i="1" s="1"/>
  <c r="F791" i="1"/>
  <c r="D791" i="1"/>
  <c r="E791" i="1" s="1"/>
  <c r="D792" i="1"/>
  <c r="E792" i="1" s="1"/>
  <c r="F792" i="1"/>
  <c r="Y792" i="1"/>
  <c r="Z792" i="1"/>
  <c r="AA792" i="1" s="1"/>
  <c r="F799" i="1"/>
  <c r="D799" i="1"/>
  <c r="E799" i="1" s="1"/>
  <c r="F798" i="1"/>
  <c r="D798" i="1"/>
  <c r="E798" i="1" s="1"/>
  <c r="F796" i="1"/>
  <c r="D796" i="1"/>
  <c r="E796" i="1" s="1"/>
  <c r="F794" i="1"/>
  <c r="D794" i="1"/>
  <c r="E794" i="1" s="1"/>
  <c r="F795" i="1"/>
  <c r="D795" i="1"/>
  <c r="E795" i="1" s="1"/>
  <c r="F793" i="1"/>
  <c r="D793" i="1"/>
  <c r="E793" i="1" s="1"/>
  <c r="F790" i="1"/>
  <c r="D790" i="1"/>
  <c r="E790" i="1" s="1"/>
  <c r="F789" i="1"/>
  <c r="D789" i="1"/>
  <c r="E789" i="1" s="1"/>
  <c r="F788" i="1"/>
  <c r="D788" i="1"/>
  <c r="E788" i="1" s="1"/>
  <c r="F787" i="1"/>
  <c r="D787" i="1"/>
  <c r="E787" i="1" s="1"/>
  <c r="F786" i="1"/>
  <c r="D786" i="1"/>
  <c r="E786" i="1" s="1"/>
  <c r="F785" i="1"/>
  <c r="D785" i="1"/>
  <c r="E785" i="1" s="1"/>
  <c r="F784" i="1"/>
  <c r="D784" i="1"/>
  <c r="E784" i="1" s="1"/>
  <c r="F783" i="1"/>
  <c r="D783" i="1"/>
  <c r="E783" i="1" s="1"/>
  <c r="F782" i="1"/>
  <c r="D782" i="1"/>
  <c r="E782" i="1" s="1"/>
  <c r="F781" i="1"/>
  <c r="D781" i="1"/>
  <c r="E781" i="1" s="1"/>
  <c r="F780" i="1"/>
  <c r="D780" i="1"/>
  <c r="E780" i="1" s="1"/>
  <c r="F779" i="1"/>
  <c r="D779" i="1"/>
  <c r="E779" i="1" s="1"/>
  <c r="F778" i="1"/>
  <c r="D778" i="1"/>
  <c r="E778" i="1" s="1"/>
  <c r="F777" i="1"/>
  <c r="D777" i="1"/>
  <c r="E777" i="1" s="1"/>
  <c r="F776" i="1"/>
  <c r="D776" i="1"/>
  <c r="E776" i="1" s="1"/>
  <c r="Y788" i="1"/>
  <c r="Z788" i="1"/>
  <c r="AB788" i="1" s="1"/>
  <c r="Y789" i="1"/>
  <c r="Z789" i="1"/>
  <c r="AB789" i="1" s="1"/>
  <c r="Y790" i="1"/>
  <c r="Z790" i="1"/>
  <c r="AB790" i="1" s="1"/>
  <c r="Y793" i="1"/>
  <c r="Z793" i="1"/>
  <c r="AB793" i="1" s="1"/>
  <c r="Y794" i="1"/>
  <c r="Z794" i="1"/>
  <c r="AB794" i="1" s="1"/>
  <c r="Y795" i="1"/>
  <c r="Z795" i="1"/>
  <c r="AB795" i="1" s="1"/>
  <c r="Y796" i="1"/>
  <c r="Z796" i="1"/>
  <c r="AB796" i="1" s="1"/>
  <c r="Y798" i="1"/>
  <c r="Z798" i="1"/>
  <c r="AB798" i="1" s="1"/>
  <c r="Y799" i="1"/>
  <c r="Z799" i="1"/>
  <c r="AB799" i="1" s="1"/>
  <c r="Y800" i="1"/>
  <c r="Z800" i="1"/>
  <c r="AB800" i="1" s="1"/>
  <c r="Y801" i="1"/>
  <c r="Z801" i="1"/>
  <c r="AB801" i="1" s="1"/>
  <c r="Y802" i="1"/>
  <c r="Z802" i="1"/>
  <c r="AB802" i="1" s="1"/>
  <c r="Y803" i="1"/>
  <c r="Z803" i="1"/>
  <c r="AB803" i="1" s="1"/>
  <c r="Y804" i="1"/>
  <c r="Z804" i="1"/>
  <c r="AB804" i="1" s="1"/>
  <c r="Y805" i="1"/>
  <c r="Z805" i="1"/>
  <c r="AB805" i="1" s="1"/>
  <c r="Y806" i="1"/>
  <c r="Z806" i="1"/>
  <c r="AB806" i="1" s="1"/>
  <c r="Y807" i="1"/>
  <c r="Z807" i="1"/>
  <c r="AB807" i="1" s="1"/>
  <c r="Y808" i="1"/>
  <c r="Z808" i="1"/>
  <c r="AB808" i="1" s="1"/>
  <c r="Y809" i="1"/>
  <c r="Z809" i="1"/>
  <c r="AB809" i="1" s="1"/>
  <c r="Y810" i="1"/>
  <c r="Z810" i="1"/>
  <c r="AB810" i="1" s="1"/>
  <c r="Y762" i="1"/>
  <c r="Z762" i="1"/>
  <c r="AB762" i="1" s="1"/>
  <c r="Y763" i="1"/>
  <c r="Z763" i="1"/>
  <c r="AB763" i="1" s="1"/>
  <c r="Y764" i="1"/>
  <c r="Z764" i="1"/>
  <c r="AB764" i="1" s="1"/>
  <c r="Y765" i="1"/>
  <c r="Z765" i="1"/>
  <c r="AB765" i="1" s="1"/>
  <c r="Y766" i="1"/>
  <c r="Z766" i="1"/>
  <c r="AB766" i="1" s="1"/>
  <c r="Y767" i="1"/>
  <c r="Z767" i="1"/>
  <c r="AB767" i="1" s="1"/>
  <c r="Y768" i="1"/>
  <c r="Z768" i="1"/>
  <c r="AB768" i="1" s="1"/>
  <c r="Y769" i="1"/>
  <c r="Z769" i="1"/>
  <c r="AB769" i="1" s="1"/>
  <c r="Y770" i="1"/>
  <c r="Z770" i="1"/>
  <c r="AB770" i="1" s="1"/>
  <c r="Y771" i="1"/>
  <c r="Z771" i="1"/>
  <c r="AB771" i="1" s="1"/>
  <c r="Y772" i="1"/>
  <c r="Z772" i="1"/>
  <c r="AB772" i="1" s="1"/>
  <c r="Y773" i="1"/>
  <c r="Z773" i="1"/>
  <c r="AB773" i="1" s="1"/>
  <c r="Y774" i="1"/>
  <c r="Z774" i="1"/>
  <c r="AB774" i="1" s="1"/>
  <c r="Y775" i="1"/>
  <c r="Z775" i="1"/>
  <c r="AB775" i="1" s="1"/>
  <c r="Y776" i="1"/>
  <c r="Z776" i="1"/>
  <c r="AB776" i="1" s="1"/>
  <c r="Y777" i="1"/>
  <c r="Z777" i="1"/>
  <c r="AB777" i="1" s="1"/>
  <c r="Y778" i="1"/>
  <c r="Z778" i="1"/>
  <c r="AB778" i="1" s="1"/>
  <c r="Y779" i="1"/>
  <c r="Z779" i="1"/>
  <c r="AB779" i="1" s="1"/>
  <c r="Y780" i="1"/>
  <c r="Z780" i="1"/>
  <c r="AB780" i="1" s="1"/>
  <c r="Y781" i="1"/>
  <c r="Z781" i="1"/>
  <c r="AB781" i="1" s="1"/>
  <c r="Y782" i="1"/>
  <c r="Z782" i="1"/>
  <c r="AB782" i="1" s="1"/>
  <c r="Y783" i="1"/>
  <c r="Z783" i="1"/>
  <c r="AB783" i="1" s="1"/>
  <c r="Y784" i="1"/>
  <c r="Z784" i="1"/>
  <c r="AB784" i="1" s="1"/>
  <c r="Y785" i="1"/>
  <c r="Z785" i="1"/>
  <c r="AB785" i="1" s="1"/>
  <c r="Y786" i="1"/>
  <c r="Z786" i="1"/>
  <c r="AB786" i="1" s="1"/>
  <c r="Y787" i="1"/>
  <c r="Z787" i="1"/>
  <c r="AB787" i="1" s="1"/>
  <c r="F775" i="1"/>
  <c r="D775" i="1"/>
  <c r="E775" i="1" s="1"/>
  <c r="F774" i="1"/>
  <c r="D774" i="1"/>
  <c r="E774" i="1" s="1"/>
  <c r="F773" i="1"/>
  <c r="D773" i="1"/>
  <c r="E773" i="1" s="1"/>
  <c r="F772" i="1"/>
  <c r="D772" i="1"/>
  <c r="E772" i="1" s="1"/>
  <c r="F771" i="1"/>
  <c r="D771" i="1"/>
  <c r="E771" i="1" s="1"/>
  <c r="F770" i="1"/>
  <c r="D770" i="1"/>
  <c r="E770" i="1" s="1"/>
  <c r="F769" i="1"/>
  <c r="D769" i="1"/>
  <c r="E769" i="1" s="1"/>
  <c r="F768" i="1"/>
  <c r="D768" i="1"/>
  <c r="E768" i="1" s="1"/>
  <c r="F767" i="1"/>
  <c r="D767" i="1"/>
  <c r="E767" i="1" s="1"/>
  <c r="F766" i="1"/>
  <c r="D766" i="1"/>
  <c r="E766" i="1" s="1"/>
  <c r="F765" i="1"/>
  <c r="D765" i="1"/>
  <c r="E765" i="1" s="1"/>
  <c r="F764" i="1"/>
  <c r="D764" i="1"/>
  <c r="E764" i="1" s="1"/>
  <c r="F763" i="1"/>
  <c r="D763" i="1"/>
  <c r="E763" i="1" s="1"/>
  <c r="F762" i="1"/>
  <c r="D762" i="1"/>
  <c r="E762" i="1" s="1"/>
  <c r="Z742" i="1"/>
  <c r="AA742" i="1" s="1"/>
  <c r="Z743" i="1"/>
  <c r="AA743" i="1" s="1"/>
  <c r="Z744" i="1"/>
  <c r="AA744" i="1" s="1"/>
  <c r="Z745" i="1"/>
  <c r="AB745" i="1" s="1"/>
  <c r="Z746" i="1"/>
  <c r="AB746" i="1" s="1"/>
  <c r="Z747" i="1"/>
  <c r="AA747" i="1" s="1"/>
  <c r="Z748" i="1"/>
  <c r="AA748" i="1" s="1"/>
  <c r="Z749" i="1"/>
  <c r="AB749" i="1" s="1"/>
  <c r="Z750" i="1"/>
  <c r="AB750" i="1" s="1"/>
  <c r="Z751" i="1"/>
  <c r="AA751" i="1" s="1"/>
  <c r="Z752" i="1"/>
  <c r="AA752" i="1" s="1"/>
  <c r="Z753" i="1"/>
  <c r="AB753" i="1" s="1"/>
  <c r="Z754" i="1"/>
  <c r="AB754" i="1" s="1"/>
  <c r="Z755" i="1"/>
  <c r="AA755" i="1" s="1"/>
  <c r="Z756" i="1"/>
  <c r="AA756" i="1" s="1"/>
  <c r="Z757" i="1"/>
  <c r="AB757" i="1" s="1"/>
  <c r="Z758" i="1"/>
  <c r="AA758" i="1" s="1"/>
  <c r="Z759" i="1"/>
  <c r="AA759" i="1" s="1"/>
  <c r="Z760" i="1"/>
  <c r="AA760" i="1" s="1"/>
  <c r="Z761" i="1"/>
  <c r="AB761" i="1" s="1"/>
  <c r="F761" i="1"/>
  <c r="D761" i="1"/>
  <c r="E761" i="1" s="1"/>
  <c r="F760" i="1"/>
  <c r="D760" i="1"/>
  <c r="E760" i="1" s="1"/>
  <c r="F759" i="1"/>
  <c r="D759" i="1"/>
  <c r="E759" i="1" s="1"/>
  <c r="F758" i="1"/>
  <c r="D758" i="1"/>
  <c r="E758" i="1" s="1"/>
  <c r="F757" i="1"/>
  <c r="D757" i="1"/>
  <c r="E757" i="1" s="1"/>
  <c r="F756" i="1"/>
  <c r="D756" i="1"/>
  <c r="E756" i="1" s="1"/>
  <c r="F755" i="1"/>
  <c r="D755" i="1"/>
  <c r="E755" i="1" s="1"/>
  <c r="F754" i="1"/>
  <c r="D754" i="1"/>
  <c r="E754" i="1" s="1"/>
  <c r="F753" i="1"/>
  <c r="D753" i="1"/>
  <c r="E753" i="1" s="1"/>
  <c r="F752" i="1"/>
  <c r="D752" i="1"/>
  <c r="E752" i="1" s="1"/>
  <c r="F751" i="1"/>
  <c r="D751" i="1"/>
  <c r="E751" i="1" s="1"/>
  <c r="F750" i="1"/>
  <c r="D750" i="1"/>
  <c r="E750" i="1" s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F749" i="1"/>
  <c r="D749" i="1"/>
  <c r="E749" i="1" s="1"/>
  <c r="F748" i="1"/>
  <c r="D748" i="1"/>
  <c r="E748" i="1" s="1"/>
  <c r="F747" i="1"/>
  <c r="D747" i="1"/>
  <c r="E747" i="1" s="1"/>
  <c r="F746" i="1"/>
  <c r="D746" i="1"/>
  <c r="E746" i="1" s="1"/>
  <c r="F745" i="1"/>
  <c r="D745" i="1"/>
  <c r="E745" i="1" s="1"/>
  <c r="F744" i="1"/>
  <c r="D744" i="1"/>
  <c r="E744" i="1" s="1"/>
  <c r="F743" i="1"/>
  <c r="D743" i="1"/>
  <c r="E743" i="1" s="1"/>
  <c r="F742" i="1"/>
  <c r="D742" i="1"/>
  <c r="E742" i="1" s="1"/>
  <c r="F741" i="1"/>
  <c r="D741" i="1"/>
  <c r="E741" i="1" s="1"/>
  <c r="F740" i="1"/>
  <c r="D740" i="1"/>
  <c r="E740" i="1" s="1"/>
  <c r="F739" i="1"/>
  <c r="D739" i="1"/>
  <c r="E739" i="1" s="1"/>
  <c r="F738" i="1"/>
  <c r="D738" i="1"/>
  <c r="E738" i="1" s="1"/>
  <c r="F737" i="1"/>
  <c r="D737" i="1"/>
  <c r="E737" i="1" s="1"/>
  <c r="F736" i="1"/>
  <c r="D736" i="1"/>
  <c r="E736" i="1" s="1"/>
  <c r="F735" i="1"/>
  <c r="D735" i="1"/>
  <c r="E735" i="1" s="1"/>
  <c r="F734" i="1"/>
  <c r="D734" i="1"/>
  <c r="E734" i="1" s="1"/>
  <c r="F733" i="1"/>
  <c r="D733" i="1"/>
  <c r="E733" i="1" s="1"/>
  <c r="F732" i="1"/>
  <c r="D732" i="1"/>
  <c r="E732" i="1" s="1"/>
  <c r="F731" i="1"/>
  <c r="D731" i="1"/>
  <c r="E731" i="1" s="1"/>
  <c r="F730" i="1"/>
  <c r="D730" i="1"/>
  <c r="E730" i="1" s="1"/>
  <c r="Z729" i="1"/>
  <c r="AB729" i="1" s="1"/>
  <c r="Z730" i="1"/>
  <c r="AA730" i="1" s="1"/>
  <c r="Z731" i="1"/>
  <c r="AA731" i="1" s="1"/>
  <c r="Z732" i="1"/>
  <c r="AB732" i="1" s="1"/>
  <c r="Z733" i="1"/>
  <c r="AB733" i="1" s="1"/>
  <c r="Z734" i="1"/>
  <c r="AB734" i="1" s="1"/>
  <c r="Z735" i="1"/>
  <c r="AA735" i="1" s="1"/>
  <c r="Z736" i="1"/>
  <c r="AB736" i="1" s="1"/>
  <c r="Z737" i="1"/>
  <c r="AB737" i="1" s="1"/>
  <c r="Z738" i="1"/>
  <c r="AB738" i="1" s="1"/>
  <c r="Z739" i="1"/>
  <c r="AA739" i="1" s="1"/>
  <c r="Z740" i="1"/>
  <c r="AB740" i="1" s="1"/>
  <c r="Z741" i="1"/>
  <c r="AB741" i="1" s="1"/>
  <c r="F729" i="1"/>
  <c r="D729" i="1"/>
  <c r="E729" i="1" s="1"/>
  <c r="F728" i="1"/>
  <c r="D728" i="1"/>
  <c r="E728" i="1" s="1"/>
  <c r="F727" i="1"/>
  <c r="D727" i="1"/>
  <c r="E727" i="1" s="1"/>
  <c r="F726" i="1"/>
  <c r="D726" i="1"/>
  <c r="E726" i="1" s="1"/>
  <c r="F725" i="1"/>
  <c r="D725" i="1"/>
  <c r="E725" i="1" s="1"/>
  <c r="F724" i="1"/>
  <c r="D724" i="1"/>
  <c r="E724" i="1" s="1"/>
  <c r="F723" i="1"/>
  <c r="D723" i="1"/>
  <c r="E723" i="1" s="1"/>
  <c r="F722" i="1"/>
  <c r="D722" i="1"/>
  <c r="E722" i="1" s="1"/>
  <c r="F721" i="1"/>
  <c r="D721" i="1"/>
  <c r="E721" i="1" s="1"/>
  <c r="F720" i="1"/>
  <c r="D720" i="1"/>
  <c r="E720" i="1" s="1"/>
  <c r="F719" i="1"/>
  <c r="D719" i="1"/>
  <c r="E719" i="1" s="1"/>
  <c r="F718" i="1"/>
  <c r="D718" i="1"/>
  <c r="E718" i="1" s="1"/>
  <c r="F717" i="1"/>
  <c r="D717" i="1"/>
  <c r="E717" i="1" s="1"/>
  <c r="F716" i="1"/>
  <c r="D716" i="1"/>
  <c r="E716" i="1" s="1"/>
  <c r="F715" i="1"/>
  <c r="D715" i="1"/>
  <c r="E715" i="1" s="1"/>
  <c r="F714" i="1"/>
  <c r="D714" i="1"/>
  <c r="E714" i="1" s="1"/>
  <c r="F713" i="1"/>
  <c r="D713" i="1"/>
  <c r="E713" i="1" s="1"/>
  <c r="F712" i="1"/>
  <c r="D712" i="1"/>
  <c r="E712" i="1" s="1"/>
  <c r="F711" i="1"/>
  <c r="D711" i="1"/>
  <c r="E711" i="1" s="1"/>
  <c r="F710" i="1"/>
  <c r="D710" i="1"/>
  <c r="E710" i="1" s="1"/>
  <c r="F709" i="1"/>
  <c r="D709" i="1"/>
  <c r="E709" i="1" s="1"/>
  <c r="F708" i="1"/>
  <c r="D708" i="1"/>
  <c r="E708" i="1" s="1"/>
  <c r="F707" i="1"/>
  <c r="D707" i="1"/>
  <c r="E707" i="1" s="1"/>
  <c r="F706" i="1"/>
  <c r="D706" i="1"/>
  <c r="E706" i="1" s="1"/>
  <c r="F705" i="1"/>
  <c r="D705" i="1"/>
  <c r="E705" i="1" s="1"/>
  <c r="F704" i="1"/>
  <c r="D704" i="1"/>
  <c r="E704" i="1" s="1"/>
  <c r="F703" i="1"/>
  <c r="D703" i="1"/>
  <c r="E703" i="1" s="1"/>
  <c r="F702" i="1"/>
  <c r="D702" i="1"/>
  <c r="E702" i="1" s="1"/>
  <c r="F701" i="1"/>
  <c r="D701" i="1"/>
  <c r="E701" i="1" s="1"/>
  <c r="F700" i="1"/>
  <c r="D700" i="1"/>
  <c r="E700" i="1" s="1"/>
  <c r="F699" i="1"/>
  <c r="D699" i="1"/>
  <c r="E699" i="1" s="1"/>
  <c r="F698" i="1"/>
  <c r="D698" i="1"/>
  <c r="E698" i="1" s="1"/>
  <c r="F697" i="1"/>
  <c r="D697" i="1"/>
  <c r="E697" i="1" s="1"/>
  <c r="F696" i="1"/>
  <c r="D696" i="1"/>
  <c r="E696" i="1" s="1"/>
  <c r="F695" i="1"/>
  <c r="D695" i="1"/>
  <c r="E695" i="1" s="1"/>
  <c r="F694" i="1"/>
  <c r="D694" i="1"/>
  <c r="E694" i="1" s="1"/>
  <c r="F693" i="1"/>
  <c r="D693" i="1"/>
  <c r="E693" i="1" s="1"/>
  <c r="F692" i="1"/>
  <c r="D692" i="1"/>
  <c r="E692" i="1" s="1"/>
  <c r="F691" i="1"/>
  <c r="D691" i="1"/>
  <c r="E691" i="1" s="1"/>
  <c r="F690" i="1"/>
  <c r="D690" i="1"/>
  <c r="E690" i="1" s="1"/>
  <c r="F689" i="1"/>
  <c r="D689" i="1"/>
  <c r="E689" i="1" s="1"/>
  <c r="F688" i="1"/>
  <c r="D688" i="1"/>
  <c r="E688" i="1" s="1"/>
  <c r="F687" i="1"/>
  <c r="D687" i="1"/>
  <c r="E687" i="1" s="1"/>
  <c r="F686" i="1"/>
  <c r="D686" i="1"/>
  <c r="E686" i="1" s="1"/>
  <c r="F685" i="1"/>
  <c r="D685" i="1"/>
  <c r="E685" i="1" s="1"/>
  <c r="F684" i="1"/>
  <c r="D684" i="1"/>
  <c r="E684" i="1" s="1"/>
  <c r="F683" i="1"/>
  <c r="D683" i="1"/>
  <c r="E683" i="1" s="1"/>
  <c r="F682" i="1"/>
  <c r="D682" i="1"/>
  <c r="E682" i="1" s="1"/>
  <c r="F681" i="1"/>
  <c r="D681" i="1"/>
  <c r="E681" i="1" s="1"/>
  <c r="F680" i="1"/>
  <c r="D680" i="1"/>
  <c r="E680" i="1" s="1"/>
  <c r="F679" i="1"/>
  <c r="D679" i="1"/>
  <c r="E679" i="1" s="1"/>
  <c r="F678" i="1"/>
  <c r="D678" i="1"/>
  <c r="E678" i="1" s="1"/>
  <c r="F677" i="1"/>
  <c r="D677" i="1"/>
  <c r="E677" i="1" s="1"/>
  <c r="F676" i="1"/>
  <c r="D676" i="1"/>
  <c r="E676" i="1" s="1"/>
  <c r="F675" i="1"/>
  <c r="D675" i="1"/>
  <c r="E675" i="1" s="1"/>
  <c r="F674" i="1"/>
  <c r="D674" i="1"/>
  <c r="E674" i="1" s="1"/>
  <c r="F673" i="1"/>
  <c r="D673" i="1"/>
  <c r="E673" i="1" s="1"/>
  <c r="F672" i="1"/>
  <c r="D672" i="1"/>
  <c r="E672" i="1" s="1"/>
  <c r="F671" i="1"/>
  <c r="D671" i="1"/>
  <c r="E671" i="1" s="1"/>
  <c r="F670" i="1"/>
  <c r="D670" i="1"/>
  <c r="E670" i="1" s="1"/>
  <c r="F669" i="1"/>
  <c r="D669" i="1"/>
  <c r="E669" i="1" s="1"/>
  <c r="F668" i="1"/>
  <c r="D668" i="1"/>
  <c r="E668" i="1" s="1"/>
  <c r="Y666" i="1"/>
  <c r="Z709" i="1"/>
  <c r="AA709" i="1" s="1"/>
  <c r="Z710" i="1"/>
  <c r="AA710" i="1" s="1"/>
  <c r="Z711" i="1"/>
  <c r="AA711" i="1" s="1"/>
  <c r="Z712" i="1"/>
  <c r="AB712" i="1" s="1"/>
  <c r="Z713" i="1"/>
  <c r="AA713" i="1" s="1"/>
  <c r="Z714" i="1"/>
  <c r="AA714" i="1" s="1"/>
  <c r="Z715" i="1"/>
  <c r="AA715" i="1" s="1"/>
  <c r="Z716" i="1"/>
  <c r="AB716" i="1" s="1"/>
  <c r="Z717" i="1"/>
  <c r="AA717" i="1" s="1"/>
  <c r="Z718" i="1"/>
  <c r="AA718" i="1" s="1"/>
  <c r="Z719" i="1"/>
  <c r="AA719" i="1" s="1"/>
  <c r="Z720" i="1"/>
  <c r="AB720" i="1" s="1"/>
  <c r="Z721" i="1"/>
  <c r="AB721" i="1" s="1"/>
  <c r="Z722" i="1"/>
  <c r="AA722" i="1" s="1"/>
  <c r="Z723" i="1"/>
  <c r="AA723" i="1" s="1"/>
  <c r="Z724" i="1"/>
  <c r="AB724" i="1" s="1"/>
  <c r="Z725" i="1"/>
  <c r="AA725" i="1" s="1"/>
  <c r="Z726" i="1"/>
  <c r="AA726" i="1" s="1"/>
  <c r="Z727" i="1"/>
  <c r="AA727" i="1" s="1"/>
  <c r="Z728" i="1"/>
  <c r="AB728" i="1" s="1"/>
  <c r="Z691" i="1"/>
  <c r="AB691" i="1" s="1"/>
  <c r="Z692" i="1"/>
  <c r="AA692" i="1" s="1"/>
  <c r="Z693" i="1"/>
  <c r="AA693" i="1" s="1"/>
  <c r="Z694" i="1"/>
  <c r="AB694" i="1" s="1"/>
  <c r="Z695" i="1"/>
  <c r="AB695" i="1" s="1"/>
  <c r="Z696" i="1"/>
  <c r="AA696" i="1" s="1"/>
  <c r="Z697" i="1"/>
  <c r="AA697" i="1" s="1"/>
  <c r="Z698" i="1"/>
  <c r="AB698" i="1" s="1"/>
  <c r="Z699" i="1"/>
  <c r="AB699" i="1" s="1"/>
  <c r="Z700" i="1"/>
  <c r="AA700" i="1" s="1"/>
  <c r="Z701" i="1"/>
  <c r="AA701" i="1" s="1"/>
  <c r="Z702" i="1"/>
  <c r="AB702" i="1" s="1"/>
  <c r="Z703" i="1"/>
  <c r="AB703" i="1" s="1"/>
  <c r="Z704" i="1"/>
  <c r="AA704" i="1" s="1"/>
  <c r="Z705" i="1"/>
  <c r="AA705" i="1" s="1"/>
  <c r="Z706" i="1"/>
  <c r="AB706" i="1" s="1"/>
  <c r="Z707" i="1"/>
  <c r="AB707" i="1" s="1"/>
  <c r="Z708" i="1"/>
  <c r="AB708" i="1" s="1"/>
  <c r="Z658" i="1"/>
  <c r="AB658" i="1" s="1"/>
  <c r="Z659" i="1"/>
  <c r="AB659" i="1" s="1"/>
  <c r="Z660" i="1"/>
  <c r="AA660" i="1" s="1"/>
  <c r="Z661" i="1"/>
  <c r="AA661" i="1" s="1"/>
  <c r="Z662" i="1"/>
  <c r="AB662" i="1" s="1"/>
  <c r="Z663" i="1"/>
  <c r="AA663" i="1" s="1"/>
  <c r="Z664" i="1"/>
  <c r="AA664" i="1" s="1"/>
  <c r="Z665" i="1"/>
  <c r="AA665" i="1" s="1"/>
  <c r="Z666" i="1"/>
  <c r="AB666" i="1" s="1"/>
  <c r="Z667" i="1"/>
  <c r="AB667" i="1" s="1"/>
  <c r="Z668" i="1"/>
  <c r="AA668" i="1" s="1"/>
  <c r="Z669" i="1"/>
  <c r="AA669" i="1" s="1"/>
  <c r="Z670" i="1"/>
  <c r="AA670" i="1" s="1"/>
  <c r="Z671" i="1"/>
  <c r="AA671" i="1" s="1"/>
  <c r="Z672" i="1"/>
  <c r="AB672" i="1" s="1"/>
  <c r="Z673" i="1"/>
  <c r="AB673" i="1" s="1"/>
  <c r="Z674" i="1"/>
  <c r="AA674" i="1" s="1"/>
  <c r="Z675" i="1"/>
  <c r="AA675" i="1" s="1"/>
  <c r="Z676" i="1"/>
  <c r="AB676" i="1" s="1"/>
  <c r="Z677" i="1"/>
  <c r="AA677" i="1" s="1"/>
  <c r="Z678" i="1"/>
  <c r="AA678" i="1" s="1"/>
  <c r="Z679" i="1"/>
  <c r="AA679" i="1" s="1"/>
  <c r="Z680" i="1"/>
  <c r="AB680" i="1" s="1"/>
  <c r="Z681" i="1"/>
  <c r="AB681" i="1" s="1"/>
  <c r="Z682" i="1"/>
  <c r="AA682" i="1" s="1"/>
  <c r="Z683" i="1"/>
  <c r="AA683" i="1" s="1"/>
  <c r="Z684" i="1"/>
  <c r="AB684" i="1" s="1"/>
  <c r="Z685" i="1"/>
  <c r="AA685" i="1" s="1"/>
  <c r="Z686" i="1"/>
  <c r="AA686" i="1" s="1"/>
  <c r="Z687" i="1"/>
  <c r="AA687" i="1" s="1"/>
  <c r="Z688" i="1"/>
  <c r="AB688" i="1" s="1"/>
  <c r="Z689" i="1"/>
  <c r="AB689" i="1" s="1"/>
  <c r="Z690" i="1"/>
  <c r="AA690" i="1" s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Z630" i="1"/>
  <c r="AB630" i="1" s="1"/>
  <c r="Z631" i="1"/>
  <c r="AA631" i="1" s="1"/>
  <c r="Z632" i="1"/>
  <c r="AA632" i="1" s="1"/>
  <c r="Z633" i="1"/>
  <c r="AB633" i="1" s="1"/>
  <c r="Z634" i="1"/>
  <c r="AB634" i="1" s="1"/>
  <c r="Z635" i="1"/>
  <c r="AA635" i="1" s="1"/>
  <c r="Z636" i="1"/>
  <c r="AA636" i="1" s="1"/>
  <c r="Z637" i="1"/>
  <c r="AB637" i="1" s="1"/>
  <c r="Z638" i="1"/>
  <c r="AB638" i="1" s="1"/>
  <c r="Z639" i="1"/>
  <c r="AB639" i="1" s="1"/>
  <c r="Z640" i="1"/>
  <c r="AA640" i="1" s="1"/>
  <c r="Z641" i="1"/>
  <c r="AB641" i="1" s="1"/>
  <c r="Z642" i="1"/>
  <c r="AB642" i="1" s="1"/>
  <c r="Z643" i="1"/>
  <c r="AA643" i="1" s="1"/>
  <c r="Z644" i="1"/>
  <c r="AA644" i="1" s="1"/>
  <c r="Z645" i="1"/>
  <c r="AB645" i="1" s="1"/>
  <c r="Z646" i="1"/>
  <c r="AB646" i="1" s="1"/>
  <c r="Z647" i="1"/>
  <c r="AA647" i="1" s="1"/>
  <c r="Z648" i="1"/>
  <c r="AA648" i="1" s="1"/>
  <c r="Z649" i="1"/>
  <c r="AB649" i="1" s="1"/>
  <c r="Z650" i="1"/>
  <c r="AB650" i="1" s="1"/>
  <c r="Z651" i="1"/>
  <c r="AA651" i="1" s="1"/>
  <c r="Z652" i="1"/>
  <c r="AA652" i="1" s="1"/>
  <c r="Z653" i="1"/>
  <c r="AB653" i="1" s="1"/>
  <c r="Z654" i="1"/>
  <c r="AB654" i="1" s="1"/>
  <c r="Z655" i="1"/>
  <c r="AB655" i="1" s="1"/>
  <c r="Z656" i="1"/>
  <c r="AA656" i="1" s="1"/>
  <c r="Z657" i="1"/>
  <c r="AB657" i="1" s="1"/>
  <c r="Z601" i="1"/>
  <c r="AB601" i="1" s="1"/>
  <c r="Z602" i="1"/>
  <c r="AA602" i="1" s="1"/>
  <c r="Z603" i="1"/>
  <c r="AA603" i="1" s="1"/>
  <c r="Z604" i="1"/>
  <c r="AA604" i="1" s="1"/>
  <c r="Z605" i="1"/>
  <c r="AB605" i="1" s="1"/>
  <c r="Z606" i="1"/>
  <c r="AB606" i="1" s="1"/>
  <c r="Z607" i="1"/>
  <c r="AA607" i="1" s="1"/>
  <c r="Z608" i="1"/>
  <c r="AA608" i="1" s="1"/>
  <c r="Z609" i="1"/>
  <c r="AB609" i="1" s="1"/>
  <c r="Z610" i="1"/>
  <c r="AB610" i="1" s="1"/>
  <c r="Z611" i="1"/>
  <c r="AA611" i="1" s="1"/>
  <c r="Z612" i="1"/>
  <c r="AA612" i="1" s="1"/>
  <c r="Z613" i="1"/>
  <c r="AB613" i="1" s="1"/>
  <c r="Z614" i="1"/>
  <c r="AB614" i="1" s="1"/>
  <c r="Z615" i="1"/>
  <c r="AA615" i="1" s="1"/>
  <c r="Z616" i="1"/>
  <c r="AA616" i="1" s="1"/>
  <c r="Z617" i="1"/>
  <c r="AB617" i="1" s="1"/>
  <c r="Z618" i="1"/>
  <c r="AB618" i="1" s="1"/>
  <c r="Z619" i="1"/>
  <c r="AA619" i="1" s="1"/>
  <c r="Z620" i="1"/>
  <c r="AA620" i="1" s="1"/>
  <c r="Z621" i="1"/>
  <c r="AB621" i="1" s="1"/>
  <c r="Z622" i="1"/>
  <c r="AB622" i="1" s="1"/>
  <c r="Z623" i="1"/>
  <c r="AA623" i="1" s="1"/>
  <c r="Z624" i="1"/>
  <c r="AA624" i="1" s="1"/>
  <c r="Z625" i="1"/>
  <c r="AB625" i="1" s="1"/>
  <c r="Z626" i="1"/>
  <c r="AB626" i="1" s="1"/>
  <c r="Z627" i="1"/>
  <c r="AA627" i="1" s="1"/>
  <c r="Z628" i="1"/>
  <c r="AA628" i="1" s="1"/>
  <c r="Z629" i="1"/>
  <c r="AB629" i="1" s="1"/>
  <c r="Z575" i="1"/>
  <c r="AB575" i="1" s="1"/>
  <c r="Z576" i="1"/>
  <c r="AA576" i="1" s="1"/>
  <c r="Z577" i="1"/>
  <c r="AB577" i="1" s="1"/>
  <c r="Z578" i="1"/>
  <c r="AB578" i="1" s="1"/>
  <c r="Z579" i="1"/>
  <c r="AB579" i="1" s="1"/>
  <c r="Z580" i="1"/>
  <c r="AA580" i="1" s="1"/>
  <c r="Z581" i="1"/>
  <c r="AB581" i="1" s="1"/>
  <c r="Z582" i="1"/>
  <c r="AB582" i="1" s="1"/>
  <c r="Z583" i="1"/>
  <c r="AB583" i="1" s="1"/>
  <c r="Z584" i="1"/>
  <c r="AA584" i="1" s="1"/>
  <c r="Z585" i="1"/>
  <c r="AB585" i="1" s="1"/>
  <c r="Z586" i="1"/>
  <c r="AB586" i="1" s="1"/>
  <c r="Z587" i="1"/>
  <c r="AB587" i="1" s="1"/>
  <c r="Z588" i="1"/>
  <c r="AA588" i="1" s="1"/>
  <c r="Z589" i="1"/>
  <c r="AB589" i="1" s="1"/>
  <c r="Z590" i="1"/>
  <c r="AB590" i="1" s="1"/>
  <c r="Z591" i="1"/>
  <c r="AB591" i="1" s="1"/>
  <c r="Z592" i="1"/>
  <c r="AA592" i="1" s="1"/>
  <c r="Z593" i="1"/>
  <c r="AB593" i="1" s="1"/>
  <c r="Z594" i="1"/>
  <c r="AB594" i="1" s="1"/>
  <c r="Z595" i="1"/>
  <c r="AB595" i="1" s="1"/>
  <c r="Z596" i="1"/>
  <c r="AA596" i="1" s="1"/>
  <c r="Z597" i="1"/>
  <c r="AB597" i="1" s="1"/>
  <c r="Z598" i="1"/>
  <c r="AB598" i="1" s="1"/>
  <c r="Z599" i="1"/>
  <c r="AB599" i="1" s="1"/>
  <c r="Z600" i="1"/>
  <c r="AA600" i="1" s="1"/>
  <c r="Z544" i="1"/>
  <c r="AB544" i="1" s="1"/>
  <c r="Z545" i="1"/>
  <c r="AB545" i="1" s="1"/>
  <c r="Z546" i="1"/>
  <c r="AB546" i="1" s="1"/>
  <c r="Z547" i="1"/>
  <c r="AB547" i="1" s="1"/>
  <c r="Z548" i="1"/>
  <c r="AB548" i="1" s="1"/>
  <c r="Z549" i="1"/>
  <c r="AB549" i="1" s="1"/>
  <c r="Z550" i="1"/>
  <c r="AB550" i="1" s="1"/>
  <c r="Z551" i="1"/>
  <c r="AB551" i="1" s="1"/>
  <c r="Z552" i="1"/>
  <c r="AB552" i="1" s="1"/>
  <c r="Z553" i="1"/>
  <c r="AB553" i="1" s="1"/>
  <c r="Z554" i="1"/>
  <c r="AB554" i="1" s="1"/>
  <c r="Z555" i="1"/>
  <c r="AB555" i="1" s="1"/>
  <c r="Z556" i="1"/>
  <c r="AB556" i="1" s="1"/>
  <c r="Z557" i="1"/>
  <c r="AB557" i="1" s="1"/>
  <c r="Z558" i="1"/>
  <c r="AB558" i="1" s="1"/>
  <c r="Z559" i="1"/>
  <c r="AB559" i="1" s="1"/>
  <c r="Z560" i="1"/>
  <c r="AB560" i="1" s="1"/>
  <c r="Z561" i="1"/>
  <c r="AB561" i="1" s="1"/>
  <c r="Z562" i="1"/>
  <c r="AB562" i="1" s="1"/>
  <c r="Z563" i="1"/>
  <c r="AB563" i="1" s="1"/>
  <c r="Z564" i="1"/>
  <c r="AB564" i="1" s="1"/>
  <c r="Z565" i="1"/>
  <c r="AB565" i="1" s="1"/>
  <c r="Z566" i="1"/>
  <c r="AB566" i="1" s="1"/>
  <c r="Z567" i="1"/>
  <c r="AA567" i="1" s="1"/>
  <c r="Z568" i="1"/>
  <c r="AB568" i="1" s="1"/>
  <c r="Z569" i="1"/>
  <c r="AB569" i="1" s="1"/>
  <c r="Z570" i="1"/>
  <c r="AA570" i="1" s="1"/>
  <c r="Z571" i="1"/>
  <c r="AA571" i="1" s="1"/>
  <c r="Z572" i="1"/>
  <c r="AB572" i="1" s="1"/>
  <c r="Z573" i="1"/>
  <c r="AB573" i="1" s="1"/>
  <c r="Z574" i="1"/>
  <c r="AB574" i="1" s="1"/>
  <c r="Z519" i="1"/>
  <c r="AB519" i="1" s="1"/>
  <c r="Z520" i="1"/>
  <c r="AB520" i="1" s="1"/>
  <c r="Z521" i="1"/>
  <c r="AB521" i="1" s="1"/>
  <c r="Z522" i="1"/>
  <c r="AB522" i="1" s="1"/>
  <c r="Z523" i="1"/>
  <c r="AB523" i="1" s="1"/>
  <c r="Z524" i="1"/>
  <c r="AB524" i="1" s="1"/>
  <c r="Z525" i="1"/>
  <c r="AB525" i="1" s="1"/>
  <c r="Z526" i="1"/>
  <c r="AB526" i="1" s="1"/>
  <c r="Z527" i="1"/>
  <c r="AB527" i="1" s="1"/>
  <c r="Z528" i="1"/>
  <c r="AB528" i="1" s="1"/>
  <c r="Z529" i="1"/>
  <c r="AB529" i="1" s="1"/>
  <c r="Z530" i="1"/>
  <c r="AB530" i="1" s="1"/>
  <c r="Z531" i="1"/>
  <c r="AB531" i="1" s="1"/>
  <c r="Z532" i="1"/>
  <c r="AA532" i="1" s="1"/>
  <c r="Z533" i="1"/>
  <c r="AB533" i="1" s="1"/>
  <c r="Z534" i="1"/>
  <c r="AB534" i="1" s="1"/>
  <c r="Z535" i="1"/>
  <c r="AB535" i="1" s="1"/>
  <c r="Z536" i="1"/>
  <c r="AB536" i="1" s="1"/>
  <c r="Z537" i="1"/>
  <c r="AB537" i="1" s="1"/>
  <c r="Z538" i="1"/>
  <c r="AB538" i="1" s="1"/>
  <c r="Z539" i="1"/>
  <c r="AB539" i="1" s="1"/>
  <c r="Z540" i="1"/>
  <c r="AB540" i="1" s="1"/>
  <c r="Z541" i="1"/>
  <c r="AB541" i="1" s="1"/>
  <c r="Z542" i="1"/>
  <c r="AB542" i="1" s="1"/>
  <c r="Z543" i="1"/>
  <c r="AA543" i="1" s="1"/>
  <c r="Z488" i="1"/>
  <c r="AB488" i="1" s="1"/>
  <c r="Z489" i="1"/>
  <c r="AA489" i="1" s="1"/>
  <c r="Z490" i="1"/>
  <c r="AB490" i="1" s="1"/>
  <c r="Z491" i="1"/>
  <c r="AA491" i="1" s="1"/>
  <c r="Z492" i="1"/>
  <c r="AB492" i="1" s="1"/>
  <c r="Z493" i="1"/>
  <c r="AB493" i="1" s="1"/>
  <c r="Z494" i="1"/>
  <c r="AB494" i="1" s="1"/>
  <c r="Z495" i="1"/>
  <c r="AA495" i="1" s="1"/>
  <c r="Z496" i="1"/>
  <c r="AB496" i="1" s="1"/>
  <c r="Z497" i="1"/>
  <c r="AB497" i="1" s="1"/>
  <c r="Z498" i="1"/>
  <c r="AB498" i="1" s="1"/>
  <c r="Z499" i="1"/>
  <c r="AA499" i="1" s="1"/>
  <c r="Z500" i="1"/>
  <c r="AB500" i="1" s="1"/>
  <c r="Z501" i="1"/>
  <c r="AB501" i="1" s="1"/>
  <c r="Z502" i="1"/>
  <c r="AA502" i="1" s="1"/>
  <c r="Z503" i="1"/>
  <c r="AA503" i="1" s="1"/>
  <c r="Z504" i="1"/>
  <c r="AB504" i="1" s="1"/>
  <c r="Z505" i="1"/>
  <c r="AB505" i="1" s="1"/>
  <c r="Z506" i="1"/>
  <c r="AB506" i="1" s="1"/>
  <c r="Z507" i="1"/>
  <c r="AA507" i="1" s="1"/>
  <c r="Z508" i="1"/>
  <c r="AB508" i="1" s="1"/>
  <c r="Z509" i="1"/>
  <c r="AB509" i="1" s="1"/>
  <c r="Z510" i="1"/>
  <c r="AB510" i="1" s="1"/>
  <c r="Z511" i="1"/>
  <c r="AA511" i="1" s="1"/>
  <c r="Z512" i="1"/>
  <c r="AB512" i="1" s="1"/>
  <c r="Z513" i="1"/>
  <c r="AB513" i="1" s="1"/>
  <c r="Z514" i="1"/>
  <c r="AB514" i="1" s="1"/>
  <c r="Z515" i="1"/>
  <c r="AA515" i="1" s="1"/>
  <c r="Z516" i="1"/>
  <c r="AB516" i="1" s="1"/>
  <c r="Z517" i="1"/>
  <c r="AB517" i="1" s="1"/>
  <c r="Z518" i="1"/>
  <c r="AB518" i="1" s="1"/>
  <c r="Z462" i="1"/>
  <c r="AB462" i="1" s="1"/>
  <c r="Z463" i="1"/>
  <c r="AB463" i="1" s="1"/>
  <c r="Z464" i="1"/>
  <c r="AB464" i="1" s="1"/>
  <c r="Z465" i="1"/>
  <c r="AA465" i="1" s="1"/>
  <c r="Z466" i="1"/>
  <c r="AB466" i="1" s="1"/>
  <c r="Z467" i="1"/>
  <c r="AB467" i="1" s="1"/>
  <c r="Z468" i="1"/>
  <c r="AB468" i="1" s="1"/>
  <c r="Z469" i="1"/>
  <c r="AA469" i="1" s="1"/>
  <c r="Z470" i="1"/>
  <c r="AB470" i="1" s="1"/>
  <c r="Z471" i="1"/>
  <c r="AB471" i="1" s="1"/>
  <c r="Z472" i="1"/>
  <c r="AB472" i="1" s="1"/>
  <c r="Z473" i="1"/>
  <c r="AA473" i="1" s="1"/>
  <c r="Z474" i="1"/>
  <c r="AB474" i="1" s="1"/>
  <c r="Z475" i="1"/>
  <c r="AB475" i="1" s="1"/>
  <c r="Z476" i="1"/>
  <c r="AB476" i="1" s="1"/>
  <c r="Z477" i="1"/>
  <c r="AA477" i="1" s="1"/>
  <c r="Z478" i="1"/>
  <c r="AB478" i="1" s="1"/>
  <c r="Z479" i="1"/>
  <c r="AB479" i="1" s="1"/>
  <c r="Z480" i="1"/>
  <c r="AB480" i="1" s="1"/>
  <c r="Z481" i="1"/>
  <c r="AA481" i="1" s="1"/>
  <c r="Z482" i="1"/>
  <c r="AB482" i="1" s="1"/>
  <c r="Z483" i="1"/>
  <c r="AB483" i="1" s="1"/>
  <c r="Z484" i="1"/>
  <c r="AB484" i="1" s="1"/>
  <c r="Z485" i="1"/>
  <c r="AA485" i="1" s="1"/>
  <c r="Z486" i="1"/>
  <c r="AB486" i="1" s="1"/>
  <c r="Z487" i="1"/>
  <c r="AB487" i="1" s="1"/>
  <c r="Z442" i="1"/>
  <c r="AB442" i="1" s="1"/>
  <c r="Z443" i="1"/>
  <c r="AB443" i="1" s="1"/>
  <c r="Z444" i="1"/>
  <c r="AA444" i="1" s="1"/>
  <c r="Z445" i="1"/>
  <c r="AB445" i="1" s="1"/>
  <c r="Z446" i="1"/>
  <c r="AB446" i="1" s="1"/>
  <c r="Z447" i="1"/>
  <c r="AB447" i="1" s="1"/>
  <c r="Z448" i="1"/>
  <c r="AA448" i="1" s="1"/>
  <c r="Z449" i="1"/>
  <c r="AB449" i="1" s="1"/>
  <c r="Z450" i="1"/>
  <c r="AB450" i="1" s="1"/>
  <c r="Z451" i="1"/>
  <c r="AB451" i="1" s="1"/>
  <c r="Z452" i="1"/>
  <c r="AA452" i="1" s="1"/>
  <c r="Z453" i="1"/>
  <c r="AB453" i="1" s="1"/>
  <c r="Z454" i="1"/>
  <c r="AB454" i="1" s="1"/>
  <c r="Z455" i="1"/>
  <c r="AA455" i="1" s="1"/>
  <c r="Z456" i="1"/>
  <c r="AA456" i="1" s="1"/>
  <c r="Z457" i="1"/>
  <c r="AB457" i="1" s="1"/>
  <c r="Z458" i="1"/>
  <c r="AB458" i="1" s="1"/>
  <c r="Z459" i="1"/>
  <c r="AB459" i="1" s="1"/>
  <c r="Z460" i="1"/>
  <c r="AA460" i="1" s="1"/>
  <c r="Z461" i="1"/>
  <c r="AB461" i="1" s="1"/>
  <c r="Z424" i="1"/>
  <c r="AA424" i="1" s="1"/>
  <c r="Z425" i="1"/>
  <c r="AB425" i="1" s="1"/>
  <c r="Z426" i="1"/>
  <c r="AA426" i="1" s="1"/>
  <c r="Z427" i="1"/>
  <c r="AB427" i="1" s="1"/>
  <c r="Z428" i="1"/>
  <c r="AA428" i="1" s="1"/>
  <c r="Z429" i="1"/>
  <c r="AB429" i="1" s="1"/>
  <c r="Z430" i="1"/>
  <c r="AA430" i="1" s="1"/>
  <c r="Z431" i="1"/>
  <c r="AB431" i="1" s="1"/>
  <c r="Z432" i="1"/>
  <c r="AB432" i="1" s="1"/>
  <c r="Z433" i="1"/>
  <c r="AB433" i="1" s="1"/>
  <c r="Z434" i="1"/>
  <c r="AA434" i="1" s="1"/>
  <c r="Z435" i="1"/>
  <c r="AB435" i="1" s="1"/>
  <c r="Z436" i="1"/>
  <c r="AB436" i="1" s="1"/>
  <c r="Z437" i="1"/>
  <c r="AA437" i="1" s="1"/>
  <c r="Z438" i="1"/>
  <c r="AA438" i="1" s="1"/>
  <c r="Z439" i="1"/>
  <c r="AB439" i="1" s="1"/>
  <c r="Z440" i="1"/>
  <c r="AB440" i="1" s="1"/>
  <c r="Z441" i="1"/>
  <c r="AB441" i="1" s="1"/>
  <c r="Z403" i="1"/>
  <c r="AA403" i="1" s="1"/>
  <c r="Z404" i="1"/>
  <c r="AB404" i="1" s="1"/>
  <c r="Z405" i="1"/>
  <c r="AA405" i="1" s="1"/>
  <c r="Z406" i="1"/>
  <c r="AB406" i="1" s="1"/>
  <c r="Z407" i="1"/>
  <c r="AA407" i="1" s="1"/>
  <c r="Z408" i="1"/>
  <c r="AB408" i="1" s="1"/>
  <c r="Z409" i="1"/>
  <c r="AA409" i="1" s="1"/>
  <c r="Z410" i="1"/>
  <c r="AB410" i="1" s="1"/>
  <c r="Z411" i="1"/>
  <c r="AB411" i="1" s="1"/>
  <c r="Z412" i="1"/>
  <c r="AB412" i="1" s="1"/>
  <c r="Z413" i="1"/>
  <c r="AA413" i="1" s="1"/>
  <c r="Z414" i="1"/>
  <c r="AB414" i="1" s="1"/>
  <c r="Z415" i="1"/>
  <c r="AB415" i="1" s="1"/>
  <c r="Z416" i="1"/>
  <c r="AA416" i="1" s="1"/>
  <c r="Z417" i="1"/>
  <c r="AA417" i="1" s="1"/>
  <c r="Z418" i="1"/>
  <c r="AB418" i="1" s="1"/>
  <c r="Z419" i="1"/>
  <c r="AA419" i="1" s="1"/>
  <c r="Z420" i="1"/>
  <c r="AB420" i="1" s="1"/>
  <c r="Z421" i="1"/>
  <c r="AA421" i="1" s="1"/>
  <c r="Z422" i="1"/>
  <c r="AB422" i="1" s="1"/>
  <c r="Z423" i="1"/>
  <c r="AA423" i="1" s="1"/>
  <c r="Z381" i="1"/>
  <c r="AB381" i="1" s="1"/>
  <c r="Z382" i="1"/>
  <c r="AB382" i="1" s="1"/>
  <c r="Z383" i="1"/>
  <c r="AB383" i="1" s="1"/>
  <c r="Z384" i="1"/>
  <c r="AB384" i="1" s="1"/>
  <c r="Z385" i="1"/>
  <c r="AB385" i="1" s="1"/>
  <c r="Z386" i="1"/>
  <c r="AB386" i="1" s="1"/>
  <c r="Z387" i="1"/>
  <c r="AB387" i="1" s="1"/>
  <c r="Z388" i="1"/>
  <c r="AB388" i="1" s="1"/>
  <c r="Z389" i="1"/>
  <c r="AB389" i="1" s="1"/>
  <c r="Z390" i="1"/>
  <c r="AB390" i="1" s="1"/>
  <c r="Z391" i="1"/>
  <c r="AB391" i="1" s="1"/>
  <c r="Z392" i="1"/>
  <c r="AB392" i="1" s="1"/>
  <c r="Z393" i="1"/>
  <c r="AA393" i="1" s="1"/>
  <c r="Z394" i="1"/>
  <c r="AB394" i="1" s="1"/>
  <c r="Z395" i="1"/>
  <c r="AB395" i="1" s="1"/>
  <c r="Z396" i="1"/>
  <c r="AB396" i="1" s="1"/>
  <c r="Z397" i="1"/>
  <c r="AA397" i="1" s="1"/>
  <c r="Z398" i="1"/>
  <c r="AB398" i="1" s="1"/>
  <c r="Z399" i="1"/>
  <c r="AB399" i="1" s="1"/>
  <c r="Z400" i="1"/>
  <c r="AB400" i="1" s="1"/>
  <c r="Z401" i="1"/>
  <c r="AA401" i="1" s="1"/>
  <c r="Z402" i="1"/>
  <c r="AB402" i="1" s="1"/>
  <c r="Z355" i="1"/>
  <c r="AB355" i="1" s="1"/>
  <c r="Z356" i="1"/>
  <c r="AB356" i="1" s="1"/>
  <c r="Z357" i="1"/>
  <c r="AA357" i="1" s="1"/>
  <c r="Z358" i="1"/>
  <c r="AA358" i="1" s="1"/>
  <c r="Z359" i="1"/>
  <c r="AB359" i="1" s="1"/>
  <c r="Z360" i="1"/>
  <c r="AB360" i="1" s="1"/>
  <c r="Z361" i="1"/>
  <c r="AB361" i="1" s="1"/>
  <c r="Z362" i="1"/>
  <c r="AA362" i="1" s="1"/>
  <c r="Z363" i="1"/>
  <c r="AB363" i="1" s="1"/>
  <c r="Z364" i="1"/>
  <c r="AB364" i="1" s="1"/>
  <c r="Z365" i="1"/>
  <c r="AB365" i="1" s="1"/>
  <c r="Z366" i="1"/>
  <c r="AA366" i="1" s="1"/>
  <c r="Z367" i="1"/>
  <c r="AB367" i="1" s="1"/>
  <c r="Z368" i="1"/>
  <c r="AB368" i="1" s="1"/>
  <c r="Z369" i="1"/>
  <c r="AB369" i="1" s="1"/>
  <c r="Z370" i="1"/>
  <c r="AA370" i="1" s="1"/>
  <c r="Z371" i="1"/>
  <c r="AB371" i="1" s="1"/>
  <c r="Z372" i="1"/>
  <c r="AB372" i="1" s="1"/>
  <c r="Z373" i="1"/>
  <c r="AA373" i="1" s="1"/>
  <c r="Z374" i="1"/>
  <c r="AA374" i="1" s="1"/>
  <c r="Z375" i="1"/>
  <c r="AB375" i="1" s="1"/>
  <c r="Z376" i="1"/>
  <c r="AB376" i="1" s="1"/>
  <c r="Z377" i="1"/>
  <c r="AB377" i="1" s="1"/>
  <c r="Z378" i="1"/>
  <c r="AA378" i="1" s="1"/>
  <c r="Z379" i="1"/>
  <c r="AB379" i="1" s="1"/>
  <c r="Z380" i="1"/>
  <c r="AA380" i="1" s="1"/>
  <c r="F667" i="1"/>
  <c r="D667" i="1"/>
  <c r="E667" i="1" s="1"/>
  <c r="F666" i="1"/>
  <c r="D666" i="1"/>
  <c r="E666" i="1" s="1"/>
  <c r="F665" i="1"/>
  <c r="D665" i="1"/>
  <c r="E665" i="1" s="1"/>
  <c r="F664" i="1"/>
  <c r="D664" i="1"/>
  <c r="E664" i="1" s="1"/>
  <c r="F663" i="1"/>
  <c r="D663" i="1"/>
  <c r="E663" i="1" s="1"/>
  <c r="F662" i="1"/>
  <c r="D662" i="1"/>
  <c r="E662" i="1" s="1"/>
  <c r="F661" i="1"/>
  <c r="D661" i="1"/>
  <c r="E661" i="1" s="1"/>
  <c r="F660" i="1"/>
  <c r="D660" i="1"/>
  <c r="E660" i="1" s="1"/>
  <c r="F659" i="1"/>
  <c r="D659" i="1"/>
  <c r="E659" i="1" s="1"/>
  <c r="F658" i="1"/>
  <c r="D658" i="1"/>
  <c r="E658" i="1" s="1"/>
  <c r="F657" i="1"/>
  <c r="D657" i="1"/>
  <c r="E657" i="1" s="1"/>
  <c r="F656" i="1"/>
  <c r="D656" i="1"/>
  <c r="E656" i="1" s="1"/>
  <c r="F655" i="1"/>
  <c r="D655" i="1"/>
  <c r="E655" i="1" s="1"/>
  <c r="F654" i="1"/>
  <c r="D654" i="1"/>
  <c r="E654" i="1" s="1"/>
  <c r="F653" i="1"/>
  <c r="D653" i="1"/>
  <c r="E653" i="1" s="1"/>
  <c r="F652" i="1"/>
  <c r="D652" i="1"/>
  <c r="E652" i="1" s="1"/>
  <c r="F651" i="1"/>
  <c r="D651" i="1"/>
  <c r="E651" i="1" s="1"/>
  <c r="F650" i="1"/>
  <c r="D650" i="1"/>
  <c r="E650" i="1" s="1"/>
  <c r="F649" i="1"/>
  <c r="D649" i="1"/>
  <c r="E649" i="1" s="1"/>
  <c r="F648" i="1"/>
  <c r="D648" i="1"/>
  <c r="E648" i="1" s="1"/>
  <c r="F647" i="1"/>
  <c r="D647" i="1"/>
  <c r="E647" i="1" s="1"/>
  <c r="F646" i="1"/>
  <c r="D646" i="1"/>
  <c r="E646" i="1" s="1"/>
  <c r="F645" i="1"/>
  <c r="D645" i="1"/>
  <c r="E645" i="1" s="1"/>
  <c r="F644" i="1"/>
  <c r="D644" i="1"/>
  <c r="E644" i="1" s="1"/>
  <c r="F643" i="1"/>
  <c r="D643" i="1"/>
  <c r="E643" i="1" s="1"/>
  <c r="F642" i="1"/>
  <c r="D642" i="1"/>
  <c r="E642" i="1" s="1"/>
  <c r="F641" i="1"/>
  <c r="D641" i="1"/>
  <c r="E641" i="1" s="1"/>
  <c r="F640" i="1"/>
  <c r="D640" i="1"/>
  <c r="E640" i="1" s="1"/>
  <c r="F639" i="1"/>
  <c r="D639" i="1"/>
  <c r="E639" i="1" s="1"/>
  <c r="F638" i="1"/>
  <c r="D638" i="1"/>
  <c r="E638" i="1" s="1"/>
  <c r="F637" i="1"/>
  <c r="D637" i="1"/>
  <c r="E637" i="1" s="1"/>
  <c r="F636" i="1"/>
  <c r="D636" i="1"/>
  <c r="E636" i="1" s="1"/>
  <c r="F635" i="1"/>
  <c r="D635" i="1"/>
  <c r="E635" i="1" s="1"/>
  <c r="F634" i="1"/>
  <c r="D634" i="1"/>
  <c r="E634" i="1" s="1"/>
  <c r="F633" i="1"/>
  <c r="D633" i="1"/>
  <c r="E633" i="1" s="1"/>
  <c r="F632" i="1"/>
  <c r="D632" i="1"/>
  <c r="E632" i="1" s="1"/>
  <c r="F631" i="1"/>
  <c r="D631" i="1"/>
  <c r="E631" i="1" s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7" i="1"/>
  <c r="F630" i="1"/>
  <c r="D630" i="1"/>
  <c r="E630" i="1" s="1"/>
  <c r="F629" i="1"/>
  <c r="D629" i="1"/>
  <c r="E629" i="1" s="1"/>
  <c r="F628" i="1"/>
  <c r="D628" i="1"/>
  <c r="E628" i="1" s="1"/>
  <c r="F627" i="1"/>
  <c r="D627" i="1"/>
  <c r="E627" i="1" s="1"/>
  <c r="F626" i="1"/>
  <c r="D626" i="1"/>
  <c r="E626" i="1" s="1"/>
  <c r="F625" i="1"/>
  <c r="D625" i="1"/>
  <c r="E625" i="1" s="1"/>
  <c r="F624" i="1"/>
  <c r="D624" i="1"/>
  <c r="E624" i="1" s="1"/>
  <c r="F623" i="1"/>
  <c r="D623" i="1"/>
  <c r="E623" i="1" s="1"/>
  <c r="F622" i="1"/>
  <c r="D622" i="1"/>
  <c r="E622" i="1" s="1"/>
  <c r="F621" i="1"/>
  <c r="D621" i="1"/>
  <c r="E621" i="1" s="1"/>
  <c r="F620" i="1"/>
  <c r="D620" i="1"/>
  <c r="E620" i="1" s="1"/>
  <c r="F619" i="1"/>
  <c r="D619" i="1"/>
  <c r="E619" i="1" s="1"/>
  <c r="F618" i="1"/>
  <c r="D618" i="1"/>
  <c r="E618" i="1" s="1"/>
  <c r="F617" i="1"/>
  <c r="D617" i="1"/>
  <c r="E617" i="1" s="1"/>
  <c r="F616" i="1"/>
  <c r="D616" i="1"/>
  <c r="E616" i="1" s="1"/>
  <c r="F615" i="1"/>
  <c r="D615" i="1"/>
  <c r="E615" i="1" s="1"/>
  <c r="F614" i="1"/>
  <c r="D614" i="1"/>
  <c r="E614" i="1" s="1"/>
  <c r="F613" i="1"/>
  <c r="D613" i="1"/>
  <c r="E613" i="1" s="1"/>
  <c r="F612" i="1"/>
  <c r="D612" i="1"/>
  <c r="E612" i="1" s="1"/>
  <c r="F611" i="1"/>
  <c r="D611" i="1"/>
  <c r="E611" i="1" s="1"/>
  <c r="F610" i="1"/>
  <c r="D610" i="1"/>
  <c r="E610" i="1" s="1"/>
  <c r="F609" i="1"/>
  <c r="D609" i="1"/>
  <c r="E609" i="1" s="1"/>
  <c r="F608" i="1"/>
  <c r="D608" i="1"/>
  <c r="E608" i="1" s="1"/>
  <c r="F607" i="1"/>
  <c r="D607" i="1"/>
  <c r="E607" i="1" s="1"/>
  <c r="F606" i="1"/>
  <c r="D606" i="1"/>
  <c r="E606" i="1" s="1"/>
  <c r="F605" i="1"/>
  <c r="D605" i="1"/>
  <c r="E605" i="1" s="1"/>
  <c r="F604" i="1"/>
  <c r="D604" i="1"/>
  <c r="E604" i="1" s="1"/>
  <c r="F603" i="1"/>
  <c r="D603" i="1"/>
  <c r="E603" i="1" s="1"/>
  <c r="F602" i="1"/>
  <c r="D602" i="1"/>
  <c r="E602" i="1" s="1"/>
  <c r="F601" i="1"/>
  <c r="D601" i="1"/>
  <c r="E601" i="1" s="1"/>
  <c r="F600" i="1"/>
  <c r="D600" i="1"/>
  <c r="E600" i="1" s="1"/>
  <c r="F599" i="1"/>
  <c r="D599" i="1"/>
  <c r="E599" i="1" s="1"/>
  <c r="AA1026" i="1" l="1"/>
  <c r="AA1025" i="1"/>
  <c r="AA1024" i="1"/>
  <c r="AA1023" i="1"/>
  <c r="AA1022" i="1"/>
  <c r="AA1021" i="1"/>
  <c r="AA1020" i="1"/>
  <c r="AA1019" i="1"/>
  <c r="AA1018" i="1"/>
  <c r="AA1017" i="1"/>
  <c r="AA1016" i="1"/>
  <c r="AA1015" i="1"/>
  <c r="AA1014" i="1"/>
  <c r="AA1013" i="1"/>
  <c r="AA1012" i="1"/>
  <c r="AA1011" i="1"/>
  <c r="AA1010" i="1"/>
  <c r="AA1009" i="1"/>
  <c r="AA1008" i="1"/>
  <c r="AA1007" i="1"/>
  <c r="AA1006" i="1"/>
  <c r="AA1005" i="1"/>
  <c r="AA1004" i="1"/>
  <c r="AA1003" i="1"/>
  <c r="AA1002" i="1"/>
  <c r="AA1001" i="1"/>
  <c r="AA1000" i="1"/>
  <c r="AA999" i="1"/>
  <c r="AA998" i="1"/>
  <c r="AA997" i="1"/>
  <c r="AA996" i="1"/>
  <c r="AA995" i="1"/>
  <c r="AA994" i="1"/>
  <c r="AA993" i="1"/>
  <c r="AA992" i="1"/>
  <c r="AB502" i="1"/>
  <c r="AB792" i="1"/>
  <c r="AA471" i="1"/>
  <c r="AB845" i="1"/>
  <c r="AB836" i="1"/>
  <c r="AB876" i="1"/>
  <c r="AA982" i="1"/>
  <c r="AA991" i="1"/>
  <c r="AA989" i="1"/>
  <c r="AA987" i="1"/>
  <c r="AA985" i="1"/>
  <c r="AA983" i="1"/>
  <c r="AA981" i="1"/>
  <c r="AA979" i="1"/>
  <c r="AA977" i="1"/>
  <c r="AA975" i="1"/>
  <c r="AA974" i="1"/>
  <c r="AA973" i="1"/>
  <c r="AA972" i="1"/>
  <c r="AA970" i="1"/>
  <c r="AA990" i="1"/>
  <c r="AA988" i="1"/>
  <c r="AA986" i="1"/>
  <c r="AA984" i="1"/>
  <c r="AA980" i="1"/>
  <c r="AA978" i="1"/>
  <c r="AA976" i="1"/>
  <c r="AA971" i="1"/>
  <c r="AA966" i="1"/>
  <c r="AA936" i="1"/>
  <c r="AA969" i="1"/>
  <c r="AA968" i="1"/>
  <c r="AA967" i="1"/>
  <c r="AA965" i="1"/>
  <c r="AA964" i="1"/>
  <c r="AA962" i="1"/>
  <c r="AA961" i="1"/>
  <c r="AA960" i="1"/>
  <c r="AA959" i="1"/>
  <c r="AA958" i="1"/>
  <c r="AA957" i="1"/>
  <c r="AA956" i="1"/>
  <c r="AA955" i="1"/>
  <c r="AA954" i="1"/>
  <c r="AA953" i="1"/>
  <c r="AA952" i="1"/>
  <c r="AA951" i="1"/>
  <c r="AA950" i="1"/>
  <c r="AA949" i="1"/>
  <c r="AA948" i="1"/>
  <c r="AA947" i="1"/>
  <c r="AA946" i="1"/>
  <c r="AA945" i="1"/>
  <c r="AA944" i="1"/>
  <c r="AA943" i="1"/>
  <c r="AA942" i="1"/>
  <c r="AA941" i="1"/>
  <c r="AA940" i="1"/>
  <c r="AA939" i="1"/>
  <c r="AA938" i="1"/>
  <c r="AA937" i="1"/>
  <c r="AA935" i="1"/>
  <c r="AA816" i="1"/>
  <c r="AB602" i="1"/>
  <c r="AB758" i="1"/>
  <c r="AB840" i="1"/>
  <c r="AB872" i="1"/>
  <c r="AB869" i="1"/>
  <c r="AA819" i="1"/>
  <c r="AA818" i="1"/>
  <c r="AA817" i="1"/>
  <c r="AA815" i="1"/>
  <c r="AA814" i="1"/>
  <c r="AA813" i="1"/>
  <c r="AA812" i="1"/>
  <c r="AA811" i="1"/>
  <c r="AA844" i="1"/>
  <c r="AB841" i="1"/>
  <c r="AB755" i="1"/>
  <c r="AB837" i="1"/>
  <c r="AA920" i="1"/>
  <c r="AA934" i="1"/>
  <c r="AA933" i="1"/>
  <c r="AA932" i="1"/>
  <c r="AA931" i="1"/>
  <c r="AA930" i="1"/>
  <c r="AA929" i="1"/>
  <c r="AA928" i="1"/>
  <c r="AA927" i="1"/>
  <c r="AA926" i="1"/>
  <c r="AA925" i="1"/>
  <c r="AA924" i="1"/>
  <c r="AA923" i="1"/>
  <c r="AA922" i="1"/>
  <c r="AA921" i="1"/>
  <c r="AA919" i="1"/>
  <c r="AA918" i="1"/>
  <c r="AA917" i="1"/>
  <c r="AA916" i="1"/>
  <c r="AA915" i="1"/>
  <c r="AA914" i="1"/>
  <c r="AA913" i="1"/>
  <c r="AA912" i="1"/>
  <c r="AA911" i="1"/>
  <c r="AA910" i="1"/>
  <c r="AA909" i="1"/>
  <c r="AA908" i="1"/>
  <c r="AA907" i="1"/>
  <c r="AA906" i="1"/>
  <c r="AA905" i="1"/>
  <c r="AA904" i="1"/>
  <c r="AA903" i="1"/>
  <c r="AA902" i="1"/>
  <c r="AA901" i="1"/>
  <c r="AA900" i="1"/>
  <c r="AA899" i="1"/>
  <c r="AA898" i="1"/>
  <c r="AA897" i="1"/>
  <c r="AA896" i="1"/>
  <c r="AA895" i="1"/>
  <c r="AA894" i="1"/>
  <c r="AB880" i="1"/>
  <c r="AB879" i="1"/>
  <c r="AB878" i="1"/>
  <c r="AB877" i="1"/>
  <c r="AB875" i="1"/>
  <c r="AB874" i="1"/>
  <c r="AB873" i="1"/>
  <c r="AB871" i="1"/>
  <c r="AB870" i="1"/>
  <c r="AB868" i="1"/>
  <c r="AB867" i="1"/>
  <c r="AA881" i="1"/>
  <c r="AA893" i="1"/>
  <c r="AA892" i="1"/>
  <c r="AA891" i="1"/>
  <c r="AA890" i="1"/>
  <c r="AA889" i="1"/>
  <c r="AA888" i="1"/>
  <c r="AA887" i="1"/>
  <c r="AA886" i="1"/>
  <c r="AA885" i="1"/>
  <c r="AA884" i="1"/>
  <c r="AA883" i="1"/>
  <c r="AA882" i="1"/>
  <c r="AA866" i="1"/>
  <c r="AA865" i="1"/>
  <c r="AA864" i="1"/>
  <c r="AA863" i="1"/>
  <c r="AA862" i="1"/>
  <c r="AA861" i="1"/>
  <c r="AA860" i="1"/>
  <c r="AA859" i="1"/>
  <c r="AA858" i="1"/>
  <c r="AA857" i="1"/>
  <c r="AA856" i="1"/>
  <c r="AA855" i="1"/>
  <c r="AA854" i="1"/>
  <c r="AA853" i="1"/>
  <c r="AA852" i="1"/>
  <c r="AA851" i="1"/>
  <c r="AA850" i="1"/>
  <c r="AA849" i="1"/>
  <c r="AA848" i="1"/>
  <c r="AA843" i="1"/>
  <c r="AA839" i="1"/>
  <c r="AA835" i="1"/>
  <c r="AB847" i="1"/>
  <c r="AA846" i="1"/>
  <c r="AA842" i="1"/>
  <c r="AA838" i="1"/>
  <c r="AA834" i="1"/>
  <c r="AA820" i="1"/>
  <c r="AA833" i="1"/>
  <c r="AA832" i="1"/>
  <c r="AA831" i="1"/>
  <c r="AA830" i="1"/>
  <c r="AA829" i="1"/>
  <c r="AA828" i="1"/>
  <c r="AA827" i="1"/>
  <c r="AA826" i="1"/>
  <c r="AA825" i="1"/>
  <c r="AA824" i="1"/>
  <c r="AA823" i="1"/>
  <c r="AA822" i="1"/>
  <c r="AA821" i="1"/>
  <c r="AB685" i="1"/>
  <c r="AA667" i="1"/>
  <c r="AB664" i="1"/>
  <c r="AB619" i="1"/>
  <c r="AB643" i="1"/>
  <c r="AB742" i="1"/>
  <c r="AA479" i="1"/>
  <c r="AA540" i="1"/>
  <c r="AA754" i="1"/>
  <c r="AB751" i="1"/>
  <c r="AB611" i="1"/>
  <c r="AA451" i="1"/>
  <c r="AA487" i="1"/>
  <c r="AA510" i="1"/>
  <c r="AA566" i="1"/>
  <c r="AB627" i="1"/>
  <c r="AA750" i="1"/>
  <c r="AA463" i="1"/>
  <c r="AA518" i="1"/>
  <c r="AA494" i="1"/>
  <c r="AB532" i="1"/>
  <c r="AB603" i="1"/>
  <c r="AB686" i="1"/>
  <c r="AA659" i="1"/>
  <c r="AB759" i="1"/>
  <c r="AA746" i="1"/>
  <c r="AB743" i="1"/>
  <c r="AB448" i="1"/>
  <c r="AB739" i="1"/>
  <c r="AB747" i="1"/>
  <c r="AB722" i="1"/>
  <c r="AA809" i="1"/>
  <c r="AA807" i="1"/>
  <c r="AA805" i="1"/>
  <c r="AA803" i="1"/>
  <c r="AA801" i="1"/>
  <c r="AA799" i="1"/>
  <c r="AA796" i="1"/>
  <c r="AA794" i="1"/>
  <c r="AA793" i="1"/>
  <c r="AA790" i="1"/>
  <c r="AA788" i="1"/>
  <c r="AA810" i="1"/>
  <c r="AA808" i="1"/>
  <c r="AA806" i="1"/>
  <c r="AA804" i="1"/>
  <c r="AA802" i="1"/>
  <c r="AA800" i="1"/>
  <c r="AA798" i="1"/>
  <c r="AA795" i="1"/>
  <c r="AA789" i="1"/>
  <c r="AA787" i="1"/>
  <c r="AA786" i="1"/>
  <c r="AA785" i="1"/>
  <c r="AA784" i="1"/>
  <c r="AA783" i="1"/>
  <c r="AA782" i="1"/>
  <c r="AA781" i="1"/>
  <c r="AA780" i="1"/>
  <c r="AA779" i="1"/>
  <c r="AA778" i="1"/>
  <c r="AA777" i="1"/>
  <c r="AA776" i="1"/>
  <c r="AA775" i="1"/>
  <c r="AA774" i="1"/>
  <c r="AA773" i="1"/>
  <c r="AA772" i="1"/>
  <c r="AA771" i="1"/>
  <c r="AA770" i="1"/>
  <c r="AA769" i="1"/>
  <c r="AA768" i="1"/>
  <c r="AA767" i="1"/>
  <c r="AA766" i="1"/>
  <c r="AA765" i="1"/>
  <c r="AA764" i="1"/>
  <c r="AA763" i="1"/>
  <c r="AA762" i="1"/>
  <c r="AB760" i="1"/>
  <c r="AB756" i="1"/>
  <c r="AB752" i="1"/>
  <c r="AB748" i="1"/>
  <c r="AB744" i="1"/>
  <c r="AA761" i="1"/>
  <c r="AA757" i="1"/>
  <c r="AA753" i="1"/>
  <c r="AA749" i="1"/>
  <c r="AA745" i="1"/>
  <c r="AB485" i="1"/>
  <c r="AB469" i="1"/>
  <c r="AB623" i="1"/>
  <c r="AB607" i="1"/>
  <c r="AB656" i="1"/>
  <c r="AB640" i="1"/>
  <c r="AB668" i="1"/>
  <c r="AB704" i="1"/>
  <c r="AB663" i="1"/>
  <c r="AB477" i="1"/>
  <c r="AB615" i="1"/>
  <c r="AB647" i="1"/>
  <c r="AB631" i="1"/>
  <c r="AB677" i="1"/>
  <c r="AB660" i="1"/>
  <c r="AA738" i="1"/>
  <c r="AB735" i="1"/>
  <c r="AA734" i="1"/>
  <c r="AB731" i="1"/>
  <c r="AB730" i="1"/>
  <c r="AA741" i="1"/>
  <c r="AA737" i="1"/>
  <c r="AA733" i="1"/>
  <c r="AA729" i="1"/>
  <c r="AA740" i="1"/>
  <c r="AA736" i="1"/>
  <c r="AA732" i="1"/>
  <c r="AB725" i="1"/>
  <c r="AB709" i="1"/>
  <c r="AB713" i="1"/>
  <c r="AB700" i="1"/>
  <c r="AB696" i="1"/>
  <c r="AB692" i="1"/>
  <c r="AB690" i="1"/>
  <c r="AA689" i="1"/>
  <c r="AB682" i="1"/>
  <c r="AA681" i="1"/>
  <c r="AB678" i="1"/>
  <c r="AB674" i="1"/>
  <c r="AA524" i="1"/>
  <c r="AA673" i="1"/>
  <c r="AB670" i="1"/>
  <c r="AB374" i="1"/>
  <c r="AA483" i="1"/>
  <c r="AA506" i="1"/>
  <c r="AA536" i="1"/>
  <c r="AA528" i="1"/>
  <c r="AA520" i="1"/>
  <c r="AA574" i="1"/>
  <c r="AB571" i="1"/>
  <c r="AA597" i="1"/>
  <c r="AA622" i="1"/>
  <c r="AA614" i="1"/>
  <c r="AA606" i="1"/>
  <c r="AA655" i="1"/>
  <c r="AB652" i="1"/>
  <c r="AA676" i="1"/>
  <c r="AB357" i="1"/>
  <c r="AB455" i="1"/>
  <c r="AB489" i="1"/>
  <c r="AB570" i="1"/>
  <c r="AB600" i="1"/>
  <c r="AB596" i="1"/>
  <c r="AB592" i="1"/>
  <c r="AB588" i="1"/>
  <c r="AB584" i="1"/>
  <c r="AB580" i="1"/>
  <c r="AB576" i="1"/>
  <c r="AB651" i="1"/>
  <c r="AB644" i="1"/>
  <c r="AB635" i="1"/>
  <c r="AB687" i="1"/>
  <c r="AB683" i="1"/>
  <c r="AB679" i="1"/>
  <c r="AB675" i="1"/>
  <c r="AB671" i="1"/>
  <c r="AB665" i="1"/>
  <c r="AB661" i="1"/>
  <c r="AA708" i="1"/>
  <c r="AB705" i="1"/>
  <c r="AB701" i="1"/>
  <c r="AB697" i="1"/>
  <c r="AB693" i="1"/>
  <c r="AB726" i="1"/>
  <c r="AB717" i="1"/>
  <c r="AB710" i="1"/>
  <c r="AA377" i="1"/>
  <c r="AA475" i="1"/>
  <c r="AA467" i="1"/>
  <c r="AA514" i="1"/>
  <c r="AA498" i="1"/>
  <c r="AA490" i="1"/>
  <c r="AA593" i="1"/>
  <c r="AA589" i="1"/>
  <c r="AA585" i="1"/>
  <c r="AA581" i="1"/>
  <c r="AA577" i="1"/>
  <c r="AA626" i="1"/>
  <c r="AA618" i="1"/>
  <c r="AA610" i="1"/>
  <c r="AA639" i="1"/>
  <c r="AB636" i="1"/>
  <c r="AA688" i="1"/>
  <c r="AA684" i="1"/>
  <c r="AA680" i="1"/>
  <c r="AA672" i="1"/>
  <c r="AA666" i="1"/>
  <c r="AA662" i="1"/>
  <c r="AA658" i="1"/>
  <c r="AA721" i="1"/>
  <c r="AB718" i="1"/>
  <c r="AB452" i="1"/>
  <c r="AB481" i="1"/>
  <c r="AB473" i="1"/>
  <c r="AB465" i="1"/>
  <c r="AB567" i="1"/>
  <c r="AB628" i="1"/>
  <c r="AB624" i="1"/>
  <c r="AB620" i="1"/>
  <c r="AB616" i="1"/>
  <c r="AB612" i="1"/>
  <c r="AB608" i="1"/>
  <c r="AB604" i="1"/>
  <c r="AB648" i="1"/>
  <c r="AB632" i="1"/>
  <c r="AB714" i="1"/>
  <c r="AB669" i="1"/>
  <c r="AA724" i="1"/>
  <c r="AB727" i="1"/>
  <c r="AB723" i="1"/>
  <c r="AB719" i="1"/>
  <c r="AB715" i="1"/>
  <c r="AB711" i="1"/>
  <c r="AA728" i="1"/>
  <c r="AA720" i="1"/>
  <c r="AA716" i="1"/>
  <c r="AA712" i="1"/>
  <c r="AA707" i="1"/>
  <c r="AA703" i="1"/>
  <c r="AA699" i="1"/>
  <c r="AA695" i="1"/>
  <c r="AA691" i="1"/>
  <c r="AA706" i="1"/>
  <c r="AA702" i="1"/>
  <c r="AA698" i="1"/>
  <c r="AA694" i="1"/>
  <c r="AA654" i="1"/>
  <c r="AA650" i="1"/>
  <c r="AA646" i="1"/>
  <c r="AA642" i="1"/>
  <c r="AA638" i="1"/>
  <c r="AA634" i="1"/>
  <c r="AA630" i="1"/>
  <c r="AA657" i="1"/>
  <c r="AA653" i="1"/>
  <c r="AA649" i="1"/>
  <c r="AA645" i="1"/>
  <c r="AA641" i="1"/>
  <c r="AA637" i="1"/>
  <c r="AA633" i="1"/>
  <c r="AA629" i="1"/>
  <c r="AA625" i="1"/>
  <c r="AA621" i="1"/>
  <c r="AA617" i="1"/>
  <c r="AA613" i="1"/>
  <c r="AA609" i="1"/>
  <c r="AA605" i="1"/>
  <c r="AA601" i="1"/>
  <c r="AA599" i="1"/>
  <c r="AA595" i="1"/>
  <c r="AA591" i="1"/>
  <c r="AA587" i="1"/>
  <c r="AA583" i="1"/>
  <c r="AA579" i="1"/>
  <c r="AA575" i="1"/>
  <c r="AA598" i="1"/>
  <c r="AA594" i="1"/>
  <c r="AA590" i="1"/>
  <c r="AA586" i="1"/>
  <c r="AA582" i="1"/>
  <c r="AA578" i="1"/>
  <c r="AB460" i="1"/>
  <c r="AA447" i="1"/>
  <c r="AB444" i="1"/>
  <c r="AA484" i="1"/>
  <c r="AA480" i="1"/>
  <c r="AA476" i="1"/>
  <c r="AA472" i="1"/>
  <c r="AA468" i="1"/>
  <c r="AA464" i="1"/>
  <c r="AA517" i="1"/>
  <c r="AA513" i="1"/>
  <c r="AA509" i="1"/>
  <c r="AA505" i="1"/>
  <c r="AA501" i="1"/>
  <c r="AA497" i="1"/>
  <c r="AA493" i="1"/>
  <c r="AA562" i="1"/>
  <c r="AA558" i="1"/>
  <c r="AA554" i="1"/>
  <c r="AA550" i="1"/>
  <c r="AA546" i="1"/>
  <c r="AB373" i="1"/>
  <c r="AA361" i="1"/>
  <c r="AB358" i="1"/>
  <c r="AB416" i="1"/>
  <c r="AA412" i="1"/>
  <c r="AB409" i="1"/>
  <c r="AB437" i="1"/>
  <c r="AA433" i="1"/>
  <c r="AB430" i="1"/>
  <c r="AA459" i="1"/>
  <c r="AB456" i="1"/>
  <c r="AA443" i="1"/>
  <c r="AB515" i="1"/>
  <c r="AB511" i="1"/>
  <c r="AB507" i="1"/>
  <c r="AB503" i="1"/>
  <c r="AB499" i="1"/>
  <c r="AB495" i="1"/>
  <c r="AB491" i="1"/>
  <c r="AA541" i="1"/>
  <c r="AA537" i="1"/>
  <c r="AA533" i="1"/>
  <c r="AA529" i="1"/>
  <c r="AA525" i="1"/>
  <c r="AA521" i="1"/>
  <c r="AA573" i="1"/>
  <c r="AA569" i="1"/>
  <c r="AA565" i="1"/>
  <c r="AA561" i="1"/>
  <c r="AA557" i="1"/>
  <c r="AA553" i="1"/>
  <c r="AA549" i="1"/>
  <c r="AA545" i="1"/>
  <c r="AB370" i="1"/>
  <c r="AB413" i="1"/>
  <c r="AB434" i="1"/>
  <c r="AA572" i="1"/>
  <c r="AA568" i="1"/>
  <c r="AA564" i="1"/>
  <c r="AA560" i="1"/>
  <c r="AA556" i="1"/>
  <c r="AA552" i="1"/>
  <c r="AA548" i="1"/>
  <c r="AA544" i="1"/>
  <c r="AA563" i="1"/>
  <c r="AA559" i="1"/>
  <c r="AA555" i="1"/>
  <c r="AA551" i="1"/>
  <c r="AA547" i="1"/>
  <c r="AA539" i="1"/>
  <c r="AA535" i="1"/>
  <c r="AA531" i="1"/>
  <c r="AA527" i="1"/>
  <c r="AA523" i="1"/>
  <c r="AA519" i="1"/>
  <c r="AB543" i="1"/>
  <c r="AA542" i="1"/>
  <c r="AA538" i="1"/>
  <c r="AA534" i="1"/>
  <c r="AA530" i="1"/>
  <c r="AA526" i="1"/>
  <c r="AA522" i="1"/>
  <c r="AA516" i="1"/>
  <c r="AA512" i="1"/>
  <c r="AA508" i="1"/>
  <c r="AA504" i="1"/>
  <c r="AA500" i="1"/>
  <c r="AA496" i="1"/>
  <c r="AA492" i="1"/>
  <c r="AA488" i="1"/>
  <c r="AA486" i="1"/>
  <c r="AA482" i="1"/>
  <c r="AA478" i="1"/>
  <c r="AA474" i="1"/>
  <c r="AA470" i="1"/>
  <c r="AA466" i="1"/>
  <c r="AA462" i="1"/>
  <c r="AA458" i="1"/>
  <c r="AA454" i="1"/>
  <c r="AA450" i="1"/>
  <c r="AA446" i="1"/>
  <c r="AA442" i="1"/>
  <c r="AA461" i="1"/>
  <c r="AA457" i="1"/>
  <c r="AA453" i="1"/>
  <c r="AA449" i="1"/>
  <c r="AA445" i="1"/>
  <c r="AA369" i="1"/>
  <c r="AB366" i="1"/>
  <c r="AA399" i="1"/>
  <c r="AA395" i="1"/>
  <c r="AA391" i="1"/>
  <c r="AA387" i="1"/>
  <c r="AA383" i="1"/>
  <c r="AB421" i="1"/>
  <c r="AA408" i="1"/>
  <c r="AB405" i="1"/>
  <c r="AA429" i="1"/>
  <c r="AB426" i="1"/>
  <c r="AB378" i="1"/>
  <c r="AA365" i="1"/>
  <c r="AB362" i="1"/>
  <c r="AA356" i="1"/>
  <c r="AA402" i="1"/>
  <c r="AA398" i="1"/>
  <c r="AA394" i="1"/>
  <c r="AA390" i="1"/>
  <c r="AA386" i="1"/>
  <c r="AA382" i="1"/>
  <c r="AA420" i="1"/>
  <c r="AB417" i="1"/>
  <c r="AA404" i="1"/>
  <c r="AA441" i="1"/>
  <c r="AB438" i="1"/>
  <c r="AA425" i="1"/>
  <c r="AA440" i="1"/>
  <c r="AA436" i="1"/>
  <c r="AA432" i="1"/>
  <c r="AA439" i="1"/>
  <c r="AA435" i="1"/>
  <c r="AA431" i="1"/>
  <c r="AB428" i="1"/>
  <c r="AA427" i="1"/>
  <c r="AB424" i="1"/>
  <c r="AA415" i="1"/>
  <c r="AA411" i="1"/>
  <c r="AB423" i="1"/>
  <c r="AA422" i="1"/>
  <c r="AB419" i="1"/>
  <c r="AA418" i="1"/>
  <c r="AA414" i="1"/>
  <c r="AA410" i="1"/>
  <c r="AB407" i="1"/>
  <c r="AA406" i="1"/>
  <c r="AB403" i="1"/>
  <c r="AA389" i="1"/>
  <c r="AA385" i="1"/>
  <c r="AA381" i="1"/>
  <c r="AB401" i="1"/>
  <c r="AA400" i="1"/>
  <c r="AB397" i="1"/>
  <c r="AA396" i="1"/>
  <c r="AB393" i="1"/>
  <c r="AA392" i="1"/>
  <c r="AA388" i="1"/>
  <c r="AA384" i="1"/>
  <c r="AA360" i="1"/>
  <c r="AB380" i="1"/>
  <c r="AA355" i="1"/>
  <c r="AA376" i="1"/>
  <c r="AA372" i="1"/>
  <c r="AA368" i="1"/>
  <c r="AA364" i="1"/>
  <c r="AA379" i="1"/>
  <c r="AA375" i="1"/>
  <c r="AA371" i="1"/>
  <c r="AA367" i="1"/>
  <c r="AA363" i="1"/>
  <c r="AA359" i="1"/>
  <c r="F598" i="1"/>
  <c r="D598" i="1"/>
  <c r="E598" i="1" s="1"/>
  <c r="F597" i="1"/>
  <c r="D597" i="1"/>
  <c r="E597" i="1" s="1"/>
  <c r="F596" i="1"/>
  <c r="D596" i="1"/>
  <c r="E596" i="1" s="1"/>
  <c r="F595" i="1"/>
  <c r="D595" i="1"/>
  <c r="E595" i="1" s="1"/>
  <c r="F594" i="1"/>
  <c r="D594" i="1"/>
  <c r="E594" i="1" s="1"/>
  <c r="F593" i="1"/>
  <c r="D593" i="1"/>
  <c r="E593" i="1" s="1"/>
  <c r="F592" i="1"/>
  <c r="D592" i="1"/>
  <c r="E592" i="1" s="1"/>
  <c r="F591" i="1"/>
  <c r="D591" i="1"/>
  <c r="E591" i="1" s="1"/>
  <c r="F590" i="1"/>
  <c r="D590" i="1"/>
  <c r="E590" i="1" s="1"/>
  <c r="F589" i="1"/>
  <c r="D589" i="1"/>
  <c r="E589" i="1" s="1"/>
  <c r="F588" i="1"/>
  <c r="D588" i="1"/>
  <c r="E588" i="1" s="1"/>
  <c r="F587" i="1"/>
  <c r="D587" i="1"/>
  <c r="E587" i="1" s="1"/>
  <c r="F586" i="1"/>
  <c r="D586" i="1"/>
  <c r="E586" i="1" s="1"/>
  <c r="F585" i="1"/>
  <c r="D585" i="1"/>
  <c r="E585" i="1" s="1"/>
  <c r="Y540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F584" i="1"/>
  <c r="D584" i="1"/>
  <c r="E584" i="1" s="1"/>
  <c r="F583" i="1"/>
  <c r="D583" i="1"/>
  <c r="E583" i="1" s="1"/>
  <c r="F582" i="1"/>
  <c r="D582" i="1"/>
  <c r="E582" i="1" s="1"/>
  <c r="F581" i="1"/>
  <c r="D581" i="1"/>
  <c r="E581" i="1" s="1"/>
  <c r="F580" i="1"/>
  <c r="D580" i="1"/>
  <c r="E580" i="1" s="1"/>
  <c r="F579" i="1"/>
  <c r="D579" i="1"/>
  <c r="E579" i="1" s="1"/>
  <c r="F578" i="1"/>
  <c r="D578" i="1"/>
  <c r="E578" i="1" s="1"/>
  <c r="F577" i="1"/>
  <c r="D577" i="1"/>
  <c r="E577" i="1" s="1"/>
  <c r="F576" i="1"/>
  <c r="D576" i="1"/>
  <c r="E576" i="1" s="1"/>
  <c r="F575" i="1"/>
  <c r="D575" i="1"/>
  <c r="E575" i="1" s="1"/>
  <c r="F574" i="1"/>
  <c r="D574" i="1"/>
  <c r="E574" i="1" s="1"/>
  <c r="F573" i="1"/>
  <c r="D573" i="1"/>
  <c r="E573" i="1" s="1"/>
  <c r="F572" i="1"/>
  <c r="D572" i="1"/>
  <c r="E572" i="1" s="1"/>
  <c r="F571" i="1"/>
  <c r="D571" i="1"/>
  <c r="E571" i="1" s="1"/>
  <c r="F570" i="1"/>
  <c r="D570" i="1"/>
  <c r="E570" i="1" s="1"/>
  <c r="F569" i="1"/>
  <c r="D569" i="1"/>
  <c r="E569" i="1" s="1"/>
  <c r="F568" i="1"/>
  <c r="D568" i="1"/>
  <c r="E568" i="1" s="1"/>
  <c r="F567" i="1"/>
  <c r="D567" i="1"/>
  <c r="E567" i="1" s="1"/>
  <c r="F566" i="1"/>
  <c r="D566" i="1"/>
  <c r="E566" i="1" s="1"/>
  <c r="F565" i="1"/>
  <c r="D565" i="1"/>
  <c r="E565" i="1" s="1"/>
  <c r="F564" i="1"/>
  <c r="D564" i="1"/>
  <c r="E564" i="1" s="1"/>
  <c r="F563" i="1"/>
  <c r="D563" i="1"/>
  <c r="E563" i="1" s="1"/>
  <c r="F562" i="1"/>
  <c r="D562" i="1"/>
  <c r="E562" i="1" s="1"/>
  <c r="F561" i="1"/>
  <c r="D561" i="1"/>
  <c r="E561" i="1" s="1"/>
  <c r="F560" i="1"/>
  <c r="D560" i="1"/>
  <c r="E560" i="1" s="1"/>
  <c r="F559" i="1"/>
  <c r="D559" i="1"/>
  <c r="E559" i="1" s="1"/>
  <c r="F558" i="1"/>
  <c r="D558" i="1"/>
  <c r="E558" i="1" s="1"/>
  <c r="F557" i="1"/>
  <c r="D557" i="1"/>
  <c r="E557" i="1" s="1"/>
  <c r="F556" i="1"/>
  <c r="D556" i="1"/>
  <c r="E556" i="1" s="1"/>
  <c r="F555" i="1"/>
  <c r="D555" i="1"/>
  <c r="E555" i="1" s="1"/>
  <c r="F554" i="1"/>
  <c r="D554" i="1"/>
  <c r="E554" i="1" s="1"/>
  <c r="F553" i="1"/>
  <c r="D553" i="1"/>
  <c r="E553" i="1" s="1"/>
  <c r="F552" i="1"/>
  <c r="D552" i="1"/>
  <c r="E552" i="1" s="1"/>
  <c r="F551" i="1"/>
  <c r="D551" i="1"/>
  <c r="E551" i="1" s="1"/>
  <c r="F550" i="1"/>
  <c r="D550" i="1"/>
  <c r="E550" i="1" s="1"/>
  <c r="F549" i="1"/>
  <c r="D549" i="1"/>
  <c r="E549" i="1" s="1"/>
  <c r="F548" i="1"/>
  <c r="D548" i="1"/>
  <c r="E548" i="1" s="1"/>
  <c r="F547" i="1"/>
  <c r="D547" i="1"/>
  <c r="E547" i="1" s="1"/>
  <c r="F546" i="1"/>
  <c r="D546" i="1"/>
  <c r="E546" i="1" s="1"/>
  <c r="F545" i="1"/>
  <c r="D545" i="1"/>
  <c r="E545" i="1" s="1"/>
  <c r="F544" i="1"/>
  <c r="D544" i="1"/>
  <c r="E544" i="1" s="1"/>
  <c r="F543" i="1"/>
  <c r="D543" i="1"/>
  <c r="E543" i="1" s="1"/>
  <c r="F542" i="1"/>
  <c r="D542" i="1"/>
  <c r="E542" i="1" s="1"/>
  <c r="F541" i="1"/>
  <c r="D541" i="1"/>
  <c r="E541" i="1" s="1"/>
  <c r="F540" i="1"/>
  <c r="D540" i="1"/>
  <c r="E540" i="1" s="1"/>
  <c r="F539" i="1"/>
  <c r="D539" i="1"/>
  <c r="E539" i="1" s="1"/>
  <c r="F538" i="1"/>
  <c r="D538" i="1"/>
  <c r="E538" i="1" s="1"/>
  <c r="F537" i="1"/>
  <c r="D537" i="1"/>
  <c r="E537" i="1" s="1"/>
  <c r="F536" i="1"/>
  <c r="D536" i="1"/>
  <c r="E536" i="1" s="1"/>
  <c r="F535" i="1"/>
  <c r="D535" i="1"/>
  <c r="E535" i="1" s="1"/>
  <c r="F534" i="1"/>
  <c r="D534" i="1"/>
  <c r="E534" i="1" s="1"/>
  <c r="F533" i="1"/>
  <c r="D533" i="1"/>
  <c r="E533" i="1" s="1"/>
  <c r="Y532" i="1"/>
  <c r="F532" i="1"/>
  <c r="D532" i="1"/>
  <c r="E532" i="1" s="1"/>
  <c r="F531" i="1"/>
  <c r="D531" i="1"/>
  <c r="E531" i="1" s="1"/>
  <c r="F530" i="1"/>
  <c r="D530" i="1"/>
  <c r="E530" i="1" s="1"/>
  <c r="F529" i="1"/>
  <c r="D529" i="1"/>
  <c r="E529" i="1" s="1"/>
  <c r="F528" i="1"/>
  <c r="D528" i="1"/>
  <c r="E528" i="1" s="1"/>
  <c r="F527" i="1"/>
  <c r="D527" i="1"/>
  <c r="E527" i="1" s="1"/>
  <c r="F526" i="1"/>
  <c r="D526" i="1"/>
  <c r="E526" i="1" s="1"/>
  <c r="F525" i="1"/>
  <c r="D525" i="1"/>
  <c r="E525" i="1" s="1"/>
  <c r="F524" i="1"/>
  <c r="D524" i="1"/>
  <c r="E524" i="1" s="1"/>
  <c r="F523" i="1"/>
  <c r="D523" i="1"/>
  <c r="E523" i="1" s="1"/>
  <c r="F522" i="1"/>
  <c r="D522" i="1"/>
  <c r="E522" i="1" s="1"/>
  <c r="F521" i="1"/>
  <c r="D521" i="1"/>
  <c r="E521" i="1" s="1"/>
  <c r="F520" i="1"/>
  <c r="D520" i="1"/>
  <c r="E520" i="1" s="1"/>
  <c r="F518" i="1"/>
  <c r="D518" i="1"/>
  <c r="E518" i="1" s="1"/>
  <c r="F517" i="1"/>
  <c r="D517" i="1"/>
  <c r="E517" i="1" s="1"/>
  <c r="D516" i="1"/>
  <c r="E516" i="1" s="1"/>
  <c r="F516" i="1"/>
  <c r="F515" i="1"/>
  <c r="D515" i="1"/>
  <c r="E515" i="1" s="1"/>
  <c r="F514" i="1"/>
  <c r="D514" i="1"/>
  <c r="E514" i="1" s="1"/>
  <c r="F513" i="1"/>
  <c r="D513" i="1"/>
  <c r="E513" i="1" s="1"/>
  <c r="D512" i="1"/>
  <c r="E512" i="1" s="1"/>
  <c r="F512" i="1"/>
  <c r="F511" i="1"/>
  <c r="D511" i="1"/>
  <c r="E511" i="1" s="1"/>
  <c r="F510" i="1"/>
  <c r="D510" i="1"/>
  <c r="E510" i="1" s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3" i="1"/>
  <c r="Y534" i="1"/>
  <c r="Y535" i="1"/>
  <c r="Y536" i="1"/>
  <c r="Y537" i="1"/>
  <c r="Y538" i="1"/>
  <c r="Y539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F509" i="1"/>
  <c r="D509" i="1"/>
  <c r="E509" i="1" s="1"/>
  <c r="F508" i="1"/>
  <c r="D508" i="1"/>
  <c r="E508" i="1" s="1"/>
  <c r="F507" i="1"/>
  <c r="D507" i="1"/>
  <c r="E507" i="1" s="1"/>
  <c r="F506" i="1"/>
  <c r="D506" i="1"/>
  <c r="E506" i="1" s="1"/>
  <c r="F505" i="1"/>
  <c r="D505" i="1"/>
  <c r="E505" i="1" s="1"/>
  <c r="F504" i="1"/>
  <c r="D504" i="1"/>
  <c r="E504" i="1" s="1"/>
  <c r="F503" i="1"/>
  <c r="D503" i="1"/>
  <c r="E503" i="1" s="1"/>
  <c r="F502" i="1"/>
  <c r="D502" i="1"/>
  <c r="E502" i="1" s="1"/>
  <c r="F501" i="1"/>
  <c r="D501" i="1"/>
  <c r="E501" i="1" s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D500" i="1"/>
  <c r="E500" i="1" s="1"/>
  <c r="F500" i="1"/>
  <c r="D499" i="1"/>
  <c r="E499" i="1" s="1"/>
  <c r="F499" i="1"/>
  <c r="F498" i="1"/>
  <c r="D498" i="1"/>
  <c r="E498" i="1" s="1"/>
  <c r="F497" i="1"/>
  <c r="D497" i="1"/>
  <c r="E497" i="1" s="1"/>
  <c r="F496" i="1"/>
  <c r="D496" i="1"/>
  <c r="E496" i="1" s="1"/>
  <c r="F495" i="1"/>
  <c r="D495" i="1"/>
  <c r="E495" i="1" s="1"/>
  <c r="F494" i="1"/>
  <c r="D494" i="1"/>
  <c r="E494" i="1" s="1"/>
  <c r="F493" i="1"/>
  <c r="D493" i="1"/>
  <c r="E493" i="1" s="1"/>
  <c r="F492" i="1"/>
  <c r="D492" i="1"/>
  <c r="E492" i="1" s="1"/>
  <c r="F491" i="1"/>
  <c r="D491" i="1"/>
  <c r="E491" i="1" s="1"/>
  <c r="F490" i="1"/>
  <c r="D490" i="1"/>
  <c r="E490" i="1" s="1"/>
  <c r="F489" i="1"/>
  <c r="D489" i="1"/>
  <c r="E489" i="1" s="1"/>
  <c r="F488" i="1"/>
  <c r="D488" i="1"/>
  <c r="E488" i="1" s="1"/>
  <c r="F487" i="1"/>
  <c r="D487" i="1"/>
  <c r="E487" i="1" s="1"/>
  <c r="F486" i="1"/>
  <c r="D486" i="1"/>
  <c r="E486" i="1" s="1"/>
  <c r="F485" i="1"/>
  <c r="D485" i="1"/>
  <c r="E485" i="1" s="1"/>
  <c r="F484" i="1"/>
  <c r="D484" i="1"/>
  <c r="E484" i="1" s="1"/>
  <c r="F483" i="1"/>
  <c r="D483" i="1"/>
  <c r="E483" i="1" s="1"/>
  <c r="F482" i="1"/>
  <c r="D482" i="1"/>
  <c r="E482" i="1" s="1"/>
  <c r="D481" i="1"/>
  <c r="E481" i="1" s="1"/>
  <c r="F481" i="1"/>
  <c r="F480" i="1"/>
  <c r="D480" i="1"/>
  <c r="E480" i="1" s="1"/>
  <c r="F479" i="1"/>
  <c r="D479" i="1"/>
  <c r="E479" i="1" s="1"/>
  <c r="F478" i="1"/>
  <c r="D478" i="1"/>
  <c r="E478" i="1" s="1"/>
  <c r="F477" i="1"/>
  <c r="D477" i="1"/>
  <c r="E477" i="1" s="1"/>
  <c r="F476" i="1"/>
  <c r="D476" i="1"/>
  <c r="E476" i="1" s="1"/>
  <c r="F475" i="1"/>
  <c r="D475" i="1"/>
  <c r="E475" i="1" s="1"/>
  <c r="F474" i="1"/>
  <c r="D474" i="1"/>
  <c r="E474" i="1" s="1"/>
  <c r="F473" i="1"/>
  <c r="D473" i="1"/>
  <c r="E473" i="1" s="1"/>
  <c r="F472" i="1"/>
  <c r="D472" i="1"/>
  <c r="E472" i="1" s="1"/>
  <c r="F471" i="1"/>
  <c r="D471" i="1"/>
  <c r="E471" i="1" s="1"/>
  <c r="F470" i="1"/>
  <c r="D470" i="1"/>
  <c r="E470" i="1" s="1"/>
  <c r="F469" i="1"/>
  <c r="D469" i="1"/>
  <c r="E469" i="1" s="1"/>
  <c r="F468" i="1"/>
  <c r="D468" i="1"/>
  <c r="E468" i="1" s="1"/>
  <c r="F467" i="1"/>
  <c r="D467" i="1"/>
  <c r="E467" i="1" s="1"/>
  <c r="F466" i="1"/>
  <c r="D466" i="1"/>
  <c r="E466" i="1" s="1"/>
  <c r="F465" i="1"/>
  <c r="D465" i="1"/>
  <c r="E465" i="1" s="1"/>
  <c r="F464" i="1"/>
  <c r="D464" i="1"/>
  <c r="E464" i="1" s="1"/>
  <c r="F463" i="1"/>
  <c r="D463" i="1"/>
  <c r="E463" i="1" s="1"/>
  <c r="F462" i="1"/>
  <c r="D462" i="1"/>
  <c r="E462" i="1" s="1"/>
  <c r="F461" i="1"/>
  <c r="D461" i="1"/>
  <c r="E461" i="1" s="1"/>
  <c r="F460" i="1"/>
  <c r="D460" i="1"/>
  <c r="E460" i="1" s="1"/>
  <c r="F459" i="1"/>
  <c r="D459" i="1"/>
  <c r="E459" i="1" s="1"/>
  <c r="F458" i="1"/>
  <c r="D458" i="1"/>
  <c r="E458" i="1" s="1"/>
  <c r="F457" i="1"/>
  <c r="D457" i="1"/>
  <c r="E457" i="1" s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F456" i="1"/>
  <c r="D456" i="1"/>
  <c r="E456" i="1" s="1"/>
  <c r="F455" i="1"/>
  <c r="D455" i="1"/>
  <c r="E455" i="1" s="1"/>
  <c r="F454" i="1"/>
  <c r="D454" i="1"/>
  <c r="E454" i="1" s="1"/>
  <c r="F453" i="1"/>
  <c r="D453" i="1"/>
  <c r="E453" i="1" s="1"/>
  <c r="F452" i="1"/>
  <c r="D452" i="1"/>
  <c r="E452" i="1" s="1"/>
  <c r="F451" i="1"/>
  <c r="D451" i="1"/>
  <c r="E451" i="1" s="1"/>
  <c r="F450" i="1"/>
  <c r="D450" i="1"/>
  <c r="E450" i="1" s="1"/>
  <c r="F449" i="1"/>
  <c r="D449" i="1"/>
  <c r="E449" i="1" s="1"/>
  <c r="F448" i="1"/>
  <c r="D448" i="1"/>
  <c r="E448" i="1" s="1"/>
  <c r="F447" i="1"/>
  <c r="D447" i="1"/>
  <c r="E447" i="1" s="1"/>
  <c r="F446" i="1"/>
  <c r="D446" i="1"/>
  <c r="E446" i="1" s="1"/>
  <c r="F445" i="1"/>
  <c r="D445" i="1"/>
  <c r="E445" i="1" s="1"/>
  <c r="F444" i="1"/>
  <c r="D444" i="1"/>
  <c r="E444" i="1" s="1"/>
  <c r="F443" i="1"/>
  <c r="D443" i="1"/>
  <c r="E443" i="1" s="1"/>
  <c r="F442" i="1"/>
  <c r="D442" i="1"/>
  <c r="E442" i="1" s="1"/>
  <c r="F441" i="1"/>
  <c r="D441" i="1"/>
  <c r="E441" i="1" s="1"/>
  <c r="F440" i="1"/>
  <c r="D440" i="1"/>
  <c r="E440" i="1" s="1"/>
  <c r="F439" i="1"/>
  <c r="D439" i="1"/>
  <c r="E439" i="1" s="1"/>
  <c r="F438" i="1"/>
  <c r="D438" i="1"/>
  <c r="E438" i="1" s="1"/>
  <c r="F437" i="1"/>
  <c r="D437" i="1"/>
  <c r="E437" i="1" s="1"/>
  <c r="F436" i="1"/>
  <c r="D436" i="1"/>
  <c r="E436" i="1" s="1"/>
  <c r="F435" i="1"/>
  <c r="D435" i="1"/>
  <c r="E435" i="1" s="1"/>
  <c r="F434" i="1"/>
  <c r="D434" i="1"/>
  <c r="E434" i="1" s="1"/>
  <c r="F433" i="1"/>
  <c r="D433" i="1"/>
  <c r="E433" i="1" s="1"/>
  <c r="F432" i="1"/>
  <c r="D432" i="1"/>
  <c r="E432" i="1" s="1"/>
  <c r="F431" i="1"/>
  <c r="D431" i="1"/>
  <c r="E431" i="1" s="1"/>
  <c r="F430" i="1"/>
  <c r="D430" i="1"/>
  <c r="E430" i="1" s="1"/>
  <c r="F429" i="1"/>
  <c r="D429" i="1"/>
  <c r="E429" i="1" s="1"/>
  <c r="F428" i="1"/>
  <c r="D428" i="1"/>
  <c r="E428" i="1" s="1"/>
  <c r="F427" i="1"/>
  <c r="D427" i="1"/>
  <c r="E427" i="1" s="1"/>
  <c r="F426" i="1"/>
  <c r="D426" i="1"/>
  <c r="E426" i="1" s="1"/>
  <c r="F425" i="1"/>
  <c r="D425" i="1"/>
  <c r="E425" i="1" s="1"/>
  <c r="F424" i="1"/>
  <c r="D424" i="1"/>
  <c r="E424" i="1" s="1"/>
  <c r="F423" i="1"/>
  <c r="D423" i="1"/>
  <c r="E423" i="1" s="1"/>
  <c r="F422" i="1"/>
  <c r="D422" i="1"/>
  <c r="E422" i="1" s="1"/>
  <c r="F421" i="1"/>
  <c r="D421" i="1"/>
  <c r="E421" i="1" s="1"/>
  <c r="F420" i="1"/>
  <c r="D420" i="1"/>
  <c r="E420" i="1" s="1"/>
  <c r="F419" i="1"/>
  <c r="D419" i="1"/>
  <c r="E419" i="1" s="1"/>
  <c r="F418" i="1"/>
  <c r="D418" i="1"/>
  <c r="E418" i="1" s="1"/>
  <c r="F417" i="1"/>
  <c r="D417" i="1"/>
  <c r="E417" i="1" s="1"/>
  <c r="F416" i="1"/>
  <c r="D416" i="1"/>
  <c r="E416" i="1" s="1"/>
  <c r="F415" i="1"/>
  <c r="D415" i="1"/>
  <c r="E415" i="1" s="1"/>
  <c r="F414" i="1"/>
  <c r="D414" i="1"/>
  <c r="E414" i="1" s="1"/>
  <c r="F413" i="1"/>
  <c r="D413" i="1"/>
  <c r="E413" i="1" s="1"/>
  <c r="F412" i="1"/>
  <c r="D412" i="1"/>
  <c r="E412" i="1" s="1"/>
  <c r="F411" i="1"/>
  <c r="D411" i="1"/>
  <c r="E411" i="1" s="1"/>
  <c r="F410" i="1"/>
  <c r="D410" i="1"/>
  <c r="E410" i="1" s="1"/>
  <c r="F409" i="1"/>
  <c r="D409" i="1"/>
  <c r="E409" i="1" s="1"/>
  <c r="F408" i="1"/>
  <c r="D408" i="1"/>
  <c r="E408" i="1" s="1"/>
  <c r="F407" i="1"/>
  <c r="D407" i="1"/>
  <c r="E407" i="1" s="1"/>
  <c r="F406" i="1"/>
  <c r="D406" i="1"/>
  <c r="E406" i="1" s="1"/>
  <c r="F405" i="1"/>
  <c r="D405" i="1"/>
  <c r="E405" i="1" s="1"/>
  <c r="F404" i="1"/>
  <c r="D404" i="1"/>
  <c r="E404" i="1" s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F403" i="1"/>
  <c r="D403" i="1"/>
  <c r="E403" i="1" s="1"/>
  <c r="F402" i="1"/>
  <c r="D402" i="1"/>
  <c r="E402" i="1" s="1"/>
  <c r="F401" i="1"/>
  <c r="D401" i="1"/>
  <c r="E401" i="1" s="1"/>
  <c r="F400" i="1"/>
  <c r="D400" i="1"/>
  <c r="E400" i="1" s="1"/>
  <c r="F399" i="1"/>
  <c r="D399" i="1"/>
  <c r="E399" i="1" s="1"/>
  <c r="F398" i="1"/>
  <c r="D398" i="1"/>
  <c r="E398" i="1" s="1"/>
  <c r="F397" i="1"/>
  <c r="D397" i="1"/>
  <c r="E397" i="1" s="1"/>
  <c r="F396" i="1"/>
  <c r="D396" i="1"/>
  <c r="E396" i="1" s="1"/>
  <c r="F395" i="1"/>
  <c r="D395" i="1"/>
  <c r="E395" i="1" s="1"/>
  <c r="F394" i="1"/>
  <c r="D394" i="1"/>
  <c r="E394" i="1" s="1"/>
  <c r="F393" i="1"/>
  <c r="D393" i="1"/>
  <c r="E393" i="1" s="1"/>
  <c r="F392" i="1"/>
  <c r="D392" i="1"/>
  <c r="E392" i="1" s="1"/>
  <c r="F391" i="1"/>
  <c r="D391" i="1"/>
  <c r="E391" i="1" s="1"/>
  <c r="F390" i="1"/>
  <c r="D390" i="1"/>
  <c r="E390" i="1" s="1"/>
  <c r="F389" i="1"/>
  <c r="D389" i="1"/>
  <c r="E389" i="1" s="1"/>
  <c r="F388" i="1"/>
  <c r="D388" i="1"/>
  <c r="E388" i="1" s="1"/>
  <c r="F387" i="1"/>
  <c r="D387" i="1"/>
  <c r="E387" i="1" s="1"/>
  <c r="F386" i="1"/>
  <c r="D386" i="1"/>
  <c r="E386" i="1" s="1"/>
  <c r="F385" i="1"/>
  <c r="D385" i="1"/>
  <c r="E385" i="1" s="1"/>
  <c r="F384" i="1"/>
  <c r="D384" i="1"/>
  <c r="E384" i="1" s="1"/>
  <c r="F383" i="1"/>
  <c r="D383" i="1"/>
  <c r="E383" i="1" s="1"/>
  <c r="F382" i="1"/>
  <c r="D382" i="1"/>
  <c r="E382" i="1" s="1"/>
  <c r="F381" i="1"/>
  <c r="D381" i="1"/>
  <c r="E381" i="1" s="1"/>
  <c r="F380" i="1"/>
  <c r="D380" i="1"/>
  <c r="E380" i="1" s="1"/>
  <c r="F379" i="1"/>
  <c r="D379" i="1"/>
  <c r="E379" i="1" s="1"/>
  <c r="F378" i="1"/>
  <c r="D378" i="1"/>
  <c r="E378" i="1" s="1"/>
  <c r="F377" i="1"/>
  <c r="D377" i="1"/>
  <c r="E377" i="1" s="1"/>
  <c r="F376" i="1"/>
  <c r="D376" i="1"/>
  <c r="E376" i="1" s="1"/>
  <c r="F375" i="1"/>
  <c r="D375" i="1"/>
  <c r="E375" i="1" s="1"/>
  <c r="F374" i="1"/>
  <c r="D374" i="1"/>
  <c r="E374" i="1" s="1"/>
  <c r="F373" i="1"/>
  <c r="D373" i="1"/>
  <c r="E373" i="1" s="1"/>
  <c r="F372" i="1"/>
  <c r="D372" i="1"/>
  <c r="E372" i="1" s="1"/>
  <c r="F371" i="1"/>
  <c r="D371" i="1"/>
  <c r="E371" i="1" s="1"/>
  <c r="F370" i="1"/>
  <c r="D370" i="1"/>
  <c r="E370" i="1" s="1"/>
  <c r="F369" i="1"/>
  <c r="D369" i="1"/>
  <c r="E369" i="1" s="1"/>
  <c r="F368" i="1"/>
  <c r="D368" i="1"/>
  <c r="E368" i="1" s="1"/>
  <c r="F367" i="1"/>
  <c r="D367" i="1"/>
  <c r="E367" i="1" s="1"/>
  <c r="F366" i="1"/>
  <c r="D366" i="1"/>
  <c r="E366" i="1" s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57" i="1"/>
  <c r="Y358" i="1"/>
  <c r="Y359" i="1"/>
  <c r="Y360" i="1"/>
  <c r="Y361" i="1"/>
  <c r="Y362" i="1"/>
  <c r="Y363" i="1"/>
  <c r="Y364" i="1"/>
  <c r="Y365" i="1"/>
  <c r="Y366" i="1"/>
  <c r="Y367" i="1"/>
  <c r="F365" i="1"/>
  <c r="D365" i="1"/>
  <c r="E365" i="1" s="1"/>
  <c r="F364" i="1"/>
  <c r="D364" i="1"/>
  <c r="E364" i="1" s="1"/>
  <c r="F363" i="1"/>
  <c r="D363" i="1"/>
  <c r="E363" i="1" s="1"/>
  <c r="F362" i="1"/>
  <c r="D362" i="1"/>
  <c r="E362" i="1" s="1"/>
  <c r="F361" i="1"/>
  <c r="D361" i="1"/>
  <c r="E361" i="1" s="1"/>
  <c r="F360" i="1"/>
  <c r="D360" i="1"/>
  <c r="E360" i="1" s="1"/>
  <c r="F359" i="1"/>
  <c r="D359" i="1"/>
  <c r="E359" i="1" s="1"/>
  <c r="D358" i="1"/>
  <c r="E358" i="1" s="1"/>
  <c r="F358" i="1"/>
  <c r="F357" i="1"/>
  <c r="D357" i="1"/>
  <c r="E357" i="1" s="1"/>
  <c r="Z349" i="1"/>
  <c r="AA349" i="1" s="1"/>
  <c r="Z350" i="1"/>
  <c r="AA350" i="1" s="1"/>
  <c r="Z351" i="1"/>
  <c r="AA351" i="1" s="1"/>
  <c r="Z352" i="1"/>
  <c r="AB352" i="1" s="1"/>
  <c r="Z353" i="1"/>
  <c r="AB353" i="1" s="1"/>
  <c r="Z354" i="1"/>
  <c r="AA354" i="1" s="1"/>
  <c r="Z323" i="1"/>
  <c r="AB323" i="1" s="1"/>
  <c r="Z324" i="1"/>
  <c r="AA324" i="1" s="1"/>
  <c r="Z325" i="1"/>
  <c r="AA325" i="1" s="1"/>
  <c r="Z326" i="1"/>
  <c r="AA326" i="1" s="1"/>
  <c r="Z327" i="1"/>
  <c r="AB327" i="1" s="1"/>
  <c r="Z328" i="1"/>
  <c r="AB328" i="1" s="1"/>
  <c r="Z329" i="1"/>
  <c r="AA329" i="1" s="1"/>
  <c r="Z330" i="1"/>
  <c r="AA330" i="1" s="1"/>
  <c r="Z331" i="1"/>
  <c r="AB331" i="1" s="1"/>
  <c r="Z332" i="1"/>
  <c r="AB332" i="1" s="1"/>
  <c r="Z333" i="1"/>
  <c r="AA333" i="1" s="1"/>
  <c r="Z334" i="1"/>
  <c r="AA334" i="1" s="1"/>
  <c r="Z335" i="1"/>
  <c r="AB335" i="1" s="1"/>
  <c r="Z336" i="1"/>
  <c r="AB336" i="1" s="1"/>
  <c r="Z337" i="1"/>
  <c r="AB337" i="1" s="1"/>
  <c r="Z338" i="1"/>
  <c r="AA338" i="1" s="1"/>
  <c r="Z339" i="1"/>
  <c r="AB339" i="1" s="1"/>
  <c r="Z340" i="1"/>
  <c r="AB340" i="1" s="1"/>
  <c r="Z341" i="1"/>
  <c r="AB341" i="1" s="1"/>
  <c r="Z342" i="1"/>
  <c r="AA342" i="1" s="1"/>
  <c r="Z343" i="1"/>
  <c r="AB343" i="1" s="1"/>
  <c r="Z344" i="1"/>
  <c r="AB344" i="1" s="1"/>
  <c r="Z345" i="1"/>
  <c r="AB345" i="1" s="1"/>
  <c r="Z346" i="1"/>
  <c r="AA346" i="1" s="1"/>
  <c r="Z347" i="1"/>
  <c r="AB347" i="1" s="1"/>
  <c r="Z348" i="1"/>
  <c r="AB348" i="1" s="1"/>
  <c r="Y351" i="1"/>
  <c r="Y352" i="1"/>
  <c r="Y353" i="1"/>
  <c r="Y354" i="1"/>
  <c r="Y355" i="1"/>
  <c r="Y356" i="1"/>
  <c r="F356" i="1"/>
  <c r="D356" i="1"/>
  <c r="E356" i="1" s="1"/>
  <c r="F355" i="1"/>
  <c r="D355" i="1"/>
  <c r="E355" i="1" s="1"/>
  <c r="F354" i="1"/>
  <c r="D354" i="1"/>
  <c r="E354" i="1" s="1"/>
  <c r="F353" i="1"/>
  <c r="D353" i="1"/>
  <c r="E353" i="1" s="1"/>
  <c r="F352" i="1"/>
  <c r="D352" i="1"/>
  <c r="E352" i="1" s="1"/>
  <c r="F351" i="1"/>
  <c r="D351" i="1"/>
  <c r="E351" i="1" s="1"/>
  <c r="Z315" i="1"/>
  <c r="AB315" i="1" s="1"/>
  <c r="Z316" i="1"/>
  <c r="AA316" i="1" s="1"/>
  <c r="Z317" i="1"/>
  <c r="AA317" i="1" s="1"/>
  <c r="Z318" i="1"/>
  <c r="AB318" i="1" s="1"/>
  <c r="Z319" i="1"/>
  <c r="AB319" i="1" s="1"/>
  <c r="Z320" i="1"/>
  <c r="AA320" i="1" s="1"/>
  <c r="Z321" i="1"/>
  <c r="AB321" i="1" s="1"/>
  <c r="Z322" i="1"/>
  <c r="AB322" i="1" s="1"/>
  <c r="F350" i="1"/>
  <c r="D350" i="1"/>
  <c r="E350" i="1" s="1"/>
  <c r="F349" i="1"/>
  <c r="D349" i="1"/>
  <c r="E349" i="1" s="1"/>
  <c r="F348" i="1"/>
  <c r="D348" i="1"/>
  <c r="E348" i="1" s="1"/>
  <c r="F347" i="1"/>
  <c r="D347" i="1"/>
  <c r="E347" i="1" s="1"/>
  <c r="F346" i="1"/>
  <c r="D346" i="1"/>
  <c r="E346" i="1" s="1"/>
  <c r="F345" i="1"/>
  <c r="D345" i="1"/>
  <c r="E345" i="1" s="1"/>
  <c r="F344" i="1"/>
  <c r="D344" i="1"/>
  <c r="E344" i="1" s="1"/>
  <c r="F343" i="1"/>
  <c r="D343" i="1"/>
  <c r="E343" i="1" s="1"/>
  <c r="F342" i="1"/>
  <c r="D342" i="1"/>
  <c r="E342" i="1" s="1"/>
  <c r="F341" i="1"/>
  <c r="D341" i="1"/>
  <c r="E341" i="1" s="1"/>
  <c r="F340" i="1"/>
  <c r="D340" i="1"/>
  <c r="E340" i="1" s="1"/>
  <c r="F339" i="1"/>
  <c r="D339" i="1"/>
  <c r="E339" i="1" s="1"/>
  <c r="F338" i="1"/>
  <c r="D338" i="1"/>
  <c r="E338" i="1" s="1"/>
  <c r="F337" i="1"/>
  <c r="D337" i="1"/>
  <c r="E337" i="1" s="1"/>
  <c r="F336" i="1"/>
  <c r="D336" i="1"/>
  <c r="E336" i="1" s="1"/>
  <c r="F335" i="1"/>
  <c r="D335" i="1"/>
  <c r="E335" i="1" s="1"/>
  <c r="F334" i="1"/>
  <c r="D334" i="1"/>
  <c r="E334" i="1" s="1"/>
  <c r="F333" i="1"/>
  <c r="D333" i="1"/>
  <c r="E333" i="1" s="1"/>
  <c r="F332" i="1"/>
  <c r="D332" i="1"/>
  <c r="E332" i="1" s="1"/>
  <c r="F331" i="1"/>
  <c r="D331" i="1"/>
  <c r="E331" i="1" s="1"/>
  <c r="F330" i="1"/>
  <c r="D330" i="1"/>
  <c r="E330" i="1" s="1"/>
  <c r="F329" i="1"/>
  <c r="D329" i="1"/>
  <c r="E329" i="1" s="1"/>
  <c r="F328" i="1"/>
  <c r="D328" i="1"/>
  <c r="E328" i="1" s="1"/>
  <c r="F327" i="1"/>
  <c r="D327" i="1"/>
  <c r="E327" i="1" s="1"/>
  <c r="F326" i="1"/>
  <c r="D326" i="1"/>
  <c r="E326" i="1" s="1"/>
  <c r="F325" i="1"/>
  <c r="D325" i="1"/>
  <c r="E325" i="1" s="1"/>
  <c r="F324" i="1"/>
  <c r="D324" i="1"/>
  <c r="E324" i="1" s="1"/>
  <c r="F323" i="1"/>
  <c r="D323" i="1"/>
  <c r="E323" i="1" s="1"/>
  <c r="F322" i="1"/>
  <c r="D322" i="1"/>
  <c r="E322" i="1" s="1"/>
  <c r="F321" i="1"/>
  <c r="D321" i="1"/>
  <c r="E321" i="1" s="1"/>
  <c r="F320" i="1"/>
  <c r="D320" i="1"/>
  <c r="E320" i="1" s="1"/>
  <c r="Z301" i="1"/>
  <c r="AA301" i="1" s="1"/>
  <c r="Z302" i="1"/>
  <c r="AA302" i="1" s="1"/>
  <c r="Z303" i="1"/>
  <c r="AB303" i="1" s="1"/>
  <c r="Z304" i="1"/>
  <c r="AA304" i="1" s="1"/>
  <c r="Z305" i="1"/>
  <c r="AB305" i="1" s="1"/>
  <c r="Z306" i="1"/>
  <c r="AA306" i="1" s="1"/>
  <c r="Z307" i="1"/>
  <c r="AB307" i="1" s="1"/>
  <c r="Z308" i="1"/>
  <c r="AB308" i="1" s="1"/>
  <c r="Z309" i="1"/>
  <c r="AA309" i="1" s="1"/>
  <c r="Z310" i="1"/>
  <c r="AA310" i="1" s="1"/>
  <c r="Z311" i="1"/>
  <c r="AB311" i="1" s="1"/>
  <c r="Z312" i="1"/>
  <c r="AB312" i="1" s="1"/>
  <c r="Z313" i="1"/>
  <c r="AB313" i="1" s="1"/>
  <c r="Z314" i="1"/>
  <c r="AA314" i="1" s="1"/>
  <c r="Z271" i="1"/>
  <c r="AB271" i="1" s="1"/>
  <c r="Z272" i="1"/>
  <c r="AB272" i="1" s="1"/>
  <c r="Z273" i="1"/>
  <c r="AA273" i="1" s="1"/>
  <c r="Z274" i="1"/>
  <c r="AB274" i="1" s="1"/>
  <c r="Z275" i="1"/>
  <c r="AB275" i="1" s="1"/>
  <c r="Z276" i="1"/>
  <c r="AB276" i="1" s="1"/>
  <c r="Z277" i="1"/>
  <c r="AA277" i="1" s="1"/>
  <c r="Z278" i="1"/>
  <c r="AB278" i="1" s="1"/>
  <c r="Z279" i="1"/>
  <c r="AB279" i="1" s="1"/>
  <c r="Z280" i="1"/>
  <c r="AB280" i="1" s="1"/>
  <c r="Z281" i="1"/>
  <c r="AA281" i="1" s="1"/>
  <c r="Z282" i="1"/>
  <c r="AB282" i="1" s="1"/>
  <c r="Z283" i="1"/>
  <c r="AB283" i="1" s="1"/>
  <c r="Z284" i="1"/>
  <c r="AA284" i="1" s="1"/>
  <c r="Z285" i="1"/>
  <c r="AA285" i="1" s="1"/>
  <c r="Z286" i="1"/>
  <c r="AB286" i="1" s="1"/>
  <c r="Z287" i="1"/>
  <c r="AB287" i="1" s="1"/>
  <c r="Z288" i="1"/>
  <c r="AB288" i="1" s="1"/>
  <c r="Z289" i="1"/>
  <c r="AA289" i="1" s="1"/>
  <c r="Z290" i="1"/>
  <c r="AB290" i="1" s="1"/>
  <c r="Z291" i="1"/>
  <c r="AB291" i="1" s="1"/>
  <c r="Z292" i="1"/>
  <c r="AA292" i="1" s="1"/>
  <c r="Z293" i="1"/>
  <c r="AA293" i="1" s="1"/>
  <c r="Z294" i="1"/>
  <c r="AB294" i="1" s="1"/>
  <c r="Z295" i="1"/>
  <c r="AB295" i="1" s="1"/>
  <c r="Z296" i="1"/>
  <c r="AB296" i="1" s="1"/>
  <c r="Z297" i="1"/>
  <c r="AA297" i="1" s="1"/>
  <c r="Z298" i="1"/>
  <c r="AB298" i="1" s="1"/>
  <c r="Z299" i="1"/>
  <c r="AB299" i="1" s="1"/>
  <c r="Z300" i="1"/>
  <c r="AA300" i="1" s="1"/>
  <c r="F319" i="1"/>
  <c r="D319" i="1"/>
  <c r="E319" i="1" s="1"/>
  <c r="F318" i="1"/>
  <c r="D318" i="1"/>
  <c r="E318" i="1" s="1"/>
  <c r="F317" i="1"/>
  <c r="D317" i="1"/>
  <c r="E317" i="1" s="1"/>
  <c r="F316" i="1"/>
  <c r="D316" i="1"/>
  <c r="E316" i="1" s="1"/>
  <c r="F315" i="1"/>
  <c r="D315" i="1"/>
  <c r="E315" i="1" s="1"/>
  <c r="F314" i="1"/>
  <c r="D314" i="1"/>
  <c r="E314" i="1" s="1"/>
  <c r="F313" i="1"/>
  <c r="D313" i="1"/>
  <c r="E313" i="1" s="1"/>
  <c r="F312" i="1"/>
  <c r="D312" i="1"/>
  <c r="E312" i="1" s="1"/>
  <c r="F311" i="1"/>
  <c r="D311" i="1"/>
  <c r="E311" i="1" s="1"/>
  <c r="F310" i="1"/>
  <c r="D310" i="1"/>
  <c r="E310" i="1" s="1"/>
  <c r="F309" i="1"/>
  <c r="D309" i="1"/>
  <c r="E309" i="1" s="1"/>
  <c r="F308" i="1"/>
  <c r="D308" i="1"/>
  <c r="E308" i="1" s="1"/>
  <c r="F307" i="1"/>
  <c r="D307" i="1"/>
  <c r="E307" i="1" s="1"/>
  <c r="F306" i="1"/>
  <c r="D306" i="1"/>
  <c r="E306" i="1" s="1"/>
  <c r="F305" i="1"/>
  <c r="D305" i="1"/>
  <c r="E305" i="1" s="1"/>
  <c r="F304" i="1"/>
  <c r="D304" i="1"/>
  <c r="E304" i="1" s="1"/>
  <c r="F303" i="1"/>
  <c r="D303" i="1"/>
  <c r="E303" i="1" s="1"/>
  <c r="F302" i="1"/>
  <c r="D302" i="1"/>
  <c r="E302" i="1" s="1"/>
  <c r="F301" i="1"/>
  <c r="D301" i="1"/>
  <c r="E301" i="1" s="1"/>
  <c r="F300" i="1"/>
  <c r="D300" i="1"/>
  <c r="E300" i="1" s="1"/>
  <c r="F299" i="1"/>
  <c r="D299" i="1"/>
  <c r="E299" i="1" s="1"/>
  <c r="F298" i="1"/>
  <c r="D298" i="1"/>
  <c r="E298" i="1" s="1"/>
  <c r="F297" i="1"/>
  <c r="D297" i="1"/>
  <c r="E297" i="1" s="1"/>
  <c r="F296" i="1"/>
  <c r="D296" i="1"/>
  <c r="E296" i="1" s="1"/>
  <c r="F295" i="1"/>
  <c r="D295" i="1"/>
  <c r="E295" i="1" s="1"/>
  <c r="F294" i="1"/>
  <c r="D294" i="1"/>
  <c r="E294" i="1" s="1"/>
  <c r="F293" i="1"/>
  <c r="D293" i="1"/>
  <c r="E293" i="1" s="1"/>
  <c r="F292" i="1"/>
  <c r="D292" i="1"/>
  <c r="E292" i="1" s="1"/>
  <c r="F291" i="1"/>
  <c r="D291" i="1"/>
  <c r="E291" i="1" s="1"/>
  <c r="F290" i="1"/>
  <c r="D290" i="1"/>
  <c r="E290" i="1" s="1"/>
  <c r="F289" i="1"/>
  <c r="D289" i="1"/>
  <c r="E289" i="1" s="1"/>
  <c r="F288" i="1"/>
  <c r="D288" i="1"/>
  <c r="E288" i="1" s="1"/>
  <c r="F287" i="1"/>
  <c r="D287" i="1"/>
  <c r="E287" i="1" s="1"/>
  <c r="F286" i="1"/>
  <c r="D286" i="1"/>
  <c r="E286" i="1" s="1"/>
  <c r="F285" i="1"/>
  <c r="D285" i="1"/>
  <c r="E285" i="1" s="1"/>
  <c r="F284" i="1"/>
  <c r="D284" i="1"/>
  <c r="E284" i="1" s="1"/>
  <c r="F283" i="1"/>
  <c r="D283" i="1"/>
  <c r="E283" i="1" s="1"/>
  <c r="F282" i="1"/>
  <c r="D282" i="1"/>
  <c r="E282" i="1" s="1"/>
  <c r="F281" i="1"/>
  <c r="D281" i="1"/>
  <c r="E281" i="1" s="1"/>
  <c r="F280" i="1"/>
  <c r="D280" i="1"/>
  <c r="E280" i="1" s="1"/>
  <c r="F279" i="1"/>
  <c r="D279" i="1"/>
  <c r="E279" i="1" s="1"/>
  <c r="F278" i="1"/>
  <c r="D278" i="1"/>
  <c r="E278" i="1" s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F277" i="1"/>
  <c r="D277" i="1"/>
  <c r="E277" i="1" s="1"/>
  <c r="F276" i="1"/>
  <c r="D276" i="1"/>
  <c r="E276" i="1" s="1"/>
  <c r="F275" i="1"/>
  <c r="D275" i="1"/>
  <c r="E275" i="1" s="1"/>
  <c r="F274" i="1"/>
  <c r="D274" i="1"/>
  <c r="E274" i="1" s="1"/>
  <c r="F273" i="1"/>
  <c r="D273" i="1"/>
  <c r="E273" i="1" s="1"/>
  <c r="F272" i="1"/>
  <c r="D272" i="1"/>
  <c r="E272" i="1" s="1"/>
  <c r="F271" i="1"/>
  <c r="D271" i="1"/>
  <c r="E271" i="1" s="1"/>
  <c r="F270" i="1"/>
  <c r="D270" i="1"/>
  <c r="E270" i="1" s="1"/>
  <c r="F269" i="1"/>
  <c r="D269" i="1"/>
  <c r="E269" i="1" s="1"/>
  <c r="F268" i="1"/>
  <c r="D268" i="1"/>
  <c r="E268" i="1" s="1"/>
  <c r="F267" i="1"/>
  <c r="D267" i="1"/>
  <c r="E267" i="1" s="1"/>
  <c r="F266" i="1"/>
  <c r="D266" i="1"/>
  <c r="E266" i="1" s="1"/>
  <c r="F265" i="1"/>
  <c r="D265" i="1"/>
  <c r="E265" i="1" s="1"/>
  <c r="F264" i="1"/>
  <c r="D264" i="1"/>
  <c r="E264" i="1" s="1"/>
  <c r="F263" i="1"/>
  <c r="D263" i="1"/>
  <c r="E263" i="1" s="1"/>
  <c r="F262" i="1"/>
  <c r="D262" i="1"/>
  <c r="E262" i="1" s="1"/>
  <c r="F261" i="1"/>
  <c r="D261" i="1"/>
  <c r="E261" i="1" s="1"/>
  <c r="F260" i="1"/>
  <c r="D260" i="1"/>
  <c r="E260" i="1" s="1"/>
  <c r="F259" i="1"/>
  <c r="D259" i="1"/>
  <c r="E259" i="1" s="1"/>
  <c r="F258" i="1"/>
  <c r="D258" i="1"/>
  <c r="E258" i="1" s="1"/>
  <c r="Z233" i="1"/>
  <c r="AB233" i="1" s="1"/>
  <c r="Z234" i="1"/>
  <c r="AA234" i="1" s="1"/>
  <c r="Z235" i="1"/>
  <c r="AA235" i="1" s="1"/>
  <c r="Z236" i="1"/>
  <c r="AB236" i="1" s="1"/>
  <c r="Z237" i="1"/>
  <c r="AB237" i="1" s="1"/>
  <c r="Z238" i="1"/>
  <c r="AB238" i="1" s="1"/>
  <c r="Z239" i="1"/>
  <c r="AA239" i="1" s="1"/>
  <c r="Z240" i="1"/>
  <c r="AB240" i="1" s="1"/>
  <c r="Z241" i="1"/>
  <c r="AB241" i="1" s="1"/>
  <c r="Z242" i="1"/>
  <c r="AA242" i="1" s="1"/>
  <c r="Z243" i="1"/>
  <c r="AA243" i="1" s="1"/>
  <c r="Z244" i="1"/>
  <c r="AB244" i="1" s="1"/>
  <c r="Z245" i="1"/>
  <c r="AB245" i="1" s="1"/>
  <c r="Z246" i="1"/>
  <c r="AB246" i="1" s="1"/>
  <c r="Z247" i="1"/>
  <c r="AA247" i="1" s="1"/>
  <c r="Z248" i="1"/>
  <c r="AB248" i="1" s="1"/>
  <c r="Z249" i="1"/>
  <c r="AB249" i="1" s="1"/>
  <c r="Z250" i="1"/>
  <c r="AA250" i="1" s="1"/>
  <c r="Z251" i="1"/>
  <c r="AA251" i="1" s="1"/>
  <c r="Z252" i="1"/>
  <c r="AB252" i="1" s="1"/>
  <c r="Z253" i="1"/>
  <c r="AB253" i="1" s="1"/>
  <c r="Z254" i="1"/>
  <c r="AB254" i="1" s="1"/>
  <c r="Z255" i="1"/>
  <c r="AA255" i="1" s="1"/>
  <c r="Z256" i="1"/>
  <c r="AB256" i="1" s="1"/>
  <c r="Z257" i="1"/>
  <c r="AB257" i="1" s="1"/>
  <c r="Z258" i="1"/>
  <c r="AB258" i="1" s="1"/>
  <c r="Z259" i="1"/>
  <c r="AA259" i="1" s="1"/>
  <c r="Z260" i="1"/>
  <c r="AB260" i="1" s="1"/>
  <c r="Z261" i="1"/>
  <c r="AB261" i="1" s="1"/>
  <c r="Z262" i="1"/>
  <c r="AA262" i="1" s="1"/>
  <c r="Z263" i="1"/>
  <c r="AA263" i="1" s="1"/>
  <c r="Z264" i="1"/>
  <c r="AB264" i="1" s="1"/>
  <c r="Z265" i="1"/>
  <c r="AB265" i="1" s="1"/>
  <c r="Z266" i="1"/>
  <c r="AB266" i="1" s="1"/>
  <c r="Z267" i="1"/>
  <c r="AA267" i="1" s="1"/>
  <c r="Z268" i="1"/>
  <c r="AB268" i="1" s="1"/>
  <c r="Z269" i="1"/>
  <c r="AB269" i="1" s="1"/>
  <c r="Z270" i="1"/>
  <c r="AB270" i="1" s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F257" i="1"/>
  <c r="D257" i="1"/>
  <c r="E257" i="1" s="1"/>
  <c r="F256" i="1"/>
  <c r="D256" i="1"/>
  <c r="E256" i="1" s="1"/>
  <c r="F255" i="1"/>
  <c r="D255" i="1"/>
  <c r="E255" i="1" s="1"/>
  <c r="F254" i="1"/>
  <c r="D254" i="1"/>
  <c r="E254" i="1" s="1"/>
  <c r="F253" i="1"/>
  <c r="D253" i="1"/>
  <c r="E253" i="1" s="1"/>
  <c r="F252" i="1"/>
  <c r="D252" i="1"/>
  <c r="E252" i="1" s="1"/>
  <c r="F251" i="1"/>
  <c r="D251" i="1"/>
  <c r="E251" i="1" s="1"/>
  <c r="F250" i="1"/>
  <c r="D250" i="1"/>
  <c r="E250" i="1" s="1"/>
  <c r="F249" i="1"/>
  <c r="D249" i="1"/>
  <c r="E249" i="1" s="1"/>
  <c r="F248" i="1"/>
  <c r="D248" i="1"/>
  <c r="E248" i="1" s="1"/>
  <c r="AB301" i="1" l="1"/>
  <c r="AA344" i="1"/>
  <c r="AB309" i="1"/>
  <c r="AB284" i="1"/>
  <c r="AB292" i="1"/>
  <c r="AA276" i="1"/>
  <c r="AB273" i="1"/>
  <c r="AB350" i="1"/>
  <c r="AA254" i="1"/>
  <c r="AB251" i="1"/>
  <c r="AA319" i="1"/>
  <c r="AB316" i="1"/>
  <c r="AB300" i="1"/>
  <c r="AA246" i="1"/>
  <c r="AB243" i="1"/>
  <c r="AA238" i="1"/>
  <c r="AB235" i="1"/>
  <c r="AA296" i="1"/>
  <c r="AB293" i="1"/>
  <c r="AA288" i="1"/>
  <c r="AB285" i="1"/>
  <c r="AA280" i="1"/>
  <c r="AA313" i="1"/>
  <c r="AB310" i="1"/>
  <c r="AA305" i="1"/>
  <c r="AB302" i="1"/>
  <c r="AA336" i="1"/>
  <c r="AB333" i="1"/>
  <c r="AA328" i="1"/>
  <c r="AB325" i="1"/>
  <c r="AB349" i="1"/>
  <c r="AA332" i="1"/>
  <c r="AB324" i="1"/>
  <c r="AB250" i="1"/>
  <c r="AB242" i="1"/>
  <c r="AB234" i="1"/>
  <c r="AB255" i="1"/>
  <c r="AB247" i="1"/>
  <c r="AB239" i="1"/>
  <c r="AB297" i="1"/>
  <c r="AB289" i="1"/>
  <c r="AB281" i="1"/>
  <c r="AB306" i="1"/>
  <c r="AB320" i="1"/>
  <c r="AA348" i="1"/>
  <c r="AB342" i="1"/>
  <c r="AB334" i="1"/>
  <c r="AB330" i="1"/>
  <c r="AB326" i="1"/>
  <c r="AB277" i="1"/>
  <c r="AA341" i="1"/>
  <c r="AA340" i="1"/>
  <c r="AB338" i="1"/>
  <c r="AA337" i="1"/>
  <c r="AA353" i="1"/>
  <c r="AB354" i="1"/>
  <c r="AB329" i="1"/>
  <c r="AA272" i="1"/>
  <c r="AB346" i="1"/>
  <c r="AA345" i="1"/>
  <c r="AB351" i="1"/>
  <c r="AA352" i="1"/>
  <c r="AA347" i="1"/>
  <c r="AA343" i="1"/>
  <c r="AA339" i="1"/>
  <c r="AA335" i="1"/>
  <c r="AA331" i="1"/>
  <c r="AA327" i="1"/>
  <c r="AA323" i="1"/>
  <c r="AA321" i="1"/>
  <c r="AB317" i="1"/>
  <c r="AA315" i="1"/>
  <c r="AA322" i="1"/>
  <c r="AA318" i="1"/>
  <c r="AB314" i="1"/>
  <c r="AA312" i="1"/>
  <c r="AA308" i="1"/>
  <c r="AA311" i="1"/>
  <c r="AA307" i="1"/>
  <c r="AB304" i="1"/>
  <c r="AA303" i="1"/>
  <c r="AA299" i="1"/>
  <c r="AA295" i="1"/>
  <c r="AA291" i="1"/>
  <c r="AA287" i="1"/>
  <c r="AA283" i="1"/>
  <c r="AA279" i="1"/>
  <c r="AA275" i="1"/>
  <c r="AA271" i="1"/>
  <c r="AA298" i="1"/>
  <c r="AA294" i="1"/>
  <c r="AA290" i="1"/>
  <c r="AA286" i="1"/>
  <c r="AA282" i="1"/>
  <c r="AA278" i="1"/>
  <c r="AA274" i="1"/>
  <c r="AA270" i="1"/>
  <c r="AB267" i="1"/>
  <c r="AA266" i="1"/>
  <c r="AB263" i="1"/>
  <c r="AB262" i="1"/>
  <c r="AB259" i="1"/>
  <c r="AA258" i="1"/>
  <c r="AA269" i="1"/>
  <c r="AA265" i="1"/>
  <c r="AA261" i="1"/>
  <c r="AA257" i="1"/>
  <c r="AA253" i="1"/>
  <c r="AA249" i="1"/>
  <c r="AA245" i="1"/>
  <c r="AA241" i="1"/>
  <c r="AA237" i="1"/>
  <c r="AA233" i="1"/>
  <c r="AA268" i="1"/>
  <c r="AA264" i="1"/>
  <c r="AA260" i="1"/>
  <c r="AA256" i="1"/>
  <c r="AA252" i="1"/>
  <c r="AA248" i="1"/>
  <c r="AA244" i="1"/>
  <c r="AA240" i="1"/>
  <c r="AA236" i="1"/>
  <c r="Z210" i="1"/>
  <c r="AB210" i="1" s="1"/>
  <c r="Z211" i="1"/>
  <c r="AB211" i="1" s="1"/>
  <c r="Z212" i="1"/>
  <c r="AA212" i="1" s="1"/>
  <c r="Z213" i="1"/>
  <c r="AB213" i="1" s="1"/>
  <c r="Z214" i="1"/>
  <c r="AB214" i="1" s="1"/>
  <c r="Z215" i="1"/>
  <c r="AA215" i="1" s="1"/>
  <c r="Z216" i="1"/>
  <c r="AA216" i="1" s="1"/>
  <c r="Z217" i="1"/>
  <c r="AA217" i="1" s="1"/>
  <c r="Z218" i="1"/>
  <c r="AB218" i="1" s="1"/>
  <c r="Z219" i="1"/>
  <c r="AB219" i="1" s="1"/>
  <c r="Z220" i="1"/>
  <c r="AA220" i="1" s="1"/>
  <c r="Z221" i="1"/>
  <c r="AA221" i="1" s="1"/>
  <c r="Z222" i="1"/>
  <c r="AB222" i="1" s="1"/>
  <c r="Z223" i="1"/>
  <c r="AB223" i="1" s="1"/>
  <c r="Z224" i="1"/>
  <c r="AA224" i="1" s="1"/>
  <c r="Z225" i="1"/>
  <c r="AA225" i="1" s="1"/>
  <c r="Z226" i="1"/>
  <c r="AB226" i="1" s="1"/>
  <c r="Z227" i="1"/>
  <c r="AB227" i="1" s="1"/>
  <c r="Z228" i="1"/>
  <c r="AA228" i="1" s="1"/>
  <c r="Z229" i="1"/>
  <c r="AA229" i="1" s="1"/>
  <c r="Z230" i="1"/>
  <c r="AB230" i="1" s="1"/>
  <c r="Z231" i="1"/>
  <c r="AB231" i="1" s="1"/>
  <c r="Z232" i="1"/>
  <c r="AA232" i="1" s="1"/>
  <c r="Z177" i="1"/>
  <c r="AA177" i="1" s="1"/>
  <c r="Z178" i="1"/>
  <c r="AA178" i="1" s="1"/>
  <c r="Z179" i="1"/>
  <c r="AA179" i="1" s="1"/>
  <c r="Z180" i="1"/>
  <c r="AB180" i="1" s="1"/>
  <c r="Z181" i="1"/>
  <c r="AA181" i="1" s="1"/>
  <c r="Z182" i="1"/>
  <c r="AA182" i="1" s="1"/>
  <c r="Z183" i="1"/>
  <c r="AA183" i="1" s="1"/>
  <c r="Z184" i="1"/>
  <c r="AB184" i="1" s="1"/>
  <c r="Z185" i="1"/>
  <c r="AA185" i="1" s="1"/>
  <c r="Z186" i="1"/>
  <c r="AA186" i="1" s="1"/>
  <c r="Z187" i="1"/>
  <c r="AA187" i="1" s="1"/>
  <c r="Z188" i="1"/>
  <c r="AB188" i="1" s="1"/>
  <c r="Z189" i="1"/>
  <c r="AA189" i="1" s="1"/>
  <c r="Z190" i="1"/>
  <c r="AA190" i="1" s="1"/>
  <c r="Z191" i="1"/>
  <c r="AA191" i="1" s="1"/>
  <c r="Z192" i="1"/>
  <c r="AB192" i="1" s="1"/>
  <c r="Z193" i="1"/>
  <c r="AA193" i="1" s="1"/>
  <c r="Z194" i="1"/>
  <c r="AA194" i="1" s="1"/>
  <c r="Z195" i="1"/>
  <c r="AA195" i="1" s="1"/>
  <c r="Z196" i="1"/>
  <c r="AB196" i="1" s="1"/>
  <c r="Z197" i="1"/>
  <c r="AA197" i="1" s="1"/>
  <c r="Z198" i="1"/>
  <c r="AA198" i="1" s="1"/>
  <c r="Z199" i="1"/>
  <c r="AA199" i="1" s="1"/>
  <c r="Z200" i="1"/>
  <c r="AB200" i="1" s="1"/>
  <c r="Z201" i="1"/>
  <c r="AA201" i="1" s="1"/>
  <c r="Z202" i="1"/>
  <c r="AA202" i="1" s="1"/>
  <c r="Z203" i="1"/>
  <c r="AA203" i="1" s="1"/>
  <c r="Z204" i="1"/>
  <c r="AB204" i="1" s="1"/>
  <c r="Z205" i="1"/>
  <c r="AA205" i="1" s="1"/>
  <c r="Z206" i="1"/>
  <c r="AA206" i="1" s="1"/>
  <c r="Z207" i="1"/>
  <c r="AA207" i="1" s="1"/>
  <c r="Z208" i="1"/>
  <c r="AB208" i="1" s="1"/>
  <c r="Z209" i="1"/>
  <c r="AA209" i="1" s="1"/>
  <c r="Z136" i="1"/>
  <c r="AA136" i="1" s="1"/>
  <c r="Z137" i="1"/>
  <c r="AA137" i="1" s="1"/>
  <c r="Z138" i="1"/>
  <c r="AA138" i="1" s="1"/>
  <c r="Z139" i="1"/>
  <c r="AB139" i="1" s="1"/>
  <c r="Z140" i="1"/>
  <c r="AB140" i="1" s="1"/>
  <c r="Z141" i="1"/>
  <c r="AA141" i="1" s="1"/>
  <c r="Z142" i="1"/>
  <c r="AA142" i="1" s="1"/>
  <c r="Z143" i="1"/>
  <c r="AB143" i="1" s="1"/>
  <c r="Z144" i="1"/>
  <c r="AA144" i="1" s="1"/>
  <c r="Z145" i="1"/>
  <c r="AA145" i="1" s="1"/>
  <c r="Z146" i="1"/>
  <c r="AA146" i="1" s="1"/>
  <c r="Z147" i="1"/>
  <c r="AB147" i="1" s="1"/>
  <c r="Z148" i="1"/>
  <c r="AA148" i="1" s="1"/>
  <c r="Z149" i="1"/>
  <c r="AA149" i="1" s="1"/>
  <c r="Z150" i="1"/>
  <c r="AA150" i="1" s="1"/>
  <c r="Z151" i="1"/>
  <c r="AB151" i="1" s="1"/>
  <c r="Z152" i="1"/>
  <c r="AA152" i="1" s="1"/>
  <c r="Z153" i="1"/>
  <c r="AA153" i="1" s="1"/>
  <c r="Z154" i="1"/>
  <c r="AA154" i="1" s="1"/>
  <c r="Z155" i="1"/>
  <c r="AB155" i="1" s="1"/>
  <c r="Z156" i="1"/>
  <c r="AA156" i="1" s="1"/>
  <c r="Z157" i="1"/>
  <c r="AA157" i="1" s="1"/>
  <c r="Z158" i="1"/>
  <c r="AA158" i="1" s="1"/>
  <c r="Z159" i="1"/>
  <c r="AB159" i="1" s="1"/>
  <c r="Z160" i="1"/>
  <c r="AA160" i="1" s="1"/>
  <c r="Z161" i="1"/>
  <c r="AA161" i="1" s="1"/>
  <c r="Z162" i="1"/>
  <c r="AA162" i="1" s="1"/>
  <c r="Z163" i="1"/>
  <c r="AB163" i="1" s="1"/>
  <c r="Z164" i="1"/>
  <c r="AA164" i="1" s="1"/>
  <c r="Z165" i="1"/>
  <c r="AA165" i="1" s="1"/>
  <c r="Z166" i="1"/>
  <c r="AA166" i="1" s="1"/>
  <c r="Z167" i="1"/>
  <c r="AB167" i="1" s="1"/>
  <c r="Z168" i="1"/>
  <c r="AA168" i="1" s="1"/>
  <c r="Z169" i="1"/>
  <c r="AA169" i="1" s="1"/>
  <c r="Z170" i="1"/>
  <c r="AA170" i="1" s="1"/>
  <c r="Z171" i="1"/>
  <c r="AB171" i="1" s="1"/>
  <c r="Z172" i="1"/>
  <c r="AA172" i="1" s="1"/>
  <c r="Z173" i="1"/>
  <c r="AA173" i="1" s="1"/>
  <c r="Z174" i="1"/>
  <c r="AA174" i="1" s="1"/>
  <c r="Z175" i="1"/>
  <c r="AB175" i="1" s="1"/>
  <c r="Z176" i="1"/>
  <c r="AA176" i="1" s="1"/>
  <c r="Z93" i="1"/>
  <c r="AB93" i="1" s="1"/>
  <c r="Z94" i="1"/>
  <c r="AA94" i="1" s="1"/>
  <c r="Z95" i="1"/>
  <c r="AB95" i="1" s="1"/>
  <c r="Z96" i="1"/>
  <c r="AB96" i="1" s="1"/>
  <c r="Z97" i="1"/>
  <c r="AB97" i="1" s="1"/>
  <c r="Z98" i="1"/>
  <c r="AA98" i="1" s="1"/>
  <c r="Z99" i="1"/>
  <c r="AA99" i="1" s="1"/>
  <c r="Z100" i="1"/>
  <c r="AB100" i="1" s="1"/>
  <c r="Z101" i="1"/>
  <c r="AB101" i="1" s="1"/>
  <c r="Z102" i="1"/>
  <c r="AA102" i="1" s="1"/>
  <c r="Z103" i="1"/>
  <c r="AA103" i="1" s="1"/>
  <c r="Z104" i="1"/>
  <c r="AB104" i="1" s="1"/>
  <c r="Z105" i="1"/>
  <c r="AB105" i="1" s="1"/>
  <c r="Z106" i="1"/>
  <c r="AA106" i="1" s="1"/>
  <c r="Z107" i="1"/>
  <c r="AA107" i="1" s="1"/>
  <c r="Z108" i="1"/>
  <c r="AB108" i="1" s="1"/>
  <c r="Z109" i="1"/>
  <c r="AB109" i="1" s="1"/>
  <c r="Z110" i="1"/>
  <c r="AA110" i="1" s="1"/>
  <c r="Z111" i="1"/>
  <c r="AB111" i="1" s="1"/>
  <c r="Z112" i="1"/>
  <c r="AB112" i="1" s="1"/>
  <c r="Z113" i="1"/>
  <c r="AB113" i="1" s="1"/>
  <c r="Z114" i="1"/>
  <c r="AA114" i="1" s="1"/>
  <c r="Z115" i="1"/>
  <c r="AA115" i="1" s="1"/>
  <c r="Z116" i="1"/>
  <c r="AB116" i="1" s="1"/>
  <c r="Z117" i="1"/>
  <c r="AB117" i="1" s="1"/>
  <c r="Z118" i="1"/>
  <c r="AA118" i="1" s="1"/>
  <c r="Z119" i="1"/>
  <c r="AA119" i="1" s="1"/>
  <c r="Z120" i="1"/>
  <c r="AB120" i="1" s="1"/>
  <c r="Z121" i="1"/>
  <c r="AB121" i="1" s="1"/>
  <c r="Z122" i="1"/>
  <c r="AA122" i="1" s="1"/>
  <c r="Z123" i="1"/>
  <c r="AA123" i="1" s="1"/>
  <c r="Z124" i="1"/>
  <c r="AB124" i="1" s="1"/>
  <c r="Z125" i="1"/>
  <c r="AB125" i="1" s="1"/>
  <c r="Z126" i="1"/>
  <c r="AA126" i="1" s="1"/>
  <c r="Z127" i="1"/>
  <c r="AB127" i="1" s="1"/>
  <c r="Z128" i="1"/>
  <c r="AB128" i="1" s="1"/>
  <c r="Z129" i="1"/>
  <c r="AB129" i="1" s="1"/>
  <c r="Z130" i="1"/>
  <c r="AA130" i="1" s="1"/>
  <c r="Z131" i="1"/>
  <c r="AA131" i="1" s="1"/>
  <c r="Z132" i="1"/>
  <c r="AB132" i="1" s="1"/>
  <c r="Z133" i="1"/>
  <c r="AB133" i="1" s="1"/>
  <c r="Z134" i="1"/>
  <c r="AA134" i="1" s="1"/>
  <c r="Z135" i="1"/>
  <c r="AA135" i="1" s="1"/>
  <c r="Z58" i="1"/>
  <c r="AB58" i="1" s="1"/>
  <c r="Z59" i="1"/>
  <c r="AA59" i="1" s="1"/>
  <c r="Z60" i="1"/>
  <c r="AA60" i="1" s="1"/>
  <c r="Z61" i="1"/>
  <c r="AB61" i="1" s="1"/>
  <c r="Z62" i="1"/>
  <c r="AB62" i="1" s="1"/>
  <c r="Z63" i="1"/>
  <c r="AA63" i="1" s="1"/>
  <c r="Z64" i="1"/>
  <c r="AA64" i="1" s="1"/>
  <c r="Z65" i="1"/>
  <c r="AB65" i="1" s="1"/>
  <c r="Z66" i="1"/>
  <c r="AB66" i="1" s="1"/>
  <c r="Z67" i="1"/>
  <c r="AB67" i="1" s="1"/>
  <c r="Z69" i="1"/>
  <c r="AB69" i="1" s="1"/>
  <c r="Z70" i="1"/>
  <c r="AA70" i="1" s="1"/>
  <c r="Z71" i="1"/>
  <c r="AB71" i="1" s="1"/>
  <c r="Z72" i="1"/>
  <c r="AB72" i="1" s="1"/>
  <c r="Z73" i="1"/>
  <c r="AA73" i="1" s="1"/>
  <c r="Z74" i="1"/>
  <c r="AA74" i="1" s="1"/>
  <c r="Z75" i="1"/>
  <c r="AB75" i="1" s="1"/>
  <c r="Z76" i="1"/>
  <c r="AB76" i="1" s="1"/>
  <c r="Z77" i="1"/>
  <c r="AB77" i="1" s="1"/>
  <c r="Z78" i="1"/>
  <c r="AA78" i="1" s="1"/>
  <c r="Z79" i="1"/>
  <c r="AB79" i="1" s="1"/>
  <c r="Z80" i="1"/>
  <c r="AB80" i="1" s="1"/>
  <c r="Z81" i="1"/>
  <c r="AA81" i="1" s="1"/>
  <c r="Z82" i="1"/>
  <c r="AA82" i="1" s="1"/>
  <c r="Z83" i="1"/>
  <c r="AB83" i="1" s="1"/>
  <c r="Z84" i="1"/>
  <c r="AB84" i="1" s="1"/>
  <c r="Z85" i="1"/>
  <c r="AB85" i="1" s="1"/>
  <c r="Z86" i="1"/>
  <c r="AA86" i="1" s="1"/>
  <c r="Z87" i="1"/>
  <c r="AB87" i="1" s="1"/>
  <c r="Z88" i="1"/>
  <c r="AB88" i="1" s="1"/>
  <c r="Z89" i="1"/>
  <c r="AA89" i="1" s="1"/>
  <c r="Z90" i="1"/>
  <c r="Z91" i="1"/>
  <c r="AB91" i="1" s="1"/>
  <c r="Z92" i="1"/>
  <c r="AB92" i="1" s="1"/>
  <c r="Z20" i="1"/>
  <c r="AA20" i="1" s="1"/>
  <c r="Z21" i="1"/>
  <c r="Z22" i="1"/>
  <c r="AA22" i="1" s="1"/>
  <c r="Z23" i="1"/>
  <c r="AB23" i="1" s="1"/>
  <c r="Z24" i="1"/>
  <c r="AA24" i="1" s="1"/>
  <c r="Z25" i="1"/>
  <c r="AA25" i="1" s="1"/>
  <c r="Z26" i="1"/>
  <c r="AA26" i="1" s="1"/>
  <c r="Z27" i="1"/>
  <c r="AB27" i="1" s="1"/>
  <c r="Z28" i="1"/>
  <c r="AA28" i="1" s="1"/>
  <c r="Z29" i="1"/>
  <c r="Z30" i="1"/>
  <c r="AA30" i="1" s="1"/>
  <c r="Z31" i="1"/>
  <c r="AB31" i="1" s="1"/>
  <c r="Z32" i="1"/>
  <c r="AA32" i="1" s="1"/>
  <c r="Z33" i="1"/>
  <c r="AA33" i="1" s="1"/>
  <c r="Z34" i="1"/>
  <c r="AA34" i="1" s="1"/>
  <c r="Z35" i="1"/>
  <c r="AB35" i="1" s="1"/>
  <c r="Z36" i="1"/>
  <c r="AA36" i="1" s="1"/>
  <c r="Z37" i="1"/>
  <c r="Z38" i="1"/>
  <c r="AA38" i="1" s="1"/>
  <c r="Z39" i="1"/>
  <c r="AB39" i="1" s="1"/>
  <c r="Z40" i="1"/>
  <c r="AA40" i="1" s="1"/>
  <c r="Z41" i="1"/>
  <c r="AA41" i="1" s="1"/>
  <c r="Z42" i="1"/>
  <c r="AA42" i="1" s="1"/>
  <c r="Z43" i="1"/>
  <c r="AB43" i="1" s="1"/>
  <c r="Z44" i="1"/>
  <c r="AA44" i="1" s="1"/>
  <c r="Z45" i="1"/>
  <c r="Z46" i="1"/>
  <c r="AA46" i="1" s="1"/>
  <c r="Z47" i="1"/>
  <c r="AB47" i="1" s="1"/>
  <c r="Z48" i="1"/>
  <c r="AA48" i="1" s="1"/>
  <c r="Z49" i="1"/>
  <c r="AA49" i="1" s="1"/>
  <c r="Z50" i="1"/>
  <c r="AA50" i="1" s="1"/>
  <c r="Z51" i="1"/>
  <c r="AB51" i="1" s="1"/>
  <c r="Z52" i="1"/>
  <c r="AB52" i="1" s="1"/>
  <c r="Z53" i="1"/>
  <c r="Z54" i="1"/>
  <c r="AA54" i="1" s="1"/>
  <c r="Z55" i="1"/>
  <c r="AB55" i="1" s="1"/>
  <c r="Z56" i="1"/>
  <c r="AA56" i="1" s="1"/>
  <c r="Z57" i="1"/>
  <c r="AA57" i="1" s="1"/>
  <c r="Z6" i="1"/>
  <c r="AA6" i="1" s="1"/>
  <c r="Z7" i="1"/>
  <c r="AB7" i="1" s="1"/>
  <c r="Z8" i="1"/>
  <c r="AA8" i="1" s="1"/>
  <c r="Z9" i="1"/>
  <c r="AA9" i="1" s="1"/>
  <c r="Z10" i="1"/>
  <c r="AA10" i="1" s="1"/>
  <c r="Z11" i="1"/>
  <c r="AB11" i="1" s="1"/>
  <c r="Z12" i="1"/>
  <c r="AA12" i="1" s="1"/>
  <c r="Z13" i="1"/>
  <c r="Z14" i="1"/>
  <c r="AA14" i="1" s="1"/>
  <c r="Z15" i="1"/>
  <c r="AB15" i="1" s="1"/>
  <c r="Z16" i="1"/>
  <c r="AA16" i="1" s="1"/>
  <c r="Z17" i="1"/>
  <c r="AA17" i="1" s="1"/>
  <c r="Z18" i="1"/>
  <c r="AB18" i="1" s="1"/>
  <c r="Z19" i="1"/>
  <c r="AB19" i="1" s="1"/>
  <c r="F247" i="1"/>
  <c r="D247" i="1"/>
  <c r="E247" i="1" s="1"/>
  <c r="F246" i="1"/>
  <c r="D246" i="1"/>
  <c r="E246" i="1" s="1"/>
  <c r="F245" i="1"/>
  <c r="D245" i="1"/>
  <c r="E245" i="1" s="1"/>
  <c r="F244" i="1"/>
  <c r="D244" i="1"/>
  <c r="E244" i="1" s="1"/>
  <c r="F243" i="1"/>
  <c r="D243" i="1"/>
  <c r="E243" i="1" s="1"/>
  <c r="F242" i="1"/>
  <c r="D242" i="1"/>
  <c r="E242" i="1" s="1"/>
  <c r="F241" i="1"/>
  <c r="D241" i="1"/>
  <c r="E241" i="1" s="1"/>
  <c r="F240" i="1"/>
  <c r="D240" i="1"/>
  <c r="E240" i="1" s="1"/>
  <c r="F239" i="1"/>
  <c r="D239" i="1"/>
  <c r="E239" i="1" s="1"/>
  <c r="F238" i="1"/>
  <c r="D238" i="1"/>
  <c r="E238" i="1" s="1"/>
  <c r="F237" i="1"/>
  <c r="D237" i="1"/>
  <c r="E237" i="1" s="1"/>
  <c r="F235" i="1"/>
  <c r="D235" i="1"/>
  <c r="E235" i="1" s="1"/>
  <c r="F236" i="1"/>
  <c r="D236" i="1"/>
  <c r="E236" i="1" s="1"/>
  <c r="F234" i="1"/>
  <c r="D234" i="1"/>
  <c r="E234" i="1" s="1"/>
  <c r="F233" i="1"/>
  <c r="D233" i="1"/>
  <c r="E233" i="1" s="1"/>
  <c r="F232" i="1"/>
  <c r="D232" i="1"/>
  <c r="E232" i="1" s="1"/>
  <c r="F231" i="1"/>
  <c r="D231" i="1"/>
  <c r="E231" i="1" s="1"/>
  <c r="F230" i="1"/>
  <c r="D230" i="1"/>
  <c r="E230" i="1" s="1"/>
  <c r="F229" i="1"/>
  <c r="D229" i="1"/>
  <c r="E229" i="1" s="1"/>
  <c r="F228" i="1"/>
  <c r="D228" i="1"/>
  <c r="E228" i="1" s="1"/>
  <c r="F227" i="1"/>
  <c r="D227" i="1"/>
  <c r="E227" i="1" s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F226" i="1"/>
  <c r="D226" i="1"/>
  <c r="E226" i="1" s="1"/>
  <c r="F225" i="1"/>
  <c r="D225" i="1"/>
  <c r="E225" i="1" s="1"/>
  <c r="F224" i="1"/>
  <c r="D224" i="1"/>
  <c r="E224" i="1" s="1"/>
  <c r="F223" i="1"/>
  <c r="D223" i="1"/>
  <c r="E223" i="1" s="1"/>
  <c r="F222" i="1"/>
  <c r="D222" i="1"/>
  <c r="E222" i="1" s="1"/>
  <c r="F221" i="1"/>
  <c r="D221" i="1"/>
  <c r="E221" i="1" s="1"/>
  <c r="F220" i="1"/>
  <c r="D220" i="1"/>
  <c r="E220" i="1" s="1"/>
  <c r="F219" i="1"/>
  <c r="D219" i="1"/>
  <c r="E219" i="1" s="1"/>
  <c r="F218" i="1"/>
  <c r="D218" i="1"/>
  <c r="E218" i="1" s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F217" i="1"/>
  <c r="D217" i="1"/>
  <c r="E217" i="1" s="1"/>
  <c r="F216" i="1"/>
  <c r="D216" i="1"/>
  <c r="E216" i="1" s="1"/>
  <c r="F215" i="1"/>
  <c r="D215" i="1"/>
  <c r="E215" i="1" s="1"/>
  <c r="F214" i="1"/>
  <c r="D214" i="1"/>
  <c r="E214" i="1" s="1"/>
  <c r="F213" i="1"/>
  <c r="D213" i="1"/>
  <c r="E213" i="1" s="1"/>
  <c r="F212" i="1"/>
  <c r="D212" i="1"/>
  <c r="E212" i="1" s="1"/>
  <c r="F211" i="1"/>
  <c r="D211" i="1"/>
  <c r="E211" i="1" s="1"/>
  <c r="F210" i="1"/>
  <c r="D210" i="1"/>
  <c r="E210" i="1" s="1"/>
  <c r="F98" i="1"/>
  <c r="D98" i="1"/>
  <c r="E98" i="1" s="1"/>
  <c r="F209" i="1"/>
  <c r="D209" i="1"/>
  <c r="E209" i="1" s="1"/>
  <c r="F208" i="1"/>
  <c r="D208" i="1"/>
  <c r="E208" i="1" s="1"/>
  <c r="F207" i="1"/>
  <c r="D207" i="1"/>
  <c r="E207" i="1" s="1"/>
  <c r="F206" i="1"/>
  <c r="D206" i="1"/>
  <c r="E206" i="1" s="1"/>
  <c r="F205" i="1"/>
  <c r="D205" i="1"/>
  <c r="E205" i="1" s="1"/>
  <c r="F204" i="1"/>
  <c r="D204" i="1"/>
  <c r="E204" i="1" s="1"/>
  <c r="F203" i="1"/>
  <c r="D203" i="1"/>
  <c r="E203" i="1" s="1"/>
  <c r="F202" i="1"/>
  <c r="D202" i="1"/>
  <c r="E202" i="1" s="1"/>
  <c r="F201" i="1"/>
  <c r="D201" i="1"/>
  <c r="E201" i="1" s="1"/>
  <c r="F200" i="1"/>
  <c r="D200" i="1"/>
  <c r="E200" i="1" s="1"/>
  <c r="F199" i="1"/>
  <c r="D199" i="1"/>
  <c r="E199" i="1" s="1"/>
  <c r="F198" i="1"/>
  <c r="D198" i="1"/>
  <c r="E198" i="1" s="1"/>
  <c r="F197" i="1"/>
  <c r="D197" i="1"/>
  <c r="E197" i="1" s="1"/>
  <c r="F196" i="1"/>
  <c r="D196" i="1"/>
  <c r="E196" i="1" s="1"/>
  <c r="F195" i="1"/>
  <c r="D195" i="1"/>
  <c r="E195" i="1" s="1"/>
  <c r="F194" i="1"/>
  <c r="D194" i="1"/>
  <c r="E194" i="1" s="1"/>
  <c r="F193" i="1"/>
  <c r="D193" i="1"/>
  <c r="E193" i="1" s="1"/>
  <c r="F192" i="1"/>
  <c r="D192" i="1"/>
  <c r="E192" i="1" s="1"/>
  <c r="F191" i="1"/>
  <c r="D191" i="1"/>
  <c r="E191" i="1" s="1"/>
  <c r="F190" i="1"/>
  <c r="D190" i="1"/>
  <c r="E190" i="1" s="1"/>
  <c r="F189" i="1"/>
  <c r="D189" i="1"/>
  <c r="E189" i="1" s="1"/>
  <c r="F188" i="1"/>
  <c r="D188" i="1"/>
  <c r="E188" i="1" s="1"/>
  <c r="F187" i="1"/>
  <c r="D187" i="1"/>
  <c r="E187" i="1" s="1"/>
  <c r="F186" i="1"/>
  <c r="D186" i="1"/>
  <c r="E186" i="1" s="1"/>
  <c r="F185" i="1"/>
  <c r="D185" i="1"/>
  <c r="E185" i="1" s="1"/>
  <c r="F184" i="1"/>
  <c r="D184" i="1"/>
  <c r="E184" i="1" s="1"/>
  <c r="F183" i="1"/>
  <c r="D183" i="1"/>
  <c r="E183" i="1" s="1"/>
  <c r="F182" i="1"/>
  <c r="D182" i="1"/>
  <c r="E182" i="1" s="1"/>
  <c r="F181" i="1"/>
  <c r="D181" i="1"/>
  <c r="E181" i="1" s="1"/>
  <c r="F180" i="1"/>
  <c r="D180" i="1"/>
  <c r="E180" i="1" s="1"/>
  <c r="F179" i="1"/>
  <c r="D179" i="1"/>
  <c r="E179" i="1" s="1"/>
  <c r="F178" i="1"/>
  <c r="D178" i="1"/>
  <c r="E178" i="1" s="1"/>
  <c r="F177" i="1"/>
  <c r="D177" i="1"/>
  <c r="E177" i="1" s="1"/>
  <c r="F176" i="1"/>
  <c r="D176" i="1"/>
  <c r="E176" i="1" s="1"/>
  <c r="F175" i="1"/>
  <c r="D175" i="1"/>
  <c r="E175" i="1" s="1"/>
  <c r="F174" i="1"/>
  <c r="D174" i="1"/>
  <c r="E174" i="1" s="1"/>
  <c r="F173" i="1"/>
  <c r="D173" i="1"/>
  <c r="E173" i="1" s="1"/>
  <c r="D172" i="1"/>
  <c r="E172" i="1" s="1"/>
  <c r="F172" i="1"/>
  <c r="F171" i="1"/>
  <c r="D171" i="1"/>
  <c r="E171" i="1" s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F170" i="1"/>
  <c r="D170" i="1"/>
  <c r="E170" i="1" s="1"/>
  <c r="F169" i="1"/>
  <c r="D169" i="1"/>
  <c r="E169" i="1" s="1"/>
  <c r="F168" i="1"/>
  <c r="D168" i="1"/>
  <c r="E168" i="1" s="1"/>
  <c r="F167" i="1"/>
  <c r="D167" i="1"/>
  <c r="E167" i="1" s="1"/>
  <c r="F166" i="1"/>
  <c r="D166" i="1"/>
  <c r="E166" i="1" s="1"/>
  <c r="F165" i="1"/>
  <c r="D165" i="1"/>
  <c r="E165" i="1" s="1"/>
  <c r="F164" i="1"/>
  <c r="D164" i="1"/>
  <c r="E164" i="1" s="1"/>
  <c r="F163" i="1"/>
  <c r="D163" i="1"/>
  <c r="E163" i="1" s="1"/>
  <c r="F162" i="1"/>
  <c r="D162" i="1"/>
  <c r="E162" i="1" s="1"/>
  <c r="F161" i="1"/>
  <c r="D161" i="1"/>
  <c r="E161" i="1" s="1"/>
  <c r="F160" i="1"/>
  <c r="D160" i="1"/>
  <c r="E160" i="1" s="1"/>
  <c r="F159" i="1"/>
  <c r="D159" i="1"/>
  <c r="E159" i="1" s="1"/>
  <c r="F158" i="1"/>
  <c r="D158" i="1"/>
  <c r="E158" i="1" s="1"/>
  <c r="F157" i="1"/>
  <c r="D157" i="1"/>
  <c r="E157" i="1" s="1"/>
  <c r="F156" i="1"/>
  <c r="D156" i="1"/>
  <c r="E156" i="1" s="1"/>
  <c r="F155" i="1"/>
  <c r="D155" i="1"/>
  <c r="E155" i="1" s="1"/>
  <c r="F154" i="1"/>
  <c r="D154" i="1"/>
  <c r="E154" i="1" s="1"/>
  <c r="F153" i="1"/>
  <c r="D153" i="1"/>
  <c r="E153" i="1" s="1"/>
  <c r="F152" i="1"/>
  <c r="D152" i="1"/>
  <c r="E152" i="1" s="1"/>
  <c r="F151" i="1"/>
  <c r="D151" i="1"/>
  <c r="E151" i="1" s="1"/>
  <c r="F150" i="1"/>
  <c r="D150" i="1"/>
  <c r="E150" i="1" s="1"/>
  <c r="Y147" i="1"/>
  <c r="F149" i="1"/>
  <c r="D149" i="1"/>
  <c r="E149" i="1" s="1"/>
  <c r="F148" i="1"/>
  <c r="D148" i="1"/>
  <c r="E148" i="1" s="1"/>
  <c r="F147" i="1"/>
  <c r="D147" i="1"/>
  <c r="E147" i="1" s="1"/>
  <c r="F146" i="1"/>
  <c r="D146" i="1"/>
  <c r="E146" i="1" s="1"/>
  <c r="F145" i="1"/>
  <c r="D145" i="1"/>
  <c r="E145" i="1" s="1"/>
  <c r="F144" i="1"/>
  <c r="D144" i="1"/>
  <c r="E144" i="1" s="1"/>
  <c r="F143" i="1"/>
  <c r="D143" i="1"/>
  <c r="E143" i="1" s="1"/>
  <c r="F142" i="1"/>
  <c r="D142" i="1"/>
  <c r="E142" i="1" s="1"/>
  <c r="F141" i="1"/>
  <c r="D141" i="1"/>
  <c r="E141" i="1" s="1"/>
  <c r="F140" i="1"/>
  <c r="D140" i="1"/>
  <c r="E140" i="1" s="1"/>
  <c r="F139" i="1"/>
  <c r="D139" i="1"/>
  <c r="E139" i="1" s="1"/>
  <c r="F138" i="1"/>
  <c r="D138" i="1"/>
  <c r="E138" i="1" s="1"/>
  <c r="F137" i="1"/>
  <c r="D137" i="1"/>
  <c r="E137" i="1" s="1"/>
  <c r="F136" i="1"/>
  <c r="D136" i="1"/>
  <c r="E136" i="1" s="1"/>
  <c r="F135" i="1"/>
  <c r="D135" i="1"/>
  <c r="E135" i="1" s="1"/>
  <c r="F134" i="1"/>
  <c r="D134" i="1"/>
  <c r="E134" i="1" s="1"/>
  <c r="F133" i="1"/>
  <c r="D133" i="1"/>
  <c r="E133" i="1" s="1"/>
  <c r="F132" i="1"/>
  <c r="D132" i="1"/>
  <c r="E132" i="1" s="1"/>
  <c r="F131" i="1"/>
  <c r="D131" i="1"/>
  <c r="E131" i="1" s="1"/>
  <c r="F130" i="1"/>
  <c r="D130" i="1"/>
  <c r="E130" i="1" s="1"/>
  <c r="F129" i="1"/>
  <c r="D129" i="1"/>
  <c r="E129" i="1" s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8" i="1"/>
  <c r="Y149" i="1"/>
  <c r="Y150" i="1"/>
  <c r="Y151" i="1"/>
  <c r="Y152" i="1"/>
  <c r="Y153" i="1"/>
  <c r="Y154" i="1"/>
  <c r="Y155" i="1"/>
  <c r="Y156" i="1"/>
  <c r="F128" i="1"/>
  <c r="D128" i="1"/>
  <c r="E128" i="1" s="1"/>
  <c r="F127" i="1"/>
  <c r="D127" i="1"/>
  <c r="E127" i="1" s="1"/>
  <c r="F126" i="1"/>
  <c r="D126" i="1"/>
  <c r="E126" i="1" s="1"/>
  <c r="F125" i="1"/>
  <c r="D125" i="1"/>
  <c r="E125" i="1" s="1"/>
  <c r="F124" i="1"/>
  <c r="D124" i="1"/>
  <c r="E124" i="1" s="1"/>
  <c r="F123" i="1"/>
  <c r="D123" i="1"/>
  <c r="E123" i="1" s="1"/>
  <c r="D122" i="1"/>
  <c r="E122" i="1" s="1"/>
  <c r="F122" i="1"/>
  <c r="F121" i="1"/>
  <c r="D121" i="1"/>
  <c r="E121" i="1" s="1"/>
  <c r="F120" i="1"/>
  <c r="D120" i="1"/>
  <c r="E120" i="1" s="1"/>
  <c r="F119" i="1"/>
  <c r="D119" i="1"/>
  <c r="E119" i="1" s="1"/>
  <c r="F118" i="1"/>
  <c r="D118" i="1"/>
  <c r="E118" i="1" s="1"/>
  <c r="Y88" i="1"/>
  <c r="Y89" i="1"/>
  <c r="Y90" i="1"/>
  <c r="Y91" i="1"/>
  <c r="Y92" i="1"/>
  <c r="Y93" i="1"/>
  <c r="Y94" i="1"/>
  <c r="Y95" i="1"/>
  <c r="Y96" i="1"/>
  <c r="Y97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F117" i="1"/>
  <c r="D117" i="1"/>
  <c r="E117" i="1" s="1"/>
  <c r="F116" i="1"/>
  <c r="D116" i="1"/>
  <c r="E116" i="1" s="1"/>
  <c r="F115" i="1"/>
  <c r="D115" i="1"/>
  <c r="E115" i="1" s="1"/>
  <c r="F114" i="1"/>
  <c r="D114" i="1"/>
  <c r="E114" i="1" s="1"/>
  <c r="D113" i="1"/>
  <c r="E113" i="1" s="1"/>
  <c r="F113" i="1"/>
  <c r="F112" i="1"/>
  <c r="D112" i="1"/>
  <c r="E112" i="1" s="1"/>
  <c r="F111" i="1"/>
  <c r="D111" i="1"/>
  <c r="E111" i="1" s="1"/>
  <c r="F110" i="1"/>
  <c r="D110" i="1"/>
  <c r="E110" i="1" s="1"/>
  <c r="F109" i="1"/>
  <c r="D109" i="1"/>
  <c r="E109" i="1" s="1"/>
  <c r="F108" i="1"/>
  <c r="D108" i="1"/>
  <c r="E108" i="1" s="1"/>
  <c r="F107" i="1"/>
  <c r="D107" i="1"/>
  <c r="E107" i="1" s="1"/>
  <c r="F106" i="1"/>
  <c r="D106" i="1"/>
  <c r="E106" i="1" s="1"/>
  <c r="F105" i="1"/>
  <c r="D105" i="1"/>
  <c r="E105" i="1" s="1"/>
  <c r="F104" i="1"/>
  <c r="D104" i="1"/>
  <c r="E104" i="1" s="1"/>
  <c r="F103" i="1"/>
  <c r="D103" i="1"/>
  <c r="E103" i="1" s="1"/>
  <c r="F102" i="1"/>
  <c r="D102" i="1"/>
  <c r="E102" i="1" s="1"/>
  <c r="F101" i="1"/>
  <c r="D101" i="1"/>
  <c r="E101" i="1" s="1"/>
  <c r="F100" i="1"/>
  <c r="D100" i="1"/>
  <c r="E100" i="1" s="1"/>
  <c r="F99" i="1"/>
  <c r="D99" i="1"/>
  <c r="E99" i="1" s="1"/>
  <c r="F97" i="1"/>
  <c r="D97" i="1"/>
  <c r="E97" i="1" s="1"/>
  <c r="F96" i="1"/>
  <c r="D96" i="1"/>
  <c r="E96" i="1" s="1"/>
  <c r="F95" i="1"/>
  <c r="D95" i="1"/>
  <c r="E95" i="1" s="1"/>
  <c r="F94" i="1"/>
  <c r="D94" i="1"/>
  <c r="E94" i="1" s="1"/>
  <c r="F93" i="1"/>
  <c r="D93" i="1"/>
  <c r="E93" i="1" s="1"/>
  <c r="F92" i="1"/>
  <c r="D92" i="1"/>
  <c r="E92" i="1" s="1"/>
  <c r="F91" i="1"/>
  <c r="D91" i="1"/>
  <c r="E91" i="1" s="1"/>
  <c r="F90" i="1"/>
  <c r="D90" i="1"/>
  <c r="E90" i="1" s="1"/>
  <c r="F89" i="1"/>
  <c r="D89" i="1"/>
  <c r="E89" i="1" s="1"/>
  <c r="F88" i="1"/>
  <c r="D88" i="1"/>
  <c r="E88" i="1" s="1"/>
  <c r="AB164" i="1" l="1"/>
  <c r="AA85" i="1"/>
  <c r="AB94" i="1"/>
  <c r="AB126" i="1"/>
  <c r="AB123" i="1"/>
  <c r="AA52" i="1"/>
  <c r="AB49" i="1"/>
  <c r="AA69" i="1"/>
  <c r="AB172" i="1"/>
  <c r="AB225" i="1"/>
  <c r="AB36" i="1"/>
  <c r="AA211" i="1"/>
  <c r="AB33" i="1"/>
  <c r="AB110" i="1"/>
  <c r="AB107" i="1"/>
  <c r="AB197" i="1"/>
  <c r="AA77" i="1"/>
  <c r="AB134" i="1"/>
  <c r="AB131" i="1"/>
  <c r="AB102" i="1"/>
  <c r="AB99" i="1"/>
  <c r="AB136" i="1"/>
  <c r="AB181" i="1"/>
  <c r="AB20" i="1"/>
  <c r="AB144" i="1"/>
  <c r="AB189" i="1"/>
  <c r="AB216" i="1"/>
  <c r="AB63" i="1"/>
  <c r="AB118" i="1"/>
  <c r="AB115" i="1"/>
  <c r="AB17" i="1"/>
  <c r="AB44" i="1"/>
  <c r="AB28" i="1"/>
  <c r="AA84" i="1"/>
  <c r="AB81" i="1"/>
  <c r="AA67" i="1"/>
  <c r="AB64" i="1"/>
  <c r="AA127" i="1"/>
  <c r="AA111" i="1"/>
  <c r="AA95" i="1"/>
  <c r="AB148" i="1"/>
  <c r="AB201" i="1"/>
  <c r="AB198" i="1"/>
  <c r="AB182" i="1"/>
  <c r="AB59" i="1"/>
  <c r="AB135" i="1"/>
  <c r="AB119" i="1"/>
  <c r="AB103" i="1"/>
  <c r="AB156" i="1"/>
  <c r="AA140" i="1"/>
  <c r="AB137" i="1"/>
  <c r="AB209" i="1"/>
  <c r="AB193" i="1"/>
  <c r="AB185" i="1"/>
  <c r="AB177" i="1"/>
  <c r="AB224" i="1"/>
  <c r="AB221" i="1"/>
  <c r="AA92" i="1"/>
  <c r="AB89" i="1"/>
  <c r="AA76" i="1"/>
  <c r="AB73" i="1"/>
  <c r="AB190" i="1"/>
  <c r="AB217" i="1"/>
  <c r="AB215" i="1"/>
  <c r="AB12" i="1"/>
  <c r="AB9" i="1"/>
  <c r="AB57" i="1"/>
  <c r="AB41" i="1"/>
  <c r="AB25" i="1"/>
  <c r="AA88" i="1"/>
  <c r="AA80" i="1"/>
  <c r="AA72" i="1"/>
  <c r="AB60" i="1"/>
  <c r="AB130" i="1"/>
  <c r="AB122" i="1"/>
  <c r="AB114" i="1"/>
  <c r="AB106" i="1"/>
  <c r="AB98" i="1"/>
  <c r="AB176" i="1"/>
  <c r="AB169" i="1"/>
  <c r="AB168" i="1"/>
  <c r="AB161" i="1"/>
  <c r="AB160" i="1"/>
  <c r="AB153" i="1"/>
  <c r="AB152" i="1"/>
  <c r="AB206" i="1"/>
  <c r="AB205" i="1"/>
  <c r="AB229" i="1"/>
  <c r="AB228" i="1"/>
  <c r="AB212" i="1"/>
  <c r="AB145" i="1"/>
  <c r="AB220" i="1"/>
  <c r="AB232" i="1"/>
  <c r="AA90" i="1"/>
  <c r="AB90" i="1"/>
  <c r="AB16" i="1"/>
  <c r="AA13" i="1"/>
  <c r="AB13" i="1"/>
  <c r="AB8" i="1"/>
  <c r="AB56" i="1"/>
  <c r="AA53" i="1"/>
  <c r="AB53" i="1"/>
  <c r="AB48" i="1"/>
  <c r="AA45" i="1"/>
  <c r="AB45" i="1"/>
  <c r="AB40" i="1"/>
  <c r="AA37" i="1"/>
  <c r="AB37" i="1"/>
  <c r="AB32" i="1"/>
  <c r="AA29" i="1"/>
  <c r="AB29" i="1"/>
  <c r="AB24" i="1"/>
  <c r="AA21" i="1"/>
  <c r="AB21" i="1"/>
  <c r="AB86" i="1"/>
  <c r="AB82" i="1"/>
  <c r="AB78" i="1"/>
  <c r="AB74" i="1"/>
  <c r="AB70" i="1"/>
  <c r="AB173" i="1"/>
  <c r="AB165" i="1"/>
  <c r="AB157" i="1"/>
  <c r="AB149" i="1"/>
  <c r="AB141" i="1"/>
  <c r="AB202" i="1"/>
  <c r="AB194" i="1"/>
  <c r="AB186" i="1"/>
  <c r="AB178" i="1"/>
  <c r="AA231" i="1"/>
  <c r="AA227" i="1"/>
  <c r="AA223" i="1"/>
  <c r="AA219" i="1"/>
  <c r="AA230" i="1"/>
  <c r="AA226" i="1"/>
  <c r="AA222" i="1"/>
  <c r="AA218" i="1"/>
  <c r="AA214" i="1"/>
  <c r="AA210" i="1"/>
  <c r="AA213" i="1"/>
  <c r="AA196" i="1"/>
  <c r="AA192" i="1"/>
  <c r="AA188" i="1"/>
  <c r="AA184" i="1"/>
  <c r="AB207" i="1"/>
  <c r="AB203" i="1"/>
  <c r="AB199" i="1"/>
  <c r="AB195" i="1"/>
  <c r="AB191" i="1"/>
  <c r="AB187" i="1"/>
  <c r="AB183" i="1"/>
  <c r="AB179" i="1"/>
  <c r="AA208" i="1"/>
  <c r="AA204" i="1"/>
  <c r="AA200" i="1"/>
  <c r="AA180" i="1"/>
  <c r="AA171" i="1"/>
  <c r="AA159" i="1"/>
  <c r="AA155" i="1"/>
  <c r="AA147" i="1"/>
  <c r="AA143" i="1"/>
  <c r="AB174" i="1"/>
  <c r="AB170" i="1"/>
  <c r="AB166" i="1"/>
  <c r="AB162" i="1"/>
  <c r="AB158" i="1"/>
  <c r="AB154" i="1"/>
  <c r="AB150" i="1"/>
  <c r="AB146" i="1"/>
  <c r="AB142" i="1"/>
  <c r="AB138" i="1"/>
  <c r="AA175" i="1"/>
  <c r="AA167" i="1"/>
  <c r="AA163" i="1"/>
  <c r="AA151" i="1"/>
  <c r="AA139" i="1"/>
  <c r="AA133" i="1"/>
  <c r="AA129" i="1"/>
  <c r="AA125" i="1"/>
  <c r="AA121" i="1"/>
  <c r="AA117" i="1"/>
  <c r="AA113" i="1"/>
  <c r="AA109" i="1"/>
  <c r="AA105" i="1"/>
  <c r="AA101" i="1"/>
  <c r="AA97" i="1"/>
  <c r="AA93" i="1"/>
  <c r="AA132" i="1"/>
  <c r="AA128" i="1"/>
  <c r="AA124" i="1"/>
  <c r="AA120" i="1"/>
  <c r="AA116" i="1"/>
  <c r="AA112" i="1"/>
  <c r="AA108" i="1"/>
  <c r="AA104" i="1"/>
  <c r="AA100" i="1"/>
  <c r="AA96" i="1"/>
  <c r="AA91" i="1"/>
  <c r="AA87" i="1"/>
  <c r="AA83" i="1"/>
  <c r="AA79" i="1"/>
  <c r="AA75" i="1"/>
  <c r="AA71" i="1"/>
  <c r="AA66" i="1"/>
  <c r="AA62" i="1"/>
  <c r="AA58" i="1"/>
  <c r="AA65" i="1"/>
  <c r="AA61" i="1"/>
  <c r="AA31" i="1"/>
  <c r="AB54" i="1"/>
  <c r="AB50" i="1"/>
  <c r="AB46" i="1"/>
  <c r="AB42" i="1"/>
  <c r="AB38" i="1"/>
  <c r="AB34" i="1"/>
  <c r="AB30" i="1"/>
  <c r="AB26" i="1"/>
  <c r="AB22" i="1"/>
  <c r="AA55" i="1"/>
  <c r="AA51" i="1"/>
  <c r="AA47" i="1"/>
  <c r="AA43" i="1"/>
  <c r="AA39" i="1"/>
  <c r="AA35" i="1"/>
  <c r="AA27" i="1"/>
  <c r="AA23" i="1"/>
  <c r="AA19" i="1"/>
  <c r="AA15" i="1"/>
  <c r="AA11" i="1"/>
  <c r="AA18" i="1"/>
  <c r="AB14" i="1"/>
  <c r="AB10" i="1"/>
  <c r="AB6" i="1"/>
  <c r="AA7" i="1"/>
  <c r="F87" i="1"/>
  <c r="D87" i="1"/>
  <c r="E87" i="1" s="1"/>
  <c r="F86" i="1"/>
  <c r="D86" i="1"/>
  <c r="E86" i="1" s="1"/>
  <c r="F85" i="1"/>
  <c r="D85" i="1"/>
  <c r="E85" i="1" s="1"/>
  <c r="F84" i="1"/>
  <c r="D84" i="1"/>
  <c r="E84" i="1" s="1"/>
  <c r="F83" i="1"/>
  <c r="D83" i="1"/>
  <c r="E83" i="1" s="1"/>
  <c r="F82" i="1"/>
  <c r="D82" i="1"/>
  <c r="E82" i="1" s="1"/>
  <c r="F81" i="1"/>
  <c r="D81" i="1"/>
  <c r="E81" i="1" s="1"/>
  <c r="F80" i="1"/>
  <c r="D80" i="1"/>
  <c r="E80" i="1" s="1"/>
  <c r="F79" i="1"/>
  <c r="D79" i="1"/>
  <c r="E79" i="1" s="1"/>
  <c r="D78" i="1"/>
  <c r="E78" i="1" s="1"/>
  <c r="F78" i="1"/>
  <c r="F77" i="1"/>
  <c r="D77" i="1"/>
  <c r="E77" i="1" s="1"/>
  <c r="F76" i="1"/>
  <c r="D76" i="1"/>
  <c r="E76" i="1" s="1"/>
  <c r="F75" i="1"/>
  <c r="D75" i="1"/>
  <c r="E75" i="1" s="1"/>
  <c r="F74" i="1"/>
  <c r="D74" i="1"/>
  <c r="E74" i="1" s="1"/>
  <c r="F73" i="1"/>
  <c r="D73" i="1"/>
  <c r="E73" i="1" s="1"/>
  <c r="F72" i="1"/>
  <c r="D72" i="1"/>
  <c r="E72" i="1" s="1"/>
  <c r="F71" i="1"/>
  <c r="D71" i="1"/>
  <c r="E71" i="1" s="1"/>
  <c r="F70" i="1"/>
  <c r="D70" i="1"/>
  <c r="E70" i="1" s="1"/>
  <c r="F69" i="1"/>
  <c r="D69" i="1"/>
  <c r="E69" i="1" s="1"/>
  <c r="F26" i="1"/>
  <c r="D26" i="1"/>
  <c r="E26" i="1" s="1"/>
  <c r="F67" i="1"/>
  <c r="D67" i="1"/>
  <c r="E67" i="1" s="1"/>
  <c r="F66" i="1"/>
  <c r="D66" i="1"/>
  <c r="E66" i="1" s="1"/>
  <c r="F65" i="1"/>
  <c r="D65" i="1"/>
  <c r="E65" i="1" s="1"/>
  <c r="F64" i="1"/>
  <c r="D64" i="1"/>
  <c r="E64" i="1" s="1"/>
  <c r="F63" i="1"/>
  <c r="D63" i="1"/>
  <c r="E63" i="1" s="1"/>
  <c r="F62" i="1"/>
  <c r="D62" i="1"/>
  <c r="E62" i="1" s="1"/>
  <c r="F61" i="1"/>
  <c r="D61" i="1"/>
  <c r="E61" i="1" s="1"/>
  <c r="Y77" i="1"/>
  <c r="Y78" i="1"/>
  <c r="Y79" i="1"/>
  <c r="Y80" i="1"/>
  <c r="Y81" i="1"/>
  <c r="Y82" i="1"/>
  <c r="Y83" i="1"/>
  <c r="Y84" i="1"/>
  <c r="Y85" i="1"/>
  <c r="Y86" i="1"/>
  <c r="Y87" i="1"/>
  <c r="D60" i="1"/>
  <c r="E60" i="1" s="1"/>
  <c r="F60" i="1"/>
  <c r="F59" i="1"/>
  <c r="D59" i="1"/>
  <c r="E59" i="1" s="1"/>
  <c r="F58" i="1"/>
  <c r="D58" i="1"/>
  <c r="E58" i="1" s="1"/>
  <c r="F57" i="1"/>
  <c r="D57" i="1"/>
  <c r="E57" i="1" s="1"/>
  <c r="F56" i="1"/>
  <c r="D56" i="1"/>
  <c r="E56" i="1" s="1"/>
  <c r="F55" i="1"/>
  <c r="D55" i="1"/>
  <c r="E55" i="1" s="1"/>
  <c r="F54" i="1"/>
  <c r="D54" i="1"/>
  <c r="E54" i="1" s="1"/>
  <c r="D52" i="1"/>
  <c r="E52" i="1" s="1"/>
  <c r="F52" i="1"/>
  <c r="D53" i="1"/>
  <c r="E53" i="1" s="1"/>
  <c r="F53" i="1"/>
  <c r="F51" i="1"/>
  <c r="D51" i="1"/>
  <c r="E51" i="1" s="1"/>
  <c r="F50" i="1"/>
  <c r="D50" i="1"/>
  <c r="E50" i="1" s="1"/>
  <c r="D49" i="1"/>
  <c r="E49" i="1" s="1"/>
  <c r="F49" i="1"/>
  <c r="D48" i="1"/>
  <c r="E48" i="1" s="1"/>
  <c r="F48" i="1"/>
  <c r="D47" i="1"/>
  <c r="E47" i="1" s="1"/>
  <c r="F47" i="1"/>
  <c r="F46" i="1"/>
  <c r="D46" i="1"/>
  <c r="E46" i="1" s="1"/>
  <c r="D43" i="1"/>
  <c r="E43" i="1" s="1"/>
  <c r="F43" i="1"/>
  <c r="D44" i="1"/>
  <c r="E44" i="1" s="1"/>
  <c r="F44" i="1"/>
  <c r="D45" i="1"/>
  <c r="E45" i="1" s="1"/>
  <c r="F45" i="1"/>
  <c r="F42" i="1"/>
  <c r="D42" i="1"/>
  <c r="E42" i="1" s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9" i="1"/>
  <c r="Y70" i="1"/>
  <c r="Y71" i="1"/>
  <c r="Y72" i="1"/>
  <c r="Y73" i="1"/>
  <c r="Y74" i="1"/>
  <c r="Y75" i="1"/>
  <c r="Y76" i="1"/>
  <c r="F41" i="1"/>
  <c r="D41" i="1"/>
  <c r="E41" i="1" s="1"/>
  <c r="F40" i="1"/>
  <c r="D40" i="1"/>
  <c r="E40" i="1" s="1"/>
  <c r="F39" i="1"/>
  <c r="D39" i="1"/>
  <c r="E39" i="1" s="1"/>
  <c r="F38" i="1"/>
  <c r="D38" i="1"/>
  <c r="E38" i="1" s="1"/>
  <c r="F37" i="1"/>
  <c r="D37" i="1"/>
  <c r="E37" i="1" s="1"/>
  <c r="F36" i="1"/>
  <c r="D36" i="1"/>
  <c r="E36" i="1" s="1"/>
  <c r="F35" i="1"/>
  <c r="D35" i="1"/>
  <c r="E35" i="1" s="1"/>
  <c r="F34" i="1"/>
  <c r="D34" i="1"/>
  <c r="E34" i="1" s="1"/>
  <c r="F33" i="1"/>
  <c r="D33" i="1"/>
  <c r="E33" i="1" s="1"/>
  <c r="F32" i="1"/>
  <c r="D32" i="1"/>
  <c r="E32" i="1" s="1"/>
  <c r="F31" i="1"/>
  <c r="D31" i="1"/>
  <c r="E31" i="1" s="1"/>
  <c r="F30" i="1"/>
  <c r="D30" i="1"/>
  <c r="E30" i="1" s="1"/>
  <c r="F29" i="1"/>
  <c r="D29" i="1"/>
  <c r="E29" i="1" s="1"/>
  <c r="F28" i="1"/>
  <c r="D28" i="1"/>
  <c r="E28" i="1" s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F27" i="1"/>
  <c r="D27" i="1"/>
  <c r="E27" i="1" s="1"/>
  <c r="F25" i="1"/>
  <c r="D25" i="1"/>
  <c r="E25" i="1" s="1"/>
  <c r="F24" i="1"/>
  <c r="D24" i="1"/>
  <c r="E24" i="1" s="1"/>
  <c r="F23" i="1"/>
  <c r="D23" i="1"/>
  <c r="E23" i="1" s="1"/>
  <c r="F22" i="1"/>
  <c r="D22" i="1"/>
  <c r="E22" i="1" s="1"/>
  <c r="F21" i="1"/>
  <c r="D21" i="1"/>
  <c r="E21" i="1" s="1"/>
  <c r="F20" i="1"/>
  <c r="D20" i="1"/>
  <c r="E20" i="1" s="1"/>
  <c r="F19" i="1"/>
  <c r="D19" i="1"/>
  <c r="E19" i="1" s="1"/>
  <c r="F18" i="1"/>
  <c r="D18" i="1"/>
  <c r="E18" i="1" s="1"/>
  <c r="F17" i="1"/>
  <c r="D17" i="1"/>
  <c r="E17" i="1" s="1"/>
  <c r="F16" i="1"/>
  <c r="D16" i="1"/>
  <c r="E16" i="1" s="1"/>
  <c r="D12" i="1"/>
  <c r="E12" i="1" s="1"/>
  <c r="F12" i="1"/>
  <c r="D13" i="1"/>
  <c r="E13" i="1" s="1"/>
  <c r="F13" i="1"/>
  <c r="D14" i="1"/>
  <c r="E14" i="1" s="1"/>
  <c r="F14" i="1"/>
  <c r="D15" i="1"/>
  <c r="E15" i="1" s="1"/>
  <c r="F15" i="1"/>
  <c r="F11" i="1"/>
  <c r="D11" i="1"/>
  <c r="E11" i="1" s="1"/>
  <c r="F10" i="1"/>
  <c r="D10" i="1"/>
  <c r="E10" i="1" s="1"/>
  <c r="F9" i="1"/>
  <c r="D9" i="1"/>
  <c r="E9" i="1" s="1"/>
  <c r="F8" i="1"/>
  <c r="D8" i="1"/>
  <c r="E8" i="1" s="1"/>
  <c r="F7" i="1"/>
  <c r="D7" i="1"/>
  <c r="E7" i="1" s="1"/>
  <c r="Y6" i="1"/>
  <c r="Y7" i="1"/>
  <c r="Y8" i="1"/>
  <c r="Y9" i="1"/>
  <c r="Y10" i="1"/>
  <c r="Y11" i="1"/>
  <c r="Y12" i="1"/>
  <c r="F6" i="1"/>
  <c r="D6" i="1"/>
  <c r="E6" i="1" s="1"/>
  <c r="AT72" i="16" l="1"/>
  <c r="AT73" i="16"/>
  <c r="AT74" i="16"/>
  <c r="AT75" i="16"/>
  <c r="AT76" i="16"/>
  <c r="AT77" i="16"/>
  <c r="AT78" i="16"/>
  <c r="AT79" i="16"/>
  <c r="AT80" i="16"/>
  <c r="AT81" i="16"/>
  <c r="AT82" i="16"/>
  <c r="AT83" i="16"/>
  <c r="AT84" i="16"/>
  <c r="AT85" i="16"/>
  <c r="AT86" i="16"/>
  <c r="AT87" i="16"/>
  <c r="AT88" i="16"/>
  <c r="AT89" i="16"/>
  <c r="AT90" i="16"/>
  <c r="AT91" i="16"/>
  <c r="AT92" i="16"/>
  <c r="AT93" i="16"/>
  <c r="AT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71" i="16"/>
  <c r="AO72" i="16"/>
  <c r="AO73" i="16"/>
  <c r="AO74" i="16"/>
  <c r="AO75" i="16"/>
  <c r="AO76" i="16"/>
  <c r="AO77" i="16"/>
  <c r="AO78" i="16"/>
  <c r="AO79" i="16"/>
  <c r="AO80" i="16"/>
  <c r="AO81" i="16"/>
  <c r="AO82" i="16"/>
  <c r="AO83" i="16"/>
  <c r="AO84" i="16"/>
  <c r="AO85" i="16"/>
  <c r="AO86" i="16"/>
  <c r="AO87" i="16"/>
  <c r="AO88" i="16"/>
  <c r="AO89" i="16"/>
  <c r="AO90" i="16"/>
  <c r="AO91" i="16"/>
  <c r="AO92" i="16"/>
  <c r="AO93" i="16"/>
  <c r="AO71" i="16"/>
  <c r="AN72" i="16"/>
  <c r="AN73" i="16"/>
  <c r="AN74" i="16"/>
  <c r="AN75" i="16"/>
  <c r="AN76" i="16"/>
  <c r="AN77" i="16"/>
  <c r="AN78" i="16"/>
  <c r="AN79" i="16"/>
  <c r="AN80" i="16"/>
  <c r="AN81" i="16"/>
  <c r="AN82" i="16"/>
  <c r="AN83" i="16"/>
  <c r="AN84" i="16"/>
  <c r="AN85" i="16"/>
  <c r="AN86" i="16"/>
  <c r="AN87" i="16"/>
  <c r="AN88" i="16"/>
  <c r="AN89" i="16"/>
  <c r="AN90" i="16"/>
  <c r="AN91" i="16"/>
  <c r="AN92" i="16"/>
  <c r="AN93" i="16"/>
  <c r="AN71" i="16"/>
  <c r="AM72" i="16"/>
  <c r="AM73" i="16"/>
  <c r="AM74" i="16"/>
  <c r="AM75" i="16"/>
  <c r="AM76" i="16"/>
  <c r="AM77" i="16"/>
  <c r="AM78" i="16"/>
  <c r="AM79" i="16"/>
  <c r="AM80" i="16"/>
  <c r="AM81" i="16"/>
  <c r="AM82" i="16"/>
  <c r="AM83" i="16"/>
  <c r="AM84" i="16"/>
  <c r="AM85" i="16"/>
  <c r="AM86" i="16"/>
  <c r="AM87" i="16"/>
  <c r="AM88" i="16"/>
  <c r="AM89" i="16"/>
  <c r="AM90" i="16"/>
  <c r="AM91" i="16"/>
  <c r="AM92" i="16"/>
  <c r="AM93" i="16"/>
  <c r="AM71" i="16"/>
  <c r="AL72" i="16"/>
  <c r="AL73" i="16"/>
  <c r="AL74" i="16"/>
  <c r="AL75" i="16"/>
  <c r="AL76" i="16"/>
  <c r="AL77" i="16"/>
  <c r="AL78" i="16"/>
  <c r="AL79" i="16"/>
  <c r="AL80" i="16"/>
  <c r="AL81" i="16"/>
  <c r="AL82" i="16"/>
  <c r="AL83" i="16"/>
  <c r="AL84" i="16"/>
  <c r="AL85" i="16"/>
  <c r="AL86" i="16"/>
  <c r="AL87" i="16"/>
  <c r="AL88" i="16"/>
  <c r="AL89" i="16"/>
  <c r="AL90" i="16"/>
  <c r="AL91" i="16"/>
  <c r="AL92" i="16"/>
  <c r="AL93" i="16"/>
  <c r="AL71" i="16"/>
  <c r="AK72" i="16"/>
  <c r="AK73" i="16"/>
  <c r="AK74" i="16"/>
  <c r="AK75" i="16"/>
  <c r="AK76" i="16"/>
  <c r="AK77" i="16"/>
  <c r="AK78" i="16"/>
  <c r="AK79" i="16"/>
  <c r="AK80" i="16"/>
  <c r="AK81" i="16"/>
  <c r="AK82" i="16"/>
  <c r="AK83" i="16"/>
  <c r="AK84" i="16"/>
  <c r="AK85" i="16"/>
  <c r="AK86" i="16"/>
  <c r="AK87" i="16"/>
  <c r="AK88" i="16"/>
  <c r="AK89" i="16"/>
  <c r="AK90" i="16"/>
  <c r="AK91" i="16"/>
  <c r="AK92" i="16"/>
  <c r="AK93" i="16"/>
  <c r="AK71" i="16"/>
  <c r="AJ72" i="16"/>
  <c r="AJ73" i="16"/>
  <c r="AJ74" i="16"/>
  <c r="AJ75" i="16"/>
  <c r="AJ76" i="16"/>
  <c r="AJ77" i="16"/>
  <c r="AJ78" i="16"/>
  <c r="AJ79" i="16"/>
  <c r="AJ80" i="16"/>
  <c r="AJ81" i="16"/>
  <c r="AJ82" i="16"/>
  <c r="AJ83" i="16"/>
  <c r="AJ84" i="16"/>
  <c r="AJ85" i="16"/>
  <c r="AJ86" i="16"/>
  <c r="AJ87" i="16"/>
  <c r="AJ88" i="16"/>
  <c r="AJ89" i="16"/>
  <c r="AJ90" i="16"/>
  <c r="AJ91" i="16"/>
  <c r="AJ92" i="16"/>
  <c r="AJ93" i="16"/>
  <c r="AJ71" i="16"/>
  <c r="AI72" i="16"/>
  <c r="AI73" i="16"/>
  <c r="AI74" i="16"/>
  <c r="AI75" i="16"/>
  <c r="AI76" i="16"/>
  <c r="AI77" i="16"/>
  <c r="AI78" i="16"/>
  <c r="AI79" i="16"/>
  <c r="AI80" i="16"/>
  <c r="AI81" i="16"/>
  <c r="AI82" i="16"/>
  <c r="AI83" i="16"/>
  <c r="AI84" i="16"/>
  <c r="AI85" i="16"/>
  <c r="AI86" i="16"/>
  <c r="AI87" i="16"/>
  <c r="AI88" i="16"/>
  <c r="AI89" i="16"/>
  <c r="AI90" i="16"/>
  <c r="AI91" i="16"/>
  <c r="AI92" i="16"/>
  <c r="AI93" i="16"/>
  <c r="AI71" i="16"/>
  <c r="AG72" i="16"/>
  <c r="AG73" i="16"/>
  <c r="AG74" i="16"/>
  <c r="AG75" i="16"/>
  <c r="AG76" i="16"/>
  <c r="AG77" i="16"/>
  <c r="AG78" i="16"/>
  <c r="AG79" i="16"/>
  <c r="AG80" i="16"/>
  <c r="AG81" i="16"/>
  <c r="AG82" i="16"/>
  <c r="AG83" i="16"/>
  <c r="AG84" i="16"/>
  <c r="AG85" i="16"/>
  <c r="AG86" i="16"/>
  <c r="AG87" i="16"/>
  <c r="AG88" i="16"/>
  <c r="AG89" i="16"/>
  <c r="AG90" i="16"/>
  <c r="AG91" i="16"/>
  <c r="AG92" i="16"/>
  <c r="AG93" i="16"/>
  <c r="AG71" i="16"/>
</calcChain>
</file>

<file path=xl/comments1.xml><?xml version="1.0" encoding="utf-8"?>
<comments xmlns="http://schemas.openxmlformats.org/spreadsheetml/2006/main">
  <authors>
    <author>Kumar Sanu. Pathak</author>
  </authors>
  <commentList>
    <comment ref="B519" authorId="0">
      <text>
        <r>
          <rPr>
            <b/>
            <sz val="9"/>
            <color indexed="81"/>
            <rFont val="Tahoma"/>
            <charset val="1"/>
          </rPr>
          <t>Kumar Sanu. Pathak:</t>
        </r>
        <r>
          <rPr>
            <sz val="9"/>
            <color indexed="81"/>
            <rFont val="Tahoma"/>
            <charset val="1"/>
          </rPr>
          <t xml:space="preserve">
I have updated this entry as only location was updated for IT and LQA</t>
        </r>
      </text>
    </comment>
    <comment ref="M1675" authorId="0">
      <text>
        <r>
          <rPr>
            <b/>
            <sz val="9"/>
            <color indexed="81"/>
            <rFont val="Tahoma"/>
            <family val="2"/>
          </rPr>
          <t>Kumar Sanu. Pathak:</t>
        </r>
        <r>
          <rPr>
            <sz val="9"/>
            <color indexed="81"/>
            <rFont val="Tahoma"/>
            <family val="2"/>
          </rPr>
          <t xml:space="preserve">
word format not received from ajay gera </t>
        </r>
      </text>
    </comment>
  </commentList>
</comments>
</file>

<file path=xl/comments2.xml><?xml version="1.0" encoding="utf-8"?>
<comments xmlns="http://schemas.openxmlformats.org/spreadsheetml/2006/main">
  <authors>
    <author>aanand</author>
  </authors>
  <commentList>
    <comment ref="C19" authorId="0">
      <text>
        <r>
          <rPr>
            <b/>
            <sz val="9"/>
            <color indexed="81"/>
            <rFont val="Tahoma"/>
            <family val="2"/>
          </rPr>
          <t>Exception Patch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9" authorId="0">
      <text>
        <r>
          <rPr>
            <b/>
            <sz val="9"/>
            <color indexed="81"/>
            <rFont val="Tahoma"/>
            <family val="2"/>
          </rPr>
          <t xml:space="preserve">Vonage P.M have taken Exception on Product Patch2.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Kumar Sanu. Pathak</author>
  </authors>
  <commentList>
    <comment ref="C5" authorId="0">
      <text>
        <r>
          <rPr>
            <b/>
            <sz val="9"/>
            <color indexed="81"/>
            <rFont val="Tahoma"/>
            <family val="2"/>
          </rPr>
          <t>Kumar Sanu. Pathak:</t>
        </r>
        <r>
          <rPr>
            <sz val="9"/>
            <color indexed="81"/>
            <rFont val="Tahoma"/>
            <family val="2"/>
          </rPr>
          <t xml:space="preserve">
CSGUI_2.6.2.1b1 - 1.0.3
WWFSGUI_2.2.1.4b1 - 2.2.1 
 both are passed and received mail on 30th march.</t>
        </r>
      </text>
    </comment>
  </commentList>
</comments>
</file>

<file path=xl/sharedStrings.xml><?xml version="1.0" encoding="utf-8"?>
<sst xmlns="http://schemas.openxmlformats.org/spreadsheetml/2006/main" count="22971" uniqueCount="2904">
  <si>
    <t>INTERNAL RELEASE RECORD</t>
  </si>
  <si>
    <t>Customer</t>
  </si>
  <si>
    <t>Product</t>
  </si>
  <si>
    <t>Component</t>
  </si>
  <si>
    <t>Release Type</t>
  </si>
  <si>
    <t>List of Items/Components Released</t>
  </si>
  <si>
    <t>Released By</t>
  </si>
  <si>
    <t>Pass/Fail</t>
  </si>
  <si>
    <t>Status</t>
  </si>
  <si>
    <t>IT Date</t>
  </si>
  <si>
    <t>VZB</t>
  </si>
  <si>
    <t>CFRA</t>
  </si>
  <si>
    <t>WIS</t>
  </si>
  <si>
    <t>UAT</t>
  </si>
  <si>
    <t>Tested By</t>
  </si>
  <si>
    <t>Release Defect</t>
  </si>
  <si>
    <t>PROD</t>
  </si>
  <si>
    <t>VzW</t>
  </si>
  <si>
    <t>3.0.1</t>
  </si>
  <si>
    <t>2.5.1</t>
  </si>
  <si>
    <t>INT/FAT</t>
  </si>
  <si>
    <t>3.0.2.5</t>
  </si>
  <si>
    <t>Release Phase</t>
  </si>
  <si>
    <t>Staging Location of LQA</t>
  </si>
  <si>
    <t>Staging Location of IT</t>
  </si>
  <si>
    <t>LQA DATE</t>
  </si>
  <si>
    <t>LQA Month</t>
  </si>
  <si>
    <t>IT Month</t>
  </si>
  <si>
    <t>TLSTR</t>
  </si>
  <si>
    <t>Serial No.</t>
  </si>
  <si>
    <t>MPE 3.0 Product</t>
  </si>
  <si>
    <t>Project</t>
  </si>
  <si>
    <t>Patch on 3.0</t>
  </si>
  <si>
    <t>Patch on 3.1</t>
  </si>
  <si>
    <t>PATCH</t>
  </si>
  <si>
    <t>BUILD</t>
  </si>
  <si>
    <t>3.0.1.4.1b1</t>
  </si>
  <si>
    <t>3.0.0.1</t>
  </si>
  <si>
    <t>3.0.1.4.2b1</t>
  </si>
  <si>
    <t>3.0.0.2</t>
  </si>
  <si>
    <t xml:space="preserve">BUILD AND PATCH TRACKER SHEET FOR SVN </t>
  </si>
  <si>
    <t>3.0.1.3</t>
  </si>
  <si>
    <t>3.0.1.4</t>
  </si>
  <si>
    <t>VONAGE</t>
  </si>
  <si>
    <t>TELENET</t>
  </si>
  <si>
    <t>Patch on 4.0</t>
  </si>
  <si>
    <t>Patch on 4.1</t>
  </si>
  <si>
    <t>4.0.1</t>
  </si>
  <si>
    <t>4.1.1</t>
  </si>
  <si>
    <t>4.0.0.1.1</t>
  </si>
  <si>
    <t>4.0.0.1</t>
  </si>
  <si>
    <t>4.1.0.1.1</t>
  </si>
  <si>
    <t>4.1.0.1</t>
  </si>
  <si>
    <t>4.0.2</t>
  </si>
  <si>
    <t>4.0.2.1.2</t>
  </si>
  <si>
    <t>Patch on 2.5</t>
  </si>
  <si>
    <t>4.0.2_E1</t>
  </si>
  <si>
    <t>4.0.2_E1.1.3</t>
  </si>
  <si>
    <t>2.5.0.1</t>
  </si>
  <si>
    <t>4.0.3</t>
  </si>
  <si>
    <t>2.5.1.2</t>
  </si>
  <si>
    <t>4.0.4</t>
  </si>
  <si>
    <t>2.5.1.3</t>
  </si>
  <si>
    <t>NM 4.1 Product</t>
  </si>
  <si>
    <t>4.1.0.1.2b1</t>
  </si>
  <si>
    <t>4.1.0.1.3b1</t>
  </si>
  <si>
    <t>4.1.0.1.4b1</t>
  </si>
  <si>
    <t>4.1.0.1.5b1</t>
  </si>
  <si>
    <t>4.1.0.1.6b1</t>
  </si>
  <si>
    <t>4.1.0.1.7b1</t>
  </si>
  <si>
    <t>4.1.0.1.1b2</t>
  </si>
  <si>
    <t>3.0.3.6</t>
  </si>
  <si>
    <t>3.0.2.1</t>
  </si>
  <si>
    <t>3.0.1.4.3b1</t>
  </si>
  <si>
    <t>EXAMPLE:</t>
  </si>
  <si>
    <t>IT</t>
  </si>
  <si>
    <t>TLN</t>
  </si>
  <si>
    <t>NM</t>
  </si>
  <si>
    <t>MPE</t>
  </si>
  <si>
    <t>Patch</t>
  </si>
  <si>
    <t>GMB</t>
  </si>
  <si>
    <t>DM</t>
  </si>
  <si>
    <t>DBS</t>
  </si>
  <si>
    <t>Build</t>
  </si>
  <si>
    <t>GUI</t>
  </si>
  <si>
    <t>AR</t>
  </si>
  <si>
    <t>VON</t>
  </si>
  <si>
    <t>LQA</t>
  </si>
  <si>
    <t>Obsolete-LQA</t>
  </si>
  <si>
    <t>AGENT</t>
  </si>
  <si>
    <t>SAC</t>
  </si>
  <si>
    <t>Anjani Kumar</t>
  </si>
  <si>
    <t>BGC</t>
  </si>
  <si>
    <t>IT-LQA</t>
  </si>
  <si>
    <t>Obsolete-IT</t>
  </si>
  <si>
    <t>Piyush Gupta</t>
  </si>
  <si>
    <t>BMB</t>
  </si>
  <si>
    <t>Neelam Jawla</t>
  </si>
  <si>
    <t>RT</t>
  </si>
  <si>
    <t>(All)</t>
  </si>
  <si>
    <t>Grand Total</t>
  </si>
  <si>
    <t>Row Labels</t>
  </si>
  <si>
    <t>Patch Total</t>
  </si>
  <si>
    <t>TWC</t>
  </si>
  <si>
    <t>Pass</t>
  </si>
  <si>
    <t>IT-LQA-FAT</t>
  </si>
  <si>
    <t>VZW</t>
  </si>
  <si>
    <t>INSIGHT</t>
  </si>
  <si>
    <t>Alexa Alert</t>
  </si>
  <si>
    <t>Apurva Saurabh</t>
  </si>
  <si>
    <t>Readme Re-Released</t>
  </si>
  <si>
    <t>RC</t>
  </si>
  <si>
    <t>LQA-UAT</t>
  </si>
  <si>
    <t>4.1.0.2</t>
  </si>
  <si>
    <t>Sumita Yadav</t>
  </si>
  <si>
    <t>BHN</t>
  </si>
  <si>
    <t>Shiv Mangal</t>
  </si>
  <si>
    <t>DFE</t>
  </si>
  <si>
    <t>L1DB</t>
  </si>
  <si>
    <t>Utility</t>
  </si>
  <si>
    <t>NP</t>
  </si>
  <si>
    <t>IT-LQA-UAT</t>
  </si>
  <si>
    <t>3.0.3.7</t>
  </si>
  <si>
    <t>3.0.3.8</t>
  </si>
  <si>
    <t>CMTeam</t>
  </si>
  <si>
    <t>Chander Kanta</t>
  </si>
  <si>
    <t>LQA-FAT</t>
  </si>
  <si>
    <t>IT-LQA-AT</t>
  </si>
  <si>
    <t>3.0.3.9</t>
  </si>
  <si>
    <t>3.0.3.1</t>
  </si>
  <si>
    <t>3.0.3.2</t>
  </si>
  <si>
    <t>4.1.0.2.1b1</t>
  </si>
  <si>
    <t>4.1.0.2.2b1</t>
  </si>
  <si>
    <t>4.1.0.2.3b1</t>
  </si>
  <si>
    <t>4.1.0.2.4b1</t>
  </si>
  <si>
    <t>XMLFEED</t>
  </si>
  <si>
    <t>COM</t>
  </si>
  <si>
    <t>TMB</t>
  </si>
  <si>
    <t>Ajay Awasthi</t>
  </si>
  <si>
    <t>MTS</t>
  </si>
  <si>
    <t>TM</t>
  </si>
  <si>
    <t>Developed By</t>
  </si>
  <si>
    <t>Gautam</t>
  </si>
  <si>
    <t>Nishant</t>
  </si>
  <si>
    <t>Nikhil Dwivedi</t>
  </si>
  <si>
    <t>Rohtash</t>
  </si>
  <si>
    <t>RA</t>
  </si>
  <si>
    <t>Abhishek Sharma</t>
  </si>
  <si>
    <t>Alok Bagwale</t>
  </si>
  <si>
    <t>WWFS</t>
  </si>
  <si>
    <t>WWCS</t>
  </si>
  <si>
    <t>Daljit Singh Maan</t>
  </si>
  <si>
    <t>Ajay Sharma</t>
  </si>
  <si>
    <t>Abrar Khan</t>
  </si>
  <si>
    <t>Manas Ranjan Barik</t>
  </si>
  <si>
    <t>Gaurav Shukla</t>
  </si>
  <si>
    <t>Ratnesh Singh</t>
  </si>
  <si>
    <t>LQA-AT</t>
  </si>
  <si>
    <t>Sumit Gomber</t>
  </si>
  <si>
    <t>Rudra Narayan</t>
  </si>
  <si>
    <t>CTR</t>
  </si>
  <si>
    <t>Nisha Malik</t>
  </si>
  <si>
    <t>Deepak Yadav</t>
  </si>
  <si>
    <t>\\192.168.3.3\Share\Releases\Projects\Vonage\Release_For_LQA\Test_Build_4.0.16\Server CD\MPE\Setup</t>
  </si>
  <si>
    <t>Lokeshna Virdi</t>
  </si>
  <si>
    <t>Hemant Kumar Sharma</t>
  </si>
  <si>
    <t>AGILIS-PROD</t>
  </si>
  <si>
    <t>Anshul Kumar</t>
  </si>
  <si>
    <t>Sandeep Aggarwal</t>
  </si>
  <si>
    <t>\\192.168.3.3\Share\Releases\Projects\Vonage\Release_For_LQA\Test_Build_4.0.16\Server CD\DBS\Setup</t>
  </si>
  <si>
    <t>In Progress</t>
  </si>
  <si>
    <t>PROD-NM</t>
  </si>
  <si>
    <t>Obsolete</t>
  </si>
  <si>
    <t>DSV</t>
  </si>
  <si>
    <t>ETL</t>
  </si>
  <si>
    <t>Mailer</t>
  </si>
  <si>
    <t>WFS</t>
  </si>
  <si>
    <t>WSV</t>
  </si>
  <si>
    <t>WEBSERVICE</t>
  </si>
  <si>
    <t>Build Total</t>
  </si>
  <si>
    <t>(ALL)</t>
  </si>
  <si>
    <t>On Hold</t>
  </si>
  <si>
    <t>Release Flow Dashbord</t>
  </si>
  <si>
    <t>Abdul Khalik</t>
  </si>
  <si>
    <t>Month</t>
  </si>
  <si>
    <t>Jan</t>
  </si>
  <si>
    <t>Feb</t>
  </si>
  <si>
    <t>Mar</t>
  </si>
  <si>
    <t>Schedular</t>
  </si>
  <si>
    <t>Column Labels</t>
  </si>
  <si>
    <t>Count of Status</t>
  </si>
  <si>
    <t>Unknown</t>
  </si>
  <si>
    <t>Count of Obsolete</t>
  </si>
  <si>
    <t>Values</t>
  </si>
  <si>
    <t>Number of Obsolete</t>
  </si>
  <si>
    <t>Number of Release</t>
  </si>
  <si>
    <t>Category</t>
  </si>
  <si>
    <t>SAC Product_DBS</t>
  </si>
  <si>
    <t>SAC Product_Agent</t>
  </si>
  <si>
    <t>RT 3.0 Product_DBS</t>
  </si>
  <si>
    <t>RT 3.0 Product_GUI</t>
  </si>
  <si>
    <t>ART 2.5 Product_GUI</t>
  </si>
  <si>
    <t>Patch on 1.0</t>
  </si>
  <si>
    <t>3.0.1b1</t>
  </si>
  <si>
    <t>1.0.1b2</t>
  </si>
  <si>
    <t>1.0.0.1</t>
  </si>
  <si>
    <t>3.0.1.1.1b1</t>
  </si>
  <si>
    <t>3.0E.0.1</t>
  </si>
  <si>
    <t>3.0.2b1</t>
  </si>
  <si>
    <t>1.0.2b1</t>
  </si>
  <si>
    <t>3.0.0.2.1b1</t>
  </si>
  <si>
    <t>2.5.2</t>
  </si>
  <si>
    <t>3.0.3b1</t>
  </si>
  <si>
    <t>3.0.0.2.2b1</t>
  </si>
  <si>
    <t>3.0.4b1</t>
  </si>
  <si>
    <t>3.0.3.3</t>
  </si>
  <si>
    <t>3.0.0.2.3b1</t>
  </si>
  <si>
    <t>2.5.1.4</t>
  </si>
  <si>
    <t>2.5.2.4</t>
  </si>
  <si>
    <t>3.0.3.4.3b1</t>
  </si>
  <si>
    <t>3.0.3.4</t>
  </si>
  <si>
    <t>2.5.1.5</t>
  </si>
  <si>
    <t>3.0.3.5.3b1</t>
  </si>
  <si>
    <t>3.0.3.5</t>
  </si>
  <si>
    <t>3.0.3.6.5b1</t>
  </si>
  <si>
    <t>3.0.3.7.5b1</t>
  </si>
  <si>
    <t>4.1.0.1.8b1</t>
  </si>
  <si>
    <t>3.0.3.8.1b1</t>
  </si>
  <si>
    <t>3.0.4.10.1b1</t>
  </si>
  <si>
    <t>3.0.4.10</t>
  </si>
  <si>
    <t>3.0.4.10.2b1</t>
  </si>
  <si>
    <t>4.1.0.2.5b1</t>
  </si>
  <si>
    <t>4.1.0.2.6b2</t>
  </si>
  <si>
    <t>4.1.0.2.7b1</t>
  </si>
  <si>
    <t>4.1.0.2.8b1</t>
  </si>
  <si>
    <t>4.1.0.2.9b1</t>
  </si>
  <si>
    <t>4.1.0.2.10b1</t>
  </si>
  <si>
    <t>4.1.0.2.11b1</t>
  </si>
  <si>
    <t>4.1.0.2.12b1</t>
  </si>
  <si>
    <t>4.1.0.2.13b1</t>
  </si>
  <si>
    <t>4.1.0.2.14b1</t>
  </si>
  <si>
    <t>4.1.0.3.1b1</t>
  </si>
  <si>
    <t>4.1.0.3</t>
  </si>
  <si>
    <t>4.1.0.3.2b1</t>
  </si>
  <si>
    <t>4.1.0.3.3b2</t>
  </si>
  <si>
    <t>4.1.0.3.4b1</t>
  </si>
  <si>
    <t>4.1.0.3.5b1</t>
  </si>
  <si>
    <t>4.1.0.3.6b1</t>
  </si>
  <si>
    <t>4.1.0.3.7b1</t>
  </si>
  <si>
    <t>4.1.0.3.8b2</t>
  </si>
  <si>
    <t>4.1.0.3.9b1</t>
  </si>
  <si>
    <t>4.1.0.3.10b2</t>
  </si>
  <si>
    <t>4.1.0.3.11b1</t>
  </si>
  <si>
    <t>4.1.0.3.12b1</t>
  </si>
  <si>
    <t>4.1.0.3.13b1</t>
  </si>
  <si>
    <t>4.1.0.4.1b2</t>
  </si>
  <si>
    <t>4.1.0.4</t>
  </si>
  <si>
    <t>4.1.0.4.2b1</t>
  </si>
  <si>
    <t>4.1.0.4.3b1</t>
  </si>
  <si>
    <t>Swapnil Garg</t>
  </si>
  <si>
    <t>CS</t>
  </si>
  <si>
    <t>HM</t>
  </si>
  <si>
    <t>PM</t>
  </si>
  <si>
    <t>VCS</t>
  </si>
  <si>
    <t>Rajeev Kumar</t>
  </si>
  <si>
    <t>Sudip Ghosh</t>
  </si>
  <si>
    <t>SHAW</t>
  </si>
  <si>
    <t>Upender Singh</t>
  </si>
  <si>
    <t>Mamta Bora</t>
  </si>
  <si>
    <t>MAS</t>
  </si>
  <si>
    <t>Tushar Tyagi</t>
  </si>
  <si>
    <t>Count of Released By</t>
  </si>
  <si>
    <t>yogendra kumar</t>
  </si>
  <si>
    <t>Aditya Garg</t>
  </si>
  <si>
    <t>MT</t>
  </si>
  <si>
    <t>RM</t>
  </si>
  <si>
    <t>CLIENT</t>
  </si>
  <si>
    <t>(Multiple Items)</t>
  </si>
  <si>
    <t>Release For IT</t>
  </si>
  <si>
    <t>Release For LQA</t>
  </si>
  <si>
    <t>SLT</t>
  </si>
  <si>
    <t>NZ</t>
  </si>
  <si>
    <t>\\192.168.3.3\Share\Releases\Product\RevMind_2.0\Build&amp;Release\Release for IT\TestBuild_1.0.0\Server CD\DBS\Setup</t>
  </si>
  <si>
    <t>Count of Release Defect</t>
  </si>
  <si>
    <t>Deshraj</t>
  </si>
  <si>
    <t>Rohit Kanwar</t>
  </si>
  <si>
    <t>Raja Sarkar</t>
  </si>
  <si>
    <t>Harish Singh</t>
  </si>
  <si>
    <t>Ankur Omar</t>
  </si>
  <si>
    <t>\\192.168.3.3\Share\Releases\Product\DataMind_2.0\Build&amp;Release\Release for IT\TestBuild_2.0.0\Server CD\DBS\Setup</t>
  </si>
  <si>
    <t>\\192.168.3.3\Share\Releases\Product\DataMind_2.0\Build&amp;Release\Release for LQA\TestBuild_2.0.0\Server CD\DBS\Setup</t>
  </si>
  <si>
    <t>AGILIS</t>
  </si>
  <si>
    <t>IM</t>
  </si>
  <si>
    <t>Apr</t>
  </si>
  <si>
    <t>May</t>
  </si>
  <si>
    <t>Jun</t>
  </si>
  <si>
    <t>Jul</t>
  </si>
  <si>
    <t>Harsh Khanna</t>
  </si>
  <si>
    <t>Jitender Aggarwal</t>
  </si>
  <si>
    <t xml:space="preserve">Sumit Dalal </t>
  </si>
  <si>
    <t>Pradeep Raghav</t>
  </si>
  <si>
    <t>Manisha Srivastava</t>
  </si>
  <si>
    <t>Anand Kumar Ojha</t>
  </si>
  <si>
    <t>\\192.168.3.3\Share\Releases\Product\SAC\Build&amp;Release\ReleaseforIT\TestBuild_1.2.0\Build1\ServerCD\DBS\Setup</t>
  </si>
  <si>
    <t>Muktesh Mukul</t>
  </si>
  <si>
    <t>\\192.168.3.3\Share\Releases\Projects\SLT\Release_For_IT\Test_Build_1.0.0.4\Server CD\DBS\Setup</t>
  </si>
  <si>
    <t>Navkaran Sandhu</t>
  </si>
  <si>
    <t>\\192.168.3.3\Share\Releases\Product\MPE_3.2\ReleaseForLQA\TestBuild_3.2.1\Build2\ServerCD\Setup\RHEL_5.1</t>
  </si>
  <si>
    <t>\\192.168.3.3\Share\Releases\Projects\Telstra-2b\Release_For_Test\Test_Build_1.0.0.1\Server CD\MPE\Setup</t>
  </si>
  <si>
    <t>PRODUCT</t>
  </si>
  <si>
    <t>PROJECT</t>
  </si>
  <si>
    <t>Verizon</t>
  </si>
  <si>
    <t>Telstra</t>
  </si>
  <si>
    <t>Sri Lanka Telecom</t>
  </si>
  <si>
    <t>MASCOM</t>
  </si>
  <si>
    <t>TWC(Transition)</t>
  </si>
  <si>
    <t>ANTEL</t>
  </si>
  <si>
    <t>\\192.168.3.3\Share\Releases\Projects\Vonage\Release_For_IT\Test_Build_4.0.16\Server CD\DBS\Setup</t>
  </si>
  <si>
    <t>CARA</t>
  </si>
  <si>
    <t>\\192.168.3.3\Share\Releases\Product\Netmind_4.6\Build&amp;Release\ReleaseForIT\TestBuild_4.6.1\Build4\ServerCD\DBS\Setup</t>
  </si>
  <si>
    <t>\\192.168.3.3\Share\Releases\Product\Netmind_4.6\Build&amp;Release\ReleaseForTest\TestBuild_4.6.1\Build4\ServerCD\DBS\Setup</t>
  </si>
  <si>
    <t>\\192.168.3.3\Share\Releases\Product\WEB_WFS\Build&amp;Release\Release For Test\TestBuild_2.0.4\Build4\ServerCD\GUI\Setup</t>
  </si>
  <si>
    <t>Obsolete Releases</t>
  </si>
  <si>
    <t>Total Releases</t>
  </si>
  <si>
    <t>Mohd. Asif</t>
  </si>
  <si>
    <t>Deepak Dhiman</t>
  </si>
  <si>
    <t>Obsolete Date</t>
  </si>
  <si>
    <t>Obsolete Week</t>
  </si>
  <si>
    <t>Count of Release Type</t>
  </si>
  <si>
    <t>Obsolete Year</t>
  </si>
  <si>
    <t>DRC</t>
  </si>
  <si>
    <t>CBD</t>
  </si>
  <si>
    <t>Ankit Jain</t>
  </si>
  <si>
    <t>RE</t>
  </si>
  <si>
    <t>\\192.168.3.3\Share\Releases\Projects\Telstra\Release_For_IT\Test_Build_1.0.0.18\Server CD\DBS\Setup</t>
  </si>
  <si>
    <t>\\192.168.3.3\Share\Releases\Projects\Telstra\Release_For_LQA\Test_Build_1.0.0.18\Server CD\DBS\Setup</t>
  </si>
  <si>
    <t>\\192.168.3.3\Share\Releases\Product\RT_4.0\ReleaseForIT\TestBuild_4.0.3\DBS\Setup</t>
  </si>
  <si>
    <t>\\192.168.3.3\Share\Releases\Projects\DRC\Release_For_IT\Test_Build_1.0.0.3\Server CD\DBS\Setup</t>
  </si>
  <si>
    <t>\\192.168.3.3\Share\Releases\Projects\DRC\Release_For_LQA\Test_Build_1.0.0.3\Server CD\DBS\Setup</t>
  </si>
  <si>
    <t>\\192.168.3.3\Share\Releases\Projects\DRC\Release_For_LQA\Test_Build_1.0.0.3\Server CD\MPE\Setup</t>
  </si>
  <si>
    <t>\\192.168.3.3\Share\Releases\Projects\ANTEL\Release_For_IT\TestBuild_1.0.0.4\Server CD\DBS\Setup</t>
  </si>
  <si>
    <t>\\192.168.3.3\Share\Releases\Projects\Telstra\Release_For_LQA\Test_Build_1.0.0.18\Utility\Setup</t>
  </si>
  <si>
    <t>MOBSA</t>
  </si>
  <si>
    <t>Puneet Gupta</t>
  </si>
  <si>
    <t>\\192.168.3.3\Share\Releases\Projects\SLT-1B\Release_For_Test\Test_Build_1.0.0.1\Server CD\MPE\Setup</t>
  </si>
  <si>
    <t>\\192.168.3.3\Share\Releases\Product\RE_1.0\ReleaseForIT\TestBuild_1.0.1\DBS\Build4\Setup</t>
  </si>
  <si>
    <t>\\192.168.3.3\Share\Releases\Product\RE_1.0\ReleaseForLQA\TestBuild_1.0.1\GUI\Setup</t>
  </si>
  <si>
    <t>\\192.168.3.3\Share\Releases\Product\RE_1.0\ReleaseForLQA\TestBuild_1.0.1\DBS\Build4\Setup</t>
  </si>
  <si>
    <t>OBT</t>
  </si>
  <si>
    <t>Ekansh Arora</t>
  </si>
  <si>
    <t>Karamjeet kaur</t>
  </si>
  <si>
    <t>\\192.168.3.3\Share\Releases\Projects\TWC\Release_For_IT\Test_Build_1.0.0.3\Server CD\DBS\Setup</t>
  </si>
  <si>
    <t>\\192.168.3.3\Share\Releases\Projects\OBT\Release_For_IT\TestBuild_1.0.0.2\Server CD\DBS\Setup</t>
  </si>
  <si>
    <t>surender Kumar</t>
  </si>
  <si>
    <t>\\192.168.3.3\Share\Releases\Product\WEB_WFS\Build&amp;Release\Release For Test\TestBuild_2.1.21\Build1\ServerCD\GUI\Setup</t>
  </si>
  <si>
    <t>\\192.168.3.3\Share\Releases\Projects\OBT\Release_For_LQA\TestBuild_1.0.0.3\Server CD\DBS\Setup</t>
  </si>
  <si>
    <t>\\192.168.3.3\Share\Releases\Projects\OBT\Release_For_LQA\TestBuild_1.0.0.3\Server CD\GUI\Setup</t>
  </si>
  <si>
    <t>\\192.168.3.3\Share\Releases\Projects\TWC\Release_For_Test\Test_Build_1.0.0.4\Server CD\GUI\Setup</t>
  </si>
  <si>
    <t>\\192.168.3.3\share\Releases\Projects\OBT\Release_For_LQA\TestBuild_1.0.0.3\Server CD\MPE\Setup</t>
  </si>
  <si>
    <t>\\192.168.3.3\Share\Releases\Projects\MTS\Release For IT\Test_Build_3.0.5.25\Server CD\Database\Setup</t>
  </si>
  <si>
    <t>\\192.168.3.3\Share\Releases\Projects\MTS\Release For Test\Test_Build_3.0.5.25\Server CD\Database\Setup</t>
  </si>
  <si>
    <t>\\192.168.3.3\Share\Releases\Projects\TWC\Release_For_Test\Test_Build_1.0.0.4\Server CD\DBS\Setup</t>
  </si>
  <si>
    <t>\\192.168.3.3\Share\Releases\Projects\SLT-1B\Release_For_Test\Test_Build_1.0.0.1\Utility\MPE\Setup</t>
  </si>
  <si>
    <t>Telnet/VON</t>
  </si>
  <si>
    <t>GUI(Thick Client)</t>
  </si>
  <si>
    <t>THINCLIENT</t>
  </si>
  <si>
    <t>MEDIATION-2.1</t>
  </si>
  <si>
    <t>MEDIATION-3.0</t>
  </si>
  <si>
    <t>MEDIATION-3.1</t>
  </si>
  <si>
    <t>MEDIATION-3.2</t>
  </si>
  <si>
    <t>NETMIND-4.0</t>
  </si>
  <si>
    <t>NETMIND-4.1(Thick Client)</t>
  </si>
  <si>
    <t>NETMIND-4.2</t>
  </si>
  <si>
    <t>NETMIND-4.6</t>
  </si>
  <si>
    <t>DATA FLOW ENGINE 1.0</t>
  </si>
  <si>
    <t>SYSTEM ADMIN CONSOLE 1.0</t>
  </si>
  <si>
    <t>SYSTEM ADMIN CONSOLE 1.1</t>
  </si>
  <si>
    <t>NETMIND-Web-WORK FLOW SYSTEM 2.0.4</t>
  </si>
  <si>
    <t>NETMIND-Web-CONFIGURATION SYSTEM 2.0.4</t>
  </si>
  <si>
    <t>DATAMIND-2.1</t>
  </si>
  <si>
    <t>REVMMIND-2.0</t>
  </si>
  <si>
    <t>ROUTEMIND-2.1</t>
  </si>
  <si>
    <t>MEDIATION CONFIGURATION SYSTEM-1.0</t>
  </si>
  <si>
    <t>NETMINDPOS-1.2</t>
  </si>
  <si>
    <t>VISUAL CLARITY SERVER 1.0</t>
  </si>
  <si>
    <t>VISUAL CLARITY SERVER 2.0</t>
  </si>
  <si>
    <t>CREDIT ASSESMENT &amp; RISK ANALYSIS-1.0</t>
  </si>
  <si>
    <t>ANALYTICAL REPORTING TOOL 3.0</t>
  </si>
  <si>
    <t>ANALYTICAL REPORTING TOOL 3.1</t>
  </si>
  <si>
    <t>ANALYTICAL REPORTING TOOL 3.4</t>
  </si>
  <si>
    <t>ANALYTICAL REPORTING TOOL 3.0.10</t>
  </si>
  <si>
    <t>ANALYTICAL REPORTING TOOL 3.0.16</t>
  </si>
  <si>
    <t>ANALYTICAL REPORTING TOOL 4.0.1</t>
  </si>
  <si>
    <t>DATAMIND-1.0</t>
  </si>
  <si>
    <t>DATAMIND-2.0</t>
  </si>
  <si>
    <t>REVMMIND-1.0</t>
  </si>
  <si>
    <t>NETMINDPOS-1.0</t>
  </si>
  <si>
    <t>ANALYTICAL REPORTING TOOL 2.4</t>
  </si>
  <si>
    <t>NETMIND-3.0/3.5</t>
  </si>
  <si>
    <t>ROUTEMIND-2.0</t>
  </si>
  <si>
    <t>TRAFFIC MIND- 2.0</t>
  </si>
  <si>
    <t>MEDIATION-1.0</t>
  </si>
  <si>
    <t>MEDIATION-2.0</t>
  </si>
  <si>
    <t>RATING ENGINE-1.0</t>
  </si>
  <si>
    <t>\\192.168.3.3\Share\Releases\Product\SAC\Build&amp;Release\ReleaseforLQA\TestBuild_1.3.0\Build1\ServerCD\DBS\Setup</t>
  </si>
  <si>
    <t>\\192.168.3.3\Share\Projects\Neustar\BHN\Build&amp;Release\Release For IT\Test_Build_3.5.37\Server CD\Database\Setup</t>
  </si>
  <si>
    <t>Version</t>
  </si>
  <si>
    <t>ART</t>
  </si>
  <si>
    <t>ANALYTICAL REPORTING TOOL 4.0.10</t>
  </si>
  <si>
    <t>ANALYTICAL REPORTING TOOL 4.0.16</t>
  </si>
  <si>
    <t>ANALYTICAL REPORTING TOOL 4.0.18</t>
  </si>
  <si>
    <t>NETMIND-Web-WORK FLOW SYSTEM 2.1.21</t>
  </si>
  <si>
    <t>NETMIND-Web-WORK FLOW SYSTEM 2.1.19</t>
  </si>
  <si>
    <t>NETMIND-Web-CONFIGURATION SYSTEM 2.1.14</t>
  </si>
  <si>
    <t>NETMIND-Web-CONFIGURATION SYSTEM 2.1.13</t>
  </si>
  <si>
    <t>NETMIND-Web-CONFIGURATION SYSTEM 2.1.11</t>
  </si>
  <si>
    <t>NETMIND-Web-CONFIGURATION SYSTEM 2.1.10</t>
  </si>
  <si>
    <t>ANALYTICAL REPORTING TOOL 2.5</t>
  </si>
  <si>
    <t>PRODUCT-p</t>
  </si>
  <si>
    <t>Rating</t>
  </si>
  <si>
    <t>MEDIATION</t>
  </si>
  <si>
    <t>1.0</t>
  </si>
  <si>
    <t>Ongoing</t>
  </si>
  <si>
    <t>2.0</t>
  </si>
  <si>
    <t>2.1</t>
  </si>
  <si>
    <t>3.0</t>
  </si>
  <si>
    <t>3.1</t>
  </si>
  <si>
    <t>3.2</t>
  </si>
  <si>
    <t>3.0/3.5</t>
  </si>
  <si>
    <t>Thick Client</t>
  </si>
  <si>
    <t>4.0</t>
  </si>
  <si>
    <t>NETMIND</t>
  </si>
  <si>
    <t>4.2</t>
  </si>
  <si>
    <t>4.6</t>
  </si>
  <si>
    <t>2.4</t>
  </si>
  <si>
    <t>2.5</t>
  </si>
  <si>
    <t>3.4</t>
  </si>
  <si>
    <t>3.0.16</t>
  </si>
  <si>
    <t>4.0.10</t>
  </si>
  <si>
    <t>4.0.18</t>
  </si>
  <si>
    <t>DATA FLOW ENGINE</t>
  </si>
  <si>
    <t>SYSTEM ADMIN CONSOLE</t>
  </si>
  <si>
    <t>1.1</t>
  </si>
  <si>
    <t>VISUAL CLARITY SERVER</t>
  </si>
  <si>
    <t>2.0.4</t>
  </si>
  <si>
    <t>2.1.19</t>
  </si>
  <si>
    <t>2.1.21</t>
  </si>
  <si>
    <t>2.1.10</t>
  </si>
  <si>
    <t>2.1.11</t>
  </si>
  <si>
    <t>2.1.13</t>
  </si>
  <si>
    <t>2.1.14</t>
  </si>
  <si>
    <t>DATAMIND</t>
  </si>
  <si>
    <t>REVMMIND</t>
  </si>
  <si>
    <t>ROUTEMIND</t>
  </si>
  <si>
    <t>RATING ENGINE</t>
  </si>
  <si>
    <t>MEDIATION CONFIGURATION SYSTEM</t>
  </si>
  <si>
    <t>NETMINDPOS</t>
  </si>
  <si>
    <t>1.2</t>
  </si>
  <si>
    <t>CREDIT ASSESMENT &amp; RISK ANALYSIS</t>
  </si>
  <si>
    <t>TRAFFIC MIND</t>
  </si>
  <si>
    <t>Sum of Rating</t>
  </si>
  <si>
    <t>(blank)</t>
  </si>
  <si>
    <t>Ravi Gautam</t>
  </si>
  <si>
    <t>NETMIND (Thick Client)</t>
  </si>
  <si>
    <t>Cust</t>
  </si>
  <si>
    <t>4.1</t>
  </si>
  <si>
    <t>NETMIND-Web-WFS</t>
  </si>
  <si>
    <t>NETMIND-Web-CS</t>
  </si>
  <si>
    <t>2.1.18</t>
  </si>
  <si>
    <t>3.0.14</t>
  </si>
  <si>
    <t>4.0.9</t>
  </si>
  <si>
    <t>Comp</t>
  </si>
  <si>
    <t>Paritosh Ghildyal</t>
  </si>
  <si>
    <t>\\192.168.3.3\Share\Releases\Product\AWF\Build&amp;Release\Release For Test\TestBuild_2.0.1\Setup</t>
  </si>
  <si>
    <t>\\192.168.3.3\Share\Releases\Projects\SLT\Release_For_LQA\Test_Build_1.0.0.15\Server CD\DBS\Setup</t>
  </si>
  <si>
    <t>\\192.168.3.3\Share\Releases\Projects\TWC\Release_For_Test\Test_Build_1.0.0.4\Server CD\MPE\Setup</t>
  </si>
  <si>
    <t>Gaurav Gupta</t>
  </si>
  <si>
    <t>\\192.168.3.3\Share\Releases\Projects\SHAW\Release_For_LQA\Test_Build_1.0.0.28\Client CD\RM\Setup</t>
  </si>
  <si>
    <t>\\192.168.3.3\Share\Releases\Projects\SHAW\Release_For_LQA\Test_Build_1.0.0.28\Server CD\DBS\Setup</t>
  </si>
  <si>
    <t>\\192.168.3.3\Share\Releases\Product\AWF\Build&amp;Release\Release For Test\TestBuild_1.1.2\Setup</t>
  </si>
  <si>
    <t>\\192.168.3.3\Share\Projects\Neustar\BHN\Build&amp;Release\Release For Test\Test_Build_3.5.37\Server CD\Database\Setup</t>
  </si>
  <si>
    <t>\\192.168.3.3\Share\Releases\Projects\ANTEL\Release_For_Test\Test_Build_1.0.0.6\Server CD\DBS\Setup</t>
  </si>
  <si>
    <t>\\192.168.3.3\Share\Releases\Projects\SLT\Release_For_LQA\Test_Build_1.0.0.16\Server CD\DBS\Setup</t>
  </si>
  <si>
    <t>MAX</t>
  </si>
  <si>
    <t>\\192.168.3.3\share\Releases\Projects\MAX\Release_For_IT\TestBuild_1.0.0.1\Server CD\DBS\Setup</t>
  </si>
  <si>
    <t>\\192.168.3.3\Share\Releases\Product\RevMind_2.1\Build&amp;Release\Release_For_IT\TestBuild_1.0.1\Server CD\DBS\Setup</t>
  </si>
  <si>
    <t>\\192.168.3.3\Share\Releases\Product\RevMind_2.1\Build&amp;Release\Release_For_LQA\Test_Build_1.0.0\Server CD\DBS\Setup</t>
  </si>
  <si>
    <t>\\192.168.3.3\Share\Releases\Product\IM_1.0\Build&amp;Release\Release_For_LQA\Test_Build_1.0.1\Server CD\IM\Setup</t>
  </si>
  <si>
    <t>\\192.168.3.3\Share\Releases\Product\MPE_GUI\ReleaseForLQA\TestBuild_1.0.0.2\Server CD\MPE\Setup</t>
  </si>
  <si>
    <t>\\192.168.3.3\share\Releases\Projects\Telstra\Release_For_LQA\Test_Build_1.0.0.18\Server CD\IM\Setup</t>
  </si>
  <si>
    <t>\\192.168.3.3\Share\Releases\Projects\MAX\Release_For_Test\Test_Build_1.0.0.1\Server CD\DBS\Setup</t>
  </si>
  <si>
    <t>\\192.168.3.3\Share\Releases\Projects\MAX\Release_For_Test\Test_Build_1.0.0.1\Server CD\MPE</t>
  </si>
  <si>
    <t>REDBS_SLT_1.0.1.16.1.7b1</t>
  </si>
  <si>
    <t>MPE_SLT-1B_3.0.1.1.1.38b1</t>
  </si>
  <si>
    <t>Asha Nandan</t>
  </si>
  <si>
    <t>Dinesh Kumar Yadav</t>
  </si>
  <si>
    <t>DMDBS_2.0.0.19b1</t>
  </si>
  <si>
    <t>RMGUI_SHAW_2.0.22</t>
  </si>
  <si>
    <t>\\192.168.3.3\Share\Releases\Projects\SHAW\Release_For_IT\Test_Build_1.0.0.26\Client CD\RM\Setup</t>
  </si>
  <si>
    <t>RADBS_SLT_2.0.0.23.1.50b3</t>
  </si>
  <si>
    <t>NMDBS_OBT_4.6.1.13.1.12b1</t>
  </si>
  <si>
    <t>NMDBS_OBT_4.6.1.13.1.13b1</t>
  </si>
  <si>
    <t>NMDBS_OBT_4.6.1.13.1.14b1</t>
  </si>
  <si>
    <t>NMDBS_OBT_4.6.1.13.1.15b1</t>
  </si>
  <si>
    <t>NMDBS_OBT_4.6.1.13.1.16b1</t>
  </si>
  <si>
    <t>NMDBS_TLSTR_4.0.1.0.4.279b1</t>
  </si>
  <si>
    <t>NMDBS_BHN_3.5.1.52.1</t>
  </si>
  <si>
    <t>Sachin Srivastva</t>
  </si>
  <si>
    <t>NMDBS_4.6.1.14b1</t>
  </si>
  <si>
    <t>Virender Kumar</t>
  </si>
  <si>
    <t>NMDBS_TLSTR_4.0.1.0.4.280b1</t>
  </si>
  <si>
    <t>MPE_SLT-1B_3.0.1.1.1.39b1</t>
  </si>
  <si>
    <t>MPE_TLSTR-2b_3.0.0.3.1.81b1</t>
  </si>
  <si>
    <t>MPE_SLT-1B_3.0.1.1.1.40b1</t>
  </si>
  <si>
    <t xml:space="preserve">\\192.168.3.3\Share\Releases\Projects\SHAW\Release_For_LQA\Test_Build_1.0.0.28\Client CD\RM\Setup </t>
  </si>
  <si>
    <t>MPE_3.2.4.26b1</t>
  </si>
  <si>
    <t>IM_1.0.1b2</t>
  </si>
  <si>
    <t>MPE_ANTEL_3.2.4.26.1.12b1</t>
  </si>
  <si>
    <t>\\192.168.3.3\Share\Releases\Projects\ANTEL\Release_For_Test\Test_Build_1.0.0.6\Server CD\MPE\Setup</t>
  </si>
  <si>
    <t>NMDBS_BHN_3.5.1.52.2</t>
  </si>
  <si>
    <t>MPE_SLT-1B_3.0.1.1.1.41b1</t>
  </si>
  <si>
    <t xml:space="preserve"> IM_TLSTR_1.0.1.0.70</t>
  </si>
  <si>
    <t>Deeoak Dhiman</t>
  </si>
  <si>
    <t>NMDBS_TLSTR_4.0.1.0.4.281b1</t>
  </si>
  <si>
    <t>parul rajput</t>
  </si>
  <si>
    <t>MPE_SLT-1B_3.0.1.1.1.42b1</t>
  </si>
  <si>
    <t>RTGUI_OBT_4.0.10.0.2.1b1</t>
  </si>
  <si>
    <t>\\192.168.3.3\share\Releases\Projects\OBT\Release_For_LQA\TestBuild_1.0.0.3\Server CD\GUI\Setup</t>
  </si>
  <si>
    <t>RADBS_SLT_2.0.0.23.1.51b1</t>
  </si>
  <si>
    <t>Deepinder Singh</t>
  </si>
  <si>
    <t>DMDBS_SLT_2.0.0.18.1.87b1</t>
  </si>
  <si>
    <t>WWFSGUI_2.0.4.8b6 -</t>
  </si>
  <si>
    <t>NMMPE_VON_2.0.2.17.1</t>
  </si>
  <si>
    <t>MPE_TLSTR-2b_3.0.0.3.1.82b1</t>
  </si>
  <si>
    <t>NPDBS_TWC_1.2.1.0.1.19b1</t>
  </si>
  <si>
    <t>DMDBS_SLT_2.0.0.18.1.88b1</t>
  </si>
  <si>
    <t>NMDBS_TWC_4.6.1.11.3.29b1</t>
  </si>
  <si>
    <t>MPE_OBT_3.2.1.3.1.9b2</t>
  </si>
  <si>
    <t>NMDBS_OBT_4.6.1.13.1.12b2</t>
  </si>
  <si>
    <t>NMDBS_OBT_4.6.1.13.1.14b2</t>
  </si>
  <si>
    <t>NMDBS_OBT_4.6.1.13.1.15b2</t>
  </si>
  <si>
    <t>NMDBS_OBT_4.6.1.13.1.16b2</t>
  </si>
  <si>
    <t>WWFSGUI_2.1.21.1b1</t>
  </si>
  <si>
    <t>WWFSGUI_2.1.21.2b1</t>
  </si>
  <si>
    <t>K.V. Krishnan</t>
  </si>
  <si>
    <t>WWFSGUI_OBT_2.1.21.1.2.1b1</t>
  </si>
  <si>
    <t>WWFSGUI_OBT_2.1.21.2.2.2b1</t>
  </si>
  <si>
    <t>RMDBS_SHAW_2.0.1.0.1.38b1</t>
  </si>
  <si>
    <t>\\192.168.3.3\Share\Releases\Projects\SHAW\Release_For_IT\Test_Build_1.0.0.26\Server CD\DBS\Setup</t>
  </si>
  <si>
    <t>DMDBS_SLT_2.0.0.18.1.89b1</t>
  </si>
  <si>
    <t>DMDBS_SLT_2.0.0.18.1.90b1</t>
  </si>
  <si>
    <t>DMDBS_SLT_2.0.0.18.1.91b1</t>
  </si>
  <si>
    <t>NMDBS_TLSTR_4.0.1.0.4.282b1</t>
  </si>
  <si>
    <t>RMDBS_SHAW_2.0.1.0.1.39b1</t>
  </si>
  <si>
    <t>NMDBS_OBT_4.6.1.13.1.12b3-</t>
  </si>
  <si>
    <t>MPE_SLT-1B_3.0.1.1.1.43b1</t>
  </si>
  <si>
    <t>NPDBS_1.2.3.1b1</t>
  </si>
  <si>
    <t>\\192.168.3.3\share\Releases\Product\NetMindPOS_1.1\Build&amp;Release\Release for IT\TestBuild_1.2.3\Server CD\DBS\Setup</t>
  </si>
  <si>
    <t>NMDBS_4.6.1.15b1</t>
  </si>
  <si>
    <t>NMDBS_ANTEL_4.6.1.0.2.30b1</t>
  </si>
  <si>
    <t>NMDBS_TWC_4.6.1.11.3.29b2</t>
  </si>
  <si>
    <t>MPE_SLT-1B_3.0.1.1.1.44b1</t>
  </si>
  <si>
    <t>RMGUI_SHAW_2.0.23</t>
  </si>
  <si>
    <t>\\192.168.3.3\Share\Releases\Projects\SHAW\Release_For_IT\Test_Build_1.0.0.27\Client CD\RM\Setup</t>
  </si>
  <si>
    <t>MPE_3.2.4.27b1</t>
  </si>
  <si>
    <t xml:space="preserve">MPE_ANTEL_3.2.4.27.1.13b1 </t>
  </si>
  <si>
    <t>RADBS_2.1.1.1b1</t>
  </si>
  <si>
    <t>RACS_2.5.4b1</t>
  </si>
  <si>
    <t>\\192.168.3.3\Share\Releases\Product\RevMind_2.1\Build&amp;Release\Release_For_LQA\Test_Build_1.0.1\Server CD\GUI\CS\Setup</t>
  </si>
  <si>
    <t>MPE_MAX_3.2.5.0.1.1b1</t>
  </si>
  <si>
    <t>\\192.168.3.3\Share\Releases\Projects\SHAW\Release_For_LQA\Test_Build_1.0.0.28\Client CD\RM</t>
  </si>
  <si>
    <t>NMDBS_OBT_4.6.1.13.1.17b1</t>
  </si>
  <si>
    <t>REGUI_1.0.6b1</t>
  </si>
  <si>
    <t>RADBS_SLT_2.0.0.23.1.52b1</t>
  </si>
  <si>
    <t>RMGUI_SHAW_2.0.24</t>
  </si>
  <si>
    <t>RADBS_SLT_2.0.0.23.1.53b1</t>
  </si>
  <si>
    <t>MPE_SLT-1B_3.0.1.1.1.45b1</t>
  </si>
  <si>
    <t>REGUI_SLT_1.0.6.0.1</t>
  </si>
  <si>
    <t>\\192.168.3.3\Share\Releases\Projects\SLT\Release_For_LQA\Test_Build_1.0.0.17\Server CD\GUI\Setup</t>
  </si>
  <si>
    <t>RADBS_SLT_2.0.0.23.1.54b1-</t>
  </si>
  <si>
    <t>SACAGENT_1.3.1b1_RHEL_4.8_x86_64</t>
  </si>
  <si>
    <t>\\192.168.3.3\Share\Releases\Product\SAC\Build&amp;Release\ReleaseforLQA\TestBuild_1.3.0\Build1\ServerCD\AGENT\Setup\RHEL_4.8_x86_64</t>
  </si>
  <si>
    <t>NPDBS_1.2.3.1b2</t>
  </si>
  <si>
    <t>NMDBS_4.6.1.16b1</t>
  </si>
  <si>
    <t>\\192.168.3.3\Share\Releases\Projects\SLT\Release_For_LQA\Test_Build_1.0.0.17\Server CD\DBS\Setup</t>
  </si>
  <si>
    <t>NMDBS_ANTEL_4.6.1.0.2.31b1</t>
  </si>
  <si>
    <t>RTDBS_4.0.1.11b1</t>
  </si>
  <si>
    <t xml:space="preserve">\\192.168.3.3\Share\Releases\Product\RT_4.0\ReleaseForLQA\TestBuild_4.0.18\DBS\Setup </t>
  </si>
  <si>
    <t>AWF_2.0.1b25</t>
  </si>
  <si>
    <t>Rajesh Maithani</t>
  </si>
  <si>
    <t>DMDBS_MAX_2.1.1.11.1.1b1</t>
  </si>
  <si>
    <t>MPE_TLSTR-2b_3.0.0.3.1.83b1</t>
  </si>
  <si>
    <t>RTGUI_4.0.19b2</t>
  </si>
  <si>
    <t>\\192.168.3.3\Share\Releases\Product\RT_4.0\ReleaseForLQA\TestBuild_4.0.19\GUI\Build1\Setup</t>
  </si>
  <si>
    <t>\\192.168.3.3\share\Releases\Product\NetMindPOS_1.1\Build&amp;Release\Release for LQA\TestBuild_1.2.3\Server CD\DBS\Setup</t>
  </si>
  <si>
    <t>RADBS_MAX_2.1.1.0.1</t>
  </si>
  <si>
    <t>\\192.168.3.3\Share\Releases\Projects\MAX\Release_For_IT\TestBuild_1.0.0.1\Server CD\DBS\Setup</t>
  </si>
  <si>
    <t>WWCSGUI_2.1.15b2</t>
  </si>
  <si>
    <t>\\192.168.3.3\Share\Releases\Product\WEB_CS\Build&amp;Release\Release For Test\TestBuild_2.1.15\Build4\ServerCD\GUI\Setup</t>
  </si>
  <si>
    <t>RMDBS_SHAW_2.0.1.0.1.40b1</t>
  </si>
  <si>
    <t>\\192.168.3.3\Share\Releases\Projects\SHAW\Release_For_IT\Test_Build_1.0.0.27\Server CD\DBS\Setup</t>
  </si>
  <si>
    <t>RMDBS_SHAW_2.0.1.0.1.41b1</t>
  </si>
  <si>
    <t>MPE_3.2.5.1b1</t>
  </si>
  <si>
    <t>RTGUI_ANTEL_4.0.19.0.1</t>
  </si>
  <si>
    <t>\\192.168.3.3\Share\Releases\Projects\ANTEL\Release_For_Test\Test_Build_1.0.0.7\Server CD\GUI\Setup</t>
  </si>
  <si>
    <t>RTGUI_OBT_4.0.19.0.1</t>
  </si>
  <si>
    <t>\\192.168.3.3\share\Releases\Projects\OBT\Release_For_LQA\TestBuild_1.0.0.4\Server CD\GUI\Setup</t>
  </si>
  <si>
    <t>UTLIM_TLSTR_1.0.0.66.1b1</t>
  </si>
  <si>
    <t>NMDBS_TWC_4.6.1.11.3.30b1</t>
  </si>
  <si>
    <t>NPDBS_TWC_1.2.1.0.1.20b1</t>
  </si>
  <si>
    <t>WWFSGUI_2.1.22b2</t>
  </si>
  <si>
    <t>\\192.168.3.3\Share\Releases\Product\WEB_WFS\Build&amp;Release\Release For Test\TestBuild_2.1.22\Build1\ServerCD\GUI\Setup</t>
  </si>
  <si>
    <t>DMDBS_SLT_2.0.0.18.1.87b2</t>
  </si>
  <si>
    <t>RADBS_SLT_2.0.0.23.1.51b2</t>
  </si>
  <si>
    <t>NMDBS_4.6.1.16b2</t>
  </si>
  <si>
    <t>NMDBS_COM_4.6.1.15.1</t>
  </si>
  <si>
    <t>NMDBS_COM_4.6.1.15.1.1b1</t>
  </si>
  <si>
    <t>NMDBS_COM_4.6.1.15.1.2b1</t>
  </si>
  <si>
    <t>\\192.168.3.3\Share\Releases\Projects\Comcast\Release_For_IT\Test_Build_3.5.50\Server CD\Database\Setup</t>
  </si>
  <si>
    <t>\\192.168.3.3\Share\Releases\Projects\Comcast\Release_for_Test\Test_Build_3.5.50\Server CD\Database\Setup</t>
  </si>
  <si>
    <t>NMDBS_TLSTR_4.0.1.0.4.283b1</t>
  </si>
  <si>
    <t>20140122_3.0.2_BMB_COMMON_P1</t>
  </si>
  <si>
    <t>Anjani</t>
  </si>
  <si>
    <t>\\192.168.3.3\share\Releases\Projects\BMB\Release_For_IT\Test_Build_3.0.2.35\Server CD\Database\Setup</t>
  </si>
  <si>
    <t>\\192.168.3.3\share\Releases\Projects\BMB\Release_For_Test\Test_Build_3.0.2.35\Server CD\Database\Setup</t>
  </si>
  <si>
    <t>NMDBS_OBT_4.6.1.15.1.18b1</t>
  </si>
  <si>
    <t>\\192.168.3.3\Share\Releases\Projects\OBT\Release_For_LQA\TestBuild_1.0.0.4\Server CD\DBS\Setup</t>
  </si>
  <si>
    <t>DMDBS_MAX_2.1.1.11.1.2b1</t>
  </si>
  <si>
    <t>MPE_3.2.4.28b1</t>
  </si>
  <si>
    <t>MPE_SLT-1B_3.0.1.1.1.46b1</t>
  </si>
  <si>
    <t xml:space="preserve">NMDBS_TWC_4.6.1.11.3.30b2 </t>
  </si>
  <si>
    <t>NMDBS_TLSTR_4.0.1.0.4.284b1</t>
  </si>
  <si>
    <t>DMDBS_SLT_2.0.0.18.1.92b1</t>
  </si>
  <si>
    <t>SACDBS_1.1.0.7b1</t>
  </si>
  <si>
    <t>DMDBS_SLT_2.0.0.18.1.89b2</t>
  </si>
  <si>
    <t>NMDBS_BHN_3.5.1.53.1</t>
  </si>
  <si>
    <t>RMGUI_SHAW_2.0.25</t>
  </si>
  <si>
    <t>NMDBS_TLSTR_4.0.1.0.4.285b1</t>
  </si>
  <si>
    <t>DMDBS_SLT_2.0.0.18.1.93b1</t>
  </si>
  <si>
    <t>RACS_MAX_2.5.4.0.1</t>
  </si>
  <si>
    <t>\\192.168.3.3\Share\Releases\Projects\MAX\Release_For_Test\Test_Build_1.0.0.1\Server CD\GUI\Setup</t>
  </si>
  <si>
    <t>RTDBS_SLT_3.0.0.20.1.3b1</t>
  </si>
  <si>
    <t xml:space="preserve">\\192.168.3.3\Share\Releases\Projects\SLT\Release_For_IT\Test_Build_1.0.0.4\Server CD\DBS\Setup </t>
  </si>
  <si>
    <t xml:space="preserve">\\192.168.3.3\Share\Releases\Projects\SLT\Release_For_LQA\Test_Build_1.0.0.17\Server CD\DBS\Setup </t>
  </si>
  <si>
    <t>RTGUI_MAX_4.0.19.0.1</t>
  </si>
  <si>
    <t>\\192.168.3.3\share\Releases\Projects\MAX\Release_For_Test\Test_Build_1.0.0.1\Server CD\GUI\Setup</t>
  </si>
  <si>
    <t>MPE_SLT-1B_3.0.1.1.1.47b1</t>
  </si>
  <si>
    <t>NMDBS_BHN_3.5.1.53.2</t>
  </si>
  <si>
    <t>MPE_MAX_3.2.5.0.1.2b1</t>
  </si>
  <si>
    <t>\\192.168.3.3\Share\Releases\Projects\MAX\Release_For_Test\Test_Build_1.0.0.1\Server CD\MPE\Setup</t>
  </si>
  <si>
    <t>DMDBS_SLT_2.0.0.18.1.95b1</t>
  </si>
  <si>
    <t>DMDBS_SLT_2.0.0.18.1.94b1</t>
  </si>
  <si>
    <t>Surya N Behra</t>
  </si>
  <si>
    <t>DMDBS_SLT_2.0.0.18.1.95b2</t>
  </si>
  <si>
    <t>RMDBS_SHAW_2.0.1.0.1.42b1</t>
  </si>
  <si>
    <t>DMDBS_SLT_2.0.0.18.1.92b2</t>
  </si>
  <si>
    <t>DMDBS_SLT_2.0.0.18.1.96b1</t>
  </si>
  <si>
    <t>DMDBS_2.0.0.20b1</t>
  </si>
  <si>
    <t>MPE_DRC_3.2.1.3.2.21b1</t>
  </si>
  <si>
    <t>RADBS_SLT_2.0.0.23.1.55b1</t>
  </si>
  <si>
    <t>RMDBS_SHAW_2.0.1.0.1.43b1</t>
  </si>
  <si>
    <t>DMDBS_SLT_2.0.0.18.1.97b1</t>
  </si>
  <si>
    <t>NMDBS_OBT_4.6.1.16.1.19b1</t>
  </si>
  <si>
    <t>MPE_SLT-1B_3.0.1.1.1.48b1</t>
  </si>
  <si>
    <t>WWFSGUI_TWC_2.1.20.0.4.10b1</t>
  </si>
  <si>
    <t>DMDBS_SLT_2.0.0.18.1.98b1</t>
  </si>
  <si>
    <t>RADBS_SLT_2.0.0.23.1.56b1</t>
  </si>
  <si>
    <t>NMDBS_ANTEL_4.6.1.0.2.32b1</t>
  </si>
  <si>
    <t>RMGUI_SHAW_2.0.26</t>
  </si>
  <si>
    <t>DMDBS_SLT_2.0.0.18.1.99b1</t>
  </si>
  <si>
    <t>Abhijeet Chaterjee</t>
  </si>
  <si>
    <t>RADBS_SLT_2.0.0.23.1.57b1</t>
  </si>
  <si>
    <t>NMUTLMIG1_COM_1.0.0.0.1</t>
  </si>
  <si>
    <t>NMUTLMIG2_COM_1.0.0.0.1</t>
  </si>
  <si>
    <t>NMUTLMIG3_COM_1.0.0.0.1</t>
  </si>
  <si>
    <t>\\192.168.3.3\Share\Releases\Projects\Comcast\Release_For_IT\Test_Build_3.5.50\Utility\Setup</t>
  </si>
  <si>
    <t>\\192.168.3.3\Share\Releases\Projects\Comcast\Release_for_Test\Test_Build_3.5.50\Utility\Setup</t>
  </si>
  <si>
    <t>MPE_SLT-1B_3.0.1.1.1.491</t>
  </si>
  <si>
    <t>WWFSGUI_OBT_2.1.21.2.2.3b1</t>
  </si>
  <si>
    <t>\\192.168.3.3\Share\Releases\Projects\OBT\Release_For_LQA\TestBuild_1.0.0.4\Server CD\GUI\Setup</t>
  </si>
  <si>
    <t>DMDBS_SLT_2.0.0.18.1.100b1</t>
  </si>
  <si>
    <t>MPE_SLT-1B_3.0.1.1.1.50b1</t>
  </si>
  <si>
    <t>NMDBS_TLSTR_4.0.1.0.4.286b1</t>
  </si>
  <si>
    <t>MPE_SLT-1B_3.0.1.1.1.46b2</t>
  </si>
  <si>
    <t>RADBS_SLT_2.0.0.23.1.58b1</t>
  </si>
  <si>
    <t>MPE_COM_3.2.5.0.1</t>
  </si>
  <si>
    <t>\\192.168.3.3\share\Releases\Projects\Comcast\Release_for_Test\Test_Build_3.5.50\Server CD\MPE\Setup</t>
  </si>
  <si>
    <t>DMDBS_SLT_2.0.0.18.1.101b1</t>
  </si>
  <si>
    <t>RADBS_SLT_2.0.0.25.1.59b1</t>
  </si>
  <si>
    <t xml:space="preserve">RTGUI_4.0.20b1 </t>
  </si>
  <si>
    <t>\\192.168.3.3\Share\Releases\Product\RT_4.0\ReleaseForLQA\TestBuild_4.0.20\GUI\Build1\Setup</t>
  </si>
  <si>
    <t>RADBS_2.0.0.26b1</t>
  </si>
  <si>
    <t>RTGUI_OBT_4.0.20.0.1</t>
  </si>
  <si>
    <t>MPE_TLSTR-2b_3.0.0.3.1.84b1</t>
  </si>
  <si>
    <t>DMDBS_SLT_2.0.0.19.1.102b1</t>
  </si>
  <si>
    <t>RTDBS_4.0.1.12b1</t>
  </si>
  <si>
    <t>\\192.168.3.3\Share\Releases\Product\RT_4.0\ReleaseForLQA\TestBuild_4.0.20\DBS\Setup</t>
  </si>
  <si>
    <t>RACS_SLT_2.5.4.0.1</t>
  </si>
  <si>
    <t>\\192.168.3.3\Share\Releases\Product\RevMind_2.0\Build&amp;Release\Release for LQA\TestBuild_1.0.1\Server CD\DBS\Setup</t>
  </si>
  <si>
    <t>WWFSGUI_ANTEL_2.1.22.0.3</t>
  </si>
  <si>
    <t>RTDBS_SLT_3.0.0.20.1.3b2</t>
  </si>
  <si>
    <t>WWCSGUI_ANTEL_2.1.15.0.3</t>
  </si>
  <si>
    <t>NPDBS_TWC_1.2.1.0.1.21b1</t>
  </si>
  <si>
    <t>REGUI_OBT_4.0.19.0.1</t>
  </si>
  <si>
    <t>NMDBS_ANTEL_4.6.1.0.2.32b2</t>
  </si>
  <si>
    <t>\\192.168.3.3\Share\Releases\Projects\ANTEL\Release_For_Test\Test_Build_1.0.0.7\Server CD\DBS\Setup</t>
  </si>
  <si>
    <t>AWF_2.0.1b26</t>
  </si>
  <si>
    <t>MPE_OBT_3.2.1.3.1.10b1</t>
  </si>
  <si>
    <t>\\192.168.3.3\share\Releases\Projects\OBT\Release_For_LQA\TestBuild_1.0.0.4\Server CD\MPE\Setup</t>
  </si>
  <si>
    <t>RTGUI_4.0.21b1</t>
  </si>
  <si>
    <t>RTGUI_SLT_4.0.21.0.1</t>
  </si>
  <si>
    <t>\\192.168.3.3\Share\Releases\Product\RT_4.0\ReleaseForLQA\TestBuild_4.0.21\DBS\Setup</t>
  </si>
  <si>
    <t>NPDBS_TWC_1.2.1.0.1.22b1</t>
  </si>
  <si>
    <t>DMDBS_SLT_2.0.0.20.1.103b1</t>
  </si>
  <si>
    <t>RTDBS_4.0.1.13b2</t>
  </si>
  <si>
    <t>\\192.168.3.3\Share\Releases\Projects\SLT\Release_For_LQA\Test_Build_1.0.0.18\Server CD\DBS\Setup</t>
  </si>
  <si>
    <t>MPE_SLT-1B_3.0.1.1.1.51b1</t>
  </si>
  <si>
    <t>WWFSGUI_TWC_2.1.20.0.4.11b1</t>
  </si>
  <si>
    <t>REDBS_1.0.1.18b1</t>
  </si>
  <si>
    <t>DMDBS_SLT_2.0.0.20.1.105b1</t>
  </si>
  <si>
    <t>MPE_3.2.5.1b2</t>
  </si>
  <si>
    <t>NMDBS_OBT_4.6.1.15.1.18b2</t>
  </si>
  <si>
    <t>RMGUI_2.0.28</t>
  </si>
  <si>
    <t>\\192.168.3.3\Share\Releases\Product\RouteMind_2.0\Release for IT\TestBuild_2.0.4\Client CD\GUI\Setup</t>
  </si>
  <si>
    <t>RTDBS_4.0.1.14b1</t>
  </si>
  <si>
    <t>MPE_NM46_3.2.5.1.1</t>
  </si>
  <si>
    <t>NM46</t>
  </si>
  <si>
    <t>\\192.168.3.3\Share\Releases\Projects\NM46\Release_For_Test\Test_Build_1.0.0.1\Server CD\MPE\Setup</t>
  </si>
  <si>
    <t>DBSNZ_VZB_1.0.1.31.1</t>
  </si>
  <si>
    <t>\\192.168.3.3\Share\Releases\Projects\VzB\Release_For_IT\Test_Build_1.0.0.1\Server CD\DBS</t>
  </si>
  <si>
    <t>NPDBS_1.2.3.2b1</t>
  </si>
  <si>
    <t>\\192.168.3.3\Share\Releases\Projects\VzB\Release_For_LQA\Test_Build_1.0.0.1\Server CD\DBS\Setup</t>
  </si>
  <si>
    <t>REDBS_SLT_1.0.1.18.1.8b1</t>
  </si>
  <si>
    <t>RTDBS_4.0.1.15b1</t>
  </si>
  <si>
    <t>NMDBS_VON_4.0.1.70.1</t>
  </si>
  <si>
    <t>RTGUI_4.0.22b1</t>
  </si>
  <si>
    <t>\\192.168.3.3\Share\Releases\Product\RT_4.0\ReleaseForLQA\TestBuild_4.0.22\GUI\Build1\Setup</t>
  </si>
  <si>
    <t>DMDBS_ANTEL_2.1.1.2.1.4b1</t>
  </si>
  <si>
    <t>DBSNZ_VZB_1.0.1.31.2</t>
  </si>
  <si>
    <t>\\192.168.3.3\Share\Releases\Projects\VzB\Release_For_IT\Test_Build_1.0.0.1\Server CD\DBS\Setup</t>
  </si>
  <si>
    <t>\\192.168.3.3\Share\Releases\Projects\SLT\Release_For_LQA\Test_Build_1.0.0.19\Server CD\GUI\Setup</t>
  </si>
  <si>
    <t>RTGUI_SLT_4.0.22.0.1</t>
  </si>
  <si>
    <t xml:space="preserve">MPE_3.2.4.29b1 </t>
  </si>
  <si>
    <t>NMDBS_TLSTR_4.0.1.0.4.287b1</t>
  </si>
  <si>
    <t>NMUTLMIG3_COM_1.0.0.0.2</t>
  </si>
  <si>
    <t>NMUTLMIG1_COM_1.0.0.0.2</t>
  </si>
  <si>
    <t>NMUTLMIG2_COM_1.0.0.0.2</t>
  </si>
  <si>
    <t>NMDBS_COM_4.6.1.15.1.1b2</t>
  </si>
  <si>
    <t>NMDBS_COM_4.6.1.15.1.2b2</t>
  </si>
  <si>
    <t>NMDBS_COM_4.6.1.16.1.3b1</t>
  </si>
  <si>
    <t>\\192.168.3.3\Share\Releases\Projects\Comcast\Release_For_IT\Test_Build_4.6.1\Server CD\Database\Setup</t>
  </si>
  <si>
    <t>NPDBS_COM_1.2.3.2.1</t>
  </si>
  <si>
    <t>NPDBS_COM_1.2.3.2.1.1b1</t>
  </si>
  <si>
    <t xml:space="preserve">NPDBS_COM_1.2.3.2.1.2b1         </t>
  </si>
  <si>
    <t>Jagdish Sankar</t>
  </si>
  <si>
    <t>NMDBS_COM_4.6.1.16.1.4b1</t>
  </si>
  <si>
    <t>REDBS_1.0.1.17b1</t>
  </si>
  <si>
    <t>MPE_NM46_3.2.5.1.1.1b1</t>
  </si>
  <si>
    <t>MPE_TLSTR-2b_3.0.0.3.1.84b2</t>
  </si>
  <si>
    <t>MPE_SLT-1B_3.0.1.1.1.52b1</t>
  </si>
  <si>
    <t>NMDBS_TWC_4.6.1.11.3.32b1</t>
  </si>
  <si>
    <t>RTDBS_4.0.1.16b1</t>
  </si>
  <si>
    <t>\\192.168.3.3\Share\Releases\Product\RT_4.0\ReleaseForLQA\TestBuild_4.0.22\DBS\Setup</t>
  </si>
  <si>
    <t>DMDBS_SLT_2.0.0.20.1.106b1</t>
  </si>
  <si>
    <t>NMDBS_TWC_4.6.1.11.3.33b1</t>
  </si>
  <si>
    <t>NMDBS_TWC_4.6.1.11.3.31b1</t>
  </si>
  <si>
    <t>MPE_TLSTR-2b_3.0.0.3.1.85b1</t>
  </si>
  <si>
    <t>MPE_NM46_3.2.5.1.1.2b1</t>
  </si>
  <si>
    <t>MPE_COM_3.2.5.0.1.1b1</t>
  </si>
  <si>
    <t>\\192.168.3.3\Share\Releases\Projects\Comcast\Release_for_Test\Test_Build_4.6.1\Server CD\MPE\Setup</t>
  </si>
  <si>
    <t>MPE_CBD_3.2.1.3.2.11b1</t>
  </si>
  <si>
    <t>\\192.168.3.3\share\Releases\Projects\CBD\Release_For_Test\Test_Build_1.0.0.4\Server CD\MPE\RHEL_6.3\Setup</t>
  </si>
  <si>
    <t>NMDBS_OBT_4.6.1.15.1.18b3</t>
  </si>
  <si>
    <t>MPE_TWC_3.2.1.5.2.12b1</t>
  </si>
  <si>
    <t>NMDBS_OBT_4.6.1.13.1.16b3</t>
  </si>
  <si>
    <t>MPE_SLT-1B_3.0.1.1.1.53b1</t>
  </si>
  <si>
    <t>RADBS_SLT_2.0.0.23.1.60b1</t>
  </si>
  <si>
    <t>MPE_3.2.4.29b2</t>
  </si>
  <si>
    <t>MPE_OBT_3.2.1.3.1.11b1</t>
  </si>
  <si>
    <t>MPE_SLT-1B_3.0.1.1.1.51b2</t>
  </si>
  <si>
    <t>\\192.168.3.3\Share\Releases\Projects\SLT\Release_For_LQA\Test_Build_1.0.0.19\Server CD\DBS\Setup</t>
  </si>
  <si>
    <t>NMUTLMIG1_COM_1.0.0.0.3</t>
  </si>
  <si>
    <t>NMUTLMIG2_COM_1.0.0.0.3</t>
  </si>
  <si>
    <t>NMUTLMIG3_COM_1.0.0.0.3</t>
  </si>
  <si>
    <t>\\192.168.3.3\Share\Releases\Projects\Comcast\Release_For_IT\Test_Build_4.6.1\Utility\Setup</t>
  </si>
  <si>
    <t>\\192.168.3.3\Share\Releases\Projects\Comcast\Release_for_Test\Test_Build_4.6.1\Utility\Setup</t>
  </si>
  <si>
    <t>MPE_TLSTR-2b_3.0.0.3.1.86b1</t>
  </si>
  <si>
    <t>MPE_SLT-1B_3.0.1.1.1.54b1</t>
  </si>
  <si>
    <t>WWCSGUI_COM_2.1.15.0.3</t>
  </si>
  <si>
    <t>WWFSGUI_COM_2.1.22.0.3</t>
  </si>
  <si>
    <t>\\192.168.3.3\Share\Releases\Projects\Comcast\Release_for_Test\Test_Build_4.6.1\Server CD\GUI\Setup</t>
  </si>
  <si>
    <t>REDBS_1.0.1.19b1</t>
  </si>
  <si>
    <t>NMDBS_TLSTR_4.0.1.0.4.288b1</t>
  </si>
  <si>
    <t>NMDBS_COM_4.6.1.15.1.1b3</t>
  </si>
  <si>
    <t>NMDBS_COM_4.6.1.15.1.2b3</t>
  </si>
  <si>
    <t>NMDBS_COM_4.6.1.16.1.3b2</t>
  </si>
  <si>
    <t xml:space="preserve">NPDBS_COM_1.2.3.2.1.2b2       </t>
  </si>
  <si>
    <t>\\192.168.3.3\Share\Releases\Projects\Comcast\Release_for_Test\Test_Build_4.6.1\Server CD\Database\Setup</t>
  </si>
  <si>
    <t>MPE_DRC_3.2.1.3.2.22b1</t>
  </si>
  <si>
    <t>NPDBS_1.2.3.3b1</t>
  </si>
  <si>
    <t xml:space="preserve">NPDBS_COM_1.2.3.2.1.1b2       </t>
  </si>
  <si>
    <t>NMDBS_COM_4.6.1.16.1.4b2</t>
  </si>
  <si>
    <t>MPE_TLSTR-2b_3.0.0.3.1.87b1</t>
  </si>
  <si>
    <t>2014 - 05</t>
  </si>
  <si>
    <t>2014 - 07</t>
  </si>
  <si>
    <t>2014 - 01</t>
  </si>
  <si>
    <t>2014 - 02</t>
  </si>
  <si>
    <t>2014 - 03</t>
  </si>
  <si>
    <t>2014 - 04</t>
  </si>
  <si>
    <t>2014 - 06</t>
  </si>
  <si>
    <t>2014 - 08</t>
  </si>
  <si>
    <t>2014-Jan</t>
  </si>
  <si>
    <t>2014-Feb</t>
  </si>
  <si>
    <t>WWFSGUI_2.0.4.9b1</t>
  </si>
  <si>
    <t>MPE_NM46_3.2.5.1.1.3b1</t>
  </si>
  <si>
    <t>NMDBS_TLSTR_4.0.1.0.4.289b1</t>
  </si>
  <si>
    <t>NMDBS_ANTEL_4.6.1.0.2.33b1</t>
  </si>
  <si>
    <t>MPE_DRC_3.2.1.3.2.23b1</t>
  </si>
  <si>
    <t>MPE_OBT_3.2.1.3.1.12b1</t>
  </si>
  <si>
    <t>Vijay Singh Daagar</t>
  </si>
  <si>
    <t>NMDBS_OBT_4.6.1.16.1.20b1</t>
  </si>
  <si>
    <t>MPE_CBD_3.2.1.3.2.12b1</t>
  </si>
  <si>
    <t>MPE_TLSTR-2b_3.0.0.3.1.88b1</t>
  </si>
  <si>
    <t>MPE_SLT-1B_3.0.1.1.1.55b1</t>
  </si>
  <si>
    <t>NMDBS_TWC_4.6.1.11.3.34b1</t>
  </si>
  <si>
    <t>DMDBS_DRC_2.1.1.7.2.16b1</t>
  </si>
  <si>
    <t>MPE_MAX_3.2.5.0.1.3b1</t>
  </si>
  <si>
    <t xml:space="preserve">UTLSEQM_SLT-1B_1.0.0.0.5.3b1 </t>
  </si>
  <si>
    <t>UTLFDUP_SLT-1B_1.0.0.0.5.1b1</t>
  </si>
  <si>
    <t>RADBS_SLT_2.0.0.26.1.61b1</t>
  </si>
  <si>
    <t>NPDBS_1.2.3.4b1</t>
  </si>
  <si>
    <t>NPDBS_COM_1.2.3.2.1.3b1</t>
  </si>
  <si>
    <t>DMDBS_SLT_2.0.0.20.1.104b1</t>
  </si>
  <si>
    <t>MPE_3.2.4.30b1</t>
  </si>
  <si>
    <t>NMDBS_TLSTR_4.0.1.0.4.290b1</t>
  </si>
  <si>
    <t>NMDBS_TWC_4.6.1.11.3.34b2</t>
  </si>
  <si>
    <t>NMDBS_TWC_4.6.1.11.3.34b3</t>
  </si>
  <si>
    <t>Sureya N Behra</t>
  </si>
  <si>
    <t>NMDBS_BHN_3.5.1.54.1</t>
  </si>
  <si>
    <t>NMDBS_BHN_3.5.1.55.1</t>
  </si>
  <si>
    <t>NMDBS_BHN_3.5.1.56.1</t>
  </si>
  <si>
    <t>NMDBS_TWC_4.6.1.11.3.34b4</t>
  </si>
  <si>
    <t>NMDBS_COM_4.6.1.16.1.5b1</t>
  </si>
  <si>
    <t>NMDBS_COM_4.6.1.16.1.7b1</t>
  </si>
  <si>
    <t>RADBS_SLT_2.0.0.26.1.61b2</t>
  </si>
  <si>
    <t>NMMPE_TLN_2.0.3.50.1</t>
  </si>
  <si>
    <t>\\192.168.3.3\Share\Releases\Projects\Telenet\Build&amp;Release\Release For IT\Test_Build_4.0.39\Server CD\MPE\Setup</t>
  </si>
  <si>
    <t>NMDBS_TLSTR_4.0.1.0.4.291b1</t>
  </si>
  <si>
    <t>NPDBS_1.2.3.5b1</t>
  </si>
  <si>
    <t>PATCH_DBS_3.0.5.03_CPMTS.02_86.1</t>
  </si>
  <si>
    <t>NMDBS_TLSTR_4.0.1.0.4.291b2</t>
  </si>
  <si>
    <t>NMDBS_TLSTR_4.0.1.0.4.292b1</t>
  </si>
  <si>
    <t>MPE_SLT-1B_3.0.1.1.1.55b2</t>
  </si>
  <si>
    <t>WWCSGUI_2.1.16b3</t>
  </si>
  <si>
    <t>\\192.168.3.3\Share\Releases\Product\WEB_CS\Build&amp;Release\Release For Test\TestBuild_2.1.16\Build3\ServerCD\GUI\Setup</t>
  </si>
  <si>
    <t>RTDBS_4.0.1.17b1</t>
  </si>
  <si>
    <t>DMDBS_SLT_2.0.0.20.1.107b1</t>
  </si>
  <si>
    <t>MPE_TLSTR-2b_3.0.0.3.1.89b1</t>
  </si>
  <si>
    <t>WWFSGUI_2.1.23b1</t>
  </si>
  <si>
    <t>\\192.168.3.3\Share\Releases\Product\WEB_WFS\Build&amp;Release\Release For Test\TestBuild_2.1.23\Build1\ServerCD\GUI\Setup</t>
  </si>
  <si>
    <t>RADBS_2.1.1.2b1</t>
  </si>
  <si>
    <t>NMDBS_4.7.1b2</t>
  </si>
  <si>
    <t>\\192.168.3.3\Share\Releases\Product\Netmind_4.7\Build&amp;Release\Release_For_LQA\Test_Build_1.0.1\Server CD\DBS\Setup</t>
  </si>
  <si>
    <t>NPDBS_1.3.1b2</t>
  </si>
  <si>
    <t>\\192.168.3.3\Share\Releases\Product\NetMindPOS_1.3\Build&amp;Release\Release_For_LQA\Test_Build_1.0.1\Server CD\DBS\Setup</t>
  </si>
  <si>
    <t>NMDBS_TLSTR_4.0.1.0.4.293b1</t>
  </si>
  <si>
    <t>MPE_TLSTR-2b_3.0.0.3.1.90b1</t>
  </si>
  <si>
    <t>NMWFS_TLN_4.0.22</t>
  </si>
  <si>
    <t>\\192.168.3.3\Share\Releases\Projects\Telenet\Build&amp;Release\Release For IT\Test_Build_4.0.40\Client CD\GUI\Configuration System\Setup</t>
  </si>
  <si>
    <t>NMPM_TLN_4.0.4</t>
  </si>
  <si>
    <t>\\192.168.3.3\Share\Releases\Projects\Telenet\Build&amp;Release\Release For IT\Test_Build_4.0.40\Client CD\GUI\Hotlist Manager\Setup</t>
  </si>
  <si>
    <t>NMHM_TLN_4.0.4</t>
  </si>
  <si>
    <t>\\192.168.3.3\Share\Releases\Projects\Telenet\Build&amp;Release\Release For IT\Test_Build_4.0.40\Client CD\GUI\Profile Manager\Setup</t>
  </si>
  <si>
    <t xml:space="preserve"> NMCS_TLN_4.0.5</t>
  </si>
  <si>
    <t>\\192.168.3.3\Share\Releases\Projects\Telenet\Build&amp;Release\Release For IT\Test_Build_4.0.40\Client CD\GUI\Workflow System\Setup</t>
  </si>
  <si>
    <t>\\192.168.3.3\Share\Releases\Projects\Telenet\Build&amp;Release\Release For Test\Test_Build_4.0.40\Client CD\GUI\Workflow System\Setup</t>
  </si>
  <si>
    <t>\\192.168.3.3\Share\Releases\Projects\Telenet\Build&amp;Release\Release For Test\Test_Build_4.0.40\Client CD\GUI\Profile Manager\Setup</t>
  </si>
  <si>
    <t>\\192.168.3.3\Share\Releases\Projects\Telenet\Build&amp;Release\Release For Test\Test_Build_4.0.40\Client CD\GUI\Hotlist Manager\Setup</t>
  </si>
  <si>
    <t>\\192.168.3.3\Share\Releases\Projects\Telenet\Build&amp;Release\Release For Test\Test_Build_4.0.40\Client CD\GUI\Configuration System\Setup</t>
  </si>
  <si>
    <t xml:space="preserve">Ashwani </t>
  </si>
  <si>
    <t>DMDBS_SLT_2.0.0.20.1.108b1</t>
  </si>
  <si>
    <t>NMDBS_SLT_4.0.2.0.1.15b1</t>
  </si>
  <si>
    <t>AWF_1.1.2b15</t>
  </si>
  <si>
    <t>MPE_SLT-1B_3.0.1.1.1.56b1</t>
  </si>
  <si>
    <t>DMDBS_SLT_2.0.0.20.1.109b1</t>
  </si>
  <si>
    <t>DMDBS_SLT_2.0.0.20.1.108b2</t>
  </si>
  <si>
    <t>MPE_COM_3.2.5.0.2</t>
  </si>
  <si>
    <t>\\192.168.3.3\share\Releases\Projects\Comcast\Release_for_Test\Test_Build_4.6.1\Server CD\MPE\Setup</t>
  </si>
  <si>
    <t>DMDBS_SLT_2.0.0.20.1.110b1</t>
  </si>
  <si>
    <t>NMDBS_TLSTR_4.0.1.0.4.295b1</t>
  </si>
  <si>
    <t>MPE_COM_3.2.5.0.2.1b1</t>
  </si>
  <si>
    <t>NMDBS_TLSTR_4.0.1.0.4.296b1</t>
  </si>
  <si>
    <t>WWFSGUI_2.0.4.10b1</t>
  </si>
  <si>
    <t>RACS_2.5.5b4</t>
  </si>
  <si>
    <t>\\192.168.3.3\Share\Releases\Product\RevMind_2.1\Build&amp;Release\Release_For_LQA\Test_Build_1.0.2\Server CD\GUI\CS\Setup</t>
  </si>
  <si>
    <t>DMDBS_SLT_2.0.0.20.1.110b2</t>
  </si>
  <si>
    <t>MPE_SLT-1B_3.0.1.1.1.57b1</t>
  </si>
  <si>
    <t>NMDBS_TLSTR_4.0.1.0.4.294b1</t>
  </si>
  <si>
    <t>DMDBS_SLT_2.0.0.20.1.111b1</t>
  </si>
  <si>
    <t>RADBS_SLT_2.0.0.26.1.62b1</t>
  </si>
  <si>
    <t>DMDBS_SLT_2.0.0.20.1.112b1</t>
  </si>
  <si>
    <t>RADBS_SLT_2.0.0.26.1.63b1</t>
  </si>
  <si>
    <t>2014 - 09</t>
  </si>
  <si>
    <t>2014 - 10</t>
  </si>
  <si>
    <t>2014 - 11</t>
  </si>
  <si>
    <t>2014 - 12</t>
  </si>
  <si>
    <t>2014-Mar</t>
  </si>
  <si>
    <t>MPE_SLT-1B_3.0.1.1.1.57b2</t>
  </si>
  <si>
    <t>NMDBS_TWC_4.6.1.11.3.35b1</t>
  </si>
  <si>
    <t>NMDBS_TLSTR_4.0.1.0.4.295b2</t>
  </si>
  <si>
    <t>IM_COM_1.0.1.0.1</t>
  </si>
  <si>
    <t>\\192.168.3.3\share\Releases\Projects\Comcast\Release_for_Test\Test_Build_4.6.1\Server CD\IM\Setup</t>
  </si>
  <si>
    <t>DMDBS_SLT_2.0.0.20.1.110b3</t>
  </si>
  <si>
    <t>MPE_SLT-1B_3.0.1.1.1.58b1</t>
  </si>
  <si>
    <t>NMHM_TLN_4.0.5</t>
  </si>
  <si>
    <t>NMCS_TLN_4.0.6</t>
  </si>
  <si>
    <t>\\192.168.3.3\Share\Releases\Projects\Telenet\Build&amp;Release\Release For IT\Test_Build_4.0.41\Client CD\GUI\Hotlist Manager\Setup</t>
  </si>
  <si>
    <t>\\192.168.3.3\Share\Releases\Projects\Telenet\Build&amp;Release\Release For IT\Test_Build_4.0.41\Client CD\GUI\Configuration System\Setup</t>
  </si>
  <si>
    <t>\\192.168.3.3\Share\Releases\Projects\Telenet\Build&amp;Release\Release For Test\Test_Build_4.0.41\Client CD\GUI\Hotlist Manager\Setup</t>
  </si>
  <si>
    <t>\\192.168.3.3\Share\Releases\Projects\Telenet\Build&amp;Release\Release For Test\Test_Build_4.0.41\Client CD\GUI\Configuration System\Setup</t>
  </si>
  <si>
    <t>\\192.168.3.3\Share\Releases\Product\RevMind_2.1\Build&amp;Release\Release_For_LQA\Test_Build_1.0.2\Server CD\DBS\Setup</t>
  </si>
  <si>
    <t xml:space="preserve">WWFSGUI_2.2.1b2 </t>
  </si>
  <si>
    <t>\\192.168.3.3\Share\Releases\Product\WEB_WFS\Build&amp;Release\Release For Test\TestBuild_2.2.1\Build2\ServerCD\GUI\Setup</t>
  </si>
  <si>
    <t>TELSTRA</t>
  </si>
  <si>
    <t>AWF_2.0.1b14</t>
  </si>
  <si>
    <t>product delevery</t>
  </si>
  <si>
    <t>AWF_2.0.1b17</t>
  </si>
  <si>
    <t>AWF_2.0.1b18</t>
  </si>
  <si>
    <t>AWF 1.1.2.</t>
  </si>
  <si>
    <t>not mentioned</t>
  </si>
  <si>
    <t>4.0.19</t>
  </si>
  <si>
    <t>DMDBS_SLT_2.0.0.20.1.115b1</t>
  </si>
  <si>
    <t>NMUTLMIG1_COM_1.0.0.0.4</t>
  </si>
  <si>
    <t>MUTLMIG3_COM_1.0.0.0.4</t>
  </si>
  <si>
    <t>NMDBS_OBT_4.6.1.16.1.21b1</t>
  </si>
  <si>
    <t>MPE_3.2.5.2b1</t>
  </si>
  <si>
    <t>MPE_NM46_3.2.5.1.1.4b1</t>
  </si>
  <si>
    <t>REDBS_1.0.1.20b1</t>
  </si>
  <si>
    <t xml:space="preserve">NMDBS_TLSTR_4.0.1.0.4.297b1 </t>
  </si>
  <si>
    <t>NMDBS_OBT_4.6.1.16.1.22b1</t>
  </si>
  <si>
    <t>NMDBS_OBT_4.6.1.16.1.23b1</t>
  </si>
  <si>
    <t>NMDBS_OBT_4.6.1.16.1.24b1</t>
  </si>
  <si>
    <t>NMDBS_OBT_4.6.1.16.1.25b1</t>
  </si>
  <si>
    <t>NMDBS_OBT_4.6.1.16.1.26b1</t>
  </si>
  <si>
    <t>NMDBS_OBT_4.6.1.16.1.27b1</t>
  </si>
  <si>
    <t>NMDBS_OBT_4.6.1.16.1.28b1</t>
  </si>
  <si>
    <t>NPDBS_1.2.3.6b1</t>
  </si>
  <si>
    <t>NPDBS_COM_1.2.3.2.1.4b1</t>
  </si>
  <si>
    <t>NMDBS_COM_4.6.1.16.1.6b1</t>
  </si>
  <si>
    <t>WWFSGUI_OBT_2.1.21.2.2.4b1</t>
  </si>
  <si>
    <t>WWFSGUI_2.1.21.3b1</t>
  </si>
  <si>
    <t>MPE_TLSTR-2b_3.0.0.3.1.91b1</t>
  </si>
  <si>
    <t>DMDBS_SLT_2.0.0.20.1.116b1</t>
  </si>
  <si>
    <t>MPE_SLT-1B_3.0.1.1.1.59b1</t>
  </si>
  <si>
    <t>NMDBS_COM_4.6.1.16.1.8b1</t>
  </si>
  <si>
    <t>RTDBS_SLT_3.0.0.20.1.4b1</t>
  </si>
  <si>
    <t>RTDBS_SLT_3.0.0.20.1.5b1</t>
  </si>
  <si>
    <t>REGUI_SLT_1.0.7.0.1</t>
  </si>
  <si>
    <t>Haramanpreet Singh</t>
  </si>
  <si>
    <t>\\192.168.3.3\Share\Releases\Projects\SLT\Release_For_LQA\Test_Build_1.0.0.20\Server CD\GUI\Setup</t>
  </si>
  <si>
    <t>NMDBS_SLT_4.0.2.0.1.16b1</t>
  </si>
  <si>
    <t>\\192.168.3.3\Share\Releases\Projects\SLT\Release_For_LQA\Test_Build_1.0.0.20\Server CD\DBS\Setup</t>
  </si>
  <si>
    <t>WWFSGUI_2.0.4.10b2</t>
  </si>
  <si>
    <t>NMDBS_TWC_4.6.1.11.3.35b2</t>
  </si>
  <si>
    <t>RMDBS_SHAW_2.0.1.0.1.44b1</t>
  </si>
  <si>
    <t>NMDBS_TLSTR_4.0.1.0.4.298b1</t>
  </si>
  <si>
    <t>MPE_SLT-1B_3.0.1.1.1.60b1</t>
  </si>
  <si>
    <t>NPDBS_COM_1.2.3.2.1.4b2</t>
  </si>
  <si>
    <t>NMDBS_COM_4.6.1.16.1.6b2</t>
  </si>
  <si>
    <t>NMDBS_COM_4.6.1.16.1.9b1</t>
  </si>
  <si>
    <t xml:space="preserve">NPDBS_COM_1.2.3.2.1.5b1       </t>
  </si>
  <si>
    <t>NMDBS_4.7.1b3</t>
  </si>
  <si>
    <t>NPDBS_COM_1.2.3.2.1.4b3</t>
  </si>
  <si>
    <t>MPE_SLT-1B_3.0.1.1.1.61b1</t>
  </si>
  <si>
    <t>DMDBS_SLT_2.0.0.20.1.115b2</t>
  </si>
  <si>
    <t>RTDBS_SLT_3.0.0.20.1.4b2</t>
  </si>
  <si>
    <t>RTDBS_SLT_3.0.0.20.1.5b2</t>
  </si>
  <si>
    <t>NMDBS_OBT_4.6.1.16.1.29b1</t>
  </si>
  <si>
    <t xml:space="preserve">MPE_OBT_3.2.1.3.1.13b2 </t>
  </si>
  <si>
    <t>DMDBS_SLT_2.0.0.20.1.118b1</t>
  </si>
  <si>
    <t>REGUI_1.0.8b1</t>
  </si>
  <si>
    <t>REDBS_1.0.1.21b1</t>
  </si>
  <si>
    <t>NMDBS_4.6.1.17b1</t>
  </si>
  <si>
    <t>REGUI_SLT_1.0.8.0.1</t>
  </si>
  <si>
    <t>\\192.168.3.3\Share\Releases\Projects\SLT\Release_For_LQA\Test_Build_1.0.0.21\Server CD\GUI\Setup</t>
  </si>
  <si>
    <t>RACS_2.5.6b2</t>
  </si>
  <si>
    <t>Anoj Kumar</t>
  </si>
  <si>
    <t>RADBS_2.1.1.3b1</t>
  </si>
  <si>
    <t>WWFSGUI_2.2.1b3</t>
  </si>
  <si>
    <t>\\192.168.3.3\Share\Releases\Product\WEB_WFS\Build&amp;Release\Release For Test\TestBuild_2.2.1\Build3\ServerCD\GUI\Setup</t>
  </si>
  <si>
    <t>NMDBS_TLSTR_4.0.1.0.4.299b1</t>
  </si>
  <si>
    <t>NMDBS_TLSTR_4.0.1.0.4.299b2</t>
  </si>
  <si>
    <t>NMDBS_TLSTR_4.0.1.0.4.300b1</t>
  </si>
  <si>
    <t>NMDBS_4.6.1.18b1</t>
  </si>
  <si>
    <t>RTDBS_SLT_3.0.0.20.1.4b3</t>
  </si>
  <si>
    <t>RTDBS_SLT_3.0.0.20.1.5b3</t>
  </si>
  <si>
    <t>\\192.168.3.3\Share\Releases\Projects\SLT\Release_For_LQA\Test_Build_1.0.0.21\Server CD\DBS\Setup</t>
  </si>
  <si>
    <t>WWFSGUI_2.1.23b2</t>
  </si>
  <si>
    <t>WWCSGUI_2.1.16b4</t>
  </si>
  <si>
    <t>NMUTLMIG4_COM_1.0.0.0.1</t>
  </si>
  <si>
    <t>RTDBS_COM_4.0.1.17.1</t>
  </si>
  <si>
    <t>\\192.168.3.3\Share\Releases\Projects\COM\Release_For_IT\TestBuild_1.0.0.1\Server CD\DBS\Setup</t>
  </si>
  <si>
    <t>REDBS_1.0.1.22b1</t>
  </si>
  <si>
    <t>NMDBS_4.7.1b4</t>
  </si>
  <si>
    <t>RACS_2.5.6.1b1</t>
  </si>
  <si>
    <t>RADBS_2.1.1.4b1</t>
  </si>
  <si>
    <t>WWCSGUI_COM_2.1.16.0.1</t>
  </si>
  <si>
    <t>\\192.168.3.3\Share\Releases\Projects\Comcast\Release_for_Test\Test_Build_4.6.2\Server CD\GUI\Setup</t>
  </si>
  <si>
    <t xml:space="preserve">DMDBS_SLT_2.0.0.20.1.117b1 </t>
  </si>
  <si>
    <t>WWFSGUI_COM_2.1.23.0.1</t>
  </si>
  <si>
    <t>DMDBS_SLT_2.0.0.20.1.119b1</t>
  </si>
  <si>
    <t>RTDBS_SLT_3.0.0.20.1.6b1</t>
  </si>
  <si>
    <t>\\192.168.3.3\Share\Releases\Projects\COM\Release_For_Test\Test_Build_1.0.0.1\Server CD\DBS\Setup</t>
  </si>
  <si>
    <t>RTDBS_COM_4.0.1.17.1.1b1</t>
  </si>
  <si>
    <t>RTDBS_SLT_3.0.0.20.1.7b1</t>
  </si>
  <si>
    <t>NPDBS_COM_1.2.3.2.1.6b1</t>
  </si>
  <si>
    <t>\\192.168.3.3\Share\Releases\Projects\Comcast\Release_for_Test\Test_Build_4.6.2\Server CD\Database\Setup</t>
  </si>
  <si>
    <t>\\192.168.3.3\Share\Releases\Projects\Telstra-2b\Release_For_CD\Test_Build_1.0.0.1\Server CD\MPE\Setup</t>
  </si>
  <si>
    <t>NMDBS_COM_4.6.1.16.1.10b1</t>
  </si>
  <si>
    <t>MPE_SLT-1B_3.0.1.1.1.62b1</t>
  </si>
  <si>
    <t>NMDBS_COM_4.6.1.16.1.11b1</t>
  </si>
  <si>
    <t>RACS_2.5.6.1b2</t>
  </si>
  <si>
    <t>NMDBS_4.6.1.19b1</t>
  </si>
  <si>
    <t>RTGUI_COM_4.0.22.0.1</t>
  </si>
  <si>
    <t>\\192.168.3.3\Share\Releases\Projects\COM\Release_For_Test\Test_Build_1.0.0.1\Server CD\GUI\Setup</t>
  </si>
  <si>
    <t>REGUI_1.0.9b1</t>
  </si>
  <si>
    <t>Harmanpreet Singh</t>
  </si>
  <si>
    <t>DMDBS_SLT_2.0.0.20.1.118b2</t>
  </si>
  <si>
    <t xml:space="preserve">REDBS_1.0.1.22b2 </t>
  </si>
  <si>
    <t>REGUI_SLT_1.0.9.0.1</t>
  </si>
  <si>
    <t>\\192.168.3.3\Share\Releases\Projects\SLT\Release_For_LQA\Test_Build_1.0.0.22\Server CD\GUI\Setup</t>
  </si>
  <si>
    <t>\\192.168.3.3\Share\Releases\Projects\SLT\Release_For_LQA\Test_Build_1.0.0.22\Server CD\DBS\Setup</t>
  </si>
  <si>
    <t>MPE_TLSTR-2b_3.0.0.3.1.92b1</t>
  </si>
  <si>
    <t>MPE_COM_3.2.5.0.2.2b1</t>
  </si>
  <si>
    <t>\\192.168.3.3\Share\Releases\Projects\Comcast\Release_for_Test\Test_Build_4.6.2\Server CD\MPE\Setup</t>
  </si>
  <si>
    <t>RTDBS_SLT_3.0.0.20.1.5b4</t>
  </si>
  <si>
    <t>REDBS_SLT_1.0.1.22.1.9b1</t>
  </si>
  <si>
    <t>RACS_2.5.6.1b3</t>
  </si>
  <si>
    <t>\\192.168.3.3\Share\Releases\Projects\Telenet\Build&amp;Release\Release For Test\Test_Build_4.0.41\Server CD\MPE\Setup</t>
  </si>
  <si>
    <t>RTDBS_COM_4.0.1.17.1.1b2</t>
  </si>
  <si>
    <t xml:space="preserve">WWFSGUI_2.2.1b5 </t>
  </si>
  <si>
    <t>\\192.168.3.3\Share\Releases\Product\WEB_WFS\Build&amp;Release\Release For Test\TestBuild_2.2.1\Build4\ServerCD\GUI\Setup</t>
  </si>
  <si>
    <t>MPE_3.2.4.31b1</t>
  </si>
  <si>
    <t>MPE_SLT-1B_3.0.1.1.1.63b1</t>
  </si>
  <si>
    <t>NMDBS_4.6.1.20b1</t>
  </si>
  <si>
    <t>MPE_OBT_3.2.1.3.1.14b1</t>
  </si>
  <si>
    <t>NMDBS_BHN_3.5.1.54.2</t>
  </si>
  <si>
    <t>NMDBS_BHN_3.5.1.55.2</t>
  </si>
  <si>
    <t>NMDBS_BHN_3.5.1.58.1</t>
  </si>
  <si>
    <t>NMDBS_TLSTR_4.0.1.0.4.301b1</t>
  </si>
  <si>
    <t>NPDBS_COM_1.2.3.2.1.7b1</t>
  </si>
  <si>
    <t>NMDBS_COM_4.6.1.20.1.12b1</t>
  </si>
  <si>
    <t>UTLSEQM_SLT-1B_1.0.0.0.5.4b1</t>
  </si>
  <si>
    <t>MPE_TLSTR-2b_3.0.0.3.1.93b1-</t>
  </si>
  <si>
    <t>MPE_SLT-1B_3.0.1.1.1.64b1</t>
  </si>
  <si>
    <t>NMDBS_COM_4.6.1.20.1.12b2</t>
  </si>
  <si>
    <t>WWCSGUI_2.1.17</t>
  </si>
  <si>
    <t>\\192.168.3.3\Share\Releases\Product\WEB_CS\Build&amp;Release\Release For Test\TestBuild_2.1.17\ServerCD\GUI\Setup</t>
  </si>
  <si>
    <t>NMDBS_COM_4.6.1.20.1.13b1</t>
  </si>
  <si>
    <t>WWFSGUI_2.1.24b1</t>
  </si>
  <si>
    <t>\\192.168.3.3\Share\Releases\Product\WEB_WFS\Build&amp;Release\Release For Test\TestBuild_2.1.24\ServerCD\GUI\Setup</t>
  </si>
  <si>
    <t>MPE_SLT-1B_3.0.1.1.1.65b1</t>
  </si>
  <si>
    <t>DMDBS_SLT_2.0.0.20.1.121b1</t>
  </si>
  <si>
    <t>NMDBS_TLSTR_4.0.1.0.4.302b1</t>
  </si>
  <si>
    <t>NMDBS_COM_4.6.1.20.1.14b1</t>
  </si>
  <si>
    <t>NMDBS_COM_4.6.1.20.1.15b1</t>
  </si>
  <si>
    <t>DMDBS_SLT_2.0.0.20.1.122b1</t>
  </si>
  <si>
    <t>WWCSGUI_COM_2.1.17.0.1</t>
  </si>
  <si>
    <t>\\192.168.3.3\Share\Releases\Projects\Comcast\Release_for_Test\Test_Build_4.6.3\Server CD\GUI\Setup</t>
  </si>
  <si>
    <t>WWFSGUI_COM_2.1.24.0.1</t>
  </si>
  <si>
    <t>NMDBS_COM_4.6.1.20.1.16b1</t>
  </si>
  <si>
    <t>\\192.168.3.3\Share\Releases\Projects\Comcast\Release_for_Test\Test_Build_4.6.3\Server CD\Database\Setup</t>
  </si>
  <si>
    <t>MPE_COM_3.2.5.0.2.2b2</t>
  </si>
  <si>
    <t>\\192.168.3.3\Share\Releases\Projects\Comcast\Release_for_Test\Test_Build_4.6.3\Server CD\MPE\Setup</t>
  </si>
  <si>
    <t>DMDBS_SLT_2.0.0.18.1.99b2</t>
  </si>
  <si>
    <t>DMDBS_SLT_2.0.0.18.1.101b2</t>
  </si>
  <si>
    <t>NPDBS_1.3.1b3</t>
  </si>
  <si>
    <t>NMDBS_4.7.1b5</t>
  </si>
  <si>
    <t>NPDBS_COM_1.2.3.6.1.8b1</t>
  </si>
  <si>
    <t>NMDBS_COM_4.6.1.20.1.17b1</t>
  </si>
  <si>
    <t>DMDBS_SLT_2.0.0.20.1.120b1</t>
  </si>
  <si>
    <t xml:space="preserve"> MPE_SLT-1B_3.0.1.1.1.66b1</t>
  </si>
  <si>
    <t>NPDBS_1.2.3.7b1</t>
  </si>
  <si>
    <t>MPE_TLSTR-2b_3.0.0.3.1.94b1</t>
  </si>
  <si>
    <t>DMDBS_SLT_2.0.0.20.1.120b2</t>
  </si>
  <si>
    <t>IM_OBT_1.0.1.0.1</t>
  </si>
  <si>
    <t>\\192.168.3.3\share\Releases\Projects\OBT\Release_For_LQA\TestBuild_1.0.0.4\Utility\Setup</t>
  </si>
  <si>
    <t>NMDBS_COM_4.6.1.20.1.18b1</t>
  </si>
  <si>
    <t xml:space="preserve">RADBS_2.1.1.5b1 </t>
  </si>
  <si>
    <t>RACS_2.5.6.1b4</t>
  </si>
  <si>
    <t>NPDBS_COM_1.2.3.6.1.9b1</t>
  </si>
  <si>
    <t>MPE_SLT-1B_3.0.1.1.1.67b1</t>
  </si>
  <si>
    <t>UTLSEQM_SLT-1B_1.0.0.0.5.5b1</t>
  </si>
  <si>
    <t>UTLIM_TLSTR_1.0.0.66.2b1</t>
  </si>
  <si>
    <t>REGUI_1.0.10b1</t>
  </si>
  <si>
    <t xml:space="preserve">REGUI_SLT_1.0.10.0.1 </t>
  </si>
  <si>
    <t>\\192.168.3.3\Share\Releases\Projects\SLT\Release_For_LQA\Test_Build_1.0.0.23\Server CD\GUI\Setup</t>
  </si>
  <si>
    <t>REDBS_1.0.1.23b1</t>
  </si>
  <si>
    <t>MPE_3.2.4.30b2</t>
  </si>
  <si>
    <t>RTDBS_4.0.1.17b2</t>
  </si>
  <si>
    <t>MPE_TLSTR-2b_3.0.0.3.1.95b1</t>
  </si>
  <si>
    <t>NMDBS_BHN_3.5.1.59.1</t>
  </si>
  <si>
    <t>MPE_3.2.4.32b1</t>
  </si>
  <si>
    <t>NMDBS_COM_4.6.1.16.1.5b2</t>
  </si>
  <si>
    <t>MPE_NM46_3.2.5.1.1.5b1</t>
  </si>
  <si>
    <t>RMDBS_SHAW_2.0.1.0.1.45b1</t>
  </si>
  <si>
    <t>NMDBS_4.6.1.21b1</t>
  </si>
  <si>
    <t>DMDBS_SLT_2.0.0.20.1.123b1</t>
  </si>
  <si>
    <t>\\192.168.3.3\Share\Releases\Projects\SLT\Release_For_LQA\Test_Build_1.0.0.23\Server CD\DBS\Setup</t>
  </si>
  <si>
    <t>RACS_2.5.6.1b5</t>
  </si>
  <si>
    <t>NMDBS_TWC_4.6.1.11.3.36b1</t>
  </si>
  <si>
    <t>RADBS_2.1.1.6b1</t>
  </si>
  <si>
    <t>NPDBS_COM_1.2.3.6.1.10b1</t>
  </si>
  <si>
    <t>NMDBS_COM_4.6.1.20.1.19b1</t>
  </si>
  <si>
    <t>DMDBS_SLT_2.0.0.20.1.124b1</t>
  </si>
  <si>
    <t>WWFSGUI_2.2.1b6</t>
  </si>
  <si>
    <t>AWF_2.0.1b28</t>
  </si>
  <si>
    <t>NMDBS_COM_4.6.1.20.1.19b2</t>
  </si>
  <si>
    <t>NMDBS_4.6.1.21b2</t>
  </si>
  <si>
    <t>WWFSGUI_2.1.25b2</t>
  </si>
  <si>
    <t>\\192.168.3.3\Share\Releases\Product\WEB_WFS\Build&amp;Release\Release For Test\TestBuild_2.1.25\ServerCD\GUI\Setup</t>
  </si>
  <si>
    <t>NMDBS_TLSTR_4.0.1.0.4.302b2</t>
  </si>
  <si>
    <t>RACS_2.5.6.1b6</t>
  </si>
  <si>
    <t>WWFSGUI_2.2.1b7</t>
  </si>
  <si>
    <t>WWFSGUI_COM_2.1.25.0.1</t>
  </si>
  <si>
    <t>\\192.168.3.3\Share\Releases\Projects\Comcast\Release_for_Test\Test_Build_4.6.4\Server CD\GUI\Setup</t>
  </si>
  <si>
    <t>MPE_SLT-1B_3.0.1.1.1.68b1</t>
  </si>
  <si>
    <t>UTLSEQM_SLT-1B_1.0.0.0.5.6b1</t>
  </si>
  <si>
    <t>UTLFDUP_SLT-1B_1.0.0.0.5.2b1</t>
  </si>
  <si>
    <t>RADBS_2.1.1.7b1</t>
  </si>
  <si>
    <t>DMDBS_SLT_2.0.0.20.1.125b1</t>
  </si>
  <si>
    <t>DMDBS_SLT_2.0.0.20.1.126b1</t>
  </si>
  <si>
    <t>WWCSGUI_OBT_2.1.17.0.1</t>
  </si>
  <si>
    <t>TMGUI_WIS_2.0.14</t>
  </si>
  <si>
    <t>\\192.168.3.3\Share\Releases\Projects\WIS\Release_For_IT\TestBuild_1.0.0.1\Client CD\Setup</t>
  </si>
  <si>
    <t>WWFSGUI_SLT_2.2.1.0.1</t>
  </si>
  <si>
    <t>RACS_SLT_2.5.6.1.1</t>
  </si>
  <si>
    <t>RADBS_SLT_2.0.0.26.1.67b1</t>
  </si>
  <si>
    <t>\\192.168.3.3\Share\Releases\Projects\WIS\Release_For_Test\Test_Build_1.0.0.1\Client CD\Setup</t>
  </si>
  <si>
    <t xml:space="preserve">MPE_ANTEL_3.2.4.32.1.14b1 </t>
  </si>
  <si>
    <t>\\192.168.3.3\Share\Releases\Projects\ANTEL\Release_For_Test\Test_Build_1.0.0.7\Server CD\MPE\Setup</t>
  </si>
  <si>
    <t>NPDBS_1.2.3.7b2</t>
  </si>
  <si>
    <t>DMDBS_SLT_2.0.0.20.1.126b2</t>
  </si>
  <si>
    <t>DMDBS_SLT_2.0.0.20.1.125b2</t>
  </si>
  <si>
    <t>NMDBS_TLSTR_4.0.1.0.4.302b3</t>
  </si>
  <si>
    <t>NPDBS_COM_1.2.3.6.1.11b1</t>
  </si>
  <si>
    <t>\\192.168.3.3\Share\Releases\Projects\Comcast\Release_for_Test\Test_Build_4.6.4\Server CD\Database\Setup</t>
  </si>
  <si>
    <t>NMDBS_4.7.1b6</t>
  </si>
  <si>
    <t>RADBS_SLT_2.0.0.26.1.68b1</t>
  </si>
  <si>
    <t>DMDBS_SLT_2.0.0.20.1.128b1</t>
  </si>
  <si>
    <t>NMDBS_TWC_4.6.1.11.3.36b2</t>
  </si>
  <si>
    <t>MPE_TLSTR-2b_3.0.0.3.1.96b1</t>
  </si>
  <si>
    <t>Ashish Bansal</t>
  </si>
  <si>
    <t>2.1.17</t>
  </si>
  <si>
    <t>NPDBS_1.3.1b4</t>
  </si>
  <si>
    <t>RTDBS_4.0.1.18b1</t>
  </si>
  <si>
    <t>NMDBS_COM_4.6.1.20.1.20b1</t>
  </si>
  <si>
    <t>MPE_TWC_3.2.1.5.2.13b1</t>
  </si>
  <si>
    <t>NMDBS_OBT_4.6.1.21.1.30b1</t>
  </si>
  <si>
    <t>MPE_COM_3.2.5.0.2.3b1</t>
  </si>
  <si>
    <t>\\192.168.3.3\Share\Releases\Projects\Comcast\Release_for_Test\Test_Build_4.6.4\Server CD\MPE\Setup</t>
  </si>
  <si>
    <t>REDBS_1.0.1.24b1</t>
  </si>
  <si>
    <t>NPDBS_1.2.3.8b1</t>
  </si>
  <si>
    <t>NPDBS_COM_1.2.3.6.1.12b1</t>
  </si>
  <si>
    <t xml:space="preserve">RTGUI_4.0.23b3 </t>
  </si>
  <si>
    <t>\\192.168.3.3\Share\Releases\Product\RT_4.0\ReleaseForLQA\TestBuild_4.0.23\GUI\Build1\Setup</t>
  </si>
  <si>
    <t>DMDBS_SLT_2.0.0.20.1.129b1</t>
  </si>
  <si>
    <t>MPE_OBT_3.2.1.3.1.15b1</t>
  </si>
  <si>
    <t>DMDBS_SLT_2.0.0.20.1.131b1</t>
  </si>
  <si>
    <t>RTGUI_SLT_4.0.23.0.1</t>
  </si>
  <si>
    <t>NMDBS_COM_4.6.1.20.1.21b1</t>
  </si>
  <si>
    <t xml:space="preserve">RACS_2.5.6.1b7 </t>
  </si>
  <si>
    <t>NMDBS_COM_4.6.1.20.1.22b1</t>
  </si>
  <si>
    <t>DMDBS_SLT_2.0.0.20.1.130b1</t>
  </si>
  <si>
    <t>RACS_SLT_2.5.6.1.2</t>
  </si>
  <si>
    <t>RADBS_2.1.1.8b1</t>
  </si>
  <si>
    <t>RADBS_SLT_2.0.0.26.1.69b1</t>
  </si>
  <si>
    <t>DMDBS_SLT_2.0.0.20.1.132b1</t>
  </si>
  <si>
    <t>DMDBS_SLT_2.0.0.20.1.134b1</t>
  </si>
  <si>
    <t>WWFSGUI_SLT_2.2.1.0.2</t>
  </si>
  <si>
    <t>MPE_SLT-1B_3.0.1.1.1.69b1</t>
  </si>
  <si>
    <t>NPDBS_COM_1.2.3.6.1.13b1</t>
  </si>
  <si>
    <t xml:space="preserve">NMDBS_TLSTR_4.0.1.0.4.303b1 </t>
  </si>
  <si>
    <t>NPDBS_1.2.3.9b1</t>
  </si>
  <si>
    <t>MPE_SLT-1B_3.0.1.1.1.70b1</t>
  </si>
  <si>
    <t>REGUI_1.0.11b4</t>
  </si>
  <si>
    <t>NMDBS_OBT_4.6.1.21.1.31b1</t>
  </si>
  <si>
    <t>MPE_DRC_3.2.1.3.2.24b1</t>
  </si>
  <si>
    <t>NMDBS_COM_4.6.1.20.1.23b1</t>
  </si>
  <si>
    <t>NMDBS_COM_4.6.1.20.1.24b1</t>
  </si>
  <si>
    <t>RADBS_2.1.1.2b2</t>
  </si>
  <si>
    <t>WWCSGUI_2.1.18b2</t>
  </si>
  <si>
    <t>\\192.168.3.3\Share\Releases\Product\WEB_CS\Build&amp;Release\Release For Test\TestBuild_2.1.18\ServerCD\GUI\Setup</t>
  </si>
  <si>
    <t>UTLSEQM_SLT-1B_1.0.0.0.5.7b1</t>
  </si>
  <si>
    <t>REGUI_SLT_1.0.11.0.1</t>
  </si>
  <si>
    <t>MPE_SLT-1B_3.0.1.1.1.71b1</t>
  </si>
  <si>
    <t>REDBS_SLT_1.0.1.24.1.10b1</t>
  </si>
  <si>
    <t>WWFSGUI_2.2.1b8</t>
  </si>
  <si>
    <t>Jitin Sardana</t>
  </si>
  <si>
    <t>WWCSGUI_COM_2.1.18.0.1</t>
  </si>
  <si>
    <t>RTGUI_COM_4.0.22.0.1.1b1</t>
  </si>
  <si>
    <t>WWFSGUI_OBT_2.1.25.0.3</t>
  </si>
  <si>
    <t>\\192.168.3.3\Share\Releases\Projects\OBT\Release_For_LQA\TestBuild_1.0.0.5\Server CD\GUI\Setup</t>
  </si>
  <si>
    <t>RTDBS_COM_4.0.1.18.1.2b1</t>
  </si>
  <si>
    <t>MPE_SLT-1B_3.0.1.1.1.69b2</t>
  </si>
  <si>
    <t>RADBS_SLT_2.0.0.26.1.70b1</t>
  </si>
  <si>
    <t>DMDBS_SLT_2.0.0.20.1.136b1</t>
  </si>
  <si>
    <t>NPDBS_1.3.1b5</t>
  </si>
  <si>
    <t>RADBS_2.1.1.9b1</t>
  </si>
  <si>
    <t>NMDBS_4.7.1b7</t>
  </si>
  <si>
    <t>WWFSGUI_SLT_2.2.1.0.3</t>
  </si>
  <si>
    <t>MPE_SLT-1B_3.0.1.1.1.72b1</t>
  </si>
  <si>
    <t>NMDBS_TWC_4.6.1.11.3.36b3</t>
  </si>
  <si>
    <t>DMDBS_SLT_2.0.0.20.1.130b2</t>
  </si>
  <si>
    <t>MPE_SLT-1B_3.0.1.1.1.71b2</t>
  </si>
  <si>
    <t>MPE_SLT-1B_3.0.1.1.1.73b1</t>
  </si>
  <si>
    <t>DMDBS_SLT_2.0.0.20.1.137b1</t>
  </si>
  <si>
    <t>MPE_NM46_3.2.5.1.1.6b1</t>
  </si>
  <si>
    <t>MPE_3.2.4.32b2</t>
  </si>
  <si>
    <t>RADBS_2.1.1.10b1</t>
  </si>
  <si>
    <t>MPE_ANTEL_3.2.4.32.1.15b1</t>
  </si>
  <si>
    <t xml:space="preserve">NMDBS_TLSTR_4.0.1.0.4.304b1 </t>
  </si>
  <si>
    <t>DMDBS_SLT_2.0.0.20.1.138b1</t>
  </si>
  <si>
    <t>DMDBS_2.0.0.22b1</t>
  </si>
  <si>
    <t>REDBS_SLT_1.0.1.24.1.11b1</t>
  </si>
  <si>
    <t>DMDBS_2.0.0.21b1</t>
  </si>
  <si>
    <t>NMDBS_COM_4.6.1.20.1.26b1</t>
  </si>
  <si>
    <t>NMDBS_COM_4.6.1.20.1.25b1</t>
  </si>
  <si>
    <t>DMDBS_SLT_2.0.0.20.1.133b1</t>
  </si>
  <si>
    <t>NMDBS_OBT_4.6.1.21.1.32b1</t>
  </si>
  <si>
    <t>\\192.168.3.3\Share\Releases\Projects\OBT\Release_For_LQA\TestBuild_1.0.0.5\Server CD\DBS\Setup</t>
  </si>
  <si>
    <t>NMDBS_OBT_4.6.1.21.1.39b1</t>
  </si>
  <si>
    <t>NMDBS_COM_4.6.1.20.1.26b2</t>
  </si>
  <si>
    <t>DMDBS_SLT_2.0.0.20.1.139b1</t>
  </si>
  <si>
    <t>NMDBS_TLSTR_4.0.1.0.4.305b1</t>
  </si>
  <si>
    <t>NMDBS_TWC_4.6.1.11.3.36b4</t>
  </si>
  <si>
    <t>UTLSEQM_SLT-1B_1.0.0.0.5.8b1</t>
  </si>
  <si>
    <t>NMDBS_COM_4.6.1.20.1.27b1</t>
  </si>
  <si>
    <t>NPDBS_1.2.3.10b1</t>
  </si>
  <si>
    <t>DMDBS_DRC_2.1.1.7.2.17b1</t>
  </si>
  <si>
    <t>NMDBS_COM_4.6.1.20.1.28b1</t>
  </si>
  <si>
    <t>NMDBS_COM_4.6.1.20.1.26b3</t>
  </si>
  <si>
    <t xml:space="preserve">RADBS_2.1.1.11b1 </t>
  </si>
  <si>
    <t>NMDBS_4.6.1.23b1</t>
  </si>
  <si>
    <t>MPE_3.2.1.6b1</t>
  </si>
  <si>
    <t>DMDBS_SLT_2.0.0.20.1.135b1</t>
  </si>
  <si>
    <t>NMDBS_COM_4.6.1.20.1.29b1</t>
  </si>
  <si>
    <t>NMDBS_COM_4.6.1.20.1.30b1</t>
  </si>
  <si>
    <t>NPDBS_COM_1.2.3.6.1.14b1</t>
  </si>
  <si>
    <t>AWF_2.0.1b29</t>
  </si>
  <si>
    <t>WWFSGUI_2.1.26b3</t>
  </si>
  <si>
    <t>\\192.168.3.3\Share\Releases\Product\WEB_WFS\Build&amp;Release\Release For Test\TestBuild_2.1.26\ServerCD\GUI\Setup</t>
  </si>
  <si>
    <t>DMDBS_SLT_2.0.0.20.1.140b1</t>
  </si>
  <si>
    <t>RTGUI_4.0.24b2</t>
  </si>
  <si>
    <t>\\192.168.3.3\Share\Releases\Product\RT_4.0\ReleaseForLQA\TestBuild_4.0.24\GUI\Build1\Setup</t>
  </si>
  <si>
    <t>RTDBS_4.0.1.19b1</t>
  </si>
  <si>
    <t>\\192.168.3.3\Share\Releases\Product\RT_4.0\ReleaseForLQA\TestBuild_4.0.23\DBS\Setup</t>
  </si>
  <si>
    <t>RTGUI_OBT_4.0.24.0.1</t>
  </si>
  <si>
    <t>\\192.168.3.3\share\Releases\Projects\OBT\Release_For_LQA\TestBuild_1.0.0.6\Server CD\GUI\Setup</t>
  </si>
  <si>
    <t>RTGUI_SLT_4.0.24.0.1</t>
  </si>
  <si>
    <t>NMMPE_BHN_3.5.2.30.1</t>
  </si>
  <si>
    <t>\\192.168.3.3\Share\Projects\Neustar\BHN\Build&amp;Release\Release For Test\Test_Build_3.5.37\Server CD\MPE\Setup</t>
  </si>
  <si>
    <t>\\192.168.3.3\Share\Projects\Neustar\BHN\Build&amp;Release\Release For IT\Test_Build_3.5.37\Server CD\MPE\Setup</t>
  </si>
  <si>
    <t>NPDBS_1.3.1b6</t>
  </si>
  <si>
    <t>WWFSGUI_COM_2.1.26.0.1</t>
  </si>
  <si>
    <t>\\192.168.3.3\Share\Releases\Projects\Comcast\Release_for_Test\Test_Build_4.6.5\Server CD\GUI\Setup</t>
  </si>
  <si>
    <t>NMDBS_COM_4.6.1.20.1.31b1</t>
  </si>
  <si>
    <t>\\192.168.3.3\Share\Releases\Projects\Comcast\Release_for_Test\Test_Build_4.6.5\Server CD\Database\Setup</t>
  </si>
  <si>
    <t>DMDBS_SLT_2.0.0.20.1.141b1</t>
  </si>
  <si>
    <t>NMDBS_4.7.1b8</t>
  </si>
  <si>
    <t>RADBS_SLT_2.0.0.26.1.71b1</t>
  </si>
  <si>
    <t>MPE_SLT-1B_3.0.1.1.1.74b1</t>
  </si>
  <si>
    <t>DMDBS_SLT_2.0.0.20.1.142b1</t>
  </si>
  <si>
    <t>MPE_SLT-1B_3.0.1.1.1.75b1</t>
  </si>
  <si>
    <t>DMDBS_SLT_2.0.0.20.1.141b2</t>
  </si>
  <si>
    <t>RADBS_SLT_2.0.0.26.1.72b1</t>
  </si>
  <si>
    <t>NMDBS_4.6.1.24b1</t>
  </si>
  <si>
    <t>NMDBS_COM_4.6.1.20.1.26b4</t>
  </si>
  <si>
    <t>MPE_SLT-1B_3.0.1.1.1.76b1</t>
  </si>
  <si>
    <t>DMDBS_SLT_2.0.0.20.1.143b1</t>
  </si>
  <si>
    <t>DMDBS_SLT_2.0.0.20.1.144b1</t>
  </si>
  <si>
    <t>NMDBS_TLSTR_4.0.1.0.4.306b1</t>
  </si>
  <si>
    <t>RADBS_SLT_2.0.0.26.1.73b1</t>
  </si>
  <si>
    <t>NMDBS_COM_4.6.1.20.1.32b1</t>
  </si>
  <si>
    <t>NMDBS_TWC_4.6.1.11.3.37b1</t>
  </si>
  <si>
    <t>DMDBS_SLT_2.0.0.20.1.141b3</t>
  </si>
  <si>
    <t xml:space="preserve"> RADBS_SLT_2.0.0.26.1.71b2 </t>
  </si>
  <si>
    <t>UTLSEQM_SLT-1B_1.0.0.0.5.8b2</t>
  </si>
  <si>
    <t>NMDBS_OBT_4.6.1.21.1.33b1</t>
  </si>
  <si>
    <t>\\192.168.3.3\Share\Releases\Projects\OBT\Release_For_LQA\TestBuild_1.0.0.6\Server CD\DBS\Setup</t>
  </si>
  <si>
    <t>NMDBS_SLT_4.0.2.0.1.17b1</t>
  </si>
  <si>
    <t>NMDBS_COM_4.6.1.20.1.33b1</t>
  </si>
  <si>
    <t>MPE_SLT-1B_3.0.1.1.1.74b2</t>
  </si>
  <si>
    <t>NMDBS_COM_4.6.1.20.1.35b1</t>
  </si>
  <si>
    <t>NMDBS_COM_4.6.1.20.1.34b1</t>
  </si>
  <si>
    <t>DMDBS_SLT_2.0.0.20.1.144b2</t>
  </si>
  <si>
    <t>MPE_SLT-1B_3.0.1.1.1.75b2</t>
  </si>
  <si>
    <t>DMDBS_SLT_2.0.0.20.1.145b1</t>
  </si>
  <si>
    <t>NMDBS_COM_3.5.2.99.1</t>
  </si>
  <si>
    <t>NMDBS_COM_4.6.1.20.1.36b1</t>
  </si>
  <si>
    <t>NMDBS_TWC_4.6.1.11.3.37b2</t>
  </si>
  <si>
    <t>RADBS_2.1.1.12b1</t>
  </si>
  <si>
    <t>RADBS_SLT_2.1.1.12.1.74b1</t>
  </si>
  <si>
    <t xml:space="preserve">NMDBS_TLSTR_4.0.1.0.4.304b2 </t>
  </si>
  <si>
    <t>NMDBS_4.6.1.25b1</t>
  </si>
  <si>
    <t>NMDBS_COM_4.6.1.20.1.37b1</t>
  </si>
  <si>
    <t>RTDBS_COM_4.0.1.18.1.2b2</t>
  </si>
  <si>
    <t>MPE_SLT-1B_3.0.1.1.1.75b3</t>
  </si>
  <si>
    <t>NMDBS_4.6.1.24b2</t>
  </si>
  <si>
    <t>NMDBS_COM_4.6.1.20.1.38b1</t>
  </si>
  <si>
    <t>RTDBS_4.0.1.20b1</t>
  </si>
  <si>
    <t>\\192.168.3.3\Share\Releases\Product\RT_4.0\ReleaseForLQA\TestBuild_4.0.24\DBS\Setup</t>
  </si>
  <si>
    <t>Abhishek Leekha</t>
  </si>
  <si>
    <t>DMDBS_SLT_2.0.0.20.1.146b1</t>
  </si>
  <si>
    <t>RADBS_SLT_2.1.1.12.1.75b1</t>
  </si>
  <si>
    <t>DMDBS_DRC_2.1.1.7.2.18b1</t>
  </si>
  <si>
    <t>DMDBS_SLT_2.0.0.20.1.147b1</t>
  </si>
  <si>
    <t>NMDBS_COM_4.6.1.20.1.37b2</t>
  </si>
  <si>
    <t>2014 - 18</t>
  </si>
  <si>
    <t>2014 - 19</t>
  </si>
  <si>
    <t>2014 - 13</t>
  </si>
  <si>
    <t>2014 - 14</t>
  </si>
  <si>
    <t>2014 - 15</t>
  </si>
  <si>
    <t>2014 - 16</t>
  </si>
  <si>
    <t>2014 - 17</t>
  </si>
  <si>
    <t>2014 - 20</t>
  </si>
  <si>
    <t>2014 - 21</t>
  </si>
  <si>
    <t>2014 - 22</t>
  </si>
  <si>
    <t>2014-Apr</t>
  </si>
  <si>
    <t>2014-May</t>
  </si>
  <si>
    <t>NMDBS_COM_4.6.1.20.1.39b1</t>
  </si>
  <si>
    <t>NMDBS_4.6.1.26b1</t>
  </si>
  <si>
    <t>2014-Jun</t>
  </si>
  <si>
    <t>MPE_DRC_3.2.1.3.2.25b1</t>
  </si>
  <si>
    <t>NMDBS_COM_4.6.1.20.1.40b1</t>
  </si>
  <si>
    <t>MPE_TLSTR-2b_3.0.0.3.1.97b1</t>
  </si>
  <si>
    <t>MPE_OBT_3.2.1.3.1.16b1</t>
  </si>
  <si>
    <t>\\192.168.3.3\share\Releases\Projects\OBT\Release_For_LQA\TestBuild_1.0.0.6\Server CD\MPE\Setup</t>
  </si>
  <si>
    <t>NMDBS_OBT_4.6.1.21.1.30b2</t>
  </si>
  <si>
    <t>NMDBS_COM_4.6.1.20.1.41b1</t>
  </si>
  <si>
    <t>DMDBS_SLT_2.0.0.20.1.148b1</t>
  </si>
  <si>
    <t>RTGUI_COM_4.0.24.0.1</t>
  </si>
  <si>
    <t>\\192.168.3.3\share\Releases\Projects\Comcast\Release_for_Test\Test_Build_4.6.5\Server CD\GUI\Setup</t>
  </si>
  <si>
    <t>NMMPE_TLN_2.0.3.50.2</t>
  </si>
  <si>
    <t xml:space="preserve">NMDBS_TWC_4.6.1.11.3.38b1 </t>
  </si>
  <si>
    <t>DMDBS_SLT_2.0.0.20.1.150b1</t>
  </si>
  <si>
    <t>MPE_TWC_3.2.1.5.2.14b1</t>
  </si>
  <si>
    <t>RADBS_2.1.1.13b1</t>
  </si>
  <si>
    <t>DMDBS_SLT_2.0.0.20.1.149b1</t>
  </si>
  <si>
    <t>DMDBS_SLT_2.0.0.20.1.151b1</t>
  </si>
  <si>
    <t>MPE_SLT-1B_3.0.1.1.1.77b1</t>
  </si>
  <si>
    <t>UTLSEQM_SLT-1B_1.0.0.0.5.9b1</t>
  </si>
  <si>
    <t>RTGUI_4.0.25b1</t>
  </si>
  <si>
    <t xml:space="preserve">\\192.168.3.3\Share\Releases\Product\RT_4.0\ReleaseForLQA\TestBuild_4.0.24\GUI\Build1\Setup </t>
  </si>
  <si>
    <t xml:space="preserve">RTGUI_SLT_4.0.25.0.1 </t>
  </si>
  <si>
    <t>DMDBS_2.0.0.22b2</t>
  </si>
  <si>
    <t>MPE_OBT_3.2.1.7.1.17b1</t>
  </si>
  <si>
    <t>NMDBS_ANTEL_4.6.1.0.2.34b1</t>
  </si>
  <si>
    <t>MPE_TLSTR-2b_3.0.0.3.1.97b2</t>
  </si>
  <si>
    <t xml:space="preserve">NMDBS_TWC_4.6.1.11.3.39b1 </t>
  </si>
  <si>
    <t>NMDBS_OBT_4.6.1.26.1.34b1</t>
  </si>
  <si>
    <t>NMDBS_COM_4.6.1.20.1.42b1</t>
  </si>
  <si>
    <t>DMDBS_2.0.0.22b3</t>
  </si>
  <si>
    <t>NMDBS_TWC_4.6.1.11.3.38b2</t>
  </si>
  <si>
    <t>NMDBS_TLSTR_4.0.1.0.4.307b1</t>
  </si>
  <si>
    <t>Aditya Mani Sharma</t>
  </si>
  <si>
    <t>NMDBS_SLT_4.0.2.0.1.18b1</t>
  </si>
  <si>
    <t>NPDBS_COM_1.2.3.6.1.15b1</t>
  </si>
  <si>
    <t>Nitin Kumar</t>
  </si>
  <si>
    <t>NMDBS_COM_4.6.1.26.1.43b1</t>
  </si>
  <si>
    <t>NMDBS_COM_4.6.1.26.1.44b1</t>
  </si>
  <si>
    <t>NMDBS_4.6.1.27b1</t>
  </si>
  <si>
    <t>NMDBS_4.7.1b9</t>
  </si>
  <si>
    <t>MPE_OBT_3.2.1.7.1.18b1</t>
  </si>
  <si>
    <t>VCSGUI_2.0.0.2b1</t>
  </si>
  <si>
    <t>\\192.168.3.3\Share\Releases\Product\VCS\Build&amp;Release\Release For LQA\TestBuild_1.0.0\Build1\ServerCD\GUI\Setup</t>
  </si>
  <si>
    <t>MPE_TLSTR-2b_3.0.0.3.1.98b1</t>
  </si>
  <si>
    <t>MPE_SLT-1B_3.0.1.1.1.78b1</t>
  </si>
  <si>
    <t>NPDBS_COM_1.2.3.6.1.16b1</t>
  </si>
  <si>
    <t>NMDBS_COM_4.6.1.26.1.45b1</t>
  </si>
  <si>
    <t>NMDBS_COM_4.6.1.26.1.46b1</t>
  </si>
  <si>
    <t>WWFSGUI_2.1.27b2</t>
  </si>
  <si>
    <t>\\192.168.3.3\Share\Releases\Product\WEB_WFS\Build&amp;Release\Release For Test\TestBuild_2.1.27\ServerCD\GUI\Setup</t>
  </si>
  <si>
    <t>NMDBS_COM_4.6.1.26.1.45b2</t>
  </si>
  <si>
    <t>NPDBS_COM_1.2.3.6.1.16b2</t>
  </si>
  <si>
    <t>NMDBS_ANTEL_4.6.1.26.2.35b1</t>
  </si>
  <si>
    <t>NMDBS_SLT_4.0.2.0.1.18b2</t>
  </si>
  <si>
    <t>Sunil Katyar</t>
  </si>
  <si>
    <t>NMDBS_ANTEL_4.6.1.26.2.36b1</t>
  </si>
  <si>
    <t>MPE_SLT-1B_3.0.1.1.1.78b2</t>
  </si>
  <si>
    <t>MPE_OBT_3.2.1.7.1.19b1</t>
  </si>
  <si>
    <t>DMDBS_DRC_2.1.1.7.2.19b1</t>
  </si>
  <si>
    <t>RTDBS_COM_4.0.1.18.1.3b1</t>
  </si>
  <si>
    <t>NMUTLMIG4_COM_1.0.0.0.2</t>
  </si>
  <si>
    <t xml:space="preserve">\\192.168.3.3\Share\Releases\Projects\Comcast\Release_for_Test\Test_Build_4.6.5\Utility\Setup </t>
  </si>
  <si>
    <t>NMUTLMIG1_COM_1.0.0.0.5</t>
  </si>
  <si>
    <t>WWCSGUI_ANTEL_2.1.18.0.1</t>
  </si>
  <si>
    <t>\\192.168.3.3\Share\Releases\Projects\ANTEL\Release_For_Test\</t>
  </si>
  <si>
    <t>NMUTLMIG1_COM_1.0.0.0.6</t>
  </si>
  <si>
    <t>\\192.168.3.3\Share\Releases\Projects\Comcast\Release_for_Test\Test_Build_4.6.5\Utility\Setup</t>
  </si>
  <si>
    <t>RTGUI_COM_4.0.25.0.1</t>
  </si>
  <si>
    <t>NMDBS_COM_4.6.1.26.1.47b1</t>
  </si>
  <si>
    <t>NMDBS_SLT_4.0.2.0.1.19b1</t>
  </si>
  <si>
    <t xml:space="preserve">NMDBS_ANTEL_4.6.1.26.2.35b2 </t>
  </si>
  <si>
    <t>DMDBS_ANTEL_2.1.1.2.1.5b1</t>
  </si>
  <si>
    <t>NMDBS_SLT_4.0.2.0.1.19b2</t>
  </si>
  <si>
    <t>DMDBS_SLT_2.0.0.20.1.152b1</t>
  </si>
  <si>
    <t>DMDBS_2.0.0.23b1</t>
  </si>
  <si>
    <t xml:space="preserve">RTGUI_4.0.26b1 </t>
  </si>
  <si>
    <t>NMDBS_TWC_4.6.1.11.3.40b1</t>
  </si>
  <si>
    <t>MPE_SLT-1B_3.0.1.1.1.79b1</t>
  </si>
  <si>
    <t>RTDBS_4.0.1.21b1</t>
  </si>
  <si>
    <t>RTGUI_SLT_4.0.26.0.1</t>
  </si>
  <si>
    <t>WWCSGUI_COM_2.1.18.0.2</t>
  </si>
  <si>
    <t>WWFSGUI_2.1.28b3</t>
  </si>
  <si>
    <t>\\192.168.3.3\Share\Releases\Product\WEB_WFS\Build&amp;Release\Release For Test\TestBuild_2.1.28\ServerCD\GUI\Setup</t>
  </si>
  <si>
    <t>NMDBS_SLT_4.0.2.0.1.20b1</t>
  </si>
  <si>
    <t>WWFSGUI_COM_2.1.28.0.1</t>
  </si>
  <si>
    <t>NMDBS_4.6.1.24b3</t>
  </si>
  <si>
    <t>WWFSGUI_ANTEL_2.1.28.0.1</t>
  </si>
  <si>
    <t>NMDBS_ANTEL_4.6.1.26.2.37b1</t>
  </si>
  <si>
    <t>MPE_SLT-1B_3.0.1.1.1.80b1</t>
  </si>
  <si>
    <t>NMDBS_SLT_4.0.2.0.1.20b2</t>
  </si>
  <si>
    <t>NMDBS_COM_4.6.1.26.1.48b1</t>
  </si>
  <si>
    <t>NMDBS_SLT_4.0.2.0.1.21b1</t>
  </si>
  <si>
    <t>Akansha Upadhyay</t>
  </si>
  <si>
    <t>MPE_OBT_3.2.1.7.1.20b1</t>
  </si>
  <si>
    <t>NMDBS_SLT_4.0.2.0.1.22b1</t>
  </si>
  <si>
    <t>MPE_TWC_3.2.1.5.2.15b1</t>
  </si>
  <si>
    <t>RACS_2.5.7b1</t>
  </si>
  <si>
    <t>WWFSGUI_2.2.1.1b1</t>
  </si>
  <si>
    <t>RADBS_2.1.1.14b1</t>
  </si>
  <si>
    <t>NMDBS_COM_4.6.1.26.1.49b1</t>
  </si>
  <si>
    <t>NMDBS_OBT_4.6.1.27.1.35b1</t>
  </si>
  <si>
    <t>NMDBS_SLT_4.0.2.0.1.23b1</t>
  </si>
  <si>
    <t>4.7</t>
  </si>
  <si>
    <t>1.3</t>
  </si>
  <si>
    <t>2014 - 25</t>
  </si>
  <si>
    <t>2014 - 23</t>
  </si>
  <si>
    <t>2014 - 24</t>
  </si>
  <si>
    <t>2014 - 26</t>
  </si>
  <si>
    <t>4.0.25</t>
  </si>
  <si>
    <t>4.0.24</t>
  </si>
  <si>
    <t>DMDBS_SLT_2.0.0.20.1.113b1</t>
  </si>
  <si>
    <t>NMDBS_TWC_4.6.1.11.3.41b1</t>
  </si>
  <si>
    <t>DMDBS_SLT_2.0.0.20.1.153b1</t>
  </si>
  <si>
    <t>MPE_COM_3.2.5.0.2.4b1</t>
  </si>
  <si>
    <t>\\192.168.3.3\Share\Releases\Projects\Comcast\Release_for_Test\Test_Build_4.6.5\Server CD\MPE\Setup</t>
  </si>
  <si>
    <t>REDBS_1.0.1.25b1</t>
  </si>
  <si>
    <t>NMDBS_COM_4.6.1.26.1.49b2</t>
  </si>
  <si>
    <t>NMDBS_ANTEL_4.6.1.26.2.38b1</t>
  </si>
  <si>
    <t>REDBS_SLT_1.0.1.25.1.12b1</t>
  </si>
  <si>
    <t>NMDBS_ANTEL_4.6.1.26.2.39b1</t>
  </si>
  <si>
    <t>NMDBS_ANTEL_4.6.1.26.2.40b1</t>
  </si>
  <si>
    <t>NMDBS_COM_4.6.1.26.1.50b1</t>
  </si>
  <si>
    <t>NMDBS_COM_4.6.1.26.1.51b1</t>
  </si>
  <si>
    <t xml:space="preserve">DMDBS_SLT_2.0.0.20.1.153b2 </t>
  </si>
  <si>
    <t>NMDBS_4.7.1b10</t>
  </si>
  <si>
    <t>MPE_SLT-1B_3.0.1.1.1.81b1</t>
  </si>
  <si>
    <t>NMDBS_COM_4.6.1.26.1.51b2</t>
  </si>
  <si>
    <t>NMDBS_COM_4.6.1.26.1.49b3</t>
  </si>
  <si>
    <t>Obsolete-UAT</t>
  </si>
  <si>
    <t>NMUTLMIG4_COM_1.0.0.0.3</t>
  </si>
  <si>
    <t>NMUTLMIG1_COM_1.0.0.0.7</t>
  </si>
  <si>
    <t>NMUTLMIG3_COM_1.0.0.0.5</t>
  </si>
  <si>
    <t>MPE_OBT_3.2.1.7.1.21b1</t>
  </si>
  <si>
    <t>NMDBS_SLT_4.0.2.0.1.24b1</t>
  </si>
  <si>
    <t>NMDBS_TWC_4.6.1.11.3.41b2</t>
  </si>
  <si>
    <t>IM_ANTEL_1.0.1.0.1</t>
  </si>
  <si>
    <t>\\192.168.3.3\share\Releases\Projects\ANTEL\Release_For_Test\Test_Build_1.0.0.7\IM\Setup</t>
  </si>
  <si>
    <t>MPE_TWC_3.2.1.5.2.15b2</t>
  </si>
  <si>
    <t>NMDBS_OBT_4.6.1.27.1.36b1</t>
  </si>
  <si>
    <t>NMDBS_SLT_4.0.2.0.1.25b1</t>
  </si>
  <si>
    <t>NMDBS_COM_4.6.1.26.1.52b1</t>
  </si>
  <si>
    <t>Ajay Kumar Pandey</t>
  </si>
  <si>
    <t>MPE_TLSTR-2b_3.0.0.3.1.99b1</t>
  </si>
  <si>
    <t>NMDBS_ANTEL_4.6.1.26.2.41b1</t>
  </si>
  <si>
    <t>NMDBS_COM_4.6.1.26.1.53b1</t>
  </si>
  <si>
    <t>NMDBS_ANTEL_4.6.1.26.2.42b1</t>
  </si>
  <si>
    <t>MPE_TLSTR-2b_3.0.0.3.1.100b1</t>
  </si>
  <si>
    <t>NPDBS_COM_1.2.3.6.1.16b3</t>
  </si>
  <si>
    <t>NMDBS_COM_4.6.1.26.1.51b3</t>
  </si>
  <si>
    <t>NPDBS_1.2.3.11b1</t>
  </si>
  <si>
    <t xml:space="preserve">MPE_TWC_3.2.1.5.2.16b1 </t>
  </si>
  <si>
    <t>NMDBS_COM_4.6.1.26.1.55b1</t>
  </si>
  <si>
    <t>MPE_TWC_3.2.1.5.2.15b3</t>
  </si>
  <si>
    <t>NMDBS_ANTEL_4.6.1.26.2.43b1</t>
  </si>
  <si>
    <t xml:space="preserve">WWCSGUI_2.1.19b2 </t>
  </si>
  <si>
    <t>\\192.168.3.3\Share\Releases\Product\WEB_CS\Build&amp;Release\Release For Test\TestBuild_2.1.19\ServerCD\GUI\Setup</t>
  </si>
  <si>
    <t>NMDBS_COM_4.6.1.26.1.54b1</t>
  </si>
  <si>
    <t>NMUTLMIG4_COM_1.0.0.0.4</t>
  </si>
  <si>
    <t>RTGUI_4.0.25.1b1</t>
  </si>
  <si>
    <t>NMDBS_TLSTR_4.0.1.0.4.308b1</t>
  </si>
  <si>
    <t>NMDBS_4.6.1.28b1</t>
  </si>
  <si>
    <t>NMDBS_SLT_4.0.2.0.1.26b1</t>
  </si>
  <si>
    <t>NMMPE_BHN_3.5.2.31.1</t>
  </si>
  <si>
    <t>MPE_SLT-1B_3.0.1.1.1.82b1</t>
  </si>
  <si>
    <t>NMDBS_COM_4.6.1.26.1.56b1</t>
  </si>
  <si>
    <t>NMDBS_COM_4.6.1.26.1.54b2</t>
  </si>
  <si>
    <t>NMDBS_COM_4.6.1.26.1.57b1</t>
  </si>
  <si>
    <t>WWFSGUI_2.1.29b3</t>
  </si>
  <si>
    <t>\\192.168.3.3\Share\Releases\Product\WEB_WFS\Build&amp;Release\Release For Test\TestBuild_2.1.29\ServerCD\GUI\Setup</t>
  </si>
  <si>
    <t>NMDBS_COM_4.6.1.26.1.54b3</t>
  </si>
  <si>
    <t>RTGUI_COM_4.0.25.1.1.1b2</t>
  </si>
  <si>
    <t>NMDBS_COM_4.6.1.26.1.59b1</t>
  </si>
  <si>
    <t>NMDBS_COM_4.6.1.26.1.58b1</t>
  </si>
  <si>
    <t>NPDBS_COM_1.2.3.6.1.17b1</t>
  </si>
  <si>
    <t>WWCSGUI_COM_2.1.19.0.1</t>
  </si>
  <si>
    <t>\\192.168.3.3\Share\Releases\Projects\Comcast\Release_for_Test\Test_Build_4.6.6\Server CD\GUI\Setup</t>
  </si>
  <si>
    <t>NMDBS_SLT_4.0.2.0.1.27b1</t>
  </si>
  <si>
    <t>WWFSGUI_COM_2.1.29.0.1</t>
  </si>
  <si>
    <t>Telenet</t>
  </si>
  <si>
    <t>NMDBS_COM_4.6.1.26.1.61b1</t>
  </si>
  <si>
    <t>\\192.168.3.3\Share\Releases\Projects\Comcast\Release_for_Test\Test_Build_4.6.6\Server CD\Database\Setup</t>
  </si>
  <si>
    <t>RTDBS_4.0.1.21b2</t>
  </si>
  <si>
    <t>RTGUI_4.0.27b1</t>
  </si>
  <si>
    <t>RTGUI_SLT_4.0.27.0.1</t>
  </si>
  <si>
    <t>\\192.168.3.3\Share\Releases\Projects\SLT\Release_For_LQA\Test_Build_1.0.0.24\Server CD\GUI\Setup</t>
  </si>
  <si>
    <t>PATCH_DBS_3.0.5.03_CPMTS.02_87.1</t>
  </si>
  <si>
    <t>NMDBS_TWC_4.6.1.11.3.42b1</t>
  </si>
  <si>
    <t>NMDBS_COM_4.6.1.26.1.62b1</t>
  </si>
  <si>
    <t>MPE_TWC_3.2.1.5.2.17b1</t>
  </si>
  <si>
    <t>NPDBS_1.2.3.12b1</t>
  </si>
  <si>
    <t>NMDBS_COM_4.6.1.26.1.60b1</t>
  </si>
  <si>
    <t>WWFSGUI_2.1.30b1</t>
  </si>
  <si>
    <t>\\192.168.3.3\Share\Releases\Product\WEB_WFS\Build&amp;Release\Release For Test\TestBuild_2.1.30\ServerCD\GUI\Setup</t>
  </si>
  <si>
    <t>WWFSGUI_2.1.30b2</t>
  </si>
  <si>
    <t>NMDBS_4.6.1.29b1</t>
  </si>
  <si>
    <t xml:space="preserve">REDBS_1.0.1.26b1 </t>
  </si>
  <si>
    <t>MPE_OBT_3.2.1.7.1.22b1</t>
  </si>
  <si>
    <t>NMDBS_COM_4.6.1.26.1.63b1</t>
  </si>
  <si>
    <t>NMDBS_COM_4.6.1.26.1.64b1</t>
  </si>
  <si>
    <t>NMDBS_COM_4.6.1.26.1.65b1</t>
  </si>
  <si>
    <t>WWFSGUI_COM_2.1.30.0.1</t>
  </si>
  <si>
    <t>NMDBS_4.6.1.29b2</t>
  </si>
  <si>
    <t>NPDBS_COM_1.2.3.6.1.18b1</t>
  </si>
  <si>
    <t>WWFSGUI_2.1.31b1</t>
  </si>
  <si>
    <t>\\192.168.3.3\Share\Releases\Product\WEB_WFS\Build&amp;Release\Release For Test\TestBuild_2.1.31\ServerCD\GUI\Setup</t>
  </si>
  <si>
    <t>WWFSGUI_COM_2.1.31.0.1</t>
  </si>
  <si>
    <t>MPE_TLSTR-2b_3.0.0.3.1.101b1</t>
  </si>
  <si>
    <t>MPE_TLSTR-2b_3.0.0.3.1.102b1</t>
  </si>
  <si>
    <t>NPDBS_1.3.2b1</t>
  </si>
  <si>
    <t>\\192.168.3.3\Share\Releases\Product\NetMindPOS_1.3\Build&amp;Release\Release_For_LQA\Test_Build_1.0.2\Server CD\DBS\Setup</t>
  </si>
  <si>
    <t>NMDBS_4.7.1b11</t>
  </si>
  <si>
    <t>Ashwani Kumar Sharma</t>
  </si>
  <si>
    <t>DMDBS_DRC_2.1.1.7.2.20b1</t>
  </si>
  <si>
    <t>NMDBS_COM_4.6.1.26.1.67b1</t>
  </si>
  <si>
    <t>2014-Jul</t>
  </si>
  <si>
    <t>2014 - 28</t>
  </si>
  <si>
    <t>2014 - 27</t>
  </si>
  <si>
    <t>2014 - 29</t>
  </si>
  <si>
    <t>2014 - 30</t>
  </si>
  <si>
    <t>NPDBS_1.3.2b2</t>
  </si>
  <si>
    <t>NPDBS_1.2.3.13b1</t>
  </si>
  <si>
    <t>NPDBS_COM_1.2.3.6.1.19b1</t>
  </si>
  <si>
    <t>NPDBS_1.2.3.14b1</t>
  </si>
  <si>
    <t>NMMPE_TLN_2.0.3.50.3</t>
  </si>
  <si>
    <t>MPE_SLT-1B_3.0.1.1.1.83b1</t>
  </si>
  <si>
    <t>DMDBS_SLT_2.0.0.20.1.154b1</t>
  </si>
  <si>
    <t>\\192.168.3.3\Share\Releases\Projects\SLT\Release_For_LQA\Test_Build_1.0.0.24\Server CD\DBS\Setup</t>
  </si>
  <si>
    <t>DMDBS_DRC_2.1.1.7.2.21b1</t>
  </si>
  <si>
    <t>MPE_DRC_3.2.1.3.2.25b2</t>
  </si>
  <si>
    <t>NMDBS_COM_4.6.1.29.1.68b1</t>
  </si>
  <si>
    <t>RADBS_2.2.1b1</t>
  </si>
  <si>
    <t>\\192.168.3.3\Share\Releases\Product\RevMind_2.2\Build&amp;Release\Release_For_LQA\Test_Build_1.0.1\Server CD\DBS\Setup</t>
  </si>
  <si>
    <t>WWFSGUI_2.2.1.2b1</t>
  </si>
  <si>
    <t>CSGUI_2.6.1b1</t>
  </si>
  <si>
    <t>\\192.168.3.3\Share\Releases\Product\CSGUI_2.6\Build&amp;Release\Release_For_LQA\Test_Build_1.0.1\Server CD\GUI\Setup</t>
  </si>
  <si>
    <t>UTLIM_TLSTR_1.0.0.70</t>
  </si>
  <si>
    <t>UTLSUBPRT_1.0.1</t>
  </si>
  <si>
    <t>\\192.168.3.3\Share\Releases\Product\UTL_SUBPRT\Release_For_IT\TestBuild_1.0.0.1\Utility\DBS\Setup</t>
  </si>
  <si>
    <t>\\192.168.3.3\Share\Releases\Product\UTL_SUBPRT\Release_For_Test\TestBuild_1.0.0.1\Utility\DBS\Setup</t>
  </si>
  <si>
    <t>NPDBS_1.2.3.15b1</t>
  </si>
  <si>
    <t>NPDBS_COM_1.2.3.6.1.20b1</t>
  </si>
  <si>
    <t>MPE_SLT-1B_3.0.1.1.1.84b1</t>
  </si>
  <si>
    <t>MPE_3.2.1.7b1</t>
  </si>
  <si>
    <t>MPE_3.2.1.8b1</t>
  </si>
  <si>
    <t>\\192.168.3.3\Share\Releases\Product\MPE_3.2\ReleaseForLQA\TestBuild_3.2.1\Build2\ServerCD\Setup\RHEL_5.2</t>
  </si>
  <si>
    <t>NMDBS_OBT_4.6.1.27.1.37b1</t>
  </si>
  <si>
    <t>MPE_OBT_3.2.1.8.1.23b1</t>
  </si>
  <si>
    <t>RADBS_2.1.1.15b1</t>
  </si>
  <si>
    <t>NMDBS_OBT_4.6.1.27.1.38b1</t>
  </si>
  <si>
    <t>DMDBS_SLT_2.0.0.23.1.155b1</t>
  </si>
  <si>
    <t>NMDBS_COM_4.6.1.26.1.66b1</t>
  </si>
  <si>
    <t>NMDBS_TWC_4.6.1.11.3.43b1</t>
  </si>
  <si>
    <t>MPE_TLSTR-2b_3.0.0.3.1.103b1</t>
  </si>
  <si>
    <t>MPE_SLT-1B_3.0.1.1.1.85b1</t>
  </si>
  <si>
    <t>DMDBS_SLT_2.0.0.23.1.155b2</t>
  </si>
  <si>
    <t>MPE_TWC_3.2.1.5.2.18b1</t>
  </si>
  <si>
    <t>NMDBS_TLSTR_4.0.1.0.4.309b1</t>
  </si>
  <si>
    <t>NMDBS_COM_4.6.1.29.1.69b1</t>
  </si>
  <si>
    <t>MPE_SLT-1B_3.0.1.1.1.86b1</t>
  </si>
  <si>
    <t>RTGUI_4.0.27.1b1</t>
  </si>
  <si>
    <t xml:space="preserve">RTGUI_SLT_4.0.27.1.2 </t>
  </si>
  <si>
    <t>RTDBS_4.0.1.21b3</t>
  </si>
  <si>
    <t>MPE_TLSTR-2b_3.0.0.3.1.104b1</t>
  </si>
  <si>
    <t>DMDBS_SLT_2.0.0.23.1.157b1</t>
  </si>
  <si>
    <t>DMDBS_SLT_2.0.0.23.1.156b1</t>
  </si>
  <si>
    <t>NMDBS_TLSTR_4.0.1.0.4.309b2</t>
  </si>
  <si>
    <t>DMDBS_SLT_2.0.0.23.1.158b1</t>
  </si>
  <si>
    <t>MPE_TWC_3.2.1.5.2.19b1</t>
  </si>
  <si>
    <t>RADBS_SLT_2.1.1.12.1.76b1</t>
  </si>
  <si>
    <t>MPE_SLT-1B_3.0.1.1.1.87b1</t>
  </si>
  <si>
    <t>DMDBS_SLT_2.0.0.23.1.159b1</t>
  </si>
  <si>
    <t>MPE_OBT_3.2.1.8.1.24b1</t>
  </si>
  <si>
    <t>NMDBS_4.6.1.30b1</t>
  </si>
  <si>
    <t>Rajat Gupta</t>
  </si>
  <si>
    <t>NPDBS_COM_1.2.3.15.1.21b1</t>
  </si>
  <si>
    <t>WWFSGUI_2.1.32b2</t>
  </si>
  <si>
    <t>\\192.168.3.3\Share\Releases\Product\WEB_WFS\Build&amp;Release\Release For Test\TestBuild_2.1.32\ServerCD\GUI\Setup</t>
  </si>
  <si>
    <t>WWFSGUI_COM_2.1.32.0.1</t>
  </si>
  <si>
    <t xml:space="preserve">\\192.168.3.3\Share\Releases\Projects\Comcast\Release_for_Test\Test_Build_4.6.6\Server CD\GUI\Setup </t>
  </si>
  <si>
    <t>RADBS_SLT_2.1.1.12.1.77b1</t>
  </si>
  <si>
    <t>DMDBS_SLT_2.0.0.23.1.160b1</t>
  </si>
  <si>
    <t>MPE_SLT-1B_3.0.1.1.1.86b2</t>
  </si>
  <si>
    <t>Obsolete-FAT</t>
  </si>
  <si>
    <t xml:space="preserve"> NMDBS_COM_4.6.1.29.1.70b1</t>
  </si>
  <si>
    <t>NMDBS_COM_3.5.2.100.1</t>
  </si>
  <si>
    <t>MPE_SLT-1B_3.0.1.1.1.88b1</t>
  </si>
  <si>
    <t>RADBS_SLT_2.1.1.12.1.78b1</t>
  </si>
  <si>
    <t>DMDBS_SLT_2.0.0.23.1.161b1</t>
  </si>
  <si>
    <t>DMDBS_SLT_2.0.0.23.1.165b1</t>
  </si>
  <si>
    <t>RTGUI_COM_4.0.25.1.1.2b1</t>
  </si>
  <si>
    <t>\\192.168.3.3\share\Releases\Projects\Comcast\Release_for_Test\Test_Build_4.6.6\Server CD\GUI\Setup</t>
  </si>
  <si>
    <t>NMDBS_TLSTR_4.0.1.0.4.310b1</t>
  </si>
  <si>
    <t>MPE_SLT-1B_3.0.1.1.1.89b1</t>
  </si>
  <si>
    <t>DMDBS_SLT_2.0.0.23.1.164b1</t>
  </si>
  <si>
    <t>AWF_2.0.1b30</t>
  </si>
  <si>
    <t>NMDBS_COM_4.6.1.29.1.71b1</t>
  </si>
  <si>
    <t>DMDBS_SLT_2.0.0.23.1.163b1</t>
  </si>
  <si>
    <t>CSGUI_2.6.1b2</t>
  </si>
  <si>
    <t>WWFSGUI_2.2.1.2b2</t>
  </si>
  <si>
    <t>NMUTLMIG1_COM_1.0.0.0.9</t>
  </si>
  <si>
    <t xml:space="preserve">\\192.168.3.3\Share\Releases\Projects\Comcast\Release_for_Test\Test_Build_4.6.6\Utility\Setup </t>
  </si>
  <si>
    <t>DMDBS_SLT_2.0.0.23.1.162b1</t>
  </si>
  <si>
    <t>RADBS_SLT_2.1.1.12.1.79b1</t>
  </si>
  <si>
    <t>RADBS_2.2.1b2</t>
  </si>
  <si>
    <t>NPDBS_1.2.3.16b1</t>
  </si>
  <si>
    <t>NMDBS_TLSTR_4.0.1.0.4.311b1</t>
  </si>
  <si>
    <t>MPE_SLT-1B_3.0.1.1.1.90b1</t>
  </si>
  <si>
    <t>NMDBS_COM_4.6.1.29.1.72b1</t>
  </si>
  <si>
    <t>WWFSGUI_2.1.33b1</t>
  </si>
  <si>
    <t>\\192.168.3.3\Share\Releases\Product\WEB_WFS\Build&amp;Release\Release For Test\TestBuild_2.1.33\ServerCD\GUI\Setup</t>
  </si>
  <si>
    <t>WWFSGUI_COM_2.1.33.0.1</t>
  </si>
  <si>
    <t>MPE_SLT-1B_3.0.1.1.1.91b1</t>
  </si>
  <si>
    <t>MPE_SLT-1B_3.0.1.1.1.92b1</t>
  </si>
  <si>
    <t>MPE_SLT-1B_3.0.1.1.1.90b2</t>
  </si>
  <si>
    <t>DMDBS_2.0.0.24b1</t>
  </si>
  <si>
    <t>DMDBS_SLT_2.0.0.23.1.166b1</t>
  </si>
  <si>
    <t>NMDBS_COM_4.6.1.29.1.73b1</t>
  </si>
  <si>
    <t>MPE_TWC_3.2.1.5.2.20b1</t>
  </si>
  <si>
    <t xml:space="preserve">NMUTLMIG5_TWC_1.0.0.0.1 </t>
  </si>
  <si>
    <t>\\192.168.3.3\Share\Releases\Projects\TWC\Release_For_IT\Test_Build_1.0.0.3\Utility\Setup</t>
  </si>
  <si>
    <t>\\192.168.3.3\Share\Releases\Projects\TWC\Release_For_Test\Test_Build_1.0.0.4\Utility\Setup</t>
  </si>
  <si>
    <t>NMDBS_COM_4.6.1.29.1.75b1</t>
  </si>
  <si>
    <t>WWFSGUI_2.1.34b1</t>
  </si>
  <si>
    <t>\\192.168.3.3\Share\Releases\Product\WEB_WFS\Build&amp;Release\Release For Test\TestBuild_2.1.34\ServerCD\GUI\Setup</t>
  </si>
  <si>
    <t>WWFSGUI_COM_2.1.34.0.1</t>
  </si>
  <si>
    <t>WWFSGUI_COM_2.1.34.0.1.1b1</t>
  </si>
  <si>
    <t>NMDBS_COM_4.6.1.29.1.74b1</t>
  </si>
  <si>
    <t>NMDBS_COM_4.6.1.29.1.76b1</t>
  </si>
  <si>
    <t xml:space="preserve">DMDBS_SLT_2.0.0.23.1.167b1 </t>
  </si>
  <si>
    <t>NMDBS_4.7.1b12</t>
  </si>
  <si>
    <t>NMDBS_COM_3.5.2.101.1</t>
  </si>
  <si>
    <t>NMDBS_COM_3.5.2.102.1</t>
  </si>
  <si>
    <t>NMDBS_OBT_4.6.1.27.1.40b1</t>
  </si>
  <si>
    <t>RADBS_2.2.1b3</t>
  </si>
  <si>
    <t>NMDBS_COM_4.6.1.29.1.73b2</t>
  </si>
  <si>
    <t>MPE_SLT-1B_3.0.1.1.1.93b1</t>
  </si>
  <si>
    <t>NMDBS_COM_3.5.2.101.2</t>
  </si>
  <si>
    <t>RTDBS_4.0.1.22b1</t>
  </si>
  <si>
    <t>DMDBS_SLT_2.0.0.23.1.168b1</t>
  </si>
  <si>
    <t>MPE_TLSTR-2b_3.0.0.3.1.105b1</t>
  </si>
  <si>
    <t xml:space="preserve">DMDBS_SLT_2.0.0.23.1.169b1 </t>
  </si>
  <si>
    <t>WWFSGUI_COM_2.1.34.0.1.2b1</t>
  </si>
  <si>
    <t>NMDBS_OBT_4.6.1.27.1.39b1</t>
  </si>
  <si>
    <t>MPE_DRC_3.2.1.3.2.26b1</t>
  </si>
  <si>
    <t>CSGUI_2.6.1b3</t>
  </si>
  <si>
    <t>WWFSGUI_2.2.1.2b3</t>
  </si>
  <si>
    <t>WWFSGUI_OBT_2.1.34.0.1</t>
  </si>
  <si>
    <t xml:space="preserve">\\192.168.3.3\Share\Releases\Projects\OBT\Release_For_LQA\TestBuild_1.0.0.7\Server CD\GUI\Setup </t>
  </si>
  <si>
    <t>DMDBS_SLT_2.0.0.23.1.170b1</t>
  </si>
  <si>
    <t>DMDBS_DRC_2.1.1.7.2.20b2</t>
  </si>
  <si>
    <t>NMUTLMIG5_TWC_1.0.0.0.2</t>
  </si>
  <si>
    <t>RTGUI_FNB_4.0.19.0.1</t>
  </si>
  <si>
    <t>FNB</t>
  </si>
  <si>
    <t>\\192.168.3.3\Share\Releases\Projects\FNB\Release_For_Test\Test_Build_1.0.0.1\Server CD\GUI\Setup</t>
  </si>
  <si>
    <t>RTGUI_BHN_4.0.27.0.1</t>
  </si>
  <si>
    <t>\\192.168.3.3\Share\Releases\Projects\BHN\Release_For_Test\Test_Build_1.0.0.1\Server CD\GUI\Setup</t>
  </si>
  <si>
    <t>NMDBS_COM_4.6.1.29.1.73b3</t>
  </si>
  <si>
    <t>DMDBS_2.0.0.25b1</t>
  </si>
  <si>
    <t>NMDBS_COM_4.6.1.29.1.73b4</t>
  </si>
  <si>
    <t>NMDBS_BHN_3.5.1.60.1</t>
  </si>
  <si>
    <t>NMDBS_BHN_3.5.1.61.1</t>
  </si>
  <si>
    <t>NMDBS_BHN_3.5.1.62.1</t>
  </si>
  <si>
    <t>NMDBS_BHN_3.5.1.63.1</t>
  </si>
  <si>
    <t>NMDBS_BHN_3.5.1.64.1</t>
  </si>
  <si>
    <t>NMDBS_BHN_3.5.1.65.1</t>
  </si>
  <si>
    <t>NMDBS_TLSTR_4.0.1.0.4.312b1</t>
  </si>
  <si>
    <t>NMDBS_TLSTR_4.0.1.0.4.313b1</t>
  </si>
  <si>
    <t>MPE_TLSTR-2b_3.0.0.3.1.106b1</t>
  </si>
  <si>
    <t>NPDBS_COM_1.2.3.15.1.21b2</t>
  </si>
  <si>
    <t>NPDBS_1.3.2b3</t>
  </si>
  <si>
    <t>NMDBS_COM_4.6.1.29.1.74b2</t>
  </si>
  <si>
    <t>DMDBS_DRC_2.1.1.7.2.22b1</t>
  </si>
  <si>
    <t>NMDBS_TWC_4.6.1.11.3.43b2</t>
  </si>
  <si>
    <t>NetMind</t>
  </si>
  <si>
    <t>4.7.1</t>
  </si>
  <si>
    <t>Internal Build</t>
  </si>
  <si>
    <t>b11</t>
  </si>
  <si>
    <t>2014-Aug</t>
  </si>
  <si>
    <t>2014-Sep</t>
  </si>
  <si>
    <t>2014 - 31</t>
  </si>
  <si>
    <t>2014 - 36</t>
  </si>
  <si>
    <t>2014 - 33</t>
  </si>
  <si>
    <t>2014 - 34</t>
  </si>
  <si>
    <t>2014 - 35</t>
  </si>
  <si>
    <t>2.1.34</t>
  </si>
  <si>
    <t>4.0.27</t>
  </si>
  <si>
    <t>RADBS_SLT_2.1.1.12.1.80b1</t>
  </si>
  <si>
    <t>DMDBS_SLT_2.0.0.23.1.171b1</t>
  </si>
  <si>
    <t>REDBS_1.0.1.27b1</t>
  </si>
  <si>
    <t>NMDBS_COM_4.6.1.29.1.74b3</t>
  </si>
  <si>
    <t>NMDBS_COM_4.6.1.29.1.76b2</t>
  </si>
  <si>
    <t>NMDBS_OBT_4.6.1.27.1.41b1</t>
  </si>
  <si>
    <t>DMDBS_SLT_2.0.0.23.1.172b1</t>
  </si>
  <si>
    <t>2.2.1</t>
  </si>
  <si>
    <t>2014 - 37</t>
  </si>
  <si>
    <t>2.5.6</t>
  </si>
  <si>
    <t>AWF_2.0.1.4</t>
  </si>
  <si>
    <t>AWF_2.0.1b24</t>
  </si>
  <si>
    <t>NMDBS_OBT_4.6.1.27.1.41b2</t>
  </si>
  <si>
    <t>RADBS_SLT_2.1.1.12.1.81b1</t>
  </si>
  <si>
    <t>DMDBS_SLT_2.0.0.23.1.174b1</t>
  </si>
  <si>
    <t>NMDBS_SLT_4.0.2.0.1.28b1</t>
  </si>
  <si>
    <t>WWFSGUI_COM_2.1.34.0.1.3b1</t>
  </si>
  <si>
    <t>b3</t>
  </si>
  <si>
    <t>RevMind</t>
  </si>
  <si>
    <t>STARK</t>
  </si>
  <si>
    <t>NPDBS_TLN_1.0.4.95.1</t>
  </si>
  <si>
    <t>\\192.168.3.3\Share\Releases\Projects\Telenet\Build&amp;Release\Release For IT\Test_Build_4.0.41\Server CD\Database\Setup</t>
  </si>
  <si>
    <t>\\192.168.3.3\Share\Releases\Projects\Telenet\Build&amp;Release\Release For Test\Test_Build_4.0.41\Server CD\Database\Setup</t>
  </si>
  <si>
    <t>MPE_3.2.6b1</t>
  </si>
  <si>
    <t>\\192.168.3.3\Share\Releases\Product\MPE_3.2\ReleaseForLQA\TestBuild_3.2.6\Server CD\MPE\Setup</t>
  </si>
  <si>
    <t>MPE_TLSTR-ST_3.2.6.0.1</t>
  </si>
  <si>
    <t>TLSTR-ST</t>
  </si>
  <si>
    <t xml:space="preserve">Rohtash </t>
  </si>
  <si>
    <t>\\192.168.3.3\Share\Releases\Projects\TLSTR-ST\Release_For_Test\Test_Build_1.0.0.1\Server CD\MPE\Setup</t>
  </si>
  <si>
    <t>DMDBS_SLT_2.0.0.23.1.173b1</t>
  </si>
  <si>
    <t>WWCSGUI_TWC_2.1.13.0.1.1b1</t>
  </si>
  <si>
    <t>NPDBS_1.2.3.17b1</t>
  </si>
  <si>
    <t>NMDBS_COM_4.6.1.29.1.77b1</t>
  </si>
  <si>
    <t>NPDBS_COM_1.2.3.15.1.22b1</t>
  </si>
  <si>
    <t>MPE_SLT-1B_3.0.1.1.1.95b1</t>
  </si>
  <si>
    <t>DMDBS_SLT_2.0.0.23.1.175b1</t>
  </si>
  <si>
    <t>RADBS_SLT_2.1.1.12.1.82b1</t>
  </si>
  <si>
    <t>WWFSGUI_COM_2.1.34.0.1.4b1</t>
  </si>
  <si>
    <t>NPDBS_COM_1.2.3.17.1.23b1</t>
  </si>
  <si>
    <t>Mayank Sharma</t>
  </si>
  <si>
    <t>WWCSGUI_BHN_2.1.19.0.1</t>
  </si>
  <si>
    <t>\\192.168.3.3\Share\Releases\Projects\BHN\Release_For_Test\Test_Build_1.0.1\Server CD\GUI\Setup</t>
  </si>
  <si>
    <t>WWFSGUI_BHN_2.1.34.0.1</t>
  </si>
  <si>
    <t>RADBS_SLT_2.1.1.12.1.84b1</t>
  </si>
  <si>
    <t>DMDBS_SLT_2.0.0.25.1.176b1</t>
  </si>
  <si>
    <t>MPE_TWC_3.2.1.5.2.21b1</t>
  </si>
  <si>
    <t>DMDBS_SLT_2.0.0.25.1.178b1</t>
  </si>
  <si>
    <t>MPE_TLSTR-2b_3.0.0.3.1.107b1</t>
  </si>
  <si>
    <t>NMDBS_BHN_4.7.1.1</t>
  </si>
  <si>
    <t>\\192.168.3.3\Share\Releases\Projects\BHN\Release_For_Test\Test_Build_1.0.1\Server CD\DBS\Setup</t>
  </si>
  <si>
    <t>MPE_BHN_3.2.5.0.1</t>
  </si>
  <si>
    <t xml:space="preserve">\\192.168.3.3\Share\Releases\Projects\BHN\Release_For_Test\Test_Build_1.0.1\Server CD\MPE\Setup </t>
  </si>
  <si>
    <t>NMDBS_BHN_3.5.1.66.1</t>
  </si>
  <si>
    <t>DMDBS_SLT_2.0.0.25.1.179b1</t>
  </si>
  <si>
    <t>RADBS_SLT_2.1.1.12.1.85b1</t>
  </si>
  <si>
    <t>NMDBS_BHN_3.5.1.67.1</t>
  </si>
  <si>
    <t>NMUTLMIG1_BHN_1.0.0.0.1</t>
  </si>
  <si>
    <t>\\192.168.3.3\Share\Releases\Projects\BHN\Release_For_Test\Test_Build_1.0.1\Server CD\Utility\Setup</t>
  </si>
  <si>
    <t>\\192.168.3.3\Share\Releases\Projects\BHN\Release_For_IT\TestBuild_1.0.0.1\Server CD\Utility\Setup</t>
  </si>
  <si>
    <t>NMUTLMIG2_BHN_1.0.0.0.1</t>
  </si>
  <si>
    <t>NMUTLMIG3_BHN_1.0.0.0.1</t>
  </si>
  <si>
    <t>NMUTLMIG4_BHN_1.0.0.0.1</t>
  </si>
  <si>
    <t>NMDBS_BHN_3.5.1.63.2</t>
  </si>
  <si>
    <t>NMDBS_BHN_3.5.1.64.2</t>
  </si>
  <si>
    <t>NMDBS_BHN_3.5.1.65.2</t>
  </si>
  <si>
    <t>WWFSGUI_COM_2.1.34.0.1.5b1</t>
  </si>
  <si>
    <t>DMDBS_SLT_2.0.0.20.1.114b1</t>
  </si>
  <si>
    <t>RTDBS_COM_4.0.1.20.1.4b1</t>
  </si>
  <si>
    <t>RTGUI_COM_4.0.25.1.1.3b1</t>
  </si>
  <si>
    <t xml:space="preserve"> MPE_SLT-1B_3.0.1.1.1.94b1</t>
  </si>
  <si>
    <t>NMDBS_TWC_4.6.1.11.3.43b3</t>
  </si>
  <si>
    <t>DMDBS_SLT_2.0.0.25.1.180b1</t>
  </si>
  <si>
    <t>DMDBS_SLT_2.0.0.25.1.181b1</t>
  </si>
  <si>
    <t>DMDBS_SLT_2.0.0.25.1.182b1</t>
  </si>
  <si>
    <t>NMDBS_BHN_3.5.1.63.3</t>
  </si>
  <si>
    <t>NMDBS_BHN_3.5.1.64.3</t>
  </si>
  <si>
    <t>DMDBS_TLSTR-ST_2.1.1.8.1.1b1</t>
  </si>
  <si>
    <t>\\192.168.3.3\Share\Releases\Projects\TLSTR-ST\Release_For_Test\Test_Build_1.0.1\Server CD\MPE\Setup</t>
  </si>
  <si>
    <t>MPE_TLSTR-ST_3.2.6.0.1.1b1</t>
  </si>
  <si>
    <t>NPDBS_TLN_1.0.4.95.2</t>
  </si>
  <si>
    <t>NMDBS_TWC_4.6.1.11.3.44b1</t>
  </si>
  <si>
    <t>MPE_OBT_3.2.1.8.1.25b1</t>
  </si>
  <si>
    <t>\\192.168.3.3\share\Releases\Projects\OBT\Release_For_LQA\TestBuild_1.0.0.7\Server CD\MPE\Setup</t>
  </si>
  <si>
    <t>Date</t>
  </si>
  <si>
    <t>30th July 2014</t>
  </si>
  <si>
    <t>4th Sept 2014</t>
  </si>
  <si>
    <t xml:space="preserve">DMDBS_SLT_2.0.0.25.1.183b1 </t>
  </si>
  <si>
    <t>NMDBS_BHN_3.5.1.68.1</t>
  </si>
  <si>
    <t>DMDBS_SLT_2.0.0.25.1.184b1</t>
  </si>
  <si>
    <t>DMDBS_SLT_2.0.0.25.1.185b1</t>
  </si>
  <si>
    <t>NMDBS_BHN_3.5.1.68.2</t>
  </si>
  <si>
    <t>MPE_SLT-1B_3.0.1.1.1.96b1</t>
  </si>
  <si>
    <t>MPE_TLSTR-ST_3.2.6.0.1.2b1</t>
  </si>
  <si>
    <t>RADBS_SLT_2.1.1.12.1.86b1</t>
  </si>
  <si>
    <t>DMDBS_SLT_2.0.0.25.1.186b1</t>
  </si>
  <si>
    <t>RADBS_SLT_2.1.1.12.1.87b1</t>
  </si>
  <si>
    <t>DMDBS_SLT_2.0.0.25.1.187b1</t>
  </si>
  <si>
    <t>NMUTLMIG3_BHN_1.0.0.0.2</t>
  </si>
  <si>
    <t>NMUTLMIG1_BHN_1.0.0.0.2</t>
  </si>
  <si>
    <t>NMUTLMIG2_BHN_1.0.0.0.2</t>
  </si>
  <si>
    <t>NMDBS_TWC_4.6.1.11.3.45b1</t>
  </si>
  <si>
    <t>Upender</t>
  </si>
  <si>
    <t>MPE_TWC_3.2.1.5.2.22b1</t>
  </si>
  <si>
    <t>DMDBS_TLSTR-ST_2.1.1.8.1.2b1</t>
  </si>
  <si>
    <t>\\192.168.3.3\Share\Releases\Projects\TLSTR-ST\Release_For_IT\TestBuild_1.0.1\Server CD\DBS\Setup</t>
  </si>
  <si>
    <t>\\192.168.3.3\Share\Releases\Projects\TLSTR-ST\Release_For_Test\Test_Build_1.0.1\Server CD\DBS\Setup</t>
  </si>
  <si>
    <t>MPE_TLSTR-ST_3.2.6.0.1.3b1</t>
  </si>
  <si>
    <t>NMDBS_TWC_4.6.1.11.3.46b1</t>
  </si>
  <si>
    <t>NMUTLMIG3_BHN_1.0.0.0.3</t>
  </si>
  <si>
    <t>NMUTLMIG1_BHN_1.0.0.0.3</t>
  </si>
  <si>
    <t>NMUTLMIG2_BHN_1.0.0.0.3</t>
  </si>
  <si>
    <t>Parul K Rajput</t>
  </si>
  <si>
    <t>RADBS_SLT_2.1.1.15.1.89b1</t>
  </si>
  <si>
    <t>DMDBS_SLT_2.0.0.25.1.188b1</t>
  </si>
  <si>
    <t>NMDBS_BHN_4.7.1.2</t>
  </si>
  <si>
    <t>NMUTLMIG1_BHN_1.0.0.0.4</t>
  </si>
  <si>
    <t>WWCSGUI_2.1.20b4</t>
  </si>
  <si>
    <t>Ajay Gera</t>
  </si>
  <si>
    <t>DMDBS_SLT_2.0.0.25.1.190b1</t>
  </si>
  <si>
    <t>\\192.168.3.3\Share\Releases\Product\WEB_CS\Build&amp;Release\Release For Test\TestBuild_2.1.20\ServerCD\GUI\Setup</t>
  </si>
  <si>
    <t>NMUTLMIG3_BHN_1.0.0.0.4</t>
  </si>
  <si>
    <t>NMUTLMIG1_BHN_1.0.0.0.5</t>
  </si>
  <si>
    <t>NMUTLMIG2_BHN_1.0.0.0.4</t>
  </si>
  <si>
    <t>MPE_SLT-1B_3.0.1.1.1.97b1</t>
  </si>
  <si>
    <t>MPE_BHN_3.2.5.0.1.1b1</t>
  </si>
  <si>
    <t>RADBS_SLT_2.1.1.12.1.83b1</t>
  </si>
  <si>
    <t>DMDBS_SLT_2.0.0.25.1.177b1</t>
  </si>
  <si>
    <t>IM_1.0.2b1</t>
  </si>
  <si>
    <t>NMDBS_TWC_4.6.1.11.3.47b1</t>
  </si>
  <si>
    <t>DMDBS_TLSTR-ST_2.1.1.8.1.3b1</t>
  </si>
  <si>
    <t>MPE_COM_3.2.5.0.2.5b1</t>
  </si>
  <si>
    <t>\\192.168.3.3\Share\Releases\Projects\Comcast\Release_for_Test\Test_Build_4.6.6\Server CD\MPE\Setup</t>
  </si>
  <si>
    <t>MPE_TLSTR-ST_3.2.6.0.1.4b1</t>
  </si>
  <si>
    <t>IM_BHN_1.0.2.0.1</t>
  </si>
  <si>
    <t>\\192.168.3.3\share\Releases\Projects\BHN\Release_For_Test\Test_Build_1.0.1\Server CD\IM\Setup</t>
  </si>
  <si>
    <t>NMDBS_BHN_4.7.1.3</t>
  </si>
  <si>
    <t>WWFSGUI_BHN_2.1.34.0.2</t>
  </si>
  <si>
    <t>\\192.168.3.3\Share\Releases\Projects\BHN\Release_For_Test\Test_Build_1.0.2\Server CD\GUI\Setup</t>
  </si>
  <si>
    <t>DMDBS_SLT_2.0.0.25.1.191b1</t>
  </si>
  <si>
    <t>NMDBS_COM_4.6.1.29.1.78b1</t>
  </si>
  <si>
    <t xml:space="preserve"> NM</t>
  </si>
  <si>
    <t>NMDBS_COM_4.6.1.29.1.79b1</t>
  </si>
  <si>
    <t>NMUTLMIG6_TWC_1.0.0.0.1</t>
  </si>
  <si>
    <t>NMDBS_COM_4.6.1.30.1.81b1</t>
  </si>
  <si>
    <t>NMDBS_COM_4.6.1.30.1.80b1</t>
  </si>
  <si>
    <t>DMDBS_SLT_2.0.0.25.1.192b1</t>
  </si>
  <si>
    <t>RADBS_SLT_2.1.1.15.1.90b1</t>
  </si>
  <si>
    <t>DMDBS_TLSTR-ST_2.1.1.8.1.3b2</t>
  </si>
  <si>
    <t>NMDBS_SLT_4.0.2.0.1.29b1</t>
  </si>
  <si>
    <t>DMDBS_SLT_2.0.0.25.1.193b1</t>
  </si>
  <si>
    <t>NMDBS_4.7.1b13</t>
  </si>
  <si>
    <t>NMDBS_BHN_4.7.1.4</t>
  </si>
  <si>
    <t>DMDBS_TLSTR-ST_2.1.1.8.1.4b1</t>
  </si>
  <si>
    <t>IM_BHN_1.0.2.0.2</t>
  </si>
  <si>
    <t>\\192.168.3.3\share\Releases\Projects\BHN\Release_For_Test\Test_Build_1.0.2\Server CD\IM\Setup</t>
  </si>
  <si>
    <t>RTDBS_4.0.1.23b1</t>
  </si>
  <si>
    <t>NMDBS_TWC_4.6.1.11.3.48b1</t>
  </si>
  <si>
    <t>DMDBS_SLT_2.0.0.25.1.189b1</t>
  </si>
  <si>
    <t>RADBS_SLT_2.1.1.15.1.88b1</t>
  </si>
  <si>
    <t>NMUTLMIG1_BHN3x_1.0.1</t>
  </si>
  <si>
    <t>\\192.168.3.3\Share\Releases\Projects\BHN\Release_For_Test\Test_Build_1.0.2\Server CD\Utility\Setup</t>
  </si>
  <si>
    <t>MPE_BHN_3.2.5.0.1.2b1</t>
  </si>
  <si>
    <t>\\192.168.3.3\Share\Releases\Projects\BHN\Release_For_Test\Test_Build_1.0.2\Server CD\MPE\Setup</t>
  </si>
  <si>
    <t>MPE_TWC_3.2.1.5.2.23b1</t>
  </si>
  <si>
    <t>NMDBS_COM_4.6.1.30.1.81b2</t>
  </si>
  <si>
    <t>NMDBS_COM_4.6.1.30.1.80b2</t>
  </si>
  <si>
    <t>DMDBS_SLT_2.0.0.25.1.194b1</t>
  </si>
  <si>
    <t>RADBS_SLT_2.1.1.15.1.91b1</t>
  </si>
  <si>
    <t>NMUTLMIG6_TWC_1.0.0.0.2</t>
  </si>
  <si>
    <t>RTGUI_4.0.28b1</t>
  </si>
  <si>
    <t>DMDBS_TLSTR-ST_2.1.1.8.1.4b2</t>
  </si>
  <si>
    <t>NMDBS_4.7.1b14</t>
  </si>
  <si>
    <t>Rohit Gulati</t>
  </si>
  <si>
    <t>MPE_TLSTR-ST_3.2.6.0.1.5b1</t>
  </si>
  <si>
    <t xml:space="preserve">DMDBS_SLT_2.0.0.25.1.191b2 </t>
  </si>
  <si>
    <t>NMDBS_SLT_4.0.2.0.1.30b1</t>
  </si>
  <si>
    <t>MPE_SLT-1B_3.0.1.1.1.98b1</t>
  </si>
  <si>
    <t>AWF_2.0.1b31</t>
  </si>
  <si>
    <t>NMDBS_COM_4.6.1.29.1.79b2</t>
  </si>
  <si>
    <t>NMDBS_BHN_4.7.1.5</t>
  </si>
  <si>
    <t>MPE_BHN_3.2.5.0.1.3b1</t>
  </si>
  <si>
    <t>DMDBS_SLT_2.0.0.25.1.195b1</t>
  </si>
  <si>
    <t>NMDBS_COM_4.6.1.30.1.82b1</t>
  </si>
  <si>
    <t xml:space="preserve">NPDBS_COM_1.2.3.17.1.24b1 </t>
  </si>
  <si>
    <t>NMDBS_4.7.1b15</t>
  </si>
  <si>
    <t>NMDBS_TLSTR_4.0.1.0.4.314b1</t>
  </si>
  <si>
    <t>WWFSGUI_COM_2.1.34.0.1.6b1</t>
  </si>
  <si>
    <t>DMDBS_TLSTR-ST_2.1.1.8.1.4b3</t>
  </si>
  <si>
    <t>WWFSGUI_2.1.35b1</t>
  </si>
  <si>
    <t>\\192.168.3.3\Share\Releases\Product\WEB_WFS\Build&amp;Release\Release For Test\TestBuild_2.1.35\ServerCD\GUI\Setup</t>
  </si>
  <si>
    <t>MPE_TLSTR-2b_3.0.0.3.1.108b1</t>
  </si>
  <si>
    <t>RADBS_SLT_2.1.1.15.1.92b1</t>
  </si>
  <si>
    <t>MPE_SLT-1B_3.0.1.1.1.99b1</t>
  </si>
  <si>
    <t>NMDBS_ANTEL_4.6.1.26.2.44b1</t>
  </si>
  <si>
    <t>NMDBS_TLSTR_4.0.1.0.4.314b2</t>
  </si>
  <si>
    <t>MPE_TLSTR-2b_3.0.0.3.1.108b2</t>
  </si>
  <si>
    <t>MPE_TLSTR-ST_3.2.6.0.1.6b1</t>
  </si>
  <si>
    <t>MPE_SLT-1B_3.0.1.1.1.100b1</t>
  </si>
  <si>
    <t>DMDBS_SLT_2.0.0.25.1.196b1</t>
  </si>
  <si>
    <t>RADBS_SLT_2.1.1.15.1.93b1</t>
  </si>
  <si>
    <t>NMDBS_TWC_4.6.1.11.3.49b1</t>
  </si>
  <si>
    <t>NMDBS_COM_4.6.1.30.1.83b1</t>
  </si>
  <si>
    <t>MPE_BHN_3.2.5.0.1.4b1</t>
  </si>
  <si>
    <t xml:space="preserve"> RADBS_SLT_2.1.1.15.1.94b1</t>
  </si>
  <si>
    <t>DMDBS_TLSTR-ST_2.1.1.8.1.5b1</t>
  </si>
  <si>
    <t>DMDBS_SLT_2.0.0.25.1.197b1</t>
  </si>
  <si>
    <t>DMDBS_SLT_2.0.0.25.1.198b1</t>
  </si>
  <si>
    <t>NMDBS_ANTEL_4.6.1.26.2.45b1</t>
  </si>
  <si>
    <t>NMDBS_BHN_4.7.1.6</t>
  </si>
  <si>
    <t>IM_1.0.2b2</t>
  </si>
  <si>
    <t>2014-Oct</t>
  </si>
  <si>
    <t>2014 - 39</t>
  </si>
  <si>
    <t>2014 - 40</t>
  </si>
  <si>
    <t>2014 - 41</t>
  </si>
  <si>
    <t>2014 - 38</t>
  </si>
  <si>
    <t>2014 - 42</t>
  </si>
  <si>
    <t>2014 - 43</t>
  </si>
  <si>
    <t>2014 - 44</t>
  </si>
  <si>
    <t>NMDBS_TLSTR_4.0.1.0.4.315b1</t>
  </si>
  <si>
    <t>IM_BHN_1.0.2.0.3</t>
  </si>
  <si>
    <t>MPE_SLT-1B_3.0.1.1.1.100b2</t>
  </si>
  <si>
    <t>NMDBS_TLSTR_4.0.1.0.4.316b1</t>
  </si>
  <si>
    <t>DMDBS_SLT_2.0.0.25.1.199b1</t>
  </si>
  <si>
    <t>RADBS_SLT_2.1.1.15.1.95b1</t>
  </si>
  <si>
    <t>NPDBS_COM_1.2.3.17.1.24b2</t>
  </si>
  <si>
    <t>RADBS_SLT_2.1.1.15.1.96b1</t>
  </si>
  <si>
    <t>NMDBS_ANTEL_4.6.1.26.2.46b1</t>
  </si>
  <si>
    <t>NMDBS_COM_4.6.1.30.1.84b1</t>
  </si>
  <si>
    <t>DMDBS_TLSTR-ST_2.1.1.8.1.6b1</t>
  </si>
  <si>
    <t>NMDBS_COM_4.6.1.30.1.82b2</t>
  </si>
  <si>
    <t>DMDBS_TLSTR-ST_2.1.1.8.1.7b1</t>
  </si>
  <si>
    <t>NMDBS_COM_4.6.1.30.1.83b2</t>
  </si>
  <si>
    <t>DMDBS_SLT_2.0.0.25.1.200b1</t>
  </si>
  <si>
    <t>MPE_MOBSA_3.0.1.1.1.7b1</t>
  </si>
  <si>
    <t>\\192.168.3.3\Share\Releases\Projects\MOBSA\Release_For_LQA\Test_Build_1.0.0.3\Server CD\MPE\Setup</t>
  </si>
  <si>
    <t>NMDBS_ANTEL_4.6.1.26.2.47b1</t>
  </si>
  <si>
    <t>WWFSGUI_COM_2.1.34.0.1.7b1</t>
  </si>
  <si>
    <t>MPE_3.2.4.33b1</t>
  </si>
  <si>
    <t>MPE_ANTEL_3.2.4.33.1.16b1</t>
  </si>
  <si>
    <t>DMDBS_SLT_2.0.0.25.1.201b1</t>
  </si>
  <si>
    <t>NMDBS_TWC_4.6.1.11.3.50b1</t>
  </si>
  <si>
    <t>RTDBS_4.0.1.24b1</t>
  </si>
  <si>
    <t>SACAGENT_1.3.1.0.1.1b1_MTS_RHEL_4.8_x86_64</t>
  </si>
  <si>
    <t xml:space="preserve">Daljeet </t>
  </si>
  <si>
    <t>\\192.168.3.3\Share\Releases\Projects\MTS\Release For Test\Test_Build_3.0.5.25\Server CD\AGENT\Setup</t>
  </si>
  <si>
    <t>MPE_SLT-1B_3.0.1.1.1.101b1</t>
  </si>
  <si>
    <t>MPE_BHN_3.2.5.0.1.5b1</t>
  </si>
  <si>
    <t>NMDBS_SLT_4.0.2.0.1.31b1</t>
  </si>
  <si>
    <t>DMDBS_SLT_2.0.0.25.1.203b1</t>
  </si>
  <si>
    <t>NMDBS_TLSTR_4.0.1.0.4.317b1</t>
  </si>
  <si>
    <t>\\192.168.3.3\Share\Releases\Projects\BHN\Release_For_Test\Test_Build_1.0.3\Server CD\GUI\Setup</t>
  </si>
  <si>
    <t>WWFSGUI_BHN_2.1.34.0.4</t>
  </si>
  <si>
    <t>NMDBS_TWC_4.6.1.11.3.50b2</t>
  </si>
  <si>
    <t>DMDBS_SLT_2.0.0.25.1.202b1</t>
  </si>
  <si>
    <t>NMDBS_TWC_4.6.1.11.3.51b1</t>
  </si>
  <si>
    <t>WWCSGUI_2.1.21b1</t>
  </si>
  <si>
    <t>\\192.168.3.3\Share\Releases\Product\WEB_CS\Build&amp;Release\Release For Test\TestBuild_2.1.21\ServerCD\GUI\Setup</t>
  </si>
  <si>
    <t>NMDBS_COM_4.6.1.30.1.85b1</t>
  </si>
  <si>
    <t>NPDBS_COM_1.2.3.17.1.25b1</t>
  </si>
  <si>
    <t>NMDBS_BHN_4.7.1.7</t>
  </si>
  <si>
    <t>\\192.168.3.3\Share\Releases\Projects\BHN\Release_For_Test\Test_Build_1.0.3\Server CD\DBS\Setup</t>
  </si>
  <si>
    <t>MPE_SLT-1B_3.0.1.1.1.102b1</t>
  </si>
  <si>
    <t>NMWFS_4.1.6</t>
  </si>
  <si>
    <t>\\192.168.3.3\Share\Releases\Product\Netmind4.1\Build&amp;Release\ReleaseForIT\TestBuild_4.1.1\Build5\Client CD\GUI\Workflow System\Setup</t>
  </si>
  <si>
    <t>\\192.168.3.3\Share\Releases\Product\Netmind4.1\Build&amp;Release\ReleaseForTest\TestBuild_4.1.1\Build5\Client CD\GUI\Workflow System\Setup</t>
  </si>
  <si>
    <t>NMDBS_COM_4.6.1.30.1.86b1</t>
  </si>
  <si>
    <t>NMDBS_BHN_4.7.1.8</t>
  </si>
  <si>
    <t>NMDBS_ANTEL_4.6.1.26.2.48b1</t>
  </si>
  <si>
    <t>Rohit  Kanwar</t>
  </si>
  <si>
    <t>NMDBS_ANTEL_4.6.1.26.2.49b1</t>
  </si>
  <si>
    <t>DMDBS_SLT_2.0.0.25.1.204b1</t>
  </si>
  <si>
    <t>DMDBS_SLT_2.0.0.25.1.205b1</t>
  </si>
  <si>
    <t>MPE_SLT-1B_3.0.1.1.1.103b1</t>
  </si>
  <si>
    <t>NMDBS_SLT_4.0.2.0.1.32b1</t>
  </si>
  <si>
    <t>RTDBS_4.0.1.24b2</t>
  </si>
  <si>
    <t>NMWFS_SLT_4.1.6.0.1</t>
  </si>
  <si>
    <t>\\192.168.3.3\Share\Releases\Projects\SLT\Release_For_IT\Test_Build_1.0.0.4\Client CD\WFS\Setup</t>
  </si>
  <si>
    <t>\\192.168.3.3\Share\Releases\Projects\SLT\Release_For_LQA\Test_Build_1.0.0.24\Client CD\WFS\Setup</t>
  </si>
  <si>
    <t>WWFSGUI_TWC_2.1.20.0.4.12b1</t>
  </si>
  <si>
    <t xml:space="preserve">RTGUI_4.0.28b2 </t>
  </si>
  <si>
    <t>CSGUI_FNB_2.6.1.0.1</t>
  </si>
  <si>
    <t>\\192.168.3.3\Share\Releases\Projects\FNB\Release_For_Test\Test_Build_1.0.1\Server CD\GUI\Setup</t>
  </si>
  <si>
    <t>WWFSGUI_FNB_2.2.1.2.1</t>
  </si>
  <si>
    <t>MPE_TLSTR-ST_3.2.6.0.1.7b1</t>
  </si>
  <si>
    <t>NMDBS_FNB_4.7.1.1</t>
  </si>
  <si>
    <t>\\192.168.3.3\Share\Releases\Projects\FNB\Release_For_Test\Test_Build_1.0.1\Server CD\DBS\Setup</t>
  </si>
  <si>
    <t>WWCSGUI_FNB_2.1.19.0.1</t>
  </si>
  <si>
    <t>WWFSGUI_FNB_2.1.34.0.1</t>
  </si>
  <si>
    <t>RADBS_FNB_2.2.1.1</t>
  </si>
  <si>
    <t>DMDBS_FNB_2.1.1.11.1</t>
  </si>
  <si>
    <t>\\192.168.3.3\Share\Releases\Projects\FNB\Release_For_IT\TestBuild_1.0.1\Server CD\DBS\Setup</t>
  </si>
  <si>
    <t>RTDBS_FNB_4.0.1.24.1</t>
  </si>
  <si>
    <t>NMDBS_TLSTR_4.0.1.0.4.318b1</t>
  </si>
  <si>
    <t>IM_1.0.3b1</t>
  </si>
  <si>
    <t>\\192.168.3.3\Share\Releases\Product\IM_1.0\Build&amp;Release\Release_For_LQA\Test_Build_1.0.2\Server CD\IM\Setup</t>
  </si>
  <si>
    <t>MPEDBS_FNB_1.0.1.13.1</t>
  </si>
  <si>
    <t>IM_BHN_1.0.3.0.1</t>
  </si>
  <si>
    <t>\\192.168.3.3\share\Releases\Projects\BHN\Release_For_Test\Test_Build_1.0.3\Server CD\IM\Setup</t>
  </si>
  <si>
    <t>MPE_3.2.4.34b1</t>
  </si>
  <si>
    <t>RTGUI_4.0.29b1</t>
  </si>
  <si>
    <t>RTGUI_SLT_4.0.29.0.1</t>
  </si>
  <si>
    <t>Dheeraj Kant</t>
  </si>
  <si>
    <t xml:space="preserve">MPE_3.2.4.34b2 </t>
  </si>
  <si>
    <t>WWFSGUI_COM_2.1.34.0.1.8b1</t>
  </si>
  <si>
    <t xml:space="preserve">MPEGUI_FNB_1.0.8.0.1 </t>
  </si>
  <si>
    <t>DMDBS_SLT_2.0.0.25.1.207b1</t>
  </si>
  <si>
    <t>2.2</t>
  </si>
  <si>
    <t>2014 - 46</t>
  </si>
  <si>
    <t>2014 - 48</t>
  </si>
  <si>
    <t>2014-Nov</t>
  </si>
  <si>
    <t>4.0.29</t>
  </si>
  <si>
    <t>NMDBS_TWC_4.6.1.11.3.52b1</t>
  </si>
  <si>
    <t>CSGUI_2.6.2b1</t>
  </si>
  <si>
    <t>\\192.168.3.3\Share\Releases\Product\CSGUI_2.6\Build&amp;Release\Release_For_LQA\Test_Build_1.0.2\Server CD\GUI\Setup</t>
  </si>
  <si>
    <t>MPEDBS_FNB_1.0.1.13.1.1b1</t>
  </si>
  <si>
    <t>RADBS_3.0.1b1</t>
  </si>
  <si>
    <t>\\192.168.3.3\Share\Releases\Product\RevMind_3.0.1\Build&amp;Release\Release_For_LQA\Test_Build_1.0.1\Server CD\DBS\Setup</t>
  </si>
  <si>
    <t xml:space="preserve">MPE_FNB_3.2.4.34.1 </t>
  </si>
  <si>
    <t>\\192.168.3.3\Share\Releases\Projects\FNB\Release_For_Test\Test_Build_1.0.1\Server CD\MPE\Setup</t>
  </si>
  <si>
    <t>NMUTLMIG1_BHN_1.0.0.0.6</t>
  </si>
  <si>
    <t>\\192.168.3.3\Share\Releases\Projects\BHN\Release_For_Test\Test_Build_1.0.3\Server CD\Utility\Setup</t>
  </si>
  <si>
    <t>NMUTLMIG3_BHN_1.0.0.0.5</t>
  </si>
  <si>
    <t>DMDBS_FNB_2.1.1.11.1.1b1</t>
  </si>
  <si>
    <t>MPE_TWC_3.2.1.5.2.24b1</t>
  </si>
  <si>
    <t>RTDBS_4.0.1.25b1</t>
  </si>
  <si>
    <t>RTGUI_4.0.30b1</t>
  </si>
  <si>
    <t>NMDBS_4.7.1b16</t>
  </si>
  <si>
    <t>NMDBS_SLT_4.0.2.0.1.33b1</t>
  </si>
  <si>
    <t>DMDBS_SLT_2.0.0.25.1.208b1</t>
  </si>
  <si>
    <t>RTGUI_SLT_4.0.30.0.1</t>
  </si>
  <si>
    <t xml:space="preserve"> NMDBS_BHN_4.7.1.9</t>
  </si>
  <si>
    <t>MPE_TLSTR-ST_3.2.6.0.1.8b1</t>
  </si>
  <si>
    <t>WWFSGUI_2.1.35b2</t>
  </si>
  <si>
    <t>NMDBS_TLSTR_4.0.1.0.4.319b1</t>
  </si>
  <si>
    <t>MPEDBS_FNB_1.0.1.13.1.2b1</t>
  </si>
  <si>
    <t>NMDBS_ANTEL_4.6.1.26.2.50b1</t>
  </si>
  <si>
    <t>CSGUI_SLT_2.6.1.0.1</t>
  </si>
  <si>
    <t xml:space="preserve">WWFSGUI_SLT_2.2.1.0.4 </t>
  </si>
  <si>
    <t>WWFSGUI_COM_2.1.34.0.1.9b1</t>
  </si>
  <si>
    <t>DMDBS_2.0.0.26b1</t>
  </si>
  <si>
    <t>REDBS_SLT_1.0.1.27.1.13b1</t>
  </si>
  <si>
    <t>MPE_SLT-1B_3.0.1.1.1.104b1</t>
  </si>
  <si>
    <t>NMDBS_OBT_4.6.1.27.1.42b1</t>
  </si>
  <si>
    <t>\\192.168.3.3\Share\Releases\Projects\OBT\Release_For_LQA\TestBuild_1.0.0.7\Server CD\DBS\Setup</t>
  </si>
  <si>
    <t>RTGUI_4.0.31b1</t>
  </si>
  <si>
    <t>RTGUI_SLT_4.0.31.0.1</t>
  </si>
  <si>
    <t>NMDBS_ANTEL_4.6.1.26.2.48b2</t>
  </si>
  <si>
    <t>RTGUI_SLT_4.0.31.0.2</t>
  </si>
  <si>
    <t>WWFSGUI_2.1.35b3</t>
  </si>
  <si>
    <t>RTDBS_4.0.1.26b1</t>
  </si>
  <si>
    <t>MPE_FNB_3.2.4.34.1.1b1</t>
  </si>
  <si>
    <t>DMDBS_SLT_2.0.0.25.1.209b1</t>
  </si>
  <si>
    <t>DMDBS_TLSTR-ST_2.1.1.8.1.8b1</t>
  </si>
  <si>
    <t>Sanjeev Pathak</t>
  </si>
  <si>
    <t>RADBS_FNB_2.2.1.2</t>
  </si>
  <si>
    <t>RTGUI_4.0.32b1</t>
  </si>
  <si>
    <t>RTDBS_4.0.1.27b1</t>
  </si>
  <si>
    <t xml:space="preserve">RTGUI_SLT_4.0.32.0.1 </t>
  </si>
  <si>
    <t>NMDBS_TWC_4.6.1.11.3.53b1</t>
  </si>
  <si>
    <t>DMDBS_TLSTR-ST_2.1.1.8.1.9b1</t>
  </si>
  <si>
    <t>RTGUI_ANTEL_4.0.19.0.2</t>
  </si>
  <si>
    <t>NMDBS_FNB_4.7.1.2</t>
  </si>
  <si>
    <t>DMDBS_SLT_2.0.0.25.1.210b1</t>
  </si>
  <si>
    <t>MPE_FNB_3.2.4.34.1.2b1</t>
  </si>
  <si>
    <t>MPE_TLSTR-ST_3.2.6.0.1.9b1</t>
  </si>
  <si>
    <t>Fail</t>
  </si>
  <si>
    <t>WWFSGUI_2.1.35b4</t>
  </si>
  <si>
    <t>MPE_SLT-1B_3.0.1.1.1.105b1</t>
  </si>
  <si>
    <t>DMDBS_SLT_2.0.0.25.1.211b1</t>
  </si>
  <si>
    <t>NMDBS_OBT_4.6.1.27.1.43b1</t>
  </si>
  <si>
    <t>NMDBS_4.7.1b17</t>
  </si>
  <si>
    <t>NPDBS_MCC_1.3.2.1</t>
  </si>
  <si>
    <t>MCC</t>
  </si>
  <si>
    <t>\\192.168.3.3\Share\Releases\Projects\MCC\Release_For_Test\Test_Build_1.0.1\Server CD\DBS\Setup</t>
  </si>
  <si>
    <t>NMDBS_MCC_4.7.1.1</t>
  </si>
  <si>
    <t>NMDBS_4.6.1.31b1</t>
  </si>
  <si>
    <t>DMDBS_TLSTR-ST_2.1.1.8.1.10b1</t>
  </si>
  <si>
    <t>NMDBS_4.6.1.32b1</t>
  </si>
  <si>
    <t>MPE_TLSTR-ST_3.2.6.0.1.10b1</t>
  </si>
  <si>
    <t>NMDBS_BHN_4.7.1.10</t>
  </si>
  <si>
    <t>WWCSGUI_MCC_2.1.21.0.1</t>
  </si>
  <si>
    <t>\\192.168.3.3\Share\Releases\Projects\MCC\Release_For_Test\Test_Build_1.0.1\Server CD\GUI\Setup</t>
  </si>
  <si>
    <t>RTGUI_MCC_4.0.25.0.1</t>
  </si>
  <si>
    <t>IM_1.0.4b1</t>
  </si>
  <si>
    <t>\\192.168.3.3\Share\Releases\Product\IM_1.0\Build&amp;Release\Release_For_LQA\Test_Build_1.0.3\Server CD\IM\Setup</t>
  </si>
  <si>
    <t>MPE_FNB_3.2.4.34.1.3b1</t>
  </si>
  <si>
    <t>IM_BHN_1.0.4.0.1</t>
  </si>
  <si>
    <t>\\192.168.3.3\Share\Releases\Projects\BHN\Release_For_Test\Test_Build_1.0.4\Server CD\IM\Setup</t>
  </si>
  <si>
    <t>DMDBS_FNB_2.1.1.11.1.2b1</t>
  </si>
  <si>
    <t>WWFSGUI_COM_2.1.35.0.1</t>
  </si>
  <si>
    <t>\\192.168.3.3\Share\Releases\Projects\Comcast\Release_for_Test\Test_Build_4.6.7\Server CD\GUI\Setup</t>
  </si>
  <si>
    <t>MPE_3.2.4.35b1</t>
  </si>
  <si>
    <t>NMDBS_BHN_4.7.1.11</t>
  </si>
  <si>
    <t>\\192.168.3.3\Share\Releases\Projects\BHN\Release_For_Test\Test_Build_1.0.4\Server CD\DBS\Setup</t>
  </si>
  <si>
    <t>CSGUI_2.6.2b2</t>
  </si>
  <si>
    <t>\\192.168.3.3\Share\Releases\Product\CSGUI_2.6\Build&amp;Release\Release_For_LQA\Test_Build_1.0.3\Server CD\GUI\Setup</t>
  </si>
  <si>
    <t>WWFSGUI_2.2.1.3b1</t>
  </si>
  <si>
    <t>NMDBS_COM_4.6.1.31.1.87b1</t>
  </si>
  <si>
    <t>\\192.168.3.3\Share\Releases\Projects\Comcast\Release_for_Test\Test_Build_4.6.7\Server CD\Database\Setup</t>
  </si>
  <si>
    <t>RADBS_FNB_2.2.1.3</t>
  </si>
  <si>
    <t>RACS_2.5.6.2b1</t>
  </si>
  <si>
    <t>RTGUI_MCC_4.0.25.0.2</t>
  </si>
  <si>
    <t>RTDBS_4.0.1.28b1</t>
  </si>
  <si>
    <t>RTGUI_4.0.33b1</t>
  </si>
  <si>
    <t>RTGUI_SLT_4.0.33.0.1</t>
  </si>
  <si>
    <t>DMDBS_SLT_2.0.0.25.1.206b1</t>
  </si>
  <si>
    <t xml:space="preserve"> RADBS_3.0.1b2</t>
  </si>
  <si>
    <t>NMDBS_COM_4.6.1.32.1.88b1</t>
  </si>
  <si>
    <t>NMDBS_COM_4.6.1.31.1.87b2</t>
  </si>
  <si>
    <t>RTGUI_4.0.34b1</t>
  </si>
  <si>
    <t>RTGUI_SLT_4.0.34.0.1</t>
  </si>
  <si>
    <t>NMDBS_4.6.1.33b1</t>
  </si>
  <si>
    <t xml:space="preserve"> NMDBS_TLSTR_4.0.1.0.4.320b1</t>
  </si>
  <si>
    <t>MPE_MOBSA_3.0.1.1.1.8b1</t>
  </si>
  <si>
    <t>MPEDBS_ANTEL_1.0.1.9.1.13b1</t>
  </si>
  <si>
    <t>NMDBS_ANTEL_4.6.1.32.2.51b1</t>
  </si>
  <si>
    <t>NMDBS_ANTEL_4.6.1.32.2.52b1</t>
  </si>
  <si>
    <t>WWFSGUI_2.1.35b5</t>
  </si>
  <si>
    <t>DMDBS_ANTEL_2.1.1.2.1.6b1</t>
  </si>
  <si>
    <t>WWFSGUI_ANTEL_2.1.35.0.1</t>
  </si>
  <si>
    <t>phase 1</t>
  </si>
  <si>
    <t>MPE_ANTEL_3.2.4.35.1.17b1</t>
  </si>
  <si>
    <t>IM_1.0.5b1</t>
  </si>
  <si>
    <t>\\192.168.3.3\Share\Releases\Product\IM_1.0\Build&amp;Release\Release_For_LQA\Test_Build_1.0.4\Server CD\IM\Setup</t>
  </si>
  <si>
    <t>IM_BHN_1.0.5.0.1</t>
  </si>
  <si>
    <t>\\192.168.3.3\share\Releases\Projects\BHN\Release_For_Test\Test_Build_1.0.5\Server CD\IM\Setup</t>
  </si>
  <si>
    <t>DMDBS_SLT_2.0.0.25.1.212b1</t>
  </si>
  <si>
    <t>Paritosh Ghildiyal</t>
  </si>
  <si>
    <t>NMDBS_TLSTR_4.0.1.0.4.320b2</t>
  </si>
  <si>
    <t>DMDBS_TLSTR-ST_2.1.1.8.1.11b1</t>
  </si>
  <si>
    <t>NMDBS_BHN_4.7.1.12</t>
  </si>
  <si>
    <t>\\192.168.3.3\Share\Releases\Projects\BHN\Release_For_Test\Test_Build_1.0.5\Server CD\DBS\Setup</t>
  </si>
  <si>
    <t>RACS_2.5.6.2b2</t>
  </si>
  <si>
    <t>MPE_3.2.1.9b1</t>
  </si>
  <si>
    <t>\\192.168.3.3\Share\Releases\Product\MPE_3.2\ReleaseForLQA\TestBuild_3.2.1\Build2\ServerCD\Setup\Oracle_Linux_6.2</t>
  </si>
  <si>
    <t>\\192.168.3.3\Share\Releases\Product\MPE_3.2\ReleaseForLQA\TestBuild_3.2.1\Build2\ServerCD\Setup\RHEL_6.3</t>
  </si>
  <si>
    <t>MPE_TLSTR-ST_3.2.6.0.1.11b1</t>
  </si>
  <si>
    <t>NMDBS_TLSTR_4.0.1.0.4.320b3</t>
  </si>
  <si>
    <t>NMDBS_ANTEL_4.6.1.32.2.53b1</t>
  </si>
  <si>
    <t>WWFSGUI_COM_2.1.35.0.2</t>
  </si>
  <si>
    <t>DMDBS_TLSTR-ST_2.1.1.8.1.12b1</t>
  </si>
  <si>
    <t>MPE_3.2.6.1b1</t>
  </si>
  <si>
    <t>WWFSGUI_MCC_2.1.35.0.1</t>
  </si>
  <si>
    <t>MPE_TLSTR-ST_3.2.6.1.1.12b1</t>
  </si>
  <si>
    <t>NMDBS_OBT_4.6.1.27.1.44b1</t>
  </si>
  <si>
    <t>MPE_ANTEL_3.2.4.35.1.17b2</t>
  </si>
  <si>
    <t>DMDBS_TLSTR-ST_2.1.1.8.1.13b1</t>
  </si>
  <si>
    <t>MPE_MCC_3.2.5.0.1.1b1</t>
  </si>
  <si>
    <t>\\192.168.3.3\Share\Releases\Projects\MCC\Release_For_Test\Test_Build_1.0.1\Server CD\MPE\Setup</t>
  </si>
  <si>
    <t>DMDBS_TLSTR-ST_2.1.1.8.1.14b1</t>
  </si>
  <si>
    <t>RADBS_3.0.1b3</t>
  </si>
  <si>
    <t>NMDBS_TWC_4.6.1.11.3.53b2</t>
  </si>
  <si>
    <t>DMDBS_TLSTR-ST_2.1.1.8.1.15b1</t>
  </si>
  <si>
    <t>CSGUI_2.6.2.1b1</t>
  </si>
  <si>
    <t>WWFSGUI_2.2.1.4b1</t>
  </si>
  <si>
    <t>NMDBS_TLN_4.0.1.82.1</t>
  </si>
  <si>
    <t>MPEDBS_1.1.1b1</t>
  </si>
  <si>
    <t>\\192.168.3.3\Share\Releases\Product\MEDGUI_1.1\Build&amp;Release\Release_For_LQA\Test_Build_1.0.1\Server CD\DBS\Setup</t>
  </si>
  <si>
    <t>NMDBS_MCC_4.7.1.2</t>
  </si>
  <si>
    <t>MPE_3.2.7b1</t>
  </si>
  <si>
    <t>\\192.168.3.3\Share\Releases\Product\MEDGUI_1.1\Build&amp;Release\Release_For_LQA\Test_Build_1.0.1\Server CD\MPE\Setup\RHEL_6.3</t>
  </si>
  <si>
    <t>MPEGUI_1.1.1b1</t>
  </si>
  <si>
    <t>\\192.168.3.3\Share\Releases\Product\MEDGUI_1.1\Build&amp;Release\Release_For_LQA\Test_Build_1.0.1\Server CD\GUI\Setup</t>
  </si>
  <si>
    <t>RTDBS_FNB_4.0.1.11.1</t>
  </si>
  <si>
    <t>NPDBS_MCC_1.3.2.2</t>
  </si>
  <si>
    <t>MPE_TLSTR-ST_3.2.6.1.1.13b1</t>
  </si>
  <si>
    <t>NMDBS_TLN_4.0.1.82.2</t>
  </si>
  <si>
    <t>NPDBS_TLN_1.0.4.96.1</t>
  </si>
  <si>
    <t>NMDBS_4.6.1.34b1</t>
  </si>
  <si>
    <t>phase 3</t>
  </si>
  <si>
    <t>REVMIND</t>
  </si>
  <si>
    <t>PRODUCT VERSION</t>
  </si>
  <si>
    <t>2.1.34(WFS)</t>
  </si>
  <si>
    <t>2.1.21(CS)</t>
  </si>
  <si>
    <t>Product Version Detail-till 21 jan 2015</t>
  </si>
  <si>
    <t>REVMIND-Web-WFS</t>
  </si>
  <si>
    <t>2014-Dec</t>
  </si>
  <si>
    <t>2015-Jan</t>
  </si>
  <si>
    <t>2014 - 49</t>
  </si>
  <si>
    <t>2014 - 51</t>
  </si>
  <si>
    <t>2014 - 47</t>
  </si>
  <si>
    <t>2014 - 50</t>
  </si>
  <si>
    <t>2014 - 53</t>
  </si>
  <si>
    <t>REVMMIND - CS</t>
  </si>
  <si>
    <t>Projects</t>
  </si>
  <si>
    <t>Netmind</t>
  </si>
  <si>
    <t>DataMind</t>
  </si>
  <si>
    <t>DB</t>
  </si>
  <si>
    <t>4.6 </t>
  </si>
  <si>
    <t>Shaw</t>
  </si>
  <si>
    <t> 4.1</t>
  </si>
  <si>
    <t> 3.5</t>
  </si>
  <si>
    <t>CBY</t>
  </si>
  <si>
    <t xml:space="preserve">Telenet </t>
  </si>
  <si>
    <t>XIUS</t>
  </si>
  <si>
    <t>TPNG</t>
  </si>
  <si>
    <t>DMDBS_TLSTR-ST_2.1.1.8.1.17b1</t>
  </si>
  <si>
    <t xml:space="preserve">MPE_3.2.4.36b1 </t>
  </si>
  <si>
    <t>IM_1.0.1.1b1</t>
  </si>
  <si>
    <t>IM_TLSTR_1.0.1.1.71</t>
  </si>
  <si>
    <t>DMDBS_TLSTR-ST_2.1.1.8.1.16b1</t>
  </si>
  <si>
    <t>\\192.168.3.3\Share\Releases\Projects\TLSTR-ST\Release_For_Test\Test_Build_1.0.1\Server CD\DBS\Setu</t>
  </si>
  <si>
    <t>DMDBS_TLSTR-ST_2.1.1.8.1.18b1</t>
  </si>
  <si>
    <t>MPE_FNB_3.2.4.36.1.4b1</t>
  </si>
  <si>
    <t>NMDBS_TWC_4.6.1.11.3.54b1</t>
  </si>
  <si>
    <t>CSGUI_FNB_2.6.2.1.1</t>
  </si>
  <si>
    <t>WWFSGUI_FNB_2.2.1.4.1</t>
  </si>
  <si>
    <t>WWFSGUI_ANTEL_2.1.35.0.2</t>
  </si>
  <si>
    <t>DMDBS_FNB_2.1.1.11.1.3b1</t>
  </si>
  <si>
    <t>DMDBS_TLSTR-ST_2.1.1.8.1.15b2</t>
  </si>
  <si>
    <t>DMDBS_TLSTR-ST_2.1.1.8.1.19b1</t>
  </si>
  <si>
    <t>RTDBS_4.0.1.29b1</t>
  </si>
  <si>
    <t>DMDBS_SLT_2.0.0.25.1.213b1</t>
  </si>
  <si>
    <t>DMDBS_TLSTR-ST_2.1.1.8.1.20b1</t>
  </si>
  <si>
    <t>NMDBS_TWC_4.6.1.11.3.55b1</t>
  </si>
  <si>
    <t>MPE_FNB_3.2.4.36.1.4b2</t>
  </si>
  <si>
    <t>RTDBS_SLT_3.0.0.20.1.8b1</t>
  </si>
  <si>
    <t xml:space="preserve">\\192.168.3.3\Share\Releases\Projects\SLT\Release_For_LQA\Test_Build_1.0.0.24\Server CD\DBS\Setup </t>
  </si>
  <si>
    <t>MPEDBS_FNB_1.0.1.13.1.3b1</t>
  </si>
  <si>
    <t>WWFSGUI_COM_2.1.35.0.3</t>
  </si>
  <si>
    <t>RTGUI_4.0.35b1</t>
  </si>
  <si>
    <t xml:space="preserve">RTGUI_4.0.35b2 </t>
  </si>
  <si>
    <t>RTGUI_BHN_4.0.27.0.2</t>
  </si>
  <si>
    <t>\\192.168.3.3\Share\Releases\Projects\BHN\Release_For_Test\Test_Build_1.0.5\Server CD\GUI\Setup</t>
  </si>
  <si>
    <t>RTGUI_SLT_4.0.35.0.1</t>
  </si>
  <si>
    <t>MPE_TLSTR-2b_3.0.0.3.1.109b1</t>
  </si>
  <si>
    <t>DMDBS_SLT_2.0.0.25.1.214b1</t>
  </si>
  <si>
    <t>RTGUI_BHN_4.0.27.0.3</t>
  </si>
  <si>
    <t>MPE_CBD_3.2.1.3.2.13b1</t>
  </si>
  <si>
    <t>DMDBS_TLSTR-ST_2.1.1.8.1.21b1</t>
  </si>
  <si>
    <t>DMDBS_TLSTR-ST_2.1.1.8.1.16b2</t>
  </si>
  <si>
    <t>DMDBS_TLSTR-ST_2.1.1.8.1.22b1</t>
  </si>
  <si>
    <t>LAGUI_1.0.1b6</t>
  </si>
  <si>
    <t>LA</t>
  </si>
  <si>
    <t>Pawan Kumar</t>
  </si>
  <si>
    <t>\\192.168.3.3\Share\Releases\Product\LA_1.1\Build&amp;Release\Release_For_LQA\Test_Build_1.0.1\Server CD\GUI\Setup</t>
  </si>
  <si>
    <t>LADBS_1.0.1b1</t>
  </si>
  <si>
    <t>\\192.168.3.3\Share\Releases\Product\LA_1.1\Build&amp;Release\Release_For_LQA\Test_Build_1.0.1\Server CD\DBS\Setup</t>
  </si>
  <si>
    <t>MPE_TLSTR-ST_3.2.6.1.1.14b1</t>
  </si>
  <si>
    <t>RTDBS_4.0.1.30b1</t>
  </si>
  <si>
    <t>RTGUI_SLT_4.0.35.0.2</t>
  </si>
  <si>
    <t xml:space="preserve"> DMDBS_TLSTR-ST_2.1.1.8.1.8b2</t>
  </si>
  <si>
    <t>NMDBS_ANTEL_4.6.1.34.2.55b1</t>
  </si>
  <si>
    <t>MPE_OBT_3.2.1.8.1.26b1</t>
  </si>
  <si>
    <t>NMDBS_ANTEL_4.6.1.34.2.54b1</t>
  </si>
  <si>
    <t>NMDBS_4.6.1.34b2</t>
  </si>
  <si>
    <t>DMDBS_SLT_2.0.0.25.1.215b1</t>
  </si>
  <si>
    <t>RADBS_SLT_2.1.1.15.1.98b1</t>
  </si>
  <si>
    <t>DMDBS_TLSTR-ST_2.1.1.8.1.23b1</t>
  </si>
  <si>
    <t>MPE_SLT-1B_3.0.1.1.1.106b1</t>
  </si>
  <si>
    <t>NMDBS_MCC_4.7.1.3</t>
  </si>
  <si>
    <t>WWCSGUI_MCC_2.1.21.0.2</t>
  </si>
  <si>
    <t>NMUTLMIG5_BHN_1.0.0.0.1</t>
  </si>
  <si>
    <t>RADBS_SLT_2.1.1.15.1.99b1</t>
  </si>
  <si>
    <t>DMDBS_TLSTR-ST_2.1.1.8.1.24b1</t>
  </si>
  <si>
    <t>MPE_SLT-1B_3.0.1.1.1.107b1</t>
  </si>
  <si>
    <t>NMDBS_ANTEL_4.6.1.34.2.54b2</t>
  </si>
  <si>
    <t>RADBS_SLT_2.1.1.15.1.100b1</t>
  </si>
  <si>
    <t>RADBS_SLT_2.1.1.15.1.101b1</t>
  </si>
  <si>
    <t>DMDBS_SLT_2.0.0.25.1.216b1</t>
  </si>
  <si>
    <t>MPE_SLT-1B_3.0.1.1.1.108b1</t>
  </si>
  <si>
    <t>NMDBS_COM_4.6.1.32.1.90b1</t>
  </si>
  <si>
    <t>MPE_OBT_3.2.1.8.1.27b1</t>
  </si>
  <si>
    <t>MPE_SLT-1B_3.0.1.1.1.109b1</t>
  </si>
  <si>
    <t>UTLFDUP_SLT-1B_1.0.0.0.5.3b1</t>
  </si>
  <si>
    <t>NMDBS_COM_4.6.1.32.1.89b1</t>
  </si>
  <si>
    <t>NMDBS_OBT_4.6.1.27.1.45b1</t>
  </si>
  <si>
    <t>UTLSEQM_SLT-1B_1.0.0.0.5.10b1</t>
  </si>
  <si>
    <t>DMDBS_TLSTR-ST_2.1.1.8.1.25b1</t>
  </si>
  <si>
    <t>DMDBS_TLSTR-ST_2.1.1.8.1.18b2</t>
  </si>
  <si>
    <t>NMDBS_ANTEL_4.6.1.34.2.56b1</t>
  </si>
  <si>
    <t>DMDBS_TLSTR-ST_2.1.1.8.1.26b1</t>
  </si>
  <si>
    <t>NMMPE_VON_2.0.2.18.1</t>
  </si>
  <si>
    <t>Shubhadeep Banerjee</t>
  </si>
  <si>
    <t>NMDBS_ANTEL_4.6.1.34.2.54b3</t>
  </si>
  <si>
    <t>NMDBS_TLSTR_4.0.1.0.4.321b1</t>
  </si>
  <si>
    <t>WWFSGUI_ANTEL_2.1.35.0.2.1b1</t>
  </si>
  <si>
    <t>REDBS_2.0.1b1</t>
  </si>
  <si>
    <t>\\192.168.3.3\Share\Releases\Product\RE_2.0\Build&amp;Release\Release_For_LQA\Test_Build_1.0.1\Server CD\DBS\Setup</t>
  </si>
  <si>
    <t>NMDBS_ANTEL_4.6.1.32.2.51b2</t>
  </si>
  <si>
    <t>WWFSGUI_MCC_2.1.35.0.2</t>
  </si>
  <si>
    <t>NMDBS_BHN_4.7.1.13</t>
  </si>
  <si>
    <t>RADBS_SLT_2.1.1.15.1.97b1</t>
  </si>
  <si>
    <t>NMDBS_OBT_4.6.1.27.1.45b2</t>
  </si>
  <si>
    <t xml:space="preserve">UTLFDUP_SLT-1B_1.0.0.0.5.3b2 </t>
  </si>
  <si>
    <t>MPE_SLT-1B_3.0.1.1.1.110b1</t>
  </si>
  <si>
    <t>MPE_SLT-1B_3.0.1.1.1.111b1</t>
  </si>
  <si>
    <t>MPE_SLT-1B_3.0.1.1.1.112b1</t>
  </si>
  <si>
    <t>NMUTLMIG5_BHN_1.0.0.0.2</t>
  </si>
  <si>
    <t>\\192.168.3.3\Share\Releases\Projects\BHN\Release_For_Test\Test_Build_1.0.5\Server CD\Utility\Setup</t>
  </si>
  <si>
    <t>NMUTLMIG4_BHN_1.0.0.0.2</t>
  </si>
  <si>
    <t xml:space="preserve">MPE_3.2.4.37b1 </t>
  </si>
  <si>
    <t>MPE_FNB_3.2.4.37.1.5b1</t>
  </si>
  <si>
    <t>WWCSGUI_2.1.22b1</t>
  </si>
  <si>
    <t>\\192.168.3.3\Share\Releases\Product\WEB_CS\Build&amp;Release\Release For Test\TestBuild_2.1.22\ServerCD\GUI\Setup</t>
  </si>
  <si>
    <t>AWF_2.0.1b32</t>
  </si>
  <si>
    <t xml:space="preserve">DMDBS_TLSTR-ST_2.1.1.8.1.27b1 </t>
  </si>
  <si>
    <t>NMUTLMIG4_BHN_1.0.0.0.3</t>
  </si>
  <si>
    <t>NMUTLMIG5_BHN_1.0.0.0.3</t>
  </si>
  <si>
    <t>MPE_TLSTR-ST_3.2.6.1.1.15b1</t>
  </si>
  <si>
    <t>DMDBS_TLSTR-ST_2.1.1.8.1.28b1</t>
  </si>
  <si>
    <t>NMDBS_ANTEL_4.6.1.34.2.57b1</t>
  </si>
  <si>
    <t>NMDBS_ANTEL_4.6.1.34.2.56b2</t>
  </si>
  <si>
    <t>MPE_SLT-1B_3.0.1.1.1.113b1</t>
  </si>
  <si>
    <t>2.1.35</t>
  </si>
  <si>
    <t>4.0.35</t>
  </si>
  <si>
    <t>TELSTRA - STARK</t>
  </si>
  <si>
    <t>2015-Feb</t>
  </si>
  <si>
    <t>2015-Mar</t>
  </si>
  <si>
    <t>DMDBS_TLSTR-ST_2.1.1.8.1.29b1</t>
  </si>
  <si>
    <t>MPE_TLSTR-2b_3.0.0.3.1.110b1</t>
  </si>
  <si>
    <t>REGUI_2.0.1b1</t>
  </si>
  <si>
    <t>\\192.168.3.3\Share\Releases\Product\RE_2.0\Build&amp;Release\Release_For_LQA\Test_Build_1.0.1\Server CD\GUI\Setup</t>
  </si>
  <si>
    <t>REDBS_2.0.1b2</t>
  </si>
  <si>
    <t>DMDBS_SLT_2.0.0.25.1.217b1</t>
  </si>
  <si>
    <t xml:space="preserve">MPE_MCC_3.2.5.0.1.2b1 </t>
  </si>
  <si>
    <t>DMDBS_TLSTR-ST_2.1.1.8.1.31b1</t>
  </si>
  <si>
    <t>DMDBS_TLSTR-ST_2.1.1.8.1.33b1</t>
  </si>
  <si>
    <t>DMDBS_TLSTR-ST_2.1.1.8.1.30b1</t>
  </si>
  <si>
    <t>NMDBS_MCC_4.7.1.4</t>
  </si>
  <si>
    <t>MPE_FNB_3.2.4.37.1.6b1</t>
  </si>
  <si>
    <t xml:space="preserve">MPE_TWC_3.2.1.5.2.25b1 </t>
  </si>
  <si>
    <t>MPE_FNB_3.2.4.37.1.6b2</t>
  </si>
  <si>
    <t>NMDBS_OBT_4.6.1.27.1.46b1</t>
  </si>
  <si>
    <t xml:space="preserve">NMDBS_TWC_4.6.1.11.3.57b1 </t>
  </si>
  <si>
    <t>RTGUI_MCC_4.0.25.1.2.1b1</t>
  </si>
  <si>
    <t xml:space="preserve">DMDBS_2.0.0.27b1 </t>
  </si>
  <si>
    <t>MPE_FNB_3.2.4.37.1.7b1</t>
  </si>
  <si>
    <t>MPE_TWC_3.2.1.5.2.26b1</t>
  </si>
  <si>
    <t>NMDBS_ANTEL_4.6.1.34.2.57b2</t>
  </si>
  <si>
    <t>RTGUI_4.0.36b1</t>
  </si>
  <si>
    <t>NMDBS_TWC_4.6.1.11.3.58b1</t>
  </si>
  <si>
    <t>DMDBS_TLSTR-ST_2.1.1.8.1.32b1</t>
  </si>
  <si>
    <t>MPEDBS_1.1.1b2</t>
  </si>
  <si>
    <t>MPEGUI_1.1.2b6</t>
  </si>
  <si>
    <t>NMDBS_FNB_4.7.1.3</t>
  </si>
  <si>
    <t>MPE_3.2.7b2</t>
  </si>
  <si>
    <t>NMDBS_BHN_4.7.1.14</t>
  </si>
  <si>
    <t>MPE_SLT-1B_3.0.1.1.1.114b1</t>
  </si>
  <si>
    <t>NMMPE_TLN_2.0.3.51.1</t>
  </si>
  <si>
    <t>REDBS_2.0.1b3</t>
  </si>
  <si>
    <t>Deepender Singh</t>
  </si>
  <si>
    <t>MPE_SLT-1B_3.0.1.1.1.115b1</t>
  </si>
  <si>
    <t>DMDBS_SLT_2.0.0.25.1.218b1</t>
  </si>
  <si>
    <t>MPE_TWC_3.2.1.5.2.27b1</t>
  </si>
  <si>
    <t>NMDBS_TWC_4.6.1.11.3.58b2</t>
  </si>
  <si>
    <t>MPE_FNB_3.2.4.37.1.8b1</t>
  </si>
  <si>
    <t>MPE_TLSTR-ST_3.2.6.1.1.16b1</t>
  </si>
  <si>
    <t>RADBS_SLT_2.1.1.15.1.102b1</t>
  </si>
  <si>
    <t>MPE_3.2.4.38b1</t>
  </si>
  <si>
    <t>NPDBS_1.2.3.18b1</t>
  </si>
  <si>
    <t>MPE_SLT-1B_3.0.1.1.1.116b1</t>
  </si>
  <si>
    <t>NMCS_VON_4.0.9</t>
  </si>
  <si>
    <t>\\192.168.3.3\Share\Releases\Projects\Vonage\Release_For_IT\Test_Build_4.0.17\Client CD\GUI\CS\Setup</t>
  </si>
  <si>
    <t>NMHM_VON_4.0.5</t>
  </si>
  <si>
    <t>NMPM_VON_4.0.7</t>
  </si>
  <si>
    <t>NMWFS_VON_4.0.12</t>
  </si>
  <si>
    <t>DMDBS_TLSTR-ST_2.1.1.8.1.35b1</t>
  </si>
  <si>
    <t>\\192.168.3.3\Share\Releases\Projects\Vonage\Release_For_LQA\Test_Build_4.0.17\Client CD\GUI\CS\Setup</t>
  </si>
  <si>
    <t>\\192.168.3.3\Share\Releases\Projects\Vonage\Release_For_LQA\Test_Build_4.0.17\Client CD\GUI\HM\Setup</t>
  </si>
  <si>
    <t>\\192.168.3.3\Share\Releases\Projects\Vonage\Release_For_LQA\Test_Build_4.0.17\Client CD\GUI\PM\Setup</t>
  </si>
  <si>
    <t>\\192.168.3.3\Share\Releases\Projects\Vonage\Release_For_LQA\Test_Build_4.0.17\Client CD\GUI\WFS\Setup</t>
  </si>
  <si>
    <t>NMDBS_TWC_4.6.1.11.3.59b1</t>
  </si>
  <si>
    <t>MPE_CBD_3.2.1.3.2.14b1</t>
  </si>
  <si>
    <t>DMDBS_TLSTR-ST_2.1.1.8.1.34b1</t>
  </si>
  <si>
    <t>phase1 (A+B)</t>
  </si>
  <si>
    <t>RADBS_SLT_2.1.1.15.1.103b1</t>
  </si>
  <si>
    <t>MPE_SLT-1B_3.0.1.1.1.117b1</t>
  </si>
  <si>
    <t>MPE_FNB_3.2.4.38.1.9b1</t>
  </si>
  <si>
    <t>DMDBS_FNB_2.1.1.11.1.4b1</t>
  </si>
  <si>
    <t>DMDBS_SLT_2.0.0.25.1.219b1</t>
  </si>
  <si>
    <t>RADBS_FNB_2.2.1.4</t>
  </si>
  <si>
    <t>NMDBS_4.6.1.35b1</t>
  </si>
  <si>
    <t>MPE_SLT-1B_3.0.1.1.1.118b1</t>
  </si>
  <si>
    <t>NPDBS_COM_1.2.3.17.1.26b1</t>
  </si>
  <si>
    <t>NMDBS_COM_4.6.1.34.1.91b1</t>
  </si>
  <si>
    <t>MPE_CBD_3.2.1.3.2.15b1</t>
  </si>
  <si>
    <t>NMDBS_FNB_4.7.1.4</t>
  </si>
  <si>
    <t>RADBS_FNB_3.0.1.1</t>
  </si>
  <si>
    <t>\\192.168.3.3\Share\Releases\Projects\FNB\Release_For_Test\Test_Build_1.0.2\Server CD\DBS\Setup</t>
  </si>
  <si>
    <t>MPE_SLT-1B_3.0.1.1.1.119b1</t>
  </si>
  <si>
    <t>MPE_SLT-1B_3.0.1.1.1.120b1</t>
  </si>
  <si>
    <t>NMDBS_COM_4.6.1.34.1.92b1</t>
  </si>
  <si>
    <t>PATCH_MPE_3.0.4.01_CPMTS.04_44.1</t>
  </si>
  <si>
    <t>\\192.168.3.3\share\Releases\Projects\MTS\Release For IT\Test_Build_3.0.5.25\Server CD\MPE\Setup</t>
  </si>
  <si>
    <t>\\192.168.3.3\Share\Releases\Projects\MTS\Release For Test\Test_Build_3.0.5.25\Server CD\MPE\Setup</t>
  </si>
  <si>
    <t>DMDBS_TLSTR-ST_2.1.1.8.1.36b1</t>
  </si>
  <si>
    <t>DMDBS_SLT_2.0.0.25.1.220b1</t>
  </si>
  <si>
    <t>DMDBS_TLSTR-ST_2.1.1.8.1.38b1</t>
  </si>
  <si>
    <t>DMDBS_TLSTR-ST_2.1.1.8.1.37b1</t>
  </si>
  <si>
    <t>REGUI_1.0.11.1b1</t>
  </si>
  <si>
    <t>Sumit Dalal</t>
  </si>
  <si>
    <t>UTLFDUP_SLT-1B_1.0.0.0.5.4b1</t>
  </si>
  <si>
    <t>UTLSEQM_SLT-1B_1.0.0.0.5.11b1</t>
  </si>
  <si>
    <t>NMDBS_OBT_4.6.1.27.1.47b1</t>
  </si>
  <si>
    <t>DMDBS_SLT_2.0.0.26.1.221b1</t>
  </si>
  <si>
    <t>NMMPE_TLN_2.0.3.52.1</t>
  </si>
  <si>
    <t>REGUI_SLT_1.0.11.1.2</t>
  </si>
  <si>
    <t>MEDIATION - GUI</t>
  </si>
  <si>
    <t>2015-Apr</t>
  </si>
  <si>
    <t>15th Jan 2015</t>
  </si>
  <si>
    <t>NMDBS_4.6.1.35b2</t>
  </si>
  <si>
    <t>MPE_FNB_3.2.4.38.1.10b1</t>
  </si>
  <si>
    <t>NMDBS_FNB_4.7.1.5</t>
  </si>
  <si>
    <t>NMDBS_TWC_4.6.1.11.3.60b1</t>
  </si>
  <si>
    <t>PATCH_DBS_3.0.5.03_CPMTS.02_88.1</t>
  </si>
  <si>
    <t>PATCH_MPE_3.0.4.01_CPMTS.04_45.1</t>
  </si>
  <si>
    <t>RTDBS_4.0.1.31b1</t>
  </si>
  <si>
    <t>AWF_2.0.1b33</t>
  </si>
  <si>
    <t>NPDBS_1.3.2b4</t>
  </si>
  <si>
    <t>\\192.168.3.3\Share\Releases\Product\NetMindPOS_1.3\Build&amp;Release\Release_For_LQA\Test_Build_1.0.3\Server CD\DBS\Setup</t>
  </si>
  <si>
    <t>NMWFS_VON_4.0.13</t>
  </si>
  <si>
    <t>\\192.168.3.3\Share\Releases\Projects\Vonage\Release_For_IT\Test_Build_4.0.18\Client CD\GUI\WFS\Setup</t>
  </si>
  <si>
    <t>\\192.168.3.3\Share\Releases\Projects\Vonage\Release_For_LQA\Test_Build_4.0.18\Client CD\GUI\WFS\Setup</t>
  </si>
  <si>
    <t>DMDBS_SLT_2.0.0.26.1.222b1</t>
  </si>
  <si>
    <t>IM_1.0.6b1</t>
  </si>
  <si>
    <t>\\192.168.3.3\Share\Releases\Product\IM_1.0\Build&amp;Release\Release_For_LQA\Test_Build_1.0.5\Server CD\IM\Setup</t>
  </si>
  <si>
    <t>RTGUI_4.0.37b1</t>
  </si>
  <si>
    <t>DMDBS_SLT_2.0.0.26.1.223b1</t>
  </si>
  <si>
    <t>IM_BHN_1.0.6.0.1</t>
  </si>
  <si>
    <t>\\192.168.3.3\share\Releases\Projects\BHN\Release_For_Test\Test_Build_1.0.6\Server CD\IM\Setup</t>
  </si>
  <si>
    <t>MPE_SLT-1B_3.0.1.1.1.121b1</t>
  </si>
  <si>
    <t>MPEGUI_1.1.3b2</t>
  </si>
  <si>
    <t>\\192.168.3.3\Share\Releases\Product\MEDGUI_1.1\Build&amp;Release\Release_For_LQA\Test_Build_1.0.2\Server CD\GUI\Setup</t>
  </si>
  <si>
    <t>MPEDBS_1.1.1b3</t>
  </si>
  <si>
    <t>\\192.168.3.3\Share\Releases\Product\MEDGUI_1.1\Build&amp;Release\Release_For_LQA\Test_Build_1.0.2\Server CD\DBS\Setup</t>
  </si>
  <si>
    <t>Rajan Sharma</t>
  </si>
  <si>
    <t>MPE_3.2.7b3</t>
  </si>
  <si>
    <t>\\192.168.3.3\Share\Releases\Product\MEDGUI_1.1\Build&amp;Release\Release_For_LQA\Test_Build_1.0.2\Server CD\MPE\Setup\RHEL_6.3</t>
  </si>
  <si>
    <t>MPEDBS_1.1.1b4-</t>
  </si>
  <si>
    <t>NMDBS_TWC_4.6.1.11.3.61b1</t>
  </si>
  <si>
    <t>DMDBS_TLSTR-ST_2.1.1.8.1.39b1</t>
  </si>
  <si>
    <t>MPE_TLSTR-2b_3.0.0.3.1.111b1</t>
  </si>
  <si>
    <t>NMDBS_COM_4.6.1.34.1.92b2</t>
  </si>
  <si>
    <t>DMDBS_SLT_2.0.0.26.1.224b1</t>
  </si>
  <si>
    <t>DMDBS_SLT_2.0.0.26.1.225b1</t>
  </si>
  <si>
    <t>MPE_TWC_3.2.1.5.2.28b1</t>
  </si>
  <si>
    <t>DMDBS_TLSTR-ST_2.1.1.8.1.41b1</t>
  </si>
  <si>
    <t>MPE_SLT-1B_3.0.1.1.1.122b1</t>
  </si>
  <si>
    <t>Surya N Behera</t>
  </si>
  <si>
    <t>REGUI_1.0.11.1b2</t>
  </si>
  <si>
    <t>NMDBS_4.8.1b1</t>
  </si>
  <si>
    <t>\\192.168.3.3\Share\Releases\Product\Netmind_4.8\Build&amp;Release\Release_For_LQA\Test_Build_1.0.1\Server CD\DBS\Setup</t>
  </si>
  <si>
    <t>REGUI_SLT_1.0.11.1.3</t>
  </si>
  <si>
    <t>REDBS_2.0.1b5</t>
  </si>
  <si>
    <t>MPE_SLT-1B_3.0.1.1.1.123b1</t>
  </si>
  <si>
    <t>RADBS_SLT_2.1.1.15.1.104b1</t>
  </si>
  <si>
    <t>DMDBS_SLT_2.0.0.26.1.226b1</t>
  </si>
  <si>
    <t>NMDBS_FNB_4.7.1.6</t>
  </si>
  <si>
    <t>DMDBS_TLSTR-ST_2.1.1.8.1.43b1</t>
  </si>
  <si>
    <t>RADBS_SLT_2.1.1.15.1.105b1</t>
  </si>
  <si>
    <t>DMDBS_SLT_2.0.0.26.1.227b1</t>
  </si>
  <si>
    <t>MPE_SLT-1B_3.0.1.1.1.124b1</t>
  </si>
  <si>
    <t>WWFSGUI_2.1.36b1</t>
  </si>
  <si>
    <t>\\192.168.3.3\Share\Releases\Product\WEB_WFS\Build&amp;Release\Release For Test\TestBuild_2.1.36\ServerCD\GUI\Setup</t>
  </si>
  <si>
    <t>DMDBS_SLT_2.0.0.26.1.226b2</t>
  </si>
  <si>
    <t xml:space="preserve">DMDBS_SLT_2.0.0.26.1.228b1 </t>
  </si>
  <si>
    <t>NMDBS_MCC_4.7.1.5</t>
  </si>
  <si>
    <t>MPE_SLT-1B_3.0.1.1.1.125b1</t>
  </si>
  <si>
    <t>DMDBS_TLSTR-ST_2.1.1.8.1.42b1</t>
  </si>
  <si>
    <t>CSGUI_2.6.2.2b1</t>
  </si>
  <si>
    <t>MPE_3.2.7b4</t>
  </si>
  <si>
    <t>RTGUI_MAC_4.0.37.0.1</t>
  </si>
  <si>
    <t>\\192.168.3.3\Share\Releases\Projects\MAC\Release_For_Test\Test_Build_1.0.1\Server CD\GUI\Setup</t>
  </si>
  <si>
    <t>CSGUI_FNB_2.6.2.2.2</t>
  </si>
  <si>
    <t>MAC</t>
  </si>
  <si>
    <t>DMDBS_TLSTR-ST_2.1.1.8.1.44b1</t>
  </si>
  <si>
    <t>WWFSGUI_MAC_2.2.1.4.1</t>
  </si>
  <si>
    <t>CSGUI_MAC_2.6.2.2.1</t>
  </si>
  <si>
    <t>REGUI_MAC_1.0.11.1.1</t>
  </si>
  <si>
    <t>WWCSGUI_MAC_2.1.21.0.1</t>
  </si>
  <si>
    <t>MPE_SLT-1B_3.0.1.1.1.126b1</t>
  </si>
  <si>
    <t xml:space="preserve">WWFSGUI_MAC_2.1.35.0.1 </t>
  </si>
  <si>
    <t>DMDBS_TLSTR-ST_2.1.1.8.1.45b1</t>
  </si>
  <si>
    <t>MPEGUI_MAC_1.0.8.0.1</t>
  </si>
  <si>
    <t xml:space="preserve">NMDBS_ANTEL_4.6.1.34.2.58b1 </t>
  </si>
  <si>
    <t>MPE_CBD_3.2.1.3.2.16b1</t>
  </si>
  <si>
    <t>NMDBS_COM_4.6.1.34.1.91b2</t>
  </si>
  <si>
    <t>NPDBS_COM_1.2.3.17.1.26b2</t>
  </si>
  <si>
    <t>NMDBS_COM_4.6.1.34.1.92b3</t>
  </si>
  <si>
    <t>IM_TLSTR_1.0.1.1.72</t>
  </si>
  <si>
    <t>MPE_SLT-1B_3.0.1.1.1.127b1</t>
  </si>
  <si>
    <t>DMDBS_TLSTR-ST_2.1.1.8.1.46b1</t>
  </si>
  <si>
    <t>phase 4</t>
  </si>
  <si>
    <t xml:space="preserve">PHASAE -I (B-CDMA) </t>
  </si>
  <si>
    <t>MPE_MAC_3.2.4.37.1</t>
  </si>
  <si>
    <t>\\192.168.3.3\Share\Releases\Projects\MAC\Release_For_Test\Test_Build_1.0.1\Server CD\MPE\Setup</t>
  </si>
  <si>
    <t>REDBS_2.0.1b6</t>
  </si>
  <si>
    <t>REGUI_2.0.2b1</t>
  </si>
  <si>
    <t>\\192.168.3.3\Share\Releases\Product\RE_2.0\Build&amp;Release\Release_For_LQA\Test_Build_1.0.2\Server CD\GUI\Setup</t>
  </si>
  <si>
    <t>NMDBS_TWC_4.6.1.11.3.62b1</t>
  </si>
  <si>
    <t>Rohit Arora</t>
  </si>
  <si>
    <t>NMMPE_TLN_2.0.3.53.1</t>
  </si>
  <si>
    <t>WWFSGUI_COM_2.1.35.0.3.1b1</t>
  </si>
  <si>
    <t>NMDBS_TLN_4.0.1.83.1</t>
  </si>
  <si>
    <t>DMDBS_TLN_1.0.1.11.1</t>
  </si>
  <si>
    <t>WWCSGUI_2.1.23b1</t>
  </si>
  <si>
    <t>\\192.168.3.3\Share\Releases\Product\WEB_CS\Build&amp;Release\Release For Test\TestBuild_2.1.23\ServerCD\GUI</t>
  </si>
  <si>
    <t>MPE_3.2.7.1b1</t>
  </si>
  <si>
    <t>DMDBS_FNB_2.1.1.11.1.5b1</t>
  </si>
  <si>
    <t>NMDBS_MCC_4.7.1.6</t>
  </si>
  <si>
    <t>NMDBS_COM_4.6.1.34.1.94b1</t>
  </si>
  <si>
    <t>REDBS_TLSTR-ST_2.0.1.1</t>
  </si>
  <si>
    <t>MPE_TWC_3.2.1.5.2.29b1</t>
  </si>
  <si>
    <t>NMDBS_FNB_4.7.1.7</t>
  </si>
  <si>
    <t>NMDBS_TLN_4.0.1.84.1</t>
  </si>
  <si>
    <t>RTGUI_COM_4.0.25.1.1.4b1</t>
  </si>
  <si>
    <t>\\192.168.3.3\share\Releases\Projects\Comcast\Release_for_Test\Test_Build_4.6.7\Server CD\GUI\Setup</t>
  </si>
  <si>
    <t>SUNIL KATIYAR</t>
  </si>
  <si>
    <t>NMDBS_4.8.1b2</t>
  </si>
  <si>
    <t>WWFSGUI_2.1.36b2</t>
  </si>
  <si>
    <t>NMDBS_VON_4.0.1.71.1</t>
  </si>
  <si>
    <t>\\192.168.3.3\Share\Releases\Projects\Vonage\Release_For_LQA\Test_Build_4.0.18\Server CD\DBS\Setup</t>
  </si>
  <si>
    <t>\\192.168.3.3\Share\Releases\Projects\Vonage\Release_For_IT\Test_Build_4.0.18\Server CD\DBS\Setup</t>
  </si>
  <si>
    <t>NPDBS_1.3.2b5</t>
  </si>
  <si>
    <t>NMDBS_TLSTR_4.0.1.0.4.322b1</t>
  </si>
  <si>
    <t>MPE_TLSTR-2b_3.0.0.3.1.112b1</t>
  </si>
  <si>
    <t xml:space="preserve">MPE_3.2.4.39b1 </t>
  </si>
  <si>
    <t xml:space="preserve"> REGUI_2.0.3b1</t>
  </si>
  <si>
    <t>REDBS_2.0.1b7</t>
  </si>
  <si>
    <t>\\192.168.3.3\Share\Releases\Product\RE_2.0\Build&amp;Release\Release_For_LQA\Test_Build_1.0.2\Server CD\DBS\Setup</t>
  </si>
  <si>
    <t>DMDBS_TLSTR-ST_2.1.1.8.1.47b1</t>
  </si>
  <si>
    <t>PHASE 1</t>
  </si>
  <si>
    <t>WWFSGUI_MCC_2.1.35.0.2.1b1</t>
  </si>
  <si>
    <t>IM_1.0.7b1</t>
  </si>
  <si>
    <t>\\192.168.3.3\Share\Releases\Product\IM_1.0\Build&amp;Release\Release_For_LQA\Test_Build_1.0.6\Server CD\IM\Setup</t>
  </si>
  <si>
    <t>MPE_SLT-1B_3.0.1.1.1.128b1</t>
  </si>
  <si>
    <t>NMDBS_TWC_4.6.1.11.3.63b1</t>
  </si>
  <si>
    <t>DMDBS_FNB_2.1.1.11.1.6b1</t>
  </si>
  <si>
    <t>RADBS_FNB_3.0.1.2</t>
  </si>
  <si>
    <t>MPE_FNB_3.2.4.39.1.11b1</t>
  </si>
  <si>
    <t>\\192.168.3.3\Share\Releases\Projects\FNB\Release_For_Test\Test_Build_1.0.2\Server CD\MPE\Setup</t>
  </si>
  <si>
    <t>MPEDBS_1.1.1b5</t>
  </si>
  <si>
    <t>KV krishna</t>
  </si>
  <si>
    <t>MPEGUI_1.1.4b1</t>
  </si>
  <si>
    <t>MPE_TLSTR-2b_3.0.0.3.1.113b1</t>
  </si>
  <si>
    <t>MPE_TLSTR-2b_3.0.0.3.1.113b2</t>
  </si>
  <si>
    <t>NMDBS_TLSTR_4.0.1.0.4.323b1</t>
  </si>
  <si>
    <t>Year 2014-15 Weekly Obsolete Releases w.r.t project/product</t>
  </si>
  <si>
    <t>DMDBS_SLT_2.0.0.26.1.229b1</t>
  </si>
  <si>
    <t>RADBS_SLT_2.1.1.15.1.106b1</t>
  </si>
  <si>
    <t>NMDBS_FNB_4.7.1.8</t>
  </si>
  <si>
    <t>MPE_TLSTR-2b_3.0.0.3.1.114b1</t>
  </si>
  <si>
    <t>RADBS_SLT_2.1.1.15.1.107b1</t>
  </si>
  <si>
    <t>DMDBS_SLT_2.0.0.26.1.230b1</t>
  </si>
  <si>
    <t>MPE_SLT-1B_3.0.1.1.1.129b1</t>
  </si>
  <si>
    <t>RADBS_SLT_2.1.1.15.1.107b2</t>
  </si>
  <si>
    <t>DMDBS_SLT_2.0.0.26.1.230b2</t>
  </si>
  <si>
    <t>DMDBS_FNB_2.1.1.11.1.7b1</t>
  </si>
  <si>
    <t>MPE_TWC_3.2.1.5.2.30b1</t>
  </si>
  <si>
    <t>MPE_SLT-1B_3.0.1.1.1.120b1_E1</t>
  </si>
  <si>
    <t>Shivang</t>
  </si>
  <si>
    <t>NMDBS_TWC_4.6.1.11.3.63b2</t>
  </si>
  <si>
    <t>NMDBS_BHN_4.7.1.15</t>
  </si>
  <si>
    <t>\\192.168.3.3\Share\Releases\Projects\BHN\Release_For_Test\Test_Build_1.0.6\Server CD\DBS\Setup</t>
  </si>
  <si>
    <t xml:space="preserve">MPE_3.2.8b1_CentOS_7.0 </t>
  </si>
  <si>
    <t>\\192.168.3.3\Share\Releases\Product\MPE_3.2.8\Build&amp;Release\Release_For_LQA\Test_Build_1.0.1\Server CD\MPE\Setup</t>
  </si>
  <si>
    <t>REDBS_2.0.1b8</t>
  </si>
  <si>
    <t>AWF_2.0.1b34</t>
  </si>
  <si>
    <t>AWF</t>
  </si>
  <si>
    <t>WWCSGUI_2.1.23b2</t>
  </si>
  <si>
    <t>MPE_TLSTR-2b_3.0.0.3.1.115b1</t>
  </si>
  <si>
    <t xml:space="preserve">MPE_3.2.8b2_CentOS_7.0 </t>
  </si>
  <si>
    <t> NMDBS_COM_4.6.1.35.1.95b1</t>
  </si>
  <si>
    <t>NMDBS_COM_4.6.1.35.1.95b2</t>
  </si>
  <si>
    <t>WWFSGUI_2.1.36b3</t>
  </si>
  <si>
    <t>rajeev Kumar</t>
  </si>
  <si>
    <t>NMDBS_TLSTR_4.0.1.0.4.324b1</t>
  </si>
  <si>
    <t>NMDBS_4.8.1b3</t>
  </si>
  <si>
    <t>NMDBS_TWC_4.6.1.11.3.64b1</t>
  </si>
  <si>
    <t>LADBS_1.0.1b2</t>
  </si>
  <si>
    <t>LAGUI_1.0.1b18</t>
  </si>
  <si>
    <t>\\192.168.3.3\Share\Releases\Product\LA_1.1\Build&amp;Release\Release_For_LQA\Test_Build_1.0.2\Server CD\GUI\Setup</t>
  </si>
  <si>
    <t>DMDBS_2.0.0.28b1</t>
  </si>
  <si>
    <t>MPE_SLT-1B_3.0.1.1.1.130b1</t>
  </si>
  <si>
    <t>NMDBS_TLSTR_4.0.1.0.4.324b2</t>
  </si>
  <si>
    <t>REDBS_2.0.1b9</t>
  </si>
  <si>
    <t>NMDBS_BHN_4.7.1.16</t>
  </si>
  <si>
    <t>DMDBS_SLT_2.0.0.26.1.231b1</t>
  </si>
  <si>
    <t>Rajasarkar</t>
  </si>
  <si>
    <t>MPE_3.2.8.1b1</t>
  </si>
  <si>
    <t>ajayawasthi</t>
  </si>
  <si>
    <t>sumitdalal</t>
  </si>
  <si>
    <t>WWCSGUI_2.1.23b3</t>
  </si>
  <si>
    <t>NMDBS_TWC_4.6.1.11.3.64b2</t>
  </si>
  <si>
    <t>DMDBS_SLT_2.0.0.26.1.232b1</t>
  </si>
  <si>
    <t>IM_1.0.8b1</t>
  </si>
  <si>
    <t>\\192.168.3.3\Share\Releases\Product\IM_1.0\Build&amp;Release\Release_For_LQA\Test_Build_1.0.7\Server CD\IM\Setup</t>
  </si>
  <si>
    <t>MPE_SLT-1B_3.0.1.1.1.120b1_E2</t>
  </si>
  <si>
    <t>REGUI_2.0.3b2</t>
  </si>
  <si>
    <t>MPE_SLT-1B_3.0.1.1.1.131b1</t>
  </si>
  <si>
    <t>WWFSGUI_2.1.36b4</t>
  </si>
  <si>
    <t>NMDBS_4.8.1b4</t>
  </si>
  <si>
    <t>MPE_SLT-1B_3.0.1.1.1.132b1</t>
  </si>
  <si>
    <t>DMDBS_SLT_2.0.0.26.1.233b1</t>
  </si>
  <si>
    <t>MPE_SLT-1B_3.0.1.1.1.133b1</t>
  </si>
  <si>
    <t>Gunjan</t>
  </si>
  <si>
    <t>NMDBS_BHN_4.7.1.17</t>
  </si>
  <si>
    <t>PROMOTED FOR SLT ONLY</t>
  </si>
  <si>
    <t>PROMOTED ONLY FOR BHN</t>
  </si>
  <si>
    <t>MPE_FNB_3.2.4.39.1.12b1</t>
  </si>
  <si>
    <t>WWCSGUI_COM_2.1.23.0.1</t>
  </si>
  <si>
    <t>\\192.168.3.3\Share\Releases\Projects\Comcast\Release_for_Test\Test_Build_4.6.8\Server CD\GUI\Setup</t>
  </si>
  <si>
    <t>RADBS_SLT_2.1.1.15.1.108b1</t>
  </si>
  <si>
    <t>RADBS_SLT_2.1.1.15.1.109b1</t>
  </si>
  <si>
    <t>WWFSGUI_COM_2.1.36.0.1</t>
  </si>
  <si>
    <t>DMDBS_SLT_2.0.0.28.1.235b1</t>
  </si>
  <si>
    <t>NMDBS_COM_4.8.1.1</t>
  </si>
  <si>
    <t>\\192.168.3.3\Share\Releases\Projects\Comcast\Release_for_Test\Test_Build_4.6.8\Server CD\Database\Setup</t>
  </si>
  <si>
    <t>DMDBS_SLT_2.0.0.28.1.234b1</t>
  </si>
  <si>
    <t>MPE_SLT-1B_3.0.1.1.1.120b1_E3</t>
  </si>
  <si>
    <t>MPE_TLSTR-2b_3.0.0.3.1.116b1</t>
  </si>
  <si>
    <t>MPE_ANTEL_3.2.4.37.1.18b1</t>
  </si>
  <si>
    <t>MPE_TLSTR-2b_3.0.0.3.1.117b1</t>
  </si>
  <si>
    <t>RADBS_SLT_2.1.1.15.1.110b1</t>
  </si>
  <si>
    <t>DMDBS_SLT_2.0.0.28.1.236b1</t>
  </si>
  <si>
    <t>IM_1.0.9b1</t>
  </si>
  <si>
    <t>\\192.168.3.3\Share\Releases\Product\IM_1.0\Build&amp;Release\Release_For_LQA\Test_Build_1.0.8\Server CD\IM\Setupp</t>
  </si>
  <si>
    <t xml:space="preserve">IM_BHN_1.0.9.0.1             </t>
  </si>
  <si>
    <t>\\192.168.3.3\share\Releases\Projects\BHN\Release_For_Test\Test_Build_1.0.8\Server CD\IM\Setup</t>
  </si>
  <si>
    <t>MPE_SLT-1B_3.0.1.1.1.120b1_E4</t>
  </si>
  <si>
    <t>RTDBS_4.0.1.32b1</t>
  </si>
  <si>
    <t>RTDBS_ 4.0.1.32b2</t>
  </si>
  <si>
    <t>RTDBS_ 4.0.2b1</t>
  </si>
  <si>
    <t>\\192.168.3.3\Share\Releases\Product\RT_4.0\ReleaseForIT\TestBuild_4.0.4\DBS\Setup</t>
  </si>
  <si>
    <t>NetMindPOS</t>
  </si>
  <si>
    <t>QA-Exit _Report_Date</t>
  </si>
  <si>
    <t>4.8.1b4</t>
  </si>
  <si>
    <t>29th June</t>
  </si>
  <si>
    <t>1.3.2</t>
  </si>
  <si>
    <t>1.3.2b5</t>
  </si>
  <si>
    <t>8th july</t>
  </si>
  <si>
    <t>3.0.1b3</t>
  </si>
  <si>
    <t>30th  March</t>
  </si>
  <si>
    <t>AWF_2.0.2b1</t>
  </si>
  <si>
    <t>\\192.168.3.3\Share\Releases\Product\AWF\Build&amp;Release\Release For Test\TestBuild_2.0.2\Setup</t>
  </si>
  <si>
    <t>rahul kumar</t>
  </si>
  <si>
    <t>ajay -Gera</t>
  </si>
  <si>
    <t>RTDBS_4.0.1.32b2</t>
  </si>
  <si>
    <t>NMDBS_COM_4.8.1.2</t>
  </si>
  <si>
    <t>AWF_2.0.2b2</t>
  </si>
  <si>
    <t>RTGUI_4.0.38b1</t>
  </si>
  <si>
    <t>karamjeet</t>
  </si>
  <si>
    <t>WWCSGUI_2.1.23.1b1</t>
  </si>
  <si>
    <t>WWCSGUI_COM_2.1.23.0.2</t>
  </si>
  <si>
    <t>WWFSGUI_2.1.36b4 (WFS)</t>
  </si>
  <si>
    <t>WWCSGUI_2.1.23b3 Build and WWCSGUI_2.1.23.1b1 for patch</t>
  </si>
  <si>
    <t>MPEGUI_1.1.5b1</t>
  </si>
  <si>
    <t>\\192.168.3.3\Share\Releases\Projects\Comcast\Release_for_Test\Test_Build_4.6.9\Server CD\GUI\Setup</t>
  </si>
  <si>
    <t>MPE_FNB_3.2.4.39.1.13b1</t>
  </si>
  <si>
    <t>REGUI_2.0.4b1</t>
  </si>
  <si>
    <t>\\192.168.3.3\Share\Releases\Product\RE_2.0\Build&amp;Release\Release_For_LQA\Test_Build_1.0.3\Server CD\GUI\Setup</t>
  </si>
  <si>
    <t>NMDBS_FNB_4.7.1.9</t>
  </si>
  <si>
    <t>WWFSGUI_COM_2.1.36.0.2</t>
  </si>
  <si>
    <t>\\192.168.3.3\Share\Releases\Projects\Comcast\Release_for_Test\Test_Build_4.6.10\Server CD\GUI\Setup</t>
  </si>
  <si>
    <t>WWCSGUI_2.1.24b1</t>
  </si>
  <si>
    <t>rahul sharma</t>
  </si>
  <si>
    <t>\\192.168.3.3\Share\Releases\Product\WEB_CS\Build&amp;Release\Release For Test\TestBuild_2.1.24\ServerCD\GUI\Setup</t>
  </si>
  <si>
    <t>NMMPE_TLN_2.0.3.54.1</t>
  </si>
  <si>
    <t>WWFSGUI_2.1.37b1</t>
  </si>
  <si>
    <t>\\192.168.3.3\Share\Releases\Product\WEB_WFS\Build&amp;Release\Release For Test\TestBuild_2.1.37\ServerCD\GUI\Setup</t>
  </si>
  <si>
    <t>aditya mani sharma</t>
  </si>
  <si>
    <t>WWFSGUI_2.2.1.5b1</t>
  </si>
  <si>
    <t>Revmind</t>
  </si>
  <si>
    <t>CSGUI_2.6.3b1</t>
  </si>
  <si>
    <t>\\192.168.3.3\Share\Releases\Product\CSGUI_2.6\Build&amp;Release\Release_For_LQA\Test_Build_1.0.4\Server CD\GUI\Setup</t>
  </si>
  <si>
    <t>4.8</t>
  </si>
  <si>
    <t>2015-May</t>
  </si>
  <si>
    <t>2015-Jun</t>
  </si>
  <si>
    <t>2015-Jul</t>
  </si>
  <si>
    <t>2.1.36</t>
  </si>
  <si>
    <t>2.1.23</t>
  </si>
  <si>
    <t>2.6.2</t>
  </si>
  <si>
    <t>Rating Engine</t>
  </si>
  <si>
    <t>Mediation GUI</t>
  </si>
  <si>
    <t>NA</t>
  </si>
  <si>
    <t>Bright House Networks</t>
  </si>
  <si>
    <t>Cbeyond Communications</t>
  </si>
  <si>
    <t>Comcast</t>
  </si>
  <si>
    <t>Charter</t>
  </si>
  <si>
    <t>Mobily</t>
  </si>
  <si>
    <t>MTS Allstream</t>
  </si>
  <si>
    <t>Belgacom</t>
  </si>
  <si>
    <t>Shaw Communications</t>
  </si>
  <si>
    <t>T-Mobile</t>
  </si>
  <si>
    <t>Time Warner Cable</t>
  </si>
  <si>
    <t>Maxcom</t>
  </si>
  <si>
    <t>Vonage</t>
  </si>
  <si>
    <t>First National Bank</t>
  </si>
  <si>
    <t>Mediacom</t>
  </si>
  <si>
    <t>MACRA</t>
  </si>
  <si>
    <t>LADBS_1.0.1b3</t>
  </si>
  <si>
    <t>\\192.168.3.3\Share\Releases\Product\LA_1.1\Build&amp;Release\Release_For_LQA\Test_Build_1.0.3\Server CD\DBS\Setup</t>
  </si>
  <si>
    <r>
      <rPr>
        <sz val="7"/>
        <rFont val="Times New Roman"/>
        <family val="1"/>
      </rPr>
      <t xml:space="preserve"> </t>
    </r>
    <r>
      <rPr>
        <sz val="11"/>
        <rFont val="Calibri"/>
        <family val="2"/>
        <scheme val="minor"/>
      </rPr>
      <t>PATCH_DBS_3.0.5.03_CPMTS.02_89.1</t>
    </r>
  </si>
  <si>
    <t>LAGUI_1.0.1b20</t>
  </si>
  <si>
    <t>\\192.168.3.3\Share\Releases\Product\LA_1.1\Build&amp;Release\Release_For_LQA\Test_Build_1.0.3\Server CD\GUI\Setup</t>
  </si>
  <si>
    <t>DMDBS_FNB_2.1.1.11.1.8b1</t>
  </si>
  <si>
    <t>NMDBS_BHN_4.8.1.1</t>
  </si>
  <si>
    <t>\\192.168.3.3\Share\Releases\Projects\BHN\Release_For_Test\Test_Build_1.0.8\Server CD\DBS\Setup</t>
  </si>
  <si>
    <t>WWFSGUI_BHN_2.1.36.0.1</t>
  </si>
  <si>
    <t>sumit dalal</t>
  </si>
  <si>
    <t>\\192.168.3.3\Share\Releases\Projects\BHN\Release_For_Test\Test_Build_1.0.8\Server CD\GUI\Setup</t>
  </si>
  <si>
    <t>WWCSGUI_BHN_2.1.23.0.1</t>
  </si>
  <si>
    <t>DMDBS_2.1.1.11b1</t>
  </si>
  <si>
    <t>CSGUI_2.6.2.1b1 &amp; CSGUI_2.6.1b3</t>
  </si>
  <si>
    <t>WFS GUI</t>
  </si>
  <si>
    <t>CS GUI</t>
  </si>
  <si>
    <t>Till 13 July</t>
  </si>
  <si>
    <t>NMDBS_OBT_4.6.1.27.1.48b1</t>
  </si>
  <si>
    <t>MPE_SLT-1B_3.0.1.1.1.120b1_E5</t>
  </si>
  <si>
    <t>MPE_TWC_3.2.1.5.2.31b1</t>
  </si>
  <si>
    <t>MPE_TLSTR-2b_3.0.0.3.1.118b1</t>
  </si>
  <si>
    <t>NMDBS_TWC_4.6.1.11.3.65b1</t>
  </si>
  <si>
    <t>CSGUI_2.6.4b1</t>
  </si>
  <si>
    <t>\\192.168.3.3\Share\Releases\Product\CSGUI_2.6\Build&amp;Release\Release_For_LQA\Test_Build_1.0.5\Server CD\GUI\Setup</t>
  </si>
  <si>
    <t>WWFSGUI_COM_2.1.36.0.2.1b1</t>
  </si>
  <si>
    <t>WWFSGUI_2.2.1.6b1</t>
  </si>
  <si>
    <t>WWFSGUI_2.1.37b2</t>
  </si>
  <si>
    <t>RTGUI_4.0.39b1</t>
  </si>
  <si>
    <t>NMDBS_COM_4.8.1.3</t>
  </si>
  <si>
    <t>\\192.168.3.3\Share\Releases\Projects\Comcast\Release_for_Test\Test_Build_4.6.10\Server CD\Database\Setup</t>
  </si>
  <si>
    <t>MPE_ANTEL_3.2.4.37.1.19b1</t>
  </si>
  <si>
    <t>WWCSGUI_2.1.24b2</t>
  </si>
  <si>
    <t>Rajesh bihari Mishra</t>
  </si>
  <si>
    <t>WWFSGUI_BHN_2.1.36.0.1.1b1</t>
  </si>
  <si>
    <t>NMDBS_BHN_4.8.1.2</t>
  </si>
  <si>
    <t>RTGUI_4.0.39.1b1</t>
  </si>
  <si>
    <t>RADBS_SLT_2.1.1.15.1.111b1</t>
  </si>
  <si>
    <t>DMDBS_SLT_2.0.0.28.1.237b1</t>
  </si>
  <si>
    <t>2015 - 03</t>
  </si>
  <si>
    <t>2015 - 04</t>
  </si>
  <si>
    <t>2015 - 05</t>
  </si>
  <si>
    <t>2015 - 06</t>
  </si>
  <si>
    <t>2015 - 12</t>
  </si>
  <si>
    <t>2015 - 15</t>
  </si>
  <si>
    <t>2015 - 16</t>
  </si>
  <si>
    <t>2015 - 17</t>
  </si>
  <si>
    <t>2015 - 20</t>
  </si>
  <si>
    <t>2015 - 21</t>
  </si>
  <si>
    <t>2015 - 24</t>
  </si>
  <si>
    <t>2015 - 27</t>
  </si>
  <si>
    <t>2015 - 28</t>
  </si>
  <si>
    <t>2015 - 01</t>
  </si>
  <si>
    <t>2015 - 02</t>
  </si>
  <si>
    <t>2015 - 07</t>
  </si>
  <si>
    <t>2015 - 08</t>
  </si>
  <si>
    <t>2015 - 09</t>
  </si>
  <si>
    <t>2015 - 10</t>
  </si>
  <si>
    <t>2015 - 13</t>
  </si>
  <si>
    <t>2015 - 14</t>
  </si>
  <si>
    <t>2015 - 22</t>
  </si>
  <si>
    <t>2015 - 23</t>
  </si>
  <si>
    <t>2015 - 26</t>
  </si>
  <si>
    <t>Rajan</t>
  </si>
  <si>
    <t xml:space="preserve">RTDBS_4.0.1.33b1  </t>
  </si>
  <si>
    <t>\\192.168.3.3\Share\Releases\Projects\SLT\Release_For_LQA\Test_Build_1.0.0.25\Server CD\GUI\Setup</t>
  </si>
  <si>
    <r>
      <t>RTGUI_SLT_</t>
    </r>
    <r>
      <rPr>
        <sz val="10"/>
        <rFont val="Tahoma"/>
        <family val="2"/>
      </rPr>
      <t xml:space="preserve"> </t>
    </r>
    <r>
      <rPr>
        <sz val="10"/>
        <rFont val="Calibri"/>
        <family val="2"/>
        <scheme val="minor"/>
      </rPr>
      <t>4.0.39.1.1</t>
    </r>
  </si>
  <si>
    <t>MPE_SLT-1B_3.0.1.1.1.134b1</t>
  </si>
  <si>
    <t xml:space="preserve">RTGUI_4.0.39.1b1 </t>
  </si>
  <si>
    <t>\\192.168.3.3\Share\Releases\Product\RT_4.0\ReleaseForCD\TestBuild_4.0.17\GUI\Build1\Setup</t>
  </si>
  <si>
    <t>\\192.168.3.3\Share\Releases\Product\RT_4.0\ReleaseForCD\TestBuild_4.0.17\DBS\Setup</t>
  </si>
  <si>
    <t>RTDBS_4.0.1.33b1</t>
  </si>
  <si>
    <t>MPE_3.2.4.40b1</t>
  </si>
  <si>
    <t>ajay pandey</t>
  </si>
  <si>
    <t>MPE_FNB_3.2.4.40.1.14b1</t>
  </si>
  <si>
    <t xml:space="preserve">ashwani </t>
  </si>
  <si>
    <t>NMDBS_COM_4.8.1.4</t>
  </si>
  <si>
    <t>DMDBS_FNB_2.1.1.11.1.9b1</t>
  </si>
  <si>
    <t>MPE_BHN_3.2.5.0.1.6b1</t>
  </si>
  <si>
    <t>\\192.168.3.3\Share\Releases\Projects\BHN\Release_For_Test\Test_Build_1.0.8\Server CD\MPE\Setup</t>
  </si>
  <si>
    <t>RADBS_FNB_3.0.1.3</t>
  </si>
  <si>
    <t>MPEGUI_1.1.5.1b1</t>
  </si>
  <si>
    <t>2015 - 29</t>
  </si>
  <si>
    <t>2015 - 31</t>
  </si>
  <si>
    <t>2015-Aug</t>
  </si>
  <si>
    <t>WWFSGUI_BHN_2.1.36.0.1.2b1</t>
  </si>
  <si>
    <t>NMDBS_OBT_4.6.1.27.1.49b1</t>
  </si>
  <si>
    <t>DMDBS_SLT_2.0.0.28.1.238b1</t>
  </si>
  <si>
    <t>\\192.168.3.3\Share\Releases\Projects\SLT\Release_For_LQA\Test_Build_1.0.0.25\Server CD\DBS\Setup</t>
  </si>
  <si>
    <t>Updated by kumar</t>
  </si>
  <si>
    <t>kumar sanu</t>
  </si>
  <si>
    <t>MPE_ANTEL_3.2.4.37.1.20b1</t>
  </si>
  <si>
    <t>Shivangi</t>
  </si>
  <si>
    <t>shivangi</t>
  </si>
  <si>
    <t>shivang</t>
  </si>
  <si>
    <t>MPE_SLT-1B_3.0.1.1.1.135b1</t>
  </si>
  <si>
    <t>RACS_SLT_2.5.7.1.1</t>
  </si>
  <si>
    <t>WWFSGUI_SLT_2.2.1.0.5</t>
  </si>
  <si>
    <t>DMDBS_SLT_2.0.0.28.1.239b1</t>
  </si>
  <si>
    <t>\\192.168.3.3\Share\Releases\Projects\SLT\Release_For_LQA\Test_Build_1.0.0.26\Server CD\DBS\Setup</t>
  </si>
  <si>
    <t>\\192.168.3.3\Share\Releases\Projects\SLT\Release_For_LQA\Test_Build_1.0.0.26\Server CD\GUI\Setup</t>
  </si>
  <si>
    <t>WWCSGUI_2.1.25b1</t>
  </si>
  <si>
    <t>\\192.168.3.3\Share\Releases\Product\WEB_CS\Build&amp;Release\Release For Test\TestBuild_2.1.25\ServerCD\GUI\Setup</t>
  </si>
  <si>
    <t>MPE_NM48_3.2.8.1.1</t>
  </si>
  <si>
    <t>\\192.168.3.3\Share\Releases\Projects\NM48\Release_For_Test\Test_Build_1.0.0.1\Server CD\MPE\Setup</t>
  </si>
  <si>
    <t>NM48</t>
  </si>
  <si>
    <t>RADBS_SLT_2.1.1.15.1.112b1</t>
  </si>
  <si>
    <t>DMDBS_TLSTR-ST_2.1.1.8.1.48b1</t>
  </si>
  <si>
    <t>MPE_FNB_3.2.4.40.1.15b1</t>
  </si>
  <si>
    <t>DMDBS_SLT_2.0.0.28.1.240b1</t>
  </si>
  <si>
    <t>DMDBS_FNB_2.1.1.11.1.10b1</t>
  </si>
  <si>
    <t>NMDBS_FNB_4.7.1.10</t>
  </si>
  <si>
    <t>MPE_CBD_3.2.1.3.2.17b1</t>
  </si>
  <si>
    <t>NMDBS_BHN_4.8.1.3</t>
  </si>
  <si>
    <t>MPE_TWC_3.2.1.5.2.32b1</t>
  </si>
  <si>
    <t>NMDBS_TWC_4.6.1.11.3.67b1</t>
  </si>
  <si>
    <t>NMDBS_TWC_4.6.1.11.3.66b1</t>
  </si>
  <si>
    <t>NMDBS_COM_4.8.1.5</t>
  </si>
  <si>
    <t>MPE_SLT-1B_3.0.1.1.1.136b1</t>
  </si>
  <si>
    <t>Tarosh</t>
  </si>
  <si>
    <t>IM_1.0.10b1</t>
  </si>
  <si>
    <t>\\192.168.3.3\Share\Releases\Product\IM_1.0\Build&amp;Release\Release_For_LQA\Test_Build_1.0.9\Server CD\IM\Setup</t>
  </si>
  <si>
    <t>MPE_SLT-1B_3.0.1.1.1.137b1</t>
  </si>
  <si>
    <t>WWFSGUI_2.1.38b1</t>
  </si>
  <si>
    <t>\\192.168.3.3\Share\Releases\Product\WEB_WFS\Build&amp;Release\Release For Test\TestBuild_2.1.38\ServerCD\GUI\Setup</t>
  </si>
  <si>
    <t>NMDBS_OBT_4.6.1.27.1.50b1</t>
  </si>
  <si>
    <t>MPE_SLT-1B_3.0.1.1.1.138b1</t>
  </si>
  <si>
    <t>UTLFDUP_SLT-1B_1.0.0.0.5.5b1</t>
  </si>
  <si>
    <t>UTLSEQM_SLT-1B_1.0.0.0.5.12b1</t>
  </si>
  <si>
    <t>NMDBS_OBT_4.6.1.27.1.50b2</t>
  </si>
  <si>
    <t>NPDSV_TLN_1.1.2</t>
  </si>
  <si>
    <t>\\192.168.3.3\Share\Projects\NetmindPOS-TLN\Build&amp;Release\Release For LQA\Test_Build_1.0.32\Server CD\Dataservice\Setup</t>
  </si>
  <si>
    <t>sumit Gomber</t>
  </si>
  <si>
    <t>MPE_TLSTR-2b_3.0.0.3.1.119b1</t>
  </si>
  <si>
    <t>NMDBS_ANTEL_4.6.1.34.2.59b1</t>
  </si>
  <si>
    <t xml:space="preserve">\\192.168.3.3\Share\Releases\Projects\ANTEL\Release_For_IT\TestBuild_1.0.0.4\Server CD\DBS\Setup </t>
  </si>
  <si>
    <t>NMDBS_TWC_4.6.1.11.3.68b1</t>
  </si>
  <si>
    <t>NPDBS_1.3.3b1</t>
  </si>
  <si>
    <t>\\192.168.3.3\Share\Releases\Product\NetMindPOS_1.3\Build&amp;Release\Release_For_LQA\Test_Build_1.0.4\Server CD\DBS\Setup</t>
  </si>
  <si>
    <t>NMDBS_4.8.2b1</t>
  </si>
  <si>
    <t>\\192.168.3.3\Share\Releases\Product\Netmind_4.8\Build&amp;Release\Release_For_LQA\Test_Build_1.0.2\Server CD\DBS\Setup</t>
  </si>
  <si>
    <t>MPE_FNB_3.2.4.40.1.16b1</t>
  </si>
  <si>
    <t>AWF_version</t>
  </si>
  <si>
    <t>MPE_GUI</t>
  </si>
  <si>
    <t>RA_CS</t>
  </si>
  <si>
    <t>WFS_RA</t>
  </si>
  <si>
    <t>2.0.2b2</t>
  </si>
  <si>
    <t>IM_1.0.1</t>
  </si>
  <si>
    <t>IM_1.0.9</t>
  </si>
  <si>
    <t>IM_TLSTR_1.0.1.2.73</t>
  </si>
  <si>
    <t>\\192.168.3.3\share\Releases\Projects\Telstra\Release_For_LQA\Test_Build_1.0.0.19\Server CD\IM\Setup</t>
  </si>
  <si>
    <t>NPDBS_TLN_1.0.4.97.1</t>
  </si>
  <si>
    <t>AWF_2.0.3b1</t>
  </si>
  <si>
    <t>\\192.168.3.3\Share\Releases\Product\AWF\Build&amp;Release\Release For Test\TestBuild_2.0.3\Setup</t>
  </si>
  <si>
    <t>WWFSGUI_2.1.38b2</t>
  </si>
  <si>
    <t>DMDBS_SLT_2.0.0.28.1.241b1</t>
  </si>
  <si>
    <t>RADBS_SLT_2.1.1.15.1.113b1</t>
  </si>
  <si>
    <t>LADBS_1.0.1b4</t>
  </si>
  <si>
    <t>DMDBS_FNB_2.1.1.11.1.11b1</t>
  </si>
  <si>
    <t>LAGUI_1.0.1b21</t>
  </si>
  <si>
    <t>NMDBS_FNB_4.7.1.11</t>
  </si>
  <si>
    <t>MPE_BHN_3.2.5.0.1.7b1</t>
  </si>
  <si>
    <t>NMDBS_ANTEL_4.6.1.34.2.60b1</t>
  </si>
  <si>
    <t>MPE_NM48_3.2.8.1.1.1b1</t>
  </si>
  <si>
    <t>CSGUI_FNB_2.6.4.0.1</t>
  </si>
  <si>
    <t>\\192.168.3.3\Share\Releases\Projects\FNB\Release_For_Test\Test_Build_1.0.3\Server CD\GUI\Setup</t>
  </si>
  <si>
    <t>WWFSGUI_FNB_2.2.1.6.1</t>
  </si>
  <si>
    <t>DMDBS_TLSTR-ST_2.1.1.8.1.49b1</t>
  </si>
  <si>
    <t>MPE_BHN_3.2.5.0.1.8b1</t>
  </si>
  <si>
    <t>MPE_TWC_3.2.1.5.2.33b1</t>
  </si>
  <si>
    <t>DMDBS_SLT_2.0.0.28.1.242b1</t>
  </si>
  <si>
    <t>    DMDBS_SLT_2.0.0.28.1.243b1</t>
  </si>
  <si>
    <t>RADBS_SLT_2.1.1.15.1.114b1</t>
  </si>
  <si>
    <t>WWCSGUI_2.1.25b2</t>
  </si>
  <si>
    <t>NPDBS_1.3.3b2</t>
  </si>
  <si>
    <t>DMDBS_TLSTR-ST_2.1.1.8.1.49b2</t>
  </si>
  <si>
    <t>MPE_TWC_3.2.1.5.2.34b1</t>
  </si>
  <si>
    <t>NMDBS_TWC_4.6.1.11.3.69b1</t>
  </si>
  <si>
    <t>DMDBS_TLSTR-ST_2.1.1.8.1.49b3</t>
  </si>
  <si>
    <t>MPE_BHN_3.2.5.0.1.9b1</t>
  </si>
  <si>
    <t>RADBS_SLT_2.1.1.15.1.115b1</t>
  </si>
  <si>
    <t>DMDBS_TLSTR-ST_2.1.1.8.1.40b1</t>
  </si>
  <si>
    <t>MPE_TLSTR-2b_3.0.0.3.1.120b1</t>
  </si>
  <si>
    <t>NMDBS_4.8.2b2</t>
  </si>
  <si>
    <r>
      <rPr>
        <sz val="7"/>
        <color rgb="FF1F497D"/>
        <rFont val="Times New Roman"/>
        <family val="1"/>
      </rPr>
      <t xml:space="preserve">  </t>
    </r>
    <r>
      <rPr>
        <sz val="10"/>
        <color rgb="FF1F497D"/>
        <rFont val="Times New Roman"/>
        <family val="1"/>
      </rPr>
      <t>IM_TLSTR_1.0.1.2.74</t>
    </r>
  </si>
  <si>
    <t>MPE_TWC_3.2.1.5.2.35b1</t>
  </si>
  <si>
    <t xml:space="preserve">Juhi </t>
  </si>
  <si>
    <t>WWFSGUI_2.1.38b3</t>
  </si>
  <si>
    <t>puneet gupta</t>
  </si>
  <si>
    <t>NMDBS_TLSTR_4.0.1.0.4.325b1</t>
  </si>
  <si>
    <t>MPE_SLT-1B_3.0.1.1.1.139b1</t>
  </si>
  <si>
    <t>DMDBS_SLT_2.0.0.28.1.244b1</t>
  </si>
  <si>
    <t>MPE_TLSTR-2b_3.0.0.3.1.121b1</t>
  </si>
  <si>
    <t>WWCSGUI_BHN_2.1.23.0.1_</t>
  </si>
  <si>
    <t>WWCSGUI_CBD_2.1.14.0.1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</si>
</sst>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5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6"/>
      <color theme="4" tint="-0.249977111117893"/>
      <name val="Bookman Old Style"/>
      <family val="1"/>
    </font>
    <font>
      <b/>
      <sz val="11"/>
      <color rgb="FFFF0000"/>
      <name val="Calibri"/>
      <family val="2"/>
      <scheme val="minor"/>
    </font>
    <font>
      <b/>
      <u/>
      <sz val="14"/>
      <color rgb="FF1F497D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color rgb="FF006100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Times New Roman"/>
      <family val="1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sz val="7"/>
      <name val="Times New Roman"/>
      <family val="1"/>
    </font>
    <font>
      <sz val="10"/>
      <name val="Tahoma"/>
      <family val="2"/>
    </font>
    <font>
      <sz val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rgb="FF1F497D"/>
      <name val="Times New Roman"/>
      <family val="1"/>
    </font>
    <font>
      <sz val="10"/>
      <color rgb="FF1F497D"/>
      <name val="Times New Roman"/>
      <family val="1"/>
    </font>
  </fonts>
  <fills count="1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D9D9D9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theme="4" tint="0.39997558519241921"/>
        <bgColor theme="4" tint="0.39997558519241921"/>
      </patternFill>
    </fill>
    <fill>
      <patternFill patternType="solid">
        <fgColor theme="4" tint="-0.249977111117893"/>
        <bgColor theme="4" tint="-0.249977111117893"/>
      </patternFill>
    </fill>
  </fills>
  <borders count="4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double">
        <color rgb="FF3F3F3F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indexed="64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3" fillId="0" borderId="0" applyNumberFormat="0" applyFill="0" applyBorder="0" applyAlignment="0" applyProtection="0"/>
    <xf numFmtId="0" fontId="4" fillId="6" borderId="1" applyNumberFormat="0" applyAlignment="0" applyProtection="0"/>
    <xf numFmtId="0" fontId="5" fillId="7" borderId="2" applyNumberFormat="0" applyAlignment="0" applyProtection="0"/>
    <xf numFmtId="0" fontId="12" fillId="12" borderId="0" applyNumberFormat="0" applyBorder="0" applyAlignment="0" applyProtection="0"/>
  </cellStyleXfs>
  <cellXfs count="636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14" fontId="0" fillId="3" borderId="0" xfId="0" applyNumberFormat="1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Border="1" applyAlignment="1">
      <alignment horizontal="center"/>
    </xf>
    <xf numFmtId="14" fontId="0" fillId="0" borderId="0" xfId="0" applyNumberFormat="1" applyFill="1" applyAlignment="1">
      <alignment horizontal="center"/>
    </xf>
    <xf numFmtId="14" fontId="1" fillId="0" borderId="0" xfId="0" applyNumberFormat="1" applyFont="1" applyFill="1" applyAlignment="1">
      <alignment horizontal="center"/>
    </xf>
    <xf numFmtId="0" fontId="3" fillId="6" borderId="3" xfId="2" applyFill="1" applyBorder="1" applyAlignment="1">
      <alignment horizontal="center"/>
    </xf>
    <xf numFmtId="0" fontId="3" fillId="6" borderId="6" xfId="2" applyFill="1" applyBorder="1" applyAlignment="1">
      <alignment horizontal="center"/>
    </xf>
    <xf numFmtId="0" fontId="3" fillId="6" borderId="8" xfId="2" applyFill="1" applyBorder="1" applyAlignment="1">
      <alignment horizontal="center"/>
    </xf>
    <xf numFmtId="0" fontId="3" fillId="6" borderId="9" xfId="2" applyFill="1" applyBorder="1" applyAlignment="1">
      <alignment horizontal="center"/>
    </xf>
    <xf numFmtId="164" fontId="5" fillId="7" borderId="2" xfId="4" applyNumberFormat="1"/>
    <xf numFmtId="164" fontId="5" fillId="7" borderId="13" xfId="4" applyNumberFormat="1" applyBorder="1"/>
    <xf numFmtId="164" fontId="5" fillId="7" borderId="14" xfId="4" applyNumberFormat="1" applyBorder="1" applyAlignment="1">
      <alignment horizontal="center"/>
    </xf>
    <xf numFmtId="0" fontId="4" fillId="6" borderId="1" xfId="3" applyAlignment="1">
      <alignment horizontal="center"/>
    </xf>
    <xf numFmtId="164" fontId="4" fillId="6" borderId="1" xfId="3" applyNumberFormat="1"/>
    <xf numFmtId="164" fontId="4" fillId="6" borderId="3" xfId="3" applyNumberFormat="1" applyBorder="1"/>
    <xf numFmtId="164" fontId="4" fillId="6" borderId="15" xfId="3" applyNumberFormat="1" applyBorder="1"/>
    <xf numFmtId="164" fontId="5" fillId="7" borderId="13" xfId="4" applyNumberFormat="1" applyBorder="1" applyAlignment="1">
      <alignment horizontal="center"/>
    </xf>
    <xf numFmtId="0" fontId="3" fillId="6" borderId="15" xfId="2" applyFill="1" applyBorder="1" applyAlignment="1">
      <alignment horizontal="center"/>
    </xf>
    <xf numFmtId="0" fontId="0" fillId="0" borderId="0" xfId="0" pivotButton="1"/>
    <xf numFmtId="0" fontId="0" fillId="0" borderId="0" xfId="0" applyNumberFormat="1"/>
    <xf numFmtId="0" fontId="10" fillId="0" borderId="0" xfId="0" applyFont="1"/>
    <xf numFmtId="0" fontId="3" fillId="6" borderId="10" xfId="2" applyFill="1" applyBorder="1" applyAlignment="1">
      <alignment horizontal="center"/>
    </xf>
    <xf numFmtId="0" fontId="3" fillId="6" borderId="11" xfId="2" applyFill="1" applyBorder="1" applyAlignment="1">
      <alignment horizontal="center"/>
    </xf>
    <xf numFmtId="0" fontId="3" fillId="6" borderId="12" xfId="2" applyFill="1" applyBorder="1" applyAlignment="1">
      <alignment horizontal="center"/>
    </xf>
    <xf numFmtId="0" fontId="3" fillId="6" borderId="4" xfId="2" applyFill="1" applyBorder="1" applyAlignment="1">
      <alignment horizontal="center"/>
    </xf>
    <xf numFmtId="0" fontId="3" fillId="6" borderId="7" xfId="2" applyFill="1" applyBorder="1" applyAlignment="1">
      <alignment horizontal="center"/>
    </xf>
    <xf numFmtId="0" fontId="3" fillId="6" borderId="1" xfId="2" applyFill="1" applyBorder="1" applyAlignment="1">
      <alignment horizontal="center"/>
    </xf>
    <xf numFmtId="0" fontId="3" fillId="6" borderId="5" xfId="2" applyFill="1" applyBorder="1" applyAlignment="1">
      <alignment horizontal="center"/>
    </xf>
    <xf numFmtId="0" fontId="1" fillId="0" borderId="0" xfId="0" applyFont="1"/>
    <xf numFmtId="0" fontId="4" fillId="6" borderId="1" xfId="3"/>
    <xf numFmtId="0" fontId="4" fillId="9" borderId="1" xfId="3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6" borderId="1" xfId="3" applyAlignment="1">
      <alignment horizontal="center" vertical="center"/>
    </xf>
    <xf numFmtId="0" fontId="4" fillId="6" borderId="1" xfId="3" applyFont="1"/>
    <xf numFmtId="0" fontId="4" fillId="9" borderId="1" xfId="3" applyFont="1" applyFill="1"/>
    <xf numFmtId="0" fontId="4" fillId="4" borderId="1" xfId="3" applyFill="1"/>
    <xf numFmtId="0" fontId="4" fillId="9" borderId="1" xfId="3" applyFill="1" applyAlignment="1">
      <alignment horizontal="center" vertical="center"/>
    </xf>
    <xf numFmtId="0" fontId="4" fillId="9" borderId="7" xfId="3" applyFill="1" applyBorder="1" applyAlignment="1">
      <alignment vertical="center"/>
    </xf>
    <xf numFmtId="49" fontId="4" fillId="9" borderId="7" xfId="3" applyNumberFormat="1" applyFill="1" applyBorder="1" applyAlignment="1">
      <alignment vertical="center"/>
    </xf>
    <xf numFmtId="0" fontId="4" fillId="6" borderId="7" xfId="3" applyBorder="1" applyAlignment="1">
      <alignment vertical="center"/>
    </xf>
    <xf numFmtId="0" fontId="4" fillId="6" borderId="1" xfId="3" applyAlignment="1">
      <alignment horizontal="left"/>
    </xf>
    <xf numFmtId="0" fontId="1" fillId="10" borderId="23" xfId="0" applyFont="1" applyFill="1" applyBorder="1" applyAlignment="1">
      <alignment textRotation="255"/>
    </xf>
    <xf numFmtId="0" fontId="4" fillId="6" borderId="27" xfId="3" applyBorder="1" applyAlignment="1">
      <alignment vertical="center"/>
    </xf>
    <xf numFmtId="0" fontId="1" fillId="10" borderId="24" xfId="0" applyFont="1" applyFill="1" applyBorder="1" applyAlignment="1">
      <alignment textRotation="255"/>
    </xf>
    <xf numFmtId="0" fontId="4" fillId="6" borderId="6" xfId="3" applyBorder="1" applyAlignment="1">
      <alignment vertical="center"/>
    </xf>
    <xf numFmtId="49" fontId="0" fillId="0" borderId="0" xfId="0" applyNumberFormat="1"/>
    <xf numFmtId="0" fontId="0" fillId="0" borderId="0" xfId="0" applyAlignment="1"/>
    <xf numFmtId="0" fontId="11" fillId="0" borderId="0" xfId="0" applyFont="1"/>
    <xf numFmtId="0" fontId="0" fillId="0" borderId="0" xfId="0"/>
    <xf numFmtId="0" fontId="0" fillId="0" borderId="0" xfId="0" applyFill="1" applyAlignment="1">
      <alignment horizontal="center"/>
    </xf>
    <xf numFmtId="0" fontId="2" fillId="0" borderId="0" xfId="1" applyAlignment="1" applyProtection="1"/>
    <xf numFmtId="14" fontId="0" fillId="3" borderId="0" xfId="0" applyNumberFormat="1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NumberFormat="1" applyFill="1" applyAlignment="1">
      <alignment horizontal="center"/>
    </xf>
    <xf numFmtId="0" fontId="0" fillId="0" borderId="0" xfId="0" applyAlignment="1"/>
    <xf numFmtId="0" fontId="0" fillId="0" borderId="28" xfId="0" applyFill="1" applyBorder="1" applyAlignment="1">
      <alignment horizontal="center" vertical="center" wrapText="1"/>
    </xf>
    <xf numFmtId="0" fontId="0" fillId="0" borderId="28" xfId="0" applyNumberFormat="1" applyBorder="1"/>
    <xf numFmtId="0" fontId="0" fillId="0" borderId="28" xfId="0" pivotButton="1" applyBorder="1" applyAlignment="1"/>
    <xf numFmtId="0" fontId="0" fillId="0" borderId="28" xfId="0" pivotButton="1" applyBorder="1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pivotButton="1" applyAlignment="1"/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6" borderId="1" xfId="3" applyAlignment="1">
      <alignment vertical="center"/>
    </xf>
    <xf numFmtId="0" fontId="4" fillId="6" borderId="7" xfId="3" applyBorder="1" applyAlignment="1">
      <alignment horizontal="left"/>
    </xf>
    <xf numFmtId="49" fontId="4" fillId="11" borderId="7" xfId="3" applyNumberFormat="1" applyFill="1" applyBorder="1" applyAlignment="1">
      <alignment vertical="center"/>
    </xf>
    <xf numFmtId="0" fontId="4" fillId="11" borderId="1" xfId="3" applyFill="1"/>
    <xf numFmtId="49" fontId="4" fillId="11" borderId="1" xfId="3" applyNumberFormat="1" applyFill="1" applyAlignment="1">
      <alignment vertical="center"/>
    </xf>
    <xf numFmtId="0" fontId="4" fillId="11" borderId="1" xfId="3" applyFont="1" applyFill="1"/>
    <xf numFmtId="49" fontId="4" fillId="11" borderId="7" xfId="3" applyNumberFormat="1" applyFill="1" applyBorder="1" applyAlignment="1">
      <alignment horizontal="left"/>
    </xf>
    <xf numFmtId="49" fontId="4" fillId="11" borderId="6" xfId="3" applyNumberFormat="1" applyFill="1" applyBorder="1" applyAlignment="1">
      <alignment horizontal="left"/>
    </xf>
    <xf numFmtId="49" fontId="4" fillId="11" borderId="6" xfId="3" applyNumberFormat="1" applyFill="1" applyBorder="1" applyAlignment="1">
      <alignment vertical="center"/>
    </xf>
    <xf numFmtId="0" fontId="4" fillId="11" borderId="30" xfId="3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4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5" borderId="1" xfId="3" applyFill="1" applyAlignment="1">
      <alignment vertical="center"/>
    </xf>
    <xf numFmtId="49" fontId="4" fillId="5" borderId="1" xfId="3" applyNumberFormat="1" applyFill="1" applyAlignment="1">
      <alignment vertical="center"/>
    </xf>
    <xf numFmtId="0" fontId="4" fillId="5" borderId="1" xfId="3" applyFill="1"/>
    <xf numFmtId="0" fontId="4" fillId="6" borderId="27" xfId="3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9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3" fillId="12" borderId="15" xfId="5" applyFont="1" applyBorder="1"/>
    <xf numFmtId="0" fontId="12" fillId="12" borderId="15" xfId="5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6" borderId="0" xfId="3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1" applyAlignment="1" applyProtection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6" borderId="12" xfId="3" applyFont="1" applyBorder="1" applyAlignment="1">
      <alignment horizontal="center"/>
    </xf>
    <xf numFmtId="0" fontId="4" fillId="6" borderId="15" xfId="3" applyBorder="1" applyAlignment="1">
      <alignment horizontal="center" vertical="center" wrapText="1"/>
    </xf>
    <xf numFmtId="0" fontId="4" fillId="6" borderId="10" xfId="3" applyBorder="1" applyAlignment="1">
      <alignment vertical="center" wrapText="1"/>
    </xf>
    <xf numFmtId="0" fontId="4" fillId="6" borderId="15" xfId="3" applyBorder="1" applyAlignment="1"/>
    <xf numFmtId="0" fontId="5" fillId="7" borderId="15" xfId="4" applyBorder="1" applyAlignment="1">
      <alignment horizontal="center"/>
    </xf>
    <xf numFmtId="0" fontId="5" fillId="7" borderId="15" xfId="4" applyBorder="1" applyAlignment="1">
      <alignment horizontal="center" vertical="center" wrapText="1"/>
    </xf>
    <xf numFmtId="0" fontId="4" fillId="6" borderId="15" xfId="3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Alignment="1">
      <alignment vertical="center" wrapText="1"/>
    </xf>
    <xf numFmtId="0" fontId="16" fillId="14" borderId="36" xfId="0" applyFont="1" applyFill="1" applyBorder="1" applyAlignment="1">
      <alignment vertical="center"/>
    </xf>
    <xf numFmtId="0" fontId="16" fillId="14" borderId="37" xfId="0" applyFont="1" applyFill="1" applyBorder="1" applyAlignment="1">
      <alignment vertical="center"/>
    </xf>
    <xf numFmtId="0" fontId="16" fillId="15" borderId="25" xfId="0" applyFont="1" applyFill="1" applyBorder="1" applyAlignment="1">
      <alignment vertical="center"/>
    </xf>
    <xf numFmtId="0" fontId="16" fillId="15" borderId="37" xfId="0" applyFont="1" applyFill="1" applyBorder="1" applyAlignment="1">
      <alignment vertical="center"/>
    </xf>
    <xf numFmtId="0" fontId="16" fillId="0" borderId="37" xfId="0" applyFont="1" applyBorder="1" applyAlignment="1">
      <alignment vertical="center"/>
    </xf>
    <xf numFmtId="0" fontId="16" fillId="9" borderId="37" xfId="0" applyFont="1" applyFill="1" applyBorder="1" applyAlignment="1">
      <alignment vertical="center"/>
    </xf>
    <xf numFmtId="0" fontId="17" fillId="15" borderId="37" xfId="0" applyFont="1" applyFill="1" applyBorder="1" applyAlignment="1">
      <alignment vertical="center"/>
    </xf>
    <xf numFmtId="0" fontId="16" fillId="0" borderId="38" xfId="0" applyFont="1" applyBorder="1" applyAlignment="1">
      <alignment vertical="center"/>
    </xf>
    <xf numFmtId="0" fontId="16" fillId="15" borderId="19" xfId="0" applyFont="1" applyFill="1" applyBorder="1" applyAlignment="1">
      <alignment vertical="center"/>
    </xf>
    <xf numFmtId="0" fontId="16" fillId="15" borderId="36" xfId="0" applyFont="1" applyFill="1" applyBorder="1" applyAlignment="1">
      <alignment vertical="center"/>
    </xf>
    <xf numFmtId="0" fontId="16" fillId="15" borderId="24" xfId="0" applyFont="1" applyFill="1" applyBorder="1" applyAlignment="1">
      <alignment vertical="center"/>
    </xf>
    <xf numFmtId="0" fontId="16" fillId="9" borderId="38" xfId="0" applyFont="1" applyFill="1" applyBorder="1" applyAlignment="1">
      <alignment vertical="center"/>
    </xf>
    <xf numFmtId="0" fontId="16" fillId="0" borderId="36" xfId="0" applyFont="1" applyBorder="1" applyAlignment="1">
      <alignment vertical="center"/>
    </xf>
    <xf numFmtId="0" fontId="16" fillId="0" borderId="39" xfId="0" applyFont="1" applyBorder="1" applyAlignment="1">
      <alignment vertical="center"/>
    </xf>
    <xf numFmtId="0" fontId="16" fillId="0" borderId="35" xfId="0" applyFont="1" applyBorder="1" applyAlignment="1">
      <alignment vertical="center"/>
    </xf>
    <xf numFmtId="0" fontId="16" fillId="0" borderId="25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1" applyAlignment="1" applyProtection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/>
    <xf numFmtId="0" fontId="0" fillId="0" borderId="0" xfId="0" applyAlignment="1">
      <alignment horizontal="center"/>
    </xf>
    <xf numFmtId="0" fontId="19" fillId="16" borderId="15" xfId="0" applyFont="1" applyFill="1" applyBorder="1" applyAlignment="1">
      <alignment horizontal="center" wrapText="1"/>
    </xf>
    <xf numFmtId="0" fontId="19" fillId="16" borderId="15" xfId="0" applyFont="1" applyFill="1" applyBorder="1" applyAlignment="1">
      <alignment horizontal="center"/>
    </xf>
    <xf numFmtId="0" fontId="18" fillId="17" borderId="15" xfId="0" applyFont="1" applyFill="1" applyBorder="1" applyAlignment="1">
      <alignment horizontal="left" vertical="center" wrapText="1"/>
    </xf>
    <xf numFmtId="164" fontId="0" fillId="0" borderId="15" xfId="0" applyNumberFormat="1" applyBorder="1" applyAlignment="1">
      <alignment horizontal="center" vertical="center"/>
    </xf>
    <xf numFmtId="164" fontId="20" fillId="0" borderId="15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7" borderId="15" xfId="4" applyBorder="1" applyAlignment="1">
      <alignment horizontal="center" vertical="center" wrapText="1"/>
    </xf>
    <xf numFmtId="0" fontId="4" fillId="6" borderId="15" xfId="3" applyBorder="1" applyAlignment="1">
      <alignment horizontal="center" vertical="center" wrapText="1"/>
    </xf>
    <xf numFmtId="0" fontId="4" fillId="6" borderId="15" xfId="3" applyFont="1" applyBorder="1" applyAlignment="1">
      <alignment horizontal="left"/>
    </xf>
    <xf numFmtId="0" fontId="4" fillId="6" borderId="12" xfId="3" applyFont="1" applyBorder="1" applyAlignment="1"/>
    <xf numFmtId="0" fontId="4" fillId="6" borderId="10" xfId="3" applyFont="1" applyBorder="1" applyAlignment="1"/>
    <xf numFmtId="0" fontId="4" fillId="6" borderId="11" xfId="3" applyFont="1" applyBorder="1" applyAlignment="1"/>
    <xf numFmtId="0" fontId="4" fillId="5" borderId="15" xfId="3" applyFill="1" applyBorder="1" applyAlignment="1">
      <alignment horizontal="center" vertical="center" wrapText="1"/>
    </xf>
    <xf numFmtId="0" fontId="4" fillId="9" borderId="15" xfId="3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0" fillId="5" borderId="0" xfId="0" applyNumberFormat="1" applyFill="1" applyAlignment="1">
      <alignment horizontal="center"/>
    </xf>
    <xf numFmtId="0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0" fontId="2" fillId="5" borderId="0" xfId="1" applyFill="1" applyAlignment="1" applyProtection="1"/>
    <xf numFmtId="0" fontId="0" fillId="5" borderId="0" xfId="0" applyFont="1" applyFill="1" applyAlignment="1">
      <alignment horizontal="center"/>
    </xf>
    <xf numFmtId="0" fontId="0" fillId="5" borderId="0" xfId="0" applyFill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6" fillId="0" borderId="15" xfId="0" applyFont="1" applyBorder="1"/>
    <xf numFmtId="0" fontId="27" fillId="0" borderId="15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9" fillId="8" borderId="16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9" fillId="8" borderId="19" xfId="0" applyFont="1" applyFill="1" applyBorder="1" applyAlignment="1">
      <alignment horizontal="center" vertical="center"/>
    </xf>
    <xf numFmtId="0" fontId="3" fillId="6" borderId="7" xfId="2" applyFill="1" applyBorder="1" applyAlignment="1">
      <alignment horizontal="center"/>
    </xf>
    <xf numFmtId="0" fontId="3" fillId="6" borderId="1" xfId="2" applyFill="1" applyBorder="1" applyAlignment="1">
      <alignment horizontal="center"/>
    </xf>
    <xf numFmtId="0" fontId="3" fillId="6" borderId="10" xfId="2" applyFill="1" applyBorder="1" applyAlignment="1">
      <alignment horizontal="center"/>
    </xf>
    <xf numFmtId="0" fontId="3" fillId="6" borderId="11" xfId="2" applyFill="1" applyBorder="1" applyAlignment="1">
      <alignment horizontal="center"/>
    </xf>
    <xf numFmtId="0" fontId="3" fillId="6" borderId="12" xfId="2" applyFill="1" applyBorder="1" applyAlignment="1">
      <alignment horizontal="center"/>
    </xf>
    <xf numFmtId="0" fontId="3" fillId="6" borderId="4" xfId="2" applyFill="1" applyBorder="1" applyAlignment="1">
      <alignment horizontal="center"/>
    </xf>
    <xf numFmtId="0" fontId="3" fillId="6" borderId="5" xfId="2" applyFill="1" applyBorder="1" applyAlignment="1">
      <alignment horizontal="center"/>
    </xf>
    <xf numFmtId="0" fontId="6" fillId="0" borderId="0" xfId="0" applyFont="1" applyAlignment="1">
      <alignment horizontal="center"/>
    </xf>
    <xf numFmtId="0" fontId="0" fillId="0" borderId="5" xfId="0" applyBorder="1"/>
    <xf numFmtId="0" fontId="1" fillId="10" borderId="23" xfId="0" applyFont="1" applyFill="1" applyBorder="1" applyAlignment="1">
      <alignment horizontal="center" textRotation="255"/>
    </xf>
    <xf numFmtId="0" fontId="1" fillId="10" borderId="24" xfId="0" applyFont="1" applyFill="1" applyBorder="1" applyAlignment="1">
      <alignment horizontal="center" textRotation="255"/>
    </xf>
    <xf numFmtId="0" fontId="1" fillId="10" borderId="25" xfId="0" applyFont="1" applyFill="1" applyBorder="1" applyAlignment="1">
      <alignment horizontal="center" textRotation="255"/>
    </xf>
    <xf numFmtId="0" fontId="4" fillId="6" borderId="1" xfId="3" applyAlignment="1">
      <alignment horizontal="center" vertical="center"/>
    </xf>
    <xf numFmtId="0" fontId="4" fillId="6" borderId="6" xfId="3" applyBorder="1" applyAlignment="1">
      <alignment horizontal="center" vertical="center"/>
    </xf>
    <xf numFmtId="0" fontId="4" fillId="6" borderId="22" xfId="3" applyBorder="1" applyAlignment="1">
      <alignment horizontal="center" vertical="center"/>
    </xf>
    <xf numFmtId="0" fontId="4" fillId="6" borderId="21" xfId="3" applyBorder="1" applyAlignment="1">
      <alignment horizontal="center" vertical="center"/>
    </xf>
    <xf numFmtId="0" fontId="4" fillId="6" borderId="7" xfId="3" applyBorder="1" applyAlignment="1">
      <alignment horizontal="center" vertical="center"/>
    </xf>
    <xf numFmtId="0" fontId="4" fillId="6" borderId="26" xfId="3" applyBorder="1" applyAlignment="1">
      <alignment horizontal="center" vertical="center"/>
    </xf>
    <xf numFmtId="0" fontId="4" fillId="9" borderId="3" xfId="3" applyFill="1" applyBorder="1" applyAlignment="1">
      <alignment horizontal="center"/>
    </xf>
    <xf numFmtId="0" fontId="4" fillId="9" borderId="20" xfId="3" applyFill="1" applyBorder="1" applyAlignment="1">
      <alignment horizontal="center"/>
    </xf>
    <xf numFmtId="0" fontId="4" fillId="9" borderId="21" xfId="3" applyFill="1" applyBorder="1" applyAlignment="1">
      <alignment horizontal="center"/>
    </xf>
    <xf numFmtId="0" fontId="4" fillId="9" borderId="1" xfId="3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28" xfId="0" applyBorder="1" applyAlignment="1">
      <alignment horizontal="center"/>
    </xf>
    <xf numFmtId="0" fontId="0" fillId="0" borderId="28" xfId="0" applyBorder="1" applyAlignment="1"/>
    <xf numFmtId="0" fontId="15" fillId="13" borderId="23" xfId="0" applyFont="1" applyFill="1" applyBorder="1" applyAlignment="1">
      <alignment horizontal="center" vertical="center"/>
    </xf>
    <xf numFmtId="0" fontId="15" fillId="13" borderId="40" xfId="0" applyFont="1" applyFill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0" fontId="15" fillId="13" borderId="16" xfId="0" applyFont="1" applyFill="1" applyBorder="1" applyAlignment="1">
      <alignment horizontal="center" vertical="center"/>
    </xf>
    <xf numFmtId="0" fontId="15" fillId="13" borderId="17" xfId="0" applyFont="1" applyFill="1" applyBorder="1" applyAlignment="1">
      <alignment horizontal="center" vertical="center"/>
    </xf>
    <xf numFmtId="0" fontId="15" fillId="13" borderId="32" xfId="0" applyFont="1" applyFill="1" applyBorder="1" applyAlignment="1">
      <alignment horizontal="center" vertical="center"/>
    </xf>
    <xf numFmtId="0" fontId="15" fillId="13" borderId="31" xfId="0" applyFont="1" applyFill="1" applyBorder="1" applyAlignment="1">
      <alignment horizontal="center" vertical="center"/>
    </xf>
    <xf numFmtId="0" fontId="15" fillId="13" borderId="0" xfId="0" applyFont="1" applyFill="1" applyBorder="1" applyAlignment="1">
      <alignment horizontal="center" vertical="center"/>
    </xf>
    <xf numFmtId="0" fontId="15" fillId="13" borderId="33" xfId="0" applyFont="1" applyFill="1" applyBorder="1" applyAlignment="1">
      <alignment horizontal="center" vertical="center"/>
    </xf>
    <xf numFmtId="0" fontId="15" fillId="13" borderId="41" xfId="0" applyFont="1" applyFill="1" applyBorder="1" applyAlignment="1">
      <alignment horizontal="center" vertical="center"/>
    </xf>
    <xf numFmtId="0" fontId="15" fillId="13" borderId="42" xfId="0" applyFont="1" applyFill="1" applyBorder="1" applyAlignment="1">
      <alignment horizontal="center" vertical="center"/>
    </xf>
    <xf numFmtId="0" fontId="15" fillId="13" borderId="34" xfId="0" applyFont="1" applyFill="1" applyBorder="1" applyAlignment="1">
      <alignment horizontal="center" vertical="center"/>
    </xf>
    <xf numFmtId="0" fontId="15" fillId="13" borderId="43" xfId="0" applyFont="1" applyFill="1" applyBorder="1" applyAlignment="1">
      <alignment vertical="center"/>
    </xf>
    <xf numFmtId="0" fontId="15" fillId="13" borderId="44" xfId="0" applyFont="1" applyFill="1" applyBorder="1" applyAlignment="1">
      <alignment vertical="center"/>
    </xf>
    <xf numFmtId="0" fontId="5" fillId="7" borderId="15" xfId="4" applyBorder="1" applyAlignment="1">
      <alignment horizontal="center" vertical="center" wrapText="1"/>
    </xf>
    <xf numFmtId="0" fontId="4" fillId="6" borderId="12" xfId="3" applyFont="1" applyBorder="1" applyAlignment="1">
      <alignment horizontal="center"/>
    </xf>
    <xf numFmtId="0" fontId="4" fillId="6" borderId="10" xfId="3" applyFont="1" applyBorder="1" applyAlignment="1">
      <alignment horizontal="center"/>
    </xf>
    <xf numFmtId="0" fontId="4" fillId="6" borderId="11" xfId="3" applyFont="1" applyBorder="1" applyAlignment="1">
      <alignment horizontal="center"/>
    </xf>
    <xf numFmtId="0" fontId="4" fillId="6" borderId="15" xfId="3" applyBorder="1" applyAlignment="1">
      <alignment horizontal="center" vertical="center" wrapText="1"/>
    </xf>
    <xf numFmtId="0" fontId="4" fillId="6" borderId="12" xfId="3" applyBorder="1" applyAlignment="1">
      <alignment horizontal="center" vertical="center" wrapText="1"/>
    </xf>
    <xf numFmtId="0" fontId="4" fillId="6" borderId="10" xfId="3" applyBorder="1" applyAlignment="1">
      <alignment horizontal="center" vertical="center" wrapText="1"/>
    </xf>
    <xf numFmtId="0" fontId="4" fillId="6" borderId="11" xfId="3" applyBorder="1" applyAlignment="1">
      <alignment horizontal="center" vertical="center" wrapText="1"/>
    </xf>
    <xf numFmtId="164" fontId="4" fillId="6" borderId="15" xfId="3" applyNumberFormat="1" applyBorder="1" applyAlignment="1">
      <alignment horizontal="center" vertical="center" wrapText="1"/>
    </xf>
    <xf numFmtId="0" fontId="4" fillId="5" borderId="15" xfId="3" applyFill="1" applyBorder="1" applyAlignment="1">
      <alignment horizontal="center" vertical="center" wrapText="1"/>
    </xf>
    <xf numFmtId="164" fontId="4" fillId="9" borderId="15" xfId="3" applyNumberFormat="1" applyFill="1" applyBorder="1" applyAlignment="1">
      <alignment horizontal="center" vertical="center" wrapText="1"/>
    </xf>
    <xf numFmtId="0" fontId="4" fillId="9" borderId="12" xfId="3" applyFill="1" applyBorder="1" applyAlignment="1">
      <alignment horizontal="center" vertical="center" wrapText="1"/>
    </xf>
    <xf numFmtId="0" fontId="4" fillId="9" borderId="10" xfId="3" applyFill="1" applyBorder="1" applyAlignment="1">
      <alignment horizontal="center" vertical="center" wrapText="1"/>
    </xf>
    <xf numFmtId="0" fontId="4" fillId="9" borderId="11" xfId="3" applyFill="1" applyBorder="1" applyAlignment="1">
      <alignment horizontal="center" vertical="center" wrapText="1"/>
    </xf>
    <xf numFmtId="0" fontId="4" fillId="5" borderId="12" xfId="3" applyFill="1" applyBorder="1" applyAlignment="1">
      <alignment horizontal="center" vertical="center" wrapText="1"/>
    </xf>
    <xf numFmtId="0" fontId="4" fillId="5" borderId="10" xfId="3" applyFill="1" applyBorder="1" applyAlignment="1">
      <alignment horizontal="center" vertical="center" wrapText="1"/>
    </xf>
    <xf numFmtId="0" fontId="4" fillId="5" borderId="11" xfId="3" applyFill="1" applyBorder="1" applyAlignment="1">
      <alignment horizontal="center" vertical="center" wrapText="1"/>
    </xf>
    <xf numFmtId="0" fontId="0" fillId="9" borderId="12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19" fillId="16" borderId="45" xfId="0" applyFont="1" applyFill="1" applyBorder="1" applyAlignment="1">
      <alignment horizontal="center"/>
    </xf>
    <xf numFmtId="0" fontId="18" fillId="17" borderId="45" xfId="0" applyFont="1" applyFill="1" applyBorder="1" applyAlignment="1">
      <alignment horizontal="left" vertical="center" wrapText="1"/>
    </xf>
    <xf numFmtId="0" fontId="18" fillId="17" borderId="0" xfId="0" applyFont="1" applyFill="1" applyBorder="1" applyAlignment="1">
      <alignment horizontal="left" vertical="center" wrapText="1"/>
    </xf>
  </cellXfs>
  <cellStyles count="6">
    <cellStyle name="Check Cell" xfId="4" builtinId="23"/>
    <cellStyle name="Good" xfId="5" builtinId="26"/>
    <cellStyle name="Heading 4" xfId="2" builtinId="19"/>
    <cellStyle name="Hyperlink" xfId="1" builtinId="8"/>
    <cellStyle name="Normal" xfId="0" builtinId="0"/>
    <cellStyle name="Output" xfId="3" builtinId="21"/>
  </cellStyles>
  <dxfs count="1901"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6"/>
      </font>
      <fill>
        <patternFill>
          <bgColor theme="6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border>
        <vertical style="double">
          <color indexed="64"/>
        </vertical>
        <horizontal style="double">
          <color indexed="64"/>
        </horizontal>
      </border>
    </dxf>
    <dxf>
      <border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bottom style="double">
          <color indexed="64"/>
        </bottom>
        <vertical style="double">
          <color indexed="64"/>
        </vertical>
      </border>
    </dxf>
    <dxf>
      <border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bottom style="double">
          <color indexed="64"/>
        </bottom>
        <vertical style="double">
          <color indexed="64"/>
        </vertic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alignment horizontal="left" readingOrder="0"/>
    </dxf>
    <dxf>
      <alignment horizontal="left" readingOrder="0"/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f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6"/>
      </font>
      <fill>
        <patternFill>
          <bgColor theme="6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border>
        <vertical style="double">
          <color indexed="64"/>
        </vertical>
        <horizontal style="double">
          <color indexed="64"/>
        </horizontal>
      </border>
    </dxf>
    <dxf>
      <border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bottom style="double">
          <color indexed="64"/>
        </bottom>
        <vertical style="double">
          <color indexed="64"/>
        </vertical>
      </border>
    </dxf>
    <dxf>
      <border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bottom style="double">
          <color indexed="64"/>
        </bottom>
        <vertical style="double">
          <color indexed="64"/>
        </vertic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alignment horizontal="left" readingOrder="0"/>
    </dxf>
    <dxf>
      <alignment horizontal="left" readingOrder="0"/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border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  <vertical style="double">
          <color indexed="64"/>
        </vertical>
        <horizontal style="double">
          <color indexed="64"/>
        </horizontal>
      </border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f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6"/>
      </font>
      <fill>
        <patternFill>
          <bgColor theme="6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9" defaultPivotStyle="PivotStyleLight16"/>
  <colors>
    <mruColors>
      <color rgb="FFFF00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[F05(CM-P-01)Release_Tracker.xlsm]Derived Data-Component Specific!PivotTable1</c:name>
    <c:fmtId val="9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Release Status</a:t>
            </a:r>
          </a:p>
        </c:rich>
      </c:tx>
      <c:layout>
        <c:manualLayout>
          <c:xMode val="edge"/>
          <c:yMode val="edge"/>
          <c:x val="8.0545164489733242E-2"/>
          <c:y val="0.17932897235253981"/>
        </c:manualLayout>
      </c:layout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  <c:dLbl>
          <c:idx val="0"/>
          <c:delete val="1"/>
        </c:dLbl>
      </c:pivotFmt>
      <c:pivotFmt>
        <c:idx val="29"/>
        <c:dLbl>
          <c:idx val="0"/>
          <c:delete val="1"/>
        </c:dLbl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  <c:dLbl>
          <c:idx val="0"/>
          <c:delete val="1"/>
        </c:dLbl>
      </c:pivotFmt>
      <c:pivotFmt>
        <c:idx val="52"/>
        <c:dLbl>
          <c:idx val="0"/>
          <c:delete val="1"/>
        </c:dLbl>
      </c:pivotFmt>
      <c:pivotFmt>
        <c:idx val="53"/>
        <c:dLbl>
          <c:idx val="0"/>
          <c:delete val="1"/>
        </c:dLbl>
      </c:pivotFmt>
      <c:pivotFmt>
        <c:idx val="54"/>
        <c:dLbl>
          <c:idx val="0"/>
          <c:delete val="1"/>
        </c:dLbl>
      </c:pivotFmt>
      <c:pivotFmt>
        <c:idx val="55"/>
        <c:dLbl>
          <c:idx val="0"/>
          <c:delete val="1"/>
        </c:dLbl>
      </c:pivotFmt>
      <c:pivotFmt>
        <c:idx val="56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57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5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59"/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  <c:dLbl>
          <c:idx val="0"/>
          <c:delete val="1"/>
        </c:dLbl>
      </c:pivotFmt>
      <c:pivotFmt>
        <c:idx val="62"/>
        <c:marker>
          <c:symbol val="none"/>
        </c:marker>
        <c:dLbl>
          <c:idx val="0"/>
          <c:delete val="1"/>
        </c:dLbl>
      </c:pivotFmt>
      <c:pivotFmt>
        <c:idx val="63"/>
        <c:marker>
          <c:symbol val="none"/>
        </c:marker>
        <c:dLbl>
          <c:idx val="0"/>
          <c:delete val="1"/>
        </c:dLbl>
      </c:pivotFmt>
      <c:pivotFmt>
        <c:idx val="64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'Derived Data-Component Specific'!$C$5:$C$6</c:f>
              <c:strCache>
                <c:ptCount val="1"/>
                <c:pt idx="0">
                  <c:v>Unknown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'Derived Data-Component Specific'!$A$7:$B$49</c:f>
              <c:multiLvlStrCache>
                <c:ptCount val="40"/>
                <c:lvl>
                  <c:pt idx="0">
                    <c:v>2014-Jan</c:v>
                  </c:pt>
                  <c:pt idx="1">
                    <c:v>2014-Feb</c:v>
                  </c:pt>
                  <c:pt idx="2">
                    <c:v>2014-Mar</c:v>
                  </c:pt>
                  <c:pt idx="3">
                    <c:v>2014-Apr</c:v>
                  </c:pt>
                  <c:pt idx="4">
                    <c:v>2014-May</c:v>
                  </c:pt>
                  <c:pt idx="5">
                    <c:v>2014-Jun</c:v>
                  </c:pt>
                  <c:pt idx="6">
                    <c:v>2014-Jul</c:v>
                  </c:pt>
                  <c:pt idx="7">
                    <c:v>2014-Aug</c:v>
                  </c:pt>
                  <c:pt idx="8">
                    <c:v>2014-Sep</c:v>
                  </c:pt>
                  <c:pt idx="9">
                    <c:v>2014-Oct</c:v>
                  </c:pt>
                  <c:pt idx="10">
                    <c:v>2014-Nov</c:v>
                  </c:pt>
                  <c:pt idx="11">
                    <c:v>2014-Dec</c:v>
                  </c:pt>
                  <c:pt idx="12">
                    <c:v>2015-Jan</c:v>
                  </c:pt>
                  <c:pt idx="13">
                    <c:v>2015-Feb</c:v>
                  </c:pt>
                  <c:pt idx="14">
                    <c:v>2015-Mar</c:v>
                  </c:pt>
                  <c:pt idx="15">
                    <c:v>2015-Apr</c:v>
                  </c:pt>
                  <c:pt idx="16">
                    <c:v>2015-May</c:v>
                  </c:pt>
                  <c:pt idx="17">
                    <c:v>2015-Jun</c:v>
                  </c:pt>
                  <c:pt idx="18">
                    <c:v>2015-Jul</c:v>
                  </c:pt>
                  <c:pt idx="19">
                    <c:v>2015-Aug</c:v>
                  </c:pt>
                  <c:pt idx="20">
                    <c:v>2014-Jan</c:v>
                  </c:pt>
                  <c:pt idx="21">
                    <c:v>2014-Feb</c:v>
                  </c:pt>
                  <c:pt idx="22">
                    <c:v>2014-Mar</c:v>
                  </c:pt>
                  <c:pt idx="23">
                    <c:v>2014-Apr</c:v>
                  </c:pt>
                  <c:pt idx="24">
                    <c:v>2014-May</c:v>
                  </c:pt>
                  <c:pt idx="25">
                    <c:v>2014-Jun</c:v>
                  </c:pt>
                  <c:pt idx="26">
                    <c:v>2014-Jul</c:v>
                  </c:pt>
                  <c:pt idx="27">
                    <c:v>2014-Aug</c:v>
                  </c:pt>
                  <c:pt idx="28">
                    <c:v>2014-Sep</c:v>
                  </c:pt>
                  <c:pt idx="29">
                    <c:v>2014-Oct</c:v>
                  </c:pt>
                  <c:pt idx="30">
                    <c:v>2014-Nov</c:v>
                  </c:pt>
                  <c:pt idx="31">
                    <c:v>2014-Dec</c:v>
                  </c:pt>
                  <c:pt idx="32">
                    <c:v>2015-Jan</c:v>
                  </c:pt>
                  <c:pt idx="33">
                    <c:v>2015-Feb</c:v>
                  </c:pt>
                  <c:pt idx="34">
                    <c:v>2015-Mar</c:v>
                  </c:pt>
                  <c:pt idx="35">
                    <c:v>2015-Apr</c:v>
                  </c:pt>
                  <c:pt idx="36">
                    <c:v>2015-May</c:v>
                  </c:pt>
                  <c:pt idx="37">
                    <c:v>2015-Jun</c:v>
                  </c:pt>
                  <c:pt idx="38">
                    <c:v>2015-Jul</c:v>
                  </c:pt>
                  <c:pt idx="39">
                    <c:v>2015-Aug</c:v>
                  </c:pt>
                </c:lvl>
                <c:lvl>
                  <c:pt idx="0">
                    <c:v>Build</c:v>
                  </c:pt>
                  <c:pt idx="20">
                    <c:v>Patch</c:v>
                  </c:pt>
                </c:lvl>
              </c:multiLvlStrCache>
            </c:multiLvlStrRef>
          </c:cat>
          <c:val>
            <c:numRef>
              <c:f>'Derived Data-Component Specific'!$C$7:$C$49</c:f>
              <c:numCache>
                <c:formatCode>General</c:formatCode>
                <c:ptCount val="40"/>
                <c:pt idx="0">
                  <c:v>14</c:v>
                </c:pt>
                <c:pt idx="1">
                  <c:v>9</c:v>
                </c:pt>
                <c:pt idx="2">
                  <c:v>9</c:v>
                </c:pt>
                <c:pt idx="3">
                  <c:v>20</c:v>
                </c:pt>
                <c:pt idx="4">
                  <c:v>11</c:v>
                </c:pt>
                <c:pt idx="5">
                  <c:v>3</c:v>
                </c:pt>
                <c:pt idx="6">
                  <c:v>7</c:v>
                </c:pt>
                <c:pt idx="7">
                  <c:v>8</c:v>
                </c:pt>
                <c:pt idx="8">
                  <c:v>7</c:v>
                </c:pt>
                <c:pt idx="9">
                  <c:v>8</c:v>
                </c:pt>
                <c:pt idx="10">
                  <c:v>19</c:v>
                </c:pt>
                <c:pt idx="11">
                  <c:v>18</c:v>
                </c:pt>
                <c:pt idx="12">
                  <c:v>7</c:v>
                </c:pt>
                <c:pt idx="13">
                  <c:v>8</c:v>
                </c:pt>
                <c:pt idx="14">
                  <c:v>4</c:v>
                </c:pt>
                <c:pt idx="15">
                  <c:v>13</c:v>
                </c:pt>
                <c:pt idx="16">
                  <c:v>11</c:v>
                </c:pt>
                <c:pt idx="17">
                  <c:v>6</c:v>
                </c:pt>
                <c:pt idx="18">
                  <c:v>13</c:v>
                </c:pt>
                <c:pt idx="19">
                  <c:v>2</c:v>
                </c:pt>
                <c:pt idx="20">
                  <c:v>17</c:v>
                </c:pt>
                <c:pt idx="21">
                  <c:v>7</c:v>
                </c:pt>
                <c:pt idx="22">
                  <c:v>10</c:v>
                </c:pt>
                <c:pt idx="23">
                  <c:v>19</c:v>
                </c:pt>
                <c:pt idx="24">
                  <c:v>17</c:v>
                </c:pt>
                <c:pt idx="25">
                  <c:v>5</c:v>
                </c:pt>
                <c:pt idx="26">
                  <c:v>15</c:v>
                </c:pt>
                <c:pt idx="27">
                  <c:v>6</c:v>
                </c:pt>
                <c:pt idx="28">
                  <c:v>8</c:v>
                </c:pt>
                <c:pt idx="29">
                  <c:v>19</c:v>
                </c:pt>
                <c:pt idx="30">
                  <c:v>14</c:v>
                </c:pt>
                <c:pt idx="31">
                  <c:v>12</c:v>
                </c:pt>
                <c:pt idx="32">
                  <c:v>19</c:v>
                </c:pt>
                <c:pt idx="33">
                  <c:v>26</c:v>
                </c:pt>
                <c:pt idx="34">
                  <c:v>18</c:v>
                </c:pt>
                <c:pt idx="35">
                  <c:v>25</c:v>
                </c:pt>
                <c:pt idx="36">
                  <c:v>9</c:v>
                </c:pt>
                <c:pt idx="37">
                  <c:v>4</c:v>
                </c:pt>
                <c:pt idx="38">
                  <c:v>11</c:v>
                </c:pt>
                <c:pt idx="39">
                  <c:v>7</c:v>
                </c:pt>
              </c:numCache>
            </c:numRef>
          </c:val>
        </c:ser>
        <c:ser>
          <c:idx val="1"/>
          <c:order val="1"/>
          <c:tx>
            <c:strRef>
              <c:f>'Derived Data-Component Specific'!$D$5:$D$6</c:f>
              <c:strCache>
                <c:ptCount val="1"/>
                <c:pt idx="0">
                  <c:v>Obsolete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'Derived Data-Component Specific'!$A$7:$B$49</c:f>
              <c:multiLvlStrCache>
                <c:ptCount val="40"/>
                <c:lvl>
                  <c:pt idx="0">
                    <c:v>2014-Jan</c:v>
                  </c:pt>
                  <c:pt idx="1">
                    <c:v>2014-Feb</c:v>
                  </c:pt>
                  <c:pt idx="2">
                    <c:v>2014-Mar</c:v>
                  </c:pt>
                  <c:pt idx="3">
                    <c:v>2014-Apr</c:v>
                  </c:pt>
                  <c:pt idx="4">
                    <c:v>2014-May</c:v>
                  </c:pt>
                  <c:pt idx="5">
                    <c:v>2014-Jun</c:v>
                  </c:pt>
                  <c:pt idx="6">
                    <c:v>2014-Jul</c:v>
                  </c:pt>
                  <c:pt idx="7">
                    <c:v>2014-Aug</c:v>
                  </c:pt>
                  <c:pt idx="8">
                    <c:v>2014-Sep</c:v>
                  </c:pt>
                  <c:pt idx="9">
                    <c:v>2014-Oct</c:v>
                  </c:pt>
                  <c:pt idx="10">
                    <c:v>2014-Nov</c:v>
                  </c:pt>
                  <c:pt idx="11">
                    <c:v>2014-Dec</c:v>
                  </c:pt>
                  <c:pt idx="12">
                    <c:v>2015-Jan</c:v>
                  </c:pt>
                  <c:pt idx="13">
                    <c:v>2015-Feb</c:v>
                  </c:pt>
                  <c:pt idx="14">
                    <c:v>2015-Mar</c:v>
                  </c:pt>
                  <c:pt idx="15">
                    <c:v>2015-Apr</c:v>
                  </c:pt>
                  <c:pt idx="16">
                    <c:v>2015-May</c:v>
                  </c:pt>
                  <c:pt idx="17">
                    <c:v>2015-Jun</c:v>
                  </c:pt>
                  <c:pt idx="18">
                    <c:v>2015-Jul</c:v>
                  </c:pt>
                  <c:pt idx="19">
                    <c:v>2015-Aug</c:v>
                  </c:pt>
                  <c:pt idx="20">
                    <c:v>2014-Jan</c:v>
                  </c:pt>
                  <c:pt idx="21">
                    <c:v>2014-Feb</c:v>
                  </c:pt>
                  <c:pt idx="22">
                    <c:v>2014-Mar</c:v>
                  </c:pt>
                  <c:pt idx="23">
                    <c:v>2014-Apr</c:v>
                  </c:pt>
                  <c:pt idx="24">
                    <c:v>2014-May</c:v>
                  </c:pt>
                  <c:pt idx="25">
                    <c:v>2014-Jun</c:v>
                  </c:pt>
                  <c:pt idx="26">
                    <c:v>2014-Jul</c:v>
                  </c:pt>
                  <c:pt idx="27">
                    <c:v>2014-Aug</c:v>
                  </c:pt>
                  <c:pt idx="28">
                    <c:v>2014-Sep</c:v>
                  </c:pt>
                  <c:pt idx="29">
                    <c:v>2014-Oct</c:v>
                  </c:pt>
                  <c:pt idx="30">
                    <c:v>2014-Nov</c:v>
                  </c:pt>
                  <c:pt idx="31">
                    <c:v>2014-Dec</c:v>
                  </c:pt>
                  <c:pt idx="32">
                    <c:v>2015-Jan</c:v>
                  </c:pt>
                  <c:pt idx="33">
                    <c:v>2015-Feb</c:v>
                  </c:pt>
                  <c:pt idx="34">
                    <c:v>2015-Mar</c:v>
                  </c:pt>
                  <c:pt idx="35">
                    <c:v>2015-Apr</c:v>
                  </c:pt>
                  <c:pt idx="36">
                    <c:v>2015-May</c:v>
                  </c:pt>
                  <c:pt idx="37">
                    <c:v>2015-Jun</c:v>
                  </c:pt>
                  <c:pt idx="38">
                    <c:v>2015-Jul</c:v>
                  </c:pt>
                  <c:pt idx="39">
                    <c:v>2015-Aug</c:v>
                  </c:pt>
                </c:lvl>
                <c:lvl>
                  <c:pt idx="0">
                    <c:v>Build</c:v>
                  </c:pt>
                  <c:pt idx="20">
                    <c:v>Patch</c:v>
                  </c:pt>
                </c:lvl>
              </c:multiLvlStrCache>
            </c:multiLvlStrRef>
          </c:cat>
          <c:val>
            <c:numRef>
              <c:f>'Derived Data-Component Specific'!$D$7:$D$49</c:f>
              <c:numCache>
                <c:formatCode>General</c:formatCode>
                <c:ptCount val="40"/>
                <c:pt idx="0">
                  <c:v>4</c:v>
                </c:pt>
                <c:pt idx="1">
                  <c:v>6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12</c:v>
                </c:pt>
                <c:pt idx="10">
                  <c:v>2</c:v>
                </c:pt>
                <c:pt idx="11">
                  <c:v>6</c:v>
                </c:pt>
                <c:pt idx="12">
                  <c:v>5</c:v>
                </c:pt>
                <c:pt idx="13">
                  <c:v>1</c:v>
                </c:pt>
                <c:pt idx="14">
                  <c:v>2</c:v>
                </c:pt>
                <c:pt idx="15">
                  <c:v>5</c:v>
                </c:pt>
                <c:pt idx="16">
                  <c:v>4</c:v>
                </c:pt>
                <c:pt idx="17">
                  <c:v>5</c:v>
                </c:pt>
                <c:pt idx="18">
                  <c:v>4</c:v>
                </c:pt>
                <c:pt idx="20">
                  <c:v>25</c:v>
                </c:pt>
                <c:pt idx="21">
                  <c:v>13</c:v>
                </c:pt>
                <c:pt idx="22">
                  <c:v>29</c:v>
                </c:pt>
                <c:pt idx="23">
                  <c:v>24</c:v>
                </c:pt>
                <c:pt idx="24">
                  <c:v>25</c:v>
                </c:pt>
                <c:pt idx="25">
                  <c:v>19</c:v>
                </c:pt>
                <c:pt idx="26">
                  <c:v>11</c:v>
                </c:pt>
                <c:pt idx="27">
                  <c:v>6</c:v>
                </c:pt>
                <c:pt idx="28">
                  <c:v>18</c:v>
                </c:pt>
                <c:pt idx="29">
                  <c:v>15</c:v>
                </c:pt>
                <c:pt idx="30">
                  <c:v>4</c:v>
                </c:pt>
                <c:pt idx="31">
                  <c:v>5</c:v>
                </c:pt>
                <c:pt idx="32">
                  <c:v>9</c:v>
                </c:pt>
                <c:pt idx="33">
                  <c:v>9</c:v>
                </c:pt>
                <c:pt idx="34">
                  <c:v>5</c:v>
                </c:pt>
                <c:pt idx="35">
                  <c:v>6</c:v>
                </c:pt>
                <c:pt idx="36">
                  <c:v>1</c:v>
                </c:pt>
                <c:pt idx="37">
                  <c:v>8</c:v>
                </c:pt>
                <c:pt idx="38">
                  <c:v>3</c:v>
                </c:pt>
              </c:numCache>
            </c:numRef>
          </c:val>
        </c:ser>
        <c:ser>
          <c:idx val="2"/>
          <c:order val="2"/>
          <c:tx>
            <c:strRef>
              <c:f>'Derived Data-Component Specific'!$E$5:$E$6</c:f>
              <c:strCache>
                <c:ptCount val="1"/>
                <c:pt idx="0">
                  <c:v>Pass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'Derived Data-Component Specific'!$A$7:$B$49</c:f>
              <c:multiLvlStrCache>
                <c:ptCount val="40"/>
                <c:lvl>
                  <c:pt idx="0">
                    <c:v>2014-Jan</c:v>
                  </c:pt>
                  <c:pt idx="1">
                    <c:v>2014-Feb</c:v>
                  </c:pt>
                  <c:pt idx="2">
                    <c:v>2014-Mar</c:v>
                  </c:pt>
                  <c:pt idx="3">
                    <c:v>2014-Apr</c:v>
                  </c:pt>
                  <c:pt idx="4">
                    <c:v>2014-May</c:v>
                  </c:pt>
                  <c:pt idx="5">
                    <c:v>2014-Jun</c:v>
                  </c:pt>
                  <c:pt idx="6">
                    <c:v>2014-Jul</c:v>
                  </c:pt>
                  <c:pt idx="7">
                    <c:v>2014-Aug</c:v>
                  </c:pt>
                  <c:pt idx="8">
                    <c:v>2014-Sep</c:v>
                  </c:pt>
                  <c:pt idx="9">
                    <c:v>2014-Oct</c:v>
                  </c:pt>
                  <c:pt idx="10">
                    <c:v>2014-Nov</c:v>
                  </c:pt>
                  <c:pt idx="11">
                    <c:v>2014-Dec</c:v>
                  </c:pt>
                  <c:pt idx="12">
                    <c:v>2015-Jan</c:v>
                  </c:pt>
                  <c:pt idx="13">
                    <c:v>2015-Feb</c:v>
                  </c:pt>
                  <c:pt idx="14">
                    <c:v>2015-Mar</c:v>
                  </c:pt>
                  <c:pt idx="15">
                    <c:v>2015-Apr</c:v>
                  </c:pt>
                  <c:pt idx="16">
                    <c:v>2015-May</c:v>
                  </c:pt>
                  <c:pt idx="17">
                    <c:v>2015-Jun</c:v>
                  </c:pt>
                  <c:pt idx="18">
                    <c:v>2015-Jul</c:v>
                  </c:pt>
                  <c:pt idx="19">
                    <c:v>2015-Aug</c:v>
                  </c:pt>
                  <c:pt idx="20">
                    <c:v>2014-Jan</c:v>
                  </c:pt>
                  <c:pt idx="21">
                    <c:v>2014-Feb</c:v>
                  </c:pt>
                  <c:pt idx="22">
                    <c:v>2014-Mar</c:v>
                  </c:pt>
                  <c:pt idx="23">
                    <c:v>2014-Apr</c:v>
                  </c:pt>
                  <c:pt idx="24">
                    <c:v>2014-May</c:v>
                  </c:pt>
                  <c:pt idx="25">
                    <c:v>2014-Jun</c:v>
                  </c:pt>
                  <c:pt idx="26">
                    <c:v>2014-Jul</c:v>
                  </c:pt>
                  <c:pt idx="27">
                    <c:v>2014-Aug</c:v>
                  </c:pt>
                  <c:pt idx="28">
                    <c:v>2014-Sep</c:v>
                  </c:pt>
                  <c:pt idx="29">
                    <c:v>2014-Oct</c:v>
                  </c:pt>
                  <c:pt idx="30">
                    <c:v>2014-Nov</c:v>
                  </c:pt>
                  <c:pt idx="31">
                    <c:v>2014-Dec</c:v>
                  </c:pt>
                  <c:pt idx="32">
                    <c:v>2015-Jan</c:v>
                  </c:pt>
                  <c:pt idx="33">
                    <c:v>2015-Feb</c:v>
                  </c:pt>
                  <c:pt idx="34">
                    <c:v>2015-Mar</c:v>
                  </c:pt>
                  <c:pt idx="35">
                    <c:v>2015-Apr</c:v>
                  </c:pt>
                  <c:pt idx="36">
                    <c:v>2015-May</c:v>
                  </c:pt>
                  <c:pt idx="37">
                    <c:v>2015-Jun</c:v>
                  </c:pt>
                  <c:pt idx="38">
                    <c:v>2015-Jul</c:v>
                  </c:pt>
                  <c:pt idx="39">
                    <c:v>2015-Aug</c:v>
                  </c:pt>
                </c:lvl>
                <c:lvl>
                  <c:pt idx="0">
                    <c:v>Build</c:v>
                  </c:pt>
                  <c:pt idx="20">
                    <c:v>Patch</c:v>
                  </c:pt>
                </c:lvl>
              </c:multiLvlStrCache>
            </c:multiLvlStrRef>
          </c:cat>
          <c:val>
            <c:numRef>
              <c:f>'Derived Data-Component Specific'!$E$7:$E$49</c:f>
              <c:numCache>
                <c:formatCode>General</c:formatCode>
                <c:ptCount val="40"/>
                <c:pt idx="0">
                  <c:v>7</c:v>
                </c:pt>
                <c:pt idx="1">
                  <c:v>8</c:v>
                </c:pt>
                <c:pt idx="2">
                  <c:v>2</c:v>
                </c:pt>
                <c:pt idx="3">
                  <c:v>4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6</c:v>
                </c:pt>
                <c:pt idx="10">
                  <c:v>8</c:v>
                </c:pt>
                <c:pt idx="11">
                  <c:v>8</c:v>
                </c:pt>
                <c:pt idx="12">
                  <c:v>5</c:v>
                </c:pt>
                <c:pt idx="13">
                  <c:v>3</c:v>
                </c:pt>
                <c:pt idx="14">
                  <c:v>5</c:v>
                </c:pt>
                <c:pt idx="15">
                  <c:v>5</c:v>
                </c:pt>
                <c:pt idx="16">
                  <c:v>3</c:v>
                </c:pt>
                <c:pt idx="17">
                  <c:v>9</c:v>
                </c:pt>
                <c:pt idx="18">
                  <c:v>5</c:v>
                </c:pt>
                <c:pt idx="20">
                  <c:v>84</c:v>
                </c:pt>
                <c:pt idx="21">
                  <c:v>46</c:v>
                </c:pt>
                <c:pt idx="22">
                  <c:v>57</c:v>
                </c:pt>
                <c:pt idx="23">
                  <c:v>78</c:v>
                </c:pt>
                <c:pt idx="24">
                  <c:v>103</c:v>
                </c:pt>
                <c:pt idx="25">
                  <c:v>62</c:v>
                </c:pt>
                <c:pt idx="26">
                  <c:v>49</c:v>
                </c:pt>
                <c:pt idx="27">
                  <c:v>57</c:v>
                </c:pt>
                <c:pt idx="28">
                  <c:v>72</c:v>
                </c:pt>
                <c:pt idx="29">
                  <c:v>51</c:v>
                </c:pt>
                <c:pt idx="30">
                  <c:v>44</c:v>
                </c:pt>
                <c:pt idx="31">
                  <c:v>27</c:v>
                </c:pt>
                <c:pt idx="32">
                  <c:v>19</c:v>
                </c:pt>
                <c:pt idx="33">
                  <c:v>21</c:v>
                </c:pt>
                <c:pt idx="34">
                  <c:v>33</c:v>
                </c:pt>
                <c:pt idx="35">
                  <c:v>19</c:v>
                </c:pt>
                <c:pt idx="36">
                  <c:v>19</c:v>
                </c:pt>
                <c:pt idx="37">
                  <c:v>26</c:v>
                </c:pt>
                <c:pt idx="38">
                  <c:v>15</c:v>
                </c:pt>
              </c:numCache>
            </c:numRef>
          </c:val>
        </c:ser>
        <c:ser>
          <c:idx val="3"/>
          <c:order val="3"/>
          <c:tx>
            <c:strRef>
              <c:f>'Derived Data-Component Specific'!$F$5:$F$6</c:f>
              <c:strCache>
                <c:ptCount val="1"/>
                <c:pt idx="0">
                  <c:v>Fail</c:v>
                </c:pt>
              </c:strCache>
            </c:strRef>
          </c:tx>
          <c:invertIfNegative val="0"/>
          <c:cat>
            <c:multiLvlStrRef>
              <c:f>'Derived Data-Component Specific'!$A$7:$B$49</c:f>
              <c:multiLvlStrCache>
                <c:ptCount val="40"/>
                <c:lvl>
                  <c:pt idx="0">
                    <c:v>2014-Jan</c:v>
                  </c:pt>
                  <c:pt idx="1">
                    <c:v>2014-Feb</c:v>
                  </c:pt>
                  <c:pt idx="2">
                    <c:v>2014-Mar</c:v>
                  </c:pt>
                  <c:pt idx="3">
                    <c:v>2014-Apr</c:v>
                  </c:pt>
                  <c:pt idx="4">
                    <c:v>2014-May</c:v>
                  </c:pt>
                  <c:pt idx="5">
                    <c:v>2014-Jun</c:v>
                  </c:pt>
                  <c:pt idx="6">
                    <c:v>2014-Jul</c:v>
                  </c:pt>
                  <c:pt idx="7">
                    <c:v>2014-Aug</c:v>
                  </c:pt>
                  <c:pt idx="8">
                    <c:v>2014-Sep</c:v>
                  </c:pt>
                  <c:pt idx="9">
                    <c:v>2014-Oct</c:v>
                  </c:pt>
                  <c:pt idx="10">
                    <c:v>2014-Nov</c:v>
                  </c:pt>
                  <c:pt idx="11">
                    <c:v>2014-Dec</c:v>
                  </c:pt>
                  <c:pt idx="12">
                    <c:v>2015-Jan</c:v>
                  </c:pt>
                  <c:pt idx="13">
                    <c:v>2015-Feb</c:v>
                  </c:pt>
                  <c:pt idx="14">
                    <c:v>2015-Mar</c:v>
                  </c:pt>
                  <c:pt idx="15">
                    <c:v>2015-Apr</c:v>
                  </c:pt>
                  <c:pt idx="16">
                    <c:v>2015-May</c:v>
                  </c:pt>
                  <c:pt idx="17">
                    <c:v>2015-Jun</c:v>
                  </c:pt>
                  <c:pt idx="18">
                    <c:v>2015-Jul</c:v>
                  </c:pt>
                  <c:pt idx="19">
                    <c:v>2015-Aug</c:v>
                  </c:pt>
                  <c:pt idx="20">
                    <c:v>2014-Jan</c:v>
                  </c:pt>
                  <c:pt idx="21">
                    <c:v>2014-Feb</c:v>
                  </c:pt>
                  <c:pt idx="22">
                    <c:v>2014-Mar</c:v>
                  </c:pt>
                  <c:pt idx="23">
                    <c:v>2014-Apr</c:v>
                  </c:pt>
                  <c:pt idx="24">
                    <c:v>2014-May</c:v>
                  </c:pt>
                  <c:pt idx="25">
                    <c:v>2014-Jun</c:v>
                  </c:pt>
                  <c:pt idx="26">
                    <c:v>2014-Jul</c:v>
                  </c:pt>
                  <c:pt idx="27">
                    <c:v>2014-Aug</c:v>
                  </c:pt>
                  <c:pt idx="28">
                    <c:v>2014-Sep</c:v>
                  </c:pt>
                  <c:pt idx="29">
                    <c:v>2014-Oct</c:v>
                  </c:pt>
                  <c:pt idx="30">
                    <c:v>2014-Nov</c:v>
                  </c:pt>
                  <c:pt idx="31">
                    <c:v>2014-Dec</c:v>
                  </c:pt>
                  <c:pt idx="32">
                    <c:v>2015-Jan</c:v>
                  </c:pt>
                  <c:pt idx="33">
                    <c:v>2015-Feb</c:v>
                  </c:pt>
                  <c:pt idx="34">
                    <c:v>2015-Mar</c:v>
                  </c:pt>
                  <c:pt idx="35">
                    <c:v>2015-Apr</c:v>
                  </c:pt>
                  <c:pt idx="36">
                    <c:v>2015-May</c:v>
                  </c:pt>
                  <c:pt idx="37">
                    <c:v>2015-Jun</c:v>
                  </c:pt>
                  <c:pt idx="38">
                    <c:v>2015-Jul</c:v>
                  </c:pt>
                  <c:pt idx="39">
                    <c:v>2015-Aug</c:v>
                  </c:pt>
                </c:lvl>
                <c:lvl>
                  <c:pt idx="0">
                    <c:v>Build</c:v>
                  </c:pt>
                  <c:pt idx="20">
                    <c:v>Patch</c:v>
                  </c:pt>
                </c:lvl>
              </c:multiLvlStrCache>
            </c:multiLvlStrRef>
          </c:cat>
          <c:val>
            <c:numRef>
              <c:f>'Derived Data-Component Specific'!$F$7:$F$49</c:f>
              <c:numCache>
                <c:formatCode>General</c:formatCode>
                <c:ptCount val="40"/>
                <c:pt idx="10">
                  <c:v>1</c:v>
                </c:pt>
                <c:pt idx="17">
                  <c:v>1</c:v>
                </c:pt>
                <c:pt idx="18">
                  <c:v>3</c:v>
                </c:pt>
                <c:pt idx="38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91447680"/>
        <c:axId val="91449216"/>
      </c:barChart>
      <c:catAx>
        <c:axId val="91447680"/>
        <c:scaling>
          <c:orientation val="minMax"/>
        </c:scaling>
        <c:delete val="0"/>
        <c:axPos val="b"/>
        <c:majorTickMark val="none"/>
        <c:minorTickMark val="none"/>
        <c:tickLblPos val="nextTo"/>
        <c:crossAx val="91449216"/>
        <c:crosses val="autoZero"/>
        <c:auto val="1"/>
        <c:lblAlgn val="ctr"/>
        <c:lblOffset val="100"/>
        <c:noMultiLvlLbl val="0"/>
      </c:catAx>
      <c:valAx>
        <c:axId val="9144921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144768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[F05(CM-P-01)Release_Tracker.xlsm]Derived Data-Component Specific!PivotTable3</c:name>
    <c:fmtId val="12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Obsolete</a:t>
            </a:r>
            <a:r>
              <a:rPr lang="en-US" baseline="0"/>
              <a:t> Environment</a:t>
            </a:r>
            <a:endParaRPr lang="en-US"/>
          </a:p>
        </c:rich>
      </c:tx>
      <c:layout>
        <c:manualLayout>
          <c:xMode val="edge"/>
          <c:yMode val="edge"/>
          <c:x val="8.0545164489733242E-2"/>
          <c:y val="0.17932897235253981"/>
        </c:manualLayout>
      </c:layout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marker>
          <c:symbol val="none"/>
        </c:marker>
      </c:pivotFmt>
      <c:pivotFmt>
        <c:idx val="16"/>
      </c:pivotFmt>
      <c:pivotFmt>
        <c:idx val="17"/>
      </c:pivotFmt>
      <c:pivotFmt>
        <c:idx val="18"/>
        <c:marker>
          <c:symbol val="none"/>
        </c:marker>
      </c:pivotFmt>
      <c:pivotFmt>
        <c:idx val="19"/>
        <c:spPr>
          <a:solidFill>
            <a:schemeClr val="bg2">
              <a:lumMod val="50000"/>
            </a:schemeClr>
          </a:solidFill>
        </c:spPr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  <c:marker>
          <c:symbol val="none"/>
        </c:marker>
        <c:dLbl>
          <c:idx val="0"/>
          <c:delete val="1"/>
        </c:dLbl>
      </c:pivotFmt>
      <c:pivotFmt>
        <c:idx val="29"/>
        <c:marker>
          <c:symbol val="none"/>
        </c:marker>
        <c:dLbl>
          <c:idx val="0"/>
          <c:delete val="1"/>
        </c:dLbl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spPr>
          <a:solidFill>
            <a:schemeClr val="bg2">
              <a:lumMod val="50000"/>
            </a:schemeClr>
          </a:solidFill>
        </c:spPr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spPr>
          <a:solidFill>
            <a:schemeClr val="bg2">
              <a:lumMod val="50000"/>
            </a:schemeClr>
          </a:solidFill>
        </c:spPr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spPr>
          <a:solidFill>
            <a:schemeClr val="bg2">
              <a:lumMod val="50000"/>
            </a:schemeClr>
          </a:solidFill>
        </c:spPr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spPr>
          <a:solidFill>
            <a:schemeClr val="bg2">
              <a:lumMod val="50000"/>
            </a:schemeClr>
          </a:solidFill>
        </c:spPr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  <c:dLbl>
          <c:idx val="0"/>
          <c:delete val="1"/>
        </c:dLbl>
      </c:pivotFmt>
      <c:pivotFmt>
        <c:idx val="52"/>
        <c:marker>
          <c:symbol val="none"/>
        </c:marker>
        <c:dLbl>
          <c:idx val="0"/>
          <c:delete val="1"/>
        </c:dLbl>
      </c:pivotFmt>
      <c:pivotFmt>
        <c:idx val="53"/>
        <c:spPr>
          <a:solidFill>
            <a:schemeClr val="bg2">
              <a:lumMod val="50000"/>
            </a:schemeClr>
          </a:solidFill>
        </c:spPr>
        <c:marker>
          <c:symbol val="none"/>
        </c:marker>
        <c:dLbl>
          <c:idx val="0"/>
          <c:delete val="1"/>
        </c:dLbl>
      </c:pivotFmt>
      <c:pivotFmt>
        <c:idx val="54"/>
        <c:marker>
          <c:symbol val="none"/>
        </c:marker>
        <c:dLbl>
          <c:idx val="0"/>
          <c:delete val="1"/>
        </c:dLbl>
      </c:pivotFmt>
      <c:pivotFmt>
        <c:idx val="55"/>
        <c:marker>
          <c:symbol val="none"/>
        </c:marker>
        <c:dLbl>
          <c:idx val="0"/>
          <c:delete val="1"/>
        </c:dLbl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spPr>
          <a:solidFill>
            <a:schemeClr val="bg2">
              <a:lumMod val="50000"/>
            </a:schemeClr>
          </a:solidFill>
        </c:spPr>
        <c:marker>
          <c:symbol val="none"/>
        </c:marker>
      </c:pivotFmt>
      <c:pivotFmt>
        <c:idx val="5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'Derived Data-Component Specific'!$K$22:$K$23</c:f>
              <c:strCache>
                <c:ptCount val="1"/>
                <c:pt idx="0">
                  <c:v>Obsolete-FAT</c:v>
                </c:pt>
              </c:strCache>
            </c:strRef>
          </c:tx>
          <c:invertIfNegative val="0"/>
          <c:cat>
            <c:strRef>
              <c:f>'Derived Data-Component Specific'!$I$24:$J$26</c:f>
              <c:strCache>
                <c:ptCount val="2"/>
                <c:pt idx="0">
                  <c:v>Build</c:v>
                </c:pt>
                <c:pt idx="1">
                  <c:v>Patch</c:v>
                </c:pt>
              </c:strCache>
            </c:strRef>
          </c:cat>
          <c:val>
            <c:numRef>
              <c:f>'Derived Data-Component Specific'!$K$24:$K$26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</c:ser>
        <c:ser>
          <c:idx val="1"/>
          <c:order val="1"/>
          <c:tx>
            <c:strRef>
              <c:f>'Derived Data-Component Specific'!$L$22:$L$23</c:f>
              <c:strCache>
                <c:ptCount val="1"/>
                <c:pt idx="0">
                  <c:v>Obsolete-IT</c:v>
                </c:pt>
              </c:strCache>
            </c:strRef>
          </c:tx>
          <c:invertIfNegative val="0"/>
          <c:cat>
            <c:strRef>
              <c:f>'Derived Data-Component Specific'!$I$24:$J$26</c:f>
              <c:strCache>
                <c:ptCount val="2"/>
                <c:pt idx="0">
                  <c:v>Build</c:v>
                </c:pt>
                <c:pt idx="1">
                  <c:v>Patch</c:v>
                </c:pt>
              </c:strCache>
            </c:strRef>
          </c:cat>
          <c:val>
            <c:numRef>
              <c:f>'Derived Data-Component Specific'!$L$24:$L$26</c:f>
              <c:numCache>
                <c:formatCode>General</c:formatCode>
                <c:ptCount val="2"/>
                <c:pt idx="0">
                  <c:v>3</c:v>
                </c:pt>
                <c:pt idx="1">
                  <c:v>13</c:v>
                </c:pt>
              </c:numCache>
            </c:numRef>
          </c:val>
        </c:ser>
        <c:ser>
          <c:idx val="2"/>
          <c:order val="2"/>
          <c:tx>
            <c:strRef>
              <c:f>'Derived Data-Component Specific'!$M$22:$M$23</c:f>
              <c:strCache>
                <c:ptCount val="1"/>
                <c:pt idx="0">
                  <c:v>Obsolete-LQA</c:v>
                </c:pt>
              </c:strCache>
            </c:strRef>
          </c:tx>
          <c:invertIfNegative val="0"/>
          <c:cat>
            <c:strRef>
              <c:f>'Derived Data-Component Specific'!$I$24:$J$26</c:f>
              <c:strCache>
                <c:ptCount val="2"/>
                <c:pt idx="0">
                  <c:v>Build</c:v>
                </c:pt>
                <c:pt idx="1">
                  <c:v>Patch</c:v>
                </c:pt>
              </c:strCache>
            </c:strRef>
          </c:cat>
          <c:val>
            <c:numRef>
              <c:f>'Derived Data-Component Specific'!$M$24:$M$26</c:f>
              <c:numCache>
                <c:formatCode>General</c:formatCode>
                <c:ptCount val="2"/>
                <c:pt idx="0">
                  <c:v>70</c:v>
                </c:pt>
                <c:pt idx="1">
                  <c:v>220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91495040"/>
        <c:axId val="91509120"/>
      </c:barChart>
      <c:catAx>
        <c:axId val="91495040"/>
        <c:scaling>
          <c:orientation val="minMax"/>
        </c:scaling>
        <c:delete val="0"/>
        <c:axPos val="b"/>
        <c:majorTickMark val="none"/>
        <c:minorTickMark val="none"/>
        <c:tickLblPos val="nextTo"/>
        <c:crossAx val="91509120"/>
        <c:crosses val="autoZero"/>
        <c:auto val="1"/>
        <c:lblAlgn val="ctr"/>
        <c:lblOffset val="100"/>
        <c:noMultiLvlLbl val="0"/>
      </c:catAx>
      <c:valAx>
        <c:axId val="915091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149504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[F05(CM-P-01)Release_Tracker.xlsm]Derived Data-Component Specific!PivotTable6</c:name>
    <c:fmtId val="34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Release Defects</a:t>
            </a:r>
          </a:p>
        </c:rich>
      </c:tx>
      <c:layout>
        <c:manualLayout>
          <c:xMode val="edge"/>
          <c:yMode val="edge"/>
          <c:x val="7.5322357042194032E-2"/>
          <c:y val="0.1713049494806744"/>
        </c:manualLayout>
      </c:layout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marker>
          <c:symbol val="none"/>
        </c:marker>
      </c:pivotFmt>
      <c:pivotFmt>
        <c:idx val="16"/>
      </c:pivotFmt>
      <c:pivotFmt>
        <c:idx val="17"/>
      </c:pivotFmt>
      <c:pivotFmt>
        <c:idx val="18"/>
        <c:marker>
          <c:symbol val="none"/>
        </c:marker>
      </c:pivotFmt>
      <c:pivotFmt>
        <c:idx val="19"/>
        <c:spPr>
          <a:solidFill>
            <a:schemeClr val="bg2">
              <a:lumMod val="50000"/>
            </a:schemeClr>
          </a:solidFill>
        </c:spPr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  <c:marker>
          <c:symbol val="none"/>
        </c:marker>
        <c:dLbl>
          <c:idx val="0"/>
          <c:delete val="1"/>
        </c:dLbl>
      </c:pivotFmt>
      <c:pivotFmt>
        <c:idx val="29"/>
        <c:marker>
          <c:symbol val="none"/>
        </c:marker>
        <c:dLbl>
          <c:idx val="0"/>
          <c:delete val="1"/>
        </c:dLbl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spPr>
          <a:solidFill>
            <a:schemeClr val="bg2">
              <a:lumMod val="50000"/>
            </a:schemeClr>
          </a:solidFill>
        </c:spPr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spPr>
          <a:solidFill>
            <a:schemeClr val="bg2">
              <a:lumMod val="50000"/>
            </a:schemeClr>
          </a:solidFill>
        </c:spPr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spPr>
          <a:solidFill>
            <a:schemeClr val="bg2">
              <a:lumMod val="50000"/>
            </a:schemeClr>
          </a:solidFill>
        </c:spPr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50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'Derived Data-Component Specific'!$J$106:$J$107</c:f>
              <c:strCache>
                <c:ptCount val="1"/>
                <c:pt idx="0">
                  <c:v>Readme Re-Released</c:v>
                </c:pt>
              </c:strCache>
            </c:strRef>
          </c:tx>
          <c:invertIfNegative val="0"/>
          <c:cat>
            <c:strRef>
              <c:f>'Derived Data-Component Specific'!$I$108:$I$128</c:f>
              <c:strCache>
                <c:ptCount val="20"/>
                <c:pt idx="0">
                  <c:v>2014-Jan</c:v>
                </c:pt>
                <c:pt idx="1">
                  <c:v>2014-Feb</c:v>
                </c:pt>
                <c:pt idx="2">
                  <c:v>2014-Mar</c:v>
                </c:pt>
                <c:pt idx="3">
                  <c:v>2014-Apr</c:v>
                </c:pt>
                <c:pt idx="4">
                  <c:v>2014-May</c:v>
                </c:pt>
                <c:pt idx="5">
                  <c:v>2014-Jun</c:v>
                </c:pt>
                <c:pt idx="6">
                  <c:v>2014-Jul</c:v>
                </c:pt>
                <c:pt idx="7">
                  <c:v>2014-Aug</c:v>
                </c:pt>
                <c:pt idx="8">
                  <c:v>2014-Sep</c:v>
                </c:pt>
                <c:pt idx="9">
                  <c:v>2014-Oct</c:v>
                </c:pt>
                <c:pt idx="10">
                  <c:v>2014-Nov</c:v>
                </c:pt>
                <c:pt idx="11">
                  <c:v>2014-Dec</c:v>
                </c:pt>
                <c:pt idx="12">
                  <c:v>2015-Jan</c:v>
                </c:pt>
                <c:pt idx="13">
                  <c:v>2015-Feb</c:v>
                </c:pt>
                <c:pt idx="14">
                  <c:v>2015-Mar</c:v>
                </c:pt>
                <c:pt idx="15">
                  <c:v>2015-Apr</c:v>
                </c:pt>
                <c:pt idx="16">
                  <c:v>2015-May</c:v>
                </c:pt>
                <c:pt idx="17">
                  <c:v>2015-Jun</c:v>
                </c:pt>
                <c:pt idx="18">
                  <c:v>2015-Jul</c:v>
                </c:pt>
                <c:pt idx="19">
                  <c:v>2015-Aug</c:v>
                </c:pt>
              </c:strCache>
            </c:strRef>
          </c:cat>
          <c:val>
            <c:numRef>
              <c:f>'Derived Data-Component Specific'!$J$108:$J$128</c:f>
              <c:numCache>
                <c:formatCode>General</c:formatCode>
                <c:ptCount val="20"/>
                <c:pt idx="0">
                  <c:v>24</c:v>
                </c:pt>
                <c:pt idx="1">
                  <c:v>22</c:v>
                </c:pt>
                <c:pt idx="2">
                  <c:v>18</c:v>
                </c:pt>
                <c:pt idx="3">
                  <c:v>27</c:v>
                </c:pt>
                <c:pt idx="4">
                  <c:v>36</c:v>
                </c:pt>
                <c:pt idx="5">
                  <c:v>13</c:v>
                </c:pt>
                <c:pt idx="6">
                  <c:v>13</c:v>
                </c:pt>
                <c:pt idx="7">
                  <c:v>12</c:v>
                </c:pt>
                <c:pt idx="8">
                  <c:v>16</c:v>
                </c:pt>
                <c:pt idx="9">
                  <c:v>12</c:v>
                </c:pt>
                <c:pt idx="10">
                  <c:v>12</c:v>
                </c:pt>
                <c:pt idx="11">
                  <c:v>18</c:v>
                </c:pt>
                <c:pt idx="12">
                  <c:v>9</c:v>
                </c:pt>
                <c:pt idx="13">
                  <c:v>8</c:v>
                </c:pt>
                <c:pt idx="14">
                  <c:v>5</c:v>
                </c:pt>
                <c:pt idx="15">
                  <c:v>8</c:v>
                </c:pt>
                <c:pt idx="16">
                  <c:v>6</c:v>
                </c:pt>
                <c:pt idx="17">
                  <c:v>10</c:v>
                </c:pt>
                <c:pt idx="18">
                  <c:v>10</c:v>
                </c:pt>
                <c:pt idx="1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91536384"/>
        <c:axId val="91632384"/>
      </c:barChart>
      <c:catAx>
        <c:axId val="91536384"/>
        <c:scaling>
          <c:orientation val="minMax"/>
        </c:scaling>
        <c:delete val="0"/>
        <c:axPos val="b"/>
        <c:majorTickMark val="none"/>
        <c:minorTickMark val="none"/>
        <c:tickLblPos val="nextTo"/>
        <c:crossAx val="91632384"/>
        <c:crosses val="autoZero"/>
        <c:auto val="1"/>
        <c:lblAlgn val="ctr"/>
        <c:lblOffset val="100"/>
        <c:noMultiLvlLbl val="0"/>
      </c:catAx>
      <c:valAx>
        <c:axId val="9163238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15363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[F05(CM-P-01)Release_Tracker.xlsm]Derived Data-Component Specific!PivotTable2</c:name>
    <c:fmtId val="21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2"/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3"/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4"/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5"/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6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7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8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'Derived Data-Component Specific'!$C$248:$C$249</c:f>
              <c:strCache>
                <c:ptCount val="1"/>
                <c:pt idx="0">
                  <c:v>Number of Release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'Derived Data-Component Specific'!$A$250:$B$320</c:f>
              <c:multiLvlStrCache>
                <c:ptCount val="68"/>
                <c:lvl>
                  <c:pt idx="0">
                    <c:v>Abhishek Sharma</c:v>
                  </c:pt>
                  <c:pt idx="1">
                    <c:v>Ajay Awasthi</c:v>
                  </c:pt>
                  <c:pt idx="2">
                    <c:v>Ajay Sharma</c:v>
                  </c:pt>
                  <c:pt idx="3">
                    <c:v>Alok Bagwale</c:v>
                  </c:pt>
                  <c:pt idx="4">
                    <c:v>Anjani Kumar</c:v>
                  </c:pt>
                  <c:pt idx="5">
                    <c:v>Anshul Kumar</c:v>
                  </c:pt>
                  <c:pt idx="6">
                    <c:v>Apurva Saurabh</c:v>
                  </c:pt>
                  <c:pt idx="7">
                    <c:v>Chander Kanta</c:v>
                  </c:pt>
                  <c:pt idx="8">
                    <c:v>Daljit Singh Maan</c:v>
                  </c:pt>
                  <c:pt idx="9">
                    <c:v>Deepak Yadav</c:v>
                  </c:pt>
                  <c:pt idx="10">
                    <c:v>Lokeshna Virdi</c:v>
                  </c:pt>
                  <c:pt idx="11">
                    <c:v>Nikhil Dwivedi</c:v>
                  </c:pt>
                  <c:pt idx="12">
                    <c:v>Nitin Kumar</c:v>
                  </c:pt>
                  <c:pt idx="13">
                    <c:v>Ratnesh Singh</c:v>
                  </c:pt>
                  <c:pt idx="14">
                    <c:v>Shiv Mangal</c:v>
                  </c:pt>
                  <c:pt idx="15">
                    <c:v>Sumita Yadav</c:v>
                  </c:pt>
                  <c:pt idx="16">
                    <c:v>surender Kumar</c:v>
                  </c:pt>
                  <c:pt idx="17">
                    <c:v>Rajeev Kumar</c:v>
                  </c:pt>
                  <c:pt idx="18">
                    <c:v>Sudip Ghosh</c:v>
                  </c:pt>
                  <c:pt idx="19">
                    <c:v>yogendra kumar</c:v>
                  </c:pt>
                  <c:pt idx="20">
                    <c:v>Aditya Garg</c:v>
                  </c:pt>
                  <c:pt idx="21">
                    <c:v>Deepender Singh</c:v>
                  </c:pt>
                  <c:pt idx="22">
                    <c:v>Harish Singh</c:v>
                  </c:pt>
                  <c:pt idx="23">
                    <c:v>Ankur Omar</c:v>
                  </c:pt>
                  <c:pt idx="24">
                    <c:v>Sumit Dalal </c:v>
                  </c:pt>
                  <c:pt idx="25">
                    <c:v>Manisha Srivastava</c:v>
                  </c:pt>
                  <c:pt idx="26">
                    <c:v>Anand Kumar Ojha</c:v>
                  </c:pt>
                  <c:pt idx="27">
                    <c:v>Mohd. Asif</c:v>
                  </c:pt>
                  <c:pt idx="28">
                    <c:v>Deepak Dhiman</c:v>
                  </c:pt>
                  <c:pt idx="29">
                    <c:v>Ankit Jain</c:v>
                  </c:pt>
                  <c:pt idx="30">
                    <c:v>Abhishek Sharma</c:v>
                  </c:pt>
                  <c:pt idx="31">
                    <c:v>Ajay Awasthi</c:v>
                  </c:pt>
                  <c:pt idx="32">
                    <c:v>Ajay Sharma</c:v>
                  </c:pt>
                  <c:pt idx="33">
                    <c:v>Alok Bagwale</c:v>
                  </c:pt>
                  <c:pt idx="34">
                    <c:v>Anjani Kumar</c:v>
                  </c:pt>
                  <c:pt idx="35">
                    <c:v>Anshul Kumar</c:v>
                  </c:pt>
                  <c:pt idx="36">
                    <c:v>Apurva Saurabh</c:v>
                  </c:pt>
                  <c:pt idx="37">
                    <c:v>Chander Kanta</c:v>
                  </c:pt>
                  <c:pt idx="38">
                    <c:v>Daljit Singh Maan</c:v>
                  </c:pt>
                  <c:pt idx="39">
                    <c:v>Deepak Yadav</c:v>
                  </c:pt>
                  <c:pt idx="40">
                    <c:v>Gautam</c:v>
                  </c:pt>
                  <c:pt idx="41">
                    <c:v>Lokeshna Virdi</c:v>
                  </c:pt>
                  <c:pt idx="42">
                    <c:v>Neelam Jawla</c:v>
                  </c:pt>
                  <c:pt idx="43">
                    <c:v>Nishant</c:v>
                  </c:pt>
                  <c:pt idx="44">
                    <c:v>Nitin Kumar</c:v>
                  </c:pt>
                  <c:pt idx="45">
                    <c:v>Piyush Gupta</c:v>
                  </c:pt>
                  <c:pt idx="46">
                    <c:v>Ratnesh Singh</c:v>
                  </c:pt>
                  <c:pt idx="47">
                    <c:v>Rohtash</c:v>
                  </c:pt>
                  <c:pt idx="48">
                    <c:v>Sandeep Aggarwal</c:v>
                  </c:pt>
                  <c:pt idx="49">
                    <c:v>Shiv Mangal</c:v>
                  </c:pt>
                  <c:pt idx="50">
                    <c:v>Sumita Yadav</c:v>
                  </c:pt>
                  <c:pt idx="51">
                    <c:v>surender Kumar</c:v>
                  </c:pt>
                  <c:pt idx="52">
                    <c:v>Abdul Khalik</c:v>
                  </c:pt>
                  <c:pt idx="53">
                    <c:v>Rajeev Kumar</c:v>
                  </c:pt>
                  <c:pt idx="54">
                    <c:v>Sudip Ghosh</c:v>
                  </c:pt>
                  <c:pt idx="55">
                    <c:v>yogendra kumar</c:v>
                  </c:pt>
                  <c:pt idx="56">
                    <c:v>Aditya Garg</c:v>
                  </c:pt>
                  <c:pt idx="57">
                    <c:v>Rohit Kanwar</c:v>
                  </c:pt>
                  <c:pt idx="58">
                    <c:v>Raja Sarkar</c:v>
                  </c:pt>
                  <c:pt idx="59">
                    <c:v>Harish Singh</c:v>
                  </c:pt>
                  <c:pt idx="60">
                    <c:v>Sumit Dalal </c:v>
                  </c:pt>
                  <c:pt idx="61">
                    <c:v>Manisha Srivastava</c:v>
                  </c:pt>
                  <c:pt idx="62">
                    <c:v>Anand Kumar Ojha</c:v>
                  </c:pt>
                  <c:pt idx="63">
                    <c:v>Muktesh Mukul</c:v>
                  </c:pt>
                  <c:pt idx="64">
                    <c:v>Navkaran Sandhu</c:v>
                  </c:pt>
                  <c:pt idx="65">
                    <c:v>Mohd. Asif</c:v>
                  </c:pt>
                  <c:pt idx="66">
                    <c:v>Deepak Dhiman</c:v>
                  </c:pt>
                  <c:pt idx="67">
                    <c:v>Ankit Jain</c:v>
                  </c:pt>
                </c:lvl>
                <c:lvl>
                  <c:pt idx="0">
                    <c:v>Build</c:v>
                  </c:pt>
                  <c:pt idx="30">
                    <c:v>Patch</c:v>
                  </c:pt>
                </c:lvl>
              </c:multiLvlStrCache>
            </c:multiLvlStrRef>
          </c:cat>
          <c:val>
            <c:numRef>
              <c:f>'Derived Data-Component Specific'!$C$250:$C$320</c:f>
              <c:numCache>
                <c:formatCode>General</c:formatCode>
                <c:ptCount val="68"/>
                <c:pt idx="0">
                  <c:v>5</c:v>
                </c:pt>
                <c:pt idx="1">
                  <c:v>2</c:v>
                </c:pt>
                <c:pt idx="2">
                  <c:v>22</c:v>
                </c:pt>
                <c:pt idx="3">
                  <c:v>29</c:v>
                </c:pt>
                <c:pt idx="4">
                  <c:v>11</c:v>
                </c:pt>
                <c:pt idx="5">
                  <c:v>1</c:v>
                </c:pt>
                <c:pt idx="6">
                  <c:v>6</c:v>
                </c:pt>
                <c:pt idx="7">
                  <c:v>2</c:v>
                </c:pt>
                <c:pt idx="8">
                  <c:v>4</c:v>
                </c:pt>
                <c:pt idx="9">
                  <c:v>3</c:v>
                </c:pt>
                <c:pt idx="10">
                  <c:v>6</c:v>
                </c:pt>
                <c:pt idx="11">
                  <c:v>2</c:v>
                </c:pt>
                <c:pt idx="12">
                  <c:v>5</c:v>
                </c:pt>
                <c:pt idx="13">
                  <c:v>40</c:v>
                </c:pt>
                <c:pt idx="14">
                  <c:v>1</c:v>
                </c:pt>
                <c:pt idx="15">
                  <c:v>20</c:v>
                </c:pt>
                <c:pt idx="16">
                  <c:v>27</c:v>
                </c:pt>
                <c:pt idx="17">
                  <c:v>31</c:v>
                </c:pt>
                <c:pt idx="18">
                  <c:v>3</c:v>
                </c:pt>
                <c:pt idx="19">
                  <c:v>6</c:v>
                </c:pt>
                <c:pt idx="20">
                  <c:v>1</c:v>
                </c:pt>
                <c:pt idx="21">
                  <c:v>4</c:v>
                </c:pt>
                <c:pt idx="22">
                  <c:v>4</c:v>
                </c:pt>
                <c:pt idx="23">
                  <c:v>2</c:v>
                </c:pt>
                <c:pt idx="24">
                  <c:v>6</c:v>
                </c:pt>
                <c:pt idx="25">
                  <c:v>1</c:v>
                </c:pt>
                <c:pt idx="26">
                  <c:v>7</c:v>
                </c:pt>
                <c:pt idx="27">
                  <c:v>2</c:v>
                </c:pt>
                <c:pt idx="28">
                  <c:v>14</c:v>
                </c:pt>
                <c:pt idx="29">
                  <c:v>3</c:v>
                </c:pt>
                <c:pt idx="30">
                  <c:v>44</c:v>
                </c:pt>
                <c:pt idx="31">
                  <c:v>45</c:v>
                </c:pt>
                <c:pt idx="32">
                  <c:v>11</c:v>
                </c:pt>
                <c:pt idx="33">
                  <c:v>22</c:v>
                </c:pt>
                <c:pt idx="34">
                  <c:v>31</c:v>
                </c:pt>
                <c:pt idx="35">
                  <c:v>58</c:v>
                </c:pt>
                <c:pt idx="36">
                  <c:v>4</c:v>
                </c:pt>
                <c:pt idx="37">
                  <c:v>17</c:v>
                </c:pt>
                <c:pt idx="38">
                  <c:v>1</c:v>
                </c:pt>
                <c:pt idx="39">
                  <c:v>26</c:v>
                </c:pt>
                <c:pt idx="40">
                  <c:v>33</c:v>
                </c:pt>
                <c:pt idx="41">
                  <c:v>7</c:v>
                </c:pt>
                <c:pt idx="42">
                  <c:v>22</c:v>
                </c:pt>
                <c:pt idx="43">
                  <c:v>11</c:v>
                </c:pt>
                <c:pt idx="44">
                  <c:v>31</c:v>
                </c:pt>
                <c:pt idx="45">
                  <c:v>1</c:v>
                </c:pt>
                <c:pt idx="46">
                  <c:v>12</c:v>
                </c:pt>
                <c:pt idx="47">
                  <c:v>8</c:v>
                </c:pt>
                <c:pt idx="48">
                  <c:v>49</c:v>
                </c:pt>
                <c:pt idx="49">
                  <c:v>61</c:v>
                </c:pt>
                <c:pt idx="50">
                  <c:v>72</c:v>
                </c:pt>
                <c:pt idx="51">
                  <c:v>44</c:v>
                </c:pt>
                <c:pt idx="52">
                  <c:v>3</c:v>
                </c:pt>
                <c:pt idx="53">
                  <c:v>18</c:v>
                </c:pt>
                <c:pt idx="54">
                  <c:v>58</c:v>
                </c:pt>
                <c:pt idx="55">
                  <c:v>13</c:v>
                </c:pt>
                <c:pt idx="56">
                  <c:v>33</c:v>
                </c:pt>
                <c:pt idx="57">
                  <c:v>92</c:v>
                </c:pt>
                <c:pt idx="58">
                  <c:v>142</c:v>
                </c:pt>
                <c:pt idx="59">
                  <c:v>41</c:v>
                </c:pt>
                <c:pt idx="60">
                  <c:v>5</c:v>
                </c:pt>
                <c:pt idx="61">
                  <c:v>11</c:v>
                </c:pt>
                <c:pt idx="62">
                  <c:v>21</c:v>
                </c:pt>
                <c:pt idx="63">
                  <c:v>42</c:v>
                </c:pt>
                <c:pt idx="64">
                  <c:v>15</c:v>
                </c:pt>
                <c:pt idx="65">
                  <c:v>14</c:v>
                </c:pt>
                <c:pt idx="66">
                  <c:v>6</c:v>
                </c:pt>
                <c:pt idx="67">
                  <c:v>30</c:v>
                </c:pt>
              </c:numCache>
            </c:numRef>
          </c:val>
        </c:ser>
        <c:ser>
          <c:idx val="1"/>
          <c:order val="1"/>
          <c:tx>
            <c:strRef>
              <c:f>'Derived Data-Component Specific'!$D$248:$D$249</c:f>
              <c:strCache>
                <c:ptCount val="1"/>
                <c:pt idx="0">
                  <c:v>Number of Obsolete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'Derived Data-Component Specific'!$A$250:$B$320</c:f>
              <c:multiLvlStrCache>
                <c:ptCount val="68"/>
                <c:lvl>
                  <c:pt idx="0">
                    <c:v>Abhishek Sharma</c:v>
                  </c:pt>
                  <c:pt idx="1">
                    <c:v>Ajay Awasthi</c:v>
                  </c:pt>
                  <c:pt idx="2">
                    <c:v>Ajay Sharma</c:v>
                  </c:pt>
                  <c:pt idx="3">
                    <c:v>Alok Bagwale</c:v>
                  </c:pt>
                  <c:pt idx="4">
                    <c:v>Anjani Kumar</c:v>
                  </c:pt>
                  <c:pt idx="5">
                    <c:v>Anshul Kumar</c:v>
                  </c:pt>
                  <c:pt idx="6">
                    <c:v>Apurva Saurabh</c:v>
                  </c:pt>
                  <c:pt idx="7">
                    <c:v>Chander Kanta</c:v>
                  </c:pt>
                  <c:pt idx="8">
                    <c:v>Daljit Singh Maan</c:v>
                  </c:pt>
                  <c:pt idx="9">
                    <c:v>Deepak Yadav</c:v>
                  </c:pt>
                  <c:pt idx="10">
                    <c:v>Lokeshna Virdi</c:v>
                  </c:pt>
                  <c:pt idx="11">
                    <c:v>Nikhil Dwivedi</c:v>
                  </c:pt>
                  <c:pt idx="12">
                    <c:v>Nitin Kumar</c:v>
                  </c:pt>
                  <c:pt idx="13">
                    <c:v>Ratnesh Singh</c:v>
                  </c:pt>
                  <c:pt idx="14">
                    <c:v>Shiv Mangal</c:v>
                  </c:pt>
                  <c:pt idx="15">
                    <c:v>Sumita Yadav</c:v>
                  </c:pt>
                  <c:pt idx="16">
                    <c:v>surender Kumar</c:v>
                  </c:pt>
                  <c:pt idx="17">
                    <c:v>Rajeev Kumar</c:v>
                  </c:pt>
                  <c:pt idx="18">
                    <c:v>Sudip Ghosh</c:v>
                  </c:pt>
                  <c:pt idx="19">
                    <c:v>yogendra kumar</c:v>
                  </c:pt>
                  <c:pt idx="20">
                    <c:v>Aditya Garg</c:v>
                  </c:pt>
                  <c:pt idx="21">
                    <c:v>Deepender Singh</c:v>
                  </c:pt>
                  <c:pt idx="22">
                    <c:v>Harish Singh</c:v>
                  </c:pt>
                  <c:pt idx="23">
                    <c:v>Ankur Omar</c:v>
                  </c:pt>
                  <c:pt idx="24">
                    <c:v>Sumit Dalal </c:v>
                  </c:pt>
                  <c:pt idx="25">
                    <c:v>Manisha Srivastava</c:v>
                  </c:pt>
                  <c:pt idx="26">
                    <c:v>Anand Kumar Ojha</c:v>
                  </c:pt>
                  <c:pt idx="27">
                    <c:v>Mohd. Asif</c:v>
                  </c:pt>
                  <c:pt idx="28">
                    <c:v>Deepak Dhiman</c:v>
                  </c:pt>
                  <c:pt idx="29">
                    <c:v>Ankit Jain</c:v>
                  </c:pt>
                  <c:pt idx="30">
                    <c:v>Abhishek Sharma</c:v>
                  </c:pt>
                  <c:pt idx="31">
                    <c:v>Ajay Awasthi</c:v>
                  </c:pt>
                  <c:pt idx="32">
                    <c:v>Ajay Sharma</c:v>
                  </c:pt>
                  <c:pt idx="33">
                    <c:v>Alok Bagwale</c:v>
                  </c:pt>
                  <c:pt idx="34">
                    <c:v>Anjani Kumar</c:v>
                  </c:pt>
                  <c:pt idx="35">
                    <c:v>Anshul Kumar</c:v>
                  </c:pt>
                  <c:pt idx="36">
                    <c:v>Apurva Saurabh</c:v>
                  </c:pt>
                  <c:pt idx="37">
                    <c:v>Chander Kanta</c:v>
                  </c:pt>
                  <c:pt idx="38">
                    <c:v>Daljit Singh Maan</c:v>
                  </c:pt>
                  <c:pt idx="39">
                    <c:v>Deepak Yadav</c:v>
                  </c:pt>
                  <c:pt idx="40">
                    <c:v>Gautam</c:v>
                  </c:pt>
                  <c:pt idx="41">
                    <c:v>Lokeshna Virdi</c:v>
                  </c:pt>
                  <c:pt idx="42">
                    <c:v>Neelam Jawla</c:v>
                  </c:pt>
                  <c:pt idx="43">
                    <c:v>Nishant</c:v>
                  </c:pt>
                  <c:pt idx="44">
                    <c:v>Nitin Kumar</c:v>
                  </c:pt>
                  <c:pt idx="45">
                    <c:v>Piyush Gupta</c:v>
                  </c:pt>
                  <c:pt idx="46">
                    <c:v>Ratnesh Singh</c:v>
                  </c:pt>
                  <c:pt idx="47">
                    <c:v>Rohtash</c:v>
                  </c:pt>
                  <c:pt idx="48">
                    <c:v>Sandeep Aggarwal</c:v>
                  </c:pt>
                  <c:pt idx="49">
                    <c:v>Shiv Mangal</c:v>
                  </c:pt>
                  <c:pt idx="50">
                    <c:v>Sumita Yadav</c:v>
                  </c:pt>
                  <c:pt idx="51">
                    <c:v>surender Kumar</c:v>
                  </c:pt>
                  <c:pt idx="52">
                    <c:v>Abdul Khalik</c:v>
                  </c:pt>
                  <c:pt idx="53">
                    <c:v>Rajeev Kumar</c:v>
                  </c:pt>
                  <c:pt idx="54">
                    <c:v>Sudip Ghosh</c:v>
                  </c:pt>
                  <c:pt idx="55">
                    <c:v>yogendra kumar</c:v>
                  </c:pt>
                  <c:pt idx="56">
                    <c:v>Aditya Garg</c:v>
                  </c:pt>
                  <c:pt idx="57">
                    <c:v>Rohit Kanwar</c:v>
                  </c:pt>
                  <c:pt idx="58">
                    <c:v>Raja Sarkar</c:v>
                  </c:pt>
                  <c:pt idx="59">
                    <c:v>Harish Singh</c:v>
                  </c:pt>
                  <c:pt idx="60">
                    <c:v>Sumit Dalal </c:v>
                  </c:pt>
                  <c:pt idx="61">
                    <c:v>Manisha Srivastava</c:v>
                  </c:pt>
                  <c:pt idx="62">
                    <c:v>Anand Kumar Ojha</c:v>
                  </c:pt>
                  <c:pt idx="63">
                    <c:v>Muktesh Mukul</c:v>
                  </c:pt>
                  <c:pt idx="64">
                    <c:v>Navkaran Sandhu</c:v>
                  </c:pt>
                  <c:pt idx="65">
                    <c:v>Mohd. Asif</c:v>
                  </c:pt>
                  <c:pt idx="66">
                    <c:v>Deepak Dhiman</c:v>
                  </c:pt>
                  <c:pt idx="67">
                    <c:v>Ankit Jain</c:v>
                  </c:pt>
                </c:lvl>
                <c:lvl>
                  <c:pt idx="0">
                    <c:v>Build</c:v>
                  </c:pt>
                  <c:pt idx="30">
                    <c:v>Patch</c:v>
                  </c:pt>
                </c:lvl>
              </c:multiLvlStrCache>
            </c:multiLvlStrRef>
          </c:cat>
          <c:val>
            <c:numRef>
              <c:f>'Derived Data-Component Specific'!$D$250:$D$320</c:f>
              <c:numCache>
                <c:formatCode>General</c:formatCode>
                <c:ptCount val="68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2">
                  <c:v>4</c:v>
                </c:pt>
                <c:pt idx="13">
                  <c:v>6</c:v>
                </c:pt>
                <c:pt idx="15">
                  <c:v>12</c:v>
                </c:pt>
                <c:pt idx="17">
                  <c:v>9</c:v>
                </c:pt>
                <c:pt idx="18">
                  <c:v>1</c:v>
                </c:pt>
                <c:pt idx="19">
                  <c:v>5</c:v>
                </c:pt>
                <c:pt idx="21">
                  <c:v>1</c:v>
                </c:pt>
                <c:pt idx="22">
                  <c:v>1</c:v>
                </c:pt>
                <c:pt idx="24">
                  <c:v>1</c:v>
                </c:pt>
                <c:pt idx="27">
                  <c:v>1</c:v>
                </c:pt>
                <c:pt idx="30">
                  <c:v>7</c:v>
                </c:pt>
                <c:pt idx="31">
                  <c:v>5</c:v>
                </c:pt>
                <c:pt idx="33">
                  <c:v>3</c:v>
                </c:pt>
                <c:pt idx="34">
                  <c:v>6</c:v>
                </c:pt>
                <c:pt idx="35">
                  <c:v>7</c:v>
                </c:pt>
                <c:pt idx="37">
                  <c:v>4</c:v>
                </c:pt>
                <c:pt idx="39">
                  <c:v>8</c:v>
                </c:pt>
                <c:pt idx="40">
                  <c:v>6</c:v>
                </c:pt>
                <c:pt idx="42">
                  <c:v>2</c:v>
                </c:pt>
                <c:pt idx="43">
                  <c:v>4</c:v>
                </c:pt>
                <c:pt idx="44">
                  <c:v>9</c:v>
                </c:pt>
                <c:pt idx="46">
                  <c:v>1</c:v>
                </c:pt>
                <c:pt idx="48">
                  <c:v>5</c:v>
                </c:pt>
                <c:pt idx="49">
                  <c:v>2</c:v>
                </c:pt>
                <c:pt idx="50">
                  <c:v>21</c:v>
                </c:pt>
                <c:pt idx="51">
                  <c:v>6</c:v>
                </c:pt>
                <c:pt idx="54">
                  <c:v>20</c:v>
                </c:pt>
                <c:pt idx="55">
                  <c:v>4</c:v>
                </c:pt>
                <c:pt idx="56">
                  <c:v>6</c:v>
                </c:pt>
                <c:pt idx="57">
                  <c:v>21</c:v>
                </c:pt>
                <c:pt idx="58">
                  <c:v>15</c:v>
                </c:pt>
                <c:pt idx="59">
                  <c:v>7</c:v>
                </c:pt>
                <c:pt idx="61">
                  <c:v>4</c:v>
                </c:pt>
                <c:pt idx="63">
                  <c:v>6</c:v>
                </c:pt>
                <c:pt idx="64">
                  <c:v>4</c:v>
                </c:pt>
                <c:pt idx="65">
                  <c:v>3</c:v>
                </c:pt>
                <c:pt idx="66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91711744"/>
        <c:axId val="91725824"/>
      </c:barChart>
      <c:catAx>
        <c:axId val="91711744"/>
        <c:scaling>
          <c:orientation val="minMax"/>
        </c:scaling>
        <c:delete val="0"/>
        <c:axPos val="b"/>
        <c:majorTickMark val="none"/>
        <c:minorTickMark val="none"/>
        <c:tickLblPos val="nextTo"/>
        <c:crossAx val="91725824"/>
        <c:crosses val="autoZero"/>
        <c:auto val="1"/>
        <c:lblAlgn val="ctr"/>
        <c:lblOffset val="100"/>
        <c:noMultiLvlLbl val="0"/>
      </c:catAx>
      <c:valAx>
        <c:axId val="91725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917117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[F05(CM-P-01)Release_Tracker.xlsm]Derived Data-Component Specific!PivotTable9</c:name>
    <c:fmtId val="23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Total Vs Obsolete Releases</a:t>
            </a:r>
          </a:p>
        </c:rich>
      </c:tx>
      <c:layout>
        <c:manualLayout>
          <c:xMode val="edge"/>
          <c:yMode val="edge"/>
          <c:x val="6.3927517168207978E-2"/>
          <c:y val="0.19530763875743837"/>
        </c:manualLayout>
      </c:layout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0"/>
      </c:pivotFmt>
      <c:pivotFmt>
        <c:idx val="11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'Derived Data-Component Specific'!$S$3:$S$4</c:f>
              <c:strCache>
                <c:ptCount val="1"/>
                <c:pt idx="0">
                  <c:v>Total Releases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'Derived Data-Component Specific'!$Q$5:$R$47</c:f>
              <c:multiLvlStrCache>
                <c:ptCount val="40"/>
                <c:lvl>
                  <c:pt idx="0">
                    <c:v>2014-Jan</c:v>
                  </c:pt>
                  <c:pt idx="1">
                    <c:v>2014-Feb</c:v>
                  </c:pt>
                  <c:pt idx="2">
                    <c:v>2014-Mar</c:v>
                  </c:pt>
                  <c:pt idx="3">
                    <c:v>2014-Apr</c:v>
                  </c:pt>
                  <c:pt idx="4">
                    <c:v>2014-May</c:v>
                  </c:pt>
                  <c:pt idx="5">
                    <c:v>2014-Jun</c:v>
                  </c:pt>
                  <c:pt idx="6">
                    <c:v>2014-Jul</c:v>
                  </c:pt>
                  <c:pt idx="7">
                    <c:v>2014-Aug</c:v>
                  </c:pt>
                  <c:pt idx="8">
                    <c:v>2014-Sep</c:v>
                  </c:pt>
                  <c:pt idx="9">
                    <c:v>2014-Oct</c:v>
                  </c:pt>
                  <c:pt idx="10">
                    <c:v>2014-Nov</c:v>
                  </c:pt>
                  <c:pt idx="11">
                    <c:v>2014-Dec</c:v>
                  </c:pt>
                  <c:pt idx="12">
                    <c:v>2015-Jan</c:v>
                  </c:pt>
                  <c:pt idx="13">
                    <c:v>2015-Feb</c:v>
                  </c:pt>
                  <c:pt idx="14">
                    <c:v>2015-Mar</c:v>
                  </c:pt>
                  <c:pt idx="15">
                    <c:v>2015-Apr</c:v>
                  </c:pt>
                  <c:pt idx="16">
                    <c:v>2015-May</c:v>
                  </c:pt>
                  <c:pt idx="17">
                    <c:v>2015-Jun</c:v>
                  </c:pt>
                  <c:pt idx="18">
                    <c:v>2015-Jul</c:v>
                  </c:pt>
                  <c:pt idx="19">
                    <c:v>2015-Aug</c:v>
                  </c:pt>
                  <c:pt idx="20">
                    <c:v>2014-Jan</c:v>
                  </c:pt>
                  <c:pt idx="21">
                    <c:v>2014-Feb</c:v>
                  </c:pt>
                  <c:pt idx="22">
                    <c:v>2014-Mar</c:v>
                  </c:pt>
                  <c:pt idx="23">
                    <c:v>2014-Apr</c:v>
                  </c:pt>
                  <c:pt idx="24">
                    <c:v>2014-May</c:v>
                  </c:pt>
                  <c:pt idx="25">
                    <c:v>2014-Jun</c:v>
                  </c:pt>
                  <c:pt idx="26">
                    <c:v>2014-Jul</c:v>
                  </c:pt>
                  <c:pt idx="27">
                    <c:v>2014-Aug</c:v>
                  </c:pt>
                  <c:pt idx="28">
                    <c:v>2014-Sep</c:v>
                  </c:pt>
                  <c:pt idx="29">
                    <c:v>2014-Oct</c:v>
                  </c:pt>
                  <c:pt idx="30">
                    <c:v>2014-Nov</c:v>
                  </c:pt>
                  <c:pt idx="31">
                    <c:v>2014-Dec</c:v>
                  </c:pt>
                  <c:pt idx="32">
                    <c:v>2015-Jan</c:v>
                  </c:pt>
                  <c:pt idx="33">
                    <c:v>2015-Feb</c:v>
                  </c:pt>
                  <c:pt idx="34">
                    <c:v>2015-Mar</c:v>
                  </c:pt>
                  <c:pt idx="35">
                    <c:v>2015-Apr</c:v>
                  </c:pt>
                  <c:pt idx="36">
                    <c:v>2015-May</c:v>
                  </c:pt>
                  <c:pt idx="37">
                    <c:v>2015-Jun</c:v>
                  </c:pt>
                  <c:pt idx="38">
                    <c:v>2015-Jul</c:v>
                  </c:pt>
                  <c:pt idx="39">
                    <c:v>2015-Aug</c:v>
                  </c:pt>
                </c:lvl>
                <c:lvl>
                  <c:pt idx="0">
                    <c:v>Build</c:v>
                  </c:pt>
                  <c:pt idx="20">
                    <c:v>Patch</c:v>
                  </c:pt>
                </c:lvl>
              </c:multiLvlStrCache>
            </c:multiLvlStrRef>
          </c:cat>
          <c:val>
            <c:numRef>
              <c:f>'Derived Data-Component Specific'!$S$5:$S$47</c:f>
              <c:numCache>
                <c:formatCode>General</c:formatCode>
                <c:ptCount val="40"/>
                <c:pt idx="0">
                  <c:v>25</c:v>
                </c:pt>
                <c:pt idx="1">
                  <c:v>23</c:v>
                </c:pt>
                <c:pt idx="2">
                  <c:v>13</c:v>
                </c:pt>
                <c:pt idx="3">
                  <c:v>25</c:v>
                </c:pt>
                <c:pt idx="4">
                  <c:v>19</c:v>
                </c:pt>
                <c:pt idx="5">
                  <c:v>8</c:v>
                </c:pt>
                <c:pt idx="6">
                  <c:v>13</c:v>
                </c:pt>
                <c:pt idx="7">
                  <c:v>13</c:v>
                </c:pt>
                <c:pt idx="8">
                  <c:v>18</c:v>
                </c:pt>
                <c:pt idx="9">
                  <c:v>20</c:v>
                </c:pt>
                <c:pt idx="10">
                  <c:v>30</c:v>
                </c:pt>
                <c:pt idx="11">
                  <c:v>32</c:v>
                </c:pt>
                <c:pt idx="12">
                  <c:v>17</c:v>
                </c:pt>
                <c:pt idx="13">
                  <c:v>12</c:v>
                </c:pt>
                <c:pt idx="14">
                  <c:v>11</c:v>
                </c:pt>
                <c:pt idx="15">
                  <c:v>23</c:v>
                </c:pt>
                <c:pt idx="16">
                  <c:v>18</c:v>
                </c:pt>
                <c:pt idx="17">
                  <c:v>21</c:v>
                </c:pt>
                <c:pt idx="18">
                  <c:v>25</c:v>
                </c:pt>
                <c:pt idx="19">
                  <c:v>2</c:v>
                </c:pt>
                <c:pt idx="20">
                  <c:v>126</c:v>
                </c:pt>
                <c:pt idx="21">
                  <c:v>66</c:v>
                </c:pt>
                <c:pt idx="22">
                  <c:v>96</c:v>
                </c:pt>
                <c:pt idx="23">
                  <c:v>121</c:v>
                </c:pt>
                <c:pt idx="24">
                  <c:v>145</c:v>
                </c:pt>
                <c:pt idx="25">
                  <c:v>86</c:v>
                </c:pt>
                <c:pt idx="26">
                  <c:v>75</c:v>
                </c:pt>
                <c:pt idx="27">
                  <c:v>69</c:v>
                </c:pt>
                <c:pt idx="28">
                  <c:v>98</c:v>
                </c:pt>
                <c:pt idx="29">
                  <c:v>85</c:v>
                </c:pt>
                <c:pt idx="30">
                  <c:v>62</c:v>
                </c:pt>
                <c:pt idx="31">
                  <c:v>44</c:v>
                </c:pt>
                <c:pt idx="32">
                  <c:v>47</c:v>
                </c:pt>
                <c:pt idx="33">
                  <c:v>56</c:v>
                </c:pt>
                <c:pt idx="34">
                  <c:v>56</c:v>
                </c:pt>
                <c:pt idx="35">
                  <c:v>50</c:v>
                </c:pt>
                <c:pt idx="36">
                  <c:v>29</c:v>
                </c:pt>
                <c:pt idx="37">
                  <c:v>38</c:v>
                </c:pt>
                <c:pt idx="38">
                  <c:v>30</c:v>
                </c:pt>
                <c:pt idx="39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028928"/>
        <c:axId val="92030464"/>
      </c:barChart>
      <c:lineChart>
        <c:grouping val="stacked"/>
        <c:varyColors val="0"/>
        <c:ser>
          <c:idx val="1"/>
          <c:order val="1"/>
          <c:tx>
            <c:strRef>
              <c:f>'Derived Data-Component Specific'!$T$3:$T$4</c:f>
              <c:strCache>
                <c:ptCount val="1"/>
                <c:pt idx="0">
                  <c:v>Obsolete Releases</c:v>
                </c:pt>
              </c:strCache>
            </c:strRef>
          </c:tx>
          <c:marker>
            <c:symbol val="none"/>
          </c:marker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'Derived Data-Component Specific'!$Q$5:$R$47</c:f>
              <c:multiLvlStrCache>
                <c:ptCount val="40"/>
                <c:lvl>
                  <c:pt idx="0">
                    <c:v>2014-Jan</c:v>
                  </c:pt>
                  <c:pt idx="1">
                    <c:v>2014-Feb</c:v>
                  </c:pt>
                  <c:pt idx="2">
                    <c:v>2014-Mar</c:v>
                  </c:pt>
                  <c:pt idx="3">
                    <c:v>2014-Apr</c:v>
                  </c:pt>
                  <c:pt idx="4">
                    <c:v>2014-May</c:v>
                  </c:pt>
                  <c:pt idx="5">
                    <c:v>2014-Jun</c:v>
                  </c:pt>
                  <c:pt idx="6">
                    <c:v>2014-Jul</c:v>
                  </c:pt>
                  <c:pt idx="7">
                    <c:v>2014-Aug</c:v>
                  </c:pt>
                  <c:pt idx="8">
                    <c:v>2014-Sep</c:v>
                  </c:pt>
                  <c:pt idx="9">
                    <c:v>2014-Oct</c:v>
                  </c:pt>
                  <c:pt idx="10">
                    <c:v>2014-Nov</c:v>
                  </c:pt>
                  <c:pt idx="11">
                    <c:v>2014-Dec</c:v>
                  </c:pt>
                  <c:pt idx="12">
                    <c:v>2015-Jan</c:v>
                  </c:pt>
                  <c:pt idx="13">
                    <c:v>2015-Feb</c:v>
                  </c:pt>
                  <c:pt idx="14">
                    <c:v>2015-Mar</c:v>
                  </c:pt>
                  <c:pt idx="15">
                    <c:v>2015-Apr</c:v>
                  </c:pt>
                  <c:pt idx="16">
                    <c:v>2015-May</c:v>
                  </c:pt>
                  <c:pt idx="17">
                    <c:v>2015-Jun</c:v>
                  </c:pt>
                  <c:pt idx="18">
                    <c:v>2015-Jul</c:v>
                  </c:pt>
                  <c:pt idx="19">
                    <c:v>2015-Aug</c:v>
                  </c:pt>
                  <c:pt idx="20">
                    <c:v>2014-Jan</c:v>
                  </c:pt>
                  <c:pt idx="21">
                    <c:v>2014-Feb</c:v>
                  </c:pt>
                  <c:pt idx="22">
                    <c:v>2014-Mar</c:v>
                  </c:pt>
                  <c:pt idx="23">
                    <c:v>2014-Apr</c:v>
                  </c:pt>
                  <c:pt idx="24">
                    <c:v>2014-May</c:v>
                  </c:pt>
                  <c:pt idx="25">
                    <c:v>2014-Jun</c:v>
                  </c:pt>
                  <c:pt idx="26">
                    <c:v>2014-Jul</c:v>
                  </c:pt>
                  <c:pt idx="27">
                    <c:v>2014-Aug</c:v>
                  </c:pt>
                  <c:pt idx="28">
                    <c:v>2014-Sep</c:v>
                  </c:pt>
                  <c:pt idx="29">
                    <c:v>2014-Oct</c:v>
                  </c:pt>
                  <c:pt idx="30">
                    <c:v>2014-Nov</c:v>
                  </c:pt>
                  <c:pt idx="31">
                    <c:v>2014-Dec</c:v>
                  </c:pt>
                  <c:pt idx="32">
                    <c:v>2015-Jan</c:v>
                  </c:pt>
                  <c:pt idx="33">
                    <c:v>2015-Feb</c:v>
                  </c:pt>
                  <c:pt idx="34">
                    <c:v>2015-Mar</c:v>
                  </c:pt>
                  <c:pt idx="35">
                    <c:v>2015-Apr</c:v>
                  </c:pt>
                  <c:pt idx="36">
                    <c:v>2015-May</c:v>
                  </c:pt>
                  <c:pt idx="37">
                    <c:v>2015-Jun</c:v>
                  </c:pt>
                  <c:pt idx="38">
                    <c:v>2015-Jul</c:v>
                  </c:pt>
                  <c:pt idx="39">
                    <c:v>2015-Aug</c:v>
                  </c:pt>
                </c:lvl>
                <c:lvl>
                  <c:pt idx="0">
                    <c:v>Build</c:v>
                  </c:pt>
                  <c:pt idx="20">
                    <c:v>Patch</c:v>
                  </c:pt>
                </c:lvl>
              </c:multiLvlStrCache>
            </c:multiLvlStrRef>
          </c:cat>
          <c:val>
            <c:numRef>
              <c:f>'Derived Data-Component Specific'!$T$5:$T$47</c:f>
              <c:numCache>
                <c:formatCode>General</c:formatCode>
                <c:ptCount val="40"/>
                <c:pt idx="0">
                  <c:v>4</c:v>
                </c:pt>
                <c:pt idx="1">
                  <c:v>6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12</c:v>
                </c:pt>
                <c:pt idx="10">
                  <c:v>2</c:v>
                </c:pt>
                <c:pt idx="11">
                  <c:v>6</c:v>
                </c:pt>
                <c:pt idx="12">
                  <c:v>5</c:v>
                </c:pt>
                <c:pt idx="13">
                  <c:v>1</c:v>
                </c:pt>
                <c:pt idx="14">
                  <c:v>2</c:v>
                </c:pt>
                <c:pt idx="15">
                  <c:v>5</c:v>
                </c:pt>
                <c:pt idx="16">
                  <c:v>4</c:v>
                </c:pt>
                <c:pt idx="17">
                  <c:v>5</c:v>
                </c:pt>
                <c:pt idx="18">
                  <c:v>4</c:v>
                </c:pt>
                <c:pt idx="20">
                  <c:v>25</c:v>
                </c:pt>
                <c:pt idx="21">
                  <c:v>13</c:v>
                </c:pt>
                <c:pt idx="22">
                  <c:v>29</c:v>
                </c:pt>
                <c:pt idx="23">
                  <c:v>24</c:v>
                </c:pt>
                <c:pt idx="24">
                  <c:v>25</c:v>
                </c:pt>
                <c:pt idx="25">
                  <c:v>19</c:v>
                </c:pt>
                <c:pt idx="26">
                  <c:v>11</c:v>
                </c:pt>
                <c:pt idx="27">
                  <c:v>6</c:v>
                </c:pt>
                <c:pt idx="28">
                  <c:v>18</c:v>
                </c:pt>
                <c:pt idx="29">
                  <c:v>15</c:v>
                </c:pt>
                <c:pt idx="30">
                  <c:v>4</c:v>
                </c:pt>
                <c:pt idx="31">
                  <c:v>5</c:v>
                </c:pt>
                <c:pt idx="32">
                  <c:v>9</c:v>
                </c:pt>
                <c:pt idx="33">
                  <c:v>9</c:v>
                </c:pt>
                <c:pt idx="34">
                  <c:v>5</c:v>
                </c:pt>
                <c:pt idx="35">
                  <c:v>6</c:v>
                </c:pt>
                <c:pt idx="36">
                  <c:v>1</c:v>
                </c:pt>
                <c:pt idx="37">
                  <c:v>8</c:v>
                </c:pt>
                <c:pt idx="38">
                  <c:v>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028928"/>
        <c:axId val="92030464"/>
      </c:lineChart>
      <c:catAx>
        <c:axId val="92028928"/>
        <c:scaling>
          <c:orientation val="minMax"/>
        </c:scaling>
        <c:delete val="0"/>
        <c:axPos val="b"/>
        <c:majorTickMark val="none"/>
        <c:minorTickMark val="none"/>
        <c:tickLblPos val="nextTo"/>
        <c:crossAx val="92030464"/>
        <c:crosses val="autoZero"/>
        <c:auto val="1"/>
        <c:lblAlgn val="ctr"/>
        <c:lblOffset val="100"/>
        <c:noMultiLvlLbl val="0"/>
      </c:catAx>
      <c:valAx>
        <c:axId val="9203046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2028928"/>
        <c:crosses val="autoZero"/>
        <c:crossBetween val="between"/>
      </c:valAx>
    </c:plotArea>
    <c:legend>
      <c:legendPos val="b"/>
      <c:overlay val="0"/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[F05(CM-P-01)Release_Tracker.xlsm]Obsolete Releases!PivotTable10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Obsolete Releases</a:t>
            </a:r>
          </a:p>
        </c:rich>
      </c:tx>
      <c:layout>
        <c:manualLayout>
          <c:xMode val="edge"/>
          <c:yMode val="edge"/>
          <c:x val="0.44550475645591864"/>
          <c:y val="4.8049955083082345E-2"/>
        </c:manualLayout>
      </c:layout>
      <c:overlay val="1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'Obsolete Releases'!$B$4:$B$5</c:f>
              <c:strCache>
                <c:ptCount val="1"/>
                <c:pt idx="0">
                  <c:v>AGILIS-PROD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Releases'!$B$6:$B$114</c:f>
              <c:numCache>
                <c:formatCode>General</c:formatCode>
                <c:ptCount val="106"/>
                <c:pt idx="3">
                  <c:v>1</c:v>
                </c:pt>
                <c:pt idx="4">
                  <c:v>1</c:v>
                </c:pt>
                <c:pt idx="11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3</c:v>
                </c:pt>
                <c:pt idx="32">
                  <c:v>4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9">
                  <c:v>1</c:v>
                </c:pt>
                <c:pt idx="40">
                  <c:v>1</c:v>
                </c:pt>
                <c:pt idx="43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1</c:v>
                </c:pt>
                <c:pt idx="50">
                  <c:v>1</c:v>
                </c:pt>
                <c:pt idx="52">
                  <c:v>3</c:v>
                </c:pt>
                <c:pt idx="53">
                  <c:v>2</c:v>
                </c:pt>
                <c:pt idx="56">
                  <c:v>1</c:v>
                </c:pt>
                <c:pt idx="57">
                  <c:v>1</c:v>
                </c:pt>
                <c:pt idx="59">
                  <c:v>1</c:v>
                </c:pt>
                <c:pt idx="61">
                  <c:v>1</c:v>
                </c:pt>
                <c:pt idx="65">
                  <c:v>3</c:v>
                </c:pt>
                <c:pt idx="71">
                  <c:v>1</c:v>
                </c:pt>
                <c:pt idx="79">
                  <c:v>1</c:v>
                </c:pt>
                <c:pt idx="81">
                  <c:v>1</c:v>
                </c:pt>
                <c:pt idx="89">
                  <c:v>1</c:v>
                </c:pt>
                <c:pt idx="95">
                  <c:v>1</c:v>
                </c:pt>
                <c:pt idx="97">
                  <c:v>1</c:v>
                </c:pt>
                <c:pt idx="104">
                  <c:v>1</c:v>
                </c:pt>
              </c:numCache>
            </c:numRef>
          </c:val>
        </c:ser>
        <c:ser>
          <c:idx val="1"/>
          <c:order val="1"/>
          <c:tx>
            <c:strRef>
              <c:f>'Obsolete Releases'!$C$4:$C$5</c:f>
              <c:strCache>
                <c:ptCount val="1"/>
                <c:pt idx="0">
                  <c:v>BHN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Releases'!$C$6:$C$114</c:f>
              <c:numCache>
                <c:formatCode>General</c:formatCode>
                <c:ptCount val="106"/>
                <c:pt idx="13">
                  <c:v>4</c:v>
                </c:pt>
                <c:pt idx="14">
                  <c:v>3</c:v>
                </c:pt>
                <c:pt idx="15">
                  <c:v>6</c:v>
                </c:pt>
                <c:pt idx="24">
                  <c:v>1</c:v>
                </c:pt>
                <c:pt idx="46">
                  <c:v>2</c:v>
                </c:pt>
                <c:pt idx="71">
                  <c:v>3</c:v>
                </c:pt>
                <c:pt idx="73">
                  <c:v>2</c:v>
                </c:pt>
                <c:pt idx="74">
                  <c:v>1</c:v>
                </c:pt>
                <c:pt idx="75">
                  <c:v>1</c:v>
                </c:pt>
                <c:pt idx="93">
                  <c:v>4</c:v>
                </c:pt>
              </c:numCache>
            </c:numRef>
          </c:val>
        </c:ser>
        <c:ser>
          <c:idx val="2"/>
          <c:order val="2"/>
          <c:tx>
            <c:strRef>
              <c:f>'Obsolete Releases'!$D$4:$D$5</c:f>
              <c:strCache>
                <c:ptCount val="1"/>
                <c:pt idx="0">
                  <c:v>COM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Releases'!$D$6:$D$114</c:f>
              <c:numCache>
                <c:formatCode>General</c:formatCode>
                <c:ptCount val="106"/>
                <c:pt idx="0">
                  <c:v>4</c:v>
                </c:pt>
                <c:pt idx="1">
                  <c:v>3</c:v>
                </c:pt>
                <c:pt idx="2">
                  <c:v>2</c:v>
                </c:pt>
                <c:pt idx="5">
                  <c:v>1</c:v>
                </c:pt>
                <c:pt idx="8">
                  <c:v>1</c:v>
                </c:pt>
                <c:pt idx="9">
                  <c:v>2</c:v>
                </c:pt>
                <c:pt idx="20">
                  <c:v>1</c:v>
                </c:pt>
                <c:pt idx="33">
                  <c:v>1</c:v>
                </c:pt>
                <c:pt idx="40">
                  <c:v>2</c:v>
                </c:pt>
                <c:pt idx="43">
                  <c:v>5</c:v>
                </c:pt>
                <c:pt idx="44">
                  <c:v>1</c:v>
                </c:pt>
                <c:pt idx="46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</c:v>
                </c:pt>
                <c:pt idx="51">
                  <c:v>2</c:v>
                </c:pt>
                <c:pt idx="53">
                  <c:v>1</c:v>
                </c:pt>
                <c:pt idx="55">
                  <c:v>1</c:v>
                </c:pt>
                <c:pt idx="56">
                  <c:v>3</c:v>
                </c:pt>
                <c:pt idx="57">
                  <c:v>1</c:v>
                </c:pt>
                <c:pt idx="60">
                  <c:v>3</c:v>
                </c:pt>
                <c:pt idx="61">
                  <c:v>1</c:v>
                </c:pt>
                <c:pt idx="62">
                  <c:v>3</c:v>
                </c:pt>
                <c:pt idx="63">
                  <c:v>1</c:v>
                </c:pt>
                <c:pt idx="64">
                  <c:v>2</c:v>
                </c:pt>
                <c:pt idx="68">
                  <c:v>1</c:v>
                </c:pt>
                <c:pt idx="70">
                  <c:v>6</c:v>
                </c:pt>
                <c:pt idx="71">
                  <c:v>1</c:v>
                </c:pt>
                <c:pt idx="76">
                  <c:v>3</c:v>
                </c:pt>
                <c:pt idx="78">
                  <c:v>3</c:v>
                </c:pt>
                <c:pt idx="84">
                  <c:v>1</c:v>
                </c:pt>
                <c:pt idx="96">
                  <c:v>3</c:v>
                </c:pt>
                <c:pt idx="98">
                  <c:v>1</c:v>
                </c:pt>
                <c:pt idx="102">
                  <c:v>1</c:v>
                </c:pt>
              </c:numCache>
            </c:numRef>
          </c:val>
        </c:ser>
        <c:ser>
          <c:idx val="3"/>
          <c:order val="3"/>
          <c:tx>
            <c:strRef>
              <c:f>'Obsolete Releases'!$E$4:$E$5</c:f>
              <c:strCache>
                <c:ptCount val="1"/>
                <c:pt idx="0">
                  <c:v>SLT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Releases'!$E$6:$E$114</c:f>
              <c:numCache>
                <c:formatCode>General</c:formatCode>
                <c:ptCount val="106"/>
                <c:pt idx="6">
                  <c:v>2</c:v>
                </c:pt>
                <c:pt idx="7">
                  <c:v>1</c:v>
                </c:pt>
                <c:pt idx="10">
                  <c:v>1</c:v>
                </c:pt>
                <c:pt idx="19">
                  <c:v>1</c:v>
                </c:pt>
                <c:pt idx="38">
                  <c:v>2</c:v>
                </c:pt>
                <c:pt idx="39">
                  <c:v>1</c:v>
                </c:pt>
                <c:pt idx="40">
                  <c:v>4</c:v>
                </c:pt>
                <c:pt idx="41">
                  <c:v>1</c:v>
                </c:pt>
                <c:pt idx="43">
                  <c:v>2</c:v>
                </c:pt>
                <c:pt idx="45">
                  <c:v>1</c:v>
                </c:pt>
                <c:pt idx="46">
                  <c:v>1</c:v>
                </c:pt>
                <c:pt idx="47">
                  <c:v>4</c:v>
                </c:pt>
                <c:pt idx="48">
                  <c:v>1</c:v>
                </c:pt>
                <c:pt idx="49">
                  <c:v>5</c:v>
                </c:pt>
                <c:pt idx="50">
                  <c:v>2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1</c:v>
                </c:pt>
                <c:pt idx="56">
                  <c:v>3</c:v>
                </c:pt>
                <c:pt idx="57">
                  <c:v>5</c:v>
                </c:pt>
                <c:pt idx="59">
                  <c:v>1</c:v>
                </c:pt>
                <c:pt idx="60">
                  <c:v>2</c:v>
                </c:pt>
                <c:pt idx="61">
                  <c:v>1</c:v>
                </c:pt>
                <c:pt idx="62">
                  <c:v>1</c:v>
                </c:pt>
                <c:pt idx="67">
                  <c:v>2</c:v>
                </c:pt>
                <c:pt idx="69">
                  <c:v>1</c:v>
                </c:pt>
                <c:pt idx="76">
                  <c:v>1</c:v>
                </c:pt>
                <c:pt idx="78">
                  <c:v>1</c:v>
                </c:pt>
                <c:pt idx="91">
                  <c:v>1</c:v>
                </c:pt>
                <c:pt idx="97">
                  <c:v>1</c:v>
                </c:pt>
                <c:pt idx="99">
                  <c:v>1</c:v>
                </c:pt>
                <c:pt idx="101">
                  <c:v>3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</c:numCache>
            </c:numRef>
          </c:val>
        </c:ser>
        <c:ser>
          <c:idx val="4"/>
          <c:order val="4"/>
          <c:tx>
            <c:strRef>
              <c:f>'Obsolete Releases'!$F$4:$F$5</c:f>
              <c:strCache>
                <c:ptCount val="1"/>
                <c:pt idx="0">
                  <c:v>TLN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Releases'!$F$6:$F$114</c:f>
              <c:numCache>
                <c:formatCode>General</c:formatCode>
                <c:ptCount val="106"/>
                <c:pt idx="51">
                  <c:v>1</c:v>
                </c:pt>
                <c:pt idx="58">
                  <c:v>1</c:v>
                </c:pt>
                <c:pt idx="72">
                  <c:v>1</c:v>
                </c:pt>
                <c:pt idx="88">
                  <c:v>1</c:v>
                </c:pt>
              </c:numCache>
            </c:numRef>
          </c:val>
        </c:ser>
        <c:ser>
          <c:idx val="5"/>
          <c:order val="5"/>
          <c:tx>
            <c:strRef>
              <c:f>'Obsolete Releases'!$G$4:$G$5</c:f>
              <c:strCache>
                <c:ptCount val="1"/>
                <c:pt idx="0">
                  <c:v>TLSTR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Releases'!$G$6:$G$114</c:f>
              <c:numCache>
                <c:formatCode>General</c:formatCode>
                <c:ptCount val="106"/>
                <c:pt idx="23">
                  <c:v>1</c:v>
                </c:pt>
                <c:pt idx="38">
                  <c:v>1</c:v>
                </c:pt>
                <c:pt idx="42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50">
                  <c:v>1</c:v>
                </c:pt>
                <c:pt idx="51">
                  <c:v>1</c:v>
                </c:pt>
                <c:pt idx="53">
                  <c:v>1</c:v>
                </c:pt>
                <c:pt idx="55">
                  <c:v>1</c:v>
                </c:pt>
                <c:pt idx="58">
                  <c:v>1</c:v>
                </c:pt>
                <c:pt idx="67">
                  <c:v>1</c:v>
                </c:pt>
                <c:pt idx="78">
                  <c:v>1</c:v>
                </c:pt>
                <c:pt idx="85">
                  <c:v>1</c:v>
                </c:pt>
                <c:pt idx="87">
                  <c:v>1</c:v>
                </c:pt>
                <c:pt idx="101">
                  <c:v>1</c:v>
                </c:pt>
                <c:pt idx="102">
                  <c:v>1</c:v>
                </c:pt>
              </c:numCache>
            </c:numRef>
          </c:val>
        </c:ser>
        <c:ser>
          <c:idx val="6"/>
          <c:order val="6"/>
          <c:tx>
            <c:strRef>
              <c:f>'Obsolete Releases'!$H$4:$H$5</c:f>
              <c:strCache>
                <c:ptCount val="1"/>
                <c:pt idx="0">
                  <c:v>TWC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Releases'!$H$6:$H$114</c:f>
              <c:numCache>
                <c:formatCode>General</c:formatCode>
                <c:ptCount val="106"/>
                <c:pt idx="12">
                  <c:v>1</c:v>
                </c:pt>
                <c:pt idx="38">
                  <c:v>1</c:v>
                </c:pt>
                <c:pt idx="40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8">
                  <c:v>1</c:v>
                </c:pt>
                <c:pt idx="53">
                  <c:v>2</c:v>
                </c:pt>
                <c:pt idx="55">
                  <c:v>1</c:v>
                </c:pt>
                <c:pt idx="57">
                  <c:v>1</c:v>
                </c:pt>
                <c:pt idx="58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7">
                  <c:v>1</c:v>
                </c:pt>
                <c:pt idx="72">
                  <c:v>1</c:v>
                </c:pt>
                <c:pt idx="76">
                  <c:v>1</c:v>
                </c:pt>
                <c:pt idx="79">
                  <c:v>1</c:v>
                </c:pt>
                <c:pt idx="83">
                  <c:v>1</c:v>
                </c:pt>
                <c:pt idx="100">
                  <c:v>1</c:v>
                </c:pt>
                <c:pt idx="102">
                  <c:v>1</c:v>
                </c:pt>
              </c:numCache>
            </c:numRef>
          </c:val>
        </c:ser>
        <c:ser>
          <c:idx val="7"/>
          <c:order val="7"/>
          <c:tx>
            <c:strRef>
              <c:f>'Obsolete Releases'!$I$4:$I$5</c:f>
              <c:strCache>
                <c:ptCount val="1"/>
                <c:pt idx="0">
                  <c:v>VZB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Releases'!$I$6:$I$114</c:f>
              <c:numCache>
                <c:formatCode>General</c:formatCode>
                <c:ptCount val="106"/>
                <c:pt idx="1">
                  <c:v>1</c:v>
                </c:pt>
              </c:numCache>
            </c:numRef>
          </c:val>
        </c:ser>
        <c:ser>
          <c:idx val="8"/>
          <c:order val="8"/>
          <c:tx>
            <c:strRef>
              <c:f>'Obsolete Releases'!$J$4:$J$5</c:f>
              <c:strCache>
                <c:ptCount val="1"/>
                <c:pt idx="0">
                  <c:v>DRC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Releases'!$J$6:$J$114</c:f>
              <c:numCache>
                <c:formatCode>General</c:formatCode>
                <c:ptCount val="106"/>
                <c:pt idx="58">
                  <c:v>1</c:v>
                </c:pt>
                <c:pt idx="66">
                  <c:v>1</c:v>
                </c:pt>
                <c:pt idx="71">
                  <c:v>1</c:v>
                </c:pt>
              </c:numCache>
            </c:numRef>
          </c:val>
        </c:ser>
        <c:ser>
          <c:idx val="9"/>
          <c:order val="9"/>
          <c:tx>
            <c:strRef>
              <c:f>'Obsolete Releases'!$K$4:$K$5</c:f>
              <c:strCache>
                <c:ptCount val="1"/>
                <c:pt idx="0">
                  <c:v>ANTEL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Releases'!$K$6:$K$114</c:f>
              <c:numCache>
                <c:formatCode>General</c:formatCode>
                <c:ptCount val="106"/>
                <c:pt idx="21">
                  <c:v>1</c:v>
                </c:pt>
                <c:pt idx="60">
                  <c:v>1</c:v>
                </c:pt>
                <c:pt idx="80">
                  <c:v>1</c:v>
                </c:pt>
                <c:pt idx="85">
                  <c:v>1</c:v>
                </c:pt>
                <c:pt idx="86">
                  <c:v>2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4">
                  <c:v>1</c:v>
                </c:pt>
              </c:numCache>
            </c:numRef>
          </c:val>
        </c:ser>
        <c:ser>
          <c:idx val="10"/>
          <c:order val="10"/>
          <c:tx>
            <c:strRef>
              <c:f>'Obsolete Releases'!$L$4:$L$5</c:f>
              <c:strCache>
                <c:ptCount val="1"/>
                <c:pt idx="0">
                  <c:v>OBT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Releases'!$L$6:$L$114</c:f>
              <c:numCache>
                <c:formatCode>General</c:formatCode>
                <c:ptCount val="106"/>
                <c:pt idx="37">
                  <c:v>4</c:v>
                </c:pt>
                <c:pt idx="38">
                  <c:v>2</c:v>
                </c:pt>
                <c:pt idx="40">
                  <c:v>1</c:v>
                </c:pt>
                <c:pt idx="43">
                  <c:v>1</c:v>
                </c:pt>
                <c:pt idx="54">
                  <c:v>1</c:v>
                </c:pt>
                <c:pt idx="71">
                  <c:v>1</c:v>
                </c:pt>
                <c:pt idx="92">
                  <c:v>1</c:v>
                </c:pt>
              </c:numCache>
            </c:numRef>
          </c:val>
        </c:ser>
        <c:ser>
          <c:idx val="11"/>
          <c:order val="11"/>
          <c:tx>
            <c:strRef>
              <c:f>'Obsolete Releases'!$M$4:$M$5</c:f>
              <c:strCache>
                <c:ptCount val="1"/>
                <c:pt idx="0">
                  <c:v>FNB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Releases'!$M$6:$M$114</c:f>
              <c:numCache>
                <c:formatCode>General</c:formatCode>
                <c:ptCount val="106"/>
                <c:pt idx="18">
                  <c:v>1</c:v>
                </c:pt>
                <c:pt idx="89">
                  <c:v>1</c:v>
                </c:pt>
                <c:pt idx="94">
                  <c:v>1</c:v>
                </c:pt>
              </c:numCache>
            </c:numRef>
          </c:val>
        </c:ser>
        <c:ser>
          <c:idx val="12"/>
          <c:order val="12"/>
          <c:tx>
            <c:strRef>
              <c:f>'Obsolete Releases'!$N$4:$N$5</c:f>
              <c:strCache>
                <c:ptCount val="1"/>
                <c:pt idx="0">
                  <c:v>TLSTR-ST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Releases'!$N$6:$N$114</c:f>
              <c:numCache>
                <c:formatCode>General</c:formatCode>
                <c:ptCount val="106"/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82">
                  <c:v>1</c:v>
                </c:pt>
                <c:pt idx="88">
                  <c:v>1</c:v>
                </c:pt>
                <c:pt idx="89">
                  <c:v>2</c:v>
                </c:pt>
              </c:numCache>
            </c:numRef>
          </c:val>
        </c:ser>
        <c:ser>
          <c:idx val="13"/>
          <c:order val="13"/>
          <c:tx>
            <c:strRef>
              <c:f>'Obsolete Releases'!$O$4:$O$5</c:f>
              <c:strCache>
                <c:ptCount val="1"/>
                <c:pt idx="0">
                  <c:v>MCC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Releases'!$O$6:$O$114</c:f>
              <c:numCache>
                <c:formatCode>General</c:formatCode>
                <c:ptCount val="106"/>
                <c:pt idx="20">
                  <c:v>1</c:v>
                </c:pt>
                <c:pt idx="9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791360"/>
        <c:axId val="91792896"/>
      </c:barChart>
      <c:catAx>
        <c:axId val="9179136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5400000" vert="horz"/>
          <a:lstStyle/>
          <a:p>
            <a:pPr>
              <a:defRPr sz="800"/>
            </a:pPr>
            <a:endParaRPr lang="en-US"/>
          </a:p>
        </c:txPr>
        <c:crossAx val="91792896"/>
        <c:crosses val="autoZero"/>
        <c:auto val="1"/>
        <c:lblAlgn val="ctr"/>
        <c:lblOffset val="100"/>
        <c:noMultiLvlLbl val="0"/>
      </c:catAx>
      <c:valAx>
        <c:axId val="91792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1791360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[F05(CM-P-01)Release_Tracker.xlsm]Obsolete Releases!PivotTable10</c:name>
    <c:fmtId val="1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  <c:dLbl>
          <c:idx val="0"/>
          <c:delete val="1"/>
        </c:dLbl>
      </c:pivotFmt>
      <c:pivotFmt>
        <c:idx val="34"/>
        <c:marker>
          <c:symbol val="none"/>
        </c:marker>
        <c:dLbl>
          <c:idx val="0"/>
          <c:delete val="1"/>
        </c:dLbl>
      </c:pivotFmt>
      <c:pivotFmt>
        <c:idx val="35"/>
        <c:marker>
          <c:symbol val="none"/>
        </c:marker>
        <c:dLbl>
          <c:idx val="0"/>
          <c:delete val="1"/>
        </c:dLbl>
      </c:pivotFmt>
      <c:pivotFmt>
        <c:idx val="36"/>
        <c:marker>
          <c:symbol val="none"/>
        </c:marker>
        <c:dLbl>
          <c:idx val="0"/>
          <c:delete val="1"/>
        </c:dLbl>
      </c:pivotFmt>
      <c:pivotFmt>
        <c:idx val="37"/>
        <c:marker>
          <c:symbol val="none"/>
        </c:marker>
        <c:dLbl>
          <c:idx val="0"/>
          <c:delete val="1"/>
        </c:dLbl>
      </c:pivotFmt>
      <c:pivotFmt>
        <c:idx val="38"/>
        <c:marker>
          <c:symbol val="none"/>
        </c:marker>
        <c:dLbl>
          <c:idx val="0"/>
          <c:delete val="1"/>
        </c:dLbl>
      </c:pivotFmt>
      <c:pivotFmt>
        <c:idx val="39"/>
        <c:marker>
          <c:symbol val="none"/>
        </c:marker>
        <c:dLbl>
          <c:idx val="0"/>
          <c:delete val="1"/>
        </c:dLbl>
      </c:pivotFmt>
      <c:pivotFmt>
        <c:idx val="40"/>
        <c:marker>
          <c:symbol val="none"/>
        </c:marker>
        <c:dLbl>
          <c:idx val="0"/>
          <c:delete val="1"/>
        </c:dLbl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'Obsolete Releases'!$B$4:$B$5</c:f>
              <c:strCache>
                <c:ptCount val="1"/>
                <c:pt idx="0">
                  <c:v>AGILIS-PROD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Releases'!$B$6:$B$114</c:f>
              <c:numCache>
                <c:formatCode>General</c:formatCode>
                <c:ptCount val="106"/>
                <c:pt idx="3">
                  <c:v>1</c:v>
                </c:pt>
                <c:pt idx="4">
                  <c:v>1</c:v>
                </c:pt>
                <c:pt idx="11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3</c:v>
                </c:pt>
                <c:pt idx="32">
                  <c:v>4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9">
                  <c:v>1</c:v>
                </c:pt>
                <c:pt idx="40">
                  <c:v>1</c:v>
                </c:pt>
                <c:pt idx="43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1</c:v>
                </c:pt>
                <c:pt idx="50">
                  <c:v>1</c:v>
                </c:pt>
                <c:pt idx="52">
                  <c:v>3</c:v>
                </c:pt>
                <c:pt idx="53">
                  <c:v>2</c:v>
                </c:pt>
                <c:pt idx="56">
                  <c:v>1</c:v>
                </c:pt>
                <c:pt idx="57">
                  <c:v>1</c:v>
                </c:pt>
                <c:pt idx="59">
                  <c:v>1</c:v>
                </c:pt>
                <c:pt idx="61">
                  <c:v>1</c:v>
                </c:pt>
                <c:pt idx="65">
                  <c:v>3</c:v>
                </c:pt>
                <c:pt idx="71">
                  <c:v>1</c:v>
                </c:pt>
                <c:pt idx="79">
                  <c:v>1</c:v>
                </c:pt>
                <c:pt idx="81">
                  <c:v>1</c:v>
                </c:pt>
                <c:pt idx="89">
                  <c:v>1</c:v>
                </c:pt>
                <c:pt idx="95">
                  <c:v>1</c:v>
                </c:pt>
                <c:pt idx="97">
                  <c:v>1</c:v>
                </c:pt>
                <c:pt idx="104">
                  <c:v>1</c:v>
                </c:pt>
              </c:numCache>
            </c:numRef>
          </c:val>
        </c:ser>
        <c:ser>
          <c:idx val="1"/>
          <c:order val="1"/>
          <c:tx>
            <c:strRef>
              <c:f>'Obsolete Releases'!$C$4:$C$5</c:f>
              <c:strCache>
                <c:ptCount val="1"/>
                <c:pt idx="0">
                  <c:v>BHN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Releases'!$C$6:$C$114</c:f>
              <c:numCache>
                <c:formatCode>General</c:formatCode>
                <c:ptCount val="106"/>
                <c:pt idx="13">
                  <c:v>4</c:v>
                </c:pt>
                <c:pt idx="14">
                  <c:v>3</c:v>
                </c:pt>
                <c:pt idx="15">
                  <c:v>6</c:v>
                </c:pt>
                <c:pt idx="24">
                  <c:v>1</c:v>
                </c:pt>
                <c:pt idx="46">
                  <c:v>2</c:v>
                </c:pt>
                <c:pt idx="71">
                  <c:v>3</c:v>
                </c:pt>
                <c:pt idx="73">
                  <c:v>2</c:v>
                </c:pt>
                <c:pt idx="74">
                  <c:v>1</c:v>
                </c:pt>
                <c:pt idx="75">
                  <c:v>1</c:v>
                </c:pt>
                <c:pt idx="93">
                  <c:v>4</c:v>
                </c:pt>
              </c:numCache>
            </c:numRef>
          </c:val>
        </c:ser>
        <c:ser>
          <c:idx val="2"/>
          <c:order val="2"/>
          <c:tx>
            <c:strRef>
              <c:f>'Obsolete Releases'!$D$4:$D$5</c:f>
              <c:strCache>
                <c:ptCount val="1"/>
                <c:pt idx="0">
                  <c:v>COM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Releases'!$D$6:$D$114</c:f>
              <c:numCache>
                <c:formatCode>General</c:formatCode>
                <c:ptCount val="106"/>
                <c:pt idx="0">
                  <c:v>4</c:v>
                </c:pt>
                <c:pt idx="1">
                  <c:v>3</c:v>
                </c:pt>
                <c:pt idx="2">
                  <c:v>2</c:v>
                </c:pt>
                <c:pt idx="5">
                  <c:v>1</c:v>
                </c:pt>
                <c:pt idx="8">
                  <c:v>1</c:v>
                </c:pt>
                <c:pt idx="9">
                  <c:v>2</c:v>
                </c:pt>
                <c:pt idx="20">
                  <c:v>1</c:v>
                </c:pt>
                <c:pt idx="33">
                  <c:v>1</c:v>
                </c:pt>
                <c:pt idx="40">
                  <c:v>2</c:v>
                </c:pt>
                <c:pt idx="43">
                  <c:v>5</c:v>
                </c:pt>
                <c:pt idx="44">
                  <c:v>1</c:v>
                </c:pt>
                <c:pt idx="46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</c:v>
                </c:pt>
                <c:pt idx="51">
                  <c:v>2</c:v>
                </c:pt>
                <c:pt idx="53">
                  <c:v>1</c:v>
                </c:pt>
                <c:pt idx="55">
                  <c:v>1</c:v>
                </c:pt>
                <c:pt idx="56">
                  <c:v>3</c:v>
                </c:pt>
                <c:pt idx="57">
                  <c:v>1</c:v>
                </c:pt>
                <c:pt idx="60">
                  <c:v>3</c:v>
                </c:pt>
                <c:pt idx="61">
                  <c:v>1</c:v>
                </c:pt>
                <c:pt idx="62">
                  <c:v>3</c:v>
                </c:pt>
                <c:pt idx="63">
                  <c:v>1</c:v>
                </c:pt>
                <c:pt idx="64">
                  <c:v>2</c:v>
                </c:pt>
                <c:pt idx="68">
                  <c:v>1</c:v>
                </c:pt>
                <c:pt idx="70">
                  <c:v>6</c:v>
                </c:pt>
                <c:pt idx="71">
                  <c:v>1</c:v>
                </c:pt>
                <c:pt idx="76">
                  <c:v>3</c:v>
                </c:pt>
                <c:pt idx="78">
                  <c:v>3</c:v>
                </c:pt>
                <c:pt idx="84">
                  <c:v>1</c:v>
                </c:pt>
                <c:pt idx="96">
                  <c:v>3</c:v>
                </c:pt>
                <c:pt idx="98">
                  <c:v>1</c:v>
                </c:pt>
                <c:pt idx="102">
                  <c:v>1</c:v>
                </c:pt>
              </c:numCache>
            </c:numRef>
          </c:val>
        </c:ser>
        <c:ser>
          <c:idx val="3"/>
          <c:order val="3"/>
          <c:tx>
            <c:strRef>
              <c:f>'Obsolete Releases'!$E$4:$E$5</c:f>
              <c:strCache>
                <c:ptCount val="1"/>
                <c:pt idx="0">
                  <c:v>SLT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Releases'!$E$6:$E$114</c:f>
              <c:numCache>
                <c:formatCode>General</c:formatCode>
                <c:ptCount val="106"/>
                <c:pt idx="6">
                  <c:v>2</c:v>
                </c:pt>
                <c:pt idx="7">
                  <c:v>1</c:v>
                </c:pt>
                <c:pt idx="10">
                  <c:v>1</c:v>
                </c:pt>
                <c:pt idx="19">
                  <c:v>1</c:v>
                </c:pt>
                <c:pt idx="38">
                  <c:v>2</c:v>
                </c:pt>
                <c:pt idx="39">
                  <c:v>1</c:v>
                </c:pt>
                <c:pt idx="40">
                  <c:v>4</c:v>
                </c:pt>
                <c:pt idx="41">
                  <c:v>1</c:v>
                </c:pt>
                <c:pt idx="43">
                  <c:v>2</c:v>
                </c:pt>
                <c:pt idx="45">
                  <c:v>1</c:v>
                </c:pt>
                <c:pt idx="46">
                  <c:v>1</c:v>
                </c:pt>
                <c:pt idx="47">
                  <c:v>4</c:v>
                </c:pt>
                <c:pt idx="48">
                  <c:v>1</c:v>
                </c:pt>
                <c:pt idx="49">
                  <c:v>5</c:v>
                </c:pt>
                <c:pt idx="50">
                  <c:v>2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1</c:v>
                </c:pt>
                <c:pt idx="56">
                  <c:v>3</c:v>
                </c:pt>
                <c:pt idx="57">
                  <c:v>5</c:v>
                </c:pt>
                <c:pt idx="59">
                  <c:v>1</c:v>
                </c:pt>
                <c:pt idx="60">
                  <c:v>2</c:v>
                </c:pt>
                <c:pt idx="61">
                  <c:v>1</c:v>
                </c:pt>
                <c:pt idx="62">
                  <c:v>1</c:v>
                </c:pt>
                <c:pt idx="67">
                  <c:v>2</c:v>
                </c:pt>
                <c:pt idx="69">
                  <c:v>1</c:v>
                </c:pt>
                <c:pt idx="76">
                  <c:v>1</c:v>
                </c:pt>
                <c:pt idx="78">
                  <c:v>1</c:v>
                </c:pt>
                <c:pt idx="91">
                  <c:v>1</c:v>
                </c:pt>
                <c:pt idx="97">
                  <c:v>1</c:v>
                </c:pt>
                <c:pt idx="99">
                  <c:v>1</c:v>
                </c:pt>
                <c:pt idx="101">
                  <c:v>3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</c:numCache>
            </c:numRef>
          </c:val>
        </c:ser>
        <c:ser>
          <c:idx val="4"/>
          <c:order val="4"/>
          <c:tx>
            <c:strRef>
              <c:f>'Obsolete Releases'!$F$4:$F$5</c:f>
              <c:strCache>
                <c:ptCount val="1"/>
                <c:pt idx="0">
                  <c:v>TLN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Releases'!$F$6:$F$114</c:f>
              <c:numCache>
                <c:formatCode>General</c:formatCode>
                <c:ptCount val="106"/>
                <c:pt idx="51">
                  <c:v>1</c:v>
                </c:pt>
                <c:pt idx="58">
                  <c:v>1</c:v>
                </c:pt>
                <c:pt idx="72">
                  <c:v>1</c:v>
                </c:pt>
                <c:pt idx="88">
                  <c:v>1</c:v>
                </c:pt>
              </c:numCache>
            </c:numRef>
          </c:val>
        </c:ser>
        <c:ser>
          <c:idx val="5"/>
          <c:order val="5"/>
          <c:tx>
            <c:strRef>
              <c:f>'Obsolete Releases'!$G$4:$G$5</c:f>
              <c:strCache>
                <c:ptCount val="1"/>
                <c:pt idx="0">
                  <c:v>TLSTR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Releases'!$G$6:$G$114</c:f>
              <c:numCache>
                <c:formatCode>General</c:formatCode>
                <c:ptCount val="106"/>
                <c:pt idx="23">
                  <c:v>1</c:v>
                </c:pt>
                <c:pt idx="38">
                  <c:v>1</c:v>
                </c:pt>
                <c:pt idx="42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50">
                  <c:v>1</c:v>
                </c:pt>
                <c:pt idx="51">
                  <c:v>1</c:v>
                </c:pt>
                <c:pt idx="53">
                  <c:v>1</c:v>
                </c:pt>
                <c:pt idx="55">
                  <c:v>1</c:v>
                </c:pt>
                <c:pt idx="58">
                  <c:v>1</c:v>
                </c:pt>
                <c:pt idx="67">
                  <c:v>1</c:v>
                </c:pt>
                <c:pt idx="78">
                  <c:v>1</c:v>
                </c:pt>
                <c:pt idx="85">
                  <c:v>1</c:v>
                </c:pt>
                <c:pt idx="87">
                  <c:v>1</c:v>
                </c:pt>
                <c:pt idx="101">
                  <c:v>1</c:v>
                </c:pt>
                <c:pt idx="102">
                  <c:v>1</c:v>
                </c:pt>
              </c:numCache>
            </c:numRef>
          </c:val>
        </c:ser>
        <c:ser>
          <c:idx val="6"/>
          <c:order val="6"/>
          <c:tx>
            <c:strRef>
              <c:f>'Obsolete Releases'!$H$4:$H$5</c:f>
              <c:strCache>
                <c:ptCount val="1"/>
                <c:pt idx="0">
                  <c:v>TWC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Releases'!$H$6:$H$114</c:f>
              <c:numCache>
                <c:formatCode>General</c:formatCode>
                <c:ptCount val="106"/>
                <c:pt idx="12">
                  <c:v>1</c:v>
                </c:pt>
                <c:pt idx="38">
                  <c:v>1</c:v>
                </c:pt>
                <c:pt idx="40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8">
                  <c:v>1</c:v>
                </c:pt>
                <c:pt idx="53">
                  <c:v>2</c:v>
                </c:pt>
                <c:pt idx="55">
                  <c:v>1</c:v>
                </c:pt>
                <c:pt idx="57">
                  <c:v>1</c:v>
                </c:pt>
                <c:pt idx="58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7">
                  <c:v>1</c:v>
                </c:pt>
                <c:pt idx="72">
                  <c:v>1</c:v>
                </c:pt>
                <c:pt idx="76">
                  <c:v>1</c:v>
                </c:pt>
                <c:pt idx="79">
                  <c:v>1</c:v>
                </c:pt>
                <c:pt idx="83">
                  <c:v>1</c:v>
                </c:pt>
                <c:pt idx="100">
                  <c:v>1</c:v>
                </c:pt>
                <c:pt idx="102">
                  <c:v>1</c:v>
                </c:pt>
              </c:numCache>
            </c:numRef>
          </c:val>
        </c:ser>
        <c:ser>
          <c:idx val="7"/>
          <c:order val="7"/>
          <c:tx>
            <c:strRef>
              <c:f>'Obsolete Releases'!$I$4:$I$5</c:f>
              <c:strCache>
                <c:ptCount val="1"/>
                <c:pt idx="0">
                  <c:v>VZB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Releases'!$I$6:$I$114</c:f>
              <c:numCache>
                <c:formatCode>General</c:formatCode>
                <c:ptCount val="106"/>
                <c:pt idx="1">
                  <c:v>1</c:v>
                </c:pt>
              </c:numCache>
            </c:numRef>
          </c:val>
        </c:ser>
        <c:ser>
          <c:idx val="8"/>
          <c:order val="8"/>
          <c:tx>
            <c:strRef>
              <c:f>'Obsolete Releases'!$J$4:$J$5</c:f>
              <c:strCache>
                <c:ptCount val="1"/>
                <c:pt idx="0">
                  <c:v>DRC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Releases'!$J$6:$J$114</c:f>
              <c:numCache>
                <c:formatCode>General</c:formatCode>
                <c:ptCount val="106"/>
                <c:pt idx="58">
                  <c:v>1</c:v>
                </c:pt>
                <c:pt idx="66">
                  <c:v>1</c:v>
                </c:pt>
                <c:pt idx="71">
                  <c:v>1</c:v>
                </c:pt>
              </c:numCache>
            </c:numRef>
          </c:val>
        </c:ser>
        <c:ser>
          <c:idx val="9"/>
          <c:order val="9"/>
          <c:tx>
            <c:strRef>
              <c:f>'Obsolete Releases'!$K$4:$K$5</c:f>
              <c:strCache>
                <c:ptCount val="1"/>
                <c:pt idx="0">
                  <c:v>ANTEL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Releases'!$K$6:$K$114</c:f>
              <c:numCache>
                <c:formatCode>General</c:formatCode>
                <c:ptCount val="106"/>
                <c:pt idx="21">
                  <c:v>1</c:v>
                </c:pt>
                <c:pt idx="60">
                  <c:v>1</c:v>
                </c:pt>
                <c:pt idx="80">
                  <c:v>1</c:v>
                </c:pt>
                <c:pt idx="85">
                  <c:v>1</c:v>
                </c:pt>
                <c:pt idx="86">
                  <c:v>2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4">
                  <c:v>1</c:v>
                </c:pt>
              </c:numCache>
            </c:numRef>
          </c:val>
        </c:ser>
        <c:ser>
          <c:idx val="10"/>
          <c:order val="10"/>
          <c:tx>
            <c:strRef>
              <c:f>'Obsolete Releases'!$L$4:$L$5</c:f>
              <c:strCache>
                <c:ptCount val="1"/>
                <c:pt idx="0">
                  <c:v>OBT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Releases'!$L$6:$L$114</c:f>
              <c:numCache>
                <c:formatCode>General</c:formatCode>
                <c:ptCount val="106"/>
                <c:pt idx="37">
                  <c:v>4</c:v>
                </c:pt>
                <c:pt idx="38">
                  <c:v>2</c:v>
                </c:pt>
                <c:pt idx="40">
                  <c:v>1</c:v>
                </c:pt>
                <c:pt idx="43">
                  <c:v>1</c:v>
                </c:pt>
                <c:pt idx="54">
                  <c:v>1</c:v>
                </c:pt>
                <c:pt idx="71">
                  <c:v>1</c:v>
                </c:pt>
                <c:pt idx="92">
                  <c:v>1</c:v>
                </c:pt>
              </c:numCache>
            </c:numRef>
          </c:val>
        </c:ser>
        <c:ser>
          <c:idx val="11"/>
          <c:order val="11"/>
          <c:tx>
            <c:strRef>
              <c:f>'Obsolete Releases'!$M$4:$M$5</c:f>
              <c:strCache>
                <c:ptCount val="1"/>
                <c:pt idx="0">
                  <c:v>FNB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Releases'!$M$6:$M$114</c:f>
              <c:numCache>
                <c:formatCode>General</c:formatCode>
                <c:ptCount val="106"/>
                <c:pt idx="18">
                  <c:v>1</c:v>
                </c:pt>
                <c:pt idx="89">
                  <c:v>1</c:v>
                </c:pt>
                <c:pt idx="94">
                  <c:v>1</c:v>
                </c:pt>
              </c:numCache>
            </c:numRef>
          </c:val>
        </c:ser>
        <c:ser>
          <c:idx val="12"/>
          <c:order val="12"/>
          <c:tx>
            <c:strRef>
              <c:f>'Obsolete Releases'!$N$4:$N$5</c:f>
              <c:strCache>
                <c:ptCount val="1"/>
                <c:pt idx="0">
                  <c:v>TLSTR-ST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Releases'!$N$6:$N$114</c:f>
              <c:numCache>
                <c:formatCode>General</c:formatCode>
                <c:ptCount val="106"/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82">
                  <c:v>1</c:v>
                </c:pt>
                <c:pt idx="88">
                  <c:v>1</c:v>
                </c:pt>
                <c:pt idx="89">
                  <c:v>2</c:v>
                </c:pt>
              </c:numCache>
            </c:numRef>
          </c:val>
        </c:ser>
        <c:ser>
          <c:idx val="13"/>
          <c:order val="13"/>
          <c:tx>
            <c:strRef>
              <c:f>'Obsolete Releases'!$O$4:$O$5</c:f>
              <c:strCache>
                <c:ptCount val="1"/>
                <c:pt idx="0">
                  <c:v>MCC</c:v>
                </c:pt>
              </c:strCache>
            </c:strRef>
          </c:tx>
          <c:invertIfNegative val="0"/>
          <c:cat>
            <c:multiLvlStrRef>
              <c:f>'Obsolete Releases'!$A$6:$A$114</c:f>
              <c:multiLvlStrCache>
                <c:ptCount val="106"/>
                <c:lvl>
                  <c:pt idx="0">
                    <c:v>2014 - 05</c:v>
                  </c:pt>
                  <c:pt idx="1">
                    <c:v>2014 - 07</c:v>
                  </c:pt>
                  <c:pt idx="2">
                    <c:v>2014 - 09</c:v>
                  </c:pt>
                  <c:pt idx="3">
                    <c:v>2014 - 11</c:v>
                  </c:pt>
                  <c:pt idx="4">
                    <c:v>2014 - 12</c:v>
                  </c:pt>
                  <c:pt idx="5">
                    <c:v>2014 - 15</c:v>
                  </c:pt>
                  <c:pt idx="6">
                    <c:v>2014 - 18</c:v>
                  </c:pt>
                  <c:pt idx="7">
                    <c:v>2014 - 19</c:v>
                  </c:pt>
                  <c:pt idx="8">
                    <c:v>2014 - 25</c:v>
                  </c:pt>
                  <c:pt idx="9">
                    <c:v>2014 - 28</c:v>
                  </c:pt>
                  <c:pt idx="10">
                    <c:v>2014 - 30</c:v>
                  </c:pt>
                  <c:pt idx="11">
                    <c:v>2014 - 31</c:v>
                  </c:pt>
                  <c:pt idx="12">
                    <c:v>2014 - 36</c:v>
                  </c:pt>
                  <c:pt idx="13">
                    <c:v>2014 - 39</c:v>
                  </c:pt>
                  <c:pt idx="14">
                    <c:v>2014 - 40</c:v>
                  </c:pt>
                  <c:pt idx="15">
                    <c:v>2014 - 41</c:v>
                  </c:pt>
                  <c:pt idx="16">
                    <c:v>2014 - 42</c:v>
                  </c:pt>
                  <c:pt idx="17">
                    <c:v>2014 - 44</c:v>
                  </c:pt>
                  <c:pt idx="18">
                    <c:v>2014 - 48</c:v>
                  </c:pt>
                  <c:pt idx="19">
                    <c:v>2014 - 49</c:v>
                  </c:pt>
                  <c:pt idx="20">
                    <c:v>2014 - 51</c:v>
                  </c:pt>
                  <c:pt idx="21">
                    <c:v>2014 - 53</c:v>
                  </c:pt>
                  <c:pt idx="22">
                    <c:v>2015 - 03</c:v>
                  </c:pt>
                  <c:pt idx="23">
                    <c:v>2015 - 04</c:v>
                  </c:pt>
                  <c:pt idx="24">
                    <c:v>2015 - 05</c:v>
                  </c:pt>
                  <c:pt idx="25">
                    <c:v>2015 - 06</c:v>
                  </c:pt>
                  <c:pt idx="26">
                    <c:v>2015 - 12</c:v>
                  </c:pt>
                  <c:pt idx="27">
                    <c:v>2015 - 15</c:v>
                  </c:pt>
                  <c:pt idx="28">
                    <c:v>2015 - 16</c:v>
                  </c:pt>
                  <c:pt idx="29">
                    <c:v>2015 - 17</c:v>
                  </c:pt>
                  <c:pt idx="30">
                    <c:v>2015 - 20</c:v>
                  </c:pt>
                  <c:pt idx="31">
                    <c:v>2015 - 21</c:v>
                  </c:pt>
                  <c:pt idx="32">
                    <c:v>2015 - 24</c:v>
                  </c:pt>
                  <c:pt idx="33">
                    <c:v>2015 - 27</c:v>
                  </c:pt>
                  <c:pt idx="34">
                    <c:v>2015 - 28</c:v>
                  </c:pt>
                  <c:pt idx="35">
                    <c:v>2015 - 29</c:v>
                  </c:pt>
                  <c:pt idx="36">
                    <c:v>2015 - 31</c:v>
                  </c:pt>
                  <c:pt idx="37">
                    <c:v>2014 - 01</c:v>
                  </c:pt>
                  <c:pt idx="38">
                    <c:v>2014 - 02</c:v>
                  </c:pt>
                  <c:pt idx="39">
                    <c:v>2014 - 03</c:v>
                  </c:pt>
                  <c:pt idx="40">
                    <c:v>2014 - 04</c:v>
                  </c:pt>
                  <c:pt idx="41">
                    <c:v>2014 - 05</c:v>
                  </c:pt>
                  <c:pt idx="42">
                    <c:v>2014 - 06</c:v>
                  </c:pt>
                  <c:pt idx="43">
                    <c:v>2014 - 07</c:v>
                  </c:pt>
                  <c:pt idx="44">
                    <c:v>2014 - 08</c:v>
                  </c:pt>
                  <c:pt idx="45">
                    <c:v>2014 - 10</c:v>
                  </c:pt>
                  <c:pt idx="46">
                    <c:v>2014 - 11</c:v>
                  </c:pt>
                  <c:pt idx="47">
                    <c:v>2014 - 12</c:v>
                  </c:pt>
                  <c:pt idx="48">
                    <c:v>2014 - 13</c:v>
                  </c:pt>
                  <c:pt idx="49">
                    <c:v>2014 - 14</c:v>
                  </c:pt>
                  <c:pt idx="50">
                    <c:v>2014 - 15</c:v>
                  </c:pt>
                  <c:pt idx="51">
                    <c:v>2014 - 16</c:v>
                  </c:pt>
                  <c:pt idx="52">
                    <c:v>2014 - 17</c:v>
                  </c:pt>
                  <c:pt idx="53">
                    <c:v>2014 - 18</c:v>
                  </c:pt>
                  <c:pt idx="54">
                    <c:v>2014 - 19</c:v>
                  </c:pt>
                  <c:pt idx="55">
                    <c:v>2014 - 20</c:v>
                  </c:pt>
                  <c:pt idx="56">
                    <c:v>2014 - 21</c:v>
                  </c:pt>
                  <c:pt idx="57">
                    <c:v>2014 - 22</c:v>
                  </c:pt>
                  <c:pt idx="58">
                    <c:v>2014 - 23</c:v>
                  </c:pt>
                  <c:pt idx="59">
                    <c:v>2014 - 24</c:v>
                  </c:pt>
                  <c:pt idx="60">
                    <c:v>2014 - 25</c:v>
                  </c:pt>
                  <c:pt idx="61">
                    <c:v>2014 - 26</c:v>
                  </c:pt>
                  <c:pt idx="62">
                    <c:v>2014 - 27</c:v>
                  </c:pt>
                  <c:pt idx="63">
                    <c:v>2014 - 28</c:v>
                  </c:pt>
                  <c:pt idx="64">
                    <c:v>2014 - 29</c:v>
                  </c:pt>
                  <c:pt idx="65">
                    <c:v>2014 - 30</c:v>
                  </c:pt>
                  <c:pt idx="66">
                    <c:v>2014 - 31</c:v>
                  </c:pt>
                  <c:pt idx="67">
                    <c:v>2014 - 33</c:v>
                  </c:pt>
                  <c:pt idx="68">
                    <c:v>2014 - 34</c:v>
                  </c:pt>
                  <c:pt idx="69">
                    <c:v>2014 - 35</c:v>
                  </c:pt>
                  <c:pt idx="70">
                    <c:v>2014 - 36</c:v>
                  </c:pt>
                  <c:pt idx="71">
                    <c:v>2014 - 37</c:v>
                  </c:pt>
                  <c:pt idx="72">
                    <c:v>2014 - 38</c:v>
                  </c:pt>
                  <c:pt idx="73">
                    <c:v>2014 - 39</c:v>
                  </c:pt>
                  <c:pt idx="74">
                    <c:v>2014 - 40</c:v>
                  </c:pt>
                  <c:pt idx="75">
                    <c:v>2014 - 41</c:v>
                  </c:pt>
                  <c:pt idx="76">
                    <c:v>2014 - 42</c:v>
                  </c:pt>
                  <c:pt idx="77">
                    <c:v>2014 - 43</c:v>
                  </c:pt>
                  <c:pt idx="78">
                    <c:v>2014 - 44</c:v>
                  </c:pt>
                  <c:pt idx="79">
                    <c:v>2014 - 46</c:v>
                  </c:pt>
                  <c:pt idx="80">
                    <c:v>2014 - 47</c:v>
                  </c:pt>
                  <c:pt idx="81">
                    <c:v>2014 - 48</c:v>
                  </c:pt>
                  <c:pt idx="82">
                    <c:v>2014 - 49</c:v>
                  </c:pt>
                  <c:pt idx="83">
                    <c:v>2014 - 50</c:v>
                  </c:pt>
                  <c:pt idx="84">
                    <c:v>2014 - 51</c:v>
                  </c:pt>
                  <c:pt idx="85">
                    <c:v>2014 - 53</c:v>
                  </c:pt>
                  <c:pt idx="86">
                    <c:v>2015 - 01</c:v>
                  </c:pt>
                  <c:pt idx="87">
                    <c:v>2015 - 02</c:v>
                  </c:pt>
                  <c:pt idx="88">
                    <c:v>2015 - 03</c:v>
                  </c:pt>
                  <c:pt idx="89">
                    <c:v>2015 - 04</c:v>
                  </c:pt>
                  <c:pt idx="90">
                    <c:v>2015 - 06</c:v>
                  </c:pt>
                  <c:pt idx="91">
                    <c:v>2015 - 07</c:v>
                  </c:pt>
                  <c:pt idx="92">
                    <c:v>2015 - 08</c:v>
                  </c:pt>
                  <c:pt idx="93">
                    <c:v>2015 - 09</c:v>
                  </c:pt>
                  <c:pt idx="94">
                    <c:v>2015 - 10</c:v>
                  </c:pt>
                  <c:pt idx="95">
                    <c:v>2015 - 13</c:v>
                  </c:pt>
                  <c:pt idx="96">
                    <c:v>2015 - 14</c:v>
                  </c:pt>
                  <c:pt idx="97">
                    <c:v>2015 - 15</c:v>
                  </c:pt>
                  <c:pt idx="98">
                    <c:v>2015 - 16</c:v>
                  </c:pt>
                  <c:pt idx="99">
                    <c:v>2015 - 17</c:v>
                  </c:pt>
                  <c:pt idx="100">
                    <c:v>2015 - 22</c:v>
                  </c:pt>
                  <c:pt idx="101">
                    <c:v>2015 - 23</c:v>
                  </c:pt>
                  <c:pt idx="102">
                    <c:v>2015 - 24</c:v>
                  </c:pt>
                  <c:pt idx="103">
                    <c:v>2015 - 26</c:v>
                  </c:pt>
                  <c:pt idx="104">
                    <c:v>2015 - 27</c:v>
                  </c:pt>
                  <c:pt idx="105">
                    <c:v>2015 - 28</c:v>
                  </c:pt>
                </c:lvl>
                <c:lvl>
                  <c:pt idx="0">
                    <c:v>Build</c:v>
                  </c:pt>
                  <c:pt idx="37">
                    <c:v>Patch</c:v>
                  </c:pt>
                </c:lvl>
              </c:multiLvlStrCache>
            </c:multiLvlStrRef>
          </c:cat>
          <c:val>
            <c:numRef>
              <c:f>'Obsolete Releases'!$O$6:$O$114</c:f>
              <c:numCache>
                <c:formatCode>General</c:formatCode>
                <c:ptCount val="106"/>
                <c:pt idx="20">
                  <c:v>1</c:v>
                </c:pt>
                <c:pt idx="9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3159168"/>
        <c:axId val="113177344"/>
      </c:barChart>
      <c:catAx>
        <c:axId val="11315916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5400000" vert="horz"/>
          <a:lstStyle/>
          <a:p>
            <a:pPr>
              <a:defRPr sz="800"/>
            </a:pPr>
            <a:endParaRPr lang="en-US"/>
          </a:p>
        </c:txPr>
        <c:crossAx val="113177344"/>
        <c:crosses val="autoZero"/>
        <c:auto val="1"/>
        <c:lblAlgn val="ctr"/>
        <c:lblOffset val="100"/>
        <c:noMultiLvlLbl val="0"/>
      </c:catAx>
      <c:valAx>
        <c:axId val="11317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159168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7.gif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</xdr:col>
      <xdr:colOff>339772</xdr:colOff>
      <xdr:row>4</xdr:row>
      <xdr:rowOff>47625</xdr:rowOff>
    </xdr:to>
    <xdr:pic>
      <xdr:nvPicPr>
        <xdr:cNvPr id="4" name="Picture 3" descr="lagilis_ogo-150x54.gif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90500"/>
          <a:ext cx="1558972" cy="6191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24695</xdr:rowOff>
    </xdr:from>
    <xdr:to>
      <xdr:col>17</xdr:col>
      <xdr:colOff>282221</xdr:colOff>
      <xdr:row>31</xdr:row>
      <xdr:rowOff>58796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62</xdr:row>
      <xdr:rowOff>188147</xdr:rowOff>
    </xdr:from>
    <xdr:to>
      <xdr:col>18</xdr:col>
      <xdr:colOff>529165</xdr:colOff>
      <xdr:row>83</xdr:row>
      <xdr:rowOff>11759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84</xdr:row>
      <xdr:rowOff>23518</xdr:rowOff>
    </xdr:from>
    <xdr:to>
      <xdr:col>18</xdr:col>
      <xdr:colOff>599721</xdr:colOff>
      <xdr:row>102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35276</xdr:colOff>
      <xdr:row>102</xdr:row>
      <xdr:rowOff>70555</xdr:rowOff>
    </xdr:from>
    <xdr:to>
      <xdr:col>18</xdr:col>
      <xdr:colOff>611480</xdr:colOff>
      <xdr:row>124</xdr:row>
      <xdr:rowOff>35278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18</xdr:col>
      <xdr:colOff>587963</xdr:colOff>
      <xdr:row>60</xdr:row>
      <xdr:rowOff>129352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136</xdr:row>
      <xdr:rowOff>129352</xdr:rowOff>
    </xdr:from>
    <xdr:to>
      <xdr:col>18</xdr:col>
      <xdr:colOff>540926</xdr:colOff>
      <xdr:row>154</xdr:row>
      <xdr:rowOff>62148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0</xdr:rowOff>
        </xdr:from>
        <xdr:to>
          <xdr:col>1</xdr:col>
          <xdr:colOff>590550</xdr:colOff>
          <xdr:row>9</xdr:row>
          <xdr:rowOff>76200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4</xdr:col>
          <xdr:colOff>485775</xdr:colOff>
          <xdr:row>9</xdr:row>
          <xdr:rowOff>95250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276225</xdr:colOff>
          <xdr:row>8</xdr:row>
          <xdr:rowOff>57150</xdr:rowOff>
        </xdr:from>
        <xdr:to>
          <xdr:col>13</xdr:col>
          <xdr:colOff>323850</xdr:colOff>
          <xdr:row>9</xdr:row>
          <xdr:rowOff>142875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8</xdr:row>
          <xdr:rowOff>57150</xdr:rowOff>
        </xdr:from>
        <xdr:to>
          <xdr:col>16</xdr:col>
          <xdr:colOff>219075</xdr:colOff>
          <xdr:row>9</xdr:row>
          <xdr:rowOff>152400</xdr:rowOff>
        </xdr:to>
        <xdr:sp macro="" textlink="">
          <xdr:nvSpPr>
            <xdr:cNvPr id="3076" name="ComboBox2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8</xdr:row>
          <xdr:rowOff>0</xdr:rowOff>
        </xdr:from>
        <xdr:to>
          <xdr:col>7</xdr:col>
          <xdr:colOff>95250</xdr:colOff>
          <xdr:row>9</xdr:row>
          <xdr:rowOff>76200</xdr:rowOff>
        </xdr:to>
        <xdr:sp macro="" textlink="">
          <xdr:nvSpPr>
            <xdr:cNvPr id="3079" name="CommandButton3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8</xdr:row>
          <xdr:rowOff>19050</xdr:rowOff>
        </xdr:from>
        <xdr:to>
          <xdr:col>9</xdr:col>
          <xdr:colOff>504825</xdr:colOff>
          <xdr:row>9</xdr:row>
          <xdr:rowOff>85725</xdr:rowOff>
        </xdr:to>
        <xdr:sp macro="" textlink="">
          <xdr:nvSpPr>
            <xdr:cNvPr id="3080" name="ComboBox3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12</xdr:row>
      <xdr:rowOff>47624</xdr:rowOff>
    </xdr:from>
    <xdr:to>
      <xdr:col>26</xdr:col>
      <xdr:colOff>342900</xdr:colOff>
      <xdr:row>29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umar Sanu. Pathak" refreshedDate="42226.631975578704" createdVersion="4" refreshedVersion="4" minRefreshableVersion="3" recordCount="178">
  <cacheSource type="worksheet">
    <worksheetSource ref="C2:H180" sheet="Release_Versions"/>
  </cacheSource>
  <cacheFields count="6">
    <cacheField name="PRODUCT" numFmtId="0">
      <sharedItems containsBlank="1" count="22">
        <s v="SYSTEM ADMIN CONSOLE"/>
        <s v="ART"/>
        <s v="DATA FLOW ENGINE"/>
        <s v="DATAMIND"/>
        <s v="MEDIATION CONFIGURATION SYSTEM"/>
        <s v="NETMIND"/>
        <s v="NETMINDPOS"/>
        <s v="RATING ENGINE"/>
        <s v="REVMMIND"/>
        <s v="REVMMIND - CS"/>
        <s v="ROUTEMIND"/>
        <s v="TRAFFIC MIND"/>
        <s v="VISUAL CLARITY SERVER"/>
        <s v="MEDIATION - GUI"/>
        <s v="CREDIT ASSESMENT &amp; RISK ANALYSIS"/>
        <s v="GUI(Thick Client)"/>
        <s v="NETMIND (Thick Client)"/>
        <s v="NETMIND-Web-CS"/>
        <s v="NETMIND-Web-WFS"/>
        <s v="REVMIND-Web-WFS"/>
        <s v="MEDIATION"/>
        <m u="1"/>
      </sharedItems>
    </cacheField>
    <cacheField name="Version" numFmtId="0">
      <sharedItems containsBlank="1" count="55">
        <s v="1.1"/>
        <s v="2.4"/>
        <s v="3.0"/>
        <s v="3.1"/>
        <s v="4.0.1"/>
        <s v="1.0"/>
        <s v="2.0"/>
        <s v="2.1"/>
        <s v="3.0/3.5"/>
        <s v="4.8"/>
        <s v="4.7"/>
        <s v="4.0"/>
        <s v="4.2"/>
        <s v="4.6"/>
        <s v="4.1"/>
        <s v="1.2"/>
        <s v="1.3"/>
        <s v="2.5.6"/>
        <s v="2.2"/>
        <s v="2.5"/>
        <s v="3.0.14"/>
        <s v="3.0.16"/>
        <s v="3.4"/>
        <s v="4.0.10"/>
        <s v="4.0.18"/>
        <s v="4.0.19"/>
        <s v="4.0.25"/>
        <s v="4.0.24"/>
        <s v="4.0.27"/>
        <s v="4.0.35"/>
        <s v="4.0.9"/>
        <s v="Thick Client"/>
        <s v="2.0.4"/>
        <s v="2.1.10"/>
        <s v="2.1.11"/>
        <s v="2.1.13"/>
        <s v="2.1.17"/>
        <s v="2.1.14"/>
        <s v="2.1.18"/>
        <s v="2.1.23"/>
        <s v="2.1.19"/>
        <s v="2.1.21"/>
        <s v="2.1.34"/>
        <s v="2.1.35"/>
        <s v="2.1.36"/>
        <s v="2.2.1"/>
        <s v="3.2"/>
        <s v="2.6.2"/>
        <m u="1"/>
        <s v="4.0.2" u="1"/>
        <s v="2.1.25" u="1"/>
        <s v="2.1.28" u="1"/>
        <s v="4.0.26" u="1"/>
        <s v="4.0.3" u="1"/>
        <s v="4.0.29" u="1"/>
      </sharedItems>
    </cacheField>
    <cacheField name="Component" numFmtId="0">
      <sharedItems containsBlank="1" count="6">
        <s v="AGENT"/>
        <s v="DBS"/>
        <s v="GUI"/>
        <s v="MPE"/>
        <m/>
        <s v="CS" u="1"/>
      </sharedItems>
    </cacheField>
    <cacheField name="Customer" numFmtId="0">
      <sharedItems containsBlank="1" count="31">
        <s v="Telstra"/>
        <s v="WIS"/>
        <s v="VON"/>
        <s v="Telenet"/>
        <s v="TMB"/>
        <s v="BHN"/>
        <s v="DRC"/>
        <s v="MTS"/>
        <s v="SHAW"/>
        <s v="SLT"/>
        <s v="VzW"/>
        <s v="MASCOM"/>
        <s v="ANTEL"/>
        <s v="CBD"/>
        <s v="COM"/>
        <s v="MAX"/>
        <s v="MOBSA"/>
        <s v="OBT"/>
        <s v="FNB"/>
        <s v="TWC"/>
        <s v="TELSTRA - STARK"/>
        <s v="CTR"/>
        <s v="BGC"/>
        <s v="BMB"/>
        <s v="MCC"/>
        <s v="TLSTR-ST"/>
        <s v="NM46"/>
        <s v="STARK"/>
        <m/>
        <s v="AGILIS" u="1"/>
        <s v="Telenet/VON" u="1"/>
      </sharedItems>
    </cacheField>
    <cacheField name="Status" numFmtId="0">
      <sharedItems containsBlank="1" count="2">
        <s v="Ongoing"/>
        <m/>
      </sharedItems>
    </cacheField>
    <cacheField name="Rating" numFmtId="0">
      <sharedItems containsString="0" containsBlank="1" containsNumber="1" containsInteger="1" minValue="1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umar Sanu. Pathak" refreshedDate="42226.631975925928" createdVersion="3" refreshedVersion="4" minRefreshableVersion="3" recordCount="174">
  <cacheSource type="worksheet">
    <worksheetSource ref="C2:H176" sheet="Release_Versions"/>
  </cacheSource>
  <cacheFields count="6">
    <cacheField name="PRODUCT" numFmtId="0">
      <sharedItems count="26">
        <s v="SYSTEM ADMIN CONSOLE"/>
        <s v="ART"/>
        <s v="DATA FLOW ENGINE"/>
        <s v="DATAMIND"/>
        <s v="MEDIATION CONFIGURATION SYSTEM"/>
        <s v="NETMIND"/>
        <s v="NETMINDPOS"/>
        <s v="RATING ENGINE"/>
        <s v="REVMMIND"/>
        <s v="REVMMIND - CS"/>
        <s v="ROUTEMIND"/>
        <s v="TRAFFIC MIND"/>
        <s v="VISUAL CLARITY SERVER"/>
        <s v="MEDIATION - GUI"/>
        <s v="CREDIT ASSESMENT &amp; RISK ANALYSIS"/>
        <s v="GUI(Thick Client)"/>
        <s v="NETMIND (Thick Client)"/>
        <s v="NETMIND-Web-CS"/>
        <s v="NETMIND-Web-WFS"/>
        <s v="REVMIND-Web-WFS"/>
        <s v="MEDIATION"/>
        <s v="NETMIND-4.1(Thick Client)" u="1"/>
        <s v="NETMIND-Web-WORK FLOW SYSTEM" u="1"/>
        <s v="NETMIND-3.0/3.5" u="1"/>
        <s v="NETMIND-Web-CONFIGURATION SYSTEM" u="1"/>
        <s v="NETMIND-4.0" u="1"/>
      </sharedItems>
    </cacheField>
    <cacheField name="Version" numFmtId="0">
      <sharedItems containsBlank="1" count="61">
        <s v="1.1"/>
        <s v="2.4"/>
        <s v="3.0"/>
        <s v="3.1"/>
        <s v="4.0.1"/>
        <s v="1.0"/>
        <s v="2.0"/>
        <s v="2.1"/>
        <s v="3.0/3.5"/>
        <s v="4.8"/>
        <s v="4.7"/>
        <s v="4.0"/>
        <s v="4.2"/>
        <s v="4.6"/>
        <s v="4.1"/>
        <s v="1.2"/>
        <s v="1.3"/>
        <s v="2.5.6"/>
        <s v="2.2"/>
        <s v="2.5"/>
        <s v="3.0.14"/>
        <s v="3.0.16"/>
        <s v="3.4"/>
        <s v="4.0.10"/>
        <s v="4.0.18"/>
        <s v="4.0.19"/>
        <s v="4.0.25"/>
        <s v="4.0.24"/>
        <s v="4.0.27"/>
        <s v="4.0.35"/>
        <s v="4.0.9"/>
        <s v="Thick Client"/>
        <s v="2.0.4"/>
        <s v="2.1.10"/>
        <s v="2.1.11"/>
        <s v="2.1.13"/>
        <s v="2.1.17"/>
        <s v="2.1.14"/>
        <s v="2.1.18"/>
        <s v="2.1.23"/>
        <s v="2.1.19"/>
        <s v="2.1.21"/>
        <s v="2.1.34"/>
        <s v="2.1.35"/>
        <s v="2.1.36"/>
        <s v="2.2.1"/>
        <s v="3.2"/>
        <m u="1"/>
        <s v="4.0.16" u="1"/>
        <s v="3.0.10" u="1"/>
        <s v="4.0.2" u="1"/>
        <s v="2.1.22" u="1"/>
        <s v="4.0.20" u="1"/>
        <s v="2.1.25" u="1"/>
        <s v="2.1.28" u="1"/>
        <s v="4.0.26" u="1"/>
        <s v="4.0.3" u="1"/>
        <s v="4.0.29" u="1"/>
        <s v="4.0.22" u="1"/>
        <s v="2.1.15" u="1"/>
        <s v="4.1(Thick Client)" u="1"/>
      </sharedItems>
    </cacheField>
    <cacheField name="Component" numFmtId="0">
      <sharedItems containsBlank="1" count="6">
        <s v="AGENT"/>
        <s v="DBS"/>
        <s v="GUI"/>
        <s v="MPE"/>
        <m u="1"/>
        <s v="CS" u="1"/>
      </sharedItems>
    </cacheField>
    <cacheField name="Customer" numFmtId="0">
      <sharedItems containsBlank="1" count="31">
        <s v="Telstra"/>
        <s v="WIS"/>
        <s v="VON"/>
        <s v="Telenet"/>
        <s v="TMB"/>
        <s v="BHN"/>
        <s v="DRC"/>
        <s v="MTS"/>
        <s v="SHAW"/>
        <s v="SLT"/>
        <s v="VzW"/>
        <s v="MASCOM"/>
        <s v="ANTEL"/>
        <s v="CBD"/>
        <s v="COM"/>
        <s v="MAX"/>
        <s v="MOBSA"/>
        <s v="OBT"/>
        <s v="FNB"/>
        <s v="TWC"/>
        <s v="TELSTRA - STARK"/>
        <s v="CTR"/>
        <s v="BGC"/>
        <s v="BMB"/>
        <s v="MCC"/>
        <s v="TLSTR-ST"/>
        <s v="NM46"/>
        <m u="1"/>
        <s v="TWC(Transition)" u="1"/>
        <s v="AGILIS" u="1"/>
        <s v="Telenet/VON" u="1"/>
      </sharedItems>
    </cacheField>
    <cacheField name="Status" numFmtId="0">
      <sharedItems containsBlank="1" count="2">
        <s v="Ongoing"/>
        <m u="1"/>
      </sharedItems>
    </cacheField>
    <cacheField name="Rating" numFmtId="0">
      <sharedItems containsSemiMixedTypes="0" containsString="0" containsNumber="1" containsInteger="1" minValue="1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Kumar Sanu. Pathak" refreshedDate="42226.63197638889" createdVersion="4" refreshedVersion="4" minRefreshableVersion="3" recordCount="1867">
  <cacheSource type="worksheet">
    <worksheetSource ref="B5:AB1048576" sheet="Sequential Track Record"/>
  </cacheSource>
  <cacheFields count="27">
    <cacheField name="IT Date" numFmtId="14">
      <sharedItems containsNonDate="0" containsDate="1" containsString="0" containsBlank="1" minDate="2014-01-02T00:00:00" maxDate="2015-08-08T00:00:00"/>
    </cacheField>
    <cacheField name="LQA DATE" numFmtId="14">
      <sharedItems containsNonDate="0" containsDate="1" containsString="0" containsBlank="1" minDate="2014-01-02T00:00:00" maxDate="2015-08-08T00:00:00"/>
    </cacheField>
    <cacheField name="IT Month" numFmtId="0">
      <sharedItems containsString="0" containsBlank="1" containsNumber="1" containsInteger="1" minValue="1" maxValue="12"/>
    </cacheField>
    <cacheField name="Month" numFmtId="14">
      <sharedItems containsBlank="1"/>
    </cacheField>
    <cacheField name="LQA Month" numFmtId="0">
      <sharedItems containsBlank="1" containsMixedTypes="1" containsNumber="1" containsInteger="1" minValue="1" maxValue="12"/>
    </cacheField>
    <cacheField name="Release Phase" numFmtId="0">
      <sharedItems containsBlank="1"/>
    </cacheField>
    <cacheField name="Customer" numFmtId="0">
      <sharedItems containsBlank="1" count="33">
        <s v="SLT"/>
        <s v="AGILIS-PROD"/>
        <s v="SHAW"/>
        <s v="OBT"/>
        <s v="TLSTR"/>
        <s v="BHN"/>
        <s v="ANTEL"/>
        <s v="VON"/>
        <s v="TWC"/>
        <s v="MAX"/>
        <s v="COM"/>
        <s v="BMB"/>
        <s v="DRC"/>
        <s v="NM46"/>
        <s v="VZB"/>
        <s v="CBD"/>
        <s v="TLN"/>
        <s v="MTS"/>
        <s v="WIS"/>
        <m/>
        <s v="FNB"/>
        <s v="TLSTR-ST"/>
        <s v="MOBSA"/>
        <s v="MCC"/>
        <s v="MAC"/>
        <s v="GMB" u="1"/>
        <s v="CTR" u="1"/>
        <s v="INSIGHT" u="1"/>
        <s v="TMB" u="1"/>
        <s v="VZW" u="1"/>
        <s v="CFRA" u="1"/>
        <s v="MAS" u="1"/>
        <s v="BGC" u="1"/>
      </sharedItems>
    </cacheField>
    <cacheField name="Category" numFmtId="0">
      <sharedItems containsBlank="1"/>
    </cacheField>
    <cacheField name="Product" numFmtId="0">
      <sharedItems containsBlank="1"/>
    </cacheField>
    <cacheField name="Component" numFmtId="0">
      <sharedItems containsBlank="1"/>
    </cacheField>
    <cacheField name="Release Type" numFmtId="0">
      <sharedItems containsBlank="1" count="3">
        <s v="Patch"/>
        <s v="Build"/>
        <m/>
      </sharedItems>
    </cacheField>
    <cacheField name="List of Items/Components Released" numFmtId="0">
      <sharedItems containsBlank="1"/>
    </cacheField>
    <cacheField name="Released By" numFmtId="0">
      <sharedItems containsBlank="1"/>
    </cacheField>
    <cacheField name="Developed By" numFmtId="0">
      <sharedItems containsBlank="1"/>
    </cacheField>
    <cacheField name="Staging Location of IT" numFmtId="0">
      <sharedItems containsBlank="1"/>
    </cacheField>
    <cacheField name="Obsolete" numFmtId="0">
      <sharedItems containsBlank="1"/>
    </cacheField>
    <cacheField name="Staging Location of LQA" numFmtId="0">
      <sharedItems containsBlank="1"/>
    </cacheField>
    <cacheField name="Pass/Fail" numFmtId="0">
      <sharedItems containsBlank="1"/>
    </cacheField>
    <cacheField name="Release Defect" numFmtId="0">
      <sharedItems containsBlank="1"/>
    </cacheField>
    <cacheField name="INT/FAT" numFmtId="0">
      <sharedItems containsNonDate="0" containsString="0" containsBlank="1"/>
    </cacheField>
    <cacheField name="UAT" numFmtId="0">
      <sharedItems containsNonDate="0" containsString="0" containsBlank="1"/>
    </cacheField>
    <cacheField name="PROD" numFmtId="0">
      <sharedItems containsNonDate="0" containsString="0" containsBlank="1"/>
    </cacheField>
    <cacheField name="Tested By" numFmtId="0">
      <sharedItems containsBlank="1"/>
    </cacheField>
    <cacheField name="Status" numFmtId="0">
      <sharedItems containsBlank="1" count="5">
        <s v="Pass"/>
        <s v="Unknown"/>
        <s v="Obsolete"/>
        <m/>
        <s v="Fail"/>
      </sharedItems>
    </cacheField>
    <cacheField name="Obsolete Date" numFmtId="0">
      <sharedItems containsDate="1" containsBlank="1" containsMixedTypes="1" minDate="1899-12-30T00:00:00" maxDate="2015-07-28T00:00:00"/>
    </cacheField>
    <cacheField name="Obsolete Week" numFmtId="0">
      <sharedItems containsBlank="1" count="183">
        <s v=""/>
        <s v="2014 - 01"/>
        <s v="2014 - 02"/>
        <s v="2014 - 03"/>
        <m/>
        <s v="1900 - 00"/>
        <s v="2014 - 04"/>
        <s v="2014 - 05"/>
        <s v="2014 - 07"/>
        <s v="2014 - 06"/>
        <s v="2014 - 08"/>
        <s v="2014 - 09"/>
        <s v="2014 - 10"/>
        <s v="2014 - 11"/>
        <s v="2014 - 16"/>
        <s v="2014 - 13"/>
        <s v="2014 - 12"/>
        <s v="2014 - 14"/>
        <s v="2014 - 15"/>
        <s v="2014 - 17"/>
        <s v="2014 - 18"/>
        <s v="2014 - 19"/>
        <s v="2014 - 20"/>
        <s v="2014 - 21"/>
        <s v="2014 - 22"/>
        <s v="2014 - 23"/>
        <s v="2014 - 24"/>
        <s v="2014 - 25"/>
        <s v="2014 - 26"/>
        <s v="2014 - 27"/>
        <s v="2014 - 28"/>
        <s v="2014 - 29"/>
        <s v="2014 - 30"/>
        <s v="2014 - 31"/>
        <s v="2014 - 33"/>
        <s v="2014 - 34"/>
        <s v="2014 - 35"/>
        <s v="2014 - 36"/>
        <s v="2014 - 37"/>
        <s v="2014 - 38"/>
        <s v="2014 - 39"/>
        <s v="2014 - 40"/>
        <s v="2014 - 41"/>
        <s v="2014 - 42"/>
        <s v="2014 - 43"/>
        <s v="2014 - 44"/>
        <s v="2014 - 46"/>
        <s v="2014 - 47"/>
        <s v="2014 - 48"/>
        <s v="2014 - 49"/>
        <s v="2014 - 50"/>
        <s v="2014 - 51"/>
        <s v="2014 - 53"/>
        <s v="2015 - 01"/>
        <s v="2015 - 02"/>
        <s v="2015 - 03"/>
        <s v="2015 - 04"/>
        <s v="2015 - 05"/>
        <s v="2015 - 06"/>
        <s v="2015 - 09"/>
        <s v="2015 - 07"/>
        <s v="2015 - 08"/>
        <s v="2015 - 10"/>
        <s v="2015 - 12"/>
        <s v="2015 - 13"/>
        <s v="2015 - 14"/>
        <s v="2015 - 15"/>
        <s v="2015 - 16"/>
        <s v="2015 - 17"/>
        <s v="2015 - 20"/>
        <s v="2015 - 21"/>
        <s v="2015 - 22"/>
        <s v="2015 - 23"/>
        <s v="2015 - 24"/>
        <s v="2015 - 26"/>
        <s v="2015 - 27"/>
        <s v="2015 - 28"/>
        <s v="2015 - 29"/>
        <s v="2015 - 31"/>
        <s v="2013 - 11" u="1"/>
        <s v="2013 - 42" u="1"/>
        <s v="2013 - 10" u="1"/>
        <s v="2012 - 29" u="1"/>
        <s v="2013 - 41" u="1"/>
        <s v="2012 - 28" u="1"/>
        <s v="2013 - 40" u="1"/>
        <s v="2012 - 27" u="1"/>
        <s v="2012 - 26" u="1"/>
        <s v="2012 - 25" u="1"/>
        <s v="2012 - 24" u="1"/>
        <s v="2012 - 23" u="1"/>
        <s v="2012 - 22" u="1"/>
        <s v="2012 - 21" u="1"/>
        <s v="2012 - 52" u="1"/>
        <s v="2012 - 20" u="1"/>
        <s v="2013 - 29" u="1"/>
        <s v="2012 - 51" u="1"/>
        <s v="2013 - 28" u="1"/>
        <s v="2012 - 50" u="1"/>
        <s v="2013 - 27" u="1"/>
        <s v="2013 - 26" u="1"/>
        <s v="2013 - 25" u="1"/>
        <s v="2013 - 24" u="1"/>
        <s v="2013 - 23" u="1"/>
        <s v="2013 - 22" u="1"/>
        <s v="2012 - 09" u="1"/>
        <s v="2013 - 53" u="1"/>
        <s v="2013 - 21" u="1"/>
        <s v="2012 - 08" u="1"/>
        <s v="2013 - 52" u="1"/>
        <s v="2013 - 20" u="1"/>
        <s v="2012 - 39" u="1"/>
        <s v="2012 - 07" u="1"/>
        <s v="2013 - 51" u="1"/>
        <s v="2012 - 38" u="1"/>
        <s v="2012 - 06" u="1"/>
        <s v="2013 - 50" u="1"/>
        <s v="2012 - 37" u="1"/>
        <s v="2012 - 05" u="1"/>
        <s v="2012 - 36" u="1"/>
        <s v="2012 - 04" u="1"/>
        <s v="2012 - 35" u="1"/>
        <s v="2012 - 03" u="1"/>
        <s v="2012 - 34" u="1"/>
        <s v="2012 - 02" u="1"/>
        <s v="2012 - 33" u="1"/>
        <s v="2012 - 01" u="1"/>
        <s v="2012 - 32" u="1"/>
        <s v="2013 - 09" u="1"/>
        <s v="2012 - 31" u="1"/>
        <s v="2013 - 08" u="1"/>
        <s v="2012 - 30" u="1"/>
        <s v="2013 - 39" u="1"/>
        <s v="2013 - 07" u="1"/>
        <s v="2013 - 38" u="1"/>
        <s v="2013 - 06" u="1"/>
        <s v="2013 - 37" u="1"/>
        <s v="2013 - 05" u="1"/>
        <s v="2013 - 36" u="1"/>
        <s v="2013 - 04" u="1"/>
        <s v="2013 - 35" u="1"/>
        <s v="2013 - 03" u="1"/>
        <s v="2013 - 34" u="1"/>
        <s v="2013 - 02" u="1"/>
        <s v="2013 - 33" u="1"/>
        <s v="2013 - 01" u="1"/>
        <s v="2013 - 32" u="1"/>
        <s v="2012 - 19" u="1"/>
        <s v="2013 - 31" u="1"/>
        <s v="2012 - 18" u="1"/>
        <s v="2013 - 30" u="1"/>
        <s v="2012 - 49" u="1"/>
        <s v="2012 - 17" u="1"/>
        <s v="2012 - 48" u="1"/>
        <s v="2012 - 16" u="1"/>
        <s v="2012 - 47" u="1"/>
        <s v="2012 - 15" u="1"/>
        <s v="2012 - 14" u="1"/>
        <s v="2012 - 45" u="1"/>
        <s v="2012 - 13" u="1"/>
        <s v="2012 - 44" u="1"/>
        <s v="2012 - 12" u="1"/>
        <s v="2012 - 43" u="1"/>
        <s v="2012 - 11" u="1"/>
        <s v="2012 - 42" u="1"/>
        <s v="2012 - 10" u="1"/>
        <s v="2013 - 19" u="1"/>
        <s v="2012 - 41" u="1"/>
        <s v="2013 - 18" u="1"/>
        <s v="2012 - 40" u="1"/>
        <s v="2013 - 49" u="1"/>
        <s v="2013 - 17" u="1"/>
        <s v="2013 - 48" u="1"/>
        <s v="2013 - 16" u="1"/>
        <s v="2013 - 47" u="1"/>
        <s v="2013 - 15" u="1"/>
        <s v="2013 - 46" u="1"/>
        <s v="2013 - 14" u="1"/>
        <s v="2013 - 45" u="1"/>
        <s v="2013 - 13" u="1"/>
        <s v="2013 - 44" u="1"/>
        <s v="2013 - 12" u="1"/>
        <s v="2013 - 43" u="1"/>
      </sharedItems>
    </cacheField>
    <cacheField name="Obsolete Year" numFmtId="0">
      <sharedItems containsBlank="1" containsMixedTypes="1" containsNumber="1" containsInteger="1" minValue="1900" maxValue="2015" count="7">
        <s v=""/>
        <n v="2014"/>
        <m/>
        <n v="1900"/>
        <n v="2015"/>
        <n v="2012" u="1"/>
        <n v="201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Kumar Sanu. Pathak" refreshedDate="42226.631976736113" createdVersion="3" refreshedVersion="4" minRefreshableVersion="3" recordCount="1867">
  <cacheSource type="worksheet">
    <worksheetSource ref="B5:Y1048576" sheet="Sequential Track Record"/>
  </cacheSource>
  <cacheFields count="24">
    <cacheField name="IT Date" numFmtId="14">
      <sharedItems containsNonDate="0" containsDate="1" containsString="0" containsBlank="1" minDate="2012-01-02T00:00:00" maxDate="2015-08-08T00:00:00" count="968"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3T00:00:00"/>
        <d v="2014-01-14T00:00:00"/>
        <d v="2014-01-15T00:00:00"/>
        <d v="2014-01-16T00:00:00"/>
        <d v="2014-01-17T00:00:00"/>
        <d v="2014-01-18T00:00:00"/>
        <d v="2014-01-20T00:00:00"/>
        <d v="2014-01-21T00:00:00"/>
        <d v="2014-01-22T00:00:00"/>
        <d v="2014-01-23T00:00:00"/>
        <d v="2014-01-24T00:00:00"/>
        <d v="2014-01-25T00:00:00"/>
        <d v="2014-01-27T00:00:00"/>
        <d v="2014-01-28T00:00:00"/>
        <d v="2014-01-29T00:00:00"/>
        <d v="2014-01-30T00:00:00"/>
        <d v="2014-01-31T00:00:00"/>
        <d v="2014-02-03T00:00:00"/>
        <d v="2014-02-04T00:00:00"/>
        <d v="2014-02-05T00:00:00"/>
        <d v="2014-02-06T00:00:00"/>
        <d v="2014-02-07T00:00:00"/>
        <d v="2014-02-10T00:00:00"/>
        <d v="2014-02-11T00:00:00"/>
        <d v="2014-02-12T00:00:00"/>
        <d v="2014-02-13T00:00:00"/>
        <d v="2014-02-14T00:00:00"/>
        <d v="2014-02-17T00:00:00"/>
        <d v="2014-02-18T00:00:00"/>
        <d v="2014-02-20T00:00:00"/>
        <d v="2014-02-21T00:00:00"/>
        <d v="2014-02-24T00:00:00"/>
        <d v="2014-02-25T00:00:00"/>
        <d v="2014-02-26T00:00:00"/>
        <d v="2014-02-27T00:00:00"/>
        <d v="2014-02-28T00:00:00"/>
        <d v="2014-03-04T00:00:00"/>
        <d v="2014-03-05T00:00:00"/>
        <d v="2014-03-06T00:00:00"/>
        <d v="2014-03-07T00:00:00"/>
        <d v="2014-03-10T00:00:00"/>
        <d v="2014-03-11T00:00:00"/>
        <d v="2014-03-12T00:00:00"/>
        <d v="2014-03-13T00:00:00"/>
        <d v="2014-03-14T00:00:00"/>
        <d v="2014-03-16T00:00:00"/>
        <d v="2014-03-19T00:00:00"/>
        <d v="2014-03-20T00:00:00"/>
        <d v="2014-03-21T00:00:00"/>
        <d v="2014-03-22T00:00:00"/>
        <d v="2014-03-24T00:00:00"/>
        <d v="2014-03-25T00:00:00"/>
        <d v="2014-03-26T00:00:00"/>
        <d v="2014-03-27T00:00:00"/>
        <d v="2014-03-28T00:00:00"/>
        <d v="2014-03-31T00:00:00"/>
        <d v="2014-04-01T00:00:00"/>
        <d v="2014-04-02T00:00:00"/>
        <d v="2014-04-03T00:00:00"/>
        <d v="2014-04-04T00:00:00"/>
        <d v="2014-04-05T00:00:00"/>
        <d v="2014-04-07T00:00:00"/>
        <d v="2014-04-09T00:00:00"/>
        <d v="2014-04-11T00:00:00"/>
        <d v="2014-04-12T00:00:00"/>
        <d v="2014-04-14T00:00:00"/>
        <d v="2014-04-15T00:00:00"/>
        <d v="2014-04-16T00:00:00"/>
        <d v="2014-04-17T00:00:00"/>
        <d v="2014-04-18T00:00:00"/>
        <d v="2014-04-21T00:00:00"/>
        <d v="2014-04-22T00:00:00"/>
        <d v="2014-04-23T00:00:00"/>
        <d v="2014-04-24T00:00:00"/>
        <d v="2014-04-25T00:00:00"/>
        <d v="2014-04-26T00:00:00"/>
        <d v="2014-04-28T00:00:00"/>
        <d v="2014-04-29T00:00:00"/>
        <d v="2014-04-30T00:00:00"/>
        <d v="2014-05-01T00:00:00"/>
        <d v="2014-05-02T00:00:00"/>
        <m/>
        <d v="2014-05-05T00:00:00"/>
        <d v="2014-05-06T00:00:00"/>
        <d v="2014-05-07T00:00:00"/>
        <d v="2014-05-08T00:00:00"/>
        <d v="2014-05-09T00:00:00"/>
        <d v="2014-05-12T00:00:00"/>
        <d v="2014-05-13T00:00:00"/>
        <d v="2014-05-14T00:00:00"/>
        <d v="2014-05-15T00:00:00"/>
        <d v="2014-05-16T00:00:00"/>
        <d v="2014-05-19T00:00:00"/>
        <d v="2014-05-20T00:00:00"/>
        <d v="2014-05-21T00:00:00"/>
        <d v="2014-05-22T00:00:00"/>
        <d v="2014-05-23T00:00:00"/>
        <d v="2014-05-26T00:00:00"/>
        <d v="2014-05-27T00:00:00"/>
        <d v="2014-05-28T00:00:00"/>
        <d v="2014-05-29T00:00:00"/>
        <d v="2014-05-30T00:00:00"/>
        <d v="2014-06-02T00:00:00"/>
        <d v="2014-06-03T00:00:00"/>
        <d v="2014-06-04T00:00:00"/>
        <d v="2014-06-05T00:00:00"/>
        <d v="2014-06-06T00:00:00"/>
        <d v="2014-06-09T00:00:00"/>
        <d v="2014-06-10T00:00:00"/>
        <d v="2014-06-11T00:00:00"/>
        <d v="2014-06-12T00:00:00"/>
        <d v="2014-06-13T00:00:00"/>
        <d v="2014-06-16T00:00:00"/>
        <d v="2014-06-17T00:00:00"/>
        <d v="2014-06-18T00:00:00"/>
        <d v="2014-06-19T00:00:00"/>
        <d v="2014-06-20T00:00:00"/>
        <d v="2014-06-23T00:00:00"/>
        <d v="2014-06-24T00:00:00"/>
        <d v="2014-06-25T00:00:00"/>
        <d v="2014-06-26T00:00:00"/>
        <d v="2014-06-27T00:00:00"/>
        <d v="2014-06-30T00:00:00"/>
        <d v="2014-07-01T00:00:00"/>
        <d v="2014-07-02T00:00:00"/>
        <d v="2014-07-03T00:00:00"/>
        <d v="2014-07-04T00:00:00"/>
        <d v="2014-07-07T00:00:00"/>
        <d v="2014-07-08T00:00:00"/>
        <d v="2014-07-09T00:00:00"/>
        <d v="2014-07-10T00:00:00"/>
        <d v="2014-07-11T00:00:00"/>
        <d v="2014-07-14T00:00:00"/>
        <d v="2014-07-15T00:00:00"/>
        <d v="2014-07-16T00:00:00"/>
        <d v="2014-07-17T00:00:00"/>
        <d v="2014-07-18T00:00:00"/>
        <d v="2014-07-21T00:00:00"/>
        <d v="2014-07-23T00:00:00"/>
        <d v="2014-07-24T00:00:00"/>
        <d v="2014-07-25T00:00:00"/>
        <d v="2014-07-28T00:00:00"/>
        <d v="2014-07-30T00:00:00"/>
        <d v="2014-07-31T00:00:00"/>
        <d v="2014-08-01T00:00:00"/>
        <d v="2014-08-04T00:00:00"/>
        <d v="2014-08-05T00:00:00"/>
        <d v="2014-08-06T00:00:00"/>
        <d v="2014-08-07T00:00:00"/>
        <d v="2014-08-08T00:00:00"/>
        <d v="2014-08-11T00:00:00"/>
        <d v="2014-08-12T00:00:00"/>
        <d v="2014-08-13T00:00:00"/>
        <d v="2014-08-14T00:00:00"/>
        <d v="2014-08-15T00:00:00"/>
        <d v="2014-08-19T00:00:00"/>
        <d v="2014-08-20T00:00:00"/>
        <d v="2014-08-21T00:00:00"/>
        <d v="2014-08-22T00:00:00"/>
        <d v="2014-08-25T00:00:00"/>
        <d v="2014-08-26T00:00:00"/>
        <d v="2014-08-27T00:00:00"/>
        <d v="2014-08-28T00:00:00"/>
        <d v="2014-08-29T00:00:00"/>
        <d v="2014-09-01T00:00:00"/>
        <d v="2014-09-02T00:00:00"/>
        <d v="2014-09-03T00:00:00"/>
        <d v="2014-09-04T00:00:00"/>
        <d v="2014-09-05T00:00:00"/>
        <d v="2014-09-06T00:00:00"/>
        <d v="2014-09-08T00:00:00"/>
        <d v="2014-09-09T00:00:00"/>
        <d v="2014-09-10T00:00:00"/>
        <d v="2014-09-11T00:00:00"/>
        <d v="2014-09-15T00:00:00"/>
        <d v="2014-09-16T00:00:00"/>
        <d v="2014-09-17T00:00:00"/>
        <d v="2014-09-18T00:00:00"/>
        <d v="2014-09-19T00:00:00"/>
        <d v="2014-09-20T00:00:00"/>
        <d v="2014-09-22T00:00:00"/>
        <d v="2014-09-23T00:00:00"/>
        <d v="2014-09-24T00:00:00"/>
        <d v="2014-09-25T00:00:00"/>
        <d v="2014-09-26T00:00:00"/>
        <d v="2014-09-27T00:00:00"/>
        <d v="2014-09-29T00:00:00"/>
        <d v="2014-09-30T00:00:00"/>
        <d v="2014-10-01T00:00:00"/>
        <d v="2014-10-06T00:00:00"/>
        <d v="2014-10-07T00:00:00"/>
        <d v="2014-10-08T00:00:00"/>
        <d v="2014-10-09T00:00:00"/>
        <d v="2014-10-10T00:00:00"/>
        <d v="2014-10-13T00:00:00"/>
        <d v="2014-10-14T00:00:00"/>
        <d v="2014-10-16T00:00:00"/>
        <d v="2014-10-17T00:00:00"/>
        <d v="2014-10-18T00:00:00"/>
        <d v="2014-10-20T00:00:00"/>
        <d v="2014-10-21T00:00:00"/>
        <d v="2014-10-22T00:00:00"/>
        <d v="2014-10-27T00:00:00"/>
        <d v="2014-10-28T00:00:00"/>
        <d v="2014-10-29T00:00:00"/>
        <d v="2014-10-30T00:00:00"/>
        <d v="2014-10-31T00:00:00"/>
        <d v="2014-11-03T00:00:00"/>
        <d v="2014-11-04T00:00:00"/>
        <d v="2014-11-05T00:00:00"/>
        <d v="2014-11-06T00:00:00"/>
        <d v="2014-11-07T00:00:00"/>
        <d v="2014-11-11T00:00:00"/>
        <d v="2014-11-12T00:00:00"/>
        <d v="2014-11-13T00:00:00"/>
        <d v="2014-11-14T00:00:00"/>
        <d v="2014-11-17T00:00:00"/>
        <d v="2014-11-18T00:00:00"/>
        <d v="2014-11-19T00:00:00"/>
        <d v="2014-11-20T00:00:00"/>
        <d v="2014-11-21T00:00:00"/>
        <d v="2014-11-24T00:00:00"/>
        <d v="2014-11-25T00:00:00"/>
        <d v="2014-11-26T00:00:00"/>
        <d v="2014-11-27T00:00:00"/>
        <d v="2014-11-28T00:00:00"/>
        <d v="2014-12-01T00:00:00"/>
        <d v="2014-12-02T00:00:00"/>
        <d v="2014-12-03T00:00:00"/>
        <d v="2014-12-04T00:00:00"/>
        <d v="2014-12-05T00:00:00"/>
        <d v="2014-12-06T00:00:00"/>
        <d v="2014-12-08T00:00:00"/>
        <d v="2014-12-09T00:00:00"/>
        <d v="2014-12-10T00:00:00"/>
        <d v="2014-12-15T00:00:00"/>
        <d v="2014-12-12T00:00:00"/>
        <d v="2014-12-16T00:00:00"/>
        <d v="2014-12-17T00:00:00"/>
        <d v="2014-12-18T00:00:00"/>
        <d v="2014-12-19T00:00:00"/>
        <d v="2014-12-22T00:00:00"/>
        <d v="2014-12-23T00:00:00"/>
        <d v="2014-12-24T00:00:00"/>
        <d v="2014-12-25T00:00:00"/>
        <d v="2014-12-26T00:00:00"/>
        <d v="2014-12-30T00:00:00"/>
        <d v="2014-12-31T00:00:00"/>
        <d v="2015-01-02T00:00:00"/>
        <d v="2015-01-05T00:00:00"/>
        <d v="2015-01-06T00:00:00"/>
        <d v="2015-01-07T00:00:00"/>
        <d v="2015-01-08T00:00:00"/>
        <d v="2015-01-09T00:00:00"/>
        <d v="2015-01-12T00:00:00"/>
        <d v="2015-01-13T00:00:00"/>
        <d v="2015-01-15T00:00:00"/>
        <d v="2015-01-16T00:00:00"/>
        <d v="2015-01-18T00:00:00"/>
        <d v="2015-01-19T00:00:00"/>
        <d v="2015-01-20T00:00:00"/>
        <d v="2015-01-21T00:00:00"/>
        <d v="2015-01-22T00:00:00"/>
        <d v="2015-01-23T00:00:00"/>
        <d v="2015-01-25T00:00:00"/>
        <d v="2015-01-27T00:00:00"/>
        <d v="2015-01-28T00:00:00"/>
        <d v="2015-01-29T00:00:00"/>
        <d v="2015-01-30T00:00:00"/>
        <d v="2015-02-02T00:00:00"/>
        <d v="2015-02-03T00:00:00"/>
        <d v="2015-02-04T00:00:00"/>
        <d v="2015-02-05T00:00:00"/>
        <d v="2015-02-06T00:00:00"/>
        <d v="2015-02-09T00:00:00"/>
        <d v="2015-02-10T00:00:00"/>
        <d v="2015-02-11T00:00:00"/>
        <d v="2015-02-12T00:00:00"/>
        <d v="2015-02-13T00:00:00"/>
        <d v="2015-02-16T00:00:00"/>
        <d v="2015-02-17T00:00:00"/>
        <d v="2015-02-18T00:00:00"/>
        <d v="2015-02-19T00:00:00"/>
        <d v="2015-02-20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27T00:00:00"/>
        <d v="2015-03-30T00:00:00"/>
        <d v="2015-03-31T00:00:00"/>
        <d v="2015-04-01T00:00:00"/>
        <d v="2015-04-02T00:00:00"/>
        <d v="2015-04-06T00:00:00"/>
        <d v="2015-04-07T00:00:00"/>
        <d v="2015-04-08T00:00:00"/>
        <d v="2015-04-09T00:00:00"/>
        <d v="2015-04-10T00:00:00"/>
        <d v="2015-04-13T00:00:00"/>
        <d v="2015-04-14T00:00:00"/>
        <d v="2015-04-15T00:00:00"/>
        <d v="2015-04-16T00:00:00"/>
        <d v="2015-04-17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6T00:00:00"/>
        <d v="2015-05-07T00:00:00"/>
        <d v="2015-05-11T00:00:00"/>
        <d v="2015-05-12T00:00:00"/>
        <d v="2015-05-13T00:00:00"/>
        <d v="2015-05-14T00:00:00"/>
        <d v="2015-05-18T00:00:00"/>
        <d v="2015-05-20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5T00:00:00"/>
        <d v="2015-06-08T00:00:00"/>
        <d v="2015-06-09T00:00:00"/>
        <d v="2015-06-10T00:00:00"/>
        <d v="2015-06-11T00:00:00"/>
        <d v="2015-06-12T00:00:00"/>
        <d v="2015-06-15T00:00:00"/>
        <d v="2015-06-18T00:00:00"/>
        <d v="2015-06-19T00:00:00"/>
        <d v="2015-06-22T00:00:00"/>
        <d v="2015-06-23T00:00:00"/>
        <d v="2015-06-24T00:00:00"/>
        <d v="2015-06-25T00:00:00"/>
        <d v="2015-06-29T00:00:00"/>
        <d v="2015-06-30T00:00:00"/>
        <d v="2015-07-01T00:00:00"/>
        <d v="2015-07-02T00:00:00"/>
        <d v="2015-07-03T00:00:00"/>
        <d v="2015-07-06T00:00:00"/>
        <d v="2015-07-07T00:00:00"/>
        <d v="2015-07-08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1T00:00:00"/>
        <d v="2015-07-22T00:00:00"/>
        <d v="2015-07-23T00:00:00"/>
        <d v="2015-07-24T00:00:00"/>
        <d v="2015-07-27T00:00:00"/>
        <d v="2015-07-30T00:00:00"/>
        <d v="2015-07-31T00:00:00"/>
        <d v="2015-08-04T00:00:00"/>
        <d v="2015-08-05T00:00:00"/>
        <d v="2015-08-06T00:00:00"/>
        <d v="2015-08-07T00:00:00"/>
        <d v="2012-09-29T00:00:00" u="1"/>
        <d v="2012-10-25T00:00:00" u="1"/>
        <d v="2013-10-25T00:00:00" u="1"/>
        <d v="2012-11-21T00:00:00" u="1"/>
        <d v="2013-11-21T00:00:00" u="1"/>
        <d v="2012-12-17T00:00:00" u="1"/>
        <d v="2013-12-17T00:00:00" u="1"/>
        <d v="2012-10-27T00:00:00" u="1"/>
        <d v="2012-11-23T00:00:00" u="1"/>
        <d v="2012-12-19T00:00:00" u="1"/>
        <d v="2013-12-19T00:00:00" u="1"/>
        <d v="2012-10-29T00:00:00" u="1"/>
        <d v="2013-10-29T00:00:00" u="1"/>
        <d v="2013-11-25T00:00:00" u="1"/>
        <d v="2012-12-21T00:00:00" u="1"/>
        <d v="2012-01-02T00:00:00" u="1"/>
        <d v="2013-01-02T00:00:00" u="1"/>
        <d v="2012-10-31T00:00:00" u="1"/>
        <d v="2013-10-31T00:00:00" u="1"/>
        <d v="2012-11-27T00:00:00" u="1"/>
        <d v="2013-11-27T00:00:00" u="1"/>
        <d v="2013-12-23T00:00:00" u="1"/>
        <d v="2012-01-04T00:00:00" u="1"/>
        <d v="2013-01-04T00:00:00" u="1"/>
        <d v="2012-11-29T00:00:00" u="1"/>
        <d v="2013-11-29T00:00:00" u="1"/>
        <d v="2012-12-25T00:00:00" u="1"/>
        <d v="2013-12-25T00:00:00" u="1"/>
        <d v="2012-01-06T00:00:00" u="1"/>
        <d v="2012-02-02T00:00:00" u="1"/>
        <d v="2012-12-27T00:00:00" u="1"/>
        <d v="2013-12-27T00:00:00" u="1"/>
        <d v="2013-01-08T00:00:00" u="1"/>
        <d v="2012-02-04T00:00:00" u="1"/>
        <d v="2013-02-04T00:00:00" u="1"/>
        <d v="2012-01-10T00:00:00" u="1"/>
        <d v="2013-01-10T00:00:00" u="1"/>
        <d v="2012-02-06T00:00:00" u="1"/>
        <d v="2013-02-06T00:00:00" u="1"/>
        <d v="2012-03-02T00:00:00" u="1"/>
        <d v="2013-03-02T00:00:00" u="1"/>
        <d v="2012-12-31T00:00:00" u="1"/>
        <d v="2013-12-31T00:00:00" u="1"/>
        <d v="2012-01-12T00:00:00" u="1"/>
        <d v="2012-02-08T00:00:00" u="1"/>
        <d v="2013-02-08T00:00:00" u="1"/>
        <d v="2013-03-04T00:00:00" u="1"/>
        <d v="2012-02-10T00:00:00" u="1"/>
        <d v="2012-03-06T00:00:00" u="1"/>
        <d v="2013-03-06T00:00:00" u="1"/>
        <d v="2012-04-02T00:00:00" u="1"/>
        <d v="2013-04-02T00:00:00" u="1"/>
        <d v="2012-01-16T00:00:00" u="1"/>
        <d v="2013-01-16T00:00:00" u="1"/>
        <d v="2012-02-12T00:00:00" u="1"/>
        <d v="2013-02-12T00:00:00" u="1"/>
        <d v="2013-03-08T00:00:00" u="1"/>
        <d v="2012-04-04T00:00:00" u="1"/>
        <d v="2013-04-04T00:00:00" u="1"/>
        <d v="2012-01-18T00:00:00" u="1"/>
        <d v="2013-01-18T00:00:00" u="1"/>
        <d v="2012-02-14T00:00:00" u="1"/>
        <d v="2013-02-14T00:00:00" u="1"/>
        <d v="2012-04-06T00:00:00" u="1"/>
        <d v="2013-04-06T00:00:00" u="1"/>
        <d v="2012-05-02T00:00:00" u="1"/>
        <d v="2013-05-02T00:00:00" u="1"/>
        <d v="2012-01-20T00:00:00" u="1"/>
        <d v="2012-02-16T00:00:00" u="1"/>
        <d v="2012-03-12T00:00:00" u="1"/>
        <d v="2013-03-12T00:00:00" u="1"/>
        <d v="2013-04-08T00:00:00" u="1"/>
        <d v="2012-05-04T00:00:00" u="1"/>
        <d v="2012-01-22T00:00:00" u="1"/>
        <d v="2013-01-22T00:00:00" u="1"/>
        <d v="2013-02-18T00:00:00" u="1"/>
        <d v="2012-03-14T00:00:00" u="1"/>
        <d v="2013-03-14T00:00:00" u="1"/>
        <d v="2012-04-10T00:00:00" u="1"/>
        <d v="2013-04-10T00:00:00" u="1"/>
        <d v="2013-05-06T00:00:00" u="1"/>
        <d v="2012-06-02T00:00:00" u="1"/>
        <d v="2012-01-24T00:00:00" u="1"/>
        <d v="2013-01-24T00:00:00" u="1"/>
        <d v="2012-02-20T00:00:00" u="1"/>
        <d v="2013-02-20T00:00:00" u="1"/>
        <d v="2012-03-16T00:00:00" u="1"/>
        <d v="2012-04-12T00:00:00" u="1"/>
        <d v="2013-04-12T00:00:00" u="1"/>
        <d v="2012-05-08T00:00:00" u="1"/>
        <d v="2013-05-08T00:00:00" u="1"/>
        <d v="2012-06-04T00:00:00" u="1"/>
        <d v="2013-06-04T00:00:00" u="1"/>
        <d v="2012-02-22T00:00:00" u="1"/>
        <d v="2013-02-22T00:00:00" u="1"/>
        <d v="2013-03-18T00:00:00" u="1"/>
        <d v="2012-04-14T00:00:00" u="1"/>
        <d v="2012-05-10T00:00:00" u="1"/>
        <d v="2013-05-10T00:00:00" u="1"/>
        <d v="2012-06-06T00:00:00" u="1"/>
        <d v="2013-06-06T00:00:00" u="1"/>
        <d v="2012-07-02T00:00:00" u="1"/>
        <d v="2013-07-02T00:00:00" u="1"/>
        <d v="2013-01-28T00:00:00" u="1"/>
        <d v="2012-02-24T00:00:00" u="1"/>
        <d v="2012-03-20T00:00:00" u="1"/>
        <d v="2013-03-20T00:00:00" u="1"/>
        <d v="2012-04-16T00:00:00" u="1"/>
        <d v="2013-04-16T00:00:00" u="1"/>
        <d v="2012-05-12T00:00:00" u="1"/>
        <d v="2013-05-12T00:00:00" u="1"/>
        <d v="2012-06-08T00:00:00" u="1"/>
        <d v="2013-06-08T00:00:00" u="1"/>
        <d v="2012-07-04T00:00:00" u="1"/>
        <d v="2013-07-04T00:00:00" u="1"/>
        <d v="2012-01-30T00:00:00" u="1"/>
        <d v="2013-02-26T00:00:00" u="1"/>
        <d v="2012-03-22T00:00:00" u="1"/>
        <d v="2013-03-22T00:00:00" u="1"/>
        <d v="2012-04-18T00:00:00" u="1"/>
        <d v="2013-04-18T00:00:00" u="1"/>
        <d v="2012-05-14T00:00:00" u="1"/>
        <d v="2013-05-14T00:00:00" u="1"/>
        <d v="2012-06-10T00:00:00" u="1"/>
        <d v="2013-06-10T00:00:00" u="1"/>
        <d v="2012-07-06T00:00:00" u="1"/>
        <d v="2013-08-02T00:00:00" u="1"/>
        <d v="2012-02-28T00:00:00" u="1"/>
        <d v="2013-02-28T00:00:00" u="1"/>
        <d v="2012-03-24T00:00:00" u="1"/>
        <d v="2013-03-24T00:00:00" u="1"/>
        <d v="2012-04-20T00:00:00" u="1"/>
        <d v="2012-05-16T00:00:00" u="1"/>
        <d v="2013-05-16T00:00:00" u="1"/>
        <d v="2012-06-12T00:00:00" u="1"/>
        <d v="2013-06-12T00:00:00" u="1"/>
        <d v="2013-07-08T00:00:00" u="1"/>
        <d v="2012-08-04T00:00:00" u="1"/>
        <d v="2012-03-26T00:00:00" u="1"/>
        <d v="2013-03-26T00:00:00" u="1"/>
        <d v="2012-04-22T00:00:00" u="1"/>
        <d v="2013-04-22T00:00:00" u="1"/>
        <d v="2012-05-18T00:00:00" u="1"/>
        <d v="2013-05-18T00:00:00" u="1"/>
        <d v="2012-06-14T00:00:00" u="1"/>
        <d v="2013-06-14T00:00:00" u="1"/>
        <d v="2012-07-10T00:00:00" u="1"/>
        <d v="2013-07-10T00:00:00" u="1"/>
        <d v="2012-08-06T00:00:00" u="1"/>
        <d v="2013-08-06T00:00:00" u="1"/>
        <d v="2013-09-02T00:00:00" u="1"/>
        <d v="2012-03-28T00:00:00" u="1"/>
        <d v="2013-03-28T00:00:00" u="1"/>
        <d v="2012-04-24T00:00:00" u="1"/>
        <d v="2013-04-24T00:00:00" u="1"/>
        <d v="2012-05-20T00:00:00" u="1"/>
        <d v="2013-05-20T00:00:00" u="1"/>
        <d v="2012-07-12T00:00:00" u="1"/>
        <d v="2013-07-12T00:00:00" u="1"/>
        <d v="2012-08-08T00:00:00" u="1"/>
        <d v="2013-08-08T00:00:00" u="1"/>
        <d v="2012-09-04T00:00:00" u="1"/>
        <d v="2013-09-04T00:00:00" u="1"/>
        <d v="2012-03-30T00:00:00" u="1"/>
        <d v="2012-04-26T00:00:00" u="1"/>
        <d v="2013-04-26T00:00:00" u="1"/>
        <d v="2012-05-22T00:00:00" u="1"/>
        <d v="2013-05-22T00:00:00" u="1"/>
        <d v="2012-06-18T00:00:00" u="1"/>
        <d v="2013-06-18T00:00:00" u="1"/>
        <d v="2012-07-14T00:00:00" u="1"/>
        <d v="2012-09-06T00:00:00" u="1"/>
        <d v="2013-09-06T00:00:00" u="1"/>
        <d v="2012-04-28T00:00:00" u="1"/>
        <d v="2012-05-24T00:00:00" u="1"/>
        <d v="2013-05-24T00:00:00" u="1"/>
        <d v="2012-06-20T00:00:00" u="1"/>
        <d v="2013-06-20T00:00:00" u="1"/>
        <d v="2012-07-16T00:00:00" u="1"/>
        <d v="2013-07-16T00:00:00" u="1"/>
        <d v="2013-08-12T00:00:00" u="1"/>
        <d v="2012-10-04T00:00:00" u="1"/>
        <d v="2013-10-04T00:00:00" u="1"/>
        <d v="2012-04-30T00:00:00" u="1"/>
        <d v="2013-04-30T00:00:00" u="1"/>
        <d v="2012-05-26T00:00:00" u="1"/>
        <d v="2012-06-22T00:00:00" u="1"/>
        <d v="2012-07-18T00:00:00" u="1"/>
        <d v="2013-07-18T00:00:00" u="1"/>
        <d v="2012-08-14T00:00:00" u="1"/>
        <d v="2013-08-14T00:00:00" u="1"/>
        <d v="2012-09-10T00:00:00" u="1"/>
        <d v="2013-09-10T00:00:00" u="1"/>
        <d v="2012-10-06T00:00:00" u="1"/>
        <d v="2012-11-02T00:00:00" u="1"/>
        <d v="2012-05-28T00:00:00" u="1"/>
        <d v="2013-05-28T00:00:00" u="1"/>
        <d v="2012-06-24T00:00:00" u="1"/>
        <d v="2013-06-24T00:00:00" u="1"/>
        <d v="2012-07-20T00:00:00" u="1"/>
        <d v="2013-07-20T00:00:00" u="1"/>
        <d v="2012-08-16T00:00:00" u="1"/>
        <d v="2013-08-16T00:00:00" u="1"/>
        <d v="2012-09-12T00:00:00" u="1"/>
        <d v="2013-09-12T00:00:00" u="1"/>
        <d v="2012-10-08T00:00:00" u="1"/>
        <d v="2013-10-08T00:00:00" u="1"/>
        <d v="2012-05-30T00:00:00" u="1"/>
        <d v="2013-05-30T00:00:00" u="1"/>
        <d v="2012-06-26T00:00:00" u="1"/>
        <d v="2013-06-26T00:00:00" u="1"/>
        <d v="2013-07-22T00:00:00" u="1"/>
        <d v="2012-09-14T00:00:00" u="1"/>
        <d v="2012-10-10T00:00:00" u="1"/>
        <d v="2013-10-10T00:00:00" u="1"/>
        <d v="2012-11-06T00:00:00" u="1"/>
        <d v="2013-11-06T00:00:00" u="1"/>
        <d v="2013-12-02T00:00:00" u="1"/>
        <d v="2012-06-28T00:00:00" u="1"/>
        <d v="2013-06-28T00:00:00" u="1"/>
        <d v="2012-07-24T00:00:00" u="1"/>
        <d v="2013-07-24T00:00:00" u="1"/>
        <d v="2012-08-20T00:00:00" u="1"/>
        <d v="2013-09-16T00:00:00" u="1"/>
        <d v="2012-10-12T00:00:00" u="1"/>
        <d v="2012-11-08T00:00:00" u="1"/>
        <d v="2013-11-08T00:00:00" u="1"/>
        <d v="2012-12-04T00:00:00" u="1"/>
        <d v="2013-12-04T00:00:00" u="1"/>
        <d v="2012-06-30T00:00:00" u="1"/>
        <d v="2012-07-26T00:00:00" u="1"/>
        <d v="2013-07-26T00:00:00" u="1"/>
        <d v="2012-08-22T00:00:00" u="1"/>
        <d v="2013-08-22T00:00:00" u="1"/>
        <d v="2012-09-18T00:00:00" u="1"/>
        <d v="2013-09-18T00:00:00" u="1"/>
        <d v="2012-12-06T00:00:00" u="1"/>
        <d v="2013-12-06T00:00:00" u="1"/>
        <d v="2012-07-28T00:00:00" u="1"/>
        <d v="2012-08-24T00:00:00" u="1"/>
        <d v="2012-09-20T00:00:00" u="1"/>
        <d v="2013-09-20T00:00:00" u="1"/>
        <d v="2012-10-16T00:00:00" u="1"/>
        <d v="2013-10-16T00:00:00" u="1"/>
        <d v="2012-11-12T00:00:00" u="1"/>
        <d v="2013-11-12T00:00:00" u="1"/>
        <d v="2012-07-30T00:00:00" u="1"/>
        <d v="2013-07-30T00:00:00" u="1"/>
        <d v="2012-08-26T00:00:00" u="1"/>
        <d v="2013-08-26T00:00:00" u="1"/>
        <d v="2012-09-22T00:00:00" u="1"/>
        <d v="2012-10-18T00:00:00" u="1"/>
        <d v="2013-10-18T00:00:00" u="1"/>
        <d v="2013-11-14T00:00:00" u="1"/>
        <d v="2012-12-10T00:00:00" u="1"/>
        <d v="2013-12-10T00:00:00" u="1"/>
        <d v="2012-08-28T00:00:00" u="1"/>
        <d v="2012-09-24T00:00:00" u="1"/>
        <d v="2013-09-24T00:00:00" u="1"/>
        <d v="2012-10-20T00:00:00" u="1"/>
        <d v="2012-11-16T00:00:00" u="1"/>
        <d v="2013-11-16T00:00:00" u="1"/>
        <d v="2012-12-12T00:00:00" u="1"/>
        <d v="2013-12-12T00:00:00" u="1"/>
        <d v="2012-08-30T00:00:00" u="1"/>
        <d v="2013-08-30T00:00:00" u="1"/>
        <d v="2012-09-26T00:00:00" u="1"/>
        <d v="2013-09-26T00:00:00" u="1"/>
        <d v="2012-10-22T00:00:00" u="1"/>
        <d v="2013-10-22T00:00:00" u="1"/>
        <d v="2013-11-18T00:00:00" u="1"/>
        <d v="2012-12-14T00:00:00" u="1"/>
        <d v="2012-09-28T00:00:00" u="1"/>
        <d v="2013-09-28T00:00:00" u="1"/>
        <d v="2013-10-24T00:00:00" u="1"/>
        <d v="2012-11-20T00:00:00" u="1"/>
        <d v="2013-11-20T00:00:00" u="1"/>
        <d v="2013-12-16T00:00:00" u="1"/>
        <d v="2012-09-30T00:00:00" u="1"/>
        <d v="2013-09-30T00:00:00" u="1"/>
        <d v="2012-10-26T00:00:00" u="1"/>
        <d v="2012-11-22T00:00:00" u="1"/>
        <d v="2013-11-22T00:00:00" u="1"/>
        <d v="2012-12-18T00:00:00" u="1"/>
        <d v="2013-12-18T00:00:00" u="1"/>
        <d v="2013-10-28T00:00:00" u="1"/>
        <d v="2012-12-20T00:00:00" u="1"/>
        <d v="2013-12-20T00:00:00" u="1"/>
        <d v="2012-10-30T00:00:00" u="1"/>
        <d v="2013-10-30T00:00:00" u="1"/>
        <d v="2012-11-26T00:00:00" u="1"/>
        <d v="2013-11-26T00:00:00" u="1"/>
        <d v="2012-01-03T00:00:00" u="1"/>
        <d v="2013-01-03T00:00:00" u="1"/>
        <d v="2013-11-28T00:00:00" u="1"/>
        <d v="2012-12-24T00:00:00" u="1"/>
        <d v="2013-12-24T00:00:00" u="1"/>
        <d v="2012-01-05T00:00:00" u="1"/>
        <d v="2012-02-01T00:00:00" u="1"/>
        <d v="2013-02-01T00:00:00" u="1"/>
        <d v="2012-11-30T00:00:00" u="1"/>
        <d v="2012-12-26T00:00:00" u="1"/>
        <d v="2013-12-26T00:00:00" u="1"/>
        <d v="2013-01-07T00:00:00" u="1"/>
        <d v="2012-02-03T00:00:00" u="1"/>
        <d v="2012-12-28T00:00:00" u="1"/>
        <d v="2012-01-09T00:00:00" u="1"/>
        <d v="2013-01-09T00:00:00" u="1"/>
        <d v="2012-02-05T00:00:00" u="1"/>
        <d v="2013-02-05T00:00:00" u="1"/>
        <d v="2012-03-01T00:00:00" u="1"/>
        <d v="2013-03-01T00:00:00" u="1"/>
        <d v="2013-12-30T00:00:00" u="1"/>
        <d v="2012-01-11T00:00:00" u="1"/>
        <d v="2013-01-11T00:00:00" u="1"/>
        <d v="2012-02-07T00:00:00" u="1"/>
        <d v="2013-02-07T00:00:00" u="1"/>
        <d v="2012-03-03T00:00:00" u="1"/>
        <d v="2013-03-03T00:00:00" u="1"/>
        <d v="2012-01-13T00:00:00" u="1"/>
        <d v="2012-02-09T00:00:00" u="1"/>
        <d v="2012-03-05T00:00:00" u="1"/>
        <d v="2013-03-05T00:00:00" u="1"/>
        <d v="2013-04-01T00:00:00" u="1"/>
        <d v="2013-01-15T00:00:00" u="1"/>
        <d v="2012-02-11T00:00:00" u="1"/>
        <d v="2013-02-11T00:00:00" u="1"/>
        <d v="2012-03-07T00:00:00" u="1"/>
        <d v="2013-03-07T00:00:00" u="1"/>
        <d v="2012-04-03T00:00:00" u="1"/>
        <d v="2013-04-03T00:00:00" u="1"/>
        <d v="2012-01-17T00:00:00" u="1"/>
        <d v="2013-01-17T00:00:00" u="1"/>
        <d v="2012-02-13T00:00:00" u="1"/>
        <d v="2013-02-13T00:00:00" u="1"/>
        <d v="2012-03-09T00:00:00" u="1"/>
        <d v="2012-04-05T00:00:00" u="1"/>
        <d v="2013-04-05T00:00:00" u="1"/>
        <d v="2012-05-01T00:00:00" u="1"/>
        <d v="2013-05-01T00:00:00" u="1"/>
        <d v="2012-01-19T00:00:00" u="1"/>
        <d v="2012-02-15T00:00:00" u="1"/>
        <d v="2013-02-15T00:00:00" u="1"/>
        <d v="2013-03-11T00:00:00" u="1"/>
        <d v="2012-04-07T00:00:00" u="1"/>
        <d v="2012-05-03T00:00:00" u="1"/>
        <d v="2013-05-03T00:00:00" u="1"/>
        <d v="2013-01-21T00:00:00" u="1"/>
        <d v="2012-02-17T00:00:00" u="1"/>
        <d v="2012-03-13T00:00:00" u="1"/>
        <d v="2013-03-13T00:00:00" u="1"/>
        <d v="2012-04-09T00:00:00" u="1"/>
        <d v="2013-04-09T00:00:00" u="1"/>
        <d v="2012-06-01T00:00:00" u="1"/>
        <d v="2012-01-23T00:00:00" u="1"/>
        <d v="2013-01-23T00:00:00" u="1"/>
        <d v="2013-02-19T00:00:00" u="1"/>
        <d v="2012-03-15T00:00:00" u="1"/>
        <d v="2013-03-15T00:00:00" u="1"/>
        <d v="2012-04-11T00:00:00" u="1"/>
        <d v="2013-04-11T00:00:00" u="1"/>
        <d v="2012-05-07T00:00:00" u="1"/>
        <d v="2013-05-07T00:00:00" u="1"/>
        <d v="2013-06-03T00:00:00" u="1"/>
        <d v="2012-01-25T00:00:00" u="1"/>
        <d v="2013-01-25T00:00:00" u="1"/>
        <d v="2012-02-21T00:00:00" u="1"/>
        <d v="2013-02-21T00:00:00" u="1"/>
        <d v="2012-03-17T00:00:00" u="1"/>
        <d v="2012-04-13T00:00:00" u="1"/>
        <d v="2012-05-09T00:00:00" u="1"/>
        <d v="2013-05-09T00:00:00" u="1"/>
        <d v="2012-06-05T00:00:00" u="1"/>
        <d v="2013-06-05T00:00:00" u="1"/>
        <d v="2012-07-01T00:00:00" u="1"/>
        <d v="2013-07-01T00:00:00" u="1"/>
        <d v="2012-01-27T00:00:00" u="1"/>
        <d v="2012-02-23T00:00:00" u="1"/>
        <d v="2012-03-19T00:00:00" u="1"/>
        <d v="2013-03-19T00:00:00" u="1"/>
        <d v="2012-04-15T00:00:00" u="1"/>
        <d v="2013-04-15T00:00:00" u="1"/>
        <d v="2012-05-11T00:00:00" u="1"/>
        <d v="2013-05-11T00:00:00" u="1"/>
        <d v="2012-06-07T00:00:00" u="1"/>
        <d v="2013-06-07T00:00:00" u="1"/>
        <d v="2012-07-03T00:00:00" u="1"/>
        <d v="2013-07-03T00:00:00" u="1"/>
        <d v="2012-01-29T00:00:00" u="1"/>
        <d v="2013-01-29T00:00:00" u="1"/>
        <d v="2013-02-25T00:00:00" u="1"/>
        <d v="2012-03-21T00:00:00" u="1"/>
        <d v="2013-03-21T00:00:00" u="1"/>
        <d v="2012-04-17T00:00:00" u="1"/>
        <d v="2013-04-17T00:00:00" u="1"/>
        <d v="2013-05-13T00:00:00" u="1"/>
        <d v="2012-06-09T00:00:00" u="1"/>
        <d v="2012-07-05T00:00:00" u="1"/>
        <d v="2013-07-05T00:00:00" u="1"/>
        <d v="2012-08-01T00:00:00" u="1"/>
        <d v="2013-08-01T00:00:00" u="1"/>
        <d v="2012-01-31T00:00:00" u="1"/>
        <d v="2013-01-31T00:00:00" u="1"/>
        <d v="2012-02-27T00:00:00" u="1"/>
        <d v="2013-02-27T00:00:00" u="1"/>
        <d v="2012-03-23T00:00:00" u="1"/>
        <d v="2012-04-19T00:00:00" u="1"/>
        <d v="2012-05-15T00:00:00" u="1"/>
        <d v="2013-05-15T00:00:00" u="1"/>
        <d v="2012-06-11T00:00:00" u="1"/>
        <d v="2013-06-11T00:00:00" u="1"/>
        <d v="2012-07-07T00:00:00" u="1"/>
        <d v="2013-07-07T00:00:00" u="1"/>
        <d v="2012-08-03T00:00:00" u="1"/>
        <d v="2012-02-29T00:00:00" u="1"/>
        <d v="2013-03-25T00:00:00" u="1"/>
        <d v="2012-04-21T00:00:00" u="1"/>
        <d v="2012-05-17T00:00:00" u="1"/>
        <d v="2013-05-17T00:00:00" u="1"/>
        <d v="2012-06-13T00:00:00" u="1"/>
        <d v="2013-06-13T00:00:00" u="1"/>
        <d v="2012-07-09T00:00:00" u="1"/>
        <d v="2013-07-09T00:00:00" u="1"/>
        <d v="2013-08-05T00:00:00" u="1"/>
        <d v="2013-09-01T00:00:00" u="1"/>
        <d v="2012-03-27T00:00:00" u="1"/>
        <d v="2012-04-23T00:00:00" u="1"/>
        <d v="2013-04-23T00:00:00" u="1"/>
        <d v="2012-05-19T00:00:00" u="1"/>
        <d v="2013-05-19T00:00:00" u="1"/>
        <d v="2012-06-15T00:00:00" u="1"/>
        <d v="2012-07-11T00:00:00" u="1"/>
        <d v="2013-07-11T00:00:00" u="1"/>
        <d v="2012-08-07T00:00:00" u="1"/>
        <d v="2013-08-07T00:00:00" u="1"/>
        <d v="2012-09-03T00:00:00" u="1"/>
        <d v="2013-09-03T00:00:00" u="1"/>
        <d v="2012-03-29T00:00:00" u="1"/>
        <d v="2013-03-29T00:00:00" u="1"/>
        <d v="2012-04-25T00:00:00" u="1"/>
        <d v="2013-04-25T00:00:00" u="1"/>
        <d v="2012-05-21T00:00:00" u="1"/>
        <d v="2013-05-21T00:00:00" u="1"/>
        <d v="2013-06-17T00:00:00" u="1"/>
        <d v="2012-07-13T00:00:00" u="1"/>
        <d v="2013-07-13T00:00:00" u="1"/>
        <d v="2012-08-09T00:00:00" u="1"/>
        <d v="2013-08-09T00:00:00" u="1"/>
        <d v="2012-09-05T00:00:00" u="1"/>
        <d v="2013-09-05T00:00:00" u="1"/>
        <d v="2012-10-01T00:00:00" u="1"/>
        <d v="2013-10-01T00:00:00" u="1"/>
        <d v="2012-03-31T00:00:00" u="1"/>
        <d v="2013-03-31T00:00:00" u="1"/>
        <d v="2012-04-27T00:00:00" u="1"/>
        <d v="2012-05-23T00:00:00" u="1"/>
        <d v="2013-05-23T00:00:00" u="1"/>
        <d v="2012-06-19T00:00:00" u="1"/>
        <d v="2013-06-19T00:00:00" u="1"/>
        <d v="2013-07-15T00:00:00" u="1"/>
        <d v="2012-09-07T00:00:00" u="1"/>
        <d v="2013-09-07T00:00:00" u="1"/>
        <d v="2012-10-03T00:00:00" u="1"/>
        <d v="2013-10-03T00:00:00" u="1"/>
        <d v="2012-04-29T00:00:00" u="1"/>
        <d v="2013-04-29T00:00:00" u="1"/>
        <d v="2012-05-25T00:00:00" u="1"/>
        <d v="2012-06-21T00:00:00" u="1"/>
        <d v="2013-06-21T00:00:00" u="1"/>
        <d v="2012-07-17T00:00:00" u="1"/>
        <d v="2013-07-17T00:00:00" u="1"/>
        <d v="2012-08-13T00:00:00" u="1"/>
        <d v="2013-08-13T00:00:00" u="1"/>
        <d v="2012-09-09T00:00:00" u="1"/>
        <d v="2013-09-09T00:00:00" u="1"/>
        <d v="2012-10-05T00:00:00" u="1"/>
        <d v="2013-10-05T00:00:00" u="1"/>
        <d v="2012-11-01T00:00:00" u="1"/>
        <d v="2013-11-01T00:00:00" u="1"/>
        <d v="2012-05-27T00:00:00" u="1"/>
        <d v="2013-05-27T00:00:00" u="1"/>
        <d v="2012-06-23T00:00:00" u="1"/>
        <d v="2012-07-19T00:00:00" u="1"/>
        <d v="2013-07-19T00:00:00" u="1"/>
        <d v="2012-08-15T00:00:00" u="1"/>
        <d v="2012-09-11T00:00:00" u="1"/>
        <d v="2013-09-11T00:00:00" u="1"/>
        <d v="2013-10-07T00:00:00" u="1"/>
        <d v="2012-05-29T00:00:00" u="1"/>
        <d v="2013-05-29T00:00:00" u="1"/>
        <d v="2012-06-25T00:00:00" u="1"/>
        <d v="2013-06-25T00:00:00" u="1"/>
        <d v="2012-08-17T00:00:00" u="1"/>
        <d v="2013-08-17T00:00:00" u="1"/>
        <d v="2012-09-13T00:00:00" u="1"/>
        <d v="2013-09-13T00:00:00" u="1"/>
        <d v="2012-10-09T00:00:00" u="1"/>
        <d v="2013-10-09T00:00:00" u="1"/>
        <d v="2012-11-05T00:00:00" u="1"/>
        <d v="2012-12-01T00:00:00" u="1"/>
        <d v="2012-05-31T00:00:00" u="1"/>
        <d v="2013-05-31T00:00:00" u="1"/>
        <d v="2012-06-27T00:00:00" u="1"/>
        <d v="2013-06-27T00:00:00" u="1"/>
        <d v="2012-07-23T00:00:00" u="1"/>
        <d v="2013-07-23T00:00:00" u="1"/>
        <d v="2013-08-19T00:00:00" u="1"/>
        <d v="2012-10-11T00:00:00" u="1"/>
        <d v="2013-10-11T00:00:00" u="1"/>
        <d v="2012-11-07T00:00:00" u="1"/>
        <d v="2013-11-07T00:00:00" u="1"/>
        <d v="2012-12-03T00:00:00" u="1"/>
        <d v="2013-12-03T00:00:00" u="1"/>
        <d v="2012-06-29T00:00:00" u="1"/>
        <d v="2013-06-29T00:00:00" u="1"/>
        <d v="2012-07-25T00:00:00" u="1"/>
        <d v="2013-07-25T00:00:00" u="1"/>
        <d v="2012-08-21T00:00:00" u="1"/>
        <d v="2013-08-21T00:00:00" u="1"/>
        <d v="2012-09-17T00:00:00" u="1"/>
        <d v="2013-09-17T00:00:00" u="1"/>
        <d v="2012-10-13T00:00:00" u="1"/>
        <d v="2012-11-09T00:00:00" u="1"/>
        <d v="2013-11-09T00:00:00" u="1"/>
        <d v="2012-12-05T00:00:00" u="1"/>
        <d v="2013-12-05T00:00:00" u="1"/>
        <d v="2012-07-27T00:00:00" u="1"/>
        <d v="2013-07-27T00:00:00" u="1"/>
        <d v="2012-08-23T00:00:00" u="1"/>
        <d v="2013-08-23T00:00:00" u="1"/>
        <d v="2012-09-19T00:00:00" u="1"/>
        <d v="2013-09-19T00:00:00" u="1"/>
        <d v="2012-10-15T00:00:00" u="1"/>
        <d v="2013-10-15T00:00:00" u="1"/>
        <d v="2013-11-11T00:00:00" u="1"/>
        <d v="2012-12-07T00:00:00" u="1"/>
        <d v="2012-07-29T00:00:00" u="1"/>
        <d v="2013-07-29T00:00:00" u="1"/>
        <d v="2012-08-25T00:00:00" u="1"/>
        <d v="2012-09-21T00:00:00" u="1"/>
        <d v="2012-10-17T00:00:00" u="1"/>
        <d v="2013-10-17T00:00:00" u="1"/>
        <d v="2013-11-13T00:00:00" u="1"/>
        <d v="2013-12-09T00:00:00" u="1"/>
        <d v="2012-07-31T00:00:00" u="1"/>
        <d v="2013-07-31T00:00:00" u="1"/>
        <d v="2012-08-27T00:00:00" u="1"/>
        <d v="2013-08-27T00:00:00" u="1"/>
        <d v="2013-09-23T00:00:00" u="1"/>
        <d v="2012-10-19T00:00:00" u="1"/>
        <d v="2012-11-15T00:00:00" u="1"/>
        <d v="2013-11-15T00:00:00" u="1"/>
        <d v="2012-12-11T00:00:00" u="1"/>
        <d v="2013-12-11T00:00:00" u="1"/>
        <d v="2013-08-29T00:00:00" u="1"/>
        <d v="2012-09-25T00:00:00" u="1"/>
        <d v="2013-09-25T00:00:00" u="1"/>
        <d v="2012-10-21T00:00:00" u="1"/>
        <d v="2013-10-21T00:00:00" u="1"/>
        <d v="2012-12-13T00:00:00" u="1"/>
        <d v="2013-12-13T00:00:00" u="1"/>
        <d v="2012-08-31T00:00:00" u="1"/>
        <d v="2013-08-31T00:00:00" u="1"/>
        <d v="2012-09-27T00:00:00" u="1"/>
        <d v="2013-09-27T00:00:00" u="1"/>
        <d v="2012-10-23T00:00:00" u="1"/>
        <d v="2013-10-23T00:00:00" u="1"/>
        <d v="2012-11-19T00:00:00" u="1"/>
        <d v="2013-11-19T00:00:00" u="1"/>
      </sharedItems>
    </cacheField>
    <cacheField name="LQA DATE" numFmtId="14">
      <sharedItems containsNonDate="0" containsDate="1" containsString="0" containsBlank="1" minDate="2012-01-02T00:00:00" maxDate="2015-08-08T00:00:00" count="960">
        <m/>
        <d v="2014-01-02T00:00:00"/>
        <d v="2014-01-03T00:00:00"/>
        <d v="2014-01-10T00:00:00"/>
        <d v="2014-01-04T00:00:00"/>
        <d v="2014-01-05T00:00:00"/>
        <d v="2014-01-09T00:00:00"/>
        <d v="2014-01-07T00:00:00"/>
        <d v="2014-01-08T00:00:00"/>
        <d v="2014-01-11T00:00:00"/>
        <d v="2014-01-18T00:00:00"/>
        <d v="2014-01-23T00:00:00"/>
        <d v="2014-01-21T00:00:00"/>
        <d v="2014-01-13T00:00:00"/>
        <d v="2014-01-15T00:00:00"/>
        <d v="2014-01-16T00:00:00"/>
        <d v="2014-01-20T00:00:00"/>
        <d v="2014-01-17T00:00:00"/>
        <d v="2014-01-28T00:00:00"/>
        <d v="2014-01-22T00:00:00"/>
        <d v="2014-01-24T00:00:00"/>
        <d v="2014-01-25T00:00:00"/>
        <d v="2014-01-27T00:00:00"/>
        <d v="2014-01-29T00:00:00"/>
        <d v="2014-01-30T00:00:00"/>
        <d v="2014-01-31T00:00:00"/>
        <d v="2014-02-10T00:00:00"/>
        <d v="2014-02-03T00:00:00"/>
        <d v="2014-02-05T00:00:00"/>
        <d v="2014-02-04T00:00:00"/>
        <d v="2014-02-06T00:00:00"/>
        <d v="2014-02-07T00:00:00"/>
        <d v="2014-02-11T00:00:00"/>
        <d v="2014-02-12T00:00:00"/>
        <d v="2014-02-13T00:00:00"/>
        <d v="2014-02-14T00:00:00"/>
        <d v="2014-02-27T00:00:00"/>
        <d v="2014-02-17T00:00:00"/>
        <d v="2014-02-18T00:00:00"/>
        <d v="2014-02-20T00:00:00"/>
        <d v="2014-02-21T00:00:00"/>
        <d v="2014-02-24T00:00:00"/>
        <d v="2014-02-25T00:00:00"/>
        <d v="2014-02-26T00:00:00"/>
        <d v="2014-02-28T00:00:00"/>
        <d v="2014-03-04T00:00:00"/>
        <d v="2014-03-05T00:00:00"/>
        <d v="2014-03-06T00:00:00"/>
        <d v="2014-03-07T00:00:00"/>
        <d v="2014-03-10T00:00:00"/>
        <d v="2014-03-11T00:00:00"/>
        <d v="2014-03-12T00:00:00"/>
        <d v="2014-04-16T00:00:00"/>
        <d v="2014-03-13T00:00:00"/>
        <d v="2014-03-14T00:00:00"/>
        <d v="2014-03-26T00:00:00"/>
        <d v="2014-03-16T00:00:00"/>
        <d v="2014-03-19T00:00:00"/>
        <d v="2014-03-20T00:00:00"/>
        <d v="2014-03-21T00:00:00"/>
        <d v="2014-03-22T00:00:00"/>
        <d v="2014-03-24T00:00:00"/>
        <d v="2014-03-25T00:00:00"/>
        <d v="2014-03-27T00:00:00"/>
        <d v="2014-03-28T00:00:00"/>
        <d v="2014-04-04T00:00:00"/>
        <d v="2014-03-31T00:00:00"/>
        <d v="2014-04-01T00:00:00"/>
        <d v="2014-04-02T00:00:00"/>
        <d v="2014-04-03T00:00:00"/>
        <d v="2014-04-05T00:00:00"/>
        <d v="2014-04-07T00:00:00"/>
        <d v="2014-04-09T00:00:00"/>
        <d v="2014-04-11T00:00:00"/>
        <d v="2014-04-12T00:00:00"/>
        <d v="2014-04-14T00:00:00"/>
        <d v="2014-04-15T00:00:00"/>
        <d v="2014-04-17T00:00:00"/>
        <d v="2014-04-18T00:00:00"/>
        <d v="2014-04-21T00:00:00"/>
        <d v="2014-04-22T00:00:00"/>
        <d v="2014-04-23T00:00:00"/>
        <d v="2014-04-24T00:00:00"/>
        <d v="2014-04-25T00:00:00"/>
        <d v="2014-04-26T00:00:00"/>
        <d v="2014-04-28T00:00:00"/>
        <d v="2014-04-29T00:00:00"/>
        <d v="2014-04-30T00:00:00"/>
        <d v="2014-05-01T00:00:00"/>
        <d v="2014-05-02T00:00:00"/>
        <d v="2014-05-05T00:00:00"/>
        <d v="2014-05-07T00:00:00"/>
        <d v="2014-05-06T00:00:00"/>
        <d v="2014-05-08T00:00:00"/>
        <d v="2014-05-09T00:00:00"/>
        <d v="2014-05-13T00:00:00"/>
        <d v="2014-05-12T00:00:00"/>
        <d v="2014-05-14T00:00:00"/>
        <d v="2014-05-15T00:00:00"/>
        <d v="2014-05-16T00:00:00"/>
        <d v="2014-05-19T00:00:00"/>
        <d v="2014-05-20T00:00:00"/>
        <d v="2014-05-21T00:00:00"/>
        <d v="2014-05-22T00:00:00"/>
        <d v="2014-05-23T00:00:00"/>
        <d v="2014-05-26T00:00:00"/>
        <d v="2014-05-27T00:00:00"/>
        <d v="2014-05-28T00:00:00"/>
        <d v="2014-05-29T00:00:00"/>
        <d v="2014-05-30T00:00:00"/>
        <d v="2014-06-05T00:00:00"/>
        <d v="2014-06-02T00:00:00"/>
        <d v="2014-06-03T00:00:00"/>
        <d v="2014-06-04T00:00:00"/>
        <d v="2014-06-06T00:00:00"/>
        <d v="2014-06-09T00:00:00"/>
        <d v="2014-06-10T00:00:00"/>
        <d v="2014-06-11T00:00:00"/>
        <d v="2014-06-12T00:00:00"/>
        <d v="2014-06-13T00:00:00"/>
        <d v="2014-06-16T00:00:00"/>
        <d v="2014-06-17T00:00:00"/>
        <d v="2014-06-18T00:00:00"/>
        <d v="2014-06-19T00:00:00"/>
        <d v="2014-06-20T00:00:00"/>
        <d v="2014-06-23T00:00:00"/>
        <d v="2014-06-24T00:00:00"/>
        <d v="2014-06-25T00:00:00"/>
        <d v="2014-06-26T00:00:00"/>
        <d v="2014-06-27T00:00:00"/>
        <d v="2014-06-30T00:00:00"/>
        <d v="2014-07-01T00:00:00"/>
        <d v="2014-07-02T00:00:00"/>
        <d v="2014-07-03T00:00:00"/>
        <d v="2014-07-04T00:00:00"/>
        <d v="2014-07-07T00:00:00"/>
        <d v="2014-07-08T00:00:00"/>
        <d v="2014-07-09T00:00:00"/>
        <d v="2014-07-10T00:00:00"/>
        <d v="2014-07-11T00:00:00"/>
        <d v="2014-07-14T00:00:00"/>
        <d v="2014-07-15T00:00:00"/>
        <d v="2014-07-16T00:00:00"/>
        <d v="2014-07-17T00:00:00"/>
        <d v="2014-07-18T00:00:00"/>
        <d v="2014-07-21T00:00:00"/>
        <d v="2014-07-23T00:00:00"/>
        <d v="2014-07-24T00:00:00"/>
        <d v="2014-07-25T00:00:00"/>
        <d v="2014-07-28T00:00:00"/>
        <d v="2014-07-30T00:00:00"/>
        <d v="2014-07-31T00:00:00"/>
        <d v="2014-08-01T00:00:00"/>
        <d v="2014-08-04T00:00:00"/>
        <d v="2014-08-05T00:00:00"/>
        <d v="2014-08-06T00:00:00"/>
        <d v="2014-08-07T00:00:00"/>
        <d v="2014-08-08T00:00:00"/>
        <d v="2014-08-11T00:00:00"/>
        <d v="2014-08-12T00:00:00"/>
        <d v="2014-08-13T00:00:00"/>
        <d v="2014-09-01T00:00:00"/>
        <d v="2014-08-15T00:00:00"/>
        <d v="2014-08-19T00:00:00"/>
        <d v="2014-08-20T00:00:00"/>
        <d v="2014-08-21T00:00:00"/>
        <d v="2014-08-22T00:00:00"/>
        <d v="2014-08-25T00:00:00"/>
        <d v="2014-08-26T00:00:00"/>
        <d v="2014-08-27T00:00:00"/>
        <d v="2014-08-28T00:00:00"/>
        <d v="2014-08-29T00:00:00"/>
        <d v="2014-09-02T00:00:00"/>
        <d v="2014-09-03T00:00:00"/>
        <d v="2014-09-04T00:00:00"/>
        <d v="2014-09-05T00:00:00"/>
        <d v="2014-09-06T00:00:00"/>
        <d v="2014-09-08T00:00:00"/>
        <d v="2014-09-09T00:00:00"/>
        <d v="2014-09-17T00:00:00"/>
        <d v="2014-09-11T00:00:00"/>
        <d v="2014-09-15T00:00:00"/>
        <d v="2014-09-16T00:00:00"/>
        <d v="2014-09-18T00:00:00"/>
        <d v="2014-09-19T00:00:00"/>
        <d v="2014-09-20T00:00:00"/>
        <d v="2014-09-22T00:00:00"/>
        <d v="2014-09-23T00:00:00"/>
        <d v="2014-09-24T00:00:00"/>
        <d v="2014-09-25T00:00:00"/>
        <d v="2014-09-26T00:00:00"/>
        <d v="2014-09-29T00:00:00"/>
        <d v="2014-09-30T00:00:00"/>
        <d v="2014-10-01T00:00:00"/>
        <d v="2014-10-06T00:00:00"/>
        <d v="2014-10-07T00:00:00"/>
        <d v="2014-10-08T00:00:00"/>
        <d v="2014-10-09T00:00:00"/>
        <d v="2014-10-10T00:00:00"/>
        <d v="2014-10-13T00:00:00"/>
        <d v="2014-10-14T00:00:00"/>
        <d v="2014-10-16T00:00:00"/>
        <d v="2014-10-17T00:00:00"/>
        <d v="2014-10-18T00:00:00"/>
        <d v="2014-10-20T00:00:00"/>
        <d v="2014-10-21T00:00:00"/>
        <d v="2014-10-22T00:00:00"/>
        <d v="2014-10-27T00:00:00"/>
        <d v="2014-10-28T00:00:00"/>
        <d v="2014-10-29T00:00:00"/>
        <d v="2014-10-30T00:00:00"/>
        <d v="2014-10-31T00:00:00"/>
        <d v="2014-11-03T00:00:00"/>
        <d v="2014-11-04T00:00:00"/>
        <d v="2014-11-05T00:00:00"/>
        <d v="2014-11-06T00:00:00"/>
        <d v="2014-11-07T00:00:00"/>
        <d v="2014-11-11T00:00:00"/>
        <d v="2014-11-12T00:00:00"/>
        <d v="2014-11-13T00:00:00"/>
        <d v="2014-11-14T00:00:00"/>
        <d v="2014-11-17T00:00:00"/>
        <d v="2014-11-18T00:00:00"/>
        <d v="2014-11-19T00:00:00"/>
        <d v="2014-11-20T00:00:00"/>
        <d v="2014-11-21T00:00:00"/>
        <d v="2014-11-24T00:00:00"/>
        <d v="2014-11-25T00:00:00"/>
        <d v="2014-11-26T00:00:00"/>
        <d v="2014-11-27T00:00:00"/>
        <d v="2014-11-28T00:00:00"/>
        <d v="2014-12-01T00:00:00"/>
        <d v="2014-12-02T00:00:00"/>
        <d v="2014-12-03T00:00:00"/>
        <d v="2014-12-04T00:00:00"/>
        <d v="2014-12-05T00:00:00"/>
        <d v="2014-12-06T00:00:00"/>
        <d v="2014-12-08T00:00:00"/>
        <d v="2014-12-09T00:00:00"/>
        <d v="2014-12-10T00:00:00"/>
        <d v="2014-12-15T00:00:00"/>
        <d v="2014-12-12T00:00:00"/>
        <d v="2014-12-18T00:00:00"/>
        <d v="2014-12-16T00:00:00"/>
        <d v="2014-12-17T00:00:00"/>
        <d v="2014-12-19T00:00:00"/>
        <d v="2014-12-22T00:00:00"/>
        <d v="2014-12-23T00:00:00"/>
        <d v="2014-12-24T00:00:00"/>
        <d v="2014-12-25T00:00:00"/>
        <d v="2014-12-26T00:00:00"/>
        <d v="2014-12-30T00:00:00"/>
        <d v="2014-12-31T00:00:00"/>
        <d v="2015-01-02T00:00:00"/>
        <d v="2015-01-05T00:00:00"/>
        <d v="2015-01-06T00:00:00"/>
        <d v="2015-01-07T00:00:00"/>
        <d v="2015-01-08T00:00:00"/>
        <d v="2015-01-09T00:00:00"/>
        <d v="2015-01-12T00:00:00"/>
        <d v="2015-01-13T00:00:00"/>
        <d v="2015-01-15T00:00:00"/>
        <d v="2015-01-16T00:00:00"/>
        <d v="2015-01-18T00:00:00"/>
        <d v="2015-01-19T00:00:00"/>
        <d v="2015-01-20T00:00:00"/>
        <d v="2015-01-21T00:00:00"/>
        <d v="2015-01-22T00:00:00"/>
        <d v="2015-01-23T00:00:00"/>
        <d v="2015-01-25T00:00:00"/>
        <d v="2015-01-27T00:00:00"/>
        <d v="2015-01-28T00:00:00"/>
        <d v="2015-01-29T00:00:00"/>
        <d v="2015-01-30T00:00:00"/>
        <d v="2015-02-02T00:00:00"/>
        <d v="2015-02-03T00:00:00"/>
        <d v="2015-02-04T00:00:00"/>
        <d v="2015-02-05T00:00:00"/>
        <d v="2015-02-06T00:00:00"/>
        <d v="2015-02-09T00:00:00"/>
        <d v="2015-02-12T00:00:00"/>
        <d v="2015-02-10T00:00:00"/>
        <d v="2015-02-23T00:00:00"/>
        <d v="2015-02-11T00:00:00"/>
        <d v="2015-02-13T00:00:00"/>
        <d v="2015-02-16T00:00:00"/>
        <d v="2015-02-18T00:00:00"/>
        <d v="2015-02-19T00:00:00"/>
        <d v="2015-02-20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27T00:00:00"/>
        <d v="2015-03-30T00:00:00"/>
        <d v="2015-03-31T00:00:00"/>
        <d v="2015-04-01T00:00:00"/>
        <d v="2015-04-02T00:00:00"/>
        <d v="2015-04-06T00:00:00"/>
        <d v="2015-04-07T00:00:00"/>
        <d v="2015-04-08T00:00:00"/>
        <d v="2015-04-09T00:00:00"/>
        <d v="2015-04-10T00:00:00"/>
        <d v="2015-04-13T00:00:00"/>
        <d v="2015-04-14T00:00:00"/>
        <d v="2015-04-15T00:00:00"/>
        <d v="2015-04-16T00:00:00"/>
        <d v="2015-04-17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6T00:00:00"/>
        <d v="2015-05-07T00:00:00"/>
        <d v="2015-05-11T00:00:00"/>
        <d v="2015-05-12T00:00:00"/>
        <d v="2015-05-13T00:00:00"/>
        <d v="2015-05-14T00:00:00"/>
        <d v="2015-05-18T00:00:00"/>
        <d v="2015-05-20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5T00:00:00"/>
        <d v="2015-06-08T00:00:00"/>
        <d v="2015-06-09T00:00:00"/>
        <d v="2015-06-10T00:00:00"/>
        <d v="2015-06-11T00:00:00"/>
        <d v="2015-06-12T00:00:00"/>
        <d v="2015-06-15T00:00:00"/>
        <d v="2015-06-18T00:00:00"/>
        <d v="2015-06-19T00:00:00"/>
        <d v="2015-06-22T00:00:00"/>
        <d v="2015-06-23T00:00:00"/>
        <d v="2015-06-24T00:00:00"/>
        <d v="2015-06-25T00:00:00"/>
        <d v="2015-06-29T00:00:00"/>
        <d v="2015-06-30T00:00:00"/>
        <d v="2015-07-01T00:00:00"/>
        <d v="2015-07-02T00:00:00"/>
        <d v="2015-07-03T00:00:00"/>
        <d v="2015-07-06T00:00:00"/>
        <d v="2015-07-07T00:00:00"/>
        <d v="2015-07-08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1T00:00:00"/>
        <d v="2015-07-22T00:00:00"/>
        <d v="2015-07-23T00:00:00"/>
        <d v="2015-07-24T00:00:00"/>
        <d v="2015-07-27T00:00:00"/>
        <d v="2015-07-30T00:00:00"/>
        <d v="2015-07-31T00:00:00"/>
        <d v="2015-08-04T00:00:00"/>
        <d v="2015-08-05T00:00:00"/>
        <d v="2015-08-06T00:00:00"/>
        <d v="2015-08-07T00:00:00"/>
        <d v="2012-09-29T00:00:00" u="1"/>
        <d v="2012-10-25T00:00:00" u="1"/>
        <d v="2013-10-25T00:00:00" u="1"/>
        <d v="2012-11-21T00:00:00" u="1"/>
        <d v="2013-11-21T00:00:00" u="1"/>
        <d v="2012-12-17T00:00:00" u="1"/>
        <d v="2013-12-17T00:00:00" u="1"/>
        <d v="2012-10-27T00:00:00" u="1"/>
        <d v="2012-11-23T00:00:00" u="1"/>
        <d v="2012-12-19T00:00:00" u="1"/>
        <d v="2013-12-19T00:00:00" u="1"/>
        <d v="2012-10-29T00:00:00" u="1"/>
        <d v="2013-10-29T00:00:00" u="1"/>
        <d v="2013-11-25T00:00:00" u="1"/>
        <d v="2012-12-21T00:00:00" u="1"/>
        <d v="2012-01-02T00:00:00" u="1"/>
        <d v="2013-01-02T00:00:00" u="1"/>
        <d v="2012-10-31T00:00:00" u="1"/>
        <d v="2013-10-31T00:00:00" u="1"/>
        <d v="2012-11-27T00:00:00" u="1"/>
        <d v="2013-11-27T00:00:00" u="1"/>
        <d v="2013-12-23T00:00:00" u="1"/>
        <d v="2012-01-04T00:00:00" u="1"/>
        <d v="2013-01-04T00:00:00" u="1"/>
        <d v="2012-11-29T00:00:00" u="1"/>
        <d v="2013-11-29T00:00:00" u="1"/>
        <d v="2012-12-25T00:00:00" u="1"/>
        <d v="2013-12-25T00:00:00" u="1"/>
        <d v="2012-01-06T00:00:00" u="1"/>
        <d v="2013-01-06T00:00:00" u="1"/>
        <d v="2012-02-02T00:00:00" u="1"/>
        <d v="2012-12-27T00:00:00" u="1"/>
        <d v="2013-12-27T00:00:00" u="1"/>
        <d v="2013-01-08T00:00:00" u="1"/>
        <d v="2013-02-04T00:00:00" u="1"/>
        <d v="2012-01-10T00:00:00" u="1"/>
        <d v="2013-01-10T00:00:00" u="1"/>
        <d v="2012-02-06T00:00:00" u="1"/>
        <d v="2013-02-06T00:00:00" u="1"/>
        <d v="2012-03-02T00:00:00" u="1"/>
        <d v="2012-12-31T00:00:00" u="1"/>
        <d v="2013-12-31T00:00:00" u="1"/>
        <d v="2012-01-12T00:00:00" u="1"/>
        <d v="2012-02-08T00:00:00" u="1"/>
        <d v="2013-02-08T00:00:00" u="1"/>
        <d v="2013-03-04T00:00:00" u="1"/>
        <d v="2012-02-10T00:00:00" u="1"/>
        <d v="2012-03-06T00:00:00" u="1"/>
        <d v="2013-03-06T00:00:00" u="1"/>
        <d v="2012-04-02T00:00:00" u="1"/>
        <d v="2013-04-02T00:00:00" u="1"/>
        <d v="2012-01-16T00:00:00" u="1"/>
        <d v="2013-01-16T00:00:00" u="1"/>
        <d v="2012-02-12T00:00:00" u="1"/>
        <d v="2013-02-12T00:00:00" u="1"/>
        <d v="2013-03-08T00:00:00" u="1"/>
        <d v="2012-04-04T00:00:00" u="1"/>
        <d v="2013-04-04T00:00:00" u="1"/>
        <d v="2012-01-18T00:00:00" u="1"/>
        <d v="2013-01-18T00:00:00" u="1"/>
        <d v="2012-02-14T00:00:00" u="1"/>
        <d v="2013-02-14T00:00:00" u="1"/>
        <d v="2012-04-06T00:00:00" u="1"/>
        <d v="2013-04-06T00:00:00" u="1"/>
        <d v="2012-05-02T00:00:00" u="1"/>
        <d v="2013-05-02T00:00:00" u="1"/>
        <d v="2012-01-20T00:00:00" u="1"/>
        <d v="2012-02-16T00:00:00" u="1"/>
        <d v="2012-03-12T00:00:00" u="1"/>
        <d v="2013-03-12T00:00:00" u="1"/>
        <d v="2012-04-08T00:00:00" u="1"/>
        <d v="2013-04-08T00:00:00" u="1"/>
        <d v="2012-05-04T00:00:00" u="1"/>
        <d v="2013-01-22T00:00:00" u="1"/>
        <d v="2013-02-18T00:00:00" u="1"/>
        <d v="2012-03-14T00:00:00" u="1"/>
        <d v="2013-03-14T00:00:00" u="1"/>
        <d v="2012-04-10T00:00:00" u="1"/>
        <d v="2013-04-10T00:00:00" u="1"/>
        <d v="2013-05-06T00:00:00" u="1"/>
        <d v="2012-06-02T00:00:00" u="1"/>
        <d v="2012-01-24T00:00:00" u="1"/>
        <d v="2013-01-24T00:00:00" u="1"/>
        <d v="2012-02-20T00:00:00" u="1"/>
        <d v="2013-02-20T00:00:00" u="1"/>
        <d v="2012-03-16T00:00:00" u="1"/>
        <d v="2012-04-12T00:00:00" u="1"/>
        <d v="2013-04-12T00:00:00" u="1"/>
        <d v="2012-05-08T00:00:00" u="1"/>
        <d v="2013-05-08T00:00:00" u="1"/>
        <d v="2012-06-04T00:00:00" u="1"/>
        <d v="2013-06-04T00:00:00" u="1"/>
        <d v="2012-02-22T00:00:00" u="1"/>
        <d v="2013-02-22T00:00:00" u="1"/>
        <d v="2013-03-18T00:00:00" u="1"/>
        <d v="2012-04-14T00:00:00" u="1"/>
        <d v="2012-05-10T00:00:00" u="1"/>
        <d v="2013-05-10T00:00:00" u="1"/>
        <d v="2012-06-06T00:00:00" u="1"/>
        <d v="2013-06-06T00:00:00" u="1"/>
        <d v="2012-07-02T00:00:00" u="1"/>
        <d v="2013-07-02T00:00:00" u="1"/>
        <d v="2013-01-28T00:00:00" u="1"/>
        <d v="2012-02-24T00:00:00" u="1"/>
        <d v="2012-03-20T00:00:00" u="1"/>
        <d v="2013-03-20T00:00:00" u="1"/>
        <d v="2012-04-16T00:00:00" u="1"/>
        <d v="2013-04-16T00:00:00" u="1"/>
        <d v="2012-05-12T00:00:00" u="1"/>
        <d v="2013-05-12T00:00:00" u="1"/>
        <d v="2012-06-08T00:00:00" u="1"/>
        <d v="2013-06-08T00:00:00" u="1"/>
        <d v="2012-07-04T00:00:00" u="1"/>
        <d v="2013-07-04T00:00:00" u="1"/>
        <d v="2012-01-30T00:00:00" u="1"/>
        <d v="2013-01-30T00:00:00" u="1"/>
        <d v="2013-02-26T00:00:00" u="1"/>
        <d v="2012-03-22T00:00:00" u="1"/>
        <d v="2013-03-22T00:00:00" u="1"/>
        <d v="2012-04-18T00:00:00" u="1"/>
        <d v="2013-04-18T00:00:00" u="1"/>
        <d v="2012-05-14T00:00:00" u="1"/>
        <d v="2013-05-14T00:00:00" u="1"/>
        <d v="2012-06-10T00:00:00" u="1"/>
        <d v="2013-06-10T00:00:00" u="1"/>
        <d v="2012-07-06T00:00:00" u="1"/>
        <d v="2013-08-02T00:00:00" u="1"/>
        <d v="2012-02-28T00:00:00" u="1"/>
        <d v="2013-02-28T00:00:00" u="1"/>
        <d v="2012-03-24T00:00:00" u="1"/>
        <d v="2013-03-24T00:00:00" u="1"/>
        <d v="2012-04-20T00:00:00" u="1"/>
        <d v="2012-05-16T00:00:00" u="1"/>
        <d v="2013-05-16T00:00:00" u="1"/>
        <d v="2012-06-12T00:00:00" u="1"/>
        <d v="2013-06-12T00:00:00" u="1"/>
        <d v="2013-07-08T00:00:00" u="1"/>
        <d v="2012-08-04T00:00:00" u="1"/>
        <d v="2012-03-26T00:00:00" u="1"/>
        <d v="2013-03-26T00:00:00" u="1"/>
        <d v="2012-04-22T00:00:00" u="1"/>
        <d v="2013-04-22T00:00:00" u="1"/>
        <d v="2012-05-18T00:00:00" u="1"/>
        <d v="2013-05-18T00:00:00" u="1"/>
        <d v="2012-06-14T00:00:00" u="1"/>
        <d v="2013-06-14T00:00:00" u="1"/>
        <d v="2012-07-10T00:00:00" u="1"/>
        <d v="2013-07-10T00:00:00" u="1"/>
        <d v="2012-08-06T00:00:00" u="1"/>
        <d v="2013-08-06T00:00:00" u="1"/>
        <d v="2013-09-02T00:00:00" u="1"/>
        <d v="2012-03-28T00:00:00" u="1"/>
        <d v="2013-03-28T00:00:00" u="1"/>
        <d v="2012-04-24T00:00:00" u="1"/>
        <d v="2013-04-24T00:00:00" u="1"/>
        <d v="2012-05-20T00:00:00" u="1"/>
        <d v="2013-05-20T00:00:00" u="1"/>
        <d v="2012-07-12T00:00:00" u="1"/>
        <d v="2013-07-12T00:00:00" u="1"/>
        <d v="2012-08-08T00:00:00" u="1"/>
        <d v="2013-08-08T00:00:00" u="1"/>
        <d v="2012-09-04T00:00:00" u="1"/>
        <d v="2013-09-04T00:00:00" u="1"/>
        <d v="2012-03-30T00:00:00" u="1"/>
        <d v="2012-04-26T00:00:00" u="1"/>
        <d v="2013-04-26T00:00:00" u="1"/>
        <d v="2012-05-22T00:00:00" u="1"/>
        <d v="2013-05-22T00:00:00" u="1"/>
        <d v="2012-06-18T00:00:00" u="1"/>
        <d v="2013-06-18T00:00:00" u="1"/>
        <d v="2012-07-14T00:00:00" u="1"/>
        <d v="2012-09-06T00:00:00" u="1"/>
        <d v="2013-09-06T00:00:00" u="1"/>
        <d v="2012-04-28T00:00:00" u="1"/>
        <d v="2012-05-24T00:00:00" u="1"/>
        <d v="2013-05-24T00:00:00" u="1"/>
        <d v="2012-06-20T00:00:00" u="1"/>
        <d v="2013-06-20T00:00:00" u="1"/>
        <d v="2012-07-16T00:00:00" u="1"/>
        <d v="2013-07-16T00:00:00" u="1"/>
        <d v="2013-08-12T00:00:00" u="1"/>
        <d v="2012-10-04T00:00:00" u="1"/>
        <d v="2013-10-04T00:00:00" u="1"/>
        <d v="2012-04-30T00:00:00" u="1"/>
        <d v="2013-04-30T00:00:00" u="1"/>
        <d v="2012-05-26T00:00:00" u="1"/>
        <d v="2012-06-22T00:00:00" u="1"/>
        <d v="2012-07-18T00:00:00" u="1"/>
        <d v="2013-07-18T00:00:00" u="1"/>
        <d v="2012-08-14T00:00:00" u="1"/>
        <d v="2013-08-14T00:00:00" u="1"/>
        <d v="2012-09-10T00:00:00" u="1"/>
        <d v="2013-09-10T00:00:00" u="1"/>
        <d v="2012-10-06T00:00:00" u="1"/>
        <d v="2012-11-02T00:00:00" u="1"/>
        <d v="2012-05-28T00:00:00" u="1"/>
        <d v="2013-05-28T00:00:00" u="1"/>
        <d v="2013-06-24T00:00:00" u="1"/>
        <d v="2012-07-20T00:00:00" u="1"/>
        <d v="2013-07-20T00:00:00" u="1"/>
        <d v="2012-08-16T00:00:00" u="1"/>
        <d v="2013-08-16T00:00:00" u="1"/>
        <d v="2012-09-12T00:00:00" u="1"/>
        <d v="2013-09-12T00:00:00" u="1"/>
        <d v="2012-10-08T00:00:00" u="1"/>
        <d v="2013-10-08T00:00:00" u="1"/>
        <d v="2012-05-30T00:00:00" u="1"/>
        <d v="2013-05-30T00:00:00" u="1"/>
        <d v="2012-06-26T00:00:00" u="1"/>
        <d v="2013-06-26T00:00:00" u="1"/>
        <d v="2013-07-22T00:00:00" u="1"/>
        <d v="2012-09-14T00:00:00" u="1"/>
        <d v="2013-09-14T00:00:00" u="1"/>
        <d v="2012-10-10T00:00:00" u="1"/>
        <d v="2013-10-10T00:00:00" u="1"/>
        <d v="2012-11-06T00:00:00" u="1"/>
        <d v="2013-11-06T00:00:00" u="1"/>
        <d v="2013-12-02T00:00:00" u="1"/>
        <d v="2012-06-28T00:00:00" u="1"/>
        <d v="2013-06-28T00:00:00" u="1"/>
        <d v="2012-07-24T00:00:00" u="1"/>
        <d v="2013-07-24T00:00:00" u="1"/>
        <d v="2012-08-20T00:00:00" u="1"/>
        <d v="2013-09-16T00:00:00" u="1"/>
        <d v="2012-10-12T00:00:00" u="1"/>
        <d v="2012-11-08T00:00:00" u="1"/>
        <d v="2013-11-08T00:00:00" u="1"/>
        <d v="2012-12-04T00:00:00" u="1"/>
        <d v="2013-12-04T00:00:00" u="1"/>
        <d v="2012-06-30T00:00:00" u="1"/>
        <d v="2012-07-26T00:00:00" u="1"/>
        <d v="2013-07-26T00:00:00" u="1"/>
        <d v="2012-08-22T00:00:00" u="1"/>
        <d v="2013-08-22T00:00:00" u="1"/>
        <d v="2012-09-18T00:00:00" u="1"/>
        <d v="2013-09-18T00:00:00" u="1"/>
        <d v="2012-12-06T00:00:00" u="1"/>
        <d v="2013-12-06T00:00:00" u="1"/>
        <d v="2012-07-28T00:00:00" u="1"/>
        <d v="2012-08-24T00:00:00" u="1"/>
        <d v="2012-09-20T00:00:00" u="1"/>
        <d v="2013-09-20T00:00:00" u="1"/>
        <d v="2012-10-16T00:00:00" u="1"/>
        <d v="2013-10-16T00:00:00" u="1"/>
        <d v="2012-11-12T00:00:00" u="1"/>
        <d v="2013-11-12T00:00:00" u="1"/>
        <d v="2012-07-30T00:00:00" u="1"/>
        <d v="2013-07-30T00:00:00" u="1"/>
        <d v="2012-08-26T00:00:00" u="1"/>
        <d v="2013-08-26T00:00:00" u="1"/>
        <d v="2012-09-22T00:00:00" u="1"/>
        <d v="2012-10-18T00:00:00" u="1"/>
        <d v="2013-10-18T00:00:00" u="1"/>
        <d v="2013-11-14T00:00:00" u="1"/>
        <d v="2012-12-10T00:00:00" u="1"/>
        <d v="2013-12-10T00:00:00" u="1"/>
        <d v="2012-08-28T00:00:00" u="1"/>
        <d v="2012-09-24T00:00:00" u="1"/>
        <d v="2013-09-24T00:00:00" u="1"/>
        <d v="2012-10-20T00:00:00" u="1"/>
        <d v="2012-11-16T00:00:00" u="1"/>
        <d v="2013-11-16T00:00:00" u="1"/>
        <d v="2012-12-12T00:00:00" u="1"/>
        <d v="2013-12-12T00:00:00" u="1"/>
        <d v="2012-08-30T00:00:00" u="1"/>
        <d v="2013-08-30T00:00:00" u="1"/>
        <d v="2012-09-26T00:00:00" u="1"/>
        <d v="2013-09-26T00:00:00" u="1"/>
        <d v="2012-10-22T00:00:00" u="1"/>
        <d v="2013-10-22T00:00:00" u="1"/>
        <d v="2013-11-18T00:00:00" u="1"/>
        <d v="2012-12-14T00:00:00" u="1"/>
        <d v="2012-09-28T00:00:00" u="1"/>
        <d v="2013-09-28T00:00:00" u="1"/>
        <d v="2013-10-24T00:00:00" u="1"/>
        <d v="2012-11-20T00:00:00" u="1"/>
        <d v="2013-11-20T00:00:00" u="1"/>
        <d v="2013-12-16T00:00:00" u="1"/>
        <d v="2012-09-30T00:00:00" u="1"/>
        <d v="2013-09-30T00:00:00" u="1"/>
        <d v="2012-10-26T00:00:00" u="1"/>
        <d v="2012-11-22T00:00:00" u="1"/>
        <d v="2013-11-22T00:00:00" u="1"/>
        <d v="2012-12-18T00:00:00" u="1"/>
        <d v="2013-12-18T00:00:00" u="1"/>
        <d v="2013-10-28T00:00:00" u="1"/>
        <d v="2012-12-20T00:00:00" u="1"/>
        <d v="2013-12-20T00:00:00" u="1"/>
        <d v="2012-10-30T00:00:00" u="1"/>
        <d v="2013-10-30T00:00:00" u="1"/>
        <d v="2012-11-26T00:00:00" u="1"/>
        <d v="2013-11-26T00:00:00" u="1"/>
        <d v="2012-01-03T00:00:00" u="1"/>
        <d v="2013-01-03T00:00:00" u="1"/>
        <d v="2013-11-28T00:00:00" u="1"/>
        <d v="2012-12-24T00:00:00" u="1"/>
        <d v="2013-12-24T00:00:00" u="1"/>
        <d v="2012-01-05T00:00:00" u="1"/>
        <d v="2012-02-01T00:00:00" u="1"/>
        <d v="2013-02-01T00:00:00" u="1"/>
        <d v="2012-11-30T00:00:00" u="1"/>
        <d v="2012-12-26T00:00:00" u="1"/>
        <d v="2013-12-26T00:00:00" u="1"/>
        <d v="2013-01-07T00:00:00" u="1"/>
        <d v="2012-02-03T00:00:00" u="1"/>
        <d v="2012-12-28T00:00:00" u="1"/>
        <d v="2012-01-09T00:00:00" u="1"/>
        <d v="2013-01-09T00:00:00" u="1"/>
        <d v="2013-02-05T00:00:00" u="1"/>
        <d v="2012-03-01T00:00:00" u="1"/>
        <d v="2013-03-01T00:00:00" u="1"/>
        <d v="2013-12-30T00:00:00" u="1"/>
        <d v="2012-01-11T00:00:00" u="1"/>
        <d v="2013-01-11T00:00:00" u="1"/>
        <d v="2012-02-07T00:00:00" u="1"/>
        <d v="2013-02-07T00:00:00" u="1"/>
        <d v="2012-03-03T00:00:00" u="1"/>
        <d v="2013-03-03T00:00:00" u="1"/>
        <d v="2012-01-13T00:00:00" u="1"/>
        <d v="2012-02-09T00:00:00" u="1"/>
        <d v="2012-03-05T00:00:00" u="1"/>
        <d v="2013-03-05T00:00:00" u="1"/>
        <d v="2013-04-01T00:00:00" u="1"/>
        <d v="2013-01-15T00:00:00" u="1"/>
        <d v="2012-02-11T00:00:00" u="1"/>
        <d v="2013-02-11T00:00:00" u="1"/>
        <d v="2012-03-07T00:00:00" u="1"/>
        <d v="2013-03-07T00:00:00" u="1"/>
        <d v="2012-04-03T00:00:00" u="1"/>
        <d v="2013-04-03T00:00:00" u="1"/>
        <d v="2012-01-17T00:00:00" u="1"/>
        <d v="2013-01-17T00:00:00" u="1"/>
        <d v="2012-02-13T00:00:00" u="1"/>
        <d v="2013-02-13T00:00:00" u="1"/>
        <d v="2012-03-09T00:00:00" u="1"/>
        <d v="2012-04-05T00:00:00" u="1"/>
        <d v="2013-04-05T00:00:00" u="1"/>
        <d v="2012-05-01T00:00:00" u="1"/>
        <d v="2013-05-01T00:00:00" u="1"/>
        <d v="2012-01-19T00:00:00" u="1"/>
        <d v="2012-02-15T00:00:00" u="1"/>
        <d v="2013-02-15T00:00:00" u="1"/>
        <d v="2013-03-11T00:00:00" u="1"/>
        <d v="2012-04-07T00:00:00" u="1"/>
        <d v="2012-05-03T00:00:00" u="1"/>
        <d v="2013-05-03T00:00:00" u="1"/>
        <d v="2013-01-21T00:00:00" u="1"/>
        <d v="2012-03-13T00:00:00" u="1"/>
        <d v="2013-03-13T00:00:00" u="1"/>
        <d v="2012-04-09T00:00:00" u="1"/>
        <d v="2013-04-09T00:00:00" u="1"/>
        <d v="2012-06-01T00:00:00" u="1"/>
        <d v="2012-01-23T00:00:00" u="1"/>
        <d v="2013-01-23T00:00:00" u="1"/>
        <d v="2013-02-19T00:00:00" u="1"/>
        <d v="2012-03-15T00:00:00" u="1"/>
        <d v="2013-03-15T00:00:00" u="1"/>
        <d v="2012-04-11T00:00:00" u="1"/>
        <d v="2013-04-11T00:00:00" u="1"/>
        <d v="2012-05-07T00:00:00" u="1"/>
        <d v="2013-05-07T00:00:00" u="1"/>
        <d v="2013-06-03T00:00:00" u="1"/>
        <d v="2012-01-25T00:00:00" u="1"/>
        <d v="2013-01-25T00:00:00" u="1"/>
        <d v="2012-02-21T00:00:00" u="1"/>
        <d v="2013-02-21T00:00:00" u="1"/>
        <d v="2012-03-17T00:00:00" u="1"/>
        <d v="2012-04-13T00:00:00" u="1"/>
        <d v="2012-05-09T00:00:00" u="1"/>
        <d v="2013-05-09T00:00:00" u="1"/>
        <d v="2012-06-05T00:00:00" u="1"/>
        <d v="2013-06-05T00:00:00" u="1"/>
        <d v="2012-07-01T00:00:00" u="1"/>
        <d v="2013-07-01T00:00:00" u="1"/>
        <d v="2012-01-27T00:00:00" u="1"/>
        <d v="2012-02-23T00:00:00" u="1"/>
        <d v="2012-03-19T00:00:00" u="1"/>
        <d v="2013-03-19T00:00:00" u="1"/>
        <d v="2012-04-15T00:00:00" u="1"/>
        <d v="2013-04-15T00:00:00" u="1"/>
        <d v="2012-05-11T00:00:00" u="1"/>
        <d v="2013-05-11T00:00:00" u="1"/>
        <d v="2012-06-07T00:00:00" u="1"/>
        <d v="2013-06-07T00:00:00" u="1"/>
        <d v="2012-07-03T00:00:00" u="1"/>
        <d v="2013-07-03T00:00:00" u="1"/>
        <d v="2013-01-29T00:00:00" u="1"/>
        <d v="2013-02-25T00:00:00" u="1"/>
        <d v="2012-03-21T00:00:00" u="1"/>
        <d v="2013-03-21T00:00:00" u="1"/>
        <d v="2012-04-17T00:00:00" u="1"/>
        <d v="2013-04-17T00:00:00" u="1"/>
        <d v="2013-05-13T00:00:00" u="1"/>
        <d v="2012-06-09T00:00:00" u="1"/>
        <d v="2012-07-05T00:00:00" u="1"/>
        <d v="2013-07-05T00:00:00" u="1"/>
        <d v="2012-08-01T00:00:00" u="1"/>
        <d v="2013-08-01T00:00:00" u="1"/>
        <d v="2012-01-31T00:00:00" u="1"/>
        <d v="2013-01-31T00:00:00" u="1"/>
        <d v="2012-02-27T00:00:00" u="1"/>
        <d v="2013-02-27T00:00:00" u="1"/>
        <d v="2012-03-23T00:00:00" u="1"/>
        <d v="2012-04-19T00:00:00" u="1"/>
        <d v="2012-05-15T00:00:00" u="1"/>
        <d v="2013-05-15T00:00:00" u="1"/>
        <d v="2012-06-11T00:00:00" u="1"/>
        <d v="2013-06-11T00:00:00" u="1"/>
        <d v="2012-07-07T00:00:00" u="1"/>
        <d v="2013-07-07T00:00:00" u="1"/>
        <d v="2012-08-03T00:00:00" u="1"/>
        <d v="2012-02-29T00:00:00" u="1"/>
        <d v="2013-03-25T00:00:00" u="1"/>
        <d v="2012-04-21T00:00:00" u="1"/>
        <d v="2012-05-17T00:00:00" u="1"/>
        <d v="2013-05-17T00:00:00" u="1"/>
        <d v="2012-06-13T00:00:00" u="1"/>
        <d v="2013-06-13T00:00:00" u="1"/>
        <d v="2012-07-09T00:00:00" u="1"/>
        <d v="2013-07-09T00:00:00" u="1"/>
        <d v="2013-08-05T00:00:00" u="1"/>
        <d v="2013-09-01T00:00:00" u="1"/>
        <d v="2012-03-27T00:00:00" u="1"/>
        <d v="2012-04-23T00:00:00" u="1"/>
        <d v="2013-04-23T00:00:00" u="1"/>
        <d v="2012-05-19T00:00:00" u="1"/>
        <d v="2013-05-19T00:00:00" u="1"/>
        <d v="2012-06-15T00:00:00" u="1"/>
        <d v="2012-07-11T00:00:00" u="1"/>
        <d v="2013-07-11T00:00:00" u="1"/>
        <d v="2012-08-07T00:00:00" u="1"/>
        <d v="2013-08-07T00:00:00" u="1"/>
        <d v="2012-09-03T00:00:00" u="1"/>
        <d v="2013-09-03T00:00:00" u="1"/>
        <d v="2012-03-29T00:00:00" u="1"/>
        <d v="2013-03-29T00:00:00" u="1"/>
        <d v="2012-04-25T00:00:00" u="1"/>
        <d v="2013-04-25T00:00:00" u="1"/>
        <d v="2012-05-21T00:00:00" u="1"/>
        <d v="2013-05-21T00:00:00" u="1"/>
        <d v="2013-06-17T00:00:00" u="1"/>
        <d v="2012-07-13T00:00:00" u="1"/>
        <d v="2013-07-13T00:00:00" u="1"/>
        <d v="2012-08-09T00:00:00" u="1"/>
        <d v="2013-08-09T00:00:00" u="1"/>
        <d v="2012-09-05T00:00:00" u="1"/>
        <d v="2013-09-05T00:00:00" u="1"/>
        <d v="2012-10-01T00:00:00" u="1"/>
        <d v="2013-10-01T00:00:00" u="1"/>
        <d v="2012-03-31T00:00:00" u="1"/>
        <d v="2013-03-31T00:00:00" u="1"/>
        <d v="2012-04-27T00:00:00" u="1"/>
        <d v="2012-05-23T00:00:00" u="1"/>
        <d v="2013-05-23T00:00:00" u="1"/>
        <d v="2012-06-19T00:00:00" u="1"/>
        <d v="2013-06-19T00:00:00" u="1"/>
        <d v="2013-07-15T00:00:00" u="1"/>
        <d v="2012-09-07T00:00:00" u="1"/>
        <d v="2013-09-07T00:00:00" u="1"/>
        <d v="2012-10-03T00:00:00" u="1"/>
        <d v="2013-10-03T00:00:00" u="1"/>
        <d v="2012-04-29T00:00:00" u="1"/>
        <d v="2013-04-29T00:00:00" u="1"/>
        <d v="2012-05-25T00:00:00" u="1"/>
        <d v="2012-06-21T00:00:00" u="1"/>
        <d v="2013-06-21T00:00:00" u="1"/>
        <d v="2012-07-17T00:00:00" u="1"/>
        <d v="2013-07-17T00:00:00" u="1"/>
        <d v="2012-08-13T00:00:00" u="1"/>
        <d v="2013-08-13T00:00:00" u="1"/>
        <d v="2013-09-09T00:00:00" u="1"/>
        <d v="2012-10-05T00:00:00" u="1"/>
        <d v="2013-10-05T00:00:00" u="1"/>
        <d v="2012-11-01T00:00:00" u="1"/>
        <d v="2013-11-01T00:00:00" u="1"/>
        <d v="2012-05-27T00:00:00" u="1"/>
        <d v="2013-05-27T00:00:00" u="1"/>
        <d v="2012-06-23T00:00:00" u="1"/>
        <d v="2012-07-19T00:00:00" u="1"/>
        <d v="2013-07-19T00:00:00" u="1"/>
        <d v="2012-08-15T00:00:00" u="1"/>
        <d v="2012-09-11T00:00:00" u="1"/>
        <d v="2013-09-11T00:00:00" u="1"/>
        <d v="2013-10-07T00:00:00" u="1"/>
        <d v="2012-05-29T00:00:00" u="1"/>
        <d v="2013-05-29T00:00:00" u="1"/>
        <d v="2012-06-25T00:00:00" u="1"/>
        <d v="2013-06-25T00:00:00" u="1"/>
        <d v="2012-07-21T00:00:00" u="1"/>
        <d v="2012-08-17T00:00:00" u="1"/>
        <d v="2013-08-17T00:00:00" u="1"/>
        <d v="2012-09-13T00:00:00" u="1"/>
        <d v="2013-09-13T00:00:00" u="1"/>
        <d v="2012-10-09T00:00:00" u="1"/>
        <d v="2013-10-09T00:00:00" u="1"/>
        <d v="2012-11-05T00:00:00" u="1"/>
        <d v="2013-11-05T00:00:00" u="1"/>
        <d v="2012-12-01T00:00:00" u="1"/>
        <d v="2012-05-31T00:00:00" u="1"/>
        <d v="2013-05-31T00:00:00" u="1"/>
        <d v="2012-06-27T00:00:00" u="1"/>
        <d v="2013-06-27T00:00:00" u="1"/>
        <d v="2012-07-23T00:00:00" u="1"/>
        <d v="2013-07-23T00:00:00" u="1"/>
        <d v="2013-08-19T00:00:00" u="1"/>
        <d v="2012-10-11T00:00:00" u="1"/>
        <d v="2013-10-11T00:00:00" u="1"/>
        <d v="2012-11-07T00:00:00" u="1"/>
        <d v="2013-11-07T00:00:00" u="1"/>
        <d v="2012-12-03T00:00:00" u="1"/>
        <d v="2013-12-03T00:00:00" u="1"/>
        <d v="2012-06-29T00:00:00" u="1"/>
        <d v="2013-06-29T00:00:00" u="1"/>
        <d v="2012-07-25T00:00:00" u="1"/>
        <d v="2013-07-25T00:00:00" u="1"/>
        <d v="2012-08-21T00:00:00" u="1"/>
        <d v="2013-08-21T00:00:00" u="1"/>
        <d v="2012-09-17T00:00:00" u="1"/>
        <d v="2013-09-17T00:00:00" u="1"/>
        <d v="2012-10-13T00:00:00" u="1"/>
        <d v="2012-11-09T00:00:00" u="1"/>
        <d v="2013-11-09T00:00:00" u="1"/>
        <d v="2012-12-05T00:00:00" u="1"/>
        <d v="2013-12-05T00:00:00" u="1"/>
        <d v="2012-07-27T00:00:00" u="1"/>
        <d v="2013-07-27T00:00:00" u="1"/>
        <d v="2012-08-23T00:00:00" u="1"/>
        <d v="2013-08-23T00:00:00" u="1"/>
        <d v="2012-09-19T00:00:00" u="1"/>
        <d v="2013-09-19T00:00:00" u="1"/>
        <d v="2012-10-15T00:00:00" u="1"/>
        <d v="2013-10-15T00:00:00" u="1"/>
        <d v="2013-11-11T00:00:00" u="1"/>
        <d v="2012-12-07T00:00:00" u="1"/>
        <d v="2012-07-29T00:00:00" u="1"/>
        <d v="2013-07-29T00:00:00" u="1"/>
        <d v="2012-08-25T00:00:00" u="1"/>
        <d v="2012-09-21T00:00:00" u="1"/>
        <d v="2012-10-17T00:00:00" u="1"/>
        <d v="2013-10-17T00:00:00" u="1"/>
        <d v="2013-11-13T00:00:00" u="1"/>
        <d v="2013-12-09T00:00:00" u="1"/>
        <d v="2012-07-31T00:00:00" u="1"/>
        <d v="2013-07-31T00:00:00" u="1"/>
        <d v="2012-08-27T00:00:00" u="1"/>
        <d v="2013-08-27T00:00:00" u="1"/>
        <d v="2013-09-23T00:00:00" u="1"/>
        <d v="2012-10-19T00:00:00" u="1"/>
        <d v="2013-11-15T00:00:00" u="1"/>
        <d v="2012-12-11T00:00:00" u="1"/>
        <d v="2013-12-11T00:00:00" u="1"/>
        <d v="2012-08-29T00:00:00" u="1"/>
        <d v="2013-08-29T00:00:00" u="1"/>
        <d v="2012-09-25T00:00:00" u="1"/>
        <d v="2013-09-25T00:00:00" u="1"/>
        <d v="2012-10-21T00:00:00" u="1"/>
        <d v="2013-10-21T00:00:00" u="1"/>
        <d v="2012-12-13T00:00:00" u="1"/>
        <d v="2013-12-13T00:00:00" u="1"/>
        <d v="2012-08-31T00:00:00" u="1"/>
        <d v="2013-08-31T00:00:00" u="1"/>
        <d v="2012-09-27T00:00:00" u="1"/>
        <d v="2013-09-27T00:00:00" u="1"/>
        <d v="2012-10-23T00:00:00" u="1"/>
        <d v="2013-10-23T00:00:00" u="1"/>
        <d v="2012-11-19T00:00:00" u="1"/>
        <d v="2013-11-19T00:00:00" u="1"/>
      </sharedItems>
    </cacheField>
    <cacheField name="IT Month" numFmtId="0">
      <sharedItems containsString="0" containsBlank="1" containsNumber="1" containsInteger="1" minValue="1" maxValue="12"/>
    </cacheField>
    <cacheField name="Month" numFmtId="14">
      <sharedItems containsBlank="1" count="51">
        <s v="2014-Jan"/>
        <s v="2014-Feb"/>
        <s v="2014-Mar"/>
        <s v="2014-Apr"/>
        <s v="2014-May"/>
        <m/>
        <s v="2014-Jun"/>
        <s v="2014-Jul"/>
        <s v="2014-Aug"/>
        <s v="2014-Sep"/>
        <s v="2014-Oct"/>
        <s v="2014-Nov"/>
        <s v="2014-Dec"/>
        <s v="2015-Jan"/>
        <s v="2015-Feb"/>
        <s v="2015-Mar"/>
        <s v="2015-Apr"/>
        <s v="2015-May"/>
        <s v="2015-Jun"/>
        <s v="2015-Jul"/>
        <s v="2015-Aug"/>
        <s v="2013-May" u="1"/>
        <s v="2013-Jan" u="1"/>
        <s v="2012-May" u="1"/>
        <s v="2012-Jan" u="1"/>
        <s v="2012Mar" u="1"/>
        <s v="2013-Aug" u="1"/>
        <s v="2013-Jun" u="1"/>
        <s v="2013-Dec" u="1"/>
        <s v="2013-Oct" u="1"/>
        <s v="2013-Sep" u="1"/>
        <s v="2012-Aug" u="1"/>
        <s v="2012-Jun" u="1"/>
        <s v="2012-Dec" u="1"/>
        <s v="2012-Oct" u="1"/>
        <s v="2012-Sep" u="1"/>
        <s v="Jan" u="1"/>
        <s v="2013-Mar" u="1"/>
        <s v="2012Jan" u="1"/>
        <s v="Feb" u="1"/>
        <s v="2013-Nov" u="1"/>
        <s v="2013-Feb" u="1"/>
        <s v="2012-Mar" u="1"/>
        <s v="2012Feb" u="1"/>
        <s v="2012-Nov" u="1"/>
        <s v="2012-Feb" u="1"/>
        <s v="2013-Jul" u="1"/>
        <s v="2012-Jul" u="1"/>
        <s v="2013-Apr" u="1"/>
        <s v="Mar" u="1"/>
        <s v="2012-Apr" u="1"/>
      </sharedItems>
    </cacheField>
    <cacheField name="LQA Month" numFmtId="0">
      <sharedItems containsBlank="1" containsMixedTypes="1" containsNumber="1" containsInteger="1" minValue="1" maxValue="12"/>
    </cacheField>
    <cacheField name="Release Phase" numFmtId="0">
      <sharedItems containsBlank="1"/>
    </cacheField>
    <cacheField name="Customer" numFmtId="0">
      <sharedItems containsBlank="1" count="35">
        <s v="SLT"/>
        <s v="AGILIS-PROD"/>
        <s v="SHAW"/>
        <s v="OBT"/>
        <s v="TLSTR"/>
        <s v="BHN"/>
        <s v="ANTEL"/>
        <s v="VON"/>
        <s v="TWC"/>
        <s v="MAX"/>
        <s v="COM"/>
        <s v="BMB"/>
        <s v="DRC"/>
        <s v="NM46"/>
        <s v="VZB"/>
        <s v="CBD"/>
        <s v="TLN"/>
        <s v="MTS"/>
        <s v="WIS"/>
        <m/>
        <s v="FNB"/>
        <s v="TLSTR-ST"/>
        <s v="MOBSA"/>
        <s v="MCC"/>
        <s v="MAC"/>
        <s v="IM" u="1"/>
        <s v="GMB" u="1"/>
        <s v="AGILIS" u="1"/>
        <s v="CTR" u="1"/>
        <s v="INSIGHT" u="1"/>
        <s v="TMB" u="1"/>
        <s v="VZW" u="1"/>
        <s v="CFRA" u="1"/>
        <s v="MAS" u="1"/>
        <s v="BGC" u="1"/>
      </sharedItems>
    </cacheField>
    <cacheField name="Category" numFmtId="0">
      <sharedItems containsBlank="1"/>
    </cacheField>
    <cacheField name="Product" numFmtId="0">
      <sharedItems containsBlank="1" count="29">
        <s v="RE"/>
        <s v="MPE"/>
        <s v="DM"/>
        <s v="RM"/>
        <s v="RA"/>
        <s v="NM"/>
        <s v="IM"/>
        <s v="RT"/>
        <s v="WWFS"/>
        <s v="NP"/>
        <s v="SAC"/>
        <s v="Utility"/>
        <s v="WWCS"/>
        <s v="NZ"/>
        <s v="TM"/>
        <m/>
        <s v="VCS"/>
        <s v="CS"/>
        <s v=" NM"/>
        <s v="LA"/>
        <s v="DBS"/>
        <s v="AWF"/>
        <s v="CARA" u="1"/>
        <s v="DFE" u="1"/>
        <s v="AR" u="1"/>
        <s v="MT" u="1"/>
        <s v="L1DB" u="1"/>
        <s v="RC" u="1"/>
        <s v="CFRA" u="1"/>
      </sharedItems>
    </cacheField>
    <cacheField name="Component" numFmtId="0">
      <sharedItems containsBlank="1" count="23">
        <s v="DBS"/>
        <s v="MPE"/>
        <s v="GUI"/>
        <s v="IM"/>
        <s v="CS"/>
        <s v="AGENT"/>
        <s v="Utility"/>
        <s v="WFS"/>
        <s v="PM"/>
        <s v="HM"/>
        <m/>
        <s v="AWF"/>
        <s v="Alexa Alert" u="1"/>
        <s v="Outside Network Tracking" u="1"/>
        <s v="Email Reader" u="1"/>
        <s v="Set Alexa Ranking" u="1"/>
        <s v="Schedular" u="1"/>
        <s v="WSV" u="1"/>
        <s v="IP Report" u="1"/>
        <s v="WeeklyReportSchedular" u="1"/>
        <s v="XMLFEED" u="1"/>
        <s v="CLIENT" u="1"/>
        <s v="Threshold Check" u="1"/>
      </sharedItems>
    </cacheField>
    <cacheField name="Release Type" numFmtId="0">
      <sharedItems containsBlank="1" count="3">
        <s v="Patch"/>
        <s v="Build"/>
        <m/>
      </sharedItems>
    </cacheField>
    <cacheField name="List of Items/Components Released" numFmtId="0">
      <sharedItems containsBlank="1"/>
    </cacheField>
    <cacheField name="Released By" numFmtId="0">
      <sharedItems containsBlank="1" count="24">
        <s v="CMTeam"/>
        <s v="Sachin Srivastva"/>
        <s v="Sumita Yadav"/>
        <m/>
        <s v="Chaitanya " u="1"/>
        <s v="Vaishali Rangavajhula" u="1"/>
        <s v="Neelam Jawla" u="1"/>
        <s v="Anjani Kumar" u="1"/>
        <s v="Vikash Sinha" u="1"/>
        <s v="Nitin Kumar" u="1"/>
        <s v="Piyush Gupta" u="1"/>
        <s v="Mohd. Asif" u="1"/>
        <s v="Arun Kumar" u="1"/>
        <s v="Sekuri GR Sankar" u="1"/>
        <s v="Apurva Saurabh" u="1"/>
        <s v="Manisha Srivastava" u="1"/>
        <s v="Ajay Awasthi" u="1"/>
        <s v="Chander Kanta" u="1"/>
        <s v="Saurabh Singh" u="1"/>
        <s v="yogendra kumar" u="1"/>
        <s v="Lokeshna Virdi" u="1"/>
        <s v="Shiv Mangal" u="1"/>
        <s v="Babulal roy" u="1"/>
        <s v="Hemant Agarwal" u="1"/>
      </sharedItems>
    </cacheField>
    <cacheField name="Developed By" numFmtId="0">
      <sharedItems containsBlank="1" count="114">
        <s v="Shiv Mangal"/>
        <s v="Asha Nandan"/>
        <s v="Dinesh Kumar Yadav"/>
        <s v="Aditya Garg"/>
        <s v="Rohit Kanwar"/>
        <s v="Puneet Gupta"/>
        <s v="Anshul Kumar"/>
        <s v="Sachin Srivastva"/>
        <s v="Virender Kumar"/>
        <s v="Deepak Yadav"/>
        <s v="Ajay Awasthi"/>
        <s v="Sandeep Aggarwal"/>
        <s v="Piyush Gupta"/>
        <s v="Deepak Dhiman"/>
        <s v="Harish Singh"/>
        <s v="Deeoak Dhiman"/>
        <s v="Ajay Sharma"/>
        <s v="Deepinder Singh"/>
        <s v="Abdul Khalik"/>
        <s v="Sudip Ghosh"/>
        <s v="Neelam Jawla"/>
        <s v="Rajeev Kumar"/>
        <s v="Apurva Saurabh"/>
        <s v="Abhishek Sharma"/>
        <s v="surender Kumar"/>
        <s v="Nishant"/>
        <s v="Muktesh Mukul"/>
        <s v="Anand Kumar Ojha"/>
        <s v="Rohtash"/>
        <s v="Ankur Omar"/>
        <s v="Daljit Singh Maan"/>
        <s v="Rajesh Maithani"/>
        <s v="Chander Kanta"/>
        <s v="Karamjeet kaur"/>
        <s v="Nikhil Dwivedi"/>
        <s v="Ratnesh Singh"/>
        <s v="Gautam"/>
        <s v="Anjani"/>
        <s v="Manisha Srivastava"/>
        <s v="Sumita Yadav"/>
        <s v="Alok Bagwale"/>
        <s v="Navkaran Sandhu"/>
        <s v="Sumit Dalal "/>
        <s v="Mohd. Asif"/>
        <s v="Raja Sarkar"/>
        <s v="yogendra kumar"/>
        <s v="Ankit Jain"/>
        <s v="Lokeshna Virdi"/>
        <s v="Haramanpreet Singh"/>
        <s v="Anoj Kumar"/>
        <s v="Harmanpreet Singh"/>
        <m/>
        <s v="Jitin Sardana"/>
        <s v="Anjani Kumar"/>
        <s v="Nitin Kumar"/>
        <s v="Rajat Gupta"/>
        <s v="Rohtash "/>
        <s v="Rohit Gulati"/>
        <s v="Daljeet "/>
        <s v="Rohit  Kanwar"/>
        <s v="Dheeraj Kant"/>
        <s v="Sanjeev Pathak"/>
        <s v="Pawan Kumar"/>
        <s v="Deepender Singh"/>
        <s v="Sumit Dalal"/>
        <s v="Rajasarkar"/>
        <s v="ajayawasthi"/>
        <s v="sumitdalal"/>
        <s v="karamjeet"/>
        <s v="rahul sharma"/>
        <s v="Vaishali Rangavajhula" u="1"/>
        <s v="Vikash Roy" u="1"/>
        <s v="Sushant Butta" u="1"/>
        <s v="NS Karthik" u="1"/>
        <s v="Rahul Mittal" u="1"/>
        <s v="Vijay Rana" u="1"/>
        <s v="Jaya Chandra" u="1"/>
        <s v="Manpal Singh" u="1"/>
        <s v="Sekuri GR Sankar" u="1"/>
        <s v="Jagmohan  Kaintura" u="1"/>
        <s v="Jitender Kumar Pathak" u="1"/>
        <s v="Amit Bhatla" u="1"/>
        <s v="Virendra Kumar" u="1"/>
        <s v="Vikash Sinha" u="1"/>
        <s v="Shruti Kaushik" u="1"/>
        <s v="Deeptesh Bhattacharjee" u="1"/>
        <s v="Ajay Gera" u="1"/>
        <s v="Tripti Mandal" u="1"/>
        <s v="Paritosh Garg" u="1"/>
        <s v="Asha Nandan Malakar" u="1"/>
        <s v="Arun Kumar" u="1"/>
        <s v="Archana Singh" u="1"/>
        <s v="Akhilesh Singh" u="1"/>
        <s v="Jitendra Yadav" u="1"/>
        <s v="Mayank Jindal" u="1"/>
        <s v="Balendra kumar" u="1"/>
        <s v="Ramandeep Singh" u="1"/>
        <s v="deeptesh" u="1"/>
        <s v="Kaushik Nandy" u="1"/>
        <s v="Hemant Agarwal" u="1"/>
        <s v="Himanshu Saraswat" u="1"/>
        <s v="Deepak Narula" u="1"/>
        <s v="Paritosh Ghildyal" u="1"/>
        <s v="Nitesh Laller" u="1"/>
        <s v="Saurabh Singh" u="1"/>
        <s v="Ritesh Sharma" u="1"/>
        <s v="Praveen Malik" u="1"/>
        <s v="Chaitanya" u="1"/>
        <s v="Chaitanya " u="1"/>
        <s v="Sachin Srivastava" u="1"/>
        <s v="Babulal roy" u="1"/>
        <s v="Raj Kumar Arya" u="1"/>
        <s v="Aman Charnalia" u="1"/>
        <s v="Saloni Bhardwaj" u="1"/>
      </sharedItems>
    </cacheField>
    <cacheField name="Staging Location of IT" numFmtId="0">
      <sharedItems containsBlank="1"/>
    </cacheField>
    <cacheField name="Obsolete" numFmtId="0">
      <sharedItems containsBlank="1" count="6">
        <m/>
        <s v="Obsolete-IT"/>
        <s v="Obsolete-LQA"/>
        <s v="Obsolete-FAT"/>
        <s v="Obsolete-UAT"/>
        <s v="Obsolete-AT" u="1"/>
      </sharedItems>
    </cacheField>
    <cacheField name="Staging Location of LQA" numFmtId="0">
      <sharedItems containsBlank="1"/>
    </cacheField>
    <cacheField name="Pass/Fail" numFmtId="0">
      <sharedItems containsBlank="1"/>
    </cacheField>
    <cacheField name="Release Defect" numFmtId="0">
      <sharedItems containsBlank="1" count="16">
        <s v="Readme Re-Released"/>
        <m/>
        <s v="Code not checked in SVN" u="1"/>
        <s v="Code is Re-tag" u="1"/>
        <s v="Update Zip File" u="1"/>
        <s v="Zip File Update" u="1"/>
        <s v="Setup Updated" u="1"/>
        <s v="Retag due to change in code" u="1"/>
        <s v="LQA Not Done" u="1"/>
        <s v="LQA Testing not done" u="1"/>
        <s v="Installation Docs Update" u="1"/>
        <s v="Ticket is not fixed" u="1"/>
        <s v="IT exception taken" u="1"/>
        <s v="R" u="1"/>
        <s v="Exception" u="1"/>
        <s v="LQA Exception Taken" u="1"/>
      </sharedItems>
    </cacheField>
    <cacheField name="INT/FAT" numFmtId="0">
      <sharedItems containsNonDate="0" containsString="0" containsBlank="1"/>
    </cacheField>
    <cacheField name="UAT" numFmtId="0">
      <sharedItems containsNonDate="0" containsString="0" containsBlank="1"/>
    </cacheField>
    <cacheField name="PROD" numFmtId="0">
      <sharedItems containsNonDate="0" containsString="0" containsBlank="1"/>
    </cacheField>
    <cacheField name="Tested By" numFmtId="0">
      <sharedItems containsBlank="1"/>
    </cacheField>
    <cacheField name="Status" numFmtId="0">
      <sharedItems containsBlank="1" count="5">
        <s v="Pass"/>
        <s v="Unknown"/>
        <s v="Obsolete"/>
        <m/>
        <s v="Fai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8">
  <r>
    <x v="0"/>
    <x v="0"/>
    <x v="0"/>
    <x v="0"/>
    <x v="0"/>
    <n v="4"/>
  </r>
  <r>
    <x v="1"/>
    <x v="1"/>
    <x v="1"/>
    <x v="1"/>
    <x v="0"/>
    <n v="1"/>
  </r>
  <r>
    <x v="1"/>
    <x v="1"/>
    <x v="1"/>
    <x v="2"/>
    <x v="0"/>
    <n v="1"/>
  </r>
  <r>
    <x v="1"/>
    <x v="1"/>
    <x v="1"/>
    <x v="3"/>
    <x v="0"/>
    <n v="1"/>
  </r>
  <r>
    <x v="1"/>
    <x v="1"/>
    <x v="1"/>
    <x v="4"/>
    <x v="0"/>
    <n v="1"/>
  </r>
  <r>
    <x v="1"/>
    <x v="1"/>
    <x v="1"/>
    <x v="5"/>
    <x v="0"/>
    <n v="1"/>
  </r>
  <r>
    <x v="1"/>
    <x v="2"/>
    <x v="1"/>
    <x v="6"/>
    <x v="0"/>
    <n v="1"/>
  </r>
  <r>
    <x v="1"/>
    <x v="2"/>
    <x v="1"/>
    <x v="7"/>
    <x v="0"/>
    <n v="1"/>
  </r>
  <r>
    <x v="1"/>
    <x v="2"/>
    <x v="1"/>
    <x v="8"/>
    <x v="0"/>
    <n v="1"/>
  </r>
  <r>
    <x v="1"/>
    <x v="2"/>
    <x v="1"/>
    <x v="9"/>
    <x v="0"/>
    <n v="1"/>
  </r>
  <r>
    <x v="1"/>
    <x v="3"/>
    <x v="1"/>
    <x v="10"/>
    <x v="0"/>
    <n v="1"/>
  </r>
  <r>
    <x v="1"/>
    <x v="3"/>
    <x v="1"/>
    <x v="0"/>
    <x v="0"/>
    <n v="1"/>
  </r>
  <r>
    <x v="1"/>
    <x v="3"/>
    <x v="1"/>
    <x v="11"/>
    <x v="0"/>
    <n v="1"/>
  </r>
  <r>
    <x v="1"/>
    <x v="4"/>
    <x v="1"/>
    <x v="12"/>
    <x v="0"/>
    <n v="1"/>
  </r>
  <r>
    <x v="1"/>
    <x v="4"/>
    <x v="1"/>
    <x v="13"/>
    <x v="0"/>
    <n v="1"/>
  </r>
  <r>
    <x v="1"/>
    <x v="4"/>
    <x v="1"/>
    <x v="14"/>
    <x v="0"/>
    <n v="1"/>
  </r>
  <r>
    <x v="1"/>
    <x v="4"/>
    <x v="1"/>
    <x v="15"/>
    <x v="0"/>
    <n v="1"/>
  </r>
  <r>
    <x v="1"/>
    <x v="4"/>
    <x v="1"/>
    <x v="16"/>
    <x v="0"/>
    <n v="1"/>
  </r>
  <r>
    <x v="1"/>
    <x v="4"/>
    <x v="1"/>
    <x v="17"/>
    <x v="0"/>
    <n v="1"/>
  </r>
  <r>
    <x v="1"/>
    <x v="4"/>
    <x v="1"/>
    <x v="18"/>
    <x v="0"/>
    <n v="1"/>
  </r>
  <r>
    <x v="1"/>
    <x v="4"/>
    <x v="1"/>
    <x v="19"/>
    <x v="0"/>
    <n v="1"/>
  </r>
  <r>
    <x v="2"/>
    <x v="5"/>
    <x v="1"/>
    <x v="11"/>
    <x v="0"/>
    <n v="1"/>
  </r>
  <r>
    <x v="3"/>
    <x v="5"/>
    <x v="1"/>
    <x v="7"/>
    <x v="0"/>
    <n v="1"/>
  </r>
  <r>
    <x v="3"/>
    <x v="5"/>
    <x v="1"/>
    <x v="2"/>
    <x v="0"/>
    <n v="1"/>
  </r>
  <r>
    <x v="3"/>
    <x v="5"/>
    <x v="1"/>
    <x v="3"/>
    <x v="0"/>
    <n v="1"/>
  </r>
  <r>
    <x v="3"/>
    <x v="5"/>
    <x v="1"/>
    <x v="0"/>
    <x v="0"/>
    <n v="1"/>
  </r>
  <r>
    <x v="3"/>
    <x v="5"/>
    <x v="1"/>
    <x v="11"/>
    <x v="0"/>
    <n v="1"/>
  </r>
  <r>
    <x v="3"/>
    <x v="6"/>
    <x v="1"/>
    <x v="9"/>
    <x v="0"/>
    <n v="1"/>
  </r>
  <r>
    <x v="3"/>
    <x v="6"/>
    <x v="1"/>
    <x v="8"/>
    <x v="0"/>
    <n v="1"/>
  </r>
  <r>
    <x v="3"/>
    <x v="6"/>
    <x v="1"/>
    <x v="5"/>
    <x v="0"/>
    <n v="1"/>
  </r>
  <r>
    <x v="3"/>
    <x v="7"/>
    <x v="1"/>
    <x v="12"/>
    <x v="0"/>
    <n v="1"/>
  </r>
  <r>
    <x v="3"/>
    <x v="7"/>
    <x v="1"/>
    <x v="13"/>
    <x v="0"/>
    <n v="1"/>
  </r>
  <r>
    <x v="3"/>
    <x v="7"/>
    <x v="1"/>
    <x v="6"/>
    <x v="0"/>
    <n v="1"/>
  </r>
  <r>
    <x v="3"/>
    <x v="7"/>
    <x v="1"/>
    <x v="15"/>
    <x v="0"/>
    <n v="1"/>
  </r>
  <r>
    <x v="3"/>
    <x v="7"/>
    <x v="1"/>
    <x v="18"/>
    <x v="0"/>
    <n v="1"/>
  </r>
  <r>
    <x v="3"/>
    <x v="7"/>
    <x v="1"/>
    <x v="16"/>
    <x v="0"/>
    <n v="1"/>
  </r>
  <r>
    <x v="3"/>
    <x v="7"/>
    <x v="1"/>
    <x v="20"/>
    <x v="0"/>
    <n v="1"/>
  </r>
  <r>
    <x v="3"/>
    <x v="7"/>
    <x v="1"/>
    <x v="17"/>
    <x v="0"/>
    <n v="1"/>
  </r>
  <r>
    <x v="4"/>
    <x v="5"/>
    <x v="1"/>
    <x v="12"/>
    <x v="0"/>
    <n v="1"/>
  </r>
  <r>
    <x v="4"/>
    <x v="5"/>
    <x v="1"/>
    <x v="12"/>
    <x v="0"/>
    <n v="1"/>
  </r>
  <r>
    <x v="5"/>
    <x v="8"/>
    <x v="1"/>
    <x v="21"/>
    <x v="0"/>
    <n v="1"/>
  </r>
  <r>
    <x v="5"/>
    <x v="9"/>
    <x v="1"/>
    <x v="14"/>
    <x v="0"/>
    <n v="1"/>
  </r>
  <r>
    <x v="5"/>
    <x v="8"/>
    <x v="1"/>
    <x v="7"/>
    <x v="0"/>
    <n v="1"/>
  </r>
  <r>
    <x v="5"/>
    <x v="8"/>
    <x v="1"/>
    <x v="22"/>
    <x v="0"/>
    <n v="1"/>
  </r>
  <r>
    <x v="5"/>
    <x v="8"/>
    <x v="1"/>
    <x v="23"/>
    <x v="0"/>
    <n v="1"/>
  </r>
  <r>
    <x v="5"/>
    <x v="10"/>
    <x v="1"/>
    <x v="5"/>
    <x v="0"/>
    <n v="1"/>
  </r>
  <r>
    <x v="5"/>
    <x v="11"/>
    <x v="1"/>
    <x v="3"/>
    <x v="0"/>
    <n v="1"/>
  </r>
  <r>
    <x v="5"/>
    <x v="11"/>
    <x v="1"/>
    <x v="2"/>
    <x v="0"/>
    <n v="1"/>
  </r>
  <r>
    <x v="5"/>
    <x v="12"/>
    <x v="1"/>
    <x v="9"/>
    <x v="0"/>
    <n v="1"/>
  </r>
  <r>
    <x v="5"/>
    <x v="13"/>
    <x v="1"/>
    <x v="12"/>
    <x v="0"/>
    <n v="1"/>
  </r>
  <r>
    <x v="5"/>
    <x v="13"/>
    <x v="1"/>
    <x v="19"/>
    <x v="0"/>
    <n v="1"/>
  </r>
  <r>
    <x v="5"/>
    <x v="13"/>
    <x v="1"/>
    <x v="16"/>
    <x v="0"/>
    <n v="1"/>
  </r>
  <r>
    <x v="5"/>
    <x v="13"/>
    <x v="1"/>
    <x v="13"/>
    <x v="0"/>
    <n v="1"/>
  </r>
  <r>
    <x v="5"/>
    <x v="13"/>
    <x v="1"/>
    <x v="17"/>
    <x v="0"/>
    <n v="1"/>
  </r>
  <r>
    <x v="5"/>
    <x v="13"/>
    <x v="1"/>
    <x v="14"/>
    <x v="0"/>
    <n v="1"/>
  </r>
  <r>
    <x v="5"/>
    <x v="10"/>
    <x v="1"/>
    <x v="18"/>
    <x v="0"/>
    <n v="1"/>
  </r>
  <r>
    <x v="5"/>
    <x v="10"/>
    <x v="1"/>
    <x v="24"/>
    <x v="0"/>
    <n v="1"/>
  </r>
  <r>
    <x v="5"/>
    <x v="14"/>
    <x v="1"/>
    <x v="0"/>
    <x v="0"/>
    <n v="1"/>
  </r>
  <r>
    <x v="5"/>
    <x v="14"/>
    <x v="1"/>
    <x v="8"/>
    <x v="0"/>
    <n v="1"/>
  </r>
  <r>
    <x v="5"/>
    <x v="14"/>
    <x v="1"/>
    <x v="11"/>
    <x v="0"/>
    <n v="1"/>
  </r>
  <r>
    <x v="6"/>
    <x v="5"/>
    <x v="1"/>
    <x v="0"/>
    <x v="0"/>
    <n v="1"/>
  </r>
  <r>
    <x v="6"/>
    <x v="5"/>
    <x v="1"/>
    <x v="4"/>
    <x v="0"/>
    <n v="1"/>
  </r>
  <r>
    <x v="6"/>
    <x v="15"/>
    <x v="1"/>
    <x v="19"/>
    <x v="0"/>
    <n v="1"/>
  </r>
  <r>
    <x v="6"/>
    <x v="15"/>
    <x v="1"/>
    <x v="14"/>
    <x v="0"/>
    <n v="1"/>
  </r>
  <r>
    <x v="6"/>
    <x v="16"/>
    <x v="1"/>
    <x v="24"/>
    <x v="0"/>
    <n v="1"/>
  </r>
  <r>
    <x v="7"/>
    <x v="5"/>
    <x v="1"/>
    <x v="9"/>
    <x v="0"/>
    <n v="1"/>
  </r>
  <r>
    <x v="7"/>
    <x v="6"/>
    <x v="1"/>
    <x v="25"/>
    <x v="0"/>
    <n v="1"/>
  </r>
  <r>
    <x v="8"/>
    <x v="5"/>
    <x v="1"/>
    <x v="7"/>
    <x v="0"/>
    <n v="1"/>
  </r>
  <r>
    <x v="8"/>
    <x v="6"/>
    <x v="1"/>
    <x v="9"/>
    <x v="0"/>
    <n v="1"/>
  </r>
  <r>
    <x v="8"/>
    <x v="6"/>
    <x v="1"/>
    <x v="16"/>
    <x v="0"/>
    <n v="1"/>
  </r>
  <r>
    <x v="8"/>
    <x v="7"/>
    <x v="1"/>
    <x v="15"/>
    <x v="0"/>
    <n v="1"/>
  </r>
  <r>
    <x v="9"/>
    <x v="17"/>
    <x v="2"/>
    <x v="9"/>
    <x v="0"/>
    <n v="2"/>
  </r>
  <r>
    <x v="8"/>
    <x v="18"/>
    <x v="1"/>
    <x v="18"/>
    <x v="0"/>
    <n v="1"/>
  </r>
  <r>
    <x v="10"/>
    <x v="7"/>
    <x v="1"/>
    <x v="8"/>
    <x v="0"/>
    <n v="1"/>
  </r>
  <r>
    <x v="10"/>
    <x v="7"/>
    <x v="1"/>
    <x v="5"/>
    <x v="0"/>
    <n v="1"/>
  </r>
  <r>
    <x v="0"/>
    <x v="0"/>
    <x v="1"/>
    <x v="0"/>
    <x v="0"/>
    <n v="1"/>
  </r>
  <r>
    <x v="11"/>
    <x v="6"/>
    <x v="1"/>
    <x v="1"/>
    <x v="0"/>
    <n v="1"/>
  </r>
  <r>
    <x v="12"/>
    <x v="5"/>
    <x v="1"/>
    <x v="0"/>
    <x v="0"/>
    <n v="1"/>
  </r>
  <r>
    <x v="13"/>
    <x v="5"/>
    <x v="1"/>
    <x v="18"/>
    <x v="0"/>
    <n v="1"/>
  </r>
  <r>
    <x v="13"/>
    <x v="5"/>
    <x v="1"/>
    <x v="12"/>
    <x v="0"/>
    <n v="1"/>
  </r>
  <r>
    <x v="13"/>
    <x v="5"/>
    <x v="2"/>
    <x v="12"/>
    <x v="0"/>
    <n v="2"/>
  </r>
  <r>
    <x v="13"/>
    <x v="5"/>
    <x v="2"/>
    <x v="18"/>
    <x v="0"/>
    <n v="2"/>
  </r>
  <r>
    <x v="1"/>
    <x v="19"/>
    <x v="2"/>
    <x v="1"/>
    <x v="0"/>
    <n v="2"/>
  </r>
  <r>
    <x v="1"/>
    <x v="19"/>
    <x v="2"/>
    <x v="2"/>
    <x v="0"/>
    <n v="2"/>
  </r>
  <r>
    <x v="1"/>
    <x v="19"/>
    <x v="2"/>
    <x v="3"/>
    <x v="0"/>
    <n v="2"/>
  </r>
  <r>
    <x v="1"/>
    <x v="20"/>
    <x v="2"/>
    <x v="4"/>
    <x v="0"/>
    <n v="2"/>
  </r>
  <r>
    <x v="1"/>
    <x v="21"/>
    <x v="2"/>
    <x v="7"/>
    <x v="0"/>
    <n v="2"/>
  </r>
  <r>
    <x v="1"/>
    <x v="21"/>
    <x v="2"/>
    <x v="8"/>
    <x v="0"/>
    <n v="2"/>
  </r>
  <r>
    <x v="1"/>
    <x v="21"/>
    <x v="2"/>
    <x v="6"/>
    <x v="0"/>
    <n v="2"/>
  </r>
  <r>
    <x v="1"/>
    <x v="3"/>
    <x v="2"/>
    <x v="0"/>
    <x v="0"/>
    <n v="2"/>
  </r>
  <r>
    <x v="1"/>
    <x v="22"/>
    <x v="2"/>
    <x v="11"/>
    <x v="0"/>
    <n v="2"/>
  </r>
  <r>
    <x v="1"/>
    <x v="23"/>
    <x v="2"/>
    <x v="13"/>
    <x v="0"/>
    <n v="2"/>
  </r>
  <r>
    <x v="1"/>
    <x v="23"/>
    <x v="2"/>
    <x v="16"/>
    <x v="0"/>
    <n v="2"/>
  </r>
  <r>
    <x v="1"/>
    <x v="24"/>
    <x v="2"/>
    <x v="19"/>
    <x v="0"/>
    <n v="2"/>
  </r>
  <r>
    <x v="1"/>
    <x v="25"/>
    <x v="2"/>
    <x v="12"/>
    <x v="0"/>
    <n v="2"/>
  </r>
  <r>
    <x v="1"/>
    <x v="25"/>
    <x v="2"/>
    <x v="18"/>
    <x v="0"/>
    <n v="2"/>
  </r>
  <r>
    <x v="1"/>
    <x v="25"/>
    <x v="2"/>
    <x v="15"/>
    <x v="0"/>
    <n v="2"/>
  </r>
  <r>
    <x v="1"/>
    <x v="26"/>
    <x v="2"/>
    <x v="14"/>
    <x v="0"/>
    <n v="2"/>
  </r>
  <r>
    <x v="1"/>
    <x v="27"/>
    <x v="2"/>
    <x v="17"/>
    <x v="0"/>
    <n v="2"/>
  </r>
  <r>
    <x v="1"/>
    <x v="28"/>
    <x v="2"/>
    <x v="5"/>
    <x v="0"/>
    <n v="2"/>
  </r>
  <r>
    <x v="1"/>
    <x v="29"/>
    <x v="2"/>
    <x v="9"/>
    <x v="0"/>
    <n v="2"/>
  </r>
  <r>
    <x v="1"/>
    <x v="30"/>
    <x v="2"/>
    <x v="22"/>
    <x v="0"/>
    <n v="2"/>
  </r>
  <r>
    <x v="14"/>
    <x v="5"/>
    <x v="2"/>
    <x v="0"/>
    <x v="0"/>
    <n v="2"/>
  </r>
  <r>
    <x v="14"/>
    <x v="5"/>
    <x v="2"/>
    <x v="0"/>
    <x v="0"/>
    <n v="2"/>
  </r>
  <r>
    <x v="15"/>
    <x v="31"/>
    <x v="2"/>
    <x v="21"/>
    <x v="0"/>
    <n v="2"/>
  </r>
  <r>
    <x v="15"/>
    <x v="31"/>
    <x v="2"/>
    <x v="14"/>
    <x v="0"/>
    <n v="2"/>
  </r>
  <r>
    <x v="15"/>
    <x v="31"/>
    <x v="2"/>
    <x v="7"/>
    <x v="0"/>
    <n v="2"/>
  </r>
  <r>
    <x v="15"/>
    <x v="31"/>
    <x v="2"/>
    <x v="22"/>
    <x v="0"/>
    <n v="2"/>
  </r>
  <r>
    <x v="15"/>
    <x v="31"/>
    <x v="2"/>
    <x v="23"/>
    <x v="0"/>
    <n v="2"/>
  </r>
  <r>
    <x v="15"/>
    <x v="31"/>
    <x v="2"/>
    <x v="5"/>
    <x v="0"/>
    <n v="2"/>
  </r>
  <r>
    <x v="15"/>
    <x v="31"/>
    <x v="2"/>
    <x v="2"/>
    <x v="0"/>
    <n v="2"/>
  </r>
  <r>
    <x v="15"/>
    <x v="31"/>
    <x v="2"/>
    <x v="3"/>
    <x v="0"/>
    <n v="2"/>
  </r>
  <r>
    <x v="4"/>
    <x v="5"/>
    <x v="2"/>
    <x v="12"/>
    <x v="0"/>
    <n v="2"/>
  </r>
  <r>
    <x v="4"/>
    <x v="5"/>
    <x v="2"/>
    <x v="12"/>
    <x v="0"/>
    <n v="2"/>
  </r>
  <r>
    <x v="16"/>
    <x v="14"/>
    <x v="2"/>
    <x v="9"/>
    <x v="0"/>
    <n v="2"/>
  </r>
  <r>
    <x v="16"/>
    <x v="14"/>
    <x v="2"/>
    <x v="8"/>
    <x v="0"/>
    <n v="2"/>
  </r>
  <r>
    <x v="6"/>
    <x v="5"/>
    <x v="2"/>
    <x v="2"/>
    <x v="0"/>
    <n v="2"/>
  </r>
  <r>
    <x v="6"/>
    <x v="5"/>
    <x v="2"/>
    <x v="3"/>
    <x v="0"/>
    <n v="2"/>
  </r>
  <r>
    <x v="6"/>
    <x v="5"/>
    <x v="2"/>
    <x v="0"/>
    <x v="0"/>
    <n v="2"/>
  </r>
  <r>
    <x v="6"/>
    <x v="5"/>
    <x v="2"/>
    <x v="4"/>
    <x v="0"/>
    <n v="2"/>
  </r>
  <r>
    <x v="6"/>
    <x v="5"/>
    <x v="2"/>
    <x v="3"/>
    <x v="0"/>
    <n v="2"/>
  </r>
  <r>
    <x v="6"/>
    <x v="5"/>
    <x v="2"/>
    <x v="2"/>
    <x v="0"/>
    <n v="2"/>
  </r>
  <r>
    <x v="6"/>
    <x v="5"/>
    <x v="2"/>
    <x v="0"/>
    <x v="0"/>
    <n v="2"/>
  </r>
  <r>
    <x v="6"/>
    <x v="5"/>
    <x v="2"/>
    <x v="4"/>
    <x v="0"/>
    <n v="2"/>
  </r>
  <r>
    <x v="17"/>
    <x v="32"/>
    <x v="2"/>
    <x v="0"/>
    <x v="0"/>
    <n v="2"/>
  </r>
  <r>
    <x v="17"/>
    <x v="33"/>
    <x v="2"/>
    <x v="22"/>
    <x v="0"/>
    <n v="2"/>
  </r>
  <r>
    <x v="17"/>
    <x v="34"/>
    <x v="2"/>
    <x v="16"/>
    <x v="0"/>
    <n v="2"/>
  </r>
  <r>
    <x v="17"/>
    <x v="35"/>
    <x v="2"/>
    <x v="19"/>
    <x v="0"/>
    <n v="2"/>
  </r>
  <r>
    <x v="17"/>
    <x v="36"/>
    <x v="2"/>
    <x v="17"/>
    <x v="0"/>
    <n v="2"/>
  </r>
  <r>
    <x v="17"/>
    <x v="37"/>
    <x v="2"/>
    <x v="13"/>
    <x v="0"/>
    <n v="2"/>
  </r>
  <r>
    <x v="17"/>
    <x v="38"/>
    <x v="2"/>
    <x v="12"/>
    <x v="0"/>
    <n v="2"/>
  </r>
  <r>
    <x v="17"/>
    <x v="39"/>
    <x v="2"/>
    <x v="5"/>
    <x v="0"/>
    <n v="2"/>
  </r>
  <r>
    <x v="17"/>
    <x v="40"/>
    <x v="2"/>
    <x v="18"/>
    <x v="0"/>
    <n v="2"/>
  </r>
  <r>
    <x v="17"/>
    <x v="41"/>
    <x v="2"/>
    <x v="24"/>
    <x v="0"/>
    <n v="2"/>
  </r>
  <r>
    <x v="17"/>
    <x v="39"/>
    <x v="2"/>
    <x v="14"/>
    <x v="0"/>
    <n v="2"/>
  </r>
  <r>
    <x v="18"/>
    <x v="32"/>
    <x v="2"/>
    <x v="0"/>
    <x v="0"/>
    <n v="2"/>
  </r>
  <r>
    <x v="18"/>
    <x v="38"/>
    <x v="2"/>
    <x v="22"/>
    <x v="0"/>
    <n v="2"/>
  </r>
  <r>
    <x v="18"/>
    <x v="40"/>
    <x v="2"/>
    <x v="16"/>
    <x v="0"/>
    <n v="2"/>
  </r>
  <r>
    <x v="18"/>
    <x v="41"/>
    <x v="2"/>
    <x v="19"/>
    <x v="0"/>
    <n v="2"/>
  </r>
  <r>
    <x v="18"/>
    <x v="42"/>
    <x v="2"/>
    <x v="17"/>
    <x v="0"/>
    <n v="2"/>
  </r>
  <r>
    <x v="18"/>
    <x v="41"/>
    <x v="2"/>
    <x v="13"/>
    <x v="0"/>
    <n v="2"/>
  </r>
  <r>
    <x v="18"/>
    <x v="43"/>
    <x v="2"/>
    <x v="12"/>
    <x v="0"/>
    <n v="2"/>
  </r>
  <r>
    <x v="18"/>
    <x v="44"/>
    <x v="2"/>
    <x v="5"/>
    <x v="0"/>
    <n v="2"/>
  </r>
  <r>
    <x v="18"/>
    <x v="44"/>
    <x v="2"/>
    <x v="14"/>
    <x v="0"/>
    <n v="2"/>
  </r>
  <r>
    <x v="18"/>
    <x v="42"/>
    <x v="2"/>
    <x v="18"/>
    <x v="0"/>
    <n v="2"/>
  </r>
  <r>
    <x v="18"/>
    <x v="43"/>
    <x v="2"/>
    <x v="24"/>
    <x v="0"/>
    <n v="2"/>
  </r>
  <r>
    <x v="19"/>
    <x v="45"/>
    <x v="2"/>
    <x v="18"/>
    <x v="0"/>
    <n v="2"/>
  </r>
  <r>
    <x v="19"/>
    <x v="45"/>
    <x v="2"/>
    <x v="9"/>
    <x v="0"/>
    <n v="2"/>
  </r>
  <r>
    <x v="7"/>
    <x v="5"/>
    <x v="2"/>
    <x v="9"/>
    <x v="0"/>
    <n v="2"/>
  </r>
  <r>
    <x v="10"/>
    <x v="6"/>
    <x v="2"/>
    <x v="8"/>
    <x v="0"/>
    <n v="2"/>
  </r>
  <r>
    <x v="10"/>
    <x v="6"/>
    <x v="2"/>
    <x v="5"/>
    <x v="0"/>
    <n v="2"/>
  </r>
  <r>
    <x v="11"/>
    <x v="6"/>
    <x v="2"/>
    <x v="1"/>
    <x v="0"/>
    <n v="2"/>
  </r>
  <r>
    <x v="11"/>
    <x v="6"/>
    <x v="2"/>
    <x v="1"/>
    <x v="0"/>
    <n v="2"/>
  </r>
  <r>
    <x v="12"/>
    <x v="6"/>
    <x v="2"/>
    <x v="0"/>
    <x v="0"/>
    <n v="2"/>
  </r>
  <r>
    <x v="20"/>
    <x v="46"/>
    <x v="3"/>
    <x v="5"/>
    <x v="0"/>
    <n v="3"/>
  </r>
  <r>
    <x v="20"/>
    <x v="6"/>
    <x v="3"/>
    <x v="1"/>
    <x v="0"/>
    <n v="3"/>
  </r>
  <r>
    <x v="20"/>
    <x v="6"/>
    <x v="3"/>
    <x v="7"/>
    <x v="0"/>
    <n v="3"/>
  </r>
  <r>
    <x v="20"/>
    <x v="6"/>
    <x v="3"/>
    <x v="3"/>
    <x v="0"/>
    <n v="3"/>
  </r>
  <r>
    <x v="20"/>
    <x v="6"/>
    <x v="3"/>
    <x v="2"/>
    <x v="0"/>
    <n v="3"/>
  </r>
  <r>
    <x v="20"/>
    <x v="7"/>
    <x v="3"/>
    <x v="23"/>
    <x v="0"/>
    <n v="3"/>
  </r>
  <r>
    <x v="20"/>
    <x v="2"/>
    <x v="3"/>
    <x v="0"/>
    <x v="0"/>
    <n v="3"/>
  </r>
  <r>
    <x v="20"/>
    <x v="2"/>
    <x v="3"/>
    <x v="8"/>
    <x v="0"/>
    <n v="3"/>
  </r>
  <r>
    <x v="20"/>
    <x v="2"/>
    <x v="3"/>
    <x v="11"/>
    <x v="0"/>
    <n v="3"/>
  </r>
  <r>
    <x v="20"/>
    <x v="3"/>
    <x v="3"/>
    <x v="9"/>
    <x v="0"/>
    <n v="3"/>
  </r>
  <r>
    <x v="20"/>
    <x v="3"/>
    <x v="3"/>
    <x v="16"/>
    <x v="0"/>
    <n v="3"/>
  </r>
  <r>
    <x v="20"/>
    <x v="46"/>
    <x v="3"/>
    <x v="18"/>
    <x v="0"/>
    <n v="3"/>
  </r>
  <r>
    <x v="20"/>
    <x v="46"/>
    <x v="3"/>
    <x v="14"/>
    <x v="0"/>
    <n v="3"/>
  </r>
  <r>
    <x v="20"/>
    <x v="46"/>
    <x v="3"/>
    <x v="15"/>
    <x v="0"/>
    <n v="3"/>
  </r>
  <r>
    <x v="20"/>
    <x v="46"/>
    <x v="3"/>
    <x v="26"/>
    <x v="0"/>
    <n v="3"/>
  </r>
  <r>
    <x v="20"/>
    <x v="46"/>
    <x v="3"/>
    <x v="12"/>
    <x v="0"/>
    <n v="3"/>
  </r>
  <r>
    <x v="20"/>
    <x v="46"/>
    <x v="3"/>
    <x v="13"/>
    <x v="0"/>
    <n v="3"/>
  </r>
  <r>
    <x v="20"/>
    <x v="46"/>
    <x v="3"/>
    <x v="6"/>
    <x v="0"/>
    <n v="3"/>
  </r>
  <r>
    <x v="20"/>
    <x v="46"/>
    <x v="3"/>
    <x v="17"/>
    <x v="0"/>
    <n v="3"/>
  </r>
  <r>
    <x v="20"/>
    <x v="46"/>
    <x v="3"/>
    <x v="19"/>
    <x v="0"/>
    <n v="3"/>
  </r>
  <r>
    <x v="20"/>
    <x v="46"/>
    <x v="3"/>
    <x v="27"/>
    <x v="0"/>
    <n v="3"/>
  </r>
  <r>
    <x v="20"/>
    <x v="46"/>
    <x v="3"/>
    <x v="18"/>
    <x v="0"/>
    <n v="3"/>
  </r>
  <r>
    <x v="14"/>
    <x v="5"/>
    <x v="4"/>
    <x v="28"/>
    <x v="1"/>
    <m/>
  </r>
  <r>
    <x v="9"/>
    <x v="47"/>
    <x v="2"/>
    <x v="18"/>
    <x v="0"/>
    <n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4">
  <r>
    <x v="0"/>
    <x v="0"/>
    <x v="0"/>
    <x v="0"/>
    <x v="0"/>
    <n v="4"/>
  </r>
  <r>
    <x v="1"/>
    <x v="1"/>
    <x v="1"/>
    <x v="1"/>
    <x v="0"/>
    <n v="1"/>
  </r>
  <r>
    <x v="1"/>
    <x v="1"/>
    <x v="1"/>
    <x v="2"/>
    <x v="0"/>
    <n v="1"/>
  </r>
  <r>
    <x v="1"/>
    <x v="1"/>
    <x v="1"/>
    <x v="3"/>
    <x v="0"/>
    <n v="1"/>
  </r>
  <r>
    <x v="1"/>
    <x v="1"/>
    <x v="1"/>
    <x v="4"/>
    <x v="0"/>
    <n v="1"/>
  </r>
  <r>
    <x v="1"/>
    <x v="1"/>
    <x v="1"/>
    <x v="5"/>
    <x v="0"/>
    <n v="1"/>
  </r>
  <r>
    <x v="1"/>
    <x v="2"/>
    <x v="1"/>
    <x v="6"/>
    <x v="0"/>
    <n v="1"/>
  </r>
  <r>
    <x v="1"/>
    <x v="2"/>
    <x v="1"/>
    <x v="7"/>
    <x v="0"/>
    <n v="1"/>
  </r>
  <r>
    <x v="1"/>
    <x v="2"/>
    <x v="1"/>
    <x v="8"/>
    <x v="0"/>
    <n v="1"/>
  </r>
  <r>
    <x v="1"/>
    <x v="2"/>
    <x v="1"/>
    <x v="9"/>
    <x v="0"/>
    <n v="1"/>
  </r>
  <r>
    <x v="1"/>
    <x v="3"/>
    <x v="1"/>
    <x v="10"/>
    <x v="0"/>
    <n v="1"/>
  </r>
  <r>
    <x v="1"/>
    <x v="3"/>
    <x v="1"/>
    <x v="0"/>
    <x v="0"/>
    <n v="1"/>
  </r>
  <r>
    <x v="1"/>
    <x v="3"/>
    <x v="1"/>
    <x v="11"/>
    <x v="0"/>
    <n v="1"/>
  </r>
  <r>
    <x v="1"/>
    <x v="4"/>
    <x v="1"/>
    <x v="12"/>
    <x v="0"/>
    <n v="1"/>
  </r>
  <r>
    <x v="1"/>
    <x v="4"/>
    <x v="1"/>
    <x v="13"/>
    <x v="0"/>
    <n v="1"/>
  </r>
  <r>
    <x v="1"/>
    <x v="4"/>
    <x v="1"/>
    <x v="14"/>
    <x v="0"/>
    <n v="1"/>
  </r>
  <r>
    <x v="1"/>
    <x v="4"/>
    <x v="1"/>
    <x v="15"/>
    <x v="0"/>
    <n v="1"/>
  </r>
  <r>
    <x v="1"/>
    <x v="4"/>
    <x v="1"/>
    <x v="16"/>
    <x v="0"/>
    <n v="1"/>
  </r>
  <r>
    <x v="1"/>
    <x v="4"/>
    <x v="1"/>
    <x v="17"/>
    <x v="0"/>
    <n v="1"/>
  </r>
  <r>
    <x v="1"/>
    <x v="4"/>
    <x v="1"/>
    <x v="18"/>
    <x v="0"/>
    <n v="1"/>
  </r>
  <r>
    <x v="1"/>
    <x v="4"/>
    <x v="1"/>
    <x v="19"/>
    <x v="0"/>
    <n v="1"/>
  </r>
  <r>
    <x v="2"/>
    <x v="5"/>
    <x v="1"/>
    <x v="11"/>
    <x v="0"/>
    <n v="1"/>
  </r>
  <r>
    <x v="3"/>
    <x v="5"/>
    <x v="1"/>
    <x v="7"/>
    <x v="0"/>
    <n v="1"/>
  </r>
  <r>
    <x v="3"/>
    <x v="5"/>
    <x v="1"/>
    <x v="2"/>
    <x v="0"/>
    <n v="1"/>
  </r>
  <r>
    <x v="3"/>
    <x v="5"/>
    <x v="1"/>
    <x v="3"/>
    <x v="0"/>
    <n v="1"/>
  </r>
  <r>
    <x v="3"/>
    <x v="5"/>
    <x v="1"/>
    <x v="0"/>
    <x v="0"/>
    <n v="1"/>
  </r>
  <r>
    <x v="3"/>
    <x v="5"/>
    <x v="1"/>
    <x v="11"/>
    <x v="0"/>
    <n v="1"/>
  </r>
  <r>
    <x v="3"/>
    <x v="6"/>
    <x v="1"/>
    <x v="9"/>
    <x v="0"/>
    <n v="1"/>
  </r>
  <r>
    <x v="3"/>
    <x v="6"/>
    <x v="1"/>
    <x v="8"/>
    <x v="0"/>
    <n v="1"/>
  </r>
  <r>
    <x v="3"/>
    <x v="6"/>
    <x v="1"/>
    <x v="5"/>
    <x v="0"/>
    <n v="1"/>
  </r>
  <r>
    <x v="3"/>
    <x v="7"/>
    <x v="1"/>
    <x v="12"/>
    <x v="0"/>
    <n v="1"/>
  </r>
  <r>
    <x v="3"/>
    <x v="7"/>
    <x v="1"/>
    <x v="13"/>
    <x v="0"/>
    <n v="1"/>
  </r>
  <r>
    <x v="3"/>
    <x v="7"/>
    <x v="1"/>
    <x v="6"/>
    <x v="0"/>
    <n v="1"/>
  </r>
  <r>
    <x v="3"/>
    <x v="7"/>
    <x v="1"/>
    <x v="15"/>
    <x v="0"/>
    <n v="1"/>
  </r>
  <r>
    <x v="3"/>
    <x v="7"/>
    <x v="1"/>
    <x v="18"/>
    <x v="0"/>
    <n v="1"/>
  </r>
  <r>
    <x v="3"/>
    <x v="7"/>
    <x v="1"/>
    <x v="16"/>
    <x v="0"/>
    <n v="1"/>
  </r>
  <r>
    <x v="3"/>
    <x v="7"/>
    <x v="1"/>
    <x v="20"/>
    <x v="0"/>
    <n v="1"/>
  </r>
  <r>
    <x v="3"/>
    <x v="7"/>
    <x v="1"/>
    <x v="17"/>
    <x v="0"/>
    <n v="1"/>
  </r>
  <r>
    <x v="4"/>
    <x v="5"/>
    <x v="1"/>
    <x v="12"/>
    <x v="0"/>
    <n v="1"/>
  </r>
  <r>
    <x v="4"/>
    <x v="5"/>
    <x v="1"/>
    <x v="12"/>
    <x v="0"/>
    <n v="1"/>
  </r>
  <r>
    <x v="5"/>
    <x v="8"/>
    <x v="1"/>
    <x v="21"/>
    <x v="0"/>
    <n v="1"/>
  </r>
  <r>
    <x v="5"/>
    <x v="9"/>
    <x v="1"/>
    <x v="14"/>
    <x v="0"/>
    <n v="1"/>
  </r>
  <r>
    <x v="5"/>
    <x v="8"/>
    <x v="1"/>
    <x v="7"/>
    <x v="0"/>
    <n v="1"/>
  </r>
  <r>
    <x v="5"/>
    <x v="8"/>
    <x v="1"/>
    <x v="22"/>
    <x v="0"/>
    <n v="1"/>
  </r>
  <r>
    <x v="5"/>
    <x v="8"/>
    <x v="1"/>
    <x v="23"/>
    <x v="0"/>
    <n v="1"/>
  </r>
  <r>
    <x v="5"/>
    <x v="10"/>
    <x v="1"/>
    <x v="5"/>
    <x v="0"/>
    <n v="1"/>
  </r>
  <r>
    <x v="5"/>
    <x v="11"/>
    <x v="1"/>
    <x v="3"/>
    <x v="0"/>
    <n v="1"/>
  </r>
  <r>
    <x v="5"/>
    <x v="11"/>
    <x v="1"/>
    <x v="2"/>
    <x v="0"/>
    <n v="1"/>
  </r>
  <r>
    <x v="5"/>
    <x v="12"/>
    <x v="1"/>
    <x v="9"/>
    <x v="0"/>
    <n v="1"/>
  </r>
  <r>
    <x v="5"/>
    <x v="13"/>
    <x v="1"/>
    <x v="12"/>
    <x v="0"/>
    <n v="1"/>
  </r>
  <r>
    <x v="5"/>
    <x v="13"/>
    <x v="1"/>
    <x v="19"/>
    <x v="0"/>
    <n v="1"/>
  </r>
  <r>
    <x v="5"/>
    <x v="13"/>
    <x v="1"/>
    <x v="16"/>
    <x v="0"/>
    <n v="1"/>
  </r>
  <r>
    <x v="5"/>
    <x v="13"/>
    <x v="1"/>
    <x v="13"/>
    <x v="0"/>
    <n v="1"/>
  </r>
  <r>
    <x v="5"/>
    <x v="13"/>
    <x v="1"/>
    <x v="17"/>
    <x v="0"/>
    <n v="1"/>
  </r>
  <r>
    <x v="5"/>
    <x v="13"/>
    <x v="1"/>
    <x v="14"/>
    <x v="0"/>
    <n v="1"/>
  </r>
  <r>
    <x v="5"/>
    <x v="10"/>
    <x v="1"/>
    <x v="18"/>
    <x v="0"/>
    <n v="1"/>
  </r>
  <r>
    <x v="5"/>
    <x v="10"/>
    <x v="1"/>
    <x v="24"/>
    <x v="0"/>
    <n v="1"/>
  </r>
  <r>
    <x v="5"/>
    <x v="14"/>
    <x v="1"/>
    <x v="0"/>
    <x v="0"/>
    <n v="1"/>
  </r>
  <r>
    <x v="5"/>
    <x v="14"/>
    <x v="1"/>
    <x v="8"/>
    <x v="0"/>
    <n v="1"/>
  </r>
  <r>
    <x v="5"/>
    <x v="14"/>
    <x v="1"/>
    <x v="11"/>
    <x v="0"/>
    <n v="1"/>
  </r>
  <r>
    <x v="6"/>
    <x v="5"/>
    <x v="1"/>
    <x v="0"/>
    <x v="0"/>
    <n v="1"/>
  </r>
  <r>
    <x v="6"/>
    <x v="5"/>
    <x v="1"/>
    <x v="4"/>
    <x v="0"/>
    <n v="1"/>
  </r>
  <r>
    <x v="6"/>
    <x v="15"/>
    <x v="1"/>
    <x v="19"/>
    <x v="0"/>
    <n v="1"/>
  </r>
  <r>
    <x v="6"/>
    <x v="15"/>
    <x v="1"/>
    <x v="14"/>
    <x v="0"/>
    <n v="1"/>
  </r>
  <r>
    <x v="6"/>
    <x v="16"/>
    <x v="1"/>
    <x v="24"/>
    <x v="0"/>
    <n v="1"/>
  </r>
  <r>
    <x v="7"/>
    <x v="5"/>
    <x v="1"/>
    <x v="9"/>
    <x v="0"/>
    <n v="1"/>
  </r>
  <r>
    <x v="7"/>
    <x v="6"/>
    <x v="1"/>
    <x v="25"/>
    <x v="0"/>
    <n v="1"/>
  </r>
  <r>
    <x v="8"/>
    <x v="5"/>
    <x v="1"/>
    <x v="7"/>
    <x v="0"/>
    <n v="1"/>
  </r>
  <r>
    <x v="8"/>
    <x v="6"/>
    <x v="1"/>
    <x v="9"/>
    <x v="0"/>
    <n v="1"/>
  </r>
  <r>
    <x v="8"/>
    <x v="6"/>
    <x v="1"/>
    <x v="16"/>
    <x v="0"/>
    <n v="1"/>
  </r>
  <r>
    <x v="8"/>
    <x v="7"/>
    <x v="1"/>
    <x v="15"/>
    <x v="0"/>
    <n v="1"/>
  </r>
  <r>
    <x v="9"/>
    <x v="17"/>
    <x v="2"/>
    <x v="9"/>
    <x v="0"/>
    <n v="2"/>
  </r>
  <r>
    <x v="8"/>
    <x v="18"/>
    <x v="1"/>
    <x v="18"/>
    <x v="0"/>
    <n v="1"/>
  </r>
  <r>
    <x v="10"/>
    <x v="7"/>
    <x v="1"/>
    <x v="8"/>
    <x v="0"/>
    <n v="1"/>
  </r>
  <r>
    <x v="10"/>
    <x v="7"/>
    <x v="1"/>
    <x v="5"/>
    <x v="0"/>
    <n v="1"/>
  </r>
  <r>
    <x v="0"/>
    <x v="0"/>
    <x v="1"/>
    <x v="0"/>
    <x v="0"/>
    <n v="1"/>
  </r>
  <r>
    <x v="11"/>
    <x v="6"/>
    <x v="1"/>
    <x v="1"/>
    <x v="0"/>
    <n v="1"/>
  </r>
  <r>
    <x v="12"/>
    <x v="5"/>
    <x v="1"/>
    <x v="0"/>
    <x v="0"/>
    <n v="1"/>
  </r>
  <r>
    <x v="13"/>
    <x v="5"/>
    <x v="1"/>
    <x v="18"/>
    <x v="0"/>
    <n v="1"/>
  </r>
  <r>
    <x v="13"/>
    <x v="5"/>
    <x v="1"/>
    <x v="12"/>
    <x v="0"/>
    <n v="1"/>
  </r>
  <r>
    <x v="13"/>
    <x v="5"/>
    <x v="2"/>
    <x v="12"/>
    <x v="0"/>
    <n v="2"/>
  </r>
  <r>
    <x v="13"/>
    <x v="5"/>
    <x v="2"/>
    <x v="18"/>
    <x v="0"/>
    <n v="2"/>
  </r>
  <r>
    <x v="1"/>
    <x v="19"/>
    <x v="2"/>
    <x v="1"/>
    <x v="0"/>
    <n v="2"/>
  </r>
  <r>
    <x v="1"/>
    <x v="19"/>
    <x v="2"/>
    <x v="2"/>
    <x v="0"/>
    <n v="2"/>
  </r>
  <r>
    <x v="1"/>
    <x v="19"/>
    <x v="2"/>
    <x v="3"/>
    <x v="0"/>
    <n v="2"/>
  </r>
  <r>
    <x v="1"/>
    <x v="20"/>
    <x v="2"/>
    <x v="4"/>
    <x v="0"/>
    <n v="2"/>
  </r>
  <r>
    <x v="1"/>
    <x v="21"/>
    <x v="2"/>
    <x v="7"/>
    <x v="0"/>
    <n v="2"/>
  </r>
  <r>
    <x v="1"/>
    <x v="21"/>
    <x v="2"/>
    <x v="8"/>
    <x v="0"/>
    <n v="2"/>
  </r>
  <r>
    <x v="1"/>
    <x v="21"/>
    <x v="2"/>
    <x v="6"/>
    <x v="0"/>
    <n v="2"/>
  </r>
  <r>
    <x v="1"/>
    <x v="3"/>
    <x v="2"/>
    <x v="0"/>
    <x v="0"/>
    <n v="2"/>
  </r>
  <r>
    <x v="1"/>
    <x v="22"/>
    <x v="2"/>
    <x v="11"/>
    <x v="0"/>
    <n v="2"/>
  </r>
  <r>
    <x v="1"/>
    <x v="23"/>
    <x v="2"/>
    <x v="13"/>
    <x v="0"/>
    <n v="2"/>
  </r>
  <r>
    <x v="1"/>
    <x v="23"/>
    <x v="2"/>
    <x v="16"/>
    <x v="0"/>
    <n v="2"/>
  </r>
  <r>
    <x v="1"/>
    <x v="24"/>
    <x v="2"/>
    <x v="19"/>
    <x v="0"/>
    <n v="2"/>
  </r>
  <r>
    <x v="1"/>
    <x v="25"/>
    <x v="2"/>
    <x v="12"/>
    <x v="0"/>
    <n v="2"/>
  </r>
  <r>
    <x v="1"/>
    <x v="25"/>
    <x v="2"/>
    <x v="18"/>
    <x v="0"/>
    <n v="2"/>
  </r>
  <r>
    <x v="1"/>
    <x v="25"/>
    <x v="2"/>
    <x v="15"/>
    <x v="0"/>
    <n v="2"/>
  </r>
  <r>
    <x v="1"/>
    <x v="26"/>
    <x v="2"/>
    <x v="14"/>
    <x v="0"/>
    <n v="2"/>
  </r>
  <r>
    <x v="1"/>
    <x v="27"/>
    <x v="2"/>
    <x v="17"/>
    <x v="0"/>
    <n v="2"/>
  </r>
  <r>
    <x v="1"/>
    <x v="28"/>
    <x v="2"/>
    <x v="5"/>
    <x v="0"/>
    <n v="2"/>
  </r>
  <r>
    <x v="1"/>
    <x v="29"/>
    <x v="2"/>
    <x v="9"/>
    <x v="0"/>
    <n v="2"/>
  </r>
  <r>
    <x v="1"/>
    <x v="30"/>
    <x v="2"/>
    <x v="22"/>
    <x v="0"/>
    <n v="2"/>
  </r>
  <r>
    <x v="14"/>
    <x v="5"/>
    <x v="2"/>
    <x v="0"/>
    <x v="0"/>
    <n v="2"/>
  </r>
  <r>
    <x v="14"/>
    <x v="5"/>
    <x v="2"/>
    <x v="0"/>
    <x v="0"/>
    <n v="2"/>
  </r>
  <r>
    <x v="15"/>
    <x v="31"/>
    <x v="2"/>
    <x v="21"/>
    <x v="0"/>
    <n v="2"/>
  </r>
  <r>
    <x v="15"/>
    <x v="31"/>
    <x v="2"/>
    <x v="14"/>
    <x v="0"/>
    <n v="2"/>
  </r>
  <r>
    <x v="15"/>
    <x v="31"/>
    <x v="2"/>
    <x v="7"/>
    <x v="0"/>
    <n v="2"/>
  </r>
  <r>
    <x v="15"/>
    <x v="31"/>
    <x v="2"/>
    <x v="22"/>
    <x v="0"/>
    <n v="2"/>
  </r>
  <r>
    <x v="15"/>
    <x v="31"/>
    <x v="2"/>
    <x v="23"/>
    <x v="0"/>
    <n v="2"/>
  </r>
  <r>
    <x v="15"/>
    <x v="31"/>
    <x v="2"/>
    <x v="5"/>
    <x v="0"/>
    <n v="2"/>
  </r>
  <r>
    <x v="15"/>
    <x v="31"/>
    <x v="2"/>
    <x v="2"/>
    <x v="0"/>
    <n v="2"/>
  </r>
  <r>
    <x v="15"/>
    <x v="31"/>
    <x v="2"/>
    <x v="3"/>
    <x v="0"/>
    <n v="2"/>
  </r>
  <r>
    <x v="4"/>
    <x v="5"/>
    <x v="2"/>
    <x v="12"/>
    <x v="0"/>
    <n v="2"/>
  </r>
  <r>
    <x v="4"/>
    <x v="5"/>
    <x v="2"/>
    <x v="12"/>
    <x v="0"/>
    <n v="2"/>
  </r>
  <r>
    <x v="16"/>
    <x v="14"/>
    <x v="2"/>
    <x v="9"/>
    <x v="0"/>
    <n v="2"/>
  </r>
  <r>
    <x v="16"/>
    <x v="14"/>
    <x v="2"/>
    <x v="8"/>
    <x v="0"/>
    <n v="2"/>
  </r>
  <r>
    <x v="6"/>
    <x v="5"/>
    <x v="2"/>
    <x v="2"/>
    <x v="0"/>
    <n v="2"/>
  </r>
  <r>
    <x v="6"/>
    <x v="5"/>
    <x v="2"/>
    <x v="3"/>
    <x v="0"/>
    <n v="2"/>
  </r>
  <r>
    <x v="6"/>
    <x v="5"/>
    <x v="2"/>
    <x v="0"/>
    <x v="0"/>
    <n v="2"/>
  </r>
  <r>
    <x v="6"/>
    <x v="5"/>
    <x v="2"/>
    <x v="4"/>
    <x v="0"/>
    <n v="2"/>
  </r>
  <r>
    <x v="6"/>
    <x v="5"/>
    <x v="2"/>
    <x v="3"/>
    <x v="0"/>
    <n v="2"/>
  </r>
  <r>
    <x v="6"/>
    <x v="5"/>
    <x v="2"/>
    <x v="2"/>
    <x v="0"/>
    <n v="2"/>
  </r>
  <r>
    <x v="6"/>
    <x v="5"/>
    <x v="2"/>
    <x v="0"/>
    <x v="0"/>
    <n v="2"/>
  </r>
  <r>
    <x v="6"/>
    <x v="5"/>
    <x v="2"/>
    <x v="4"/>
    <x v="0"/>
    <n v="2"/>
  </r>
  <r>
    <x v="17"/>
    <x v="32"/>
    <x v="2"/>
    <x v="0"/>
    <x v="0"/>
    <n v="2"/>
  </r>
  <r>
    <x v="17"/>
    <x v="33"/>
    <x v="2"/>
    <x v="22"/>
    <x v="0"/>
    <n v="2"/>
  </r>
  <r>
    <x v="17"/>
    <x v="34"/>
    <x v="2"/>
    <x v="16"/>
    <x v="0"/>
    <n v="2"/>
  </r>
  <r>
    <x v="17"/>
    <x v="35"/>
    <x v="2"/>
    <x v="19"/>
    <x v="0"/>
    <n v="2"/>
  </r>
  <r>
    <x v="17"/>
    <x v="36"/>
    <x v="2"/>
    <x v="17"/>
    <x v="0"/>
    <n v="2"/>
  </r>
  <r>
    <x v="17"/>
    <x v="37"/>
    <x v="2"/>
    <x v="13"/>
    <x v="0"/>
    <n v="2"/>
  </r>
  <r>
    <x v="17"/>
    <x v="38"/>
    <x v="2"/>
    <x v="12"/>
    <x v="0"/>
    <n v="2"/>
  </r>
  <r>
    <x v="17"/>
    <x v="39"/>
    <x v="2"/>
    <x v="5"/>
    <x v="0"/>
    <n v="2"/>
  </r>
  <r>
    <x v="17"/>
    <x v="40"/>
    <x v="2"/>
    <x v="18"/>
    <x v="0"/>
    <n v="2"/>
  </r>
  <r>
    <x v="17"/>
    <x v="41"/>
    <x v="2"/>
    <x v="24"/>
    <x v="0"/>
    <n v="2"/>
  </r>
  <r>
    <x v="17"/>
    <x v="39"/>
    <x v="2"/>
    <x v="14"/>
    <x v="0"/>
    <n v="2"/>
  </r>
  <r>
    <x v="18"/>
    <x v="32"/>
    <x v="2"/>
    <x v="0"/>
    <x v="0"/>
    <n v="2"/>
  </r>
  <r>
    <x v="18"/>
    <x v="38"/>
    <x v="2"/>
    <x v="22"/>
    <x v="0"/>
    <n v="2"/>
  </r>
  <r>
    <x v="18"/>
    <x v="40"/>
    <x v="2"/>
    <x v="16"/>
    <x v="0"/>
    <n v="2"/>
  </r>
  <r>
    <x v="18"/>
    <x v="41"/>
    <x v="2"/>
    <x v="19"/>
    <x v="0"/>
    <n v="2"/>
  </r>
  <r>
    <x v="18"/>
    <x v="42"/>
    <x v="2"/>
    <x v="17"/>
    <x v="0"/>
    <n v="2"/>
  </r>
  <r>
    <x v="18"/>
    <x v="41"/>
    <x v="2"/>
    <x v="13"/>
    <x v="0"/>
    <n v="2"/>
  </r>
  <r>
    <x v="18"/>
    <x v="43"/>
    <x v="2"/>
    <x v="12"/>
    <x v="0"/>
    <n v="2"/>
  </r>
  <r>
    <x v="18"/>
    <x v="44"/>
    <x v="2"/>
    <x v="5"/>
    <x v="0"/>
    <n v="2"/>
  </r>
  <r>
    <x v="18"/>
    <x v="44"/>
    <x v="2"/>
    <x v="14"/>
    <x v="0"/>
    <n v="2"/>
  </r>
  <r>
    <x v="18"/>
    <x v="42"/>
    <x v="2"/>
    <x v="18"/>
    <x v="0"/>
    <n v="2"/>
  </r>
  <r>
    <x v="18"/>
    <x v="43"/>
    <x v="2"/>
    <x v="24"/>
    <x v="0"/>
    <n v="2"/>
  </r>
  <r>
    <x v="19"/>
    <x v="45"/>
    <x v="2"/>
    <x v="18"/>
    <x v="0"/>
    <n v="2"/>
  </r>
  <r>
    <x v="19"/>
    <x v="45"/>
    <x v="2"/>
    <x v="9"/>
    <x v="0"/>
    <n v="2"/>
  </r>
  <r>
    <x v="7"/>
    <x v="5"/>
    <x v="2"/>
    <x v="9"/>
    <x v="0"/>
    <n v="2"/>
  </r>
  <r>
    <x v="10"/>
    <x v="6"/>
    <x v="2"/>
    <x v="8"/>
    <x v="0"/>
    <n v="2"/>
  </r>
  <r>
    <x v="10"/>
    <x v="6"/>
    <x v="2"/>
    <x v="5"/>
    <x v="0"/>
    <n v="2"/>
  </r>
  <r>
    <x v="11"/>
    <x v="6"/>
    <x v="2"/>
    <x v="1"/>
    <x v="0"/>
    <n v="2"/>
  </r>
  <r>
    <x v="11"/>
    <x v="6"/>
    <x v="2"/>
    <x v="1"/>
    <x v="0"/>
    <n v="2"/>
  </r>
  <r>
    <x v="12"/>
    <x v="6"/>
    <x v="2"/>
    <x v="0"/>
    <x v="0"/>
    <n v="2"/>
  </r>
  <r>
    <x v="20"/>
    <x v="46"/>
    <x v="3"/>
    <x v="5"/>
    <x v="0"/>
    <n v="3"/>
  </r>
  <r>
    <x v="20"/>
    <x v="6"/>
    <x v="3"/>
    <x v="1"/>
    <x v="0"/>
    <n v="3"/>
  </r>
  <r>
    <x v="20"/>
    <x v="6"/>
    <x v="3"/>
    <x v="7"/>
    <x v="0"/>
    <n v="3"/>
  </r>
  <r>
    <x v="20"/>
    <x v="6"/>
    <x v="3"/>
    <x v="3"/>
    <x v="0"/>
    <n v="3"/>
  </r>
  <r>
    <x v="20"/>
    <x v="6"/>
    <x v="3"/>
    <x v="2"/>
    <x v="0"/>
    <n v="3"/>
  </r>
  <r>
    <x v="20"/>
    <x v="7"/>
    <x v="3"/>
    <x v="23"/>
    <x v="0"/>
    <n v="3"/>
  </r>
  <r>
    <x v="20"/>
    <x v="2"/>
    <x v="3"/>
    <x v="0"/>
    <x v="0"/>
    <n v="3"/>
  </r>
  <r>
    <x v="20"/>
    <x v="2"/>
    <x v="3"/>
    <x v="8"/>
    <x v="0"/>
    <n v="3"/>
  </r>
  <r>
    <x v="20"/>
    <x v="2"/>
    <x v="3"/>
    <x v="11"/>
    <x v="0"/>
    <n v="3"/>
  </r>
  <r>
    <x v="20"/>
    <x v="3"/>
    <x v="3"/>
    <x v="9"/>
    <x v="0"/>
    <n v="3"/>
  </r>
  <r>
    <x v="20"/>
    <x v="3"/>
    <x v="3"/>
    <x v="16"/>
    <x v="0"/>
    <n v="3"/>
  </r>
  <r>
    <x v="20"/>
    <x v="46"/>
    <x v="3"/>
    <x v="18"/>
    <x v="0"/>
    <n v="3"/>
  </r>
  <r>
    <x v="20"/>
    <x v="46"/>
    <x v="3"/>
    <x v="14"/>
    <x v="0"/>
    <n v="3"/>
  </r>
  <r>
    <x v="20"/>
    <x v="46"/>
    <x v="3"/>
    <x v="15"/>
    <x v="0"/>
    <n v="3"/>
  </r>
  <r>
    <x v="20"/>
    <x v="46"/>
    <x v="3"/>
    <x v="26"/>
    <x v="0"/>
    <n v="3"/>
  </r>
  <r>
    <x v="20"/>
    <x v="46"/>
    <x v="3"/>
    <x v="12"/>
    <x v="0"/>
    <n v="3"/>
  </r>
  <r>
    <x v="20"/>
    <x v="46"/>
    <x v="3"/>
    <x v="13"/>
    <x v="0"/>
    <n v="3"/>
  </r>
  <r>
    <x v="20"/>
    <x v="46"/>
    <x v="3"/>
    <x v="6"/>
    <x v="0"/>
    <n v="3"/>
  </r>
  <r>
    <x v="20"/>
    <x v="46"/>
    <x v="3"/>
    <x v="17"/>
    <x v="0"/>
    <n v="3"/>
  </r>
  <r>
    <x v="20"/>
    <x v="46"/>
    <x v="3"/>
    <x v="19"/>
    <x v="0"/>
    <n v="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867">
  <r>
    <d v="2014-01-02T00:00:00"/>
    <m/>
    <n v="1"/>
    <s v="2014-Jan"/>
    <s v="False"/>
    <s v="LQA-UAT"/>
    <x v="0"/>
    <m/>
    <s v="RE"/>
    <s v="DBS"/>
    <x v="0"/>
    <s v="REDBS_SLT_1.0.1.16.1.7b1"/>
    <s v="CMTeam"/>
    <s v="Shiv Mangal"/>
    <s v="\\192.168.3.3\Share\Releases\Projects\SLT\Release_For_IT\Test_Build_1.0.0.4\Server CD\DBS\Setup"/>
    <m/>
    <s v="\\192.168.3.3\Share\Releases\Projects\SLT\Release_For_LQA\Test_Build_1.0.0.16\Server CD\DBS\Setup"/>
    <s v="Pass"/>
    <s v="Readme Re-Released"/>
    <m/>
    <m/>
    <m/>
    <s v="Ravi Gautam"/>
    <x v="0"/>
    <s v=""/>
    <x v="0"/>
    <x v="0"/>
  </r>
  <r>
    <d v="2014-01-02T00:00:00"/>
    <d v="2014-01-02T00:00:00"/>
    <n v="1"/>
    <s v="2014-Jan"/>
    <n v="1"/>
    <s v="LQA-FAT"/>
    <x v="0"/>
    <m/>
    <s v="MPE"/>
    <s v="MPE"/>
    <x v="0"/>
    <s v="MPE_SLT-1B_3.0.1.1.1.38b1"/>
    <s v="CMTeam"/>
    <s v="Asha Nandan"/>
    <m/>
    <m/>
    <s v="\\192.168.3.3\Share\Releases\Projects\SLT-1B\Release_For_Test\Test_Build_1.0.0.1\Server CD\MPE\Setup"/>
    <s v="Pass"/>
    <s v="Readme Re-Released"/>
    <m/>
    <m/>
    <m/>
    <s v="K.V. Krishnan"/>
    <x v="0"/>
    <s v=""/>
    <x v="0"/>
    <x v="0"/>
  </r>
  <r>
    <d v="2014-01-03T00:00:00"/>
    <d v="2014-01-03T00:00:00"/>
    <n v="1"/>
    <s v="2014-Jan"/>
    <n v="1"/>
    <s v="IT-LQA"/>
    <x v="1"/>
    <m/>
    <s v="DM"/>
    <s v="DBS"/>
    <x v="0"/>
    <s v="DMDBS_2.0.0.19b1"/>
    <s v="CMTeam"/>
    <s v="Dinesh Kumar Yadav"/>
    <s v="\\192.168.3.3\Share\Releases\Product\DataMind_2.0\Build&amp;Release\Release for IT\TestBuild_2.0.0\Server CD\DBS\Setup"/>
    <m/>
    <s v="\\192.168.3.3\Share\Releases\Product\DataMind_2.0\Build&amp;Release\Release for LQA\TestBuild_2.0.0\Server CD\DBS\Setup"/>
    <m/>
    <m/>
    <m/>
    <m/>
    <m/>
    <m/>
    <x v="1"/>
    <s v=""/>
    <x v="0"/>
    <x v="0"/>
  </r>
  <r>
    <d v="2014-01-03T00:00:00"/>
    <d v="2014-01-03T00:00:00"/>
    <n v="1"/>
    <s v="2014-Jan"/>
    <n v="1"/>
    <s v="IT-LQA-UAT"/>
    <x v="2"/>
    <m/>
    <s v="RM"/>
    <s v="GUI"/>
    <x v="1"/>
    <s v="RMGUI_SHAW_2.0.22"/>
    <s v="CMTeam"/>
    <s v="Aditya Garg"/>
    <s v="\\192.168.3.3\Share\Releases\Projects\SHAW\Release_For_IT\Test_Build_1.0.0.26\Client CD\RM\Setup"/>
    <m/>
    <s v="\\192.168.3.3\Share\Releases\Projects\SHAW\Release_For_LQA\Test_Build_1.0.0.28\Client CD\RM\Setup "/>
    <s v="Pass"/>
    <m/>
    <m/>
    <m/>
    <m/>
    <s v="parul rajput"/>
    <x v="0"/>
    <s v=""/>
    <x v="0"/>
    <x v="0"/>
  </r>
  <r>
    <d v="2014-01-03T00:00:00"/>
    <d v="2014-01-03T00:00:00"/>
    <n v="1"/>
    <s v="2014-Jan"/>
    <n v="1"/>
    <s v="IT-LQA"/>
    <x v="0"/>
    <m/>
    <s v="RA"/>
    <s v="DBS"/>
    <x v="0"/>
    <s v="RADBS_SLT_2.0.0.23.1.50b3"/>
    <s v="CMTeam"/>
    <s v="Rohit Kanwar"/>
    <s v="\\192.168.3.3\Share\Releases\Projects\SLT\Release_For_IT\Test_Build_1.0.0.4\Server CD\DBS\Setup"/>
    <m/>
    <s v="\\192.168.3.3\Share\Releases\Projects\SLT\Release_For_LQA\Test_Build_1.0.0.15\Server CD\DBS\Setup"/>
    <s v="Pass"/>
    <m/>
    <m/>
    <m/>
    <m/>
    <m/>
    <x v="0"/>
    <s v=""/>
    <x v="0"/>
    <x v="0"/>
  </r>
  <r>
    <d v="2014-01-03T00:00:00"/>
    <m/>
    <n v="1"/>
    <s v="2014-Jan"/>
    <s v="False"/>
    <s v="IT"/>
    <x v="3"/>
    <m/>
    <s v="NM"/>
    <s v="DBS"/>
    <x v="0"/>
    <s v="NMDBS_OBT_4.6.1.13.1.12b1"/>
    <s v="CMTeam"/>
    <s v="Puneet Gupta"/>
    <s v="\\192.168.3.3\Share\Releases\Projects\OBT\Release_For_IT\TestBuild_1.0.0.2\Server CD\DBS\Setup"/>
    <s v="Obsolete-IT"/>
    <m/>
    <m/>
    <m/>
    <m/>
    <m/>
    <m/>
    <m/>
    <x v="2"/>
    <d v="2014-01-03T00:00:00"/>
    <x v="1"/>
    <x v="1"/>
  </r>
  <r>
    <d v="2014-01-03T00:00:00"/>
    <d v="2014-01-10T00:00:00"/>
    <n v="1"/>
    <s v="2014-Jan"/>
    <n v="1"/>
    <s v="IT-LQA-UAT"/>
    <x v="3"/>
    <m/>
    <s v="NM"/>
    <s v="DBS"/>
    <x v="0"/>
    <s v="NMDBS_OBT_4.6.1.13.1.13b1"/>
    <s v="CMTeam"/>
    <s v="Puneet Gupta"/>
    <s v="\\192.168.3.3\Share\Releases\Projects\OBT\Release_For_IT\TestBuild_1.0.0.2\Server CD\DBS\Setup"/>
    <m/>
    <s v="\\192.168.3.3\Share\Releases\Projects\OBT\Release_For_LQA\TestBuild_1.0.0.3\Server CD\DBS\Setup"/>
    <s v="Pass"/>
    <m/>
    <m/>
    <m/>
    <m/>
    <s v="Swapnil Garg"/>
    <x v="0"/>
    <s v=""/>
    <x v="0"/>
    <x v="0"/>
  </r>
  <r>
    <d v="2014-01-03T00:00:00"/>
    <m/>
    <n v="1"/>
    <s v="2014-Jan"/>
    <s v="False"/>
    <s v="IT"/>
    <x v="3"/>
    <m/>
    <s v="NM"/>
    <s v="DBS"/>
    <x v="0"/>
    <s v="NMDBS_OBT_4.6.1.13.1.14b1"/>
    <s v="CMTeam"/>
    <s v="Puneet Gupta"/>
    <s v="\\192.168.3.3\Share\Releases\Projects\OBT\Release_For_IT\TestBuild_1.0.0.2\Server CD\DBS\Setup"/>
    <s v="Obsolete-IT"/>
    <m/>
    <m/>
    <m/>
    <m/>
    <m/>
    <m/>
    <m/>
    <x v="2"/>
    <d v="2014-01-03T00:00:00"/>
    <x v="1"/>
    <x v="1"/>
  </r>
  <r>
    <d v="2014-01-03T00:00:00"/>
    <m/>
    <n v="1"/>
    <s v="2014-Jan"/>
    <s v="False"/>
    <s v="IT"/>
    <x v="3"/>
    <m/>
    <s v="NM"/>
    <s v="DBS"/>
    <x v="0"/>
    <s v="NMDBS_OBT_4.6.1.13.1.15b1"/>
    <s v="CMTeam"/>
    <s v="Puneet Gupta"/>
    <s v="\\192.168.3.3\Share\Releases\Projects\OBT\Release_For_IT\TestBuild_1.0.0.2\Server CD\DBS\Setup"/>
    <s v="Obsolete-IT"/>
    <m/>
    <m/>
    <m/>
    <m/>
    <m/>
    <m/>
    <m/>
    <x v="2"/>
    <d v="2014-01-03T00:00:00"/>
    <x v="1"/>
    <x v="1"/>
  </r>
  <r>
    <d v="2014-01-03T00:00:00"/>
    <m/>
    <n v="1"/>
    <s v="2014-Jan"/>
    <s v="False"/>
    <s v="IT"/>
    <x v="3"/>
    <m/>
    <s v="NM"/>
    <s v="DBS"/>
    <x v="0"/>
    <s v="NMDBS_OBT_4.6.1.13.1.16b1"/>
    <s v="CMTeam"/>
    <s v="Puneet Gupta"/>
    <s v="\\192.168.3.3\Share\Releases\Projects\OBT\Release_For_IT\TestBuild_1.0.0.2\Server CD\DBS\Setup"/>
    <s v="Obsolete-IT"/>
    <m/>
    <m/>
    <m/>
    <m/>
    <m/>
    <m/>
    <m/>
    <x v="2"/>
    <d v="2014-01-03T00:00:00"/>
    <x v="1"/>
    <x v="1"/>
  </r>
  <r>
    <d v="2014-01-04T00:00:00"/>
    <d v="2014-01-04T00:00:00"/>
    <n v="1"/>
    <s v="2014-Jan"/>
    <n v="1"/>
    <s v="IT-LQA-AT"/>
    <x v="4"/>
    <m/>
    <s v="NM"/>
    <s v="DBS"/>
    <x v="0"/>
    <s v="NMDBS_TLSTR_4.0.1.0.4.279b1"/>
    <s v="CMTeam"/>
    <s v="Anshul Kumar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Abhijeet Chaterjee"/>
    <x v="0"/>
    <s v=""/>
    <x v="0"/>
    <x v="0"/>
  </r>
  <r>
    <d v="2014-01-05T00:00:00"/>
    <d v="2014-01-05T00:00:00"/>
    <n v="1"/>
    <s v="2014-Jan"/>
    <n v="1"/>
    <s v="IT-LQA-UAT"/>
    <x v="5"/>
    <m/>
    <s v="NM"/>
    <s v="DBS"/>
    <x v="0"/>
    <s v="NMDBS_BHN_3.5.1.52.1"/>
    <s v="Sachin Srivastva"/>
    <s v="Sachin Srivastva"/>
    <s v="\\192.168.3.3\Share\Projects\Neustar\BHN\Build&amp;Release\Release For IT\Test_Build_3.5.37\Server CD\Database\Setup"/>
    <m/>
    <s v="\\192.168.3.3\Share\Projects\Neustar\BHN\Build&amp;Release\Release For Test\Test_Build_3.5.37\Server CD\Database\Setup"/>
    <s v="Pass"/>
    <m/>
    <m/>
    <m/>
    <m/>
    <s v="Rudra Narayan"/>
    <x v="0"/>
    <s v=""/>
    <x v="0"/>
    <x v="0"/>
  </r>
  <r>
    <d v="2014-01-06T00:00:00"/>
    <d v="2014-01-09T00:00:00"/>
    <n v="1"/>
    <s v="2014-Jan"/>
    <n v="1"/>
    <s v="IT-LQA-UAT"/>
    <x v="1"/>
    <m/>
    <s v="NM"/>
    <s v="DBS"/>
    <x v="0"/>
    <s v="NMDBS_4.6.1.14b1"/>
    <s v="CMTeam"/>
    <s v="Virender Kumar"/>
    <s v="\\192.168.3.3\Share\Releases\Product\Netmind_4.6\Build&amp;Release\ReleaseForIT\TestBuild_4.6.1\Build4\ServerCD\DBS\Setup"/>
    <m/>
    <s v="\\192.168.3.3\Share\Releases\Product\Netmind_4.6\Build&amp;Release\ReleaseForTest\TestBuild_4.6.1\Build4\ServerCD\DBS\Setup"/>
    <s v="Pass"/>
    <m/>
    <m/>
    <m/>
    <m/>
    <s v="Swapnil Garg"/>
    <x v="0"/>
    <s v=""/>
    <x v="0"/>
    <x v="0"/>
  </r>
  <r>
    <d v="2014-01-06T00:00:00"/>
    <d v="2014-01-07T00:00:00"/>
    <n v="1"/>
    <s v="2014-Jan"/>
    <n v="1"/>
    <s v="IT-LQA-AT"/>
    <x v="4"/>
    <m/>
    <s v="NM"/>
    <s v="DBS"/>
    <x v="0"/>
    <s v="NMDBS_TLSTR_4.0.1.0.4.280b1"/>
    <s v="CMTeam"/>
    <s v="Deepak Yadav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Abhijeet Chaterjee"/>
    <x v="0"/>
    <s v=""/>
    <x v="0"/>
    <x v="0"/>
  </r>
  <r>
    <d v="2014-01-07T00:00:00"/>
    <d v="2014-01-07T00:00:00"/>
    <n v="1"/>
    <s v="2014-Jan"/>
    <n v="1"/>
    <s v="LQA-FAT"/>
    <x v="0"/>
    <m/>
    <s v="MPE"/>
    <s v="MPE"/>
    <x v="0"/>
    <s v="MPE_SLT-1B_3.0.1.1.1.39b1"/>
    <s v="CMTeam"/>
    <s v="Ajay Awasthi"/>
    <m/>
    <m/>
    <s v="\\192.168.3.3\Share\Releases\Projects\SLT-1B\Release_For_Test\Test_Build_1.0.0.1\Server CD\MPE\Setup"/>
    <s v="Pass"/>
    <m/>
    <m/>
    <m/>
    <m/>
    <s v="Dinesh Kumar Yadav"/>
    <x v="0"/>
    <s v=""/>
    <x v="0"/>
    <x v="0"/>
  </r>
  <r>
    <d v="2014-01-07T00:00:00"/>
    <d v="2014-01-07T00:00:00"/>
    <n v="1"/>
    <s v="2014-Jan"/>
    <n v="1"/>
    <s v="LQA"/>
    <x v="4"/>
    <m/>
    <s v="MPE"/>
    <s v="MPE"/>
    <x v="0"/>
    <s v="MPE_TLSTR-2b_3.0.0.3.1.81b1"/>
    <s v="CMTeam"/>
    <s v="Sandeep Aggarwal"/>
    <m/>
    <s v="Obsolete-LQA"/>
    <s v="\\192.168.3.3\Share\Releases\Projects\Telstra-2b\Release_For_Test\Test_Build_1.0.0.1\Server CD\MPE\Setup"/>
    <m/>
    <m/>
    <m/>
    <m/>
    <m/>
    <m/>
    <x v="2"/>
    <d v="2014-01-07T00:00:00"/>
    <x v="2"/>
    <x v="1"/>
  </r>
  <r>
    <d v="2014-01-07T00:00:00"/>
    <d v="2014-01-07T00:00:00"/>
    <n v="1"/>
    <s v="2014-Jan"/>
    <n v="1"/>
    <s v="LQA"/>
    <x v="0"/>
    <m/>
    <s v="MPE"/>
    <s v="MPE"/>
    <x v="0"/>
    <s v="MPE_SLT-1B_3.0.1.1.1.40b1"/>
    <s v="CMTeam"/>
    <s v="Ajay Awasthi"/>
    <m/>
    <m/>
    <s v="\\192.168.3.3\Share\Releases\Projects\SLT-1B\Release_For_Test\Test_Build_1.0.0.1\Server CD\MPE\Setup"/>
    <s v="Pass"/>
    <m/>
    <m/>
    <m/>
    <m/>
    <m/>
    <x v="0"/>
    <s v=""/>
    <x v="0"/>
    <x v="0"/>
  </r>
  <r>
    <d v="2014-01-07T00:00:00"/>
    <d v="2014-01-07T00:00:00"/>
    <n v="1"/>
    <s v="2014-Jan"/>
    <n v="1"/>
    <s v="LQA"/>
    <x v="1"/>
    <m/>
    <s v="MPE"/>
    <s v="MPE"/>
    <x v="0"/>
    <s v="MPE_3.2.4.26b1"/>
    <s v="CMTeam"/>
    <s v="Piyush Gupta"/>
    <m/>
    <m/>
    <s v="\\192.168.3.3\Share\Releases\Product\MPE_GUI\ReleaseForLQA\TestBuild_1.0.0.2\Server CD\MPE\Setup"/>
    <m/>
    <m/>
    <m/>
    <m/>
    <m/>
    <m/>
    <x v="1"/>
    <s v=""/>
    <x v="0"/>
    <x v="0"/>
  </r>
  <r>
    <d v="2014-01-07T00:00:00"/>
    <d v="2014-01-07T00:00:00"/>
    <n v="1"/>
    <s v="2014-Jan"/>
    <n v="1"/>
    <s v="LQA"/>
    <x v="1"/>
    <m/>
    <s v="IM"/>
    <s v="IM"/>
    <x v="1"/>
    <s v="IM_1.0.1b2"/>
    <s v="CMTeam"/>
    <s v="Deepak Dhiman"/>
    <m/>
    <m/>
    <s v="\\192.168.3.3\Share\Releases\Product\IM_1.0\Build&amp;Release\Release_For_LQA\Test_Build_1.0.1\Server CD\IM\Setup"/>
    <m/>
    <s v="Readme Re-Released"/>
    <m/>
    <m/>
    <m/>
    <m/>
    <x v="1"/>
    <s v=""/>
    <x v="0"/>
    <x v="0"/>
  </r>
  <r>
    <d v="2014-01-07T00:00:00"/>
    <d v="2014-01-07T00:00:00"/>
    <n v="1"/>
    <s v="2014-Jan"/>
    <n v="1"/>
    <s v="LQA-UAT"/>
    <x v="6"/>
    <m/>
    <s v="MPE"/>
    <s v="MPE"/>
    <x v="0"/>
    <s v="MPE_ANTEL_3.2.4.26.1.12b1"/>
    <s v="CMTeam"/>
    <s v="Harish Singh"/>
    <m/>
    <m/>
    <s v="\\192.168.3.3\Share\Releases\Projects\ANTEL\Release_For_Test\Test_Build_1.0.0.6\Server CD\MPE\Setup"/>
    <s v="Pass"/>
    <m/>
    <m/>
    <m/>
    <m/>
    <s v="Hemant Kumar Sharma"/>
    <x v="0"/>
    <s v=""/>
    <x v="0"/>
    <x v="0"/>
  </r>
  <r>
    <d v="2014-01-07T00:00:00"/>
    <d v="2014-01-07T00:00:00"/>
    <n v="1"/>
    <s v="2014-Jan"/>
    <n v="1"/>
    <s v="LQA-UAT"/>
    <x v="1"/>
    <m/>
    <s v="MPE"/>
    <s v="MPE"/>
    <x v="0"/>
    <s v="MPE_3.2.4.26b1"/>
    <s v="CMTeam"/>
    <s v="Puneet Gupta"/>
    <m/>
    <m/>
    <s v="\\192.168.3.3\Share\Releases\Product\MPE_GUI\ReleaseForLQA\TestBuild_1.0.0.2\Server CD\MPE\Setup"/>
    <s v="Pass"/>
    <m/>
    <m/>
    <m/>
    <m/>
    <s v="Hemant Kumar Sharma"/>
    <x v="3"/>
    <s v=""/>
    <x v="0"/>
    <x v="0"/>
  </r>
  <r>
    <d v="2014-01-07T00:00:00"/>
    <d v="2014-01-07T00:00:00"/>
    <n v="1"/>
    <s v="2014-Jan"/>
    <n v="1"/>
    <s v="IT-LQA-UAT"/>
    <x v="5"/>
    <m/>
    <s v="NM"/>
    <s v="DBS"/>
    <x v="0"/>
    <s v="NMDBS_BHN_3.5.1.52.2"/>
    <s v="Sachin Srivastva"/>
    <s v="Sachin Srivastva"/>
    <s v="\\192.168.3.3\Share\Projects\Neustar\BHN\Build&amp;Release\Release For IT\Test_Build_3.5.37\Server CD\Database\Setup"/>
    <m/>
    <s v="\\192.168.3.3\Share\Projects\Neustar\BHN\Build&amp;Release\Release For Test\Test_Build_3.5.37\Server CD\Database\Setup"/>
    <s v="Pass"/>
    <m/>
    <m/>
    <m/>
    <m/>
    <s v="Rudra Narayan"/>
    <x v="0"/>
    <s v=""/>
    <x v="0"/>
    <x v="0"/>
  </r>
  <r>
    <d v="2014-01-08T00:00:00"/>
    <d v="2014-01-08T00:00:00"/>
    <n v="1"/>
    <s v="2014-Jan"/>
    <n v="1"/>
    <s v="LQA-FAT"/>
    <x v="0"/>
    <m/>
    <s v="MPE"/>
    <s v="MPE"/>
    <x v="0"/>
    <s v="MPE_SLT-1B_3.0.1.1.1.41b1"/>
    <s v="CMTeam"/>
    <s v="Ajay Awasthi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1-08T00:00:00"/>
    <d v="2014-01-08T00:00:00"/>
    <n v="1"/>
    <s v="2014-Jan"/>
    <n v="1"/>
    <s v="LQA"/>
    <x v="4"/>
    <m/>
    <s v="IM"/>
    <s v="IM"/>
    <x v="1"/>
    <s v=" IM_TLSTR_1.0.1.0.70"/>
    <s v="CMTeam"/>
    <s v="Deeoak Dhiman"/>
    <m/>
    <m/>
    <s v="\\192.168.3.3\share\Releases\Projects\Telstra\Release_For_LQA\Test_Build_1.0.0.18\Server CD\IM\Setup"/>
    <m/>
    <m/>
    <m/>
    <m/>
    <m/>
    <m/>
    <x v="1"/>
    <s v=""/>
    <x v="0"/>
    <x v="0"/>
  </r>
  <r>
    <d v="2014-01-08T00:00:00"/>
    <d v="2014-01-08T00:00:00"/>
    <n v="1"/>
    <s v="2014-Jan"/>
    <n v="1"/>
    <s v="IT-LQA-AT"/>
    <x v="4"/>
    <m/>
    <s v="NM"/>
    <s v="DBS"/>
    <x v="0"/>
    <s v="NMDBS_TLSTR_4.0.1.0.4.281b1"/>
    <s v="CMTeam"/>
    <s v="Deepak Yadav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Abhijeet Chaterjee"/>
    <x v="0"/>
    <s v=""/>
    <x v="0"/>
    <x v="0"/>
  </r>
  <r>
    <d v="2014-01-08T00:00:00"/>
    <d v="2014-01-08T00:00:00"/>
    <n v="1"/>
    <s v="2014-Jan"/>
    <n v="1"/>
    <s v="LQA-FAT"/>
    <x v="0"/>
    <m/>
    <s v="MPE"/>
    <s v="MPE"/>
    <x v="0"/>
    <s v="MPE_SLT-1B_3.0.1.1.1.42b1"/>
    <s v="CMTeam"/>
    <s v="Ajay Awasthi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1-08T00:00:00"/>
    <d v="2014-01-08T00:00:00"/>
    <n v="1"/>
    <s v="2014-Jan"/>
    <n v="1"/>
    <s v="LQA"/>
    <x v="3"/>
    <m/>
    <s v="RT"/>
    <s v="GUI"/>
    <x v="0"/>
    <s v="RTGUI_OBT_4.0.10.0.2.1b1"/>
    <s v="CMTeam"/>
    <s v="Ajay Sharma"/>
    <m/>
    <m/>
    <s v="\\192.168.3.3\share\Releases\Projects\OBT\Release_For_LQA\TestBuild_1.0.0.3\Server CD\GUI\Setup"/>
    <m/>
    <m/>
    <m/>
    <m/>
    <m/>
    <m/>
    <x v="1"/>
    <s v=""/>
    <x v="0"/>
    <x v="0"/>
  </r>
  <r>
    <d v="2014-01-08T00:00:00"/>
    <d v="2014-01-09T00:00:00"/>
    <n v="1"/>
    <s v="2014-Jan"/>
    <n v="1"/>
    <s v="IT-LQA"/>
    <x v="0"/>
    <m/>
    <s v="RA"/>
    <s v="DBS"/>
    <x v="0"/>
    <s v="RADBS_SLT_2.0.0.23.1.51b1"/>
    <s v="CMTeam"/>
    <s v="Deepinder Singh"/>
    <s v="\\192.168.3.3\Share\Releases\Projects\SLT\Release_For_IT\Test_Build_1.0.0.4\Server CD\DBS\Setup"/>
    <s v="Obsolete-LQA"/>
    <s v="\\192.168.3.3\Share\Releases\Projects\SLT\Release_For_LQA\Test_Build_1.0.0.16\Server CD\DBS\Setup"/>
    <m/>
    <m/>
    <m/>
    <m/>
    <m/>
    <m/>
    <x v="2"/>
    <d v="2014-01-09T00:00:00"/>
    <x v="2"/>
    <x v="1"/>
  </r>
  <r>
    <d v="2014-01-08T00:00:00"/>
    <d v="2014-01-09T00:00:00"/>
    <n v="1"/>
    <s v="2014-Jan"/>
    <n v="1"/>
    <s v="IT-LQA"/>
    <x v="0"/>
    <m/>
    <s v="DM"/>
    <s v="DBS"/>
    <x v="0"/>
    <s v="DMDBS_SLT_2.0.0.18.1.87b1"/>
    <s v="CMTeam"/>
    <s v="Deepinder Singh"/>
    <s v="\\192.168.3.3\Share\Releases\Projects\SLT\Release_For_IT\Test_Build_1.0.0.4\Server CD\DBS\Setup"/>
    <s v="Obsolete-LQA"/>
    <s v="\\192.168.3.3\Share\Releases\Projects\SLT\Release_For_LQA\Test_Build_1.0.0.16\Server CD\DBS\Setup"/>
    <m/>
    <m/>
    <m/>
    <m/>
    <m/>
    <m/>
    <x v="2"/>
    <d v="2014-01-09T00:00:00"/>
    <x v="2"/>
    <x v="1"/>
  </r>
  <r>
    <d v="2014-01-08T00:00:00"/>
    <d v="2014-01-08T00:00:00"/>
    <n v="1"/>
    <s v="2014-Jan"/>
    <n v="1"/>
    <s v="LQA-UAT"/>
    <x v="1"/>
    <m/>
    <s v="WWFS"/>
    <s v="GUI"/>
    <x v="0"/>
    <s v="WWFSGUI_2.0.4.8b6 -"/>
    <s v="CMTeam"/>
    <s v="Abdul Khalik"/>
    <m/>
    <m/>
    <s v="\\192.168.3.3\Share\Releases\Product\WEB_WFS\Build&amp;Release\Release For Test\TestBuild_2.0.4\Build4\ServerCD\GUI\Setup"/>
    <s v="Pass"/>
    <m/>
    <m/>
    <m/>
    <m/>
    <s v="Abhijeet Chaterjee"/>
    <x v="0"/>
    <s v=""/>
    <x v="0"/>
    <x v="0"/>
  </r>
  <r>
    <d v="2014-01-09T00:00:00"/>
    <d v="2014-01-09T00:00:00"/>
    <n v="1"/>
    <s v="2014-Jan"/>
    <n v="1"/>
    <s v="LQA"/>
    <x v="7"/>
    <m/>
    <s v="NM"/>
    <s v="MPE"/>
    <x v="0"/>
    <s v="NMMPE_VON_2.0.2.17.1"/>
    <s v="CMTeam"/>
    <s v="Anshul Kumar"/>
    <m/>
    <m/>
    <s v="\\192.168.3.3\Share\Releases\Projects\Vonage\Release_For_LQA\Test_Build_4.0.16\Server CD\MPE\Setup"/>
    <m/>
    <s v="Readme Re-Released"/>
    <m/>
    <m/>
    <m/>
    <m/>
    <x v="1"/>
    <s v=""/>
    <x v="0"/>
    <x v="0"/>
  </r>
  <r>
    <d v="2014-01-09T00:00:00"/>
    <d v="2014-01-09T00:00:00"/>
    <n v="1"/>
    <s v="2014-Jan"/>
    <n v="1"/>
    <s v="LQA-AT"/>
    <x v="4"/>
    <m/>
    <s v="MPE"/>
    <s v="MPE"/>
    <x v="0"/>
    <s v="MPE_TLSTR-2b_3.0.0.3.1.82b1"/>
    <s v="CMTeam"/>
    <s v="Sandeep Aggarwal"/>
    <m/>
    <m/>
    <s v="\\192.168.3.3\Share\Releases\Projects\Telstra-2b\Release_For_Test\Test_Build_1.0.0.1\Server CD\MPE\Setup"/>
    <s v="Pass"/>
    <m/>
    <m/>
    <m/>
    <m/>
    <s v="Abhijeet Chaterjee"/>
    <x v="0"/>
    <s v=""/>
    <x v="0"/>
    <x v="0"/>
  </r>
  <r>
    <d v="2014-01-09T00:00:00"/>
    <d v="2014-01-09T00:00:00"/>
    <n v="1"/>
    <s v="2014-Jan"/>
    <n v="1"/>
    <s v="IT-LQA-UAT"/>
    <x v="8"/>
    <m/>
    <s v="NP"/>
    <s v="DBS"/>
    <x v="0"/>
    <s v="NPDBS_TWC_1.2.1.0.1.19b1"/>
    <s v="CMTeam"/>
    <s v="Sudip Ghosh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Sumit Gomber"/>
    <x v="0"/>
    <s v=""/>
    <x v="0"/>
    <x v="0"/>
  </r>
  <r>
    <d v="2014-01-09T00:00:00"/>
    <d v="2014-01-09T00:00:00"/>
    <n v="1"/>
    <s v="2014-Jan"/>
    <n v="1"/>
    <s v="IT-LQA-UAT"/>
    <x v="0"/>
    <m/>
    <s v="DM"/>
    <s v="DBS"/>
    <x v="0"/>
    <s v="DMDBS_SLT_2.0.0.18.1.88b1"/>
    <s v="CMTeam"/>
    <s v="Deepinder Singh"/>
    <s v="\\192.168.3.3\Share\Releases\Projects\SLT\Release_For_IT\Test_Build_1.0.0.4\Server CD\DBS\Setup"/>
    <m/>
    <s v="\\192.168.3.3\Share\Releases\Projects\SLT\Release_For_LQA\Test_Build_1.0.0.16\Server CD\DBS\Setup"/>
    <s v="Pass"/>
    <m/>
    <m/>
    <m/>
    <m/>
    <s v="K.V. Krishnan"/>
    <x v="0"/>
    <s v=""/>
    <x v="0"/>
    <x v="0"/>
  </r>
  <r>
    <d v="2014-01-09T00:00:00"/>
    <d v="2014-01-09T00:00:00"/>
    <n v="1"/>
    <s v="2014-Jan"/>
    <n v="1"/>
    <s v="IT-LQA"/>
    <x v="8"/>
    <m/>
    <s v="NM"/>
    <s v="DBS"/>
    <x v="0"/>
    <s v="NMDBS_TWC_4.6.1.11.3.29b1"/>
    <s v="CMTeam"/>
    <s v="Sudip Ghosh"/>
    <s v="\\192.168.3.3\Share\Releases\Projects\TWC\Release_For_IT\Test_Build_1.0.0.3\Server CD\DBS\Setup"/>
    <s v="Obsolete-LQA"/>
    <s v="\\192.168.3.3\Share\Releases\Projects\TWC\Release_For_Test\Test_Build_1.0.0.4\Server CD\DBS\Setup"/>
    <s v="Pass"/>
    <m/>
    <m/>
    <m/>
    <m/>
    <m/>
    <x v="2"/>
    <d v="2014-01-09T00:00:00"/>
    <x v="2"/>
    <x v="1"/>
  </r>
  <r>
    <d v="2014-01-09T00:00:00"/>
    <d v="2014-01-09T00:00:00"/>
    <n v="1"/>
    <s v="2014-Jan"/>
    <n v="1"/>
    <s v="LQA-UAT"/>
    <x v="3"/>
    <m/>
    <s v="MPE"/>
    <s v="MPE"/>
    <x v="0"/>
    <s v="MPE_OBT_3.2.1.3.1.9b2"/>
    <s v="CMTeam"/>
    <s v="Neelam Jawla"/>
    <m/>
    <m/>
    <s v="\\192.168.3.3\share\Releases\Projects\OBT\Release_For_LQA\TestBuild_1.0.0.3\Server CD\MPE\Setup"/>
    <s v="Pass"/>
    <s v="Readme Re-Released"/>
    <m/>
    <m/>
    <m/>
    <s v="Swapnil Garg"/>
    <x v="0"/>
    <s v=""/>
    <x v="0"/>
    <x v="0"/>
  </r>
  <r>
    <d v="2014-01-10T00:00:00"/>
    <d v="2014-01-10T00:00:00"/>
    <n v="1"/>
    <s v="2014-Jan"/>
    <n v="1"/>
    <s v="IT-LQA"/>
    <x v="3"/>
    <m/>
    <s v="NM"/>
    <s v="DBS"/>
    <x v="0"/>
    <s v="NMDBS_OBT_4.6.1.13.1.12b2"/>
    <s v="CMTeam"/>
    <s v="Rohit Kanwar"/>
    <s v="\\192.168.3.3\Share\Releases\Projects\OBT\Release_For_IT\TestBuild_1.0.0.2\Server CD\DBS\Setup"/>
    <s v="Obsolete-LQA"/>
    <s v="\\192.168.3.3\Share\Releases\Projects\OBT\Release_For_LQA\TestBuild_1.0.0.3\Server CD\DBS\Setup"/>
    <m/>
    <m/>
    <m/>
    <m/>
    <m/>
    <m/>
    <x v="2"/>
    <d v="2014-01-10T00:00:00"/>
    <x v="2"/>
    <x v="1"/>
  </r>
  <r>
    <d v="2014-01-10T00:00:00"/>
    <d v="2014-01-10T00:00:00"/>
    <n v="1"/>
    <s v="2014-Jan"/>
    <n v="1"/>
    <s v="IT-LQA-UAT"/>
    <x v="3"/>
    <m/>
    <s v="NM"/>
    <s v="DBS"/>
    <x v="0"/>
    <s v="NMDBS_OBT_4.6.1.13.1.14b2"/>
    <s v="CMTeam"/>
    <s v="Rohit Kanwar"/>
    <s v="\\192.168.3.3\Share\Releases\Projects\OBT\Release_For_IT\TestBuild_1.0.0.2\Server CD\DBS\Setup"/>
    <m/>
    <s v="\\192.168.3.3\Share\Releases\Projects\OBT\Release_For_LQA\TestBuild_1.0.0.3\Server CD\DBS\Setup"/>
    <s v="Pass"/>
    <m/>
    <m/>
    <m/>
    <m/>
    <s v="Swapnil Garg"/>
    <x v="0"/>
    <s v=""/>
    <x v="0"/>
    <x v="0"/>
  </r>
  <r>
    <d v="2014-01-10T00:00:00"/>
    <d v="2014-01-10T00:00:00"/>
    <n v="1"/>
    <s v="2014-Jan"/>
    <n v="1"/>
    <s v="IT-LQA-UAT"/>
    <x v="3"/>
    <m/>
    <s v="NM"/>
    <s v="DBS"/>
    <x v="0"/>
    <s v="NMDBS_OBT_4.6.1.13.1.15b2"/>
    <s v="CMTeam"/>
    <s v="Rohit Kanwar"/>
    <s v="\\192.168.3.3\Share\Releases\Projects\OBT\Release_For_IT\TestBuild_1.0.0.2\Server CD\DBS\Setup"/>
    <m/>
    <s v="\\192.168.3.3\Share\Releases\Projects\OBT\Release_For_LQA\TestBuild_1.0.0.3\Server CD\DBS\Setup"/>
    <s v="Pass"/>
    <m/>
    <m/>
    <m/>
    <m/>
    <s v="Swapnil Garg"/>
    <x v="0"/>
    <s v=""/>
    <x v="0"/>
    <x v="0"/>
  </r>
  <r>
    <d v="2014-01-10T00:00:00"/>
    <d v="2014-01-10T00:00:00"/>
    <n v="1"/>
    <s v="2014-Jan"/>
    <n v="1"/>
    <s v="IT-LQA-UAT"/>
    <x v="3"/>
    <m/>
    <s v="NM"/>
    <s v="DBS"/>
    <x v="0"/>
    <s v="NMDBS_OBT_4.6.1.13.1.16b2"/>
    <s v="CMTeam"/>
    <s v="Rohit Kanwar"/>
    <s v="\\192.168.3.3\Share\Releases\Projects\OBT\Release_For_IT\TestBuild_1.0.0.2\Server CD\DBS\Setup"/>
    <s v="Obsolete-LQA"/>
    <s v="\\192.168.3.3\Share\Releases\Projects\OBT\Release_For_LQA\TestBuild_1.0.0.3\Server CD\DBS\Setup"/>
    <s v="Pass"/>
    <m/>
    <m/>
    <m/>
    <m/>
    <s v="Swapnil Garg"/>
    <x v="2"/>
    <d v="2014-01-10T00:00:00"/>
    <x v="2"/>
    <x v="1"/>
  </r>
  <r>
    <d v="2014-01-10T00:00:00"/>
    <d v="2014-01-10T00:00:00"/>
    <n v="1"/>
    <s v="2014-Jan"/>
    <n v="1"/>
    <s v="LQA"/>
    <x v="1"/>
    <m/>
    <s v="WWFS"/>
    <s v="GUI"/>
    <x v="0"/>
    <s v="WWFSGUI_2.1.21.1b1"/>
    <s v="CMTeam"/>
    <s v="Rajeev Kumar"/>
    <m/>
    <m/>
    <s v="\\192.168.3.3\Share\Releases\Product\WEB_WFS\Build&amp;Release\Release For Test\TestBuild_2.1.21\Build1\ServerCD\GUI\Setup"/>
    <m/>
    <m/>
    <m/>
    <m/>
    <m/>
    <m/>
    <x v="1"/>
    <s v=""/>
    <x v="0"/>
    <x v="0"/>
  </r>
  <r>
    <d v="2014-01-10T00:00:00"/>
    <d v="2014-01-10T00:00:00"/>
    <n v="1"/>
    <s v="2014-Jan"/>
    <n v="1"/>
    <s v="LQA"/>
    <x v="1"/>
    <m/>
    <s v="WWFS"/>
    <s v="GUI"/>
    <x v="0"/>
    <s v="WWFSGUI_2.1.21.2b1"/>
    <s v="CMTeam"/>
    <s v="Rajeev Kumar"/>
    <m/>
    <m/>
    <s v="\\192.168.3.3\Share\Releases\Product\WEB_WFS\Build&amp;Release\Release For Test\TestBuild_2.1.21\Build1\ServerCD\GUI\Setup"/>
    <m/>
    <m/>
    <m/>
    <m/>
    <m/>
    <m/>
    <x v="1"/>
    <s v=""/>
    <x v="0"/>
    <x v="0"/>
  </r>
  <r>
    <d v="2014-01-11T00:00:00"/>
    <d v="2014-01-11T00:00:00"/>
    <n v="1"/>
    <s v="2014-Jan"/>
    <n v="1"/>
    <s v="LQA-UAT"/>
    <x v="3"/>
    <m/>
    <s v="WWFS"/>
    <s v="GUI"/>
    <x v="0"/>
    <s v="WWFSGUI_OBT_2.1.21.1.2.1b1"/>
    <s v="CMTeam"/>
    <s v="Rajeev Kumar"/>
    <m/>
    <m/>
    <s v="\\192.168.3.3\share\Releases\Projects\OBT\Release_For_LQA\TestBuild_1.0.0.3\Server CD\GUI\Setup"/>
    <s v="Pass"/>
    <s v="Readme Re-Released"/>
    <m/>
    <m/>
    <m/>
    <s v="Swapnil Garg"/>
    <x v="0"/>
    <s v=""/>
    <x v="0"/>
    <x v="0"/>
  </r>
  <r>
    <d v="2014-01-11T00:00:00"/>
    <d v="2014-01-11T00:00:00"/>
    <n v="1"/>
    <s v="2014-Jan"/>
    <n v="1"/>
    <s v="LQA-UAT"/>
    <x v="3"/>
    <m/>
    <s v="WWFS"/>
    <s v="GUI"/>
    <x v="0"/>
    <s v="WWFSGUI_OBT_2.1.21.2.2.2b1"/>
    <s v="CMTeam"/>
    <s v="Rajeev Kumar"/>
    <m/>
    <m/>
    <s v="\\192.168.3.3\share\Releases\Projects\OBT\Release_For_LQA\TestBuild_1.0.0.3\Server CD\GUI\Setup"/>
    <s v="Pass"/>
    <s v="Readme Re-Released"/>
    <m/>
    <m/>
    <m/>
    <s v="Swapnil Garg"/>
    <x v="0"/>
    <s v=""/>
    <x v="0"/>
    <x v="0"/>
  </r>
  <r>
    <d v="2014-01-11T00:00:00"/>
    <d v="2014-01-11T00:00:00"/>
    <n v="1"/>
    <s v="2014-Jan"/>
    <n v="1"/>
    <s v="IT-LQA-UAT"/>
    <x v="2"/>
    <m/>
    <s v="RM"/>
    <s v="DBS"/>
    <x v="0"/>
    <s v="RMDBS_SHAW_2.0.1.0.1.38b1"/>
    <s v="CMTeam"/>
    <s v="Apurva Saurabh"/>
    <s v="\\192.168.3.3\Share\Releases\Projects\SHAW\Release_For_IT\Test_Build_1.0.0.26\Server CD\DBS\Setup"/>
    <m/>
    <s v="\\192.168.3.3\Share\Releases\Projects\SHAW\Release_For_LQA\Test_Build_1.0.0.28\Server CD\DBS\Setup"/>
    <s v="Pass"/>
    <m/>
    <m/>
    <m/>
    <m/>
    <s v="parul rajput"/>
    <x v="0"/>
    <s v=""/>
    <x v="0"/>
    <x v="0"/>
  </r>
  <r>
    <d v="2014-01-13T00:00:00"/>
    <d v="2014-01-18T00:00:00"/>
    <n v="1"/>
    <s v="2014-Jan"/>
    <n v="1"/>
    <s v="IT-LQA"/>
    <x v="0"/>
    <m/>
    <s v="DM"/>
    <s v="DBS"/>
    <x v="0"/>
    <s v="DMDBS_SLT_2.0.0.18.1.89b1"/>
    <s v="CMTeam"/>
    <s v="Deepinder Singh"/>
    <s v="\\192.168.3.3\Share\Releases\Projects\SLT\Release_For_IT\Test_Build_1.0.0.4\Server CD\DBS\Setup"/>
    <s v="Obsolete-LQA"/>
    <s v="\\192.168.3.3\Share\Releases\Projects\SLT\Release_For_LQA\Test_Build_1.0.0.17\Server CD\DBS\Setup"/>
    <m/>
    <m/>
    <m/>
    <m/>
    <m/>
    <m/>
    <x v="2"/>
    <d v="2014-01-18T00:00:00"/>
    <x v="3"/>
    <x v="1"/>
  </r>
  <r>
    <d v="2014-01-13T00:00:00"/>
    <d v="2014-01-23T00:00:00"/>
    <n v="1"/>
    <s v="2014-Jan"/>
    <n v="1"/>
    <s v="IT-LQA"/>
    <x v="0"/>
    <m/>
    <s v="DM"/>
    <s v="DBS"/>
    <x v="0"/>
    <s v="DMDBS_SLT_2.0.0.18.1.90b1"/>
    <s v="CMTeam"/>
    <s v="Deepinder Singh"/>
    <s v="\\192.168.3.3\Share\Releases\Projects\SLT\Release_For_IT\Test_Build_1.0.0.4\Server CD\DBS\Setup"/>
    <m/>
    <s v="\\192.168.3.3\Share\Releases\Projects\SLT\Release_For_LQA\Test_Build_1.0.0.17\Server CD\DBS\Setup"/>
    <s v="Pass"/>
    <m/>
    <m/>
    <m/>
    <m/>
    <m/>
    <x v="0"/>
    <s v=""/>
    <x v="0"/>
    <x v="0"/>
  </r>
  <r>
    <d v="2014-01-13T00:00:00"/>
    <d v="2014-01-21T00:00:00"/>
    <n v="1"/>
    <s v="2014-Jan"/>
    <n v="1"/>
    <s v="IT-LQA-UAT"/>
    <x v="0"/>
    <m/>
    <s v="DM"/>
    <s v="DBS"/>
    <x v="0"/>
    <s v="DMDBS_SLT_2.0.0.18.1.91b1"/>
    <s v="CMTeam"/>
    <s v="Deepinder Singh"/>
    <s v="\\192.168.3.3\Share\Releases\Projects\SLT\Release_For_IT\Test_Build_1.0.0.4\Server CD\DBS\Setup"/>
    <m/>
    <s v="\\192.168.3.3\Share\Releases\Projects\SLT\Release_For_LQA\Test_Build_1.0.0.17\Server CD\DBS\Setup"/>
    <s v="Pass"/>
    <m/>
    <m/>
    <m/>
    <m/>
    <s v="K.V. Krishnan"/>
    <x v="0"/>
    <s v=""/>
    <x v="0"/>
    <x v="0"/>
  </r>
  <r>
    <d v="2014-01-13T00:00:00"/>
    <d v="2014-01-13T00:00:00"/>
    <n v="1"/>
    <s v="2014-Jan"/>
    <n v="1"/>
    <s v="IT-LQA-AT"/>
    <x v="4"/>
    <m/>
    <s v="NM"/>
    <s v="DBS"/>
    <x v="0"/>
    <s v="NMDBS_TLSTR_4.0.1.0.4.282b1"/>
    <s v="CMTeam"/>
    <s v="Anshul Kumar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Abhijeet Chaterjee"/>
    <x v="0"/>
    <s v=""/>
    <x v="0"/>
    <x v="0"/>
  </r>
  <r>
    <d v="2014-01-13T00:00:00"/>
    <d v="2014-01-15T00:00:00"/>
    <n v="1"/>
    <s v="2014-Jan"/>
    <n v="1"/>
    <s v="IT-LQA-UAT"/>
    <x v="2"/>
    <m/>
    <s v="RM"/>
    <s v="DBS"/>
    <x v="0"/>
    <s v="RMDBS_SHAW_2.0.1.0.1.39b1"/>
    <s v="CMTeam"/>
    <s v="Apurva Saurabh"/>
    <s v="\\192.168.3.3\Share\Releases\Projects\SHAW\Release_For_IT\Test_Build_1.0.0.26\Server CD\DBS\Setup"/>
    <m/>
    <s v="\\192.168.3.3\Share\Releases\Projects\SHAW\Release_For_LQA\Test_Build_1.0.0.28\Server CD\DBS\Setup"/>
    <s v="Pass"/>
    <m/>
    <m/>
    <m/>
    <m/>
    <s v="parul rajput"/>
    <x v="0"/>
    <s v=""/>
    <x v="0"/>
    <x v="0"/>
  </r>
  <r>
    <d v="2014-01-13T00:00:00"/>
    <d v="2014-01-13T00:00:00"/>
    <n v="1"/>
    <s v="2014-Jan"/>
    <n v="1"/>
    <s v="IT-LQA-UAT"/>
    <x v="3"/>
    <m/>
    <s v="NM"/>
    <s v="DBS"/>
    <x v="0"/>
    <s v="NMDBS_OBT_4.6.1.13.1.12b3-"/>
    <s v="CMTeam"/>
    <s v="Puneet Gupta"/>
    <s v="\\192.168.3.3\Share\Releases\Projects\OBT\Release_For_IT\TestBuild_1.0.0.2\Server CD\DBS\Setup"/>
    <m/>
    <s v="\\192.168.3.3\Share\Releases\Projects\OBT\Release_For_LQA\TestBuild_1.0.0.3\Server CD\DBS\Setup"/>
    <s v="Pass"/>
    <m/>
    <m/>
    <m/>
    <m/>
    <s v="Swapnil Garg"/>
    <x v="0"/>
    <s v=""/>
    <x v="0"/>
    <x v="0"/>
  </r>
  <r>
    <d v="2014-01-13T00:00:00"/>
    <d v="2014-01-13T00:00:00"/>
    <n v="1"/>
    <s v="2014-Jan"/>
    <n v="1"/>
    <s v="LQA-UAT"/>
    <x v="0"/>
    <m/>
    <s v="MPE"/>
    <s v="MPE"/>
    <x v="0"/>
    <s v="MPE_SLT-1B_3.0.1.1.1.43b1"/>
    <s v="CMTeam"/>
    <s v="Anshul Kumar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1-14T00:00:00"/>
    <m/>
    <n v="1"/>
    <s v="2014-Jan"/>
    <s v="False"/>
    <s v="IT"/>
    <x v="1"/>
    <m/>
    <s v="NP"/>
    <s v="DBS"/>
    <x v="0"/>
    <s v="NPDBS_1.2.3.1b1"/>
    <s v="CMTeam"/>
    <s v="Abhishek Sharma"/>
    <s v="\\192.168.3.3\share\Releases\Product\NetMindPOS_1.1\Build&amp;Release\Release for IT\TestBuild_1.2.3\Server CD\DBS\Setup"/>
    <s v="Obsolete-IT"/>
    <m/>
    <m/>
    <m/>
    <m/>
    <m/>
    <m/>
    <m/>
    <x v="2"/>
    <d v="2014-01-14T00:00:00"/>
    <x v="3"/>
    <x v="1"/>
  </r>
  <r>
    <d v="2014-01-14T00:00:00"/>
    <d v="2014-01-15T00:00:00"/>
    <n v="1"/>
    <s v="2014-Jan"/>
    <n v="1"/>
    <s v="IT-LQA-UAT"/>
    <x v="1"/>
    <m/>
    <s v="NM"/>
    <s v="DBS"/>
    <x v="0"/>
    <s v="NMDBS_4.6.1.15b1"/>
    <s v="CMTeam"/>
    <s v="surender Kumar"/>
    <s v="\\192.168.3.3\Share\Releases\Product\Netmind_4.6\Build&amp;Release\ReleaseForIT\TestBuild_4.6.1\Build4\ServerCD\DBS\Setup"/>
    <m/>
    <s v="\\192.168.3.3\Share\Releases\Product\Netmind_4.6\Build&amp;Release\ReleaseForTest\TestBuild_4.6.1\Build4\ServerCD\DBS\Setup"/>
    <s v="Pass"/>
    <s v="Readme Re-Released"/>
    <m/>
    <m/>
    <m/>
    <s v="Swapnil Garg"/>
    <x v="0"/>
    <s v=""/>
    <x v="0"/>
    <x v="0"/>
  </r>
  <r>
    <d v="2014-01-15T00:00:00"/>
    <d v="2014-01-15T00:00:00"/>
    <n v="1"/>
    <s v="2014-Jan"/>
    <n v="1"/>
    <s v="IT-LQA-UAT"/>
    <x v="6"/>
    <m/>
    <s v="NM"/>
    <s v="DBS"/>
    <x v="0"/>
    <s v="NMDBS_ANTEL_4.6.1.0.2.30b1"/>
    <s v="CMTeam"/>
    <s v="Nishant"/>
    <s v="\\192.168.3.3\Share\Releases\Projects\ANTEL\Release_For_IT\TestBuild_1.0.0.4\Server CD\DBS\Setup"/>
    <m/>
    <s v="\\192.168.3.3\Share\Releases\Projects\ANTEL\Release_For_Test\Test_Build_1.0.0.6\Server CD\DBS\Setup"/>
    <s v="Pass"/>
    <s v="Readme Re-Released"/>
    <m/>
    <m/>
    <m/>
    <s v="Pradeep Raghav"/>
    <x v="0"/>
    <s v=""/>
    <x v="0"/>
    <x v="0"/>
  </r>
  <r>
    <d v="2014-01-15T00:00:00"/>
    <d v="2014-01-15T00:00:00"/>
    <n v="1"/>
    <s v="2014-Jan"/>
    <n v="1"/>
    <s v="IT-LQA-UAT"/>
    <x v="8"/>
    <m/>
    <s v="NM"/>
    <s v="DBS"/>
    <x v="0"/>
    <s v="NMDBS_TWC_4.6.1.11.3.29b2"/>
    <s v="CMTeam"/>
    <s v="Sudip Ghosh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Jitender Aggarwal"/>
    <x v="0"/>
    <s v=""/>
    <x v="0"/>
    <x v="0"/>
  </r>
  <r>
    <d v="2014-01-15T00:00:00"/>
    <d v="2014-01-15T00:00:00"/>
    <n v="1"/>
    <s v="2014-Jan"/>
    <n v="1"/>
    <s v="LQA-UAT"/>
    <x v="0"/>
    <m/>
    <s v="MPE"/>
    <s v="MPE"/>
    <x v="0"/>
    <s v="MPE_SLT-1B_3.0.1.1.1.44b1"/>
    <s v="CMTeam"/>
    <s v="Muktesh Mukul"/>
    <m/>
    <m/>
    <s v="\\192.168.3.3\Share\Releases\Projects\SLT-1B\Release_For_Test\Test_Build_1.0.0.1\Server CD\MPE\Setup"/>
    <s v="Pass"/>
    <s v="Readme Re-Released"/>
    <m/>
    <m/>
    <m/>
    <s v="K.V. Krishnan"/>
    <x v="0"/>
    <s v=""/>
    <x v="0"/>
    <x v="0"/>
  </r>
  <r>
    <d v="2014-01-15T00:00:00"/>
    <d v="2014-01-15T00:00:00"/>
    <n v="1"/>
    <s v="2014-Jan"/>
    <n v="1"/>
    <s v="IT-LQA"/>
    <x v="2"/>
    <m/>
    <s v="RM"/>
    <s v="GUI"/>
    <x v="1"/>
    <s v="RMGUI_SHAW_2.0.23"/>
    <s v="CMTeam"/>
    <s v="Apurva Saurabh"/>
    <s v="\\192.168.3.3\Share\Releases\Projects\SHAW\Release_For_IT\Test_Build_1.0.0.27\Client CD\RM\Setup"/>
    <m/>
    <s v="\\192.168.3.3\Share\Releases\Projects\SHAW\Release_For_LQA\Test_Build_1.0.0.28\Client CD\RM"/>
    <m/>
    <m/>
    <m/>
    <m/>
    <m/>
    <m/>
    <x v="1"/>
    <s v=""/>
    <x v="0"/>
    <x v="0"/>
  </r>
  <r>
    <d v="2014-01-15T00:00:00"/>
    <d v="2014-01-15T00:00:00"/>
    <n v="1"/>
    <s v="2014-Jan"/>
    <n v="1"/>
    <s v="LQA-UAT"/>
    <x v="1"/>
    <m/>
    <s v="MPE"/>
    <s v="MPE"/>
    <x v="0"/>
    <s v="MPE_3.2.4.27b1"/>
    <s v="CMTeam"/>
    <s v="Puneet Gupta"/>
    <m/>
    <m/>
    <s v="\\192.168.3.3\Share\Releases\Product\MPE_GUI\ReleaseForLQA\TestBuild_1.0.0.2\Server CD\MPE\Setup"/>
    <s v="Pass"/>
    <m/>
    <m/>
    <m/>
    <m/>
    <s v="Hemant Kumar Sharma"/>
    <x v="0"/>
    <s v=""/>
    <x v="0"/>
    <x v="0"/>
  </r>
  <r>
    <d v="2014-01-15T00:00:00"/>
    <d v="2014-01-15T00:00:00"/>
    <n v="1"/>
    <s v="2014-Jan"/>
    <n v="1"/>
    <s v="LQA-UAT"/>
    <x v="6"/>
    <m/>
    <s v="MPE"/>
    <s v="MPE"/>
    <x v="0"/>
    <s v="MPE_ANTEL_3.2.4.27.1.13b1 "/>
    <s v="CMTeam"/>
    <s v="Puneet Gupta"/>
    <m/>
    <m/>
    <s v="\\192.168.3.3\Share\Releases\Projects\ANTEL\Release_For_Test\Test_Build_1.0.0.6\Server CD\MPE\Setup"/>
    <s v="Pass"/>
    <m/>
    <m/>
    <m/>
    <m/>
    <s v="Hemant Kumar Sharma"/>
    <x v="0"/>
    <s v=""/>
    <x v="0"/>
    <x v="0"/>
  </r>
  <r>
    <d v="2014-01-15T00:00:00"/>
    <d v="2014-01-15T00:00:00"/>
    <n v="1"/>
    <s v="2014-Jan"/>
    <n v="1"/>
    <s v="IT-LQA"/>
    <x v="1"/>
    <m/>
    <s v="RA"/>
    <s v="DBS"/>
    <x v="0"/>
    <s v="RADBS_2.1.1.1b1"/>
    <s v="CMTeam"/>
    <s v="Anand Kumar Ojha"/>
    <s v="\\192.168.3.3\Share\Releases\Product\RevMind_2.1\Build&amp;Release\Release_For_IT\TestBuild_1.0.1\Server CD\DBS\Setup"/>
    <m/>
    <s v="\\192.168.3.3\Share\Releases\Product\RevMind_2.1\Build&amp;Release\Release_For_LQA\Test_Build_1.0.0\Server CD\DBS\Setup"/>
    <s v="Pass"/>
    <m/>
    <m/>
    <m/>
    <m/>
    <m/>
    <x v="0"/>
    <s v=""/>
    <x v="0"/>
    <x v="0"/>
  </r>
  <r>
    <d v="2014-01-15T00:00:00"/>
    <d v="2014-01-15T00:00:00"/>
    <n v="1"/>
    <s v="2014-Jan"/>
    <n v="1"/>
    <s v="LQA"/>
    <x v="1"/>
    <m/>
    <s v="RA"/>
    <s v="CS"/>
    <x v="1"/>
    <s v="RACS_2.5.4b1"/>
    <s v="CMTeam"/>
    <s v="Anand Kumar Ojha"/>
    <m/>
    <m/>
    <s v="\\192.168.3.3\Share\Releases\Product\RevMind_2.1\Build&amp;Release\Release_For_LQA\Test_Build_1.0.1\Server CD\GUI\CS\Setup"/>
    <s v="Pass"/>
    <m/>
    <m/>
    <m/>
    <m/>
    <m/>
    <x v="0"/>
    <s v=""/>
    <x v="0"/>
    <x v="0"/>
  </r>
  <r>
    <d v="2014-01-15T00:00:00"/>
    <d v="2014-01-15T00:00:00"/>
    <n v="1"/>
    <s v="2014-Jan"/>
    <n v="1"/>
    <s v="LQA-UAT"/>
    <x v="7"/>
    <m/>
    <s v="NM"/>
    <s v="MPE"/>
    <x v="0"/>
    <s v="NMMPE_VON_2.0.2.18.1"/>
    <s v="CMTeam"/>
    <s v="Anshul Kumar"/>
    <m/>
    <m/>
    <s v="\\192.168.3.3\Share\Releases\Projects\Vonage\Release_For_LQA\Test_Build_4.0.16\Server CD\MPE\Setup"/>
    <s v="Pass"/>
    <m/>
    <m/>
    <m/>
    <m/>
    <s v="Shubhadeep Banerjee"/>
    <x v="0"/>
    <m/>
    <x v="4"/>
    <x v="2"/>
  </r>
  <r>
    <d v="2014-01-15T00:00:00"/>
    <d v="2014-01-15T00:00:00"/>
    <n v="1"/>
    <s v="2014-Jan"/>
    <n v="1"/>
    <s v="LQA"/>
    <x v="9"/>
    <m/>
    <s v="MPE"/>
    <s v="MPE"/>
    <x v="0"/>
    <s v="MPE_MAX_3.2.5.0.1.1b1"/>
    <s v="CMTeam"/>
    <s v="Rohtash"/>
    <m/>
    <m/>
    <s v="\\192.168.3.3\Share\Releases\Projects\MAX\Release_For_Test\Test_Build_1.0.0.1\Server CD\MPE"/>
    <m/>
    <s v="Readme Re-Released"/>
    <m/>
    <m/>
    <m/>
    <m/>
    <x v="1"/>
    <s v=""/>
    <x v="0"/>
    <x v="0"/>
  </r>
  <r>
    <d v="2014-01-15T00:00:00"/>
    <d v="2014-01-15T00:00:00"/>
    <n v="1"/>
    <s v="2014-Jan"/>
    <n v="1"/>
    <s v="IT-LQA-UAT"/>
    <x v="3"/>
    <m/>
    <s v="NM"/>
    <s v="DBS"/>
    <x v="0"/>
    <s v="NMDBS_OBT_4.6.1.13.1.17b1"/>
    <s v="CMTeam"/>
    <s v="Puneet Gupta"/>
    <s v="\\192.168.3.3\Share\Releases\Projects\OBT\Release_For_IT\TestBuild_1.0.0.2\Server CD\DBS\Setup"/>
    <m/>
    <s v="\\192.168.3.3\Share\Releases\Projects\OBT\Release_For_LQA\TestBuild_1.0.0.3\Server CD\DBS\Setup"/>
    <s v="Pass"/>
    <m/>
    <m/>
    <m/>
    <m/>
    <s v="Swapnil Garg"/>
    <x v="0"/>
    <s v=""/>
    <x v="0"/>
    <x v="0"/>
  </r>
  <r>
    <d v="2014-01-16T00:00:00"/>
    <d v="2014-01-16T00:00:00"/>
    <n v="1"/>
    <s v="2014-Jan"/>
    <n v="1"/>
    <s v="LQA"/>
    <x v="1"/>
    <m/>
    <s v="RE"/>
    <s v="GUI"/>
    <x v="1"/>
    <s v="REGUI_1.0.6b1"/>
    <s v="CMTeam"/>
    <s v="Ankur Omar"/>
    <m/>
    <m/>
    <s v="\\192.168.3.3\Share\Releases\Product\RE_1.0\ReleaseForLQA\TestBuild_1.0.1\GUI\Setup"/>
    <m/>
    <m/>
    <m/>
    <m/>
    <m/>
    <m/>
    <x v="1"/>
    <s v=""/>
    <x v="0"/>
    <x v="0"/>
  </r>
  <r>
    <d v="2014-01-16T00:00:00"/>
    <d v="2014-01-23T00:00:00"/>
    <n v="1"/>
    <s v="2014-Jan"/>
    <n v="1"/>
    <s v="IT-LQA"/>
    <x v="0"/>
    <m/>
    <s v="RA"/>
    <s v="DBS"/>
    <x v="0"/>
    <s v="RADBS_SLT_2.0.0.23.1.52b1"/>
    <s v="CMTeam"/>
    <s v="Deepinder Singh"/>
    <s v="\\192.168.3.3\Share\Releases\Projects\SLT\Release_For_IT\Test_Build_1.0.0.4\Server CD\DBS\Setup"/>
    <m/>
    <m/>
    <s v="Pass"/>
    <m/>
    <m/>
    <m/>
    <m/>
    <m/>
    <x v="0"/>
    <s v=""/>
    <x v="0"/>
    <x v="0"/>
  </r>
  <r>
    <d v="2014-01-16T00:00:00"/>
    <d v="2014-01-20T00:00:00"/>
    <n v="1"/>
    <s v="2014-Jan"/>
    <n v="1"/>
    <s v="IT-LQA"/>
    <x v="2"/>
    <m/>
    <s v="RM"/>
    <s v="GUI"/>
    <x v="1"/>
    <s v="RMGUI_SHAW_2.0.24"/>
    <s v="CMTeam"/>
    <s v="Apurva Saurabh"/>
    <s v="\\192.168.3.3\Share\Releases\Projects\SHAW\Release_For_IT\Test_Build_1.0.0.27\Client CD\RM\Setup"/>
    <m/>
    <s v="\\192.168.3.3\Share\Releases\Projects\SHAW\Release_For_LQA\Test_Build_1.0.0.28\Client CD\RM\Setup"/>
    <m/>
    <m/>
    <m/>
    <m/>
    <m/>
    <m/>
    <x v="1"/>
    <s v=""/>
    <x v="0"/>
    <x v="0"/>
  </r>
  <r>
    <d v="2014-01-16T00:00:00"/>
    <d v="2014-01-16T00:00:00"/>
    <n v="1"/>
    <s v="2014-Jan"/>
    <n v="1"/>
    <s v="IT-LQA"/>
    <x v="0"/>
    <m/>
    <s v="RA"/>
    <s v="DBS"/>
    <x v="0"/>
    <s v="RADBS_SLT_2.0.0.23.1.53b1"/>
    <s v="CMTeam"/>
    <s v="Anand Kumar Ojha"/>
    <s v="\\192.168.3.3\Share\Releases\Projects\SLT\Release_For_IT\Test_Build_1.0.0.4\Server CD\DBS\Setup"/>
    <m/>
    <s v="\\192.168.3.3\Share\Releases\Projects\SLT\Release_For_LQA\Test_Build_1.0.0.16\Server CD\DBS\Setup"/>
    <m/>
    <m/>
    <m/>
    <m/>
    <m/>
    <m/>
    <x v="1"/>
    <s v=""/>
    <x v="0"/>
    <x v="0"/>
  </r>
  <r>
    <d v="2014-01-16T00:00:00"/>
    <d v="2014-01-16T00:00:00"/>
    <n v="1"/>
    <s v="2014-Jan"/>
    <n v="1"/>
    <s v="LQA"/>
    <x v="0"/>
    <m/>
    <s v="MPE"/>
    <s v="MPE"/>
    <x v="0"/>
    <s v="MPE_SLT-1B_3.0.1.1.1.45b1"/>
    <s v="CMTeam"/>
    <s v="Ajay Awasthi"/>
    <m/>
    <m/>
    <s v="\\192.168.3.3\Share\Releases\Projects\SLT-1B\Release_For_Test\Test_Build_1.0.0.1\Server CD\MPE\Setup"/>
    <s v="Pass"/>
    <m/>
    <m/>
    <m/>
    <m/>
    <m/>
    <x v="0"/>
    <s v=""/>
    <x v="0"/>
    <x v="0"/>
  </r>
  <r>
    <d v="2014-01-17T00:00:00"/>
    <d v="2014-01-17T00:00:00"/>
    <n v="1"/>
    <s v="2014-Jan"/>
    <n v="1"/>
    <s v="LQA-UAT"/>
    <x v="0"/>
    <m/>
    <s v="RE"/>
    <s v="GUI"/>
    <x v="1"/>
    <s v="REGUI_SLT_1.0.6.0.1"/>
    <s v="CMTeam"/>
    <s v="Ankur Omar"/>
    <m/>
    <m/>
    <s v="\\192.168.3.3\Share\Releases\Projects\SLT\Release_For_LQA\Test_Build_1.0.0.17\Server CD\GUI\Setup"/>
    <s v="Pass"/>
    <s v="Readme Re-Released"/>
    <m/>
    <m/>
    <m/>
    <s v="Ravi Gautam"/>
    <x v="0"/>
    <s v=""/>
    <x v="0"/>
    <x v="0"/>
  </r>
  <r>
    <d v="2014-01-17T00:00:00"/>
    <d v="2014-01-17T00:00:00"/>
    <n v="1"/>
    <s v="2014-Jan"/>
    <n v="1"/>
    <s v="IT-LQA"/>
    <x v="0"/>
    <m/>
    <s v="RA"/>
    <s v="DBS"/>
    <x v="0"/>
    <s v="RADBS_SLT_2.0.0.23.1.54b1-"/>
    <s v="CMTeam"/>
    <s v="Anand Kumar Ojha"/>
    <s v="\\192.168.3.3\Share\Releases\Projects\SLT\Release_For_IT\Test_Build_1.0.0.4\Server CD\DBS\Setup"/>
    <m/>
    <s v="\\192.168.3.3\Share\Releases\Projects\SLT\Release_For_LQA\Test_Build_1.0.0.16\Server CD\DBS\Setup"/>
    <s v="Pass"/>
    <m/>
    <m/>
    <m/>
    <m/>
    <m/>
    <x v="0"/>
    <s v=""/>
    <x v="0"/>
    <x v="0"/>
  </r>
  <r>
    <d v="2014-01-17T00:00:00"/>
    <d v="2014-01-17T00:00:00"/>
    <n v="1"/>
    <s v="2014-Jan"/>
    <n v="1"/>
    <s v="LQA"/>
    <x v="1"/>
    <m/>
    <s v="SAC"/>
    <s v="AGENT"/>
    <x v="1"/>
    <s v="SACAGENT_1.3.1b1_RHEL_4.8_x86_64"/>
    <s v="CMTeam"/>
    <s v="Daljit Singh Maan"/>
    <m/>
    <m/>
    <s v="\\192.168.3.3\Share\Releases\Product\SAC\Build&amp;Release\ReleaseforLQA\TestBuild_1.3.0\Build1\ServerCD\AGENT\Setup\RHEL_4.8_x86_64"/>
    <m/>
    <m/>
    <m/>
    <m/>
    <m/>
    <m/>
    <x v="1"/>
    <s v=""/>
    <x v="0"/>
    <x v="0"/>
  </r>
  <r>
    <d v="2014-01-17T00:00:00"/>
    <d v="2014-01-20T00:00:00"/>
    <n v="1"/>
    <s v="2014-Jan"/>
    <n v="1"/>
    <s v="IT-LQA-UAT"/>
    <x v="1"/>
    <m/>
    <s v="NP"/>
    <s v="DBS"/>
    <x v="0"/>
    <s v="NPDBS_1.2.3.1b2"/>
    <s v="CMTeam"/>
    <s v="Abhishek Sharma"/>
    <s v="\\192.168.3.3\share\Releases\Product\NetMindPOS_1.1\Build&amp;Release\Release for IT\TestBuild_1.2.3\Server CD\DBS\Setup"/>
    <m/>
    <s v="\\192.168.3.3\share\Releases\Product\NetMindPOS_1.1\Build&amp;Release\Release for LQA\TestBuild_1.2.3\Server CD\DBS\Setup"/>
    <s v="Pass"/>
    <s v="Readme Re-Released"/>
    <m/>
    <m/>
    <m/>
    <s v="Abhishek Leekha"/>
    <x v="0"/>
    <s v=""/>
    <x v="0"/>
    <x v="0"/>
  </r>
  <r>
    <d v="2014-01-18T00:00:00"/>
    <m/>
    <n v="1"/>
    <s v="2014-Jan"/>
    <s v="False"/>
    <s v="IT"/>
    <x v="1"/>
    <m/>
    <s v="NM"/>
    <s v="DBS"/>
    <x v="0"/>
    <s v="NMDBS_4.6.1.16b1"/>
    <s v="CMTeam"/>
    <s v="surender Kumar"/>
    <s v="\\192.168.3.3\Share\Releases\Product\Netmind_4.6\Build&amp;Release\ReleaseForIT\TestBuild_4.6.1\Build4\ServerCD\DBS\Setup"/>
    <s v="Obsolete-LQA"/>
    <m/>
    <m/>
    <m/>
    <m/>
    <m/>
    <m/>
    <m/>
    <x v="2"/>
    <d v="1899-12-30T00:00:00"/>
    <x v="5"/>
    <x v="3"/>
  </r>
  <r>
    <d v="2014-01-20T00:00:00"/>
    <d v="2014-01-20T00:00:00"/>
    <n v="1"/>
    <s v="2014-Jan"/>
    <n v="1"/>
    <s v="IT-LQA-UAT"/>
    <x v="6"/>
    <m/>
    <s v="NM"/>
    <s v="DBS"/>
    <x v="0"/>
    <s v="NMDBS_ANTEL_4.6.1.0.2.31b1"/>
    <s v="CMTeam"/>
    <s v="Nishant"/>
    <s v="\\192.168.3.3\Share\Releases\Projects\ANTEL\Release_For_IT\TestBuild_1.0.0.4\Server CD\DBS\Setup"/>
    <m/>
    <s v="\\192.168.3.3\Share\Releases\Projects\ANTEL\Release_For_Test\Test_Build_1.0.0.6\Server CD\DBS\Setup"/>
    <s v="Pass"/>
    <m/>
    <m/>
    <m/>
    <m/>
    <s v="Pradeep Raghav"/>
    <x v="0"/>
    <s v=""/>
    <x v="0"/>
    <x v="0"/>
  </r>
  <r>
    <d v="2014-01-20T00:00:00"/>
    <d v="2014-01-20T00:00:00"/>
    <n v="1"/>
    <s v="2014-Jan"/>
    <n v="1"/>
    <s v="IT-LQA"/>
    <x v="1"/>
    <m/>
    <s v="RT"/>
    <s v="DBS"/>
    <x v="0"/>
    <s v="RTDBS_4.0.1.11b1"/>
    <s v="CMTeam"/>
    <s v="Rohit Kanwar"/>
    <s v="\\192.168.3.3\Share\Releases\Product\RT_4.0\ReleaseForIT\TestBuild_4.0.3\DBS\Setup"/>
    <m/>
    <s v="\\192.168.3.3\Share\Releases\Product\RT_4.0\ReleaseForLQA\TestBuild_4.0.18\DBS\Setup "/>
    <m/>
    <s v="Readme Re-Released"/>
    <m/>
    <m/>
    <m/>
    <m/>
    <x v="1"/>
    <s v=""/>
    <x v="0"/>
    <x v="0"/>
  </r>
  <r>
    <d v="2014-01-20T00:00:00"/>
    <d v="2014-01-20T00:00:00"/>
    <n v="1"/>
    <s v="2014-Jan"/>
    <n v="1"/>
    <s v="LQA"/>
    <x v="1"/>
    <m/>
    <s v="Utility"/>
    <s v="Utility"/>
    <x v="1"/>
    <s v="AWF_2.0.1b25"/>
    <s v="CMTeam"/>
    <s v="Rajesh Maithani"/>
    <m/>
    <m/>
    <s v="\\192.168.3.3\Share\Releases\Product\AWF\Build&amp;Release\Release For Test\TestBuild_2.0.1\Setup"/>
    <m/>
    <m/>
    <m/>
    <m/>
    <m/>
    <m/>
    <x v="1"/>
    <s v=""/>
    <x v="0"/>
    <x v="0"/>
  </r>
  <r>
    <d v="2014-01-20T00:00:00"/>
    <d v="2014-01-23T00:00:00"/>
    <n v="1"/>
    <s v="2014-Jan"/>
    <n v="1"/>
    <s v="IT-LQA"/>
    <x v="9"/>
    <m/>
    <s v="DM"/>
    <s v="DBS"/>
    <x v="0"/>
    <s v="DMDBS_MAX_2.1.1.11.1.1b1"/>
    <s v="CMTeam"/>
    <s v="Chander Kanta"/>
    <s v="\\192.168.3.3\share\Releases\Projects\MAX\Release_For_IT\TestBuild_1.0.0.1\Server CD\DBS\Setup"/>
    <m/>
    <s v="\\192.168.3.3\Share\Releases\Projects\MAX\Release_For_Test\Test_Build_1.0.0.1\Server CD\DBS\Setup"/>
    <m/>
    <m/>
    <m/>
    <m/>
    <m/>
    <m/>
    <x v="1"/>
    <s v=""/>
    <x v="0"/>
    <x v="0"/>
  </r>
  <r>
    <d v="2014-01-20T00:00:00"/>
    <d v="2014-01-20T00:00:00"/>
    <n v="1"/>
    <s v="2014-Jan"/>
    <n v="1"/>
    <s v="LQA-AT"/>
    <x v="4"/>
    <m/>
    <s v="MPE"/>
    <s v="MPE"/>
    <x v="0"/>
    <s v="MPE_TLSTR-2b_3.0.0.3.1.83b1"/>
    <s v="CMTeam"/>
    <s v="Sandeep Aggarwal"/>
    <m/>
    <m/>
    <s v="\\192.168.3.3\Share\Releases\Projects\Telstra-2b\Release_For_Test\Test_Build_1.0.0.1\Server CD\MPE\Setup"/>
    <s v="Pass"/>
    <m/>
    <m/>
    <m/>
    <m/>
    <s v="Abhijeet Chaterjee"/>
    <x v="0"/>
    <s v=""/>
    <x v="0"/>
    <x v="0"/>
  </r>
  <r>
    <d v="2014-01-20T00:00:00"/>
    <d v="2014-01-20T00:00:00"/>
    <n v="1"/>
    <s v="2014-Jan"/>
    <n v="1"/>
    <s v="LQA-UAT"/>
    <x v="1"/>
    <m/>
    <s v="RT"/>
    <s v="GUI"/>
    <x v="0"/>
    <s v="RTGUI_4.0.19b2"/>
    <s v="CMTeam"/>
    <s v="Ajay Sharma"/>
    <m/>
    <m/>
    <s v="\\192.168.3.3\Share\Releases\Product\RT_4.0\ReleaseForLQA\TestBuild_4.0.19\GUI\Build1\Setup"/>
    <s v="Pass"/>
    <m/>
    <m/>
    <m/>
    <m/>
    <s v="Swapnil Garg"/>
    <x v="0"/>
    <s v=""/>
    <x v="0"/>
    <x v="0"/>
  </r>
  <r>
    <d v="2014-01-20T00:00:00"/>
    <d v="2014-01-28T00:00:00"/>
    <n v="1"/>
    <s v="2014-Jan"/>
    <n v="1"/>
    <s v="IT-LQA"/>
    <x v="9"/>
    <m/>
    <s v="RA"/>
    <s v="DBS"/>
    <x v="1"/>
    <s v="RADBS_MAX_2.1.1.0.1"/>
    <s v="CMTeam"/>
    <s v="Anand Kumar Ojha"/>
    <s v="\\192.168.3.3\share\Releases\Projects\MAX\Release_For_IT\TestBuild_1.0.0.1\Server CD\DBS\Setup"/>
    <m/>
    <s v="\\192.168.3.3\Share\Releases\Projects\MAX\Release_For_Test\Test_Build_1.0.0.1\Server CD\DBS\Setup"/>
    <m/>
    <m/>
    <m/>
    <m/>
    <m/>
    <m/>
    <x v="1"/>
    <s v=""/>
    <x v="0"/>
    <x v="0"/>
  </r>
  <r>
    <d v="2014-01-21T00:00:00"/>
    <d v="2014-01-21T00:00:00"/>
    <n v="1"/>
    <s v="2014-Jan"/>
    <n v="1"/>
    <s v="LQA"/>
    <x v="1"/>
    <m/>
    <s v="WWCS"/>
    <s v="GUI"/>
    <x v="1"/>
    <s v="WWCSGUI_2.1.15b2"/>
    <s v="CMTeam"/>
    <s v="Karamjeet kaur"/>
    <m/>
    <m/>
    <s v="\\192.168.3.3\Share\Releases\Product\WEB_CS\Build&amp;Release\Release For Test\TestBuild_2.1.15\Build4\ServerCD\GUI\Setup"/>
    <m/>
    <s v="Readme Re-Released"/>
    <m/>
    <m/>
    <m/>
    <m/>
    <x v="1"/>
    <s v=""/>
    <x v="0"/>
    <x v="0"/>
  </r>
  <r>
    <d v="2014-01-21T00:00:00"/>
    <d v="2014-01-21T00:00:00"/>
    <n v="1"/>
    <s v="2014-Jan"/>
    <n v="1"/>
    <s v="IT-LQA-UAT"/>
    <x v="2"/>
    <m/>
    <s v="RM"/>
    <s v="DBS"/>
    <x v="0"/>
    <s v="RMDBS_SHAW_2.0.1.0.1.40b1"/>
    <s v="CMTeam"/>
    <s v="Apurva Saurabh"/>
    <s v="\\192.168.3.3\Share\Releases\Projects\SHAW\Release_For_IT\Test_Build_1.0.0.27\Server CD\DBS\Setup"/>
    <m/>
    <s v="\\192.168.3.3\Share\Releases\Projects\SHAW\Release_For_LQA\Test_Build_1.0.0.28\Server CD\DBS\Setup"/>
    <s v="Pass"/>
    <m/>
    <m/>
    <m/>
    <m/>
    <s v="parul rajput"/>
    <x v="0"/>
    <s v=""/>
    <x v="0"/>
    <x v="0"/>
  </r>
  <r>
    <d v="2014-01-21T00:00:00"/>
    <d v="2014-01-21T00:00:00"/>
    <n v="1"/>
    <s v="2014-Jan"/>
    <n v="1"/>
    <s v="IT-LQA-UAT"/>
    <x v="2"/>
    <m/>
    <s v="RM"/>
    <s v="DBS"/>
    <x v="0"/>
    <s v="RMDBS_SHAW_2.0.1.0.1.41b1"/>
    <s v="CMTeam"/>
    <s v="Apurva Saurabh"/>
    <s v="\\192.168.3.3\Share\Releases\Projects\SHAW\Release_For_IT\Test_Build_1.0.0.27\Server CD\DBS\Setup"/>
    <m/>
    <s v="\\192.168.3.3\Share\Releases\Projects\SHAW\Release_For_LQA\Test_Build_1.0.0.28\Server CD\DBS\Setup"/>
    <s v="Pass"/>
    <m/>
    <m/>
    <m/>
    <m/>
    <s v="parul rajput"/>
    <x v="0"/>
    <s v=""/>
    <x v="0"/>
    <x v="0"/>
  </r>
  <r>
    <d v="2014-01-21T00:00:00"/>
    <d v="2014-01-21T00:00:00"/>
    <n v="1"/>
    <s v="2014-Jan"/>
    <n v="1"/>
    <s v="LQA"/>
    <x v="1"/>
    <m/>
    <s v="MPE"/>
    <s v="MPE"/>
    <x v="0"/>
    <s v="MPE_3.2.5.1b1"/>
    <s v="CMTeam"/>
    <s v="Neelam Jawla"/>
    <m/>
    <s v="Obsolete-LQA"/>
    <s v="\\192.168.3.3\Share\Releases\Product\MPE_GUI\ReleaseForLQA\TestBuild_1.0.0.2\Server CD\MPE\Setup"/>
    <m/>
    <m/>
    <m/>
    <m/>
    <m/>
    <m/>
    <x v="2"/>
    <d v="2014-01-21T00:00:00"/>
    <x v="6"/>
    <x v="1"/>
  </r>
  <r>
    <d v="2014-01-21T00:00:00"/>
    <d v="2014-01-21T00:00:00"/>
    <n v="1"/>
    <s v="2014-Jan"/>
    <n v="1"/>
    <s v="LQA-UAT"/>
    <x v="6"/>
    <m/>
    <s v="RT"/>
    <s v="GUI"/>
    <x v="1"/>
    <s v="RTGUI_ANTEL_4.0.19.0.1"/>
    <s v="CMTeam"/>
    <s v="Ajay Sharma"/>
    <m/>
    <m/>
    <s v="\\192.168.3.3\Share\Releases\Projects\ANTEL\Release_For_Test\Test_Build_1.0.0.7\Server CD\GUI\Setup"/>
    <s v="Pass"/>
    <m/>
    <m/>
    <m/>
    <m/>
    <s v="Pradeep Raghav"/>
    <x v="0"/>
    <s v=""/>
    <x v="0"/>
    <x v="0"/>
  </r>
  <r>
    <d v="2014-01-21T00:00:00"/>
    <d v="2014-01-21T00:00:00"/>
    <n v="1"/>
    <s v="2014-Jan"/>
    <n v="1"/>
    <s v="LQA-UAT"/>
    <x v="3"/>
    <m/>
    <s v="RT"/>
    <s v="GUI"/>
    <x v="1"/>
    <s v="RTGUI_OBT_4.0.19.0.1"/>
    <s v="CMTeam"/>
    <s v="Ajay Sharma"/>
    <m/>
    <m/>
    <s v="\\192.168.3.3\share\Releases\Projects\OBT\Release_For_LQA\TestBuild_1.0.0.4\Server CD\GUI\Setup"/>
    <s v="Pass"/>
    <m/>
    <m/>
    <m/>
    <m/>
    <s v="Swapnil Garg"/>
    <x v="0"/>
    <s v=""/>
    <x v="0"/>
    <x v="0"/>
  </r>
  <r>
    <d v="2014-01-21T00:00:00"/>
    <d v="2014-01-21T00:00:00"/>
    <n v="1"/>
    <s v="2014-Jan"/>
    <n v="1"/>
    <s v="IT-LQA"/>
    <x v="1"/>
    <m/>
    <s v="RE"/>
    <s v="DBS"/>
    <x v="0"/>
    <s v="REGUI_OBT_4.0.19.0.1"/>
    <s v="CMTeam"/>
    <s v="Deepinder Singh"/>
    <s v="\\192.168.3.3\Share\Releases\Product\RE_1.0\ReleaseForIT\TestBuild_1.0.1\DBS\Build4\Setup"/>
    <m/>
    <s v="\\192.168.3.3\Share\Releases\Product\RE_1.0\ReleaseForLQA\TestBuild_1.0.1\DBS\Build4\Setup"/>
    <m/>
    <m/>
    <m/>
    <m/>
    <m/>
    <m/>
    <x v="1"/>
    <s v=""/>
    <x v="0"/>
    <x v="0"/>
  </r>
  <r>
    <d v="2014-01-21T00:00:00"/>
    <d v="2014-01-21T00:00:00"/>
    <n v="1"/>
    <s v="2014-Jan"/>
    <n v="1"/>
    <s v="LQA-AT"/>
    <x v="4"/>
    <m/>
    <s v="Utility"/>
    <s v="Utility"/>
    <x v="1"/>
    <s v="UTLIM_TLSTR_1.0.0.66.1b1"/>
    <s v="CMTeam"/>
    <s v="Nikhil Dwivedi"/>
    <m/>
    <m/>
    <s v="\\192.168.3.3\Share\Releases\Projects\Telstra\Release_For_LQA\Test_Build_1.0.0.18\Utility\Setup"/>
    <s v="Pass"/>
    <m/>
    <m/>
    <m/>
    <m/>
    <s v="Abhijeet Chaterjee"/>
    <x v="0"/>
    <s v=""/>
    <x v="0"/>
    <x v="0"/>
  </r>
  <r>
    <d v="2014-01-21T00:00:00"/>
    <d v="2014-01-21T00:00:00"/>
    <n v="1"/>
    <s v="2014-Jan"/>
    <n v="1"/>
    <s v="IT-LQA"/>
    <x v="8"/>
    <m/>
    <s v="NM"/>
    <s v="DBS"/>
    <x v="0"/>
    <s v="NMDBS_TWC_4.6.1.11.3.30b1"/>
    <s v="CMTeam"/>
    <s v="Sudip Ghosh"/>
    <s v="\\192.168.3.3\Share\Releases\Projects\TWC\Release_For_IT\Test_Build_1.0.0.3\Server CD\DBS\Setup"/>
    <s v="Obsolete-LQA"/>
    <s v="\\192.168.3.3\Share\Releases\Projects\TWC\Release_For_Test\Test_Build_1.0.0.4\Server CD\DBS\Setup"/>
    <m/>
    <s v="Readme Re-Released"/>
    <m/>
    <m/>
    <m/>
    <m/>
    <x v="2"/>
    <d v="2014-01-21T00:00:00"/>
    <x v="6"/>
    <x v="1"/>
  </r>
  <r>
    <d v="2014-01-21T00:00:00"/>
    <d v="2014-01-21T00:00:00"/>
    <n v="1"/>
    <s v="2014-Jan"/>
    <n v="1"/>
    <s v="IT-LQA-UAT"/>
    <x v="8"/>
    <m/>
    <s v="NP"/>
    <s v="DBS"/>
    <x v="0"/>
    <s v="NPDBS_TWC_1.2.1.0.1.20b1"/>
    <s v="CMTeam"/>
    <s v="Sudip Ghosh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Sumit Gomber"/>
    <x v="0"/>
    <s v=""/>
    <x v="0"/>
    <x v="0"/>
  </r>
  <r>
    <d v="2014-01-21T00:00:00"/>
    <d v="2014-01-21T00:00:00"/>
    <n v="1"/>
    <s v="2014-Jan"/>
    <n v="1"/>
    <s v="IT-LQA-UAT"/>
    <x v="1"/>
    <m/>
    <s v="RE"/>
    <s v="DBS"/>
    <x v="0"/>
    <s v="REDBS_1.0.1.17b1"/>
    <s v="CMTeam"/>
    <s v="Shiv Mangal"/>
    <s v="\\192.168.3.3\Share\Releases\Product\RE_1.0\ReleaseForIT\TestBuild_1.0.1\DBS\Build4\Setup"/>
    <m/>
    <s v="\\192.168.3.3\Share\Releases\Product\RE_1.0\ReleaseForLQA\TestBuild_1.0.1\DBS\Build4\Setup"/>
    <m/>
    <m/>
    <m/>
    <m/>
    <m/>
    <m/>
    <x v="3"/>
    <s v=""/>
    <x v="0"/>
    <x v="0"/>
  </r>
  <r>
    <d v="2014-01-21T00:00:00"/>
    <d v="2014-01-21T00:00:00"/>
    <n v="1"/>
    <s v="2014-Jan"/>
    <n v="1"/>
    <s v="LQA"/>
    <x v="1"/>
    <m/>
    <s v="WWFS"/>
    <s v="GUI"/>
    <x v="1"/>
    <s v="WWFSGUI_2.1.22b2"/>
    <s v="CMTeam"/>
    <s v="Ratnesh Singh"/>
    <m/>
    <m/>
    <s v="\\192.168.3.3\Share\Releases\Product\WEB_WFS\Build&amp;Release\Release For Test\TestBuild_2.1.22\Build1\ServerCD\GUI\Setup"/>
    <m/>
    <s v="Readme Re-Released"/>
    <m/>
    <m/>
    <m/>
    <m/>
    <x v="1"/>
    <s v=""/>
    <x v="0"/>
    <x v="0"/>
  </r>
  <r>
    <d v="2014-01-22T00:00:00"/>
    <d v="2014-01-23T00:00:00"/>
    <n v="1"/>
    <s v="2014-Jan"/>
    <n v="1"/>
    <s v="IT-LQA-FAT"/>
    <x v="0"/>
    <m/>
    <s v="DM"/>
    <s v="DBS"/>
    <x v="0"/>
    <s v="DMDBS_SLT_2.0.0.18.1.87b2"/>
    <s v="CMTeam"/>
    <s v="Deepinder Singh"/>
    <s v="\\192.168.3.3\Share\Releases\Projects\SLT\Release_For_IT\Test_Build_1.0.0.4\Server CD\DBS\Setup"/>
    <m/>
    <m/>
    <s v="Pass"/>
    <s v="Readme Re-Released"/>
    <m/>
    <m/>
    <m/>
    <s v="K.V. Krishnan"/>
    <x v="0"/>
    <s v=""/>
    <x v="0"/>
    <x v="0"/>
  </r>
  <r>
    <d v="2014-01-22T00:00:00"/>
    <d v="2014-01-23T00:00:00"/>
    <n v="1"/>
    <s v="2014-Jan"/>
    <n v="1"/>
    <s v="IT-LQA"/>
    <x v="0"/>
    <m/>
    <s v="RA"/>
    <s v="DBS"/>
    <x v="0"/>
    <s v="RADBS_SLT_2.0.0.23.1.51b2"/>
    <s v="CMTeam"/>
    <s v="Deepinder Singh"/>
    <s v="\\192.168.3.3\Share\Releases\Projects\SLT\Release_For_IT\Test_Build_1.0.0.4\Server CD\DBS\Setup"/>
    <m/>
    <s v="\\192.168.3.3\Share\Releases\Projects\SLT\Release_For_LQA\Test_Build_1.0.0.17\Server CD\DBS\Setup"/>
    <s v="Pass"/>
    <m/>
    <m/>
    <m/>
    <m/>
    <m/>
    <x v="0"/>
    <s v=""/>
    <x v="0"/>
    <x v="0"/>
  </r>
  <r>
    <d v="2014-01-22T00:00:00"/>
    <d v="2014-01-22T00:00:00"/>
    <n v="1"/>
    <s v="2014-Jan"/>
    <n v="1"/>
    <s v="IT-LQA-UAT"/>
    <x v="1"/>
    <m/>
    <s v="NM"/>
    <s v="DBS"/>
    <x v="0"/>
    <s v="NMDBS_4.6.1.16b2"/>
    <s v="CMTeam"/>
    <s v="surender Kumar"/>
    <s v="\\192.168.3.3\Share\Releases\Product\Netmind_4.6\Build&amp;Release\ReleaseForIT\TestBuild_4.6.1\Build4\ServerCD\DBS\Setup"/>
    <m/>
    <s v="\\192.168.3.3\Share\Releases\Product\Netmind_4.6\Build&amp;Release\ReleaseForTest\TestBuild_4.6.1\Build4\ServerCD\DBS\Setup"/>
    <s v="Pass"/>
    <s v="Readme Re-Released"/>
    <m/>
    <m/>
    <m/>
    <s v="Swapnil Garg"/>
    <x v="0"/>
    <s v=""/>
    <x v="0"/>
    <x v="0"/>
  </r>
  <r>
    <d v="2014-01-22T00:00:00"/>
    <d v="2014-01-22T00:00:00"/>
    <n v="1"/>
    <s v="2014-Jan"/>
    <n v="1"/>
    <s v="IT-LQA"/>
    <x v="10"/>
    <m/>
    <s v="NM"/>
    <s v="DBS"/>
    <x v="1"/>
    <s v="NMDBS_COM_4.6.1.15.1"/>
    <s v="CMTeam"/>
    <s v="Sachin Srivastva"/>
    <s v="\\192.168.3.3\Share\Releases\Projects\Comcast\Release_For_IT\Test_Build_3.5.50\Server CD\Database\Setup"/>
    <m/>
    <s v="\\192.168.3.3\Share\Releases\Projects\Comcast\Release_for_Test\Test_Build_3.5.50\Server CD\Database\Setup"/>
    <m/>
    <m/>
    <m/>
    <m/>
    <m/>
    <m/>
    <x v="1"/>
    <s v=""/>
    <x v="0"/>
    <x v="0"/>
  </r>
  <r>
    <d v="2014-01-22T00:00:00"/>
    <d v="2014-01-22T00:00:00"/>
    <n v="1"/>
    <s v="2014-Jan"/>
    <n v="1"/>
    <s v="IT-LQA"/>
    <x v="10"/>
    <m/>
    <s v="NM"/>
    <s v="DBS"/>
    <x v="0"/>
    <s v="NMDBS_COM_4.6.1.15.1.1b1"/>
    <s v="CMTeam"/>
    <s v="Sachin Srivastva"/>
    <s v="\\192.168.3.3\Share\Releases\Projects\Comcast\Release_For_IT\Test_Build_3.5.50\Server CD\Database\Setup"/>
    <s v="Obsolete-LQA"/>
    <s v="\\192.168.3.3\Share\Releases\Projects\Comcast\Release_for_Test\Test_Build_3.5.50\Server CD\Database\Setup"/>
    <m/>
    <m/>
    <m/>
    <m/>
    <m/>
    <m/>
    <x v="2"/>
    <d v="2014-01-22T00:00:00"/>
    <x v="6"/>
    <x v="1"/>
  </r>
  <r>
    <d v="2014-01-22T00:00:00"/>
    <d v="2014-01-22T00:00:00"/>
    <n v="1"/>
    <s v="2014-Jan"/>
    <n v="1"/>
    <s v="IT-LQA"/>
    <x v="10"/>
    <m/>
    <s v="NM"/>
    <s v="DBS"/>
    <x v="0"/>
    <s v="NMDBS_COM_4.6.1.15.1.2b1"/>
    <s v="CMTeam"/>
    <s v="Sachin Srivastva"/>
    <s v="\\192.168.3.3\Share\Releases\Projects\Comcast\Release_For_IT\Test_Build_3.5.50\Server CD\Database\Setup"/>
    <s v="Obsolete-LQA"/>
    <s v="\\192.168.3.3\Share\Releases\Projects\Comcast\Release_for_Test\Test_Build_3.5.50\Server CD\Database\Setup"/>
    <m/>
    <m/>
    <m/>
    <m/>
    <m/>
    <m/>
    <x v="2"/>
    <d v="2014-01-22T00:00:00"/>
    <x v="6"/>
    <x v="1"/>
  </r>
  <r>
    <d v="2014-01-22T00:00:00"/>
    <d v="2014-01-22T00:00:00"/>
    <n v="1"/>
    <s v="2014-Jan"/>
    <n v="1"/>
    <s v="IT-LQA-AT"/>
    <x v="4"/>
    <m/>
    <s v="NM"/>
    <s v="DBS"/>
    <x v="0"/>
    <s v="NMDBS_TLSTR_4.0.1.0.4.283b1"/>
    <s v="CMTeam"/>
    <s v="Gautam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Abhijeet Chaterjee"/>
    <x v="0"/>
    <s v=""/>
    <x v="0"/>
    <x v="0"/>
  </r>
  <r>
    <d v="2014-01-22T00:00:00"/>
    <d v="2014-01-22T00:00:00"/>
    <n v="1"/>
    <s v="2014-Jan"/>
    <n v="1"/>
    <s v="IT-LQA-FAT"/>
    <x v="11"/>
    <m/>
    <s v="NM"/>
    <s v="DBS"/>
    <x v="0"/>
    <s v="20140122_3.0.2_BMB_COMMON_P1"/>
    <s v="CMTeam"/>
    <s v="Anjani"/>
    <s v="\\192.168.3.3\share\Releases\Projects\BMB\Release_For_IT\Test_Build_3.0.2.35\Server CD\Database\Setup"/>
    <m/>
    <s v="\\192.168.3.3\share\Releases\Projects\BMB\Release_For_Test\Test_Build_3.0.2.35\Server CD\Database\Setup"/>
    <s v="Pass"/>
    <m/>
    <m/>
    <m/>
    <m/>
    <s v="Manas Ranjan Barik"/>
    <x v="0"/>
    <s v=""/>
    <x v="0"/>
    <x v="0"/>
  </r>
  <r>
    <d v="2014-01-22T00:00:00"/>
    <d v="2014-01-22T00:00:00"/>
    <n v="1"/>
    <s v="2014-Jan"/>
    <n v="1"/>
    <s v="IT-LQA-UAT"/>
    <x v="3"/>
    <m/>
    <s v="NM"/>
    <s v="DBS"/>
    <x v="0"/>
    <s v="NMDBS_OBT_4.6.1.15.1.18b1"/>
    <s v="CMTeam"/>
    <s v="Puneet Gupta"/>
    <s v="\\192.168.3.3\Share\Releases\Projects\OBT\Release_For_IT\TestBuild_1.0.0.2\Server CD\DBS\Setup"/>
    <s v="Obsolete-LQA"/>
    <s v="\\192.168.3.3\Share\Releases\Projects\OBT\Release_For_LQA\TestBuild_1.0.0.4\Server CD\DBS\Setup"/>
    <s v="Pass"/>
    <m/>
    <m/>
    <m/>
    <m/>
    <s v="Swapnil Garg"/>
    <x v="2"/>
    <d v="2014-01-22T00:00:00"/>
    <x v="6"/>
    <x v="1"/>
  </r>
  <r>
    <d v="2014-01-22T00:00:00"/>
    <d v="2014-01-23T00:00:00"/>
    <n v="1"/>
    <s v="2014-Jan"/>
    <n v="1"/>
    <s v="LQA"/>
    <x v="9"/>
    <m/>
    <s v="DM"/>
    <s v="DBS"/>
    <x v="0"/>
    <s v="DMDBS_MAX_2.1.1.11.1.2b1"/>
    <s v="CMTeam"/>
    <s v="Chander Kanta"/>
    <s v="\\192.168.3.3\share\Releases\Projects\MAX\Release_For_IT\TestBuild_1.0.0.1\Server CD\DBS\Setup"/>
    <m/>
    <s v="\\192.168.3.3\Share\Releases\Projects\MAX\Release_For_Test\Test_Build_1.0.0.1\Server CD\DBS\Setup"/>
    <m/>
    <m/>
    <m/>
    <m/>
    <m/>
    <m/>
    <x v="1"/>
    <s v=""/>
    <x v="0"/>
    <x v="0"/>
  </r>
  <r>
    <d v="2014-01-23T00:00:00"/>
    <d v="2014-01-23T00:00:00"/>
    <n v="1"/>
    <s v="2014-Jan"/>
    <n v="1"/>
    <s v="LQA-UAT"/>
    <x v="1"/>
    <m/>
    <s v="MPE"/>
    <s v="MPE"/>
    <x v="0"/>
    <s v="MPE_3.2.4.28b1"/>
    <s v="CMTeam"/>
    <s v="Harish Singh"/>
    <m/>
    <m/>
    <s v="\\192.168.3.3\Share\Releases\Product\MPE_GUI\ReleaseForLQA\TestBuild_1.0.0.2\Server CD\MPE\Setup"/>
    <s v="Pass"/>
    <s v="Readme Re-Released"/>
    <m/>
    <m/>
    <m/>
    <s v="Hemant Kumar Sharma"/>
    <x v="0"/>
    <s v=""/>
    <x v="0"/>
    <x v="0"/>
  </r>
  <r>
    <d v="2014-01-23T00:00:00"/>
    <d v="2014-01-23T00:00:00"/>
    <n v="1"/>
    <s v="2014-Jan"/>
    <n v="1"/>
    <s v="LQA"/>
    <x v="0"/>
    <m/>
    <s v="MPE"/>
    <s v="MPE"/>
    <x v="0"/>
    <s v="MPE_SLT-1B_3.0.1.1.1.46b1"/>
    <s v="CMTeam"/>
    <s v="Ajay Awasthi"/>
    <m/>
    <s v="Obsolete-LQA"/>
    <s v="\\192.168.3.3\Share\Releases\Projects\SLT-1B\Release_For_Test\Test_Build_1.0.0.1\Server CD\MPE\Setup"/>
    <m/>
    <m/>
    <m/>
    <m/>
    <m/>
    <m/>
    <x v="2"/>
    <d v="2014-01-23T00:00:00"/>
    <x v="6"/>
    <x v="1"/>
  </r>
  <r>
    <d v="2014-01-23T00:00:00"/>
    <d v="2014-01-23T00:00:00"/>
    <n v="1"/>
    <s v="2014-Jan"/>
    <n v="1"/>
    <s v="IT-LQA-UAT"/>
    <x v="8"/>
    <m/>
    <s v="NM"/>
    <s v="DBS"/>
    <x v="0"/>
    <s v="NMDBS_TWC_4.6.1.11.3.30b2 "/>
    <s v="CMTeam"/>
    <s v="Sudip Ghosh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Sumit Gomber"/>
    <x v="0"/>
    <s v=""/>
    <x v="0"/>
    <x v="0"/>
  </r>
  <r>
    <d v="2014-01-23T00:00:00"/>
    <d v="2014-01-23T00:00:00"/>
    <n v="1"/>
    <s v="2014-Jan"/>
    <n v="1"/>
    <s v="IT-LQA-AT"/>
    <x v="4"/>
    <m/>
    <s v="NM"/>
    <s v="DBS"/>
    <x v="0"/>
    <s v="NMDBS_TLSTR_4.0.1.0.4.284b1"/>
    <s v="CMTeam"/>
    <s v="Gautam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Abhijeet Chaterjee"/>
    <x v="0"/>
    <s v=""/>
    <x v="0"/>
    <x v="0"/>
  </r>
  <r>
    <d v="2014-01-23T00:00:00"/>
    <d v="2014-01-23T00:00:00"/>
    <n v="1"/>
    <s v="2014-Jan"/>
    <n v="1"/>
    <s v="IT-LQA"/>
    <x v="0"/>
    <m/>
    <s v="DM"/>
    <s v="DBS"/>
    <x v="0"/>
    <s v="DMDBS_SLT_2.0.0.18.1.92b1"/>
    <s v="CMTeam"/>
    <s v="Deepinder Singh"/>
    <s v="\\192.168.3.3\Share\Releases\Projects\SLT\Release_For_IT\Test_Build_1.0.0.4\Server CD\DBS\Setup"/>
    <s v="Obsolete-LQA"/>
    <s v="\\192.168.3.3\Share\Releases\Projects\SLT\Release_For_LQA\Test_Build_1.0.0.17\Server CD\DBS\Setup"/>
    <m/>
    <m/>
    <m/>
    <m/>
    <m/>
    <m/>
    <x v="2"/>
    <d v="2014-01-23T00:00:00"/>
    <x v="6"/>
    <x v="1"/>
  </r>
  <r>
    <d v="2014-01-23T00:00:00"/>
    <d v="2014-01-23T00:00:00"/>
    <n v="1"/>
    <s v="2014-Jan"/>
    <n v="1"/>
    <s v="IT-LQA"/>
    <x v="1"/>
    <m/>
    <s v="SAC"/>
    <s v="DBS"/>
    <x v="0"/>
    <s v="SACDBS_1.1.0.7b1"/>
    <s v="CMTeam"/>
    <s v="Manisha Srivastava"/>
    <s v="\\192.168.3.3\Share\Releases\Product\SAC\Build&amp;Release\ReleaseforIT\TestBuild_1.2.0\Build1\ServerCD\DBS\Setup"/>
    <m/>
    <s v="\\192.168.3.3\Share\Releases\Product\SAC\Build&amp;Release\ReleaseforLQA\TestBuild_1.3.0\Build1\ServerCD\DBS\Setup"/>
    <m/>
    <m/>
    <m/>
    <m/>
    <m/>
    <m/>
    <x v="1"/>
    <s v=""/>
    <x v="0"/>
    <x v="0"/>
  </r>
  <r>
    <d v="2014-01-23T00:00:00"/>
    <d v="2014-01-23T00:00:00"/>
    <n v="1"/>
    <s v="2014-Jan"/>
    <n v="1"/>
    <s v="IT-LQA"/>
    <x v="0"/>
    <m/>
    <s v="DM"/>
    <s v="DBS"/>
    <x v="0"/>
    <s v="DMDBS_SLT_2.0.0.18.1.89b2"/>
    <s v="CMTeam"/>
    <s v="Deepinder Singh"/>
    <s v="\\192.168.3.3\Share\Releases\Projects\SLT\Release_For_IT\Test_Build_1.0.0.4\Server CD\DBS\Setup"/>
    <m/>
    <s v="\\192.168.3.3\Share\Releases\Projects\SLT\Release_For_LQA\Test_Build_1.0.0.17\Server CD\DBS\Setup"/>
    <s v="Pass"/>
    <m/>
    <m/>
    <m/>
    <m/>
    <m/>
    <x v="0"/>
    <s v=""/>
    <x v="0"/>
    <x v="0"/>
  </r>
  <r>
    <d v="2014-01-23T00:00:00"/>
    <d v="2014-01-23T00:00:00"/>
    <n v="1"/>
    <s v="2014-Jan"/>
    <n v="1"/>
    <s v="LQA"/>
    <x v="5"/>
    <m/>
    <s v="NM"/>
    <s v="DBS"/>
    <x v="0"/>
    <s v="NMDBS_BHN_3.5.1.53.1"/>
    <s v="Sumita Yadav"/>
    <s v="Sumita Yadav"/>
    <m/>
    <m/>
    <s v="\\192.168.3.3\Share\Projects\Neustar\BHN\Build&amp;Release\Release For Test\Test_Build_3.5.37\Server CD\Database\Setup"/>
    <m/>
    <m/>
    <m/>
    <m/>
    <m/>
    <m/>
    <x v="1"/>
    <s v=""/>
    <x v="0"/>
    <x v="0"/>
  </r>
  <r>
    <d v="2014-01-24T00:00:00"/>
    <d v="2014-01-24T00:00:00"/>
    <n v="1"/>
    <s v="2014-Jan"/>
    <n v="1"/>
    <s v="IT-LQA-UAT"/>
    <x v="2"/>
    <m/>
    <s v="RM"/>
    <s v="GUI"/>
    <x v="1"/>
    <s v="RMGUI_SHAW_2.0.25"/>
    <s v="CMTeam"/>
    <s v="Apurva Saurabh"/>
    <s v="\\192.168.3.3\Share\Releases\Projects\SHAW\Release_For_IT\Test_Build_1.0.0.27\Client CD\RM\Setup"/>
    <m/>
    <s v="\\192.168.3.3\Share\Releases\Projects\SHAW\Release_For_LQA\Test_Build_1.0.0.28\Client CD\RM\Setup"/>
    <s v="Pass"/>
    <m/>
    <m/>
    <m/>
    <m/>
    <s v="parul rajput"/>
    <x v="0"/>
    <s v=""/>
    <x v="0"/>
    <x v="0"/>
  </r>
  <r>
    <d v="2014-01-24T00:00:00"/>
    <d v="2014-01-24T00:00:00"/>
    <n v="1"/>
    <s v="2014-Jan"/>
    <n v="1"/>
    <s v="IT-LQA-AT"/>
    <x v="4"/>
    <m/>
    <s v="NM"/>
    <s v="DBS"/>
    <x v="0"/>
    <s v="NMDBS_TLSTR_4.0.1.0.4.285b1"/>
    <s v="CMTeam"/>
    <s v="Gautam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Abhijeet Chaterjee"/>
    <x v="0"/>
    <s v=""/>
    <x v="0"/>
    <x v="0"/>
  </r>
  <r>
    <d v="2014-01-24T00:00:00"/>
    <d v="2014-01-24T00:00:00"/>
    <n v="1"/>
    <s v="2014-Jan"/>
    <n v="1"/>
    <s v="IT-LQA"/>
    <x v="0"/>
    <m/>
    <s v="DM"/>
    <s v="DBS"/>
    <x v="0"/>
    <s v="DMDBS_SLT_2.0.0.18.1.93b1"/>
    <s v="CMTeam"/>
    <s v="Rohit Kanwar"/>
    <s v="\\192.168.3.3\Share\Releases\Projects\SLT\Release_For_IT\Test_Build_1.0.0.4\Server CD\DBS\Setup"/>
    <m/>
    <s v="\\192.168.3.3\Share\Releases\Projects\SLT\Release_For_LQA\Test_Build_1.0.0.17\Server CD\DBS\Setup"/>
    <m/>
    <m/>
    <m/>
    <m/>
    <m/>
    <m/>
    <x v="1"/>
    <s v=""/>
    <x v="0"/>
    <x v="0"/>
  </r>
  <r>
    <d v="2014-01-24T00:00:00"/>
    <d v="2014-01-24T00:00:00"/>
    <n v="1"/>
    <s v="2014-Jan"/>
    <n v="1"/>
    <s v="LQA"/>
    <x v="9"/>
    <m/>
    <s v="RA"/>
    <s v="CS"/>
    <x v="1"/>
    <s v="RACS_MAX_2.5.4.0.1"/>
    <s v="CMTeam"/>
    <s v="Alok Bagwale"/>
    <m/>
    <m/>
    <s v="\\192.168.3.3\Share\Releases\Projects\MAX\Release_For_Test\Test_Build_1.0.0.1\Server CD\GUI\Setup"/>
    <m/>
    <m/>
    <m/>
    <m/>
    <m/>
    <m/>
    <x v="1"/>
    <s v=""/>
    <x v="0"/>
    <x v="0"/>
  </r>
  <r>
    <d v="2014-01-24T00:00:00"/>
    <d v="2014-01-24T00:00:00"/>
    <n v="1"/>
    <s v="2014-Jan"/>
    <n v="1"/>
    <s v="IT-LQA"/>
    <x v="0"/>
    <m/>
    <s v="RT"/>
    <s v="DBS"/>
    <x v="0"/>
    <s v="RTDBS_SLT_3.0.0.20.1.3b1"/>
    <s v="CMTeam"/>
    <s v="Rohit Kanwar"/>
    <s v="\\192.168.3.3\Share\Releases\Projects\SLT\Release_For_IT\Test_Build_1.0.0.4\Server CD\DBS\Setup "/>
    <s v="Obsolete-LQA"/>
    <s v="\\192.168.3.3\Share\Releases\Projects\SLT\Release_For_LQA\Test_Build_1.0.0.17\Server CD\DBS\Setup "/>
    <m/>
    <s v="Readme Re-Released"/>
    <m/>
    <m/>
    <m/>
    <m/>
    <x v="2"/>
    <d v="2014-01-24T00:00:00"/>
    <x v="6"/>
    <x v="1"/>
  </r>
  <r>
    <d v="2014-01-25T00:00:00"/>
    <d v="2014-01-25T00:00:00"/>
    <n v="1"/>
    <s v="2014-Jan"/>
    <n v="1"/>
    <s v="LQA"/>
    <x v="9"/>
    <m/>
    <s v="RT"/>
    <s v="GUI"/>
    <x v="1"/>
    <s v="RTGUI_MAX_4.0.19.0.1"/>
    <s v="CMTeam"/>
    <s v="Ajay Sharma"/>
    <m/>
    <m/>
    <s v="\\192.168.3.3\share\Releases\Projects\MAX\Release_For_Test\Test_Build_1.0.0.1\Server CD\GUI\Setup"/>
    <m/>
    <m/>
    <m/>
    <m/>
    <m/>
    <m/>
    <x v="1"/>
    <s v=""/>
    <x v="0"/>
    <x v="0"/>
  </r>
  <r>
    <d v="2014-01-25T00:00:00"/>
    <d v="2014-01-25T00:00:00"/>
    <n v="1"/>
    <s v="2014-Jan"/>
    <n v="1"/>
    <s v="LQA"/>
    <x v="0"/>
    <m/>
    <s v="MPE"/>
    <s v="MPE"/>
    <x v="0"/>
    <s v="MPE_SLT-1B_3.0.1.1.1.47b1"/>
    <s v="CMTeam"/>
    <s v="Ajay Awasthi"/>
    <m/>
    <m/>
    <s v="\\192.168.3.3\Share\Releases\Projects\SLT-1B\Release_For_Test\Test_Build_1.0.0.1\Server CD\MPE\Setup"/>
    <s v="Pass"/>
    <s v="Readme Re-Released"/>
    <m/>
    <m/>
    <m/>
    <m/>
    <x v="0"/>
    <s v=""/>
    <x v="0"/>
    <x v="0"/>
  </r>
  <r>
    <d v="2014-01-25T00:00:00"/>
    <d v="2014-01-25T00:00:00"/>
    <n v="1"/>
    <s v="2014-Jan"/>
    <n v="1"/>
    <s v="LQA-UAT"/>
    <x v="5"/>
    <m/>
    <s v="NM"/>
    <s v="DBS"/>
    <x v="0"/>
    <s v="NMDBS_BHN_3.5.1.53.2"/>
    <s v="Sachin Srivastva"/>
    <s v="Sachin Srivastva"/>
    <s v="\\192.168.3.3\Share\Projects\Neustar\BHN\Build&amp;Release\Release For Test\Test_Build_3.5.37\Server CD\Database\Setup"/>
    <m/>
    <m/>
    <s v="Pass"/>
    <m/>
    <m/>
    <m/>
    <m/>
    <s v="Rudra Narayan"/>
    <x v="0"/>
    <s v=""/>
    <x v="0"/>
    <x v="0"/>
  </r>
  <r>
    <d v="2014-01-25T00:00:00"/>
    <d v="2014-01-25T00:00:00"/>
    <n v="1"/>
    <s v="2014-Jan"/>
    <n v="1"/>
    <s v="LQA"/>
    <x v="9"/>
    <m/>
    <s v="MPE"/>
    <s v="MPE"/>
    <x v="0"/>
    <s v="MPE_MAX_3.2.5.0.1.2b1"/>
    <s v="CMTeam"/>
    <s v="Navkaran Sandhu"/>
    <s v="\\192.168.3.3\Share\Releases\Projects\MAX\Release_For_Test\Test_Build_1.0.0.1\Server CD\MPE\Setup"/>
    <m/>
    <m/>
    <m/>
    <m/>
    <m/>
    <m/>
    <m/>
    <m/>
    <x v="1"/>
    <s v=""/>
    <x v="0"/>
    <x v="0"/>
  </r>
  <r>
    <d v="2014-01-25T00:00:00"/>
    <d v="2014-01-25T00:00:00"/>
    <n v="1"/>
    <s v="2014-Jan"/>
    <n v="1"/>
    <s v="IT-LQA"/>
    <x v="0"/>
    <m/>
    <s v="DM"/>
    <s v="DBS"/>
    <x v="0"/>
    <s v="DMDBS_SLT_2.0.0.18.1.95b1"/>
    <s v="CMTeam"/>
    <s v="Rohit Kanwar"/>
    <s v="\\192.168.3.3\Share\Releases\Projects\SLT\Release_For_IT\Test_Build_1.0.0.4\Server CD\DBS\Setup"/>
    <s v="Obsolete-LQA"/>
    <s v="\\192.168.3.3\Share\Releases\Projects\SLT\Release_For_LQA\Test_Build_1.0.0.17\Server CD\DBS\Setup"/>
    <m/>
    <m/>
    <m/>
    <m/>
    <m/>
    <m/>
    <x v="2"/>
    <d v="2014-01-25T00:00:00"/>
    <x v="6"/>
    <x v="1"/>
  </r>
  <r>
    <d v="2014-01-25T00:00:00"/>
    <d v="2014-01-25T00:00:00"/>
    <n v="1"/>
    <s v="2014-Jan"/>
    <n v="1"/>
    <s v="IT-LQA-FAT"/>
    <x v="0"/>
    <m/>
    <s v="DM"/>
    <s v="DBS"/>
    <x v="0"/>
    <s v="DMDBS_SLT_2.0.0.18.1.94b1"/>
    <s v="CMTeam"/>
    <s v="Deepinder Singh"/>
    <s v="\\192.168.3.3\Share\Releases\Projects\SLT\Release_For_IT\Test_Build_1.0.0.4\Server CD\DBS\Setup"/>
    <m/>
    <s v="\\192.168.3.3\Share\Releases\Projects\SLT\Release_For_LQA\Test_Build_1.0.0.17\Server CD\DBS\Setup"/>
    <s v="Pass"/>
    <m/>
    <m/>
    <m/>
    <m/>
    <s v="Surya N Behra"/>
    <x v="0"/>
    <s v=""/>
    <x v="0"/>
    <x v="0"/>
  </r>
  <r>
    <d v="2014-01-27T00:00:00"/>
    <d v="2014-01-27T00:00:00"/>
    <n v="1"/>
    <s v="2014-Jan"/>
    <n v="1"/>
    <s v="IT-LQA"/>
    <x v="0"/>
    <m/>
    <s v="DM"/>
    <s v="DBS"/>
    <x v="0"/>
    <s v="DMDBS_SLT_2.0.0.18.1.95b2"/>
    <s v="CMTeam"/>
    <s v="Rohit Kanwar"/>
    <s v="\\192.168.3.3\Share\Releases\Projects\SLT\Release_For_IT\Test_Build_1.0.0.4\Server CD\DBS\Setup"/>
    <m/>
    <s v="\\192.168.3.3\Share\Releases\Projects\SLT\Release_For_LQA\Test_Build_1.0.0.17\Server CD\DBS\Setup"/>
    <s v="Pass"/>
    <m/>
    <m/>
    <m/>
    <m/>
    <m/>
    <x v="0"/>
    <s v=""/>
    <x v="0"/>
    <x v="0"/>
  </r>
  <r>
    <d v="2014-01-27T00:00:00"/>
    <d v="2014-01-27T00:00:00"/>
    <n v="1"/>
    <s v="2014-Jan"/>
    <n v="1"/>
    <s v="IT-LQA-UAT"/>
    <x v="2"/>
    <m/>
    <s v="RM"/>
    <s v="DBS"/>
    <x v="0"/>
    <s v="RMDBS_SHAW_2.0.1.0.1.42b1"/>
    <s v="CMTeam"/>
    <s v="Aditya Garg"/>
    <s v="\\192.168.3.3\Share\Releases\Projects\SHAW\Release_For_IT\Test_Build_1.0.0.27\Server CD\DBS\Setup"/>
    <m/>
    <s v="\\192.168.3.3\Share\Releases\Projects\SHAW\Release_For_LQA\Test_Build_1.0.0.28\Server CD\DBS\Setup"/>
    <s v="Pass"/>
    <m/>
    <m/>
    <m/>
    <m/>
    <s v="parul rajput"/>
    <x v="0"/>
    <s v=""/>
    <x v="0"/>
    <x v="0"/>
  </r>
  <r>
    <d v="2014-01-27T00:00:00"/>
    <d v="2014-01-27T00:00:00"/>
    <n v="1"/>
    <s v="2014-Jan"/>
    <n v="1"/>
    <s v="IT-LQA"/>
    <x v="0"/>
    <m/>
    <s v="DM"/>
    <s v="DBS"/>
    <x v="0"/>
    <s v="DMDBS_SLT_2.0.0.18.1.92b2"/>
    <s v="CMTeam"/>
    <s v="Rohit Kanwar"/>
    <s v="\\192.168.3.3\Share\Releases\Projects\SLT\Release_For_IT\Test_Build_1.0.0.4\Server CD\DBS\Setup"/>
    <m/>
    <s v="\\192.168.3.3\Share\Releases\Projects\SLT\Release_For_LQA\Test_Build_1.0.0.17\Server CD\DBS\Setup"/>
    <m/>
    <m/>
    <m/>
    <m/>
    <m/>
    <m/>
    <x v="1"/>
    <s v=""/>
    <x v="0"/>
    <x v="0"/>
  </r>
  <r>
    <d v="2014-01-27T00:00:00"/>
    <d v="2014-01-27T00:00:00"/>
    <n v="1"/>
    <s v="2014-Jan"/>
    <n v="1"/>
    <s v="IT-LQA"/>
    <x v="0"/>
    <m/>
    <s v="DM"/>
    <s v="DBS"/>
    <x v="0"/>
    <s v="DMDBS_SLT_2.0.0.18.1.96b1"/>
    <s v="CMTeam"/>
    <s v="Rohit Kanwar"/>
    <s v="\\192.168.3.3\Share\Releases\Projects\SLT\Release_For_IT\Test_Build_1.0.0.4\Server CD\DBS\Setup"/>
    <m/>
    <s v="\\192.168.3.3\Share\Releases\Projects\SLT\Release_For_LQA\Test_Build_1.0.0.17\Server CD\DBS\Setup"/>
    <s v="Pass"/>
    <m/>
    <m/>
    <m/>
    <m/>
    <m/>
    <x v="0"/>
    <s v=""/>
    <x v="0"/>
    <x v="0"/>
  </r>
  <r>
    <d v="2014-01-27T00:00:00"/>
    <d v="2014-01-27T00:00:00"/>
    <n v="1"/>
    <s v="2014-Jan"/>
    <n v="1"/>
    <s v="IT-LQA-UAT"/>
    <x v="1"/>
    <m/>
    <s v="DM"/>
    <s v="DBS"/>
    <x v="0"/>
    <s v="DMDBS_2.0.0.20b1"/>
    <s v="CMTeam"/>
    <s v="Chander Kanta"/>
    <s v="\\192.168.3.3\Share\Releases\Product\DataMind_2.0\Build&amp;Release\Release for IT\TestBuild_2.0.0\Server CD\DBS\Setup"/>
    <m/>
    <s v="\\192.168.3.3\Share\Releases\Product\DataMind_2.0\Build&amp;Release\Release for LQA\TestBuild_2.0.0\Server CD\DBS\Setup"/>
    <s v="Pass"/>
    <m/>
    <m/>
    <m/>
    <m/>
    <s v="Surya N Behra"/>
    <x v="0"/>
    <s v=""/>
    <x v="0"/>
    <x v="0"/>
  </r>
  <r>
    <d v="2014-01-27T00:00:00"/>
    <d v="2014-01-27T00:00:00"/>
    <n v="1"/>
    <s v="2014-Jan"/>
    <n v="1"/>
    <s v="LQA"/>
    <x v="12"/>
    <m/>
    <s v="MPE"/>
    <s v="MPE"/>
    <x v="0"/>
    <s v="MPE_DRC_3.2.1.3.2.21b1"/>
    <s v="CMTeam"/>
    <s v="Rohtash"/>
    <m/>
    <m/>
    <s v="\\192.168.3.3\Share\Releases\Projects\DRC\Release_For_LQA\Test_Build_1.0.0.3\Server CD\MPE\Setup"/>
    <s v="Pass"/>
    <m/>
    <m/>
    <m/>
    <m/>
    <m/>
    <x v="0"/>
    <s v=""/>
    <x v="0"/>
    <x v="0"/>
  </r>
  <r>
    <d v="2014-01-27T00:00:00"/>
    <d v="2014-01-28T00:00:00"/>
    <n v="1"/>
    <s v="2014-Jan"/>
    <n v="1"/>
    <s v="IT-LQA"/>
    <x v="0"/>
    <m/>
    <s v="RA"/>
    <s v="DBS"/>
    <x v="0"/>
    <s v="RADBS_SLT_2.0.0.23.1.55b1"/>
    <s v="CMTeam"/>
    <s v="Rohit Kanwar"/>
    <s v="\\192.168.3.3\Share\Releases\Projects\SLT\Release_For_IT\Test_Build_1.0.0.4\Server CD\DBS\Setup"/>
    <m/>
    <s v="\\192.168.3.3\Share\Releases\Projects\SLT\Release_For_LQA\Test_Build_1.0.0.16\Server CD\DBS\Setup"/>
    <s v="Pass"/>
    <m/>
    <m/>
    <m/>
    <m/>
    <m/>
    <x v="0"/>
    <s v=""/>
    <x v="0"/>
    <x v="0"/>
  </r>
  <r>
    <d v="2014-01-28T00:00:00"/>
    <d v="2014-01-28T00:00:00"/>
    <n v="1"/>
    <s v="2014-Jan"/>
    <n v="1"/>
    <s v="IT-LQA-UAT"/>
    <x v="2"/>
    <m/>
    <s v="RM"/>
    <s v="DBS"/>
    <x v="0"/>
    <s v="RMDBS_SHAW_2.0.1.0.1.43b1"/>
    <s v="CMTeam"/>
    <s v="Aditya Garg"/>
    <s v="\\192.168.3.3\Share\Releases\Projects\SHAW\Release_For_IT\Test_Build_1.0.0.27\Server CD\DBS\Setup"/>
    <m/>
    <s v="\\192.168.3.3\Share\Releases\Projects\SHAW\Release_For_LQA\Test_Build_1.0.0.28\Server CD\DBS\Setup"/>
    <s v="Pass"/>
    <m/>
    <m/>
    <m/>
    <m/>
    <s v="parul rajput"/>
    <x v="0"/>
    <s v=""/>
    <x v="0"/>
    <x v="0"/>
  </r>
  <r>
    <d v="2014-01-28T00:00:00"/>
    <d v="2014-01-28T00:00:00"/>
    <n v="1"/>
    <s v="2014-Jan"/>
    <n v="1"/>
    <s v="IT-LQA-UAT"/>
    <x v="0"/>
    <m/>
    <s v="DM"/>
    <s v="DBS"/>
    <x v="0"/>
    <s v="DMDBS_SLT_2.0.0.18.1.97b1"/>
    <s v="CMTeam"/>
    <s v="Nishant"/>
    <s v="\\192.168.3.3\Share\Releases\Projects\SLT\Release_For_IT\Test_Build_1.0.0.4\Server CD\DBS\Setup"/>
    <m/>
    <s v="\\192.168.3.3\Share\Releases\Projects\SLT\Release_For_LQA\Test_Build_1.0.0.17\Server CD\DBS\Setup"/>
    <s v="Pass"/>
    <m/>
    <m/>
    <m/>
    <m/>
    <s v="Harsh Khanna"/>
    <x v="0"/>
    <s v=""/>
    <x v="0"/>
    <x v="0"/>
  </r>
  <r>
    <d v="2014-01-28T00:00:00"/>
    <d v="2014-01-28T00:00:00"/>
    <n v="1"/>
    <s v="2014-Jan"/>
    <n v="1"/>
    <s v="IT-LQA-UAT"/>
    <x v="3"/>
    <m/>
    <s v="NM"/>
    <s v="DBS"/>
    <x v="0"/>
    <s v="NMDBS_OBT_4.6.1.16.1.19b1"/>
    <s v="CMTeam"/>
    <s v="Puneet Gupta"/>
    <s v="\\192.168.3.3\Share\Releases\Projects\OBT\Release_For_IT\TestBuild_1.0.0.2\Server CD\DBS\Setup"/>
    <m/>
    <s v="\\192.168.3.3\Share\Releases\Projects\OBT\Release_For_LQA\TestBuild_1.0.0.4\Server CD\DBS\Setup"/>
    <s v="Pass"/>
    <m/>
    <m/>
    <m/>
    <m/>
    <s v="Swapnil Garg"/>
    <x v="0"/>
    <s v=""/>
    <x v="0"/>
    <x v="0"/>
  </r>
  <r>
    <d v="2014-01-28T00:00:00"/>
    <d v="2014-01-28T00:00:00"/>
    <n v="1"/>
    <s v="2014-Jan"/>
    <n v="1"/>
    <s v="LQA"/>
    <x v="0"/>
    <m/>
    <s v="MPE"/>
    <s v="MPE"/>
    <x v="0"/>
    <s v="MPE_SLT-1B_3.0.1.1.1.48b1"/>
    <s v="CMTeam"/>
    <s v="Ajay Awasthi"/>
    <m/>
    <m/>
    <s v="\\192.168.3.3\Share\Releases\Projects\SLT-1B\Release_For_Test\Test_Build_1.0.0.1\Server CD\MPE\Setup"/>
    <s v="Pass"/>
    <m/>
    <m/>
    <m/>
    <m/>
    <m/>
    <x v="0"/>
    <s v=""/>
    <x v="0"/>
    <x v="0"/>
  </r>
  <r>
    <d v="2014-01-28T00:00:00"/>
    <d v="2014-01-28T00:00:00"/>
    <n v="1"/>
    <s v="2014-Jan"/>
    <n v="1"/>
    <s v="LQA-UAT"/>
    <x v="8"/>
    <m/>
    <s v="WWFS"/>
    <s v="GUI"/>
    <x v="0"/>
    <s v="WWFSGUI_TWC_2.1.20.0.4.10b1"/>
    <s v="CMTeam"/>
    <s v="Rajeev Kumar"/>
    <m/>
    <m/>
    <s v="\\192.168.3.3\Share\Releases\Projects\TWC\Release_For_Test\Test_Build_1.0.0.4\Server CD\GUI\Setup"/>
    <s v="Pass"/>
    <m/>
    <m/>
    <m/>
    <m/>
    <s v="Paritosh Ghildyal"/>
    <x v="0"/>
    <s v=""/>
    <x v="0"/>
    <x v="0"/>
  </r>
  <r>
    <d v="2014-01-28T00:00:00"/>
    <d v="2014-01-28T00:00:00"/>
    <n v="1"/>
    <s v="2014-Jan"/>
    <n v="1"/>
    <s v="IT-LQA"/>
    <x v="0"/>
    <m/>
    <s v="DM"/>
    <s v="DBS"/>
    <x v="0"/>
    <s v="DMDBS_SLT_2.0.0.18.1.98b1"/>
    <s v="CMTeam"/>
    <s v="Rohit Kanwar"/>
    <s v="\\192.168.3.3\Share\Releases\Projects\SLT\Release_For_IT\Test_Build_1.0.0.4\Server CD\DBS\Setup"/>
    <m/>
    <s v="\\192.168.3.3\Share\Releases\Projects\SLT\Release_For_LQA\Test_Build_1.0.0.17\Server CD\DBS\Setup"/>
    <s v="Pass"/>
    <m/>
    <m/>
    <m/>
    <m/>
    <m/>
    <x v="0"/>
    <s v=""/>
    <x v="0"/>
    <x v="0"/>
  </r>
  <r>
    <d v="2014-01-28T00:00:00"/>
    <d v="2014-01-28T00:00:00"/>
    <n v="1"/>
    <s v="2014-Jan"/>
    <n v="1"/>
    <s v="IT-LQA"/>
    <x v="0"/>
    <m/>
    <s v="DM"/>
    <s v="DBS"/>
    <x v="0"/>
    <s v="RADBS_SLT_2.0.0.23.1.56b1"/>
    <s v="CMTeam"/>
    <s v="Rohit Kanwar"/>
    <s v="\\192.168.3.3\Share\Releases\Projects\SLT\Release_For_IT\Test_Build_1.0.0.4\Server CD\DBS\Setup"/>
    <m/>
    <s v="\\192.168.3.3\Share\Releases\Projects\SLT\Release_For_LQA\Test_Build_1.0.0.17\Server CD\DBS\Setup"/>
    <s v="Pass"/>
    <m/>
    <m/>
    <m/>
    <m/>
    <m/>
    <x v="0"/>
    <s v=""/>
    <x v="0"/>
    <x v="0"/>
  </r>
  <r>
    <d v="2014-01-29T00:00:00"/>
    <m/>
    <n v="1"/>
    <s v="2014-Jan"/>
    <s v="False"/>
    <s v="IT"/>
    <x v="6"/>
    <m/>
    <s v="NM"/>
    <s v="DBS"/>
    <x v="0"/>
    <s v="NMDBS_ANTEL_4.6.1.0.2.32b1"/>
    <s v="CMTeam"/>
    <s v="Nishant"/>
    <s v="\\192.168.3.3\Share\Releases\Projects\ANTEL\Release_For_IT\TestBuild_1.0.0.4\Server CD\DBS\Setup"/>
    <s v="Obsolete-LQA"/>
    <m/>
    <m/>
    <m/>
    <m/>
    <m/>
    <m/>
    <m/>
    <x v="2"/>
    <d v="1899-12-30T00:00:00"/>
    <x v="5"/>
    <x v="3"/>
  </r>
  <r>
    <d v="2014-01-29T00:00:00"/>
    <d v="2014-01-29T00:00:00"/>
    <n v="1"/>
    <s v="2014-Jan"/>
    <n v="1"/>
    <s v="IT-LQA"/>
    <x v="2"/>
    <m/>
    <s v="RM"/>
    <s v="GUI"/>
    <x v="1"/>
    <s v="RMGUI_SHAW_2.0.26"/>
    <s v="CMTeam"/>
    <s v="Apurva Saurabh"/>
    <s v="\\192.168.3.3\Share\Releases\Projects\SHAW\Release_For_IT\Test_Build_1.0.0.27\Client CD\RM\Setup"/>
    <m/>
    <s v="\\192.168.3.3\Share\Releases\Projects\SHAW\Release_For_LQA\Test_Build_1.0.0.28\Client CD\RM\Setup"/>
    <m/>
    <m/>
    <m/>
    <m/>
    <m/>
    <m/>
    <x v="1"/>
    <s v=""/>
    <x v="0"/>
    <x v="0"/>
  </r>
  <r>
    <d v="2014-01-29T00:00:00"/>
    <d v="2014-01-29T00:00:00"/>
    <n v="1"/>
    <s v="2014-Jan"/>
    <n v="1"/>
    <s v="IT-LQA"/>
    <x v="0"/>
    <m/>
    <s v="DM"/>
    <s v="DBS"/>
    <x v="0"/>
    <s v="DMDBS_SLT_2.0.0.18.1.99b1"/>
    <s v="CMTeam"/>
    <s v="Rohit Kanwar"/>
    <s v="\\192.168.3.3\Share\Releases\Projects\SLT\Release_For_IT\Test_Build_1.0.0.4\Server CD\DBS\Setup"/>
    <s v="Obsolete-LQA"/>
    <s v="\\192.168.3.3\Share\Releases\Projects\SLT\Release_For_LQA\Test_Build_1.0.0.17\Server CD\DBS\Setup"/>
    <m/>
    <m/>
    <m/>
    <m/>
    <m/>
    <m/>
    <x v="2"/>
    <d v="2014-01-29T00:00:00"/>
    <x v="7"/>
    <x v="1"/>
  </r>
  <r>
    <d v="2014-01-29T00:00:00"/>
    <d v="2014-01-29T00:00:00"/>
    <n v="1"/>
    <s v="2014-Jan"/>
    <n v="1"/>
    <s v="IT-LQA"/>
    <x v="0"/>
    <m/>
    <s v="DM"/>
    <s v="DBS"/>
    <x v="0"/>
    <s v="RADBS_SLT_2.0.0.23.1.57b1"/>
    <s v="CMTeam"/>
    <s v="Rohit Kanwar"/>
    <s v="\\192.168.3.3\Share\Releases\Projects\SLT\Release_For_IT\Test_Build_1.0.0.4\Server CD\DBS\Setup"/>
    <m/>
    <s v="\\192.168.3.3\Share\Releases\Projects\SLT\Release_For_LQA\Test_Build_1.0.0.17\Server CD\DBS\Setup"/>
    <s v="Pass"/>
    <m/>
    <m/>
    <m/>
    <m/>
    <m/>
    <x v="0"/>
    <s v=""/>
    <x v="0"/>
    <x v="0"/>
  </r>
  <r>
    <d v="2014-01-29T00:00:00"/>
    <d v="2014-01-29T00:00:00"/>
    <n v="1"/>
    <s v="2014-Jan"/>
    <n v="1"/>
    <s v="IT-LQA"/>
    <x v="10"/>
    <m/>
    <s v="Utility"/>
    <s v="Utility"/>
    <x v="1"/>
    <s v="NMUTLMIG1_COM_1.0.0.0.1"/>
    <s v="CMTeam"/>
    <s v="Sachin Srivastva"/>
    <s v="\\192.168.3.3\Share\Releases\Projects\Comcast\Release_For_IT\Test_Build_3.5.50\Utility\Setup"/>
    <s v="Obsolete-LQA"/>
    <s v="\\192.168.3.3\Share\Releases\Projects\Comcast\Release_for_Test\Test_Build_3.5.50\Utility\Setup"/>
    <m/>
    <m/>
    <m/>
    <m/>
    <m/>
    <m/>
    <x v="2"/>
    <d v="2014-01-29T00:00:00"/>
    <x v="7"/>
    <x v="1"/>
  </r>
  <r>
    <d v="2014-01-29T00:00:00"/>
    <d v="2014-01-29T00:00:00"/>
    <n v="1"/>
    <s v="2014-Jan"/>
    <n v="1"/>
    <s v="IT-LQA"/>
    <x v="10"/>
    <m/>
    <s v="Utility"/>
    <s v="Utility"/>
    <x v="1"/>
    <s v="NMUTLMIG2_COM_1.0.0.0.1"/>
    <s v="CMTeam"/>
    <s v="Sachin Srivastva"/>
    <s v="\\192.168.3.3\Share\Releases\Projects\Comcast\Release_For_IT\Test_Build_3.5.50\Utility\Setup"/>
    <s v="Obsolete-LQA"/>
    <s v="\\192.168.3.3\Share\Releases\Projects\Comcast\Release_for_Test\Test_Build_3.5.50\Utility\Setup"/>
    <m/>
    <m/>
    <m/>
    <m/>
    <m/>
    <m/>
    <x v="2"/>
    <d v="2014-01-29T00:00:00"/>
    <x v="7"/>
    <x v="1"/>
  </r>
  <r>
    <d v="2014-01-29T00:00:00"/>
    <d v="2014-01-29T00:00:00"/>
    <n v="1"/>
    <s v="2014-Jan"/>
    <n v="1"/>
    <s v="IT-LQA"/>
    <x v="10"/>
    <m/>
    <s v="Utility"/>
    <s v="Utility"/>
    <x v="1"/>
    <s v="NMUTLMIG3_COM_1.0.0.0.1"/>
    <s v="CMTeam"/>
    <s v="Sachin Srivastva"/>
    <s v="\\192.168.3.3\Share\Releases\Projects\Comcast\Release_For_IT\Test_Build_3.5.50\Utility\Setup"/>
    <s v="Obsolete-LQA"/>
    <s v="\\192.168.3.3\Share\Releases\Projects\Comcast\Release_for_Test\Test_Build_3.5.50\Utility\Setup"/>
    <m/>
    <m/>
    <m/>
    <m/>
    <m/>
    <m/>
    <x v="2"/>
    <d v="2014-01-29T00:00:00"/>
    <x v="7"/>
    <x v="1"/>
  </r>
  <r>
    <d v="2014-01-29T00:00:00"/>
    <d v="2014-01-29T00:00:00"/>
    <n v="1"/>
    <s v="2014-Jan"/>
    <n v="1"/>
    <s v="LQA-FAT"/>
    <x v="0"/>
    <m/>
    <s v="MPE"/>
    <s v="MPE"/>
    <x v="0"/>
    <s v="MPE_SLT-1B_3.0.1.1.1.491"/>
    <s v="CMTeam"/>
    <s v="Ajay Awasthi"/>
    <m/>
    <m/>
    <s v="\\192.168.3.3\Share\Releases\Projects\SLT-1B\Release_For_Test\Test_Build_1.0.0.1\Server CD\MPE\Setup"/>
    <s v="Pass"/>
    <s v="Readme Re-Released"/>
    <m/>
    <m/>
    <m/>
    <s v="K.V. Krishnan"/>
    <x v="0"/>
    <s v=""/>
    <x v="0"/>
    <x v="0"/>
  </r>
  <r>
    <d v="2014-01-29T00:00:00"/>
    <d v="2014-01-29T00:00:00"/>
    <n v="1"/>
    <s v="2014-Jan"/>
    <n v="1"/>
    <s v="LQA-UAT"/>
    <x v="3"/>
    <m/>
    <s v="WWFS"/>
    <s v="GUI"/>
    <x v="0"/>
    <s v="WWFSGUI_OBT_2.1.21.2.2.3b1"/>
    <s v="CMTeam"/>
    <s v="Sumit Dalal "/>
    <m/>
    <m/>
    <s v="\\192.168.3.3\Share\Releases\Projects\OBT\Release_For_LQA\TestBuild_1.0.0.4\Server CD\GUI\Setup"/>
    <s v="Pass"/>
    <s v="Readme Re-Released"/>
    <m/>
    <m/>
    <m/>
    <s v="Swapnil Garg"/>
    <x v="0"/>
    <s v=""/>
    <x v="0"/>
    <x v="0"/>
  </r>
  <r>
    <d v="2014-01-30T00:00:00"/>
    <d v="2014-01-30T00:00:00"/>
    <n v="1"/>
    <s v="2014-Jan"/>
    <n v="1"/>
    <s v="IT-LQA-FAT"/>
    <x v="0"/>
    <m/>
    <s v="DM"/>
    <s v="DBS"/>
    <x v="0"/>
    <s v="DMDBS_SLT_2.0.0.18.1.100b1"/>
    <s v="CMTeam"/>
    <s v="Rohit Kanwar"/>
    <s v="\\192.168.3.3\Share\Releases\Projects\SLT\Release_For_IT\Test_Build_1.0.0.4\Server CD\DBS\Setup"/>
    <m/>
    <s v="\\192.168.3.3\Share\Releases\Projects\SLT\Release_For_LQA\Test_Build_1.0.0.17\Server CD\DBS\Setup"/>
    <s v="Pass"/>
    <m/>
    <m/>
    <m/>
    <m/>
    <s v="K.V. Krishnan"/>
    <x v="0"/>
    <s v=""/>
    <x v="0"/>
    <x v="0"/>
  </r>
  <r>
    <d v="2014-01-30T00:00:00"/>
    <d v="2014-01-30T00:00:00"/>
    <n v="1"/>
    <s v="2014-Jan"/>
    <n v="1"/>
    <s v="LQA-FAT"/>
    <x v="0"/>
    <m/>
    <s v="MPE"/>
    <s v="MPE"/>
    <x v="0"/>
    <s v="MPE_SLT-1B_3.0.1.1.1.50b1"/>
    <s v="CMTeam"/>
    <s v="Ajay Awasthi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1-30T00:00:00"/>
    <d v="2014-01-30T00:00:00"/>
    <n v="1"/>
    <s v="2014-Jan"/>
    <n v="1"/>
    <s v="IT-LQA-AT"/>
    <x v="4"/>
    <m/>
    <s v="NM"/>
    <s v="DBS"/>
    <x v="0"/>
    <s v="NMDBS_TLSTR_4.0.1.0.4.286b1"/>
    <s v="CMTeam"/>
    <s v="Gautam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Abrar Khan"/>
    <x v="0"/>
    <s v=""/>
    <x v="0"/>
    <x v="0"/>
  </r>
  <r>
    <d v="2014-01-30T00:00:00"/>
    <d v="2014-01-30T00:00:00"/>
    <n v="1"/>
    <s v="2014-Jan"/>
    <n v="1"/>
    <s v="LQA-FAT"/>
    <x v="0"/>
    <m/>
    <s v="MPE"/>
    <s v="MPE"/>
    <x v="0"/>
    <s v="MPE_SLT-1B_3.0.1.1.1.46b2"/>
    <s v="CMTeam"/>
    <s v="Ajay Awasthi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1-30T00:00:00"/>
    <d v="2014-01-30T00:00:00"/>
    <n v="1"/>
    <s v="2014-Jan"/>
    <n v="1"/>
    <s v="IT-LQA"/>
    <x v="0"/>
    <m/>
    <s v="DM"/>
    <s v="DBS"/>
    <x v="0"/>
    <s v="RADBS_SLT_2.0.0.23.1.58b1"/>
    <s v="CMTeam"/>
    <s v="Rohit Kanwar"/>
    <s v="\\192.168.3.3\Share\Releases\Projects\SLT\Release_For_IT\Test_Build_1.0.0.4\Server CD\DBS\Setup"/>
    <m/>
    <s v="\\192.168.3.3\Share\Releases\Projects\SLT\Release_For_LQA\Test_Build_1.0.0.17\Server CD\DBS\Setup"/>
    <s v="Pass"/>
    <m/>
    <m/>
    <m/>
    <m/>
    <m/>
    <x v="0"/>
    <s v=""/>
    <x v="0"/>
    <x v="0"/>
  </r>
  <r>
    <d v="2014-01-31T00:00:00"/>
    <d v="2014-01-31T00:00:00"/>
    <n v="1"/>
    <s v="2014-Jan"/>
    <n v="1"/>
    <s v="LQA"/>
    <x v="10"/>
    <m/>
    <s v="MPE"/>
    <s v="MPE"/>
    <x v="1"/>
    <s v="MPE_COM_3.2.5.0.1"/>
    <s v="CMTeam"/>
    <s v="Mohd. Asif"/>
    <m/>
    <s v="Obsolete-LQA"/>
    <s v="\\192.168.3.3\share\Releases\Projects\Comcast\Release_for_Test\Test_Build_3.5.50\Server CD\MPE\Setup"/>
    <m/>
    <m/>
    <m/>
    <m/>
    <m/>
    <m/>
    <x v="2"/>
    <d v="2014-01-31T00:00:00"/>
    <x v="7"/>
    <x v="1"/>
  </r>
  <r>
    <d v="2014-01-31T00:00:00"/>
    <d v="2014-02-10T00:00:00"/>
    <n v="1"/>
    <s v="2014-Jan"/>
    <n v="2"/>
    <s v="IT-LQA"/>
    <x v="0"/>
    <m/>
    <s v="DM"/>
    <s v="DBS"/>
    <x v="0"/>
    <s v="DMDBS_SLT_2.0.0.18.1.101b1"/>
    <s v="CMTeam"/>
    <s v="Rohit Kanwar"/>
    <s v="\\192.168.3.3\Share\Releases\Projects\SLT\Release_For_IT\Test_Build_1.0.0.4\Server CD\DBS\Setup"/>
    <s v="Obsolete-LQA"/>
    <s v="\\192.168.3.3\Share\Releases\Projects\SLT\Release_For_LQA\Test_Build_1.0.0.17\Server CD\DBS\Setup"/>
    <m/>
    <m/>
    <m/>
    <m/>
    <m/>
    <m/>
    <x v="2"/>
    <d v="2014-02-10T00:00:00"/>
    <x v="8"/>
    <x v="1"/>
  </r>
  <r>
    <d v="2014-02-03T00:00:00"/>
    <d v="2014-02-03T00:00:00"/>
    <n v="2"/>
    <s v="2014-Feb"/>
    <n v="2"/>
    <s v="IT-LQA-FAT"/>
    <x v="0"/>
    <m/>
    <s v="RA"/>
    <s v="DBS"/>
    <x v="0"/>
    <s v="RADBS_SLT_2.0.0.25.1.59b1"/>
    <s v="CMTeam"/>
    <s v="Rohit Kanwar"/>
    <s v="\\192.168.3.3\Share\Releases\Projects\SLT\Release_For_IT\Test_Build_1.0.0.4\Server CD\DBS\Setup"/>
    <m/>
    <s v="\\192.168.3.3\Share\Releases\Projects\SLT\Release_For_LQA\Test_Build_1.0.0.17\Server CD\DBS\Setup"/>
    <s v="Pass"/>
    <m/>
    <m/>
    <m/>
    <m/>
    <s v="K.V. Krishnan"/>
    <x v="0"/>
    <s v=""/>
    <x v="0"/>
    <x v="0"/>
  </r>
  <r>
    <d v="2014-02-03T00:00:00"/>
    <d v="2014-02-03T00:00:00"/>
    <n v="2"/>
    <s v="2014-Feb"/>
    <n v="2"/>
    <s v="LQA"/>
    <x v="1"/>
    <m/>
    <s v="RT"/>
    <s v="GUI"/>
    <x v="1"/>
    <s v="RTGUI_4.0.20b1 "/>
    <s v="CMTeam"/>
    <s v="Ajay Sharma"/>
    <m/>
    <m/>
    <s v="\\192.168.3.3\Share\Releases\Product\RT_4.0\ReleaseForLQA\TestBuild_4.0.20\GUI\Build1\Setup"/>
    <m/>
    <m/>
    <m/>
    <m/>
    <m/>
    <m/>
    <x v="1"/>
    <s v=""/>
    <x v="0"/>
    <x v="0"/>
  </r>
  <r>
    <d v="2014-02-03T00:00:00"/>
    <d v="2014-02-05T00:00:00"/>
    <n v="2"/>
    <s v="2014-Feb"/>
    <n v="2"/>
    <s v="IT-LQA-FAT"/>
    <x v="1"/>
    <m/>
    <s v="RA"/>
    <s v="DBS"/>
    <x v="0"/>
    <s v="RADBS_2.0.0.26b1"/>
    <s v="CMTeam"/>
    <s v="Anand Kumar Ojha"/>
    <s v="\\192.168.3.3\Share\Releases\Product\RevMind_2.0\Build&amp;Release\Release for IT\TestBuild_1.0.0\Server CD\DBS\Setup"/>
    <m/>
    <s v="\\192.168.3.3\Share\Releases\Product\RevMind_2.0\Build&amp;Release\Release for LQA\TestBuild_1.0.1\Server CD\DBS\Setup"/>
    <s v="Pass"/>
    <m/>
    <m/>
    <m/>
    <m/>
    <s v="K.V. Krishnan"/>
    <x v="0"/>
    <s v=""/>
    <x v="0"/>
    <x v="0"/>
  </r>
  <r>
    <d v="2014-02-04T00:00:00"/>
    <d v="2014-02-04T00:00:00"/>
    <n v="2"/>
    <s v="2014-Feb"/>
    <n v="2"/>
    <s v="LQA-UAT"/>
    <x v="3"/>
    <m/>
    <s v="RT"/>
    <s v="GUI"/>
    <x v="1"/>
    <s v="RTGUI_OBT_4.0.20.0.1"/>
    <s v="CMTeam"/>
    <s v="Ajay Sharma"/>
    <m/>
    <m/>
    <s v="\\192.168.3.3\share\Releases\Projects\OBT\Release_For_LQA\TestBuild_1.0.0.4\Server CD\GUI\Setup"/>
    <s v="Pass"/>
    <m/>
    <m/>
    <m/>
    <m/>
    <s v="Swapnil Garg"/>
    <x v="0"/>
    <s v=""/>
    <x v="0"/>
    <x v="0"/>
  </r>
  <r>
    <d v="2014-02-04T00:00:00"/>
    <d v="2014-02-04T00:00:00"/>
    <n v="2"/>
    <s v="2014-Feb"/>
    <n v="2"/>
    <s v="LQA"/>
    <x v="4"/>
    <m/>
    <s v="MPE"/>
    <s v="MPE"/>
    <x v="0"/>
    <s v="MPE_TLSTR-2b_3.0.0.3.1.84b1"/>
    <s v="CMTeam"/>
    <s v="Sandeep Aggarwal"/>
    <m/>
    <s v="Obsolete-LQA"/>
    <s v="\\192.168.3.3\Share\Releases\Projects\Telstra-2b\Release_For_Test\Test_Build_1.0.0.1\Server CD\MPE\Setup"/>
    <m/>
    <m/>
    <m/>
    <m/>
    <m/>
    <m/>
    <x v="2"/>
    <d v="2014-02-04T00:00:00"/>
    <x v="9"/>
    <x v="1"/>
  </r>
  <r>
    <d v="2014-02-04T00:00:00"/>
    <d v="2014-02-10T00:00:00"/>
    <n v="2"/>
    <s v="2014-Feb"/>
    <n v="2"/>
    <s v="IT-LQA-FAT"/>
    <x v="0"/>
    <m/>
    <s v="DM"/>
    <s v="DBS"/>
    <x v="0"/>
    <s v="DMDBS_SLT_2.0.0.19.1.102b1"/>
    <s v="CMTeam"/>
    <s v="Deepinder Singh"/>
    <s v="\\192.168.3.3\Share\Releases\Projects\SLT\Release_For_IT\Test_Build_1.0.0.4\Server CD\DBS\Setup"/>
    <m/>
    <s v="\\192.168.3.3\Share\Releases\Projects\SLT\Release_For_LQA\Test_Build_1.0.0.17\Server CD\DBS\Setup"/>
    <s v="Pass"/>
    <m/>
    <m/>
    <m/>
    <m/>
    <s v="K.V. Krishnan"/>
    <x v="0"/>
    <s v=""/>
    <x v="0"/>
    <x v="0"/>
  </r>
  <r>
    <d v="2014-02-05T00:00:00"/>
    <d v="2014-02-05T00:00:00"/>
    <n v="2"/>
    <s v="2014-Feb"/>
    <n v="2"/>
    <s v="IT-LQA-UAT"/>
    <x v="1"/>
    <m/>
    <s v="RT"/>
    <s v="DBS"/>
    <x v="0"/>
    <s v="RTDBS_4.0.1.12b1"/>
    <s v="CMTeam"/>
    <s v="Puneet Gupta"/>
    <s v="\\192.168.3.3\Share\Releases\Product\RT_4.0\ReleaseForIT\TestBuild_4.0.3\DBS\Setup"/>
    <m/>
    <s v="\\192.168.3.3\Share\Releases\Product\RT_4.0\ReleaseForLQA\TestBuild_4.0.20\DBS\Setup"/>
    <s v="Pass"/>
    <s v="Readme Re-Released"/>
    <m/>
    <m/>
    <m/>
    <s v="Swapnil Garg"/>
    <x v="0"/>
    <s v=""/>
    <x v="0"/>
    <x v="0"/>
  </r>
  <r>
    <d v="2014-02-05T00:00:00"/>
    <d v="2014-02-05T00:00:00"/>
    <n v="2"/>
    <s v="2014-Feb"/>
    <n v="2"/>
    <s v="LQA-FAT"/>
    <x v="0"/>
    <m/>
    <s v="RA"/>
    <s v="CS"/>
    <x v="1"/>
    <s v="RACS_SLT_2.5.4.0.1"/>
    <s v="CMTeam"/>
    <s v="Alok Bagwale"/>
    <m/>
    <m/>
    <s v="\\192.168.3.3\Share\Releases\Projects\SLT\Release_For_LQA\Test_Build_1.0.0.17\Server CD\GUI\Setup"/>
    <s v="Pass"/>
    <m/>
    <m/>
    <m/>
    <m/>
    <s v="K.V. Krishnan"/>
    <x v="0"/>
    <s v=""/>
    <x v="0"/>
    <x v="0"/>
  </r>
  <r>
    <d v="2014-02-05T00:00:00"/>
    <d v="2014-02-05T00:00:00"/>
    <n v="2"/>
    <s v="2014-Feb"/>
    <n v="2"/>
    <s v="LQA"/>
    <x v="6"/>
    <m/>
    <s v="WWFS"/>
    <s v="GUI"/>
    <x v="1"/>
    <s v="WWFSGUI_ANTEL_2.1.22.0.3"/>
    <s v="CMTeam"/>
    <s v="Karamjeet kaur"/>
    <m/>
    <m/>
    <s v="\\192.168.3.3\Share\Releases\Projects\ANTEL\Release_For_Test\Test_Build_1.0.0.7\Server CD\GUI\Setup"/>
    <s v="Pass"/>
    <s v="Readme Re-Released"/>
    <m/>
    <m/>
    <m/>
    <m/>
    <x v="0"/>
    <s v=""/>
    <x v="0"/>
    <x v="0"/>
  </r>
  <r>
    <d v="2014-02-05T00:00:00"/>
    <d v="2014-02-05T00:00:00"/>
    <n v="2"/>
    <s v="2014-Feb"/>
    <n v="2"/>
    <s v="IT-LQA"/>
    <x v="0"/>
    <m/>
    <s v="RT"/>
    <s v="DBS"/>
    <x v="0"/>
    <s v="RTDBS_SLT_3.0.0.20.1.3b2"/>
    <s v="CMTeam"/>
    <s v="Rohit Kanwar"/>
    <s v="\\192.168.3.3\Share\Releases\Projects\SLT\Release_For_IT\Test_Build_1.0.0.4\Server CD\DBS\Setup "/>
    <m/>
    <s v="\\192.168.3.3\Share\Releases\Projects\SLT\Release_For_LQA\Test_Build_1.0.0.17\Server CD\DBS\Setup "/>
    <m/>
    <m/>
    <m/>
    <m/>
    <m/>
    <m/>
    <x v="1"/>
    <s v=""/>
    <x v="0"/>
    <x v="0"/>
  </r>
  <r>
    <d v="2014-02-05T00:00:00"/>
    <d v="2014-02-05T00:00:00"/>
    <n v="2"/>
    <s v="2014-Feb"/>
    <n v="2"/>
    <s v="LQA"/>
    <x v="6"/>
    <m/>
    <s v="WWCS"/>
    <s v="GUI"/>
    <x v="1"/>
    <s v="WWCSGUI_ANTEL_2.1.15.0.3"/>
    <s v="CMTeam"/>
    <s v="Karamjeet kaur"/>
    <m/>
    <m/>
    <s v="\\192.168.3.3\Share\Releases\Projects\ANTEL\Release_For_Test\Test_Build_1.0.0.7\Server CD\GUI\Setup"/>
    <s v="Pass"/>
    <s v="Readme Re-Released"/>
    <m/>
    <m/>
    <m/>
    <m/>
    <x v="0"/>
    <s v=""/>
    <x v="0"/>
    <x v="0"/>
  </r>
  <r>
    <d v="2014-02-06T00:00:00"/>
    <d v="2014-02-06T00:00:00"/>
    <n v="2"/>
    <s v="2014-Feb"/>
    <n v="2"/>
    <s v="IT-LQA-UAT"/>
    <x v="8"/>
    <m/>
    <s v="NP"/>
    <s v="DBS"/>
    <x v="0"/>
    <s v="NPDBS_TWC_1.2.1.0.1.21b1"/>
    <s v="CMTeam"/>
    <s v="Sudip Ghosh"/>
    <s v="\\192.168.3.3\Share\Releases\Projects\TWC\Release_For_IT\Test_Build_1.0.0.3\Server CD\DBS\Setup"/>
    <m/>
    <s v="\\192.168.3.3\Share\Releases\Projects\TWC\Release_For_Test\Test_Build_1.0.0.4\Server CD\DBS\Setup"/>
    <m/>
    <s v="Readme Re-Released"/>
    <m/>
    <m/>
    <m/>
    <s v="Sumit Gomber"/>
    <x v="1"/>
    <s v=""/>
    <x v="0"/>
    <x v="0"/>
  </r>
  <r>
    <d v="2014-02-06T00:00:00"/>
    <d v="2014-02-06T00:00:00"/>
    <n v="2"/>
    <s v="2014-Feb"/>
    <n v="2"/>
    <s v="IT-LQA"/>
    <x v="6"/>
    <m/>
    <s v="NM"/>
    <s v="DBS"/>
    <x v="0"/>
    <s v="NMDBS_ANTEL_4.6.1.0.2.32b2"/>
    <s v="CMTeam"/>
    <s v="Nishant"/>
    <s v="\\192.168.3.3\Share\Releases\Projects\ANTEL\Release_For_IT\TestBuild_1.0.0.4\Server CD\DBS\Setup"/>
    <m/>
    <s v="\\192.168.3.3\Share\Releases\Projects\ANTEL\Release_For_Test\Test_Build_1.0.0.7\Server CD\DBS\Setup"/>
    <s v="Pass"/>
    <m/>
    <m/>
    <m/>
    <m/>
    <m/>
    <x v="0"/>
    <s v=""/>
    <x v="0"/>
    <x v="0"/>
  </r>
  <r>
    <d v="2014-02-07T00:00:00"/>
    <d v="2014-02-07T00:00:00"/>
    <n v="2"/>
    <s v="2014-Feb"/>
    <n v="2"/>
    <s v="LQA"/>
    <x v="1"/>
    <m/>
    <s v="Utility"/>
    <s v="Utility"/>
    <x v="1"/>
    <s v="AWF_2.0.1b26"/>
    <s v="CMTeam"/>
    <s v="Rajesh Maithani"/>
    <m/>
    <m/>
    <s v="\\192.168.3.3\Share\Releases\Product\AWF\Build&amp;Release\Release For Test\TestBuild_2.0.1\Setup"/>
    <m/>
    <m/>
    <m/>
    <m/>
    <m/>
    <m/>
    <x v="1"/>
    <s v=""/>
    <x v="0"/>
    <x v="0"/>
  </r>
  <r>
    <d v="2014-02-07T00:00:00"/>
    <d v="2014-02-07T00:00:00"/>
    <n v="2"/>
    <s v="2014-Feb"/>
    <n v="2"/>
    <s v="LQA-UAT"/>
    <x v="3"/>
    <m/>
    <s v="MPE"/>
    <s v="MPE"/>
    <x v="0"/>
    <s v="MPE_OBT_3.2.1.3.1.10b1"/>
    <s v="CMTeam"/>
    <s v="Ajay Awasthi"/>
    <m/>
    <m/>
    <s v="\\192.168.3.3\share\Releases\Projects\OBT\Release_For_LQA\TestBuild_1.0.0.4\Server CD\MPE\Setup"/>
    <s v="Pass"/>
    <m/>
    <m/>
    <m/>
    <m/>
    <s v="Tushar Tyagi"/>
    <x v="0"/>
    <s v=""/>
    <x v="0"/>
    <x v="0"/>
  </r>
  <r>
    <d v="2014-02-10T00:00:00"/>
    <d v="2014-02-10T00:00:00"/>
    <n v="2"/>
    <s v="2014-Feb"/>
    <n v="2"/>
    <s v="LQA"/>
    <x v="1"/>
    <m/>
    <s v="RT"/>
    <s v="GUI"/>
    <x v="1"/>
    <s v="RTGUI_4.0.21b1"/>
    <s v="CMTeam"/>
    <s v="Ajay Sharma"/>
    <m/>
    <m/>
    <s v="\\192.168.3.3\Share\Releases\Product\RT_4.0\ReleaseForLQA\TestBuild_4.0.20\GUI\Build1\Setup"/>
    <m/>
    <m/>
    <m/>
    <m/>
    <m/>
    <m/>
    <x v="1"/>
    <s v=""/>
    <x v="0"/>
    <x v="0"/>
  </r>
  <r>
    <d v="2014-02-10T00:00:00"/>
    <d v="2014-02-10T00:00:00"/>
    <n v="2"/>
    <s v="2014-Feb"/>
    <n v="2"/>
    <s v="LQA"/>
    <x v="0"/>
    <m/>
    <s v="RT"/>
    <s v="GUI"/>
    <x v="1"/>
    <s v="RTGUI_SLT_4.0.21.0.1"/>
    <s v="CMTeam"/>
    <s v="Ajay Sharma"/>
    <m/>
    <m/>
    <s v="\\192.168.3.3\Share\Releases\Projects\SLT\Release_For_LQA\Test_Build_1.0.0.17\Server CD\GUI\Setup"/>
    <m/>
    <m/>
    <m/>
    <m/>
    <m/>
    <m/>
    <x v="1"/>
    <s v=""/>
    <x v="0"/>
    <x v="0"/>
  </r>
  <r>
    <d v="2014-02-10T00:00:00"/>
    <d v="2014-02-10T00:00:00"/>
    <n v="2"/>
    <s v="2014-Feb"/>
    <n v="2"/>
    <s v="IT-LQA"/>
    <x v="1"/>
    <m/>
    <s v="RT"/>
    <s v="DBS"/>
    <x v="0"/>
    <s v="RTGUI_SLT_4.0.21.0.1"/>
    <s v="CMTeam"/>
    <s v="Raja Sarkar"/>
    <s v="\\192.168.3.3\Share\Releases\Product\RT_4.0\ReleaseForIT\TestBuild_4.0.3\DBS\Setup"/>
    <s v="Obsolete-LQA"/>
    <s v="\\192.168.3.3\Share\Releases\Product\RT_4.0\ReleaseForLQA\TestBuild_4.0.21\DBS\Setup"/>
    <m/>
    <m/>
    <m/>
    <m/>
    <m/>
    <m/>
    <x v="2"/>
    <d v="2014-02-10T00:00:00"/>
    <x v="8"/>
    <x v="1"/>
  </r>
  <r>
    <d v="2014-02-10T00:00:00"/>
    <d v="2014-02-10T00:00:00"/>
    <n v="2"/>
    <s v="2014-Feb"/>
    <n v="2"/>
    <s v="IT-LQA-UAT"/>
    <x v="8"/>
    <m/>
    <s v="NP"/>
    <s v="DBS"/>
    <x v="0"/>
    <s v="NPDBS_TWC_1.2.1.0.1.22b1"/>
    <s v="CMTeam"/>
    <s v="Sudip Ghosh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Sumit Gomber"/>
    <x v="0"/>
    <s v=""/>
    <x v="0"/>
    <x v="0"/>
  </r>
  <r>
    <d v="2014-02-10T00:00:00"/>
    <d v="2014-02-10T00:00:00"/>
    <n v="2"/>
    <s v="2014-Feb"/>
    <n v="2"/>
    <s v="IT-LQA-FAT"/>
    <x v="0"/>
    <m/>
    <s v="DM"/>
    <s v="DBS"/>
    <x v="0"/>
    <s v="DMDBS_SLT_2.0.0.20.1.103b1"/>
    <s v="CMTeam"/>
    <s v="Nishant"/>
    <s v="\\192.168.3.3\Share\Releases\Projects\SLT\Release_For_IT\Test_Build_1.0.0.4\Server CD\DBS\Setup"/>
    <m/>
    <s v="\\192.168.3.3\Share\Releases\Projects\SLT\Release_For_LQA\Test_Build_1.0.0.18\Server CD\DBS\Setup"/>
    <s v="Pass"/>
    <m/>
    <m/>
    <m/>
    <m/>
    <s v="Vijay Singh Daagar"/>
    <x v="0"/>
    <s v=""/>
    <x v="0"/>
    <x v="0"/>
  </r>
  <r>
    <d v="2014-02-10T00:00:00"/>
    <d v="2014-02-10T00:00:00"/>
    <n v="2"/>
    <s v="2014-Feb"/>
    <n v="2"/>
    <s v="IT-LQA-FAT"/>
    <x v="1"/>
    <m/>
    <s v="RT"/>
    <s v="DBS"/>
    <x v="0"/>
    <s v="RTDBS_4.0.1.13b2"/>
    <s v="CMTeam"/>
    <s v="Raja Sarkar"/>
    <s v="\\192.168.3.3\Share\Releases\Product\RT_4.0\ReleaseForIT\TestBuild_4.0.3\DBS\Setup"/>
    <m/>
    <s v="\\192.168.3.3\Share\Releases\Product\RT_4.0\ReleaseForLQA\TestBuild_4.0.21\DBS\Setup"/>
    <s v="Pass"/>
    <m/>
    <m/>
    <m/>
    <m/>
    <s v="Harsh Khanna"/>
    <x v="0"/>
    <s v=""/>
    <x v="0"/>
    <x v="0"/>
  </r>
  <r>
    <d v="2014-02-11T00:00:00"/>
    <d v="2014-02-11T00:00:00"/>
    <n v="2"/>
    <s v="2014-Feb"/>
    <n v="2"/>
    <s v="LQA"/>
    <x v="0"/>
    <m/>
    <s v="MPE"/>
    <s v="MPE"/>
    <x v="0"/>
    <s v="MPE_SLT-1B_3.0.1.1.1.51b1"/>
    <s v="CMTeam"/>
    <s v="Ajay Awasthi"/>
    <m/>
    <s v="Obsolete-LQA"/>
    <s v="\\192.168.3.3\Share\Releases\Projects\SLT-1B\Release_For_Test\Test_Build_1.0.0.1\Server CD\MPE\Setup"/>
    <m/>
    <m/>
    <m/>
    <m/>
    <m/>
    <m/>
    <x v="2"/>
    <d v="2014-02-11T00:00:00"/>
    <x v="8"/>
    <x v="1"/>
  </r>
  <r>
    <d v="2014-02-11T00:00:00"/>
    <d v="2014-02-11T00:00:00"/>
    <n v="2"/>
    <s v="2014-Feb"/>
    <n v="2"/>
    <s v="LQA-UAT"/>
    <x v="8"/>
    <m/>
    <s v="WWFS"/>
    <s v="GUI"/>
    <x v="0"/>
    <s v="WWFSGUI_TWC_2.1.20.0.4.11b1"/>
    <s v="CMTeam"/>
    <s v="Karamjeet kaur"/>
    <m/>
    <m/>
    <s v="\\192.168.3.3\Share\Releases\Projects\TWC\Release_For_Test\Test_Build_1.0.0.4\Server CD\GUI\Setup"/>
    <s v="Pass"/>
    <m/>
    <m/>
    <m/>
    <m/>
    <s v="Upender Singh"/>
    <x v="0"/>
    <s v=""/>
    <x v="0"/>
    <x v="0"/>
  </r>
  <r>
    <d v="2014-02-11T00:00:00"/>
    <d v="2014-02-11T00:00:00"/>
    <n v="2"/>
    <s v="2014-Feb"/>
    <n v="2"/>
    <s v="IT-LQA-UAT"/>
    <x v="1"/>
    <m/>
    <s v="RE"/>
    <s v="DBS"/>
    <x v="0"/>
    <s v="REDBS_1.0.1.18b1"/>
    <s v="CMTeam"/>
    <s v="Shiv Mangal"/>
    <s v="\\192.168.3.3\Share\Releases\Product\RE_1.0\ReleaseForIT\TestBuild_1.0.1\DBS\Build4\Setup"/>
    <m/>
    <s v="\\192.168.3.3\Share\Releases\Product\RE_1.0\ReleaseForLQA\TestBuild_1.0.1\DBS\Build4\Setup"/>
    <s v="Pass"/>
    <s v="Readme Re-Released"/>
    <m/>
    <m/>
    <m/>
    <s v="Ravi Gautam"/>
    <x v="0"/>
    <s v=""/>
    <x v="0"/>
    <x v="0"/>
  </r>
  <r>
    <d v="2014-02-11T00:00:00"/>
    <d v="2014-02-11T00:00:00"/>
    <n v="2"/>
    <s v="2014-Feb"/>
    <n v="2"/>
    <s v="IT-LQA"/>
    <x v="0"/>
    <m/>
    <s v="DM"/>
    <s v="DBS"/>
    <x v="0"/>
    <s v="DMDBS_SLT_2.0.0.20.1.105b1"/>
    <s v="CMTeam"/>
    <s v="Raja Sarkar"/>
    <s v="\\192.168.3.3\Share\Releases\Projects\SLT\Release_For_IT\Test_Build_1.0.0.4\Server CD\DBS\Setup"/>
    <m/>
    <s v="\\192.168.3.3\Share\Releases\Projects\SLT\Release_For_LQA\Test_Build_1.0.0.18\Server CD\DBS\Setup"/>
    <s v="Pass"/>
    <m/>
    <m/>
    <m/>
    <m/>
    <m/>
    <x v="0"/>
    <s v=""/>
    <x v="0"/>
    <x v="0"/>
  </r>
  <r>
    <d v="2014-02-11T00:00:00"/>
    <d v="2014-02-11T00:00:00"/>
    <n v="2"/>
    <s v="2014-Feb"/>
    <n v="2"/>
    <s v="LQA"/>
    <x v="1"/>
    <m/>
    <s v="MPE"/>
    <s v="MPE"/>
    <x v="0"/>
    <s v="MPE_3.2.5.1b2"/>
    <s v="CMTeam"/>
    <s v="Harish Singh"/>
    <m/>
    <m/>
    <s v="\\192.168.3.3\Share\Releases\Product\MPE_GUI\ReleaseForLQA\TestBuild_1.0.0.2\Server CD\MPE\Setup"/>
    <m/>
    <m/>
    <m/>
    <m/>
    <m/>
    <m/>
    <x v="1"/>
    <s v=""/>
    <x v="0"/>
    <x v="0"/>
  </r>
  <r>
    <d v="2014-02-12T00:00:00"/>
    <d v="2014-02-12T00:00:00"/>
    <n v="2"/>
    <s v="2014-Feb"/>
    <n v="2"/>
    <s v="IT-LQA"/>
    <x v="3"/>
    <m/>
    <s v="NM"/>
    <s v="DBS"/>
    <x v="0"/>
    <s v="NMDBS_OBT_4.6.1.15.1.18b2"/>
    <s v="CMTeam"/>
    <s v="Puneet Gupta"/>
    <s v="\\192.168.3.3\Share\Releases\Projects\OBT\Release_For_IT\TestBuild_1.0.0.2\Server CD\DBS\Setup"/>
    <s v="Obsolete-LQA"/>
    <s v="\\192.168.3.3\Share\Releases\Projects\OBT\Release_For_LQA\TestBuild_1.0.0.4\Server CD\DBS\Setup"/>
    <m/>
    <m/>
    <m/>
    <m/>
    <m/>
    <m/>
    <x v="2"/>
    <d v="2014-02-12T00:00:00"/>
    <x v="8"/>
    <x v="1"/>
  </r>
  <r>
    <d v="2014-02-12T00:00:00"/>
    <m/>
    <n v="2"/>
    <s v="2014-Feb"/>
    <s v="False"/>
    <s v="IT"/>
    <x v="1"/>
    <m/>
    <s v="RM"/>
    <s v="GUI"/>
    <x v="1"/>
    <s v="RMGUI_2.0.28"/>
    <s v="CMTeam"/>
    <s v="Apurva Saurabh"/>
    <s v="\\192.168.3.3\Share\Releases\Product\RouteMind_2.0\Release for IT\TestBuild_2.0.4\Client CD\GUI\Setup"/>
    <m/>
    <m/>
    <m/>
    <m/>
    <m/>
    <m/>
    <m/>
    <m/>
    <x v="1"/>
    <s v=""/>
    <x v="0"/>
    <x v="0"/>
  </r>
  <r>
    <d v="2014-02-12T00:00:00"/>
    <d v="2014-02-12T00:00:00"/>
    <n v="2"/>
    <s v="2014-Feb"/>
    <n v="2"/>
    <s v="IT-LQA-FAT"/>
    <x v="1"/>
    <m/>
    <s v="RT"/>
    <s v="DBS"/>
    <x v="0"/>
    <s v="RTDBS_4.0.1.14b1"/>
    <s v="CMTeam"/>
    <s v="Raja Sarkar"/>
    <s v="\\192.168.3.3\Share\Releases\Product\RT_4.0\ReleaseForIT\TestBuild_4.0.3\DBS\Setup"/>
    <m/>
    <s v="\\192.168.3.3\Share\Releases\Product\RT_4.0\ReleaseForLQA\TestBuild_4.0.21\DBS\Setup"/>
    <s v="Pass"/>
    <s v="Readme Re-Released"/>
    <m/>
    <m/>
    <m/>
    <s v="Harsh Khanna"/>
    <x v="0"/>
    <s v=""/>
    <x v="0"/>
    <x v="0"/>
  </r>
  <r>
    <d v="2014-02-13T00:00:00"/>
    <d v="2014-02-13T00:00:00"/>
    <n v="2"/>
    <s v="2014-Feb"/>
    <n v="2"/>
    <s v="LQA"/>
    <x v="13"/>
    <m/>
    <s v="MPE"/>
    <s v="MPE"/>
    <x v="1"/>
    <s v="MPE_NM46_3.2.5.1.1"/>
    <s v="CMTeam"/>
    <s v="Anshul Kumar"/>
    <m/>
    <m/>
    <s v="\\192.168.3.3\Share\Releases\Projects\NM46\Release_For_Test\Test_Build_1.0.0.1\Server CD\MPE\Setup"/>
    <m/>
    <s v="Readme Re-Released"/>
    <m/>
    <m/>
    <m/>
    <m/>
    <x v="1"/>
    <s v=""/>
    <x v="0"/>
    <x v="0"/>
  </r>
  <r>
    <d v="2014-02-13T00:00:00"/>
    <d v="2014-02-13T00:00:00"/>
    <n v="2"/>
    <s v="2014-Feb"/>
    <n v="2"/>
    <s v="IT-LQA"/>
    <x v="14"/>
    <m/>
    <s v="NZ"/>
    <s v="DBS"/>
    <x v="1"/>
    <s v="DBSNZ_VZB_1.0.1.31.1"/>
    <s v="CMTeam"/>
    <s v="Chander Kanta"/>
    <s v="\\192.168.3.3\Share\Releases\Projects\VzB\Release_For_IT\Test_Build_1.0.0.1\Server CD\DBS"/>
    <s v="Obsolete-LQA"/>
    <s v="\\192.168.3.3\Share\Releases\Projects\VzB\Release_For_LQA\Test_Build_1.0.0.1\Server CD\DBS\Setup"/>
    <m/>
    <s v="Readme Re-Released"/>
    <m/>
    <m/>
    <m/>
    <m/>
    <x v="2"/>
    <d v="2014-02-13T00:00:00"/>
    <x v="8"/>
    <x v="1"/>
  </r>
  <r>
    <d v="2014-02-13T00:00:00"/>
    <d v="2014-02-13T00:00:00"/>
    <n v="2"/>
    <s v="2014-Feb"/>
    <n v="2"/>
    <s v="IT-LQA-UAT"/>
    <x v="1"/>
    <m/>
    <s v="NP"/>
    <s v="DBS"/>
    <x v="0"/>
    <s v="NPDBS_1.2.3.2b1"/>
    <s v="CMTeam"/>
    <s v="Abhishek Sharma"/>
    <s v="\\192.168.3.3\share\Releases\Product\NetMindPOS_1.1\Build&amp;Release\Release for IT\TestBuild_1.2.3\Server CD\DBS\Setup"/>
    <m/>
    <s v="\\192.168.3.3\share\Releases\Product\NetMindPOS_1.1\Build&amp;Release\Release for LQA\TestBuild_1.2.3\Server CD\DBS\Setup"/>
    <s v="Pass"/>
    <s v="Readme Re-Released"/>
    <m/>
    <m/>
    <m/>
    <s v="Abhishek Leekha"/>
    <x v="0"/>
    <s v=""/>
    <x v="0"/>
    <x v="0"/>
  </r>
  <r>
    <d v="2014-02-13T00:00:00"/>
    <d v="2014-02-13T00:00:00"/>
    <n v="2"/>
    <s v="2014-Feb"/>
    <n v="2"/>
    <s v="IT-LQA-FAT"/>
    <x v="0"/>
    <m/>
    <s v="RE"/>
    <s v="DBS"/>
    <x v="0"/>
    <s v="REDBS_SLT_1.0.1.18.1.8b1"/>
    <s v="CMTeam"/>
    <s v="Shiv Mangal"/>
    <s v="\\192.168.3.3\Share\Releases\Projects\SLT\Release_For_IT\Test_Build_1.0.0.4\Server CD\DBS\Setup"/>
    <m/>
    <s v="\\192.168.3.3\Share\Releases\Projects\SLT\Release_For_LQA\Test_Build_1.0.0.18\Server CD\DBS\Setup"/>
    <s v="Pass"/>
    <m/>
    <m/>
    <m/>
    <m/>
    <s v="Ravi Gautam"/>
    <x v="0"/>
    <s v=""/>
    <x v="0"/>
    <x v="0"/>
  </r>
  <r>
    <d v="2014-02-13T00:00:00"/>
    <d v="2014-02-13T00:00:00"/>
    <n v="2"/>
    <s v="2014-Feb"/>
    <n v="2"/>
    <s v="IT-LQA-FAT"/>
    <x v="1"/>
    <m/>
    <s v="RT"/>
    <s v="DBS"/>
    <x v="0"/>
    <s v="RTDBS_4.0.1.15b1"/>
    <s v="CMTeam"/>
    <s v="Raja Sarkar"/>
    <s v="\\192.168.3.3\Share\Releases\Product\RT_4.0\ReleaseForIT\TestBuild_4.0.3\DBS\Setup"/>
    <m/>
    <s v="\\192.168.3.3\Share\Releases\Product\RT_4.0\ReleaseForLQA\TestBuild_4.0.21\DBS\Setup"/>
    <s v="Pass"/>
    <s v="Readme Re-Released"/>
    <m/>
    <m/>
    <m/>
    <s v="Harsh Khanna"/>
    <x v="0"/>
    <s v=""/>
    <x v="0"/>
    <x v="0"/>
  </r>
  <r>
    <d v="2014-02-14T00:00:00"/>
    <d v="2014-02-14T00:00:00"/>
    <n v="2"/>
    <s v="2014-Feb"/>
    <n v="2"/>
    <s v="IT-LQA-FAT"/>
    <x v="7"/>
    <m/>
    <s v="NM"/>
    <s v="DBS"/>
    <x v="0"/>
    <s v="NMDBS_VON_4.0.1.70.1"/>
    <s v="CMTeam"/>
    <s v="Nishant"/>
    <s v="\\192.168.3.3\Share\Releases\Projects\Vonage\Release_For_IT\Test_Build_4.0.16\Server CD\DBS\Setup"/>
    <m/>
    <s v="\\192.168.3.3\Share\Releases\Projects\Vonage\Release_For_LQA\Test_Build_4.0.16\Server CD\DBS\Setup"/>
    <s v="Pass"/>
    <m/>
    <m/>
    <m/>
    <m/>
    <s v="Gaurav Gupta"/>
    <x v="0"/>
    <s v=""/>
    <x v="0"/>
    <x v="0"/>
  </r>
  <r>
    <d v="2014-02-14T00:00:00"/>
    <m/>
    <n v="2"/>
    <s v="2014-Feb"/>
    <s v="False"/>
    <s v="IT"/>
    <x v="1"/>
    <m/>
    <s v="RT"/>
    <s v="GUI"/>
    <x v="1"/>
    <s v="RTGUI_4.0.22b1"/>
    <s v="CMTeam"/>
    <s v="Ajay Sharma"/>
    <s v="\\192.168.3.3\Share\Releases\Product\RT_4.0\ReleaseForLQA\TestBuild_4.0.22\GUI\Build1\Setup"/>
    <m/>
    <m/>
    <m/>
    <m/>
    <m/>
    <m/>
    <m/>
    <m/>
    <x v="1"/>
    <s v=""/>
    <x v="0"/>
    <x v="0"/>
  </r>
  <r>
    <d v="2014-02-14T00:00:00"/>
    <d v="2014-02-14T00:00:00"/>
    <n v="2"/>
    <s v="2014-Feb"/>
    <n v="2"/>
    <s v="IT-LQA-UAT"/>
    <x v="6"/>
    <m/>
    <s v="DM"/>
    <s v="DBS"/>
    <x v="0"/>
    <s v="DMDBS_ANTEL_2.1.1.2.1.4b1"/>
    <s v="CMTeam"/>
    <s v="surender Kumar"/>
    <s v="\\192.168.3.3\Share\Releases\Projects\ANTEL\Release_For_IT\TestBuild_1.0.0.4\Server CD\DBS\Setup"/>
    <m/>
    <s v="\\192.168.3.3\Share\Releases\Projects\ANTEL\Release_For_Test\Test_Build_1.0.0.7\Server CD\DBS\Setup"/>
    <s v="Pass"/>
    <m/>
    <m/>
    <m/>
    <m/>
    <s v="Pradeep Raghav"/>
    <x v="0"/>
    <s v=""/>
    <x v="0"/>
    <x v="0"/>
  </r>
  <r>
    <d v="2014-02-14T00:00:00"/>
    <d v="2014-02-14T00:00:00"/>
    <n v="2"/>
    <s v="2014-Feb"/>
    <n v="2"/>
    <s v="IT-LQA-UAT"/>
    <x v="14"/>
    <m/>
    <s v="NZ"/>
    <s v="DBS"/>
    <x v="1"/>
    <s v="DBSNZ_VZB_1.0.1.31.2"/>
    <s v="CMTeam"/>
    <s v="Chander Kanta"/>
    <s v="\\192.168.3.3\Share\Releases\Projects\VzB\Release_For_IT\Test_Build_1.0.0.1\Server CD\DBS\Setup"/>
    <m/>
    <s v="\\192.168.3.3\Share\Releases\Projects\VzB\Release_For_LQA\Test_Build_1.0.0.1\Server CD\DBS\Setup"/>
    <s v="Pass"/>
    <m/>
    <m/>
    <m/>
    <m/>
    <s v="Ekansh Arora"/>
    <x v="0"/>
    <s v=""/>
    <x v="0"/>
    <x v="0"/>
  </r>
  <r>
    <d v="2014-02-14T00:00:00"/>
    <d v="2014-02-14T00:00:00"/>
    <n v="2"/>
    <s v="2014-Feb"/>
    <n v="2"/>
    <s v="LQA-FAT"/>
    <x v="0"/>
    <m/>
    <s v="RT"/>
    <s v="GUI"/>
    <x v="1"/>
    <s v="RTGUI_SLT_4.0.22.0.1"/>
    <s v="CMTeam"/>
    <s v="Ajay Sharma"/>
    <m/>
    <m/>
    <s v="\\192.168.3.3\Share\Releases\Projects\SLT\Release_For_LQA\Test_Build_1.0.0.19\Server CD\GUI\Setup"/>
    <s v="Pass"/>
    <s v="Readme Re-Released"/>
    <m/>
    <m/>
    <m/>
    <s v="Harsh Khanna"/>
    <x v="0"/>
    <s v=""/>
    <x v="0"/>
    <x v="0"/>
  </r>
  <r>
    <d v="2014-02-14T00:00:00"/>
    <d v="2014-02-14T00:00:00"/>
    <n v="2"/>
    <s v="2014-Feb"/>
    <n v="2"/>
    <s v="LQA"/>
    <x v="1"/>
    <m/>
    <s v="MPE"/>
    <s v="MPE"/>
    <x v="0"/>
    <s v="MPE_3.2.4.29b1 "/>
    <s v="CMTeam"/>
    <s v="Harish Singh"/>
    <m/>
    <s v="Obsolete-LQA"/>
    <s v="\\192.168.3.3\Share\Releases\Product\MPE_GUI\ReleaseForLQA\TestBuild_1.0.0.2\Server CD\MPE\Setup"/>
    <m/>
    <m/>
    <m/>
    <m/>
    <m/>
    <m/>
    <x v="2"/>
    <d v="2014-02-14T00:00:00"/>
    <x v="8"/>
    <x v="1"/>
  </r>
  <r>
    <d v="2014-02-14T00:00:00"/>
    <d v="2014-02-14T00:00:00"/>
    <n v="2"/>
    <s v="2014-Feb"/>
    <n v="2"/>
    <s v="IT-LQA-UAT"/>
    <x v="4"/>
    <m/>
    <s v="NM"/>
    <s v="DBS"/>
    <x v="0"/>
    <s v="NMDBS_TLSTR_4.0.1.0.4.287b1"/>
    <s v="CMTeam"/>
    <s v="Gautam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Abrar Khan"/>
    <x v="0"/>
    <s v=""/>
    <x v="0"/>
    <x v="0"/>
  </r>
  <r>
    <d v="2014-02-14T00:00:00"/>
    <m/>
    <n v="2"/>
    <s v="2014-Feb"/>
    <s v="False"/>
    <s v="IT"/>
    <x v="10"/>
    <m/>
    <s v="Utility"/>
    <s v="Utility"/>
    <x v="1"/>
    <s v="NMUTLMIG3_COM_1.0.0.0.2"/>
    <s v="CMTeam"/>
    <s v="yogendra kumar"/>
    <s v="\\192.168.3.3\Share\Releases\Projects\Comcast\Release_For_IT\Test_Build_3.5.50\Utility\Setup"/>
    <s v="Obsolete-IT"/>
    <m/>
    <m/>
    <m/>
    <m/>
    <m/>
    <m/>
    <m/>
    <x v="2"/>
    <d v="2014-02-14T00:00:00"/>
    <x v="8"/>
    <x v="1"/>
  </r>
  <r>
    <d v="2014-02-14T00:00:00"/>
    <m/>
    <n v="2"/>
    <s v="2014-Feb"/>
    <s v="False"/>
    <s v="IT"/>
    <x v="10"/>
    <m/>
    <s v="Utility"/>
    <s v="Utility"/>
    <x v="1"/>
    <s v="NMUTLMIG1_COM_1.0.0.0.2"/>
    <s v="CMTeam"/>
    <s v="yogendra kumar"/>
    <s v="\\192.168.3.3\Share\Releases\Projects\Comcast\Release_For_IT\Test_Build_3.5.50\Utility\Setup"/>
    <s v="Obsolete-IT"/>
    <m/>
    <m/>
    <m/>
    <m/>
    <m/>
    <m/>
    <m/>
    <x v="2"/>
    <d v="2014-02-14T00:00:00"/>
    <x v="8"/>
    <x v="1"/>
  </r>
  <r>
    <d v="2014-02-14T00:00:00"/>
    <m/>
    <n v="2"/>
    <s v="2014-Feb"/>
    <s v="False"/>
    <s v="IT"/>
    <x v="10"/>
    <m/>
    <s v="Utility"/>
    <s v="Utility"/>
    <x v="1"/>
    <s v="NMUTLMIG2_COM_1.0.0.0.2"/>
    <s v="CMTeam"/>
    <s v="yogendra kumar"/>
    <s v="\\192.168.3.3\Share\Releases\Projects\Comcast\Release_For_IT\Test_Build_3.5.50\Utility\Setup"/>
    <s v="Obsolete-IT"/>
    <m/>
    <m/>
    <m/>
    <m/>
    <m/>
    <m/>
    <m/>
    <x v="2"/>
    <d v="2014-02-14T00:00:00"/>
    <x v="8"/>
    <x v="1"/>
  </r>
  <r>
    <d v="2014-02-14T00:00:00"/>
    <m/>
    <n v="2"/>
    <s v="2014-Feb"/>
    <s v="False"/>
    <s v="IT"/>
    <x v="10"/>
    <m/>
    <s v="NM"/>
    <s v="DBS"/>
    <x v="0"/>
    <s v="NMDBS_COM_4.6.1.15.1.1b2"/>
    <s v="CMTeam"/>
    <s v="Sumita Yadav"/>
    <s v="\\192.168.3.3\Share\Releases\Projects\Comcast\Release_For_IT\Test_Build_4.6.1\Server CD\Database\Setup"/>
    <s v="Obsolete-IT"/>
    <m/>
    <m/>
    <m/>
    <m/>
    <m/>
    <m/>
    <m/>
    <x v="2"/>
    <d v="2014-02-14T00:00:00"/>
    <x v="8"/>
    <x v="1"/>
  </r>
  <r>
    <d v="2014-02-14T00:00:00"/>
    <m/>
    <n v="2"/>
    <s v="2014-Feb"/>
    <s v="False"/>
    <s v="IT"/>
    <x v="10"/>
    <m/>
    <s v="NM"/>
    <s v="DBS"/>
    <x v="0"/>
    <s v="NMDBS_COM_4.6.1.15.1.2b2"/>
    <s v="CMTeam"/>
    <s v="Sumita Yadav"/>
    <s v="\\192.168.3.3\Share\Releases\Projects\Comcast\Release_For_IT\Test_Build_4.6.1\Server CD\Database\Setup"/>
    <s v="Obsolete-IT"/>
    <m/>
    <m/>
    <m/>
    <m/>
    <m/>
    <m/>
    <m/>
    <x v="2"/>
    <d v="2014-02-14T00:00:00"/>
    <x v="8"/>
    <x v="1"/>
  </r>
  <r>
    <d v="2014-02-14T00:00:00"/>
    <m/>
    <n v="2"/>
    <s v="2014-Feb"/>
    <s v="False"/>
    <s v="IT"/>
    <x v="10"/>
    <m/>
    <s v="NM"/>
    <s v="DBS"/>
    <x v="0"/>
    <s v="NMDBS_COM_4.6.1.16.1.3b1"/>
    <s v="CMTeam"/>
    <s v="Sumita Yadav"/>
    <s v="\\192.168.3.3\Share\Releases\Projects\Comcast\Release_For_IT\Test_Build_4.6.1\Server CD\Database\Setup"/>
    <s v="Obsolete-IT"/>
    <m/>
    <m/>
    <m/>
    <m/>
    <m/>
    <m/>
    <m/>
    <x v="2"/>
    <d v="2014-02-14T00:00:00"/>
    <x v="8"/>
    <x v="1"/>
  </r>
  <r>
    <d v="2014-02-14T00:00:00"/>
    <d v="2014-02-27T00:00:00"/>
    <n v="2"/>
    <s v="2014-Feb"/>
    <n v="2"/>
    <s v="IT-LQA"/>
    <x v="10"/>
    <m/>
    <s v="NP"/>
    <s v="DBS"/>
    <x v="1"/>
    <s v="NPDBS_COM_1.2.3.2.1"/>
    <s v="CMTeam"/>
    <s v="Sumita Yadav"/>
    <s v="\\192.168.3.3\Share\Releases\Projects\Comcast\Release_For_IT\Test_Build_4.6.1\Server CD\Database\Setup"/>
    <m/>
    <s v="\\192.168.3.3\Share\Releases\Projects\Comcast\Release_for_Test\Test_Build_4.6.1\Server CD\Database\Setup"/>
    <s v="Pass"/>
    <m/>
    <m/>
    <m/>
    <m/>
    <m/>
    <x v="0"/>
    <s v=""/>
    <x v="0"/>
    <x v="0"/>
  </r>
  <r>
    <d v="2014-02-14T00:00:00"/>
    <m/>
    <n v="2"/>
    <s v="2014-Feb"/>
    <s v="False"/>
    <s v="IT"/>
    <x v="10"/>
    <m/>
    <s v="NP"/>
    <s v="DBS"/>
    <x v="0"/>
    <s v="NPDBS_COM_1.2.3.2.1.1b1"/>
    <s v="CMTeam"/>
    <s v="Sumita Yadav"/>
    <s v="\\192.168.3.3\Share\Releases\Projects\Comcast\Release_For_IT\Test_Build_4.6.1\Server CD\Database\Setup"/>
    <s v="Obsolete-IT"/>
    <m/>
    <m/>
    <s v="Readme Re-Released"/>
    <m/>
    <m/>
    <m/>
    <m/>
    <x v="2"/>
    <d v="2014-02-14T00:00:00"/>
    <x v="8"/>
    <x v="1"/>
  </r>
  <r>
    <d v="2014-02-14T00:00:00"/>
    <m/>
    <n v="2"/>
    <s v="2014-Feb"/>
    <s v="False"/>
    <s v="IT"/>
    <x v="10"/>
    <m/>
    <s v="NP"/>
    <s v="DBS"/>
    <x v="0"/>
    <s v="NPDBS_COM_1.2.3.2.1.2b1         "/>
    <s v="CMTeam"/>
    <s v="Sumita Yadav"/>
    <s v="\\192.168.3.3\Share\Releases\Projects\Comcast\Release_For_IT\Test_Build_4.6.1\Server CD\Database\Setup"/>
    <s v="Obsolete-LQA"/>
    <m/>
    <m/>
    <m/>
    <m/>
    <m/>
    <m/>
    <m/>
    <x v="2"/>
    <d v="1899-12-30T00:00:00"/>
    <x v="5"/>
    <x v="3"/>
  </r>
  <r>
    <d v="2014-02-14T00:00:00"/>
    <m/>
    <n v="2"/>
    <s v="2014-Feb"/>
    <s v="False"/>
    <s v="IT"/>
    <x v="10"/>
    <m/>
    <s v="NM"/>
    <s v="DBS"/>
    <x v="0"/>
    <s v="NMDBS_COM_4.6.1.16.1.4b1"/>
    <s v="CMTeam"/>
    <s v="yogendra kumar"/>
    <s v="\\192.168.3.3\Share\Releases\Projects\Comcast\Release_For_IT\Test_Build_4.6.1\Server CD\Database\Setup"/>
    <s v="Obsolete-IT"/>
    <m/>
    <m/>
    <m/>
    <m/>
    <m/>
    <m/>
    <m/>
    <x v="2"/>
    <d v="2014-02-14T00:00:00"/>
    <x v="8"/>
    <x v="1"/>
  </r>
  <r>
    <d v="2014-02-17T00:00:00"/>
    <d v="2014-02-17T00:00:00"/>
    <n v="2"/>
    <s v="2014-Feb"/>
    <n v="2"/>
    <s v="LQA"/>
    <x v="13"/>
    <m/>
    <s v="MPE"/>
    <s v="MPE"/>
    <x v="0"/>
    <s v="MPE_NM46_3.2.5.1.1.1b1"/>
    <s v="CMTeam"/>
    <s v="Anshul Kumar"/>
    <m/>
    <m/>
    <s v="\\192.168.3.3\Share\Releases\Projects\NM46\Release_For_Test\Test_Build_1.0.0.1\Server CD\MPE\Setup"/>
    <m/>
    <m/>
    <m/>
    <m/>
    <m/>
    <m/>
    <x v="1"/>
    <s v=""/>
    <x v="0"/>
    <x v="0"/>
  </r>
  <r>
    <d v="2014-02-17T00:00:00"/>
    <d v="2014-02-17T00:00:00"/>
    <n v="2"/>
    <s v="2014-Feb"/>
    <n v="2"/>
    <s v="LQA-AT"/>
    <x v="4"/>
    <m/>
    <s v="MPE"/>
    <s v="MPE"/>
    <x v="0"/>
    <s v="MPE_TLSTR-2b_3.0.0.3.1.84b2"/>
    <s v="CMTeam"/>
    <s v="Sandeep Aggarwal"/>
    <m/>
    <m/>
    <s v="\\192.168.3.3\Share\Releases\Projects\Telstra-2b\Release_For_Test\Test_Build_1.0.0.1\Server CD\MPE\Setup"/>
    <s v="Pass"/>
    <m/>
    <m/>
    <m/>
    <m/>
    <s v="Ashwani "/>
    <x v="0"/>
    <s v=""/>
    <x v="0"/>
    <x v="0"/>
  </r>
  <r>
    <d v="2014-02-17T00:00:00"/>
    <d v="2014-02-17T00:00:00"/>
    <n v="2"/>
    <s v="2014-Feb"/>
    <n v="2"/>
    <s v="LQA-FAT"/>
    <x v="0"/>
    <m/>
    <s v="MPE"/>
    <s v="MPE"/>
    <x v="0"/>
    <s v="MPE_SLT-1B_3.0.1.1.1.52b1"/>
    <s v="CMTeam"/>
    <s v="Ajay Awasthi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2-17T00:00:00"/>
    <d v="2014-02-17T00:00:00"/>
    <n v="2"/>
    <s v="2014-Feb"/>
    <n v="2"/>
    <s v="IT-LQA-UAT"/>
    <x v="8"/>
    <m/>
    <s v="NM"/>
    <s v="DBS"/>
    <x v="0"/>
    <s v="NMDBS_TWC_4.6.1.11.3.32b1"/>
    <s v="CMTeam"/>
    <s v="Sudip Ghosh"/>
    <s v="\\192.168.3.3\Share\Releases\Projects\TWC\Release_For_IT\Test_Build_1.0.0.3\Server CD\DBS\Setup"/>
    <m/>
    <s v="\\192.168.3.3\Share\Releases\Projects\TWC\Release_For_Test\Test_Build_1.0.0.4\Server CD\DBS\Setup"/>
    <s v="Pass"/>
    <s v="Readme Re-Released"/>
    <m/>
    <m/>
    <m/>
    <s v="Sumit Gomber"/>
    <x v="0"/>
    <s v=""/>
    <x v="0"/>
    <x v="0"/>
  </r>
  <r>
    <d v="2014-02-17T00:00:00"/>
    <d v="2014-02-17T00:00:00"/>
    <n v="2"/>
    <s v="2014-Feb"/>
    <n v="2"/>
    <s v="IT-LQA-UAT"/>
    <x v="1"/>
    <m/>
    <s v="RT"/>
    <s v="DBS"/>
    <x v="0"/>
    <s v="RTDBS_4.0.1.16b1"/>
    <s v="CMTeam"/>
    <s v="Raja Sarkar"/>
    <s v="\\192.168.3.3\Share\Releases\Product\RT_4.0\ReleaseForIT\TestBuild_4.0.3\DBS\Setup"/>
    <m/>
    <s v="\\192.168.3.3\Share\Releases\Product\RT_4.0\ReleaseForLQA\TestBuild_4.0.22\DBS\Setup"/>
    <s v="Pass"/>
    <s v="Readme Re-Released"/>
    <m/>
    <m/>
    <m/>
    <s v="Harsh Khanna"/>
    <x v="0"/>
    <s v=""/>
    <x v="0"/>
    <x v="0"/>
  </r>
  <r>
    <d v="2014-02-18T00:00:00"/>
    <d v="2014-02-18T00:00:00"/>
    <n v="2"/>
    <s v="2014-Feb"/>
    <n v="2"/>
    <s v="IT-LQA"/>
    <x v="0"/>
    <m/>
    <s v="DM"/>
    <s v="DBS"/>
    <x v="0"/>
    <s v="DMDBS_SLT_2.0.0.20.1.106b1"/>
    <s v="CMTeam"/>
    <s v="Raja Sarkar"/>
    <s v="\\192.168.3.3\Share\Releases\Projects\SLT\Release_For_IT\Test_Build_1.0.0.4\Server CD\DBS\Setup"/>
    <m/>
    <s v="\\192.168.3.3\Share\Releases\Projects\SLT\Release_For_IT\Test_Build_1.0.0.4\Server CD\DBS\Setup"/>
    <s v="Pass"/>
    <s v="Readme Re-Released"/>
    <m/>
    <m/>
    <m/>
    <m/>
    <x v="0"/>
    <s v=""/>
    <x v="0"/>
    <x v="0"/>
  </r>
  <r>
    <d v="2014-02-18T00:00:00"/>
    <d v="2014-02-18T00:00:00"/>
    <n v="2"/>
    <s v="2014-Feb"/>
    <n v="2"/>
    <s v="IT-LQA"/>
    <x v="8"/>
    <m/>
    <s v="NM"/>
    <s v="DBS"/>
    <x v="0"/>
    <s v="NMDBS_TWC_4.6.1.11.3.31b1"/>
    <s v="CMTeam"/>
    <s v="Sudip Ghosh"/>
    <s v="\\192.168.3.3\Share\Releases\Projects\TWC\Release_For_IT\Test_Build_1.0.0.3\Server CD\DBS\Setup"/>
    <s v="Obsolete-LQA"/>
    <s v="\\192.168.3.3\Share\Releases\Projects\TWC\Release_For_Test\Test_Build_1.0.0.4\Server CD\DBS\Setup"/>
    <m/>
    <m/>
    <m/>
    <m/>
    <m/>
    <m/>
    <x v="2"/>
    <d v="2014-02-18T00:00:00"/>
    <x v="10"/>
    <x v="1"/>
  </r>
  <r>
    <d v="2014-02-18T00:00:00"/>
    <d v="2014-02-18T00:00:00"/>
    <n v="2"/>
    <s v="2014-Feb"/>
    <n v="2"/>
    <s v="IT-LQA-UAT"/>
    <x v="8"/>
    <m/>
    <s v="NM"/>
    <s v="DBS"/>
    <x v="0"/>
    <s v="NMDBS_TWC_4.6.1.11.3.33b1"/>
    <s v="CMTeam"/>
    <s v="Sudip Ghosh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Sumit Gomber"/>
    <x v="0"/>
    <s v=""/>
    <x v="0"/>
    <x v="0"/>
  </r>
  <r>
    <d v="2014-02-20T00:00:00"/>
    <d v="2014-02-20T00:00:00"/>
    <n v="2"/>
    <s v="2014-Feb"/>
    <n v="2"/>
    <s v="LQA-AT"/>
    <x v="4"/>
    <m/>
    <s v="MPE"/>
    <s v="MPE"/>
    <x v="0"/>
    <s v="MPE_TLSTR-2b_3.0.0.3.1.85b1"/>
    <s v="CMTeam"/>
    <s v="Sandeep Aggarwal"/>
    <m/>
    <m/>
    <s v="\\192.168.3.3\Share\Releases\Projects\Telstra-2b\Release_For_Test\Test_Build_1.0.0.1\Server CD\MPE\Setup"/>
    <s v="Pass"/>
    <m/>
    <m/>
    <m/>
    <m/>
    <s v="Ashwani "/>
    <x v="0"/>
    <s v=""/>
    <x v="0"/>
    <x v="0"/>
  </r>
  <r>
    <d v="2014-02-21T00:00:00"/>
    <d v="2014-02-21T00:00:00"/>
    <n v="2"/>
    <s v="2014-Feb"/>
    <n v="2"/>
    <s v="LQA"/>
    <x v="13"/>
    <m/>
    <s v="MPE"/>
    <s v="MPE"/>
    <x v="0"/>
    <s v="MPE_NM46_3.2.5.1.1.2b1"/>
    <s v="CMTeam"/>
    <s v="Anshul Kumar"/>
    <m/>
    <m/>
    <s v="\\192.168.3.3\Share\Releases\Projects\NM46\Release_For_Test\Test_Build_1.0.0.1\Server CD\MPE\Setup"/>
    <m/>
    <m/>
    <m/>
    <m/>
    <m/>
    <m/>
    <x v="1"/>
    <s v=""/>
    <x v="0"/>
    <x v="0"/>
  </r>
  <r>
    <d v="2014-02-21T00:00:00"/>
    <d v="2014-02-21T00:00:00"/>
    <n v="2"/>
    <s v="2014-Feb"/>
    <n v="2"/>
    <s v="LQA"/>
    <x v="10"/>
    <m/>
    <s v="MPE"/>
    <s v="MPE"/>
    <x v="0"/>
    <s v="MPE_COM_3.2.5.0.1.1b1"/>
    <s v="CMTeam"/>
    <s v="Mohd. Asif"/>
    <m/>
    <s v="Obsolete-LQA"/>
    <s v="\\192.168.3.3\Share\Releases\Projects\Comcast\Release_for_Test\Test_Build_4.6.1\Server CD\MPE\Setup"/>
    <m/>
    <m/>
    <m/>
    <m/>
    <m/>
    <m/>
    <x v="2"/>
    <d v="2014-02-21T00:00:00"/>
    <x v="10"/>
    <x v="1"/>
  </r>
  <r>
    <d v="2014-02-21T00:00:00"/>
    <d v="2014-02-21T00:00:00"/>
    <n v="2"/>
    <s v="2014-Feb"/>
    <n v="2"/>
    <s v="LQA-UAT"/>
    <x v="15"/>
    <m/>
    <s v="MPE"/>
    <s v="MPE"/>
    <x v="0"/>
    <s v="MPE_CBD_3.2.1.3.2.11b1"/>
    <s v="CMTeam"/>
    <s v="Neelam Jawla"/>
    <m/>
    <m/>
    <s v="\\192.168.3.3\share\Releases\Projects\CBD\Release_For_Test\Test_Build_1.0.0.4\Server CD\MPE\RHEL_6.3\Setup"/>
    <s v="Pass"/>
    <m/>
    <m/>
    <m/>
    <m/>
    <s v="Surya N Behra"/>
    <x v="0"/>
    <s v=""/>
    <x v="0"/>
    <x v="0"/>
  </r>
  <r>
    <d v="2014-02-21T00:00:00"/>
    <d v="2014-02-21T00:00:00"/>
    <n v="2"/>
    <s v="2014-Feb"/>
    <n v="2"/>
    <s v="IT-LQA-UAT"/>
    <x v="3"/>
    <m/>
    <s v="NM"/>
    <s v="DBS"/>
    <x v="0"/>
    <s v="NMDBS_OBT_4.6.1.15.1.18b3"/>
    <s v="CMTeam"/>
    <s v="Puneet Gupta"/>
    <s v="\\192.168.3.3\Share\Releases\Projects\OBT\Release_For_IT\TestBuild_1.0.0.2\Server CD\DBS\Setup"/>
    <m/>
    <s v="\\192.168.3.3\Share\Releases\Projects\OBT\Release_For_LQA\TestBuild_1.0.0.4\Server CD\DBS\Setup"/>
    <s v="Pass"/>
    <m/>
    <m/>
    <m/>
    <m/>
    <s v="Tushar Tyagi"/>
    <x v="0"/>
    <s v=""/>
    <x v="0"/>
    <x v="0"/>
  </r>
  <r>
    <d v="2014-02-21T00:00:00"/>
    <d v="2014-02-21T00:00:00"/>
    <n v="2"/>
    <s v="2014-Feb"/>
    <n v="2"/>
    <s v="LQA-UAT"/>
    <x v="8"/>
    <m/>
    <s v="MPE"/>
    <s v="MPE"/>
    <x v="0"/>
    <s v="MPE_TWC_3.2.1.5.2.12b1"/>
    <s v="CMTeam"/>
    <s v="Ankit Jain"/>
    <m/>
    <m/>
    <s v="\\192.168.3.3\Share\Releases\Projects\TWC\Release_For_Test\Test_Build_1.0.0.4\Server CD\MPE\Setup"/>
    <s v="Pass"/>
    <m/>
    <m/>
    <m/>
    <m/>
    <s v="Jitender Aggarwal"/>
    <x v="0"/>
    <s v=""/>
    <x v="0"/>
    <x v="0"/>
  </r>
  <r>
    <d v="2014-02-21T00:00:00"/>
    <d v="2014-02-21T00:00:00"/>
    <n v="2"/>
    <s v="2014-Feb"/>
    <n v="2"/>
    <s v="IT-LQA-UAT"/>
    <x v="3"/>
    <m/>
    <s v="NM"/>
    <s v="DBS"/>
    <x v="0"/>
    <s v="NMDBS_OBT_4.6.1.13.1.16b3"/>
    <s v="CMTeam"/>
    <s v="Puneet Gupta"/>
    <s v="\\192.168.3.3\Share\Releases\Projects\OBT\Release_For_IT\TestBuild_1.0.0.2\Server CD\DBS\Setup"/>
    <m/>
    <s v="\\192.168.3.3\Share\Releases\Projects\OBT\Release_For_LQA\TestBuild_1.0.0.4\Server CD\DBS\Setup"/>
    <s v="Pass"/>
    <m/>
    <m/>
    <m/>
    <m/>
    <s v="Tushar Tyagi"/>
    <x v="0"/>
    <s v=""/>
    <x v="0"/>
    <x v="0"/>
  </r>
  <r>
    <d v="2014-02-21T00:00:00"/>
    <d v="2014-02-21T00:00:00"/>
    <n v="2"/>
    <s v="2014-Feb"/>
    <n v="2"/>
    <s v="LQA-FAT"/>
    <x v="0"/>
    <m/>
    <s v="MPE"/>
    <s v="MPE"/>
    <x v="0"/>
    <s v="MPE_SLT-1B_3.0.1.1.1.53b1"/>
    <s v="CMTeam"/>
    <s v="Ajay Awasthi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2-24T00:00:00"/>
    <d v="2014-02-24T00:00:00"/>
    <n v="2"/>
    <s v="2014-Feb"/>
    <n v="2"/>
    <s v="IT-LQA-FAT"/>
    <x v="0"/>
    <m/>
    <s v="RA"/>
    <s v="DBS"/>
    <x v="0"/>
    <s v="RADBS_SLT_2.0.0.23.1.60b1"/>
    <s v="CMTeam"/>
    <s v="Deepinder Singh"/>
    <s v="\\192.168.3.3\Share\Releases\Projects\SLT\Release_For_IT\Test_Build_1.0.0.4\Server CD\DBS\Setup"/>
    <m/>
    <s v="\\192.168.3.3\Share\Releases\Projects\SLT\Release_For_LQA\Test_Build_1.0.0.19\Server CD\DBS\Setup"/>
    <s v="Pass"/>
    <s v="Readme Re-Released"/>
    <m/>
    <m/>
    <m/>
    <s v="K.V. Krishnan"/>
    <x v="0"/>
    <s v=""/>
    <x v="0"/>
    <x v="0"/>
  </r>
  <r>
    <d v="2014-02-24T00:00:00"/>
    <d v="2014-02-24T00:00:00"/>
    <n v="2"/>
    <s v="2014-Feb"/>
    <n v="2"/>
    <s v="LQA-UAT"/>
    <x v="1"/>
    <m/>
    <s v="MPE"/>
    <s v="MPE"/>
    <x v="0"/>
    <s v="MPE_3.2.4.29b2"/>
    <s v="CMTeam"/>
    <s v="Harish Singh"/>
    <m/>
    <m/>
    <s v="\\192.168.3.3\Share\Releases\Product\MPE_GUI\ReleaseForLQA\TestBuild_1.0.0.2\Server CD\MPE\Setup"/>
    <s v="Pass"/>
    <m/>
    <m/>
    <m/>
    <m/>
    <s v="Pradeep Raghav"/>
    <x v="0"/>
    <s v=""/>
    <x v="0"/>
    <x v="0"/>
  </r>
  <r>
    <d v="2014-02-24T00:00:00"/>
    <d v="2014-02-24T00:00:00"/>
    <n v="2"/>
    <s v="2014-Feb"/>
    <n v="2"/>
    <s v="LQA-UAT"/>
    <x v="3"/>
    <m/>
    <s v="MPE"/>
    <s v="MPE"/>
    <x v="0"/>
    <s v="MPE_OBT_3.2.1.3.1.11b1"/>
    <s v="CMTeam"/>
    <s v="Neelam Jawla"/>
    <m/>
    <m/>
    <s v="\\192.168.3.3\share\Releases\Projects\OBT\Release_For_LQA\TestBuild_1.0.0.4\Server CD\MPE\Setup"/>
    <s v="Pass"/>
    <m/>
    <m/>
    <m/>
    <m/>
    <s v="Manas Ranjan Barik"/>
    <x v="0"/>
    <s v=""/>
    <x v="0"/>
    <x v="0"/>
  </r>
  <r>
    <d v="2014-02-24T00:00:00"/>
    <d v="2014-02-24T00:00:00"/>
    <n v="2"/>
    <s v="2014-Feb"/>
    <n v="2"/>
    <s v="LQA"/>
    <x v="0"/>
    <m/>
    <s v="MPE"/>
    <s v="MPE"/>
    <x v="0"/>
    <s v="MPE_SLT-1B_3.0.1.1.1.51b2"/>
    <s v="CMTeam"/>
    <s v="Ajay Awasthi"/>
    <m/>
    <m/>
    <s v="\\192.168.3.3\Share\Releases\Projects\SLT-1B\Release_For_Test\Test_Build_1.0.0.1\Server CD\MPE\Setup"/>
    <s v="Pass"/>
    <s v="Readme Re-Released"/>
    <m/>
    <m/>
    <m/>
    <m/>
    <x v="0"/>
    <s v=""/>
    <x v="0"/>
    <x v="0"/>
  </r>
  <r>
    <d v="2014-02-25T00:00:00"/>
    <d v="2014-02-25T00:00:00"/>
    <n v="2"/>
    <s v="2014-Feb"/>
    <n v="2"/>
    <s v="IT-LQA"/>
    <x v="10"/>
    <m/>
    <s v="Utility"/>
    <s v="Utility"/>
    <x v="1"/>
    <s v="NMUTLMIG1_COM_1.0.0.0.3"/>
    <s v="CMTeam"/>
    <s v="yogendra kumar"/>
    <s v="\\192.168.3.3\Share\Releases\Projects\Comcast\Release_For_IT\Test_Build_4.6.1\Utility\Setup"/>
    <s v="Obsolete-LQA"/>
    <s v="\\192.168.3.3\Share\Releases\Projects\Comcast\Release_for_Test\Test_Build_4.6.1\Utility\Setup"/>
    <m/>
    <s v="Readme Re-Released"/>
    <m/>
    <m/>
    <m/>
    <m/>
    <x v="2"/>
    <d v="2014-02-25T00:00:00"/>
    <x v="11"/>
    <x v="1"/>
  </r>
  <r>
    <d v="2014-02-25T00:00:00"/>
    <d v="2014-02-25T00:00:00"/>
    <n v="2"/>
    <s v="2014-Feb"/>
    <n v="2"/>
    <s v="IT-LQA-UAT"/>
    <x v="10"/>
    <m/>
    <s v="Utility"/>
    <s v="Utility"/>
    <x v="1"/>
    <s v="NMUTLMIG2_COM_1.0.0.0.3"/>
    <s v="CMTeam"/>
    <s v="yogendra kumar"/>
    <s v="\\192.168.3.3\Share\Releases\Projects\Comcast\Release_For_IT\Test_Build_4.6.1\Utility\Setup"/>
    <m/>
    <s v="\\192.168.3.3\Share\Releases\Projects\Comcast\Release_for_Test\Test_Build_4.6.1\Utility\Setup"/>
    <s v="Pass"/>
    <s v="Readme Re-Released"/>
    <m/>
    <m/>
    <m/>
    <s v="Rudra Narayan"/>
    <x v="0"/>
    <s v=""/>
    <x v="0"/>
    <x v="0"/>
  </r>
  <r>
    <d v="2014-02-25T00:00:00"/>
    <d v="2014-02-25T00:00:00"/>
    <n v="2"/>
    <s v="2014-Feb"/>
    <n v="2"/>
    <s v="IT-LQA"/>
    <x v="10"/>
    <m/>
    <s v="Utility"/>
    <s v="Utility"/>
    <x v="1"/>
    <s v="NMUTLMIG3_COM_1.0.0.0.3"/>
    <s v="CMTeam"/>
    <s v="yogendra kumar"/>
    <s v="\\192.168.3.3\Share\Releases\Projects\Comcast\Release_For_IT\Test_Build_4.6.1\Utility\Setup"/>
    <s v="Obsolete-LQA"/>
    <s v="\\192.168.3.3\Share\Releases\Projects\Comcast\Release_for_Test\Test_Build_4.6.1\Utility\Setup"/>
    <m/>
    <s v="Readme Re-Released"/>
    <m/>
    <m/>
    <m/>
    <m/>
    <x v="2"/>
    <d v="2014-02-25T00:00:00"/>
    <x v="11"/>
    <x v="1"/>
  </r>
  <r>
    <d v="2014-02-25T00:00:00"/>
    <d v="2014-02-25T00:00:00"/>
    <n v="2"/>
    <s v="2014-Feb"/>
    <n v="2"/>
    <s v="LQA-AT"/>
    <x v="4"/>
    <m/>
    <s v="MPE"/>
    <s v="MPE"/>
    <x v="0"/>
    <s v="MPE_TLSTR-2b_3.0.0.3.1.86b1"/>
    <s v="CMTeam"/>
    <s v="Sandeep Aggarwal"/>
    <m/>
    <m/>
    <s v="\\192.168.3.3\Share\Releases\Projects\Telstra-2b\Release_For_Test\Test_Build_1.0.0.1\Server CD\MPE\Setup"/>
    <s v="Pass"/>
    <s v="Readme Re-Released"/>
    <m/>
    <m/>
    <m/>
    <s v="Ashwani "/>
    <x v="0"/>
    <s v=""/>
    <x v="0"/>
    <x v="0"/>
  </r>
  <r>
    <d v="2014-02-25T00:00:00"/>
    <d v="2014-02-25T00:00:00"/>
    <n v="2"/>
    <s v="2014-Feb"/>
    <n v="2"/>
    <s v="LQA-FAT"/>
    <x v="0"/>
    <m/>
    <s v="MPE"/>
    <s v="MPE"/>
    <x v="0"/>
    <s v="MPE_SLT-1B_3.0.1.1.1.54b1"/>
    <s v="CMTeam"/>
    <s v="Ajay Awasthi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2-25T00:00:00"/>
    <d v="2014-02-25T00:00:00"/>
    <n v="2"/>
    <s v="2014-Feb"/>
    <n v="2"/>
    <s v="LQA"/>
    <x v="10"/>
    <m/>
    <s v="WWCS"/>
    <s v="GUI"/>
    <x v="1"/>
    <s v="WWCSGUI_COM_2.1.15.0.3"/>
    <s v="CMTeam"/>
    <s v="Sumit Dalal "/>
    <m/>
    <m/>
    <s v="\\192.168.3.3\Share\Releases\Projects\Comcast\Release_for_Test\Test_Build_4.6.1\Server CD\GUI\Setup"/>
    <m/>
    <m/>
    <m/>
    <m/>
    <m/>
    <m/>
    <x v="1"/>
    <s v=""/>
    <x v="0"/>
    <x v="0"/>
  </r>
  <r>
    <d v="2014-02-25T00:00:00"/>
    <d v="2014-02-25T00:00:00"/>
    <n v="2"/>
    <s v="2014-Feb"/>
    <n v="2"/>
    <s v="LQA"/>
    <x v="10"/>
    <m/>
    <s v="WWFS"/>
    <s v="GUI"/>
    <x v="1"/>
    <s v="WWFSGUI_COM_2.1.22.0.3"/>
    <s v="CMTeam"/>
    <s v="Sumit Dalal "/>
    <m/>
    <m/>
    <s v="\\192.168.3.3\Share\Releases\Projects\Comcast\Release_for_Test\Test_Build_4.6.1\Server CD\GUI\Setup"/>
    <m/>
    <m/>
    <m/>
    <m/>
    <m/>
    <m/>
    <x v="1"/>
    <s v=""/>
    <x v="0"/>
    <x v="0"/>
  </r>
  <r>
    <d v="2014-02-26T00:00:00"/>
    <d v="2014-02-26T00:00:00"/>
    <n v="2"/>
    <s v="2014-Feb"/>
    <n v="2"/>
    <s v="IT-LQA-FAT"/>
    <x v="1"/>
    <m/>
    <s v="RE"/>
    <s v="DBS"/>
    <x v="0"/>
    <s v="REDBS_1.0.1.19b1"/>
    <s v="CMTeam"/>
    <s v="Shiv Mangal"/>
    <s v="\\192.168.3.3\Share\Releases\Product\RE_1.0\ReleaseForIT\TestBuild_1.0.1\DBS\Build4\Setup"/>
    <m/>
    <s v="\\192.168.3.3\Share\Releases\Product\RE_1.0\ReleaseForLQA\TestBuild_1.0.1\DBS\Build4\Setup"/>
    <s v="Pass"/>
    <m/>
    <m/>
    <m/>
    <m/>
    <s v="Ravi Gautam"/>
    <x v="0"/>
    <s v=""/>
    <x v="0"/>
    <x v="0"/>
  </r>
  <r>
    <d v="2014-02-26T00:00:00"/>
    <d v="2014-02-28T00:00:00"/>
    <n v="2"/>
    <s v="2014-Feb"/>
    <n v="2"/>
    <s v="IT-LQA-UAT"/>
    <x v="4"/>
    <m/>
    <s v="NM"/>
    <s v="DBS"/>
    <x v="0"/>
    <s v="NMDBS_TLSTR_4.0.1.0.4.288b1"/>
    <s v="CMTeam"/>
    <s v="Gautam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Ravi Gautam"/>
    <x v="0"/>
    <s v=""/>
    <x v="0"/>
    <x v="0"/>
  </r>
  <r>
    <d v="2014-02-26T00:00:00"/>
    <d v="2014-02-26T00:00:00"/>
    <n v="2"/>
    <s v="2014-Feb"/>
    <n v="2"/>
    <s v="IT-LQA"/>
    <x v="10"/>
    <m/>
    <s v="NM"/>
    <s v="DBS"/>
    <x v="0"/>
    <s v="NMDBS_COM_4.6.1.15.1.1b3"/>
    <s v="CMTeam"/>
    <s v="Sumita Yadav"/>
    <s v="\\192.168.3.3\Share\Releases\Projects\Comcast\Release_For_IT\Test_Build_4.6.1\Server CD\Database\Setup"/>
    <m/>
    <s v="\\192.168.3.3\Share\Releases\Projects\Comcast\Release_for_Test\Test_Build_4.6.1\Server CD\Database\Setup"/>
    <s v="Pass"/>
    <s v="Readme Re-Released"/>
    <m/>
    <m/>
    <m/>
    <m/>
    <x v="0"/>
    <s v=""/>
    <x v="0"/>
    <x v="0"/>
  </r>
  <r>
    <d v="2014-02-26T00:00:00"/>
    <d v="2014-02-26T00:00:00"/>
    <n v="2"/>
    <s v="2014-Feb"/>
    <n v="2"/>
    <s v="IT-LQA"/>
    <x v="10"/>
    <m/>
    <s v="NM"/>
    <s v="DBS"/>
    <x v="0"/>
    <s v="NMDBS_COM_4.6.1.15.1.2b3"/>
    <s v="CMTeam"/>
    <s v="Sumita Yadav"/>
    <s v="\\192.168.3.3\Share\Releases\Projects\Comcast\Release_For_IT\Test_Build_4.6.1\Server CD\Database\Setup"/>
    <m/>
    <s v="\\192.168.3.3\Share\Releases\Projects\Comcast\Release_for_Test\Test_Build_4.6.1\Server CD\Database\Setup"/>
    <m/>
    <m/>
    <m/>
    <m/>
    <m/>
    <m/>
    <x v="1"/>
    <s v=""/>
    <x v="0"/>
    <x v="0"/>
  </r>
  <r>
    <d v="2014-02-26T00:00:00"/>
    <d v="2014-02-26T00:00:00"/>
    <n v="2"/>
    <s v="2014-Feb"/>
    <n v="2"/>
    <s v="IT-LQA"/>
    <x v="10"/>
    <m/>
    <s v="NM"/>
    <s v="DBS"/>
    <x v="0"/>
    <s v="NMDBS_COM_4.6.1.16.1.3b2"/>
    <s v="CMTeam"/>
    <s v="Sumita Yadav"/>
    <s v="\\192.168.3.3\Share\Releases\Projects\Comcast\Release_For_IT\Test_Build_4.6.1\Server CD\Database\Setup"/>
    <m/>
    <s v="\\192.168.3.3\Share\Releases\Projects\Comcast\Release_for_Test\Test_Build_4.6.1\Server CD\Database\Setup"/>
    <m/>
    <m/>
    <m/>
    <m/>
    <m/>
    <m/>
    <x v="1"/>
    <s v=""/>
    <x v="0"/>
    <x v="0"/>
  </r>
  <r>
    <d v="2014-02-26T00:00:00"/>
    <d v="2014-02-27T00:00:00"/>
    <n v="2"/>
    <s v="2014-Feb"/>
    <n v="2"/>
    <s v="IT-LQA"/>
    <x v="10"/>
    <m/>
    <s v="NP"/>
    <s v="DBS"/>
    <x v="0"/>
    <s v="NPDBS_COM_1.2.3.2.1.2b2       "/>
    <s v="CMTeam"/>
    <s v="Sumita Yadav"/>
    <s v="\\192.168.3.3\Share\Releases\Projects\Comcast\Release_For_IT\Test_Build_4.6.1\Server CD\Database\Setup"/>
    <m/>
    <s v="\\192.168.3.3\Share\Releases\Projects\Comcast\Release_for_Test\Test_Build_4.6.1\Server CD\Database\Setup"/>
    <s v="Pass"/>
    <m/>
    <m/>
    <m/>
    <m/>
    <m/>
    <x v="0"/>
    <s v=""/>
    <x v="0"/>
    <x v="0"/>
  </r>
  <r>
    <d v="2014-02-27T00:00:00"/>
    <d v="2014-02-27T00:00:00"/>
    <n v="2"/>
    <s v="2014-Feb"/>
    <n v="2"/>
    <s v="LQA"/>
    <x v="12"/>
    <m/>
    <s v="MPE"/>
    <s v="MPE"/>
    <x v="0"/>
    <s v="MPE_DRC_3.2.1.3.2.22b1"/>
    <s v="CMTeam"/>
    <s v="Navkaran Sandhu"/>
    <m/>
    <m/>
    <s v="\\192.168.3.3\Share\Releases\Projects\DRC\Release_For_LQA\Test_Build_1.0.0.3\Server CD\MPE\Setup"/>
    <s v="Pass"/>
    <m/>
    <m/>
    <m/>
    <m/>
    <m/>
    <x v="0"/>
    <s v=""/>
    <x v="0"/>
    <x v="0"/>
  </r>
  <r>
    <d v="2014-02-27T00:00:00"/>
    <d v="2014-02-27T00:00:00"/>
    <n v="2"/>
    <s v="2014-Feb"/>
    <n v="2"/>
    <s v="IT-LQA-UAT"/>
    <x v="1"/>
    <m/>
    <s v="NP"/>
    <s v="DBS"/>
    <x v="0"/>
    <s v="NPDBS_1.2.3.3b1"/>
    <s v="CMTeam"/>
    <s v="Abhishek Sharma"/>
    <s v="\\192.168.3.3\share\Releases\Product\NetMindPOS_1.1\Build&amp;Release\Release for IT\TestBuild_1.2.3\Server CD\DBS\Setup"/>
    <m/>
    <s v="\\192.168.3.3\share\Releases\Product\NetMindPOS_1.1\Build&amp;Release\Release for LQA\TestBuild_1.2.3\Server CD\DBS\Setup"/>
    <s v="Pass"/>
    <m/>
    <m/>
    <m/>
    <m/>
    <s v="Abhishek Leekha"/>
    <x v="0"/>
    <s v=""/>
    <x v="0"/>
    <x v="0"/>
  </r>
  <r>
    <d v="2014-02-27T00:00:00"/>
    <d v="2014-02-27T00:00:00"/>
    <n v="2"/>
    <s v="2014-Feb"/>
    <n v="2"/>
    <s v="IT-LQA"/>
    <x v="10"/>
    <m/>
    <s v="NP"/>
    <s v="DBS"/>
    <x v="0"/>
    <s v="NPDBS_COM_1.2.3.2.1.1b2       "/>
    <s v="CMTeam"/>
    <s v="Abhishek Sharma"/>
    <s v="\\192.168.3.3\Share\Releases\Projects\Comcast\Release_For_IT\Test_Build_4.6.1\Server CD\Database\Setup"/>
    <m/>
    <s v="\\192.168.3.3\Share\Releases\Projects\Comcast\Release_for_Test\Test_Build_4.6.1\Server CD\Database\Setup"/>
    <s v="Pass"/>
    <m/>
    <m/>
    <m/>
    <m/>
    <m/>
    <x v="0"/>
    <s v=""/>
    <x v="0"/>
    <x v="0"/>
  </r>
  <r>
    <d v="2014-02-28T00:00:00"/>
    <d v="2014-02-28T00:00:00"/>
    <n v="2"/>
    <s v="2014-Feb"/>
    <n v="2"/>
    <s v="IT-LQA"/>
    <x v="10"/>
    <m/>
    <s v="NM"/>
    <s v="DBS"/>
    <x v="0"/>
    <s v="NMDBS_COM_4.6.1.16.1.4b2"/>
    <s v="CMTeam"/>
    <s v="Sachin Srivastva"/>
    <s v="\\192.168.3.3\Share\Releases\Projects\Comcast\Release_For_IT\Test_Build_4.6.1\Server CD\Database\Setup"/>
    <m/>
    <s v="\\192.168.3.3\Share\Releases\Projects\Comcast\Release_for_Test\Test_Build_4.6.1\Server CD\Database\Setup"/>
    <s v="Pass"/>
    <m/>
    <m/>
    <m/>
    <m/>
    <m/>
    <x v="0"/>
    <s v=""/>
    <x v="0"/>
    <x v="0"/>
  </r>
  <r>
    <d v="2014-02-28T00:00:00"/>
    <d v="2014-02-28T00:00:00"/>
    <n v="2"/>
    <s v="2014-Feb"/>
    <n v="2"/>
    <s v="LQA-AT"/>
    <x v="4"/>
    <m/>
    <s v="MPE"/>
    <s v="MPE"/>
    <x v="0"/>
    <s v="MPE_TLSTR-2b_3.0.0.3.1.87b1"/>
    <s v="CMTeam"/>
    <s v="Sandeep Aggarwal"/>
    <m/>
    <m/>
    <s v="\\192.168.3.3\Share\Releases\Projects\Telstra-2b\Release_For_Test\Test_Build_1.0.0.1\Server CD\MPE\Setup"/>
    <s v="Pass"/>
    <m/>
    <m/>
    <m/>
    <m/>
    <s v="Ashwani "/>
    <x v="0"/>
    <s v=""/>
    <x v="0"/>
    <x v="0"/>
  </r>
  <r>
    <d v="2014-03-04T00:00:00"/>
    <d v="2014-03-04T00:00:00"/>
    <n v="3"/>
    <s v="2014-Mar"/>
    <n v="3"/>
    <s v="LQA-UAT"/>
    <x v="1"/>
    <m/>
    <s v="WWFS"/>
    <s v="GUI"/>
    <x v="0"/>
    <s v="WWFSGUI_2.0.4.9b1"/>
    <s v="CMTeam"/>
    <s v="Ratnesh Singh"/>
    <m/>
    <m/>
    <s v="\\192.168.3.3\Share\Releases\Product\WEB_WFS\Build&amp;Release\Release For Test\TestBuild_2.0.4\Build4\ServerCD\GUI\Setup"/>
    <s v="Pass"/>
    <m/>
    <m/>
    <m/>
    <m/>
    <s v="Gaurav Shukla"/>
    <x v="0"/>
    <s v=""/>
    <x v="0"/>
    <x v="0"/>
  </r>
  <r>
    <d v="2014-03-04T00:00:00"/>
    <d v="2014-03-04T00:00:00"/>
    <n v="3"/>
    <s v="2014-Mar"/>
    <n v="3"/>
    <s v="LQA"/>
    <x v="13"/>
    <m/>
    <s v="MPE"/>
    <s v="MPE"/>
    <x v="0"/>
    <s v="MPE_NM46_3.2.5.1.1.3b1"/>
    <s v="CMTeam"/>
    <s v="Anshul Kumar"/>
    <m/>
    <m/>
    <s v="\\192.168.3.3\Share\Releases\Projects\NM46\Release_For_Test\Test_Build_1.0.0.1\Server CD\MPE\Setup"/>
    <m/>
    <m/>
    <m/>
    <m/>
    <m/>
    <m/>
    <x v="1"/>
    <s v=""/>
    <x v="0"/>
    <x v="0"/>
  </r>
  <r>
    <d v="2014-03-04T00:00:00"/>
    <d v="2014-03-04T00:00:00"/>
    <n v="3"/>
    <s v="2014-Mar"/>
    <n v="3"/>
    <s v="IT-LQA-UAT"/>
    <x v="4"/>
    <m/>
    <s v="NM"/>
    <s v="DBS"/>
    <x v="0"/>
    <s v="NMDBS_TLSTR_4.0.1.0.4.289b1"/>
    <s v="CMTeam"/>
    <s v="Gautam"/>
    <s v="\\192.168.3.3\Share\Releases\Projects\Telstra\Release_For_IT\Test_Build_1.0.0.18\Server CD\DBS\Setup"/>
    <m/>
    <s v="\\192.168.3.3\Share\Releases\Projects\Telstra\Release_For_LQA\Test_Build_1.0.0.18\Server CD\DBS\Setup"/>
    <s v="Pass"/>
    <s v="Readme Re-Released"/>
    <m/>
    <m/>
    <m/>
    <s v="Ravi Gautam"/>
    <x v="0"/>
    <s v=""/>
    <x v="0"/>
    <x v="0"/>
  </r>
  <r>
    <d v="2014-03-05T00:00:00"/>
    <d v="2014-03-05T00:00:00"/>
    <n v="3"/>
    <s v="2014-Mar"/>
    <n v="3"/>
    <s v="IT-LQA-UAT"/>
    <x v="6"/>
    <m/>
    <s v="NM"/>
    <s v="DBS"/>
    <x v="0"/>
    <s v="NMDBS_ANTEL_4.6.1.0.2.33b1"/>
    <s v="CMTeam"/>
    <s v="Nishant"/>
    <s v="\\192.168.3.3\Share\Releases\Projects\ANTEL\Release_For_IT\TestBuild_1.0.0.4\Server CD\DBS\Setup"/>
    <m/>
    <s v="\\192.168.3.3\Share\Releases\Projects\ANTEL\Release_For_Test\Test_Build_1.0.0.7\Server CD\DBS\Setup"/>
    <s v="Pass"/>
    <s v="Readme Re-Released"/>
    <m/>
    <m/>
    <m/>
    <s v="Pradeep Raghav"/>
    <x v="0"/>
    <s v=""/>
    <x v="0"/>
    <x v="0"/>
  </r>
  <r>
    <d v="2014-03-05T00:00:00"/>
    <d v="2014-03-05T00:00:00"/>
    <n v="3"/>
    <s v="2014-Mar"/>
    <n v="3"/>
    <s v="LQA"/>
    <x v="12"/>
    <m/>
    <s v="MPE"/>
    <s v="MPE"/>
    <x v="0"/>
    <s v="MPE_DRC_3.2.1.3.2.23b1"/>
    <s v="CMTeam"/>
    <s v="Navkaran Sandhu"/>
    <m/>
    <m/>
    <s v="\\192.168.3.3\Share\Releases\Projects\DRC\Release_For_LQA\Test_Build_1.0.0.3\Server CD\MPE\Setup"/>
    <s v="Pass"/>
    <m/>
    <m/>
    <m/>
    <m/>
    <m/>
    <x v="0"/>
    <s v=""/>
    <x v="0"/>
    <x v="0"/>
  </r>
  <r>
    <d v="2014-03-05T00:00:00"/>
    <d v="2014-03-05T00:00:00"/>
    <n v="3"/>
    <s v="2014-Mar"/>
    <n v="3"/>
    <s v="LQA-UAT"/>
    <x v="3"/>
    <m/>
    <s v="MPE"/>
    <s v="MPE"/>
    <x v="0"/>
    <s v="MPE_OBT_3.2.1.3.1.12b1"/>
    <s v="CMTeam"/>
    <s v="Neelam Jawla"/>
    <m/>
    <m/>
    <s v="\\192.168.3.3\share\Releases\Projects\OBT\Release_For_LQA\TestBuild_1.0.0.4\Server CD\MPE\Setup"/>
    <s v="Pass"/>
    <m/>
    <m/>
    <m/>
    <m/>
    <s v="Manas Ranjan Barik"/>
    <x v="0"/>
    <s v=""/>
    <x v="0"/>
    <x v="0"/>
  </r>
  <r>
    <d v="2014-03-05T00:00:00"/>
    <d v="2014-03-05T00:00:00"/>
    <n v="3"/>
    <s v="2014-Mar"/>
    <n v="3"/>
    <s v="IT-LQA-UAT"/>
    <x v="3"/>
    <m/>
    <s v="NM"/>
    <s v="DBS"/>
    <x v="0"/>
    <s v="NMDBS_OBT_4.6.1.16.1.20b1"/>
    <s v="CMTeam"/>
    <s v="Rohit Kanwar"/>
    <s v="\\192.168.3.3\Share\Releases\Projects\OBT\Release_For_IT\TestBuild_1.0.0.2\Server CD\DBS\Setup"/>
    <m/>
    <s v="\\192.168.3.3\Share\Releases\Projects\OBT\Release_For_LQA\TestBuild_1.0.0.4\Server CD\DBS\Setup"/>
    <s v="Pass"/>
    <s v="Readme Re-Released"/>
    <m/>
    <m/>
    <m/>
    <s v="Tushar Tyagi"/>
    <x v="0"/>
    <s v=""/>
    <x v="0"/>
    <x v="0"/>
  </r>
  <r>
    <d v="2014-03-05T00:00:00"/>
    <d v="2014-03-05T00:00:00"/>
    <n v="3"/>
    <s v="2014-Mar"/>
    <n v="3"/>
    <s v="LQA-UAT"/>
    <x v="15"/>
    <m/>
    <s v="MPE"/>
    <s v="MPE"/>
    <x v="0"/>
    <s v="MPE_CBD_3.2.1.3.2.12b1"/>
    <s v="CMTeam"/>
    <s v="Asha Nandan"/>
    <m/>
    <m/>
    <s v="\\192.168.3.3\share\Releases\Projects\CBD\Release_For_Test\Test_Build_1.0.0.4\Server CD\MPE\RHEL_6.3\Setup"/>
    <s v="Pass"/>
    <m/>
    <m/>
    <m/>
    <m/>
    <s v="Surya N Behra"/>
    <x v="0"/>
    <s v=""/>
    <x v="0"/>
    <x v="0"/>
  </r>
  <r>
    <d v="2014-03-05T00:00:00"/>
    <d v="2014-03-05T00:00:00"/>
    <n v="3"/>
    <s v="2014-Mar"/>
    <n v="3"/>
    <s v="LQA-FAT"/>
    <x v="4"/>
    <m/>
    <s v="MPE"/>
    <s v="MPE"/>
    <x v="0"/>
    <s v="MPE_TLSTR-2b_3.0.0.3.1.88b1"/>
    <s v="CMTeam"/>
    <s v="Anshul Kumar"/>
    <m/>
    <m/>
    <s v="\\192.168.3.3\Share\Releases\Projects\Telstra-2b\Release_For_Test\Test_Build_1.0.0.1\Server CD\MPE\Setup"/>
    <s v="Pass"/>
    <m/>
    <m/>
    <m/>
    <m/>
    <s v="Ravi Gautam"/>
    <x v="0"/>
    <s v=""/>
    <x v="0"/>
    <x v="0"/>
  </r>
  <r>
    <d v="2014-03-06T00:00:00"/>
    <d v="2014-03-06T00:00:00"/>
    <n v="3"/>
    <s v="2014-Mar"/>
    <n v="3"/>
    <s v="LQA"/>
    <x v="0"/>
    <m/>
    <s v="MPE"/>
    <s v="MPE"/>
    <x v="0"/>
    <s v="MPE_SLT-1B_3.0.1.1.1.55b1"/>
    <s v="CMTeam"/>
    <s v="Ajay Awasthi"/>
    <m/>
    <s v="Obsolete-LQA"/>
    <s v="\\192.168.3.3\Share\Releases\Projects\SLT-1B\Release_For_Test\Test_Build_1.0.0.1\Server CD\MPE\Setup"/>
    <m/>
    <m/>
    <m/>
    <m/>
    <m/>
    <m/>
    <x v="2"/>
    <d v="2014-03-06T00:00:00"/>
    <x v="12"/>
    <x v="1"/>
  </r>
  <r>
    <d v="2014-03-06T00:00:00"/>
    <d v="2014-03-06T00:00:00"/>
    <n v="3"/>
    <s v="2014-Mar"/>
    <n v="3"/>
    <s v="IT-LQA"/>
    <x v="8"/>
    <m/>
    <s v="NM"/>
    <s v="DBS"/>
    <x v="0"/>
    <s v="NMDBS_TWC_4.6.1.11.3.34b1"/>
    <s v="CMTeam"/>
    <s v="Sudip Ghosh"/>
    <s v="\\192.168.3.3\Share\Releases\Projects\TWC\Release_For_IT\Test_Build_1.0.0.3\Server CD\DBS\Setup"/>
    <s v="Obsolete-LQA"/>
    <s v="\\192.168.3.3\Share\Releases\Projects\TWC\Release_For_Test\Test_Build_1.0.0.4\Server CD\DBS\Setup"/>
    <m/>
    <m/>
    <m/>
    <m/>
    <m/>
    <m/>
    <x v="2"/>
    <d v="2014-03-06T00:00:00"/>
    <x v="12"/>
    <x v="1"/>
  </r>
  <r>
    <d v="2014-03-06T00:00:00"/>
    <d v="2014-03-07T00:00:00"/>
    <n v="3"/>
    <s v="2014-Mar"/>
    <n v="3"/>
    <s v="IT-LQA"/>
    <x v="12"/>
    <m/>
    <s v="DM"/>
    <s v="DBS"/>
    <x v="0"/>
    <s v="DMDBS_DRC_2.1.1.7.2.16b1"/>
    <s v="CMTeam"/>
    <s v="Chander Kanta"/>
    <s v="\\192.168.3.3\Share\Releases\Projects\DRC\Release_For_IT\Test_Build_1.0.0.3\Server CD\DBS\Setup"/>
    <m/>
    <s v="\\192.168.3.3\Share\Releases\Projects\DRC\Release_For_LQA\Test_Build_1.0.0.3\Server CD\DBS\Setup"/>
    <s v="Pass"/>
    <m/>
    <m/>
    <m/>
    <m/>
    <m/>
    <x v="0"/>
    <s v=""/>
    <x v="0"/>
    <x v="0"/>
  </r>
  <r>
    <d v="2014-03-06T00:00:00"/>
    <d v="2014-03-06T00:00:00"/>
    <n v="3"/>
    <s v="2014-Mar"/>
    <n v="3"/>
    <s v="LQA"/>
    <x v="9"/>
    <m/>
    <s v="MPE"/>
    <s v="MPE"/>
    <x v="0"/>
    <s v="MPE_MAX_3.2.5.0.1.3b1"/>
    <s v="CMTeam"/>
    <s v="Navkaran Sandhu"/>
    <m/>
    <m/>
    <s v="\\192.168.3.3\Share\Releases\Projects\MAX\Release_For_Test\Test_Build_1.0.0.1\Server CD\MPE\Setup"/>
    <m/>
    <m/>
    <m/>
    <m/>
    <m/>
    <m/>
    <x v="1"/>
    <s v=""/>
    <x v="0"/>
    <x v="0"/>
  </r>
  <r>
    <d v="2014-03-07T00:00:00"/>
    <d v="2014-03-07T00:00:00"/>
    <n v="3"/>
    <s v="2014-Mar"/>
    <n v="3"/>
    <s v="LQA-FAT"/>
    <x v="0"/>
    <m/>
    <s v="Utility"/>
    <s v="Utility"/>
    <x v="0"/>
    <s v="UTLSEQM_SLT-1B_1.0.0.0.5.3b1 "/>
    <s v="CMTeam"/>
    <s v="Ajay Awasthi"/>
    <m/>
    <m/>
    <s v="\\192.168.3.3\Share\Releases\Projects\SLT-1B\Release_For_Test\Test_Build_1.0.0.1\Utility\MPE\Setup"/>
    <s v="Pass"/>
    <m/>
    <m/>
    <m/>
    <m/>
    <s v="K.V. Krishnan"/>
    <x v="0"/>
    <s v=""/>
    <x v="0"/>
    <x v="0"/>
  </r>
  <r>
    <d v="2014-03-07T00:00:00"/>
    <d v="2014-03-07T00:00:00"/>
    <n v="3"/>
    <s v="2014-Mar"/>
    <n v="3"/>
    <s v="LQA-FAT"/>
    <x v="0"/>
    <m/>
    <s v="Utility"/>
    <s v="Utility"/>
    <x v="0"/>
    <s v="UTLFDUP_SLT-1B_1.0.0.0.5.1b1"/>
    <s v="CMTeam"/>
    <s v="Ajay Awasthi"/>
    <m/>
    <m/>
    <s v="\\192.168.3.3\Share\Releases\Projects\SLT-1B\Release_For_Test\Test_Build_1.0.0.1\Utility\MPE\Setup"/>
    <s v="Pass"/>
    <m/>
    <m/>
    <m/>
    <m/>
    <s v="K.V. Krishnan"/>
    <x v="0"/>
    <s v=""/>
    <x v="0"/>
    <x v="0"/>
  </r>
  <r>
    <d v="2014-03-10T00:00:00"/>
    <d v="2014-03-10T00:00:00"/>
    <n v="3"/>
    <s v="2014-Mar"/>
    <n v="3"/>
    <s v="IT-LQA"/>
    <x v="0"/>
    <m/>
    <s v="RA"/>
    <s v="DBS"/>
    <x v="0"/>
    <s v="RADBS_SLT_2.0.0.26.1.61b1"/>
    <s v="CMTeam"/>
    <s v="Raja Sarkar"/>
    <s v="\\192.168.3.3\Share\Releases\Projects\SLT\Release_For_IT\Test_Build_1.0.0.4\Server CD\DBS\Setup"/>
    <s v="Obsolete-LQA"/>
    <s v="\\192.168.3.3\Share\Releases\Projects\SLT\Release_For_LQA\Test_Build_1.0.0.19\Server CD\DBS\Setup"/>
    <m/>
    <m/>
    <m/>
    <m/>
    <m/>
    <m/>
    <x v="2"/>
    <d v="2014-03-10T00:00:00"/>
    <x v="13"/>
    <x v="1"/>
  </r>
  <r>
    <d v="2014-03-10T00:00:00"/>
    <d v="2014-03-10T00:00:00"/>
    <n v="3"/>
    <s v="2014-Mar"/>
    <n v="3"/>
    <s v="IT-LQA-UAT"/>
    <x v="1"/>
    <m/>
    <s v="NP"/>
    <s v="DBS"/>
    <x v="0"/>
    <s v="NPDBS_1.2.3.4b1"/>
    <s v="CMTeam"/>
    <s v="Abhishek Sharma"/>
    <s v="\\192.168.3.3\share\Releases\Product\NetMindPOS_1.1\Build&amp;Release\Release for IT\TestBuild_1.2.3\Server CD\DBS\Setup"/>
    <m/>
    <s v="\\192.168.3.3\share\Releases\Product\NetMindPOS_1.1\Build&amp;Release\Release for LQA\TestBuild_1.2.3\Server CD\DBS\Setup"/>
    <s v="Pass"/>
    <m/>
    <m/>
    <m/>
    <m/>
    <s v="Abhishek Leekha"/>
    <x v="0"/>
    <s v=""/>
    <x v="0"/>
    <x v="0"/>
  </r>
  <r>
    <d v="2014-03-10T00:00:00"/>
    <d v="2014-03-10T00:00:00"/>
    <n v="3"/>
    <s v="2014-Mar"/>
    <n v="3"/>
    <s v="IT-LQA"/>
    <x v="10"/>
    <m/>
    <s v="NP"/>
    <s v="DBS"/>
    <x v="0"/>
    <s v="NPDBS_COM_1.2.3.2.1.3b1"/>
    <s v="CMTeam"/>
    <s v="Abhishek Sharma"/>
    <s v="\\192.168.3.3\Share\Releases\Projects\Comcast\Release_For_IT\Test_Build_4.6.1\Server CD\Database\Setup"/>
    <m/>
    <s v="\\192.168.3.3\Share\Releases\Projects\Comcast\Release_for_Test\Test_Build_4.6.1\Server CD\Database\Setup"/>
    <s v="Pass"/>
    <s v="Readme Re-Released"/>
    <m/>
    <m/>
    <m/>
    <m/>
    <x v="0"/>
    <s v=""/>
    <x v="0"/>
    <x v="0"/>
  </r>
  <r>
    <d v="2014-03-10T00:00:00"/>
    <d v="2014-03-10T00:00:00"/>
    <n v="3"/>
    <s v="2014-Mar"/>
    <n v="3"/>
    <s v="IT-LQA-FAT"/>
    <x v="0"/>
    <m/>
    <s v="DM"/>
    <s v="DBS"/>
    <x v="0"/>
    <s v="DMDBS_SLT_2.0.0.20.1.104b1"/>
    <s v="CMTeam"/>
    <s v="Raja Sarkar"/>
    <s v="\\192.168.3.3\Share\Releases\Projects\SLT\Release_For_IT\Test_Build_1.0.0.4\Server CD\DBS\Setup"/>
    <m/>
    <s v="\\192.168.3.3\Share\Releases\Projects\SLT\Release_For_LQA\Test_Build_1.0.0.19\Server CD\DBS\Setup"/>
    <s v="Pass"/>
    <s v="Readme Re-Released"/>
    <m/>
    <m/>
    <m/>
    <s v="K.V. Krishnan"/>
    <x v="0"/>
    <s v=""/>
    <x v="0"/>
    <x v="0"/>
  </r>
  <r>
    <d v="2014-03-10T00:00:00"/>
    <d v="2014-03-10T00:00:00"/>
    <n v="3"/>
    <s v="2014-Mar"/>
    <n v="3"/>
    <s v="LQA"/>
    <x v="1"/>
    <m/>
    <s v="MPE"/>
    <s v="MPE"/>
    <x v="0"/>
    <s v="MPE_3.2.4.30b1"/>
    <s v="CMTeam"/>
    <s v="Harish Singh"/>
    <m/>
    <s v="Obsolete-LQA"/>
    <s v="\\192.168.3.3\Share\Releases\Product\MPE_GUI\ReleaseForLQA\TestBuild_1.0.0.2\Server CD\MPE\Setup"/>
    <m/>
    <m/>
    <m/>
    <m/>
    <m/>
    <m/>
    <x v="2"/>
    <d v="2014-03-10T00:00:00"/>
    <x v="13"/>
    <x v="1"/>
  </r>
  <r>
    <d v="2014-03-10T00:00:00"/>
    <d v="2014-03-10T00:00:00"/>
    <n v="3"/>
    <s v="2014-Mar"/>
    <n v="3"/>
    <s v="IT-LQA-UAT"/>
    <x v="4"/>
    <m/>
    <s v="NM"/>
    <s v="DBS"/>
    <x v="0"/>
    <s v="NMDBS_TLSTR_4.0.1.0.4.290b1"/>
    <s v="CMTeam"/>
    <s v="Gautam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Abrar Khan"/>
    <x v="0"/>
    <s v=""/>
    <x v="0"/>
    <x v="0"/>
  </r>
  <r>
    <d v="2014-03-11T00:00:00"/>
    <d v="2014-03-11T00:00:00"/>
    <n v="3"/>
    <s v="2014-Mar"/>
    <n v="3"/>
    <s v="IT-LQA"/>
    <x v="8"/>
    <m/>
    <s v="NM"/>
    <s v="DBS"/>
    <x v="0"/>
    <s v="NMDBS_TWC_4.6.1.11.3.34b2"/>
    <s v="CMTeam"/>
    <s v="Sudip Ghosh"/>
    <s v="\\192.168.3.3\Share\Releases\Projects\TWC\Release_For_IT\Test_Build_1.0.0.3\Server CD\DBS\Setup"/>
    <s v="Obsolete-LQA"/>
    <s v="\\192.168.3.3\Share\Releases\Projects\TWC\Release_For_Test\Test_Build_1.0.0.4\Server CD\DBS\Setup"/>
    <m/>
    <m/>
    <m/>
    <m/>
    <m/>
    <m/>
    <x v="2"/>
    <d v="2014-03-11T00:00:00"/>
    <x v="13"/>
    <x v="1"/>
  </r>
  <r>
    <d v="2014-03-11T00:00:00"/>
    <d v="2014-03-11T00:00:00"/>
    <n v="3"/>
    <s v="2014-Mar"/>
    <n v="3"/>
    <s v="IT-LQA"/>
    <x v="8"/>
    <m/>
    <s v="NM"/>
    <s v="DBS"/>
    <x v="0"/>
    <s v="NMDBS_TWC_4.6.1.11.3.34b3"/>
    <s v="CMTeam"/>
    <s v="Sudip Ghosh"/>
    <s v="\\192.168.3.3\Share\Releases\Projects\TWC\Release_For_IT\Test_Build_1.0.0.3\Server CD\DBS\Setup"/>
    <s v="Obsolete-LQA"/>
    <s v="\\192.168.3.3\Share\Releases\Projects\TWC\Release_For_Test\Test_Build_1.0.0.4\Server CD\DBS\Setup"/>
    <m/>
    <m/>
    <m/>
    <m/>
    <m/>
    <m/>
    <x v="2"/>
    <d v="2014-03-11T00:00:00"/>
    <x v="13"/>
    <x v="1"/>
  </r>
  <r>
    <d v="2014-03-11T00:00:00"/>
    <d v="2014-03-11T00:00:00"/>
    <n v="3"/>
    <s v="2014-Mar"/>
    <n v="3"/>
    <s v="IT-LQA"/>
    <x v="5"/>
    <m/>
    <s v="NM"/>
    <s v="DBS"/>
    <x v="0"/>
    <s v="NMDBS_BHN_3.5.1.54.1"/>
    <s v="CMTeam"/>
    <s v="yogendra kumar"/>
    <s v="\\192.168.3.3\Share\Projects\Neustar\BHN\Build&amp;Release\Release For IT\Test_Build_3.5.37\Server CD\Database\Setup"/>
    <s v="Obsolete-LQA"/>
    <s v="\\192.168.3.3\Share\Projects\Neustar\BHN\Build&amp;Release\Release For Test\Test_Build_3.5.37\Server CD\Database\Setup"/>
    <m/>
    <m/>
    <m/>
    <m/>
    <m/>
    <m/>
    <x v="2"/>
    <d v="2014-03-11T00:00:00"/>
    <x v="13"/>
    <x v="1"/>
  </r>
  <r>
    <d v="2014-03-11T00:00:00"/>
    <d v="2014-03-11T00:00:00"/>
    <n v="3"/>
    <s v="2014-Mar"/>
    <n v="3"/>
    <s v="IT-LQA"/>
    <x v="5"/>
    <m/>
    <s v="NM"/>
    <s v="DBS"/>
    <x v="0"/>
    <s v="NMDBS_BHN_3.5.1.55.1"/>
    <s v="CMTeam"/>
    <s v="yogendra kumar"/>
    <s v="\\192.168.3.3\Share\Projects\Neustar\BHN\Build&amp;Release\Release For IT\Test_Build_3.5.37\Server CD\Database\Setup"/>
    <s v="Obsolete-LQA"/>
    <s v="\\192.168.3.3\Share\Projects\Neustar\BHN\Build&amp;Release\Release For Test\Test_Build_3.5.37\Server CD\Database\Setup"/>
    <m/>
    <m/>
    <m/>
    <m/>
    <m/>
    <m/>
    <x v="2"/>
    <d v="2014-03-11T00:00:00"/>
    <x v="13"/>
    <x v="1"/>
  </r>
  <r>
    <d v="2014-03-11T00:00:00"/>
    <d v="2014-03-11T00:00:00"/>
    <n v="3"/>
    <s v="2014-Mar"/>
    <n v="3"/>
    <s v="IT-LQA"/>
    <x v="5"/>
    <m/>
    <s v="NM"/>
    <s v="DBS"/>
    <x v="0"/>
    <s v="NMDBS_BHN_3.5.1.56.1"/>
    <s v="CMTeam"/>
    <s v="yogendra kumar"/>
    <s v="\\192.168.3.3\Share\Projects\Neustar\BHN\Build&amp;Release\Release For IT\Test_Build_3.5.37\Server CD\Database\Setup"/>
    <m/>
    <s v="\\192.168.3.3\Share\Projects\Neustar\BHN\Build&amp;Release\Release For Test\Test_Build_3.5.37\Server CD\Database\Setup"/>
    <s v="Pass"/>
    <m/>
    <m/>
    <m/>
    <m/>
    <m/>
    <x v="0"/>
    <s v=""/>
    <x v="0"/>
    <x v="0"/>
  </r>
  <r>
    <d v="2014-03-11T00:00:00"/>
    <d v="2014-03-11T00:00:00"/>
    <n v="3"/>
    <s v="2014-Mar"/>
    <n v="3"/>
    <s v="IT-LQA"/>
    <x v="5"/>
    <m/>
    <s v="NM"/>
    <s v="DBS"/>
    <x v="0"/>
    <s v="NMDBS_BHN_3.5.1.56.1"/>
    <s v="CMTeam"/>
    <s v="yogendra kumar"/>
    <s v="\\192.168.3.3\Share\Projects\Neustar\BHN\Build&amp;Release\Release For IT\Test_Build_3.5.37\Server CD\Database\Setup"/>
    <m/>
    <s v="\\192.168.3.3\Share\Projects\Neustar\BHN\Build&amp;Release\Release For Test\Test_Build_3.5.37\Server CD\Database\Setup"/>
    <m/>
    <m/>
    <m/>
    <m/>
    <m/>
    <m/>
    <x v="1"/>
    <s v=""/>
    <x v="0"/>
    <x v="0"/>
  </r>
  <r>
    <d v="2014-03-11T00:00:00"/>
    <d v="2014-03-11T00:00:00"/>
    <n v="3"/>
    <s v="2014-Mar"/>
    <n v="3"/>
    <s v="IT-LQA-UAT"/>
    <x v="8"/>
    <m/>
    <s v="NM"/>
    <s v="DBS"/>
    <x v="0"/>
    <s v="NMDBS_TWC_4.6.1.11.3.34b4"/>
    <s v="CMTeam"/>
    <s v="Sudip Ghosh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Sumit Gomber"/>
    <x v="0"/>
    <s v=""/>
    <x v="0"/>
    <x v="0"/>
  </r>
  <r>
    <d v="2014-03-12T00:00:00"/>
    <d v="2014-03-12T00:00:00"/>
    <n v="3"/>
    <s v="2014-Mar"/>
    <n v="3"/>
    <s v="IT-LQA"/>
    <x v="10"/>
    <m/>
    <s v="NM"/>
    <s v="DBS"/>
    <x v="0"/>
    <s v="NMDBS_COM_4.6.1.16.1.5b1"/>
    <s v="CMTeam"/>
    <s v="Sachin Srivastva"/>
    <s v="\\192.168.3.3\Share\Releases\Projects\Comcast\Release_For_IT\Test_Build_4.6.1\Server CD\Database\Setup"/>
    <s v="Obsolete-LQA"/>
    <s v="\\192.168.3.3\Share\Releases\Projects\Comcast\Release_for_Test\Test_Build_4.6.1\Server CD\Database\Setup"/>
    <m/>
    <s v="Readme Re-Released"/>
    <m/>
    <m/>
    <m/>
    <m/>
    <x v="2"/>
    <d v="2014-03-12T00:00:00"/>
    <x v="13"/>
    <x v="1"/>
  </r>
  <r>
    <d v="2014-03-12T00:00:00"/>
    <d v="2014-03-12T00:00:00"/>
    <n v="3"/>
    <s v="2014-Mar"/>
    <n v="3"/>
    <s v="IT-LQA"/>
    <x v="10"/>
    <m/>
    <s v="NM"/>
    <s v="DBS"/>
    <x v="0"/>
    <s v="NMDBS_COM_4.6.1.16.1.7b1"/>
    <s v="CMTeam"/>
    <s v="Sachin Srivastva"/>
    <s v="\\192.168.3.3\Share\Releases\Projects\Comcast\Release_For_IT\Test_Build_4.6.1\Server CD\Database\Setup"/>
    <s v="Obsolete-LQA"/>
    <s v="\\192.168.3.3\Share\Releases\Projects\Comcast\Release_for_Test\Test_Build_4.6.1\Server CD\Database\Setup"/>
    <m/>
    <s v="Readme Re-Released"/>
    <m/>
    <m/>
    <m/>
    <m/>
    <x v="2"/>
    <d v="2014-03-12T00:00:00"/>
    <x v="13"/>
    <x v="1"/>
  </r>
  <r>
    <d v="2014-03-12T00:00:00"/>
    <d v="2014-03-12T00:00:00"/>
    <n v="3"/>
    <s v="2014-Mar"/>
    <n v="3"/>
    <s v="IT-LQA-FAT"/>
    <x v="0"/>
    <m/>
    <s v="RA"/>
    <s v="DBS"/>
    <x v="0"/>
    <s v="RADBS_SLT_2.0.0.26.1.61b2"/>
    <s v="CMTeam"/>
    <s v="Raja Sarkar"/>
    <s v="\\192.168.3.3\Share\Releases\Projects\SLT\Release_For_IT\Test_Build_1.0.0.4\Server CD\DBS\Setup"/>
    <m/>
    <s v="\\192.168.3.3\Share\Releases\Projects\SLT\Release_For_LQA\Test_Build_1.0.0.19\Server CD\DBS\Setup"/>
    <s v="Pass"/>
    <m/>
    <m/>
    <m/>
    <m/>
    <s v="K.V. Krishnan"/>
    <x v="0"/>
    <s v=""/>
    <x v="0"/>
    <x v="0"/>
  </r>
  <r>
    <d v="2014-03-13T00:00:00"/>
    <d v="2014-04-16T00:00:00"/>
    <n v="3"/>
    <s v="2014-Mar"/>
    <n v="4"/>
    <s v="IT-LQA"/>
    <x v="16"/>
    <m/>
    <s v="NM"/>
    <s v="MPE"/>
    <x v="0"/>
    <s v="NMMPE_TLN_2.0.3.50.1"/>
    <s v="CMTeam"/>
    <s v="Muktesh Mukul"/>
    <s v="\\192.168.3.3\Share\Releases\Projects\Telenet\Build&amp;Release\Release For IT\Test_Build_4.0.39\Server CD\MPE\Setup"/>
    <s v="Obsolete-LQA"/>
    <s v="\\192.168.3.3\Share\Releases\Projects\Telenet\Build&amp;Release\Release For Test\Test_Build_4.0.41\Server CD\MPE\Setup"/>
    <m/>
    <m/>
    <m/>
    <m/>
    <m/>
    <m/>
    <x v="2"/>
    <d v="2014-04-16T00:00:00"/>
    <x v="14"/>
    <x v="1"/>
  </r>
  <r>
    <d v="2014-03-13T00:00:00"/>
    <d v="2014-03-13T00:00:00"/>
    <n v="3"/>
    <s v="2014-Mar"/>
    <n v="3"/>
    <s v="IT-LQA"/>
    <x v="4"/>
    <m/>
    <s v="NM"/>
    <s v="DBS"/>
    <x v="0"/>
    <s v="NMDBS_TLSTR_4.0.1.0.4.291b1"/>
    <s v="CMTeam"/>
    <s v="Gautam"/>
    <s v="\\192.168.3.3\Share\Releases\Projects\Telstra\Release_For_IT\Test_Build_1.0.0.18\Server CD\DBS\Setup"/>
    <s v="Obsolete-LQA"/>
    <s v="\\192.168.3.3\Share\Releases\Projects\Telstra\Release_For_LQA\Test_Build_1.0.0.18\Server CD\DBS\Setup"/>
    <m/>
    <m/>
    <m/>
    <m/>
    <m/>
    <m/>
    <x v="2"/>
    <d v="2014-03-13T00:00:00"/>
    <x v="13"/>
    <x v="1"/>
  </r>
  <r>
    <d v="2014-03-13T00:00:00"/>
    <d v="2014-03-13T00:00:00"/>
    <n v="3"/>
    <s v="2014-Mar"/>
    <n v="3"/>
    <s v="IT-LQA-UAT"/>
    <x v="1"/>
    <m/>
    <s v="NP"/>
    <s v="DBS"/>
    <x v="0"/>
    <s v="NPDBS_1.2.3.5b1"/>
    <s v="CMTeam"/>
    <s v="Abhishek Sharma"/>
    <s v="\\192.168.3.3\share\Releases\Product\NetMindPOS_1.1\Build&amp;Release\Release for IT\TestBuild_1.2.3\Server CD\DBS\Setup"/>
    <m/>
    <s v="\\192.168.3.3\share\Releases\Product\NetMindPOS_1.1\Build&amp;Release\Release for LQA\TestBuild_1.2.3\Server CD\DBS\Setup"/>
    <s v="Pass"/>
    <m/>
    <m/>
    <m/>
    <m/>
    <s v="Abhishek Leekha"/>
    <x v="0"/>
    <s v=""/>
    <x v="0"/>
    <x v="0"/>
  </r>
  <r>
    <d v="2014-03-13T00:00:00"/>
    <d v="2014-03-13T00:00:00"/>
    <n v="3"/>
    <s v="2014-Mar"/>
    <n v="3"/>
    <s v="IT-LQA-UAT"/>
    <x v="17"/>
    <m/>
    <s v="NM"/>
    <s v="DBS"/>
    <x v="0"/>
    <s v="PATCH_DBS_3.0.5.03_CPMTS.02_86.1"/>
    <s v="CMTeam"/>
    <s v="Aditya Garg"/>
    <s v="\\192.168.3.3\Share\Releases\Projects\MTS\Release For IT\Test_Build_3.0.5.25\Server CD\Database\Setup"/>
    <m/>
    <s v="\\192.168.3.3\Share\Releases\Projects\MTS\Release For Test\Test_Build_3.0.5.25\Server CD\Database\Setup"/>
    <s v="Pass"/>
    <m/>
    <m/>
    <m/>
    <m/>
    <s v="Ashish Bansal"/>
    <x v="0"/>
    <s v=""/>
    <x v="0"/>
    <x v="0"/>
  </r>
  <r>
    <d v="2014-03-13T00:00:00"/>
    <d v="2014-03-13T00:00:00"/>
    <n v="3"/>
    <s v="2014-Mar"/>
    <n v="3"/>
    <s v="IT-LQA-AT"/>
    <x v="4"/>
    <m/>
    <s v="NM"/>
    <s v="DBS"/>
    <x v="0"/>
    <s v="NMDBS_TLSTR_4.0.1.0.4.291b2"/>
    <s v="CMTeam"/>
    <s v="Gautam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Gaurav Shukla"/>
    <x v="0"/>
    <s v=""/>
    <x v="0"/>
    <x v="0"/>
  </r>
  <r>
    <d v="2014-03-13T00:00:00"/>
    <d v="2014-03-13T00:00:00"/>
    <n v="3"/>
    <s v="2014-Mar"/>
    <n v="3"/>
    <s v="IT-LQA-AT"/>
    <x v="4"/>
    <m/>
    <s v="NM"/>
    <s v="DBS"/>
    <x v="0"/>
    <s v="NMDBS_TLSTR_4.0.1.0.4.292b1"/>
    <s v="CMTeam"/>
    <s v="Gautam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Abrar Khan"/>
    <x v="0"/>
    <s v=""/>
    <x v="0"/>
    <x v="0"/>
  </r>
  <r>
    <d v="2014-03-14T00:00:00"/>
    <d v="2014-03-14T00:00:00"/>
    <n v="3"/>
    <s v="2014-Mar"/>
    <n v="3"/>
    <s v="LQA-UAT"/>
    <x v="0"/>
    <m/>
    <s v="MPE"/>
    <s v="MPE"/>
    <x v="0"/>
    <s v="MPE_SLT-1B_3.0.1.1.1.55b2"/>
    <s v="CMTeam"/>
    <s v="Ajay Awasthi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3-14T00:00:00"/>
    <d v="2014-03-14T00:00:00"/>
    <n v="3"/>
    <s v="2014-Mar"/>
    <n v="3"/>
    <s v="LQA"/>
    <x v="1"/>
    <m/>
    <s v="WWCS"/>
    <s v="GUI"/>
    <x v="1"/>
    <s v="WWCSGUI_2.1.16b3"/>
    <s v="CMTeam"/>
    <s v="Karamjeet kaur"/>
    <m/>
    <s v="Obsolete-LQA"/>
    <s v="\\192.168.3.3\Share\Releases\Product\WEB_CS\Build&amp;Release\Release For Test\TestBuild_2.1.16\Build3\ServerCD\GUI\Setup"/>
    <m/>
    <s v="Readme Re-Released"/>
    <m/>
    <m/>
    <m/>
    <m/>
    <x v="2"/>
    <d v="2014-03-14T00:00:00"/>
    <x v="13"/>
    <x v="1"/>
  </r>
  <r>
    <d v="2014-03-14T00:00:00"/>
    <m/>
    <n v="3"/>
    <s v="2014-Mar"/>
    <s v="False"/>
    <s v="IT"/>
    <x v="1"/>
    <m/>
    <s v="RT"/>
    <s v="DBS"/>
    <x v="0"/>
    <s v="RTDBS_4.0.1.17b1"/>
    <s v="CMTeam"/>
    <s v="Chander Kanta"/>
    <s v="\\192.168.3.3\Share\Releases\Product\RT_4.0\ReleaseForIT\TestBuild_4.0.3\DBS\Setup"/>
    <s v="Obsolete-LQA"/>
    <s v="\\192.168.3.3\Share\Releases\Product\RT_4.0\ReleaseForLQA\TestBuild_4.0.22\DBS\Setup"/>
    <m/>
    <m/>
    <m/>
    <m/>
    <m/>
    <m/>
    <x v="2"/>
    <d v="1899-12-30T00:00:00"/>
    <x v="5"/>
    <x v="3"/>
  </r>
  <r>
    <d v="2014-03-14T00:00:00"/>
    <d v="2014-03-14T00:00:00"/>
    <n v="3"/>
    <s v="2014-Mar"/>
    <n v="3"/>
    <s v="IT-LQA-UAT"/>
    <x v="0"/>
    <m/>
    <s v="DM"/>
    <s v="DBS"/>
    <x v="0"/>
    <s v="DMDBS_SLT_2.0.0.20.1.107b1"/>
    <s v="CMTeam"/>
    <s v="Deepinder Singh"/>
    <s v="\\192.168.3.3\Share\Releases\Projects\SLT\Release_For_IT\Test_Build_1.0.0.4\Server CD\DBS\Setup"/>
    <m/>
    <s v="\\192.168.3.3\Share\Releases\Projects\SLT\Release_For_LQA\Test_Build_1.0.0.19\Server CD\DBS\Setup"/>
    <s v="Pass"/>
    <m/>
    <m/>
    <m/>
    <m/>
    <s v="K.V. Krishnan"/>
    <x v="0"/>
    <s v=""/>
    <x v="0"/>
    <x v="0"/>
  </r>
  <r>
    <d v="2014-03-14T00:00:00"/>
    <d v="2014-03-14T00:00:00"/>
    <n v="3"/>
    <s v="2014-Mar"/>
    <n v="3"/>
    <s v="LQA-AT"/>
    <x v="4"/>
    <m/>
    <s v="MPE"/>
    <s v="MPE"/>
    <x v="0"/>
    <s v="MPE_TLSTR-2b_3.0.0.3.1.89b1"/>
    <s v="CMTeam"/>
    <s v="Anshul Kumar"/>
    <m/>
    <m/>
    <s v="\\192.168.3.3\Share\Releases\Projects\Telstra-2b\Release_For_Test\Test_Build_1.0.0.1\Server CD\MPE\Setup"/>
    <s v="Pass"/>
    <m/>
    <m/>
    <m/>
    <m/>
    <s v="Ashwani "/>
    <x v="0"/>
    <s v=""/>
    <x v="0"/>
    <x v="0"/>
  </r>
  <r>
    <d v="2014-03-14T00:00:00"/>
    <d v="2014-03-14T00:00:00"/>
    <n v="3"/>
    <s v="2014-Mar"/>
    <n v="3"/>
    <s v="LQA"/>
    <x v="1"/>
    <m/>
    <s v="WWFS"/>
    <s v="GUI"/>
    <x v="0"/>
    <s v="WWFSGUI_2.1.23b1"/>
    <s v="CMTeam"/>
    <s v="Karamjeet kaur"/>
    <m/>
    <s v="Obsolete-LQA"/>
    <s v="\\192.168.3.3\Share\Releases\Product\WEB_WFS\Build&amp;Release\Release For Test\TestBuild_2.1.23\Build1\ServerCD\GUI\Setup"/>
    <m/>
    <m/>
    <m/>
    <m/>
    <m/>
    <m/>
    <x v="2"/>
    <d v="2014-03-14T00:00:00"/>
    <x v="13"/>
    <x v="1"/>
  </r>
  <r>
    <d v="2014-03-14T00:00:00"/>
    <d v="2014-03-26T00:00:00"/>
    <n v="3"/>
    <s v="2014-Mar"/>
    <n v="3"/>
    <s v="IT-LQA"/>
    <x v="1"/>
    <m/>
    <s v="RA"/>
    <s v="DBS"/>
    <x v="0"/>
    <s v="RADBS_2.1.1.2b1"/>
    <s v="CMTeam"/>
    <s v="Virender Kumar"/>
    <s v="\\192.168.3.3\Share\Releases\Product\RevMind_2.1\Build&amp;Release\Release_For_IT\TestBuild_1.0.1\Server CD\DBS\Setup"/>
    <s v="Obsolete-LQA"/>
    <s v="\\192.168.3.3\Share\Releases\Product\RevMind_2.1\Build&amp;Release\Release_For_LQA\Test_Build_1.0.2\Server CD\DBS\Setup"/>
    <m/>
    <s v="Readme Re-Released"/>
    <m/>
    <m/>
    <m/>
    <m/>
    <x v="2"/>
    <d v="2014-03-26T00:00:00"/>
    <x v="15"/>
    <x v="1"/>
  </r>
  <r>
    <d v="2014-03-14T00:00:00"/>
    <d v="2014-03-14T00:00:00"/>
    <n v="3"/>
    <s v="2014-Mar"/>
    <n v="3"/>
    <s v="LQA"/>
    <x v="1"/>
    <m/>
    <s v="NM"/>
    <s v="DBS"/>
    <x v="1"/>
    <s v="NMDBS_4.7.1b2"/>
    <s v="CMTeam"/>
    <s v="surender Kumar"/>
    <m/>
    <m/>
    <s v="\\192.168.3.3\Share\Releases\Product\Netmind_4.7\Build&amp;Release\Release_For_LQA\Test_Build_1.0.1\Server CD\DBS\Setup"/>
    <m/>
    <m/>
    <m/>
    <m/>
    <m/>
    <m/>
    <x v="1"/>
    <s v=""/>
    <x v="0"/>
    <x v="0"/>
  </r>
  <r>
    <d v="2014-03-16T00:00:00"/>
    <d v="2014-03-16T00:00:00"/>
    <n v="3"/>
    <s v="2014-Mar"/>
    <n v="3"/>
    <s v="LQA"/>
    <x v="1"/>
    <m/>
    <s v="NP"/>
    <s v="DBS"/>
    <x v="1"/>
    <s v="NPDBS_1.3.1b2"/>
    <s v="CMTeam"/>
    <s v="Abhishek Sharma"/>
    <m/>
    <m/>
    <s v="\\192.168.3.3\Share\Releases\Product\NetMindPOS_1.3\Build&amp;Release\Release_For_LQA\Test_Build_1.0.1\Server CD\DBS\Setup"/>
    <m/>
    <s v="Readme Re-Released"/>
    <m/>
    <m/>
    <m/>
    <m/>
    <x v="1"/>
    <s v=""/>
    <x v="0"/>
    <x v="0"/>
  </r>
  <r>
    <d v="2014-03-19T00:00:00"/>
    <d v="2014-03-19T00:00:00"/>
    <n v="3"/>
    <s v="2014-Mar"/>
    <n v="3"/>
    <s v="IT-LQA-AT"/>
    <x v="4"/>
    <m/>
    <s v="NM"/>
    <s v="DBS"/>
    <x v="0"/>
    <s v="NMDBS_TLSTR_4.0.1.0.4.293b1"/>
    <s v="CMTeam"/>
    <s v="Gautam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Abrar Khan"/>
    <x v="0"/>
    <s v=""/>
    <x v="0"/>
    <x v="0"/>
  </r>
  <r>
    <d v="2014-03-19T00:00:00"/>
    <d v="2014-03-19T00:00:00"/>
    <n v="3"/>
    <s v="2014-Mar"/>
    <n v="3"/>
    <s v="LQA-AT"/>
    <x v="4"/>
    <m/>
    <s v="MPE"/>
    <s v="MPE"/>
    <x v="0"/>
    <s v="MPE_TLSTR-2b_3.0.0.3.1.90b1"/>
    <s v="CMTeam"/>
    <s v="Sandeep Aggarwal"/>
    <m/>
    <m/>
    <s v="\\192.168.3.3\Share\Releases\Projects\Telstra-2b\Release_For_Test\Test_Build_1.0.0.1\Server CD\MPE\Setup"/>
    <s v="Pass"/>
    <m/>
    <m/>
    <m/>
    <m/>
    <s v="Ashwani "/>
    <x v="0"/>
    <s v=""/>
    <x v="0"/>
    <x v="0"/>
  </r>
  <r>
    <d v="2014-03-19T00:00:00"/>
    <d v="2014-03-19T00:00:00"/>
    <n v="3"/>
    <s v="2014-Mar"/>
    <n v="3"/>
    <s v="IT-LQA-FAT"/>
    <x v="16"/>
    <m/>
    <s v="NM"/>
    <s v="WFS"/>
    <x v="1"/>
    <s v="NMWFS_TLN_4.0.22"/>
    <s v="CMTeam"/>
    <s v="Lokeshna Virdi"/>
    <s v="\\192.168.3.3\Share\Releases\Projects\Telenet\Build&amp;Release\Release For IT\Test_Build_4.0.40\Client CD\GUI\Configuration System\Setup"/>
    <m/>
    <s v="\\192.168.3.3\Share\Releases\Projects\Telenet\Build&amp;Release\Release For Test\Test_Build_4.0.40\Client CD\GUI\Workflow System\Setup"/>
    <s v="Pass"/>
    <m/>
    <m/>
    <m/>
    <m/>
    <s v="Vijay Singh Daagar"/>
    <x v="0"/>
    <s v=""/>
    <x v="0"/>
    <x v="0"/>
  </r>
  <r>
    <d v="2014-03-19T00:00:00"/>
    <d v="2014-03-19T00:00:00"/>
    <n v="3"/>
    <s v="2014-Mar"/>
    <n v="3"/>
    <s v="IT-LQA-FAT"/>
    <x v="16"/>
    <m/>
    <s v="NM"/>
    <s v="PM"/>
    <x v="1"/>
    <s v="NMPM_TLN_4.0.4"/>
    <s v="CMTeam"/>
    <s v="Lokeshna Virdi"/>
    <s v="\\192.168.3.3\Share\Releases\Projects\Telenet\Build&amp;Release\Release For IT\Test_Build_4.0.40\Client CD\GUI\Hotlist Manager\Setup"/>
    <m/>
    <s v="\\192.168.3.3\Share\Releases\Projects\Telenet\Build&amp;Release\Release For Test\Test_Build_4.0.40\Client CD\GUI\Profile Manager\Setup"/>
    <s v="Pass"/>
    <m/>
    <m/>
    <m/>
    <m/>
    <s v="Vijay Singh Daagar"/>
    <x v="0"/>
    <s v=""/>
    <x v="0"/>
    <x v="0"/>
  </r>
  <r>
    <d v="2014-03-19T00:00:00"/>
    <d v="2014-03-19T00:00:00"/>
    <n v="3"/>
    <s v="2014-Mar"/>
    <n v="3"/>
    <s v="IT-LQA"/>
    <x v="16"/>
    <m/>
    <s v="NM"/>
    <s v="HM"/>
    <x v="1"/>
    <s v="NMHM_TLN_4.0.4"/>
    <s v="CMTeam"/>
    <s v="Lokeshna Virdi"/>
    <s v="\\192.168.3.3\Share\Releases\Projects\Telenet\Build&amp;Release\Release For IT\Test_Build_4.0.40\Client CD\GUI\Profile Manager\Setup"/>
    <m/>
    <s v="\\192.168.3.3\Share\Releases\Projects\Telenet\Build&amp;Release\Release For Test\Test_Build_4.0.40\Client CD\GUI\Hotlist Manager\Setup"/>
    <m/>
    <m/>
    <m/>
    <m/>
    <m/>
    <m/>
    <x v="1"/>
    <s v=""/>
    <x v="0"/>
    <x v="0"/>
  </r>
  <r>
    <d v="2014-03-19T00:00:00"/>
    <d v="2014-03-19T00:00:00"/>
    <n v="3"/>
    <s v="2014-Mar"/>
    <n v="3"/>
    <s v="IT-LQA"/>
    <x v="16"/>
    <m/>
    <s v="NM"/>
    <s v="CS"/>
    <x v="1"/>
    <s v=" NMCS_TLN_4.0.5"/>
    <s v="CMTeam"/>
    <s v="Lokeshna Virdi"/>
    <s v="\\192.168.3.3\Share\Releases\Projects\Telenet\Build&amp;Release\Release For IT\Test_Build_4.0.40\Client CD\GUI\Workflow System\Setup"/>
    <m/>
    <s v="\\192.168.3.3\Share\Releases\Projects\Telenet\Build&amp;Release\Release For Test\Test_Build_4.0.40\Client CD\GUI\Configuration System\Setup"/>
    <m/>
    <m/>
    <m/>
    <m/>
    <m/>
    <m/>
    <x v="1"/>
    <s v=""/>
    <x v="0"/>
    <x v="0"/>
  </r>
  <r>
    <d v="2014-03-20T00:00:00"/>
    <d v="2014-03-20T00:00:00"/>
    <n v="3"/>
    <s v="2014-Mar"/>
    <n v="3"/>
    <s v="IT-LQA"/>
    <x v="0"/>
    <m/>
    <s v="DM"/>
    <s v="DBS"/>
    <x v="0"/>
    <s v="DMDBS_SLT_2.0.0.20.1.108b1"/>
    <s v="CMTeam"/>
    <s v="Raja Sarkar"/>
    <s v="\\192.168.3.3\Share\Releases\Projects\SLT\Release_For_IT\Test_Build_1.0.0.4\Server CD\DBS\Setup"/>
    <s v="Obsolete-LQA"/>
    <s v="\\192.168.3.3\Share\Releases\Projects\SLT\Release_For_LQA\Test_Build_1.0.0.19\Server CD\DBS\Setup"/>
    <m/>
    <m/>
    <m/>
    <m/>
    <m/>
    <m/>
    <x v="2"/>
    <d v="2014-03-20T00:00:00"/>
    <x v="16"/>
    <x v="1"/>
  </r>
  <r>
    <d v="2014-03-20T00:00:00"/>
    <d v="2014-03-20T00:00:00"/>
    <n v="3"/>
    <s v="2014-Mar"/>
    <n v="3"/>
    <s v="IT-LQA-FAT"/>
    <x v="0"/>
    <m/>
    <s v="NM"/>
    <s v="DBS"/>
    <x v="0"/>
    <s v="NMDBS_SLT_4.0.2.0.1.15b1"/>
    <s v="CMTeam"/>
    <s v="Raja Sarkar"/>
    <s v="\\192.168.3.3\Share\Releases\Projects\SLT\Release_For_IT\Test_Build_1.0.0.4\Server CD\DBS\Setup"/>
    <m/>
    <s v="\\192.168.3.3\Share\Releases\Projects\SLT\Release_For_LQA\Test_Build_1.0.0.19\Server CD\DBS\Setup"/>
    <s v="Pass"/>
    <m/>
    <m/>
    <m/>
    <m/>
    <s v="K.V. Krishnan"/>
    <x v="0"/>
    <s v=""/>
    <x v="0"/>
    <x v="0"/>
  </r>
  <r>
    <d v="2014-03-20T00:00:00"/>
    <d v="2014-03-20T00:00:00"/>
    <n v="3"/>
    <s v="2014-Mar"/>
    <n v="3"/>
    <s v="LQA"/>
    <x v="1"/>
    <m/>
    <s v="Utility"/>
    <s v="Utility"/>
    <x v="1"/>
    <s v="AWF_1.1.2b15"/>
    <s v="CMTeam"/>
    <s v="Rajesh Maithani"/>
    <m/>
    <m/>
    <s v="\\192.168.3.3\Share\Releases\Product\AWF\Build&amp;Release\Release For Test\TestBuild_1.1.2\Setup"/>
    <m/>
    <m/>
    <m/>
    <m/>
    <m/>
    <m/>
    <x v="1"/>
    <s v=""/>
    <x v="0"/>
    <x v="0"/>
  </r>
  <r>
    <d v="2014-03-20T00:00:00"/>
    <d v="2014-03-20T00:00:00"/>
    <n v="3"/>
    <s v="2014-Mar"/>
    <n v="3"/>
    <s v="LQA-FAT"/>
    <x v="0"/>
    <m/>
    <s v="MPE"/>
    <s v="MPE"/>
    <x v="0"/>
    <s v="MPE_SLT-1B_3.0.1.1.1.56b1"/>
    <s v="CMTeam"/>
    <s v="Ajay Awasthi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3-20T00:00:00"/>
    <d v="2014-03-20T00:00:00"/>
    <n v="3"/>
    <s v="2014-Mar"/>
    <n v="3"/>
    <s v="IT-LQA-FAT"/>
    <x v="0"/>
    <m/>
    <s v="DM"/>
    <s v="DBS"/>
    <x v="0"/>
    <s v="DMDBS_SLT_2.0.0.20.1.109b1"/>
    <s v="CMTeam"/>
    <s v="Raja Sarkar"/>
    <s v="\\192.168.3.3\Share\Releases\Projects\SLT\Release_For_IT\Test_Build_1.0.0.4\Server CD\DBS\Setup"/>
    <m/>
    <s v="\\192.168.3.3\Share\Releases\Projects\SLT\Release_For_LQA\Test_Build_1.0.0.19\Server CD\DBS\Setup"/>
    <s v="Pass"/>
    <m/>
    <m/>
    <m/>
    <m/>
    <s v="K.V. Krishnan"/>
    <x v="0"/>
    <s v=""/>
    <x v="0"/>
    <x v="0"/>
  </r>
  <r>
    <d v="2014-03-20T00:00:00"/>
    <d v="2014-03-20T00:00:00"/>
    <n v="3"/>
    <s v="2014-Mar"/>
    <n v="3"/>
    <s v="IT-LQA-UAT"/>
    <x v="0"/>
    <m/>
    <s v="DM"/>
    <s v="DBS"/>
    <x v="0"/>
    <s v="DMDBS_SLT_2.0.0.20.1.108b2"/>
    <s v="CMTeam"/>
    <s v="Raja Sarkar"/>
    <s v="\\192.168.3.3\Share\Releases\Projects\SLT\Release_For_IT\Test_Build_1.0.0.4\Server CD\DBS\Setup"/>
    <m/>
    <s v="\\192.168.3.3\Share\Releases\Projects\SLT\Release_For_LQA\Test_Build_1.0.0.19\Server CD\DBS\Setup"/>
    <s v="Pass"/>
    <m/>
    <m/>
    <m/>
    <m/>
    <s v="K.V. Krishnan"/>
    <x v="0"/>
    <s v=""/>
    <x v="0"/>
    <x v="0"/>
  </r>
  <r>
    <d v="2014-03-21T00:00:00"/>
    <d v="2014-03-21T00:00:00"/>
    <n v="3"/>
    <s v="2014-Mar"/>
    <n v="3"/>
    <s v="LQA"/>
    <x v="10"/>
    <m/>
    <s v="MPE"/>
    <s v="MPE"/>
    <x v="1"/>
    <s v="MPE_COM_3.2.5.0.2"/>
    <s v="CMTeam"/>
    <s v="Mohd. Asif"/>
    <m/>
    <m/>
    <s v="\\192.168.3.3\share\Releases\Projects\Comcast\Release_for_Test\Test_Build_4.6.1\Server CD\MPE\Setup"/>
    <m/>
    <m/>
    <m/>
    <m/>
    <m/>
    <m/>
    <x v="1"/>
    <s v=""/>
    <x v="0"/>
    <x v="0"/>
  </r>
  <r>
    <d v="2014-03-21T00:00:00"/>
    <d v="2014-03-21T00:00:00"/>
    <n v="3"/>
    <s v="2014-Mar"/>
    <n v="3"/>
    <s v="IT-LQA"/>
    <x v="0"/>
    <m/>
    <s v="DM"/>
    <s v="DBS"/>
    <x v="0"/>
    <s v="DMDBS_SLT_2.0.0.20.1.110b1"/>
    <s v="CMTeam"/>
    <s v="Raja Sarkar"/>
    <s v="\\192.168.3.3\Share\Releases\Projects\SLT\Release_For_IT\Test_Build_1.0.0.4\Server CD\DBS\Setup"/>
    <s v="Obsolete-LQA"/>
    <s v="\\192.168.3.3\Share\Releases\Projects\SLT\Release_For_LQA\Test_Build_1.0.0.19\Server CD\DBS\Setup"/>
    <m/>
    <m/>
    <m/>
    <m/>
    <m/>
    <m/>
    <x v="2"/>
    <d v="2014-03-21T00:00:00"/>
    <x v="16"/>
    <x v="1"/>
  </r>
  <r>
    <d v="2014-03-21T00:00:00"/>
    <d v="2014-03-21T00:00:00"/>
    <n v="3"/>
    <s v="2014-Mar"/>
    <n v="3"/>
    <s v="IT-LQA"/>
    <x v="4"/>
    <m/>
    <s v="NM"/>
    <s v="DBS"/>
    <x v="0"/>
    <s v="NMDBS_TLSTR_4.0.1.0.4.295b1"/>
    <s v="CMTeam"/>
    <s v="Gautam"/>
    <s v="\\192.168.3.3\Share\Releases\Projects\Telstra\Release_For_IT\Test_Build_1.0.0.18\Server CD\DBS\Setup"/>
    <s v="Obsolete-LQA"/>
    <s v="\\192.168.3.3\Share\Releases\Projects\Telstra\Release_For_LQA\Test_Build_1.0.0.18\Server CD\DBS\Setup"/>
    <m/>
    <m/>
    <m/>
    <m/>
    <m/>
    <m/>
    <x v="2"/>
    <d v="2014-03-21T00:00:00"/>
    <x v="16"/>
    <x v="1"/>
  </r>
  <r>
    <d v="2014-03-21T00:00:00"/>
    <d v="2014-03-21T00:00:00"/>
    <n v="3"/>
    <s v="2014-Mar"/>
    <n v="3"/>
    <s v="LQA"/>
    <x v="10"/>
    <m/>
    <s v="MPE"/>
    <s v="MPE"/>
    <x v="0"/>
    <s v="MPE_COM_3.2.5.0.2.1b1"/>
    <s v="CMTeam"/>
    <s v="Mohd. Asif"/>
    <m/>
    <m/>
    <s v="\\192.168.3.3\share\Releases\Projects\Comcast\Release_for_Test\Test_Build_4.6.1\Server CD\MPE\Setup"/>
    <m/>
    <m/>
    <m/>
    <m/>
    <m/>
    <m/>
    <x v="1"/>
    <s v=""/>
    <x v="0"/>
    <x v="0"/>
  </r>
  <r>
    <d v="2014-03-21T00:00:00"/>
    <d v="2014-03-21T00:00:00"/>
    <n v="3"/>
    <s v="2014-Mar"/>
    <n v="3"/>
    <s v="IT-LQA-AT"/>
    <x v="4"/>
    <m/>
    <s v="NM"/>
    <s v="DBS"/>
    <x v="0"/>
    <s v="NMDBS_TLSTR_4.0.1.0.4.296b1"/>
    <s v="CMTeam"/>
    <s v="Gautam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Abrar Khan"/>
    <x v="0"/>
    <s v=""/>
    <x v="0"/>
    <x v="0"/>
  </r>
  <r>
    <d v="2014-03-21T00:00:00"/>
    <d v="2014-03-21T00:00:00"/>
    <n v="3"/>
    <s v="2014-Mar"/>
    <n v="3"/>
    <s v="LQA"/>
    <x v="1"/>
    <m/>
    <s v="WWFS"/>
    <s v="GUI"/>
    <x v="0"/>
    <s v="WWFSGUI_2.0.4.10b1"/>
    <s v="CMTeam"/>
    <s v="Ratnesh Singh"/>
    <m/>
    <s v="Obsolete-LQA"/>
    <s v="\\192.168.3.3\Share\Releases\Product\WEB_WFS\Build&amp;Release\Release For Test\TestBuild_2.0.4\Build4\ServerCD\GUI\Setup"/>
    <m/>
    <m/>
    <m/>
    <m/>
    <m/>
    <m/>
    <x v="2"/>
    <d v="2014-03-21T00:00:00"/>
    <x v="16"/>
    <x v="1"/>
  </r>
  <r>
    <d v="2014-03-21T00:00:00"/>
    <d v="2014-03-21T00:00:00"/>
    <n v="3"/>
    <s v="2014-Mar"/>
    <n v="3"/>
    <s v="LQA"/>
    <x v="1"/>
    <m/>
    <s v="RA"/>
    <s v="CS"/>
    <x v="1"/>
    <s v="RACS_2.5.5b4"/>
    <s v="CMTeam"/>
    <s v="Sumit Dalal "/>
    <m/>
    <s v="Obsolete-LQA"/>
    <s v="\\192.168.3.3\Share\Releases\Product\RevMind_2.1\Build&amp;Release\Release_For_LQA\Test_Build_1.0.2\Server CD\GUI\CS\Setup"/>
    <m/>
    <s v="Readme Re-Released"/>
    <m/>
    <m/>
    <m/>
    <m/>
    <x v="2"/>
    <d v="2014-03-21T00:00:00"/>
    <x v="16"/>
    <x v="1"/>
  </r>
  <r>
    <d v="2014-03-21T00:00:00"/>
    <d v="2014-03-21T00:00:00"/>
    <n v="3"/>
    <s v="2014-Mar"/>
    <n v="3"/>
    <s v="IT-LQA"/>
    <x v="0"/>
    <m/>
    <s v="DM"/>
    <s v="DBS"/>
    <x v="0"/>
    <s v="DMDBS_SLT_2.0.0.20.1.110b2"/>
    <s v="CMTeam"/>
    <s v="Raja Sarkar"/>
    <s v="\\192.168.3.3\Share\Releases\Projects\SLT\Release_For_IT\Test_Build_1.0.0.4\Server CD\DBS\Setup"/>
    <s v="Obsolete-LQA"/>
    <s v="\\192.168.3.3\Share\Releases\Projects\SLT\Release_For_LQA\Test_Build_1.0.0.19\Server CD\DBS\Setup"/>
    <m/>
    <m/>
    <m/>
    <m/>
    <m/>
    <m/>
    <x v="2"/>
    <d v="2014-03-21T00:00:00"/>
    <x v="16"/>
    <x v="1"/>
  </r>
  <r>
    <d v="2014-03-21T00:00:00"/>
    <d v="2014-03-21T00:00:00"/>
    <n v="3"/>
    <s v="2014-Mar"/>
    <n v="3"/>
    <s v="LQA"/>
    <x v="0"/>
    <m/>
    <s v="MPE"/>
    <s v="MPE"/>
    <x v="0"/>
    <s v="MPE_SLT-1B_3.0.1.1.1.57b1"/>
    <s v="CMTeam"/>
    <s v="Ajay Awasthi"/>
    <m/>
    <s v="Obsolete-LQA"/>
    <s v="\\192.168.3.3\Share\Releases\Projects\SLT-1B\Release_For_Test\Test_Build_1.0.0.1\Server CD\MPE\Setup"/>
    <m/>
    <m/>
    <m/>
    <m/>
    <m/>
    <m/>
    <x v="2"/>
    <d v="2014-03-21T00:00:00"/>
    <x v="16"/>
    <x v="1"/>
  </r>
  <r>
    <d v="2014-03-22T00:00:00"/>
    <d v="2014-03-22T00:00:00"/>
    <n v="3"/>
    <s v="2014-Mar"/>
    <n v="3"/>
    <s v="IT-LQA-UAT"/>
    <x v="4"/>
    <m/>
    <s v="NM"/>
    <s v="DBS"/>
    <x v="0"/>
    <s v="NMDBS_TLSTR_4.0.1.0.4.294b1"/>
    <s v="CMTeam"/>
    <s v="Gautam"/>
    <s v="\\192.168.3.3\Share\Releases\Projects\Telstra\Release_For_IT\Test_Build_1.0.0.18\Server CD\DBS\Setup"/>
    <m/>
    <s v="\\192.168.3.3\Share\Releases\Projects\Telstra\Release_For_LQA\Test_Build_1.0.0.18\Server CD\DBS\Setup"/>
    <s v="Pass"/>
    <s v="Readme Re-Released"/>
    <m/>
    <m/>
    <m/>
    <s v="Gaurav Shukla"/>
    <x v="0"/>
    <s v=""/>
    <x v="0"/>
    <x v="0"/>
  </r>
  <r>
    <d v="2014-03-22T00:00:00"/>
    <d v="2014-03-22T00:00:00"/>
    <n v="3"/>
    <s v="2014-Mar"/>
    <n v="3"/>
    <s v="IT-LQA-FAT"/>
    <x v="0"/>
    <m/>
    <s v="DM"/>
    <s v="DBS"/>
    <x v="0"/>
    <s v="DMDBS_SLT_2.0.0.20.1.111b1"/>
    <s v="CMTeam"/>
    <s v="Raja Sarkar"/>
    <s v="\\192.168.3.3\Share\Releases\Projects\SLT\Release_For_IT\Test_Build_1.0.0.4\Server CD\DBS\Setup"/>
    <m/>
    <s v="\\192.168.3.3\Share\Releases\Projects\SLT\Release_For_LQA\Test_Build_1.0.0.19\Server CD\DBS\Setup"/>
    <s v="Pass"/>
    <m/>
    <m/>
    <m/>
    <m/>
    <s v="K.V. Krishnan"/>
    <x v="0"/>
    <s v=""/>
    <x v="0"/>
    <x v="0"/>
  </r>
  <r>
    <d v="2014-03-22T00:00:00"/>
    <d v="2014-03-22T00:00:00"/>
    <n v="3"/>
    <s v="2014-Mar"/>
    <n v="3"/>
    <s v="IT-LQA-FAT"/>
    <x v="0"/>
    <m/>
    <s v="RA"/>
    <s v="DBS"/>
    <x v="0"/>
    <s v="RADBS_SLT_2.0.0.26.1.62b1"/>
    <s v="CMTeam"/>
    <s v="Raja Sarkar"/>
    <s v="\\192.168.3.3\Share\Releases\Projects\SLT\Release_For_IT\Test_Build_1.0.0.4\Server CD\DBS\Setup"/>
    <m/>
    <s v="\\192.168.3.3\Share\Releases\Projects\SLT\Release_For_LQA\Test_Build_1.0.0.19\Server CD\DBS\Setup"/>
    <s v="Pass"/>
    <m/>
    <m/>
    <m/>
    <m/>
    <s v="K.V. Krishnan"/>
    <x v="0"/>
    <s v=""/>
    <x v="0"/>
    <x v="0"/>
  </r>
  <r>
    <d v="2014-03-22T00:00:00"/>
    <d v="2014-03-22T00:00:00"/>
    <n v="3"/>
    <s v="2014-Mar"/>
    <n v="3"/>
    <s v="IT-LQA-FAT"/>
    <x v="0"/>
    <m/>
    <s v="DM"/>
    <s v="DBS"/>
    <x v="0"/>
    <s v="DMDBS_SLT_2.0.0.20.1.112b1"/>
    <s v="CMTeam"/>
    <s v="Raja Sarkar"/>
    <s v="\\192.168.3.3\Share\Releases\Projects\SLT\Release_For_IT\Test_Build_1.0.0.4\Server CD\DBS\Setup"/>
    <m/>
    <s v="\\192.168.3.3\Share\Releases\Projects\SLT\Release_For_LQA\Test_Build_1.0.0.19\Server CD\DBS\Setup"/>
    <s v="Pass"/>
    <s v="Readme Re-Released"/>
    <m/>
    <m/>
    <m/>
    <s v="K.V. Krishnan"/>
    <x v="0"/>
    <s v=""/>
    <x v="0"/>
    <x v="0"/>
  </r>
  <r>
    <d v="2014-03-22T00:00:00"/>
    <d v="2014-03-22T00:00:00"/>
    <n v="3"/>
    <s v="2014-Mar"/>
    <n v="3"/>
    <s v="IT-LQA-FAT"/>
    <x v="0"/>
    <m/>
    <s v="RA"/>
    <s v="DBS"/>
    <x v="0"/>
    <s v="RADBS_SLT_2.0.0.26.1.63b1"/>
    <s v="CMTeam"/>
    <s v="Raja Sarkar"/>
    <s v="\\192.168.3.3\Share\Releases\Projects\SLT\Release_For_IT\Test_Build_1.0.0.4\Server CD\DBS\Setup"/>
    <m/>
    <s v="\\192.168.3.3\Share\Releases\Projects\SLT\Release_For_LQA\Test_Build_1.0.0.19\Server CD\DBS\Setup"/>
    <s v="Pass"/>
    <m/>
    <m/>
    <m/>
    <m/>
    <s v="K.V. Krishnan"/>
    <x v="0"/>
    <s v=""/>
    <x v="0"/>
    <x v="0"/>
  </r>
  <r>
    <d v="2014-03-24T00:00:00"/>
    <d v="2014-03-24T00:00:00"/>
    <n v="3"/>
    <s v="2014-Mar"/>
    <n v="3"/>
    <s v="LQA-FAT"/>
    <x v="0"/>
    <m/>
    <s v="MPE"/>
    <s v="MPE"/>
    <x v="0"/>
    <s v="MPE_SLT-1B_3.0.1.1.1.57b2"/>
    <s v="CMTeam"/>
    <s v="Ajay Awasthi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3-24T00:00:00"/>
    <d v="2014-03-24T00:00:00"/>
    <n v="3"/>
    <s v="2014-Mar"/>
    <n v="3"/>
    <s v="IT-LQA"/>
    <x v="8"/>
    <m/>
    <s v="NM"/>
    <s v="DBS"/>
    <x v="0"/>
    <s v="NMDBS_TWC_4.6.1.11.3.35b1"/>
    <s v="CMTeam"/>
    <s v="Sudip Ghosh"/>
    <s v="\\192.168.3.3\Share\Releases\Projects\TWC\Release_For_IT\Test_Build_1.0.0.3\Server CD\DBS\Setup"/>
    <s v="Obsolete-LQA"/>
    <s v="\\192.168.3.3\Share\Releases\Projects\TWC\Release_For_Test\Test_Build_1.0.0.4\Server CD\DBS\Setup"/>
    <m/>
    <m/>
    <m/>
    <m/>
    <m/>
    <m/>
    <x v="2"/>
    <d v="2014-03-24T00:00:00"/>
    <x v="15"/>
    <x v="1"/>
  </r>
  <r>
    <d v="2014-03-24T00:00:00"/>
    <d v="2014-03-24T00:00:00"/>
    <n v="3"/>
    <s v="2014-Mar"/>
    <n v="3"/>
    <s v="IT-LQA-AT"/>
    <x v="4"/>
    <m/>
    <s v="NM"/>
    <s v="DBS"/>
    <x v="0"/>
    <s v="NMDBS_TLSTR_4.0.1.0.4.295b2"/>
    <s v="CMTeam"/>
    <s v="Gautam"/>
    <s v="\\192.168.3.3\Share\Releases\Projects\Telstra\Release_For_IT\Test_Build_1.0.0.18\Server CD\DBS\Setup"/>
    <s v="Obsolete-LQA"/>
    <s v="\\192.168.3.3\Share\Releases\Projects\Telstra\Release_For_LQA\Test_Build_1.0.0.18\Server CD\DBS\Setup"/>
    <s v="Pass"/>
    <m/>
    <m/>
    <m/>
    <m/>
    <s v="Abrar Khan"/>
    <x v="2"/>
    <d v="2014-03-24T00:00:00"/>
    <x v="15"/>
    <x v="1"/>
  </r>
  <r>
    <d v="2014-03-24T00:00:00"/>
    <d v="2014-03-24T00:00:00"/>
    <n v="3"/>
    <s v="2014-Mar"/>
    <n v="3"/>
    <s v="LQA"/>
    <x v="10"/>
    <m/>
    <s v="IM"/>
    <s v="IM"/>
    <x v="1"/>
    <s v="IM_COM_1.0.1.0.1"/>
    <s v="CMTeam"/>
    <s v="Rajesh Maithani"/>
    <m/>
    <m/>
    <s v="\\192.168.3.3\share\Releases\Projects\Comcast\Release_for_Test\Test_Build_4.6.1\Server CD\IM\Setup"/>
    <m/>
    <m/>
    <m/>
    <m/>
    <m/>
    <m/>
    <x v="1"/>
    <s v=""/>
    <x v="0"/>
    <x v="0"/>
  </r>
  <r>
    <d v="2014-03-24T00:00:00"/>
    <d v="2014-03-24T00:00:00"/>
    <n v="3"/>
    <s v="2014-Mar"/>
    <n v="3"/>
    <s v="IT-LQA"/>
    <x v="0"/>
    <m/>
    <s v="DM"/>
    <s v="DBS"/>
    <x v="0"/>
    <s v="DMDBS_SLT_2.0.0.20.1.110b3"/>
    <s v="CMTeam"/>
    <s v="Raja Sarkar"/>
    <s v="\\192.168.3.3\Share\Releases\Projects\SLT\Release_For_IT\Test_Build_1.0.0.4\Server CD\DBS\Setup"/>
    <m/>
    <s v="\\192.168.3.3\Share\Releases\Projects\SLT\Release_For_LQA\Test_Build_1.0.0.19\Server CD\DBS\Setup"/>
    <s v="Pass"/>
    <m/>
    <m/>
    <m/>
    <m/>
    <m/>
    <x v="0"/>
    <s v=""/>
    <x v="0"/>
    <x v="0"/>
  </r>
  <r>
    <d v="2014-03-25T00:00:00"/>
    <d v="2014-03-25T00:00:00"/>
    <n v="3"/>
    <s v="2014-Mar"/>
    <n v="3"/>
    <s v="LQA-FAT"/>
    <x v="0"/>
    <m/>
    <s v="MPE"/>
    <s v="MPE"/>
    <x v="0"/>
    <s v="MPE_SLT-1B_3.0.1.1.1.58b1"/>
    <s v="CMTeam"/>
    <s v="Ajay Awasthi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3-25T00:00:00"/>
    <d v="2014-03-25T00:00:00"/>
    <n v="3"/>
    <s v="2014-Mar"/>
    <n v="3"/>
    <s v="IT-LQA-FAT"/>
    <x v="16"/>
    <m/>
    <s v="NM"/>
    <s v="HM"/>
    <x v="0"/>
    <s v="NMHM_TLN_4.0.5"/>
    <s v="CMTeam"/>
    <s v="Lokeshna Virdi"/>
    <s v="\\192.168.3.3\Share\Releases\Projects\Telenet\Build&amp;Release\Release For IT\Test_Build_4.0.41\Client CD\GUI\Hotlist Manager\Setup"/>
    <m/>
    <s v="\\192.168.3.3\Share\Releases\Projects\Telenet\Build&amp;Release\Release For Test\Test_Build_4.0.41\Client CD\GUI\Hotlist Manager\Setup"/>
    <s v="Pass"/>
    <m/>
    <m/>
    <m/>
    <m/>
    <s v="Vijay Singh Daagar"/>
    <x v="0"/>
    <s v=""/>
    <x v="0"/>
    <x v="0"/>
  </r>
  <r>
    <d v="2014-03-25T00:00:00"/>
    <d v="2014-03-25T00:00:00"/>
    <n v="3"/>
    <s v="2014-Mar"/>
    <n v="3"/>
    <s v="IT-LQA-FAT"/>
    <x v="16"/>
    <m/>
    <s v="NM"/>
    <s v="CS"/>
    <x v="0"/>
    <s v="NMCS_TLN_4.0.6"/>
    <s v="CMTeam"/>
    <s v="Lokeshna Virdi"/>
    <s v="\\192.168.3.3\Share\Releases\Projects\Telenet\Build&amp;Release\Release For IT\Test_Build_4.0.41\Client CD\GUI\Configuration System\Setup"/>
    <m/>
    <s v="\\192.168.3.3\Share\Releases\Projects\Telenet\Build&amp;Release\Release For Test\Test_Build_4.0.41\Client CD\GUI\Configuration System\Setup"/>
    <s v="Pass"/>
    <m/>
    <m/>
    <m/>
    <m/>
    <s v="Vijay Singh Daagar"/>
    <x v="0"/>
    <s v=""/>
    <x v="0"/>
    <x v="0"/>
  </r>
  <r>
    <d v="2014-03-25T00:00:00"/>
    <d v="2014-03-25T00:00:00"/>
    <n v="3"/>
    <s v="2014-Mar"/>
    <n v="3"/>
    <s v="LQA"/>
    <x v="1"/>
    <m/>
    <s v="WWFS"/>
    <s v="GUI"/>
    <x v="1"/>
    <s v="WWFSGUI_2.2.1b2 "/>
    <s v="CMTeam"/>
    <s v="Alok Bagwale"/>
    <m/>
    <m/>
    <s v="\\192.168.3.3\Share\Releases\Product\WEB_WFS\Build&amp;Release\Release For Test\TestBuild_2.2.1\Build2\ServerCD\GUI\Setup"/>
    <m/>
    <s v="Readme Re-Released"/>
    <m/>
    <m/>
    <m/>
    <m/>
    <x v="1"/>
    <s v=""/>
    <x v="0"/>
    <x v="0"/>
  </r>
  <r>
    <d v="2014-03-26T00:00:00"/>
    <d v="2014-03-26T00:00:00"/>
    <n v="3"/>
    <s v="2014-Mar"/>
    <n v="3"/>
    <s v="IT-LQA"/>
    <x v="0"/>
    <m/>
    <s v="DM"/>
    <s v="DBS"/>
    <x v="0"/>
    <s v="DMDBS_SLT_2.0.0.20.1.115b1"/>
    <s v="CMTeam"/>
    <s v="Nishant"/>
    <s v="\\192.168.3.3\Share\Releases\Projects\SLT\Release_For_IT\Test_Build_1.0.0.4\Server CD\DBS\Setup"/>
    <s v="Obsolete-LQA"/>
    <s v="\\192.168.3.3\Share\Releases\Projects\SLT\Release_For_LQA\Test_Build_1.0.0.19\Server CD\DBS\Setup"/>
    <m/>
    <m/>
    <m/>
    <m/>
    <m/>
    <m/>
    <x v="2"/>
    <d v="2014-03-26T00:00:00"/>
    <x v="15"/>
    <x v="1"/>
  </r>
  <r>
    <d v="2014-03-26T00:00:00"/>
    <d v="2014-03-26T00:00:00"/>
    <n v="3"/>
    <s v="2014-Mar"/>
    <n v="3"/>
    <s v="IT-LQA"/>
    <x v="10"/>
    <m/>
    <s v="NM"/>
    <s v="Utility"/>
    <x v="0"/>
    <s v="NMUTLMIG1_COM_1.0.0.0.4"/>
    <s v="CMTeam"/>
    <s v="Sachin Srivastva"/>
    <s v="\\192.168.3.3\Share\Releases\Projects\Comcast\Release_For_IT\Test_Build_4.6.1\Utility\Setup"/>
    <s v="Obsolete-LQA"/>
    <s v="\\192.168.3.3\Share\Releases\Projects\Comcast\Release_for_Test\Test_Build_4.6.1\Utility\Setup"/>
    <m/>
    <m/>
    <m/>
    <m/>
    <m/>
    <m/>
    <x v="2"/>
    <d v="2014-03-26T00:00:00"/>
    <x v="15"/>
    <x v="1"/>
  </r>
  <r>
    <d v="2014-03-26T00:00:00"/>
    <d v="2014-03-26T00:00:00"/>
    <n v="3"/>
    <s v="2014-Mar"/>
    <n v="3"/>
    <s v="IT-LQA"/>
    <x v="10"/>
    <m/>
    <s v="NM"/>
    <s v="Utility"/>
    <x v="0"/>
    <s v="MUTLMIG3_COM_1.0.0.0.4"/>
    <s v="CMTeam"/>
    <s v="Sachin Srivastva"/>
    <s v="\\192.168.3.3\Share\Releases\Projects\Comcast\Release_For_IT\Test_Build_4.6.1\Utility\Setup"/>
    <m/>
    <s v="\\192.168.3.3\Share\Releases\Projects\Comcast\Release_for_Test\Test_Build_4.6.1\Utility\Setup"/>
    <m/>
    <m/>
    <m/>
    <m/>
    <m/>
    <m/>
    <x v="1"/>
    <s v=""/>
    <x v="0"/>
    <x v="0"/>
  </r>
  <r>
    <d v="2014-03-27T00:00:00"/>
    <d v="2014-03-27T00:00:00"/>
    <n v="3"/>
    <s v="2014-Mar"/>
    <n v="3"/>
    <s v="IT-LQA-UAT"/>
    <x v="3"/>
    <m/>
    <s v="NM"/>
    <s v="DBS"/>
    <x v="0"/>
    <s v="NMDBS_OBT_4.6.1.16.1.21b1"/>
    <s v="CMTeam"/>
    <s v="Rohit Kanwar"/>
    <s v="\\192.168.3.3\Share\Releases\Projects\OBT\Release_For_IT\TestBuild_1.0.0.2\Server CD\DBS\Setup"/>
    <m/>
    <s v="\\192.168.3.3\Share\Releases\Projects\OBT\Release_For_LQA\TestBuild_1.0.0.4\Server CD\DBS\Setup"/>
    <s v="Pass"/>
    <m/>
    <m/>
    <m/>
    <m/>
    <s v="Tushar Tyagi"/>
    <x v="0"/>
    <s v=""/>
    <x v="0"/>
    <x v="0"/>
  </r>
  <r>
    <d v="2014-03-27T00:00:00"/>
    <d v="2014-03-27T00:00:00"/>
    <n v="3"/>
    <s v="2014-Mar"/>
    <n v="3"/>
    <s v="LQA"/>
    <x v="1"/>
    <m/>
    <s v="MPE"/>
    <s v="MPE"/>
    <x v="0"/>
    <s v="MPE_3.2.5.2b1"/>
    <s v="CMTeam"/>
    <s v="Anshul Kumar"/>
    <m/>
    <m/>
    <s v="\\192.168.3.3\Share\Releases\Product\MPE_GUI\ReleaseForLQA\TestBuild_1.0.0.2\Server CD\MPE\Setup"/>
    <m/>
    <m/>
    <m/>
    <m/>
    <m/>
    <m/>
    <x v="1"/>
    <s v=""/>
    <x v="0"/>
    <x v="0"/>
  </r>
  <r>
    <d v="2014-03-27T00:00:00"/>
    <d v="2014-03-27T00:00:00"/>
    <n v="3"/>
    <s v="2014-Mar"/>
    <n v="3"/>
    <s v="LQA"/>
    <x v="13"/>
    <m/>
    <s v="MPE"/>
    <s v="MPE"/>
    <x v="0"/>
    <s v="MPE_NM46_3.2.5.1.1.4b1"/>
    <s v="CMTeam"/>
    <s v="Anshul Kumar"/>
    <m/>
    <m/>
    <s v="\\192.168.3.3\Share\Releases\Projects\NM46\Release_For_Test\Test_Build_1.0.0.1\Server CD\MPE\Setup"/>
    <m/>
    <m/>
    <m/>
    <m/>
    <m/>
    <m/>
    <x v="1"/>
    <s v=""/>
    <x v="0"/>
    <x v="0"/>
  </r>
  <r>
    <d v="2014-03-27T00:00:00"/>
    <d v="2014-03-28T00:00:00"/>
    <n v="3"/>
    <s v="2014-Mar"/>
    <n v="3"/>
    <s v="IT-LQA"/>
    <x v="1"/>
    <m/>
    <s v="RE"/>
    <s v="DBS"/>
    <x v="0"/>
    <s v="REDBS_1.0.1.20b1"/>
    <s v="CMTeam"/>
    <s v="Shiv Mangal"/>
    <s v="\\192.168.3.3\Share\Releases\Product\RE_1.0\ReleaseForIT\TestBuild_1.0.1\DBS\Build4\Setup"/>
    <m/>
    <s v="\\192.168.3.3\Share\Releases\Product\RE_1.0\ReleaseForLQA\TestBuild_1.0.1\DBS\Build4\Setup"/>
    <m/>
    <m/>
    <m/>
    <m/>
    <m/>
    <m/>
    <x v="1"/>
    <s v=""/>
    <x v="0"/>
    <x v="0"/>
  </r>
  <r>
    <d v="2014-03-28T00:00:00"/>
    <d v="2014-03-28T00:00:00"/>
    <n v="3"/>
    <s v="2014-Mar"/>
    <n v="3"/>
    <s v="IT-LQA-AT"/>
    <x v="4"/>
    <m/>
    <s v="NM"/>
    <s v="DBS"/>
    <x v="0"/>
    <s v="NMDBS_TLSTR_4.0.1.0.4.297b1 "/>
    <s v="CMTeam"/>
    <s v="Gautam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Abrar Khan"/>
    <x v="0"/>
    <s v=""/>
    <x v="0"/>
    <x v="0"/>
  </r>
  <r>
    <d v="2014-03-28T00:00:00"/>
    <d v="2014-04-04T00:00:00"/>
    <n v="3"/>
    <s v="2014-Mar"/>
    <n v="4"/>
    <s v="IT-LQA"/>
    <x v="3"/>
    <m/>
    <s v="NM"/>
    <s v="DBS"/>
    <x v="0"/>
    <s v="NMDBS_OBT_4.6.1.16.1.22b1"/>
    <s v="CMTeam"/>
    <s v="Rohit Kanwar"/>
    <s v="\\192.168.3.3\Share\Releases\Projects\OBT\Release_For_IT\TestBuild_1.0.0.2\Server CD\DBS\Setup"/>
    <m/>
    <s v="\\192.168.3.3\Share\Releases\Projects\OBT\Release_For_LQA\TestBuild_1.0.0.4\Server CD\DBS\Setup"/>
    <s v="Pass"/>
    <s v="Readme Re-Released"/>
    <m/>
    <m/>
    <m/>
    <m/>
    <x v="0"/>
    <s v=""/>
    <x v="0"/>
    <x v="0"/>
  </r>
  <r>
    <d v="2014-03-28T00:00:00"/>
    <d v="2014-04-04T00:00:00"/>
    <n v="3"/>
    <s v="2014-Mar"/>
    <n v="4"/>
    <s v="IT-LQA"/>
    <x v="3"/>
    <m/>
    <s v="NM"/>
    <s v="DBS"/>
    <x v="0"/>
    <s v="NMDBS_OBT_4.6.1.16.1.23b1"/>
    <s v="CMTeam"/>
    <s v="Rohit Kanwar"/>
    <s v="\\192.168.3.3\Share\Releases\Projects\OBT\Release_For_IT\TestBuild_1.0.0.2\Server CD\DBS\Setup"/>
    <m/>
    <s v="\\192.168.3.3\Share\Releases\Projects\OBT\Release_For_LQA\TestBuild_1.0.0.4\Server CD\DBS\Setup"/>
    <s v="Pass"/>
    <s v="Readme Re-Released"/>
    <m/>
    <m/>
    <m/>
    <m/>
    <x v="0"/>
    <s v=""/>
    <x v="0"/>
    <x v="0"/>
  </r>
  <r>
    <d v="2014-03-28T00:00:00"/>
    <d v="2014-04-04T00:00:00"/>
    <n v="3"/>
    <s v="2014-Mar"/>
    <n v="4"/>
    <s v="IT-LQA"/>
    <x v="3"/>
    <m/>
    <s v="NM"/>
    <s v="DBS"/>
    <x v="0"/>
    <s v="NMDBS_OBT_4.6.1.16.1.24b1"/>
    <s v="CMTeam"/>
    <s v="Rohit Kanwar"/>
    <s v="\\192.168.3.3\Share\Releases\Projects\OBT\Release_For_IT\TestBuild_1.0.0.2\Server CD\DBS\Setup"/>
    <m/>
    <s v="\\192.168.3.3\Share\Releases\Projects\OBT\Release_For_LQA\TestBuild_1.0.0.4\Server CD\DBS\Setup"/>
    <s v="Pass"/>
    <s v="Readme Re-Released"/>
    <m/>
    <m/>
    <m/>
    <m/>
    <x v="0"/>
    <s v=""/>
    <x v="0"/>
    <x v="0"/>
  </r>
  <r>
    <d v="2014-03-28T00:00:00"/>
    <d v="2014-04-04T00:00:00"/>
    <n v="3"/>
    <s v="2014-Mar"/>
    <n v="4"/>
    <s v="IT-LQA"/>
    <x v="3"/>
    <m/>
    <s v="NM"/>
    <s v="DBS"/>
    <x v="0"/>
    <s v="NMDBS_OBT_4.6.1.16.1.25b1"/>
    <s v="CMTeam"/>
    <s v="Rohit Kanwar"/>
    <s v="\\192.168.3.3\Share\Releases\Projects\OBT\Release_For_IT\TestBuild_1.0.0.2\Server CD\DBS\Setup"/>
    <m/>
    <s v="\\192.168.3.3\Share\Releases\Projects\OBT\Release_For_LQA\TestBuild_1.0.0.4\Server CD\DBS\Setup"/>
    <s v="Pass"/>
    <m/>
    <m/>
    <m/>
    <m/>
    <m/>
    <x v="0"/>
    <s v=""/>
    <x v="0"/>
    <x v="0"/>
  </r>
  <r>
    <d v="2014-03-28T00:00:00"/>
    <d v="2014-04-04T00:00:00"/>
    <n v="3"/>
    <s v="2014-Mar"/>
    <n v="4"/>
    <s v="IT-LQA"/>
    <x v="3"/>
    <m/>
    <s v="NM"/>
    <s v="DBS"/>
    <x v="0"/>
    <s v="NMDBS_OBT_4.6.1.16.1.26b1"/>
    <s v="CMTeam"/>
    <s v="Rohit Kanwar"/>
    <s v="\\192.168.3.3\Share\Releases\Projects\OBT\Release_For_IT\TestBuild_1.0.0.2\Server CD\DBS\Setup"/>
    <m/>
    <s v="\\192.168.3.3\Share\Releases\Projects\OBT\Release_For_LQA\TestBuild_1.0.0.4\Server CD\DBS\Setup"/>
    <s v="Pass"/>
    <m/>
    <m/>
    <m/>
    <m/>
    <m/>
    <x v="0"/>
    <s v=""/>
    <x v="0"/>
    <x v="0"/>
  </r>
  <r>
    <d v="2014-03-28T00:00:00"/>
    <d v="2014-04-04T00:00:00"/>
    <n v="3"/>
    <s v="2014-Mar"/>
    <n v="4"/>
    <s v="IT-LQA"/>
    <x v="3"/>
    <m/>
    <s v="NM"/>
    <s v="DBS"/>
    <x v="0"/>
    <s v="NMDBS_OBT_4.6.1.16.1.27b1"/>
    <s v="CMTeam"/>
    <s v="Rohit Kanwar"/>
    <s v="\\192.168.3.3\Share\Releases\Projects\OBT\Release_For_IT\TestBuild_1.0.0.2\Server CD\DBS\Setup"/>
    <m/>
    <s v="\\192.168.3.3\Share\Releases\Projects\OBT\Release_For_LQA\TestBuild_1.0.0.4\Server CD\DBS\Setup"/>
    <s v="Pass"/>
    <m/>
    <m/>
    <m/>
    <m/>
    <m/>
    <x v="0"/>
    <s v=""/>
    <x v="0"/>
    <x v="0"/>
  </r>
  <r>
    <d v="2014-03-28T00:00:00"/>
    <d v="2014-04-04T00:00:00"/>
    <n v="3"/>
    <s v="2014-Mar"/>
    <n v="4"/>
    <s v="IT-LQA"/>
    <x v="3"/>
    <m/>
    <s v="NM"/>
    <s v="DBS"/>
    <x v="0"/>
    <s v="NMDBS_OBT_4.6.1.16.1.28b1"/>
    <s v="CMTeam"/>
    <s v="Rohit Kanwar"/>
    <s v="\\192.168.3.3\Share\Releases\Projects\OBT\Release_For_IT\TestBuild_1.0.0.2\Server CD\DBS\Setup"/>
    <m/>
    <s v="\\192.168.3.3\Share\Releases\Projects\OBT\Release_For_LQA\TestBuild_1.0.0.4\Server CD\DBS\Setup"/>
    <s v="Pass"/>
    <s v="Readme Re-Released"/>
    <m/>
    <m/>
    <m/>
    <m/>
    <x v="0"/>
    <s v=""/>
    <x v="0"/>
    <x v="0"/>
  </r>
  <r>
    <d v="2014-03-28T00:00:00"/>
    <d v="2014-03-28T00:00:00"/>
    <n v="3"/>
    <s v="2014-Mar"/>
    <n v="3"/>
    <s v="IT-LQA-UAT"/>
    <x v="1"/>
    <m/>
    <s v="NP"/>
    <s v="DBS"/>
    <x v="0"/>
    <s v="NPDBS_1.2.3.6b1"/>
    <s v="CMTeam"/>
    <s v="Abhishek Sharma"/>
    <s v="\\192.168.3.3\share\Releases\Product\NetMindPOS_1.1\Build&amp;Release\Release for IT\TestBuild_1.2.3\Server CD\DBS\Setup"/>
    <m/>
    <s v="\\192.168.3.3\share\Releases\Product\NetMindPOS_1.1\Build&amp;Release\Release for LQA\TestBuild_1.2.3\Server CD\DBS\Setup"/>
    <s v="Pass"/>
    <m/>
    <m/>
    <m/>
    <m/>
    <s v="Abhishek Leekha"/>
    <x v="0"/>
    <s v=""/>
    <x v="0"/>
    <x v="0"/>
  </r>
  <r>
    <d v="2014-03-28T00:00:00"/>
    <d v="2014-03-28T00:00:00"/>
    <n v="3"/>
    <s v="2014-Mar"/>
    <n v="3"/>
    <s v="IT-LQA"/>
    <x v="10"/>
    <m/>
    <s v="NP"/>
    <s v="DBS"/>
    <x v="0"/>
    <s v="NPDBS_COM_1.2.3.2.1.4b1"/>
    <s v="CMTeam"/>
    <s v="Abhishek Sharma"/>
    <s v="\\192.168.3.3\Share\Releases\Projects\Comcast\Release_For_IT\Test_Build_4.6.1\Server CD\Database\Setup"/>
    <s v="Obsolete-LQA"/>
    <s v="\\192.168.3.3\Share\Releases\Projects\Comcast\Release_for_Test\Test_Build_4.6.1\Server CD\Database\Setup"/>
    <m/>
    <m/>
    <m/>
    <m/>
    <m/>
    <m/>
    <x v="2"/>
    <d v="2014-03-28T00:00:00"/>
    <x v="15"/>
    <x v="1"/>
  </r>
  <r>
    <d v="2014-03-28T00:00:00"/>
    <d v="2014-03-31T00:00:00"/>
    <n v="3"/>
    <s v="2014-Mar"/>
    <n v="3"/>
    <s v="IT-LQA"/>
    <x v="10"/>
    <m/>
    <s v="NM"/>
    <s v="DBS"/>
    <x v="0"/>
    <s v="NMDBS_COM_4.6.1.16.1.6b1"/>
    <s v="CMTeam"/>
    <s v="Sumita Yadav"/>
    <s v="\\192.168.3.3\Share\Releases\Projects\Comcast\Release_For_IT\Test_Build_4.6.1\Server CD\Database\Setup"/>
    <s v="Obsolete-LQA"/>
    <s v="\\192.168.3.3\Share\Releases\Projects\Comcast\Release_for_Test\Test_Build_4.6.1\Server CD\Database\Setup"/>
    <m/>
    <m/>
    <m/>
    <m/>
    <m/>
    <m/>
    <x v="2"/>
    <d v="2014-03-31T00:00:00"/>
    <x v="17"/>
    <x v="1"/>
  </r>
  <r>
    <d v="2014-03-28T00:00:00"/>
    <d v="2014-03-28T00:00:00"/>
    <n v="3"/>
    <s v="2014-Mar"/>
    <n v="3"/>
    <s v="LQA-FAT"/>
    <x v="3"/>
    <m/>
    <s v="WWFS"/>
    <s v="GUI"/>
    <x v="0"/>
    <s v="WWFSGUI_OBT_2.1.21.2.2.4b1"/>
    <s v="CMTeam"/>
    <s v="Karamjeet kaur"/>
    <m/>
    <m/>
    <s v="\\192.168.3.3\Share\Releases\Projects\OBT\Release_For_LQA\TestBuild_1.0.0.4\Server CD\GUI\Setup"/>
    <s v="Pass"/>
    <m/>
    <m/>
    <m/>
    <m/>
    <s v="Mamta Bora"/>
    <x v="0"/>
    <s v=""/>
    <x v="0"/>
    <x v="0"/>
  </r>
  <r>
    <d v="2014-03-28T00:00:00"/>
    <d v="2014-03-28T00:00:00"/>
    <n v="3"/>
    <s v="2014-Mar"/>
    <n v="3"/>
    <s v="LQA"/>
    <x v="1"/>
    <m/>
    <s v="WWFS"/>
    <s v="GUI"/>
    <x v="0"/>
    <s v="WWFSGUI_2.1.21.3b1"/>
    <s v="CMTeam"/>
    <s v="Karamjeet kaur"/>
    <m/>
    <m/>
    <s v="\\192.168.3.3\Share\Releases\Product\WEB_WFS\Build&amp;Release\Release For Test\TestBuild_2.1.21\Build1\ServerCD\GUI\Setup"/>
    <m/>
    <m/>
    <m/>
    <m/>
    <m/>
    <m/>
    <x v="1"/>
    <s v=""/>
    <x v="0"/>
    <x v="0"/>
  </r>
  <r>
    <d v="2014-03-28T00:00:00"/>
    <d v="2014-03-28T00:00:00"/>
    <n v="3"/>
    <s v="2014-Mar"/>
    <n v="3"/>
    <s v="LQA"/>
    <x v="4"/>
    <m/>
    <s v="MPE"/>
    <s v="MPE"/>
    <x v="0"/>
    <s v="MPE_TLSTR-2b_3.0.0.3.1.91b1"/>
    <s v="CMTeam"/>
    <s v="Sandeep Aggarwal"/>
    <m/>
    <m/>
    <s v="\\192.168.3.3\Share\Releases\Projects\Telstra-2b\Release_For_Test\Test_Build_1.0.0.1\Server CD\MPE\Setup"/>
    <m/>
    <m/>
    <m/>
    <m/>
    <m/>
    <m/>
    <x v="1"/>
    <s v=""/>
    <x v="0"/>
    <x v="0"/>
  </r>
  <r>
    <d v="2014-03-28T00:00:00"/>
    <d v="2014-03-28T00:00:00"/>
    <n v="3"/>
    <s v="2014-Mar"/>
    <n v="3"/>
    <s v="IT-LQA-FAT"/>
    <x v="0"/>
    <m/>
    <s v="DM"/>
    <s v="DBS"/>
    <x v="0"/>
    <s v="DMDBS_SLT_2.0.0.20.1.116b1"/>
    <s v="CMTeam"/>
    <s v="Raja Sarkar"/>
    <s v="\\192.168.3.3\Share\Releases\Projects\SLT\Release_For_IT\Test_Build_1.0.0.4\Server CD\DBS\Setup"/>
    <m/>
    <s v="\\192.168.3.3\Share\Releases\Projects\SLT\Release_For_LQA\Test_Build_1.0.0.19\Server CD\DBS\Setup"/>
    <s v="Pass"/>
    <m/>
    <m/>
    <m/>
    <m/>
    <s v="K.V. Krishnan"/>
    <x v="0"/>
    <s v=""/>
    <x v="0"/>
    <x v="0"/>
  </r>
  <r>
    <d v="2014-03-31T00:00:00"/>
    <d v="2014-03-31T00:00:00"/>
    <n v="3"/>
    <s v="2014-Mar"/>
    <n v="3"/>
    <s v="LQA-FAT"/>
    <x v="0"/>
    <m/>
    <s v="MPE"/>
    <s v="MPE"/>
    <x v="0"/>
    <s v="MPE_SLT-1B_3.0.1.1.1.59b1"/>
    <s v="CMTeam"/>
    <s v="Ajay Awasthi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3-31T00:00:00"/>
    <d v="2014-03-31T00:00:00"/>
    <n v="3"/>
    <s v="2014-Mar"/>
    <n v="3"/>
    <s v="IT-LQA"/>
    <x v="10"/>
    <m/>
    <s v="NM"/>
    <s v="DBS"/>
    <x v="0"/>
    <s v="NMDBS_COM_4.6.1.16.1.8b1"/>
    <s v="CMTeam"/>
    <s v="Sachin Srivastva"/>
    <s v="\\192.168.3.3\Share\Releases\Projects\Comcast\Release_For_IT\Test_Build_4.6.1\Server CD\Database\Setup"/>
    <m/>
    <s v="\\192.168.3.3\Share\Releases\Projects\Comcast\Release_for_Test\Test_Build_4.6.1\Server CD\Database\Setup"/>
    <s v="Pass"/>
    <m/>
    <m/>
    <m/>
    <m/>
    <m/>
    <x v="0"/>
    <s v=""/>
    <x v="0"/>
    <x v="0"/>
  </r>
  <r>
    <d v="2014-03-31T00:00:00"/>
    <d v="2014-03-31T00:00:00"/>
    <n v="3"/>
    <s v="2014-Mar"/>
    <n v="3"/>
    <s v="IT-LQA"/>
    <x v="0"/>
    <m/>
    <s v="RT"/>
    <s v="DBS"/>
    <x v="0"/>
    <s v="RTDBS_SLT_3.0.0.20.1.4b1"/>
    <s v="CMTeam"/>
    <s v="Nishant"/>
    <s v="\\192.168.3.3\Share\Releases\Projects\SLT\Release_For_IT\Test_Build_1.0.0.4\Server CD\DBS\Setup "/>
    <s v="Obsolete-LQA"/>
    <s v="\\192.168.3.3\Share\Releases\Projects\SLT\Release_For_LQA\Test_Build_1.0.0.19\Server CD\DBS\Setup"/>
    <m/>
    <m/>
    <m/>
    <m/>
    <m/>
    <m/>
    <x v="2"/>
    <d v="2014-03-31T00:00:00"/>
    <x v="17"/>
    <x v="1"/>
  </r>
  <r>
    <d v="2014-03-31T00:00:00"/>
    <d v="2014-03-31T00:00:00"/>
    <n v="3"/>
    <s v="2014-Mar"/>
    <n v="3"/>
    <s v="IT-LQA"/>
    <x v="0"/>
    <m/>
    <s v="RT"/>
    <s v="DBS"/>
    <x v="0"/>
    <s v="RTDBS_SLT_3.0.0.20.1.5b1"/>
    <s v="CMTeam"/>
    <s v="Nishant"/>
    <s v="\\192.168.3.3\Share\Releases\Projects\SLT\Release_For_IT\Test_Build_1.0.0.4\Server CD\DBS\Setup "/>
    <s v="Obsolete-LQA"/>
    <s v="\\192.168.3.3\Share\Releases\Projects\SLT\Release_For_LQA\Test_Build_1.0.0.19\Server CD\DBS\Setup"/>
    <m/>
    <m/>
    <m/>
    <m/>
    <m/>
    <m/>
    <x v="2"/>
    <d v="2014-03-31T00:00:00"/>
    <x v="17"/>
    <x v="1"/>
  </r>
  <r>
    <d v="2014-03-31T00:00:00"/>
    <d v="2014-03-31T00:00:00"/>
    <n v="3"/>
    <s v="2014-Mar"/>
    <n v="3"/>
    <s v="LQA"/>
    <x v="0"/>
    <m/>
    <s v="RE"/>
    <s v="GUI"/>
    <x v="1"/>
    <s v="REGUI_SLT_1.0.7.0.1"/>
    <s v="CMTeam"/>
    <s v="Haramanpreet Singh"/>
    <m/>
    <m/>
    <s v="\\192.168.3.3\Share\Releases\Projects\SLT\Release_For_LQA\Test_Build_1.0.0.20\Server CD\GUI\Setup"/>
    <m/>
    <m/>
    <m/>
    <m/>
    <m/>
    <m/>
    <x v="1"/>
    <s v=""/>
    <x v="0"/>
    <x v="0"/>
  </r>
  <r>
    <d v="2014-03-31T00:00:00"/>
    <d v="2014-03-31T00:00:00"/>
    <n v="3"/>
    <s v="2014-Mar"/>
    <n v="3"/>
    <s v="IT-LQA-UAT"/>
    <x v="0"/>
    <m/>
    <s v="NM"/>
    <s v="DBS"/>
    <x v="0"/>
    <s v="NMDBS_SLT_4.0.2.0.1.16b1"/>
    <s v="CMTeam"/>
    <s v="Raja Sarkar"/>
    <s v="\\192.168.3.3\Share\Releases\Projects\SLT\Release_For_IT\Test_Build_1.0.0.4\Server CD\DBS\Setup"/>
    <m/>
    <s v="\\192.168.3.3\Share\Releases\Projects\SLT\Release_For_LQA\Test_Build_1.0.0.20\Server CD\DBS\Setup"/>
    <s v="Pass"/>
    <m/>
    <m/>
    <m/>
    <m/>
    <s v="K.V. Krishnan"/>
    <x v="0"/>
    <s v=""/>
    <x v="0"/>
    <x v="0"/>
  </r>
  <r>
    <d v="2014-04-01T00:00:00"/>
    <d v="2014-04-01T00:00:00"/>
    <n v="4"/>
    <s v="2014-Apr"/>
    <n v="4"/>
    <s v="LQA-AT"/>
    <x v="1"/>
    <m/>
    <s v="WWFS"/>
    <s v="GUI"/>
    <x v="0"/>
    <s v="WWFSGUI_2.0.4.10b2"/>
    <s v="CMTeam"/>
    <s v="Ratnesh Singh"/>
    <m/>
    <m/>
    <s v="\\192.168.3.3\Share\Releases\Product\WEB_WFS\Build&amp;Release\Release For Test\TestBuild_2.0.4\Build4\ServerCD\GUI\Setup"/>
    <s v="Pass"/>
    <m/>
    <m/>
    <m/>
    <m/>
    <s v="Gaurav Shukla"/>
    <x v="0"/>
    <s v=""/>
    <x v="0"/>
    <x v="0"/>
  </r>
  <r>
    <d v="2014-04-01T00:00:00"/>
    <d v="2014-04-01T00:00:00"/>
    <n v="4"/>
    <s v="2014-Apr"/>
    <n v="4"/>
    <s v="IT-LQA-UAT"/>
    <x v="8"/>
    <m/>
    <s v="NM"/>
    <s v="DBS"/>
    <x v="0"/>
    <s v="NMDBS_TWC_4.6.1.11.3.35b2"/>
    <s v="CMTeam"/>
    <s v="Sudip Ghosh"/>
    <s v="\\192.168.3.3\Share\Releases\Projects\TWC\Release_For_IT\Test_Build_1.0.0.3\Server CD\DBS\Setup"/>
    <m/>
    <s v="\\192.168.3.3\Share\Releases\Projects\TWC\Release_For_Test\Test_Build_1.0.0.4\Server CD\DBS\Setup"/>
    <s v="Pass"/>
    <s v="Readme Re-Released"/>
    <m/>
    <m/>
    <m/>
    <s v="Sumit Gomber"/>
    <x v="0"/>
    <s v=""/>
    <x v="0"/>
    <x v="0"/>
  </r>
  <r>
    <d v="2014-04-02T00:00:00"/>
    <d v="2014-04-02T00:00:00"/>
    <n v="4"/>
    <s v="2014-Apr"/>
    <n v="4"/>
    <s v="IT-LQA"/>
    <x v="2"/>
    <m/>
    <s v="RM"/>
    <s v="DBS"/>
    <x v="0"/>
    <s v="RMDBS_SHAW_2.0.1.0.1.44b1"/>
    <s v="CMTeam"/>
    <s v="Aditya Garg"/>
    <s v="\\192.168.3.3\Share\Releases\Projects\SHAW\Release_For_IT\Test_Build_1.0.0.27\Server CD\DBS\Setup"/>
    <m/>
    <s v="\\192.168.3.3\Share\Releases\Projects\SHAW\Release_For_LQA\Test_Build_1.0.0.28\Server CD\DBS\Setup"/>
    <m/>
    <m/>
    <m/>
    <m/>
    <m/>
    <m/>
    <x v="1"/>
    <s v=""/>
    <x v="0"/>
    <x v="0"/>
  </r>
  <r>
    <d v="2014-04-02T00:00:00"/>
    <d v="2014-04-02T00:00:00"/>
    <n v="4"/>
    <s v="2014-Apr"/>
    <n v="4"/>
    <s v="IT-LQA-AT"/>
    <x v="4"/>
    <m/>
    <s v="NM"/>
    <s v="DBS"/>
    <x v="0"/>
    <s v="NMDBS_TLSTR_4.0.1.0.4.298b1"/>
    <s v="CMTeam"/>
    <s v="Gautam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Abrar Khan"/>
    <x v="0"/>
    <s v=""/>
    <x v="0"/>
    <x v="0"/>
  </r>
  <r>
    <d v="2014-04-02T00:00:00"/>
    <d v="2014-04-02T00:00:00"/>
    <n v="4"/>
    <s v="2014-Apr"/>
    <n v="4"/>
    <s v="LQA-FAT"/>
    <x v="0"/>
    <m/>
    <s v="MPE"/>
    <s v="MPE"/>
    <x v="0"/>
    <s v="MPE_SLT-1B_3.0.1.1.1.60b1"/>
    <s v="CMTeam"/>
    <s v="Ajay Awasthi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4-02T00:00:00"/>
    <d v="2014-04-02T00:00:00"/>
    <n v="4"/>
    <s v="2014-Apr"/>
    <n v="4"/>
    <s v="IT-LQA"/>
    <x v="10"/>
    <m/>
    <s v="NP"/>
    <s v="DBS"/>
    <x v="0"/>
    <s v="NPDBS_COM_1.2.3.2.1.4b2"/>
    <s v="CMTeam"/>
    <s v="Abhishek Sharma"/>
    <s v="\\192.168.3.3\Share\Releases\Projects\Comcast\Release_For_IT\Test_Build_4.6.1\Server CD\Database\Setup"/>
    <s v="Obsolete-LQA"/>
    <s v="\\192.168.3.3\Share\Releases\Projects\Comcast\Release_for_Test\Test_Build_4.6.1\Server CD\Database\Setup"/>
    <m/>
    <m/>
    <m/>
    <m/>
    <m/>
    <m/>
    <x v="2"/>
    <d v="2014-04-02T00:00:00"/>
    <x v="17"/>
    <x v="1"/>
  </r>
  <r>
    <d v="2014-04-02T00:00:00"/>
    <d v="2014-04-02T00:00:00"/>
    <n v="4"/>
    <s v="2014-Apr"/>
    <n v="4"/>
    <s v="IT-LQA"/>
    <x v="10"/>
    <m/>
    <s v="NP"/>
    <s v="DBS"/>
    <x v="0"/>
    <s v="NMDBS_COM_4.6.1.16.1.6b2"/>
    <s v="CMTeam"/>
    <s v="Sumita Yadav"/>
    <s v="\\192.168.3.3\Share\Releases\Projects\Comcast\Release_For_IT\Test_Build_4.6.1\Server CD\Database\Setup"/>
    <m/>
    <s v="\\192.168.3.3\Share\Releases\Projects\Comcast\Release_for_Test\Test_Build_4.6.1\Server CD\Database\Setup"/>
    <s v="Pass"/>
    <m/>
    <m/>
    <m/>
    <m/>
    <m/>
    <x v="0"/>
    <s v=""/>
    <x v="0"/>
    <x v="0"/>
  </r>
  <r>
    <d v="2014-04-03T00:00:00"/>
    <d v="2014-04-03T00:00:00"/>
    <n v="4"/>
    <s v="2014-Apr"/>
    <n v="4"/>
    <s v="IT-LQA"/>
    <x v="10"/>
    <m/>
    <s v="NM"/>
    <s v="DBS"/>
    <x v="0"/>
    <s v="NMDBS_COM_4.6.1.16.1.9b1"/>
    <s v="CMTeam"/>
    <s v="Sumita Yadav"/>
    <s v="\\192.168.3.3\Share\Releases\Projects\Comcast\Release_For_IT\Test_Build_4.6.1\Server CD\Database\Setup"/>
    <m/>
    <s v="\\192.168.3.3\Share\Releases\Projects\Comcast\Release_for_Test\Test_Build_4.6.1\Server CD\Database\Setup"/>
    <s v="Pass"/>
    <m/>
    <m/>
    <m/>
    <m/>
    <m/>
    <x v="0"/>
    <s v=""/>
    <x v="0"/>
    <x v="0"/>
  </r>
  <r>
    <d v="2014-04-03T00:00:00"/>
    <d v="2014-04-03T00:00:00"/>
    <n v="4"/>
    <s v="2014-Apr"/>
    <n v="4"/>
    <s v="IT-LQA"/>
    <x v="10"/>
    <m/>
    <s v="NM"/>
    <s v="DBS"/>
    <x v="0"/>
    <s v="NPDBS_COM_1.2.3.2.1.5b1       "/>
    <s v="CMTeam"/>
    <s v="Sumita Yadav"/>
    <s v="\\192.168.3.3\Share\Releases\Projects\Comcast\Release_For_IT\Test_Build_4.6.1\Server CD\Database\Setup"/>
    <m/>
    <s v="\\192.168.3.3\Share\Releases\Projects\Comcast\Release_for_Test\Test_Build_4.6.1\Server CD\Database\Setup"/>
    <s v="Pass"/>
    <m/>
    <m/>
    <m/>
    <m/>
    <m/>
    <x v="0"/>
    <s v=""/>
    <x v="0"/>
    <x v="0"/>
  </r>
  <r>
    <d v="2014-04-03T00:00:00"/>
    <d v="2014-04-03T00:00:00"/>
    <n v="4"/>
    <s v="2014-Apr"/>
    <n v="4"/>
    <s v="LQA"/>
    <x v="1"/>
    <m/>
    <s v="NM"/>
    <s v="DBS"/>
    <x v="0"/>
    <s v="NMDBS_4.7.1b3"/>
    <s v="CMTeam"/>
    <s v="Abhishek Sharma"/>
    <m/>
    <m/>
    <s v="\\192.168.3.3\Share\Releases\Product\Netmind_4.7\Build&amp;Release\Release_For_LQA\Test_Build_1.0.1\Server CD\DBS\Setup"/>
    <m/>
    <m/>
    <m/>
    <m/>
    <m/>
    <m/>
    <x v="1"/>
    <s v=""/>
    <x v="0"/>
    <x v="0"/>
  </r>
  <r>
    <d v="2014-04-03T00:00:00"/>
    <d v="2014-04-03T00:00:00"/>
    <n v="4"/>
    <s v="2014-Apr"/>
    <n v="4"/>
    <s v="IT-LQA"/>
    <x v="10"/>
    <m/>
    <s v="NM"/>
    <s v="DBS"/>
    <x v="0"/>
    <s v="NPDBS_COM_1.2.3.2.1.4b3"/>
    <s v="CMTeam"/>
    <s v="Abhishek Sharma"/>
    <s v="\\192.168.3.3\Share\Releases\Projects\Comcast\Release_For_IT\Test_Build_4.6.1\Server CD\Database\Setup"/>
    <m/>
    <s v="\\192.168.3.3\Share\Releases\Projects\Comcast\Release_for_Test\Test_Build_4.6.1\Server CD\Database\Setup"/>
    <s v="Pass"/>
    <s v="Readme Re-Released"/>
    <m/>
    <m/>
    <m/>
    <m/>
    <x v="0"/>
    <s v=""/>
    <x v="0"/>
    <x v="0"/>
  </r>
  <r>
    <d v="2014-04-03T00:00:00"/>
    <d v="2014-04-03T00:00:00"/>
    <n v="4"/>
    <s v="2014-Apr"/>
    <n v="4"/>
    <s v="LQA-FAT"/>
    <x v="0"/>
    <m/>
    <s v="MPE"/>
    <s v="MPE"/>
    <x v="0"/>
    <s v="MPE_SLT-1B_3.0.1.1.1.61b1"/>
    <s v="CMTeam"/>
    <s v="Ajay Awasthi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4-04T00:00:00"/>
    <d v="2014-04-04T00:00:00"/>
    <n v="4"/>
    <s v="2014-Apr"/>
    <n v="4"/>
    <s v="IT-LQA"/>
    <x v="0"/>
    <m/>
    <s v="DM"/>
    <s v="DBS"/>
    <x v="0"/>
    <s v="DMDBS_SLT_2.0.0.20.1.115b2"/>
    <s v="CMTeam"/>
    <s v="Manisha Srivastava"/>
    <s v="\\192.168.3.3\Share\Releases\Projects\SLT\Release_For_IT\Test_Build_1.0.0.4\Server CD\DBS\Setup"/>
    <m/>
    <s v="\\192.168.3.3\Share\Releases\Projects\SLT\Release_For_LQA\Test_Build_1.0.0.20\Server CD\DBS\Setup"/>
    <s v="Pass"/>
    <m/>
    <m/>
    <m/>
    <m/>
    <m/>
    <x v="0"/>
    <s v=""/>
    <x v="0"/>
    <x v="0"/>
  </r>
  <r>
    <d v="2014-04-04T00:00:00"/>
    <d v="2014-04-04T00:00:00"/>
    <n v="4"/>
    <s v="2014-Apr"/>
    <n v="4"/>
    <s v="IT-LQA"/>
    <x v="0"/>
    <m/>
    <s v="RT"/>
    <s v="DBS"/>
    <x v="0"/>
    <s v="RTDBS_SLT_3.0.0.20.1.4b2"/>
    <s v="CMTeam"/>
    <s v="Manisha Srivastava"/>
    <s v="\\192.168.3.3\Share\Releases\Projects\SLT\Release_For_IT\Test_Build_1.0.0.4\Server CD\DBS\Setup"/>
    <s v="Obsolete-LQA"/>
    <s v="\\192.168.3.3\Share\Releases\Projects\SLT\Release_For_LQA\Test_Build_1.0.0.20\Server CD\DBS\Setup"/>
    <m/>
    <s v="Readme Re-Released"/>
    <m/>
    <m/>
    <m/>
    <m/>
    <x v="2"/>
    <d v="2014-04-04T00:00:00"/>
    <x v="17"/>
    <x v="1"/>
  </r>
  <r>
    <d v="2014-04-04T00:00:00"/>
    <d v="2014-04-04T00:00:00"/>
    <n v="4"/>
    <s v="2014-Apr"/>
    <n v="4"/>
    <s v="IT-LQA"/>
    <x v="0"/>
    <m/>
    <s v="RT"/>
    <s v="DBS"/>
    <x v="0"/>
    <s v="RTDBS_SLT_3.0.0.20.1.5b2"/>
    <s v="CMTeam"/>
    <s v="Manisha Srivastava"/>
    <s v="\\192.168.3.3\Share\Releases\Projects\SLT\Release_For_IT\Test_Build_1.0.0.4\Server CD\DBS\Setup"/>
    <s v="Obsolete-LQA"/>
    <s v="\\192.168.3.3\Share\Releases\Projects\SLT\Release_For_LQA\Test_Build_1.0.0.20\Server CD\DBS\Setup"/>
    <m/>
    <m/>
    <m/>
    <m/>
    <m/>
    <m/>
    <x v="2"/>
    <d v="2014-04-04T00:00:00"/>
    <x v="17"/>
    <x v="1"/>
  </r>
  <r>
    <d v="2014-04-04T00:00:00"/>
    <d v="2014-04-04T00:00:00"/>
    <n v="4"/>
    <s v="2014-Apr"/>
    <n v="4"/>
    <s v="IT-LQA"/>
    <x v="3"/>
    <m/>
    <s v="NM"/>
    <s v="DBS"/>
    <x v="0"/>
    <s v="NMDBS_OBT_4.6.1.16.1.29b1"/>
    <s v="CMTeam"/>
    <s v="Rohit Kanwar"/>
    <s v="\\192.168.3.3\Share\Releases\Projects\OBT\Release_For_IT\TestBuild_1.0.0.2\Server CD\DBS\Setup"/>
    <m/>
    <s v="\\192.168.3.3\Share\Releases\Projects\OBT\Release_For_LQA\TestBuild_1.0.0.4\Server CD\DBS\Setup"/>
    <s v="Pass"/>
    <m/>
    <m/>
    <m/>
    <m/>
    <m/>
    <x v="0"/>
    <s v=""/>
    <x v="0"/>
    <x v="0"/>
  </r>
  <r>
    <d v="2014-04-04T00:00:00"/>
    <d v="2014-04-04T00:00:00"/>
    <n v="4"/>
    <s v="2014-Apr"/>
    <n v="4"/>
    <s v="LQA"/>
    <x v="3"/>
    <m/>
    <s v="MPE"/>
    <s v="MPE"/>
    <x v="0"/>
    <s v="MPE_OBT_3.2.1.3.1.13b2 "/>
    <s v="CMTeam"/>
    <s v="Neelam Jawla"/>
    <m/>
    <m/>
    <s v="\\192.168.3.3\share\Releases\Projects\OBT\Release_For_LQA\TestBuild_1.0.0.4\Server CD\MPE\Setup"/>
    <s v="Pass"/>
    <m/>
    <m/>
    <m/>
    <m/>
    <m/>
    <x v="0"/>
    <s v=""/>
    <x v="0"/>
    <x v="0"/>
  </r>
  <r>
    <d v="2014-04-04T00:00:00"/>
    <d v="2014-04-04T00:00:00"/>
    <n v="4"/>
    <s v="2014-Apr"/>
    <n v="4"/>
    <s v="IT-LQA"/>
    <x v="0"/>
    <m/>
    <s v="DM"/>
    <s v="DBS"/>
    <x v="0"/>
    <s v="DMDBS_SLT_2.0.0.20.1.118b1"/>
    <s v="CMTeam"/>
    <s v="Raja Sarkar"/>
    <s v="\\192.168.3.3\Share\Releases\Projects\SLT\Release_For_IT\Test_Build_1.0.0.4\Server CD\DBS\Setup"/>
    <s v="Obsolete-LQA"/>
    <s v="\\192.168.3.3\Share\Releases\Projects\SLT\Release_For_LQA\Test_Build_1.0.0.20\Server CD\DBS\Setup"/>
    <m/>
    <m/>
    <m/>
    <m/>
    <m/>
    <m/>
    <x v="2"/>
    <d v="2014-04-04T00:00:00"/>
    <x v="17"/>
    <x v="1"/>
  </r>
  <r>
    <d v="2014-04-04T00:00:00"/>
    <d v="2014-04-04T00:00:00"/>
    <n v="4"/>
    <s v="2014-Apr"/>
    <n v="4"/>
    <s v="LQA"/>
    <x v="1"/>
    <m/>
    <s v="RE"/>
    <s v="GUI"/>
    <x v="1"/>
    <s v="REGUI_1.0.8b1"/>
    <s v="CMTeam"/>
    <s v="Haramanpreet Singh"/>
    <m/>
    <m/>
    <s v="\\192.168.3.3\Share\Releases\Product\RE_1.0\ReleaseForLQA\TestBuild_1.0.1\GUI\Setup"/>
    <m/>
    <m/>
    <m/>
    <m/>
    <m/>
    <m/>
    <x v="1"/>
    <s v=""/>
    <x v="0"/>
    <x v="0"/>
  </r>
  <r>
    <d v="2014-04-05T00:00:00"/>
    <d v="2014-04-05T00:00:00"/>
    <n v="4"/>
    <s v="2014-Apr"/>
    <n v="4"/>
    <s v="IT-LQA-UAT"/>
    <x v="1"/>
    <m/>
    <s v="RE"/>
    <s v="DBS"/>
    <x v="1"/>
    <s v="REDBS_1.0.1.21b1"/>
    <s v="CMTeam"/>
    <s v="Shiv Mangal"/>
    <s v="\\192.168.3.3\Share\Releases\Product\RE_1.0\ReleaseForIT\TestBuild_1.0.1\DBS\Build4\Setup"/>
    <m/>
    <s v="\\192.168.3.3\Share\Releases\Product\RE_1.0\ReleaseForLQA\TestBuild_1.0.1\DBS\Build4\Setup"/>
    <s v="Pass"/>
    <m/>
    <m/>
    <m/>
    <m/>
    <s v="Ravi Gautam"/>
    <x v="0"/>
    <s v=""/>
    <x v="0"/>
    <x v="0"/>
  </r>
  <r>
    <d v="2014-04-05T00:00:00"/>
    <d v="2014-04-07T00:00:00"/>
    <n v="4"/>
    <s v="2014-Apr"/>
    <n v="4"/>
    <s v="IT-LQA"/>
    <x v="1"/>
    <m/>
    <s v="NM"/>
    <s v="DBS"/>
    <x v="1"/>
    <s v="NMDBS_4.6.1.17b1"/>
    <s v="CMTeam"/>
    <s v="surender Kumar"/>
    <s v="\\192.168.3.3\Share\Releases\Product\Netmind_4.6\Build&amp;Release\ReleaseForIT\TestBuild_4.6.1\Build4\ServerCD\DBS\Setup"/>
    <m/>
    <s v="\\192.168.3.3\Share\Releases\Product\Netmind_4.6\Build&amp;Release\ReleaseForTest\TestBuild_4.6.1\Build4\ServerCD\DBS\Setup"/>
    <s v="Pass"/>
    <m/>
    <m/>
    <m/>
    <m/>
    <m/>
    <x v="0"/>
    <s v=""/>
    <x v="0"/>
    <x v="0"/>
  </r>
  <r>
    <d v="2014-04-05T00:00:00"/>
    <d v="2014-04-05T00:00:00"/>
    <n v="4"/>
    <s v="2014-Apr"/>
    <n v="4"/>
    <s v="LQA"/>
    <x v="0"/>
    <m/>
    <s v="RE"/>
    <s v="GUI"/>
    <x v="1"/>
    <s v="REGUI_SLT_1.0.8.0.1"/>
    <s v="CMTeam"/>
    <s v="Haramanpreet Singh"/>
    <m/>
    <m/>
    <s v="\\192.168.3.3\Share\Releases\Projects\SLT\Release_For_LQA\Test_Build_1.0.0.21\Server CD\GUI\Setup"/>
    <m/>
    <s v="Readme Re-Released"/>
    <m/>
    <m/>
    <m/>
    <m/>
    <x v="1"/>
    <s v=""/>
    <x v="0"/>
    <x v="0"/>
  </r>
  <r>
    <d v="2014-04-05T00:00:00"/>
    <d v="2014-04-05T00:00:00"/>
    <n v="4"/>
    <s v="2014-Apr"/>
    <n v="4"/>
    <s v="LQA"/>
    <x v="1"/>
    <m/>
    <s v="RA"/>
    <s v="CS"/>
    <x v="1"/>
    <s v="RACS_2.5.6b2"/>
    <s v="CMTeam"/>
    <s v="Anoj Kumar"/>
    <m/>
    <m/>
    <s v="\\192.168.3.3\Share\Releases\Product\RevMind_2.1\Build&amp;Release\Release_For_LQA\Test_Build_1.0.2\Server CD\GUI\CS\Setup"/>
    <m/>
    <m/>
    <m/>
    <m/>
    <m/>
    <m/>
    <x v="1"/>
    <s v=""/>
    <x v="0"/>
    <x v="0"/>
  </r>
  <r>
    <d v="2014-04-07T00:00:00"/>
    <d v="2014-04-07T00:00:00"/>
    <n v="4"/>
    <s v="2014-Apr"/>
    <n v="4"/>
    <s v="IT-LQA"/>
    <x v="1"/>
    <m/>
    <s v="RA"/>
    <s v="DBS"/>
    <x v="0"/>
    <s v="RADBS_2.1.1.3b1"/>
    <s v="CMTeam"/>
    <s v="Anand Kumar Ojha"/>
    <s v="\\192.168.3.3\Share\Releases\Product\RevMind_2.1\Build&amp;Release\Release_For_IT\TestBuild_1.0.1\Server CD\DBS\Setup"/>
    <m/>
    <s v="\\192.168.3.3\Share\Releases\Product\RevMind_2.1\Build&amp;Release\Release_For_LQA\Test_Build_1.0.2\Server CD\DBS\Setup"/>
    <s v="Pass"/>
    <s v="Readme Re-Released"/>
    <m/>
    <m/>
    <m/>
    <m/>
    <x v="0"/>
    <s v=""/>
    <x v="0"/>
    <x v="0"/>
  </r>
  <r>
    <d v="2014-04-07T00:00:00"/>
    <d v="2014-04-07T00:00:00"/>
    <n v="4"/>
    <s v="2014-Apr"/>
    <n v="4"/>
    <s v="LQA"/>
    <x v="1"/>
    <m/>
    <s v="WWFS"/>
    <s v="GUI"/>
    <x v="1"/>
    <s v="WWFSGUI_2.2.1b3"/>
    <s v="CMTeam"/>
    <s v="Alok Bagwale"/>
    <m/>
    <m/>
    <s v="\\192.168.3.3\Share\Releases\Product\WEB_WFS\Build&amp;Release\Release For Test\TestBuild_2.2.1\Build3\ServerCD\GUI\Setup"/>
    <m/>
    <m/>
    <m/>
    <m/>
    <m/>
    <m/>
    <x v="1"/>
    <s v=""/>
    <x v="0"/>
    <x v="0"/>
  </r>
  <r>
    <d v="2014-04-07T00:00:00"/>
    <d v="2014-04-07T00:00:00"/>
    <n v="4"/>
    <s v="2014-Apr"/>
    <n v="4"/>
    <s v="IT-LQA"/>
    <x v="4"/>
    <m/>
    <s v="NM"/>
    <s v="DBS"/>
    <x v="0"/>
    <s v="NMDBS_TLSTR_4.0.1.0.4.299b1"/>
    <s v="CMTeam"/>
    <s v="Gautam"/>
    <s v="\\192.168.3.3\Share\Releases\Projects\Telstra\Release_For_IT\Test_Build_1.0.0.18\Server CD\DBS\Setup"/>
    <s v="Obsolete-LQA"/>
    <s v="\\192.168.3.3\Share\Releases\Projects\Telstra\Release_For_LQA\Test_Build_1.0.0.18\Server CD\DBS\Setup"/>
    <m/>
    <m/>
    <m/>
    <m/>
    <m/>
    <m/>
    <x v="2"/>
    <d v="2014-04-07T00:00:00"/>
    <x v="18"/>
    <x v="1"/>
  </r>
  <r>
    <d v="2014-04-07T00:00:00"/>
    <d v="2014-04-07T00:00:00"/>
    <n v="4"/>
    <s v="2014-Apr"/>
    <n v="4"/>
    <s v="IT-LQA-AT"/>
    <x v="4"/>
    <m/>
    <s v="NM"/>
    <s v="DBS"/>
    <x v="0"/>
    <s v="NMDBS_TLSTR_4.0.1.0.4.299b2"/>
    <s v="CMTeam"/>
    <s v="Gautam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Gaurav Shukla"/>
    <x v="0"/>
    <s v=""/>
    <x v="0"/>
    <x v="0"/>
  </r>
  <r>
    <d v="2014-04-07T00:00:00"/>
    <d v="2014-04-07T00:00:00"/>
    <n v="4"/>
    <s v="2014-Apr"/>
    <n v="4"/>
    <s v="IT-LQA-AT"/>
    <x v="4"/>
    <m/>
    <s v="NM"/>
    <s v="DBS"/>
    <x v="0"/>
    <s v="NMDBS_TLSTR_4.0.1.0.4.300b1"/>
    <s v="CMTeam"/>
    <s v="Gautam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Deshraj"/>
    <x v="0"/>
    <s v=""/>
    <x v="0"/>
    <x v="0"/>
  </r>
  <r>
    <d v="2014-04-07T00:00:00"/>
    <d v="2014-04-07T00:00:00"/>
    <n v="4"/>
    <s v="2014-Apr"/>
    <n v="4"/>
    <s v="IT-LQA"/>
    <x v="1"/>
    <m/>
    <s v="NM"/>
    <s v="DBS"/>
    <x v="0"/>
    <s v="NMDBS_4.6.1.18b1"/>
    <s v="CMTeam"/>
    <s v="surender Kumar"/>
    <s v="\\192.168.3.3\Share\Releases\Product\Netmind_4.6\Build&amp;Release\ReleaseForIT\TestBuild_4.6.1\Build4\ServerCD\DBS\Setup"/>
    <m/>
    <s v="\\192.168.3.3\Share\Releases\Product\Netmind_4.6\Build&amp;Release\ReleaseForTest\TestBuild_4.6.1\Build4\ServerCD\DBS\Setup"/>
    <s v="Pass"/>
    <m/>
    <m/>
    <m/>
    <m/>
    <m/>
    <x v="0"/>
    <s v=""/>
    <x v="0"/>
    <x v="0"/>
  </r>
  <r>
    <d v="2014-04-07T00:00:00"/>
    <d v="2014-04-07T00:00:00"/>
    <n v="4"/>
    <s v="2014-Apr"/>
    <n v="4"/>
    <s v="IT-LQA"/>
    <x v="0"/>
    <m/>
    <s v="RT"/>
    <s v="DBS"/>
    <x v="0"/>
    <s v="RTDBS_SLT_3.0.0.20.1.4b3"/>
    <s v="CMTeam"/>
    <s v="Manisha Srivastava"/>
    <s v="\\192.168.3.3\Share\Releases\Projects\SLT\Release_For_IT\Test_Build_1.0.0.4\Server CD\DBS\Setup "/>
    <s v="Obsolete-LQA"/>
    <s v="\\192.168.3.3\Share\Releases\Projects\SLT\Release_For_LQA\Test_Build_1.0.0.21\Server CD\DBS\Setup"/>
    <m/>
    <m/>
    <m/>
    <m/>
    <m/>
    <m/>
    <x v="2"/>
    <d v="2014-04-07T00:00:00"/>
    <x v="18"/>
    <x v="1"/>
  </r>
  <r>
    <d v="2014-04-07T00:00:00"/>
    <d v="2014-04-07T00:00:00"/>
    <n v="4"/>
    <s v="2014-Apr"/>
    <n v="4"/>
    <s v="IT-LQA"/>
    <x v="0"/>
    <m/>
    <s v="RT"/>
    <s v="DBS"/>
    <x v="0"/>
    <s v="RTDBS_SLT_3.0.0.20.1.5b3"/>
    <s v="CMTeam"/>
    <s v="Manisha Srivastava"/>
    <s v="\\192.168.3.3\Share\Releases\Projects\SLT\Release_For_IT\Test_Build_1.0.0.4\Server CD\DBS\Setup "/>
    <s v="Obsolete-LQA"/>
    <s v="\\192.168.3.3\Share\Releases\Projects\SLT\Release_For_LQA\Test_Build_1.0.0.21\Server CD\DBS\Setup"/>
    <m/>
    <m/>
    <m/>
    <m/>
    <m/>
    <m/>
    <x v="2"/>
    <d v="2014-04-07T00:00:00"/>
    <x v="18"/>
    <x v="1"/>
  </r>
  <r>
    <d v="2014-04-07T00:00:00"/>
    <d v="2014-04-07T00:00:00"/>
    <n v="4"/>
    <s v="2014-Apr"/>
    <n v="4"/>
    <s v="LQA"/>
    <x v="1"/>
    <m/>
    <s v="WWFS"/>
    <s v="GUI"/>
    <x v="1"/>
    <s v="WWFSGUI_2.1.23b2"/>
    <s v="CMTeam"/>
    <s v="Ratnesh Singh"/>
    <m/>
    <m/>
    <s v="\\192.168.3.3\Share\Releases\Product\WEB_WFS\Build&amp;Release\Release For Test\TestBuild_2.1.23\Build1\ServerCD\GUI\Setup"/>
    <m/>
    <m/>
    <m/>
    <m/>
    <m/>
    <m/>
    <x v="1"/>
    <s v=""/>
    <x v="0"/>
    <x v="0"/>
  </r>
  <r>
    <d v="2014-04-09T00:00:00"/>
    <d v="2014-04-09T00:00:00"/>
    <n v="4"/>
    <s v="2014-Apr"/>
    <n v="4"/>
    <s v="LQA"/>
    <x v="1"/>
    <m/>
    <s v="WWCS"/>
    <s v="GUI"/>
    <x v="1"/>
    <s v="WWCSGUI_2.1.16b4"/>
    <s v="CMTeam"/>
    <s v="Ratnesh Singh"/>
    <m/>
    <m/>
    <s v="\\192.168.3.3\Share\Releases\Product\WEB_CS\Build&amp;Release\Release For Test\TestBuild_2.1.16\Build3\ServerCD\GUI\Setup"/>
    <m/>
    <m/>
    <m/>
    <m/>
    <m/>
    <m/>
    <x v="1"/>
    <s v=""/>
    <x v="0"/>
    <x v="0"/>
  </r>
  <r>
    <d v="2014-04-09T00:00:00"/>
    <d v="2014-04-09T00:00:00"/>
    <n v="4"/>
    <s v="2014-Apr"/>
    <n v="4"/>
    <s v="IT-LQA"/>
    <x v="10"/>
    <m/>
    <s v="Utility"/>
    <s v="Utility"/>
    <x v="1"/>
    <s v="NMUTLMIG4_COM_1.0.0.0.1"/>
    <s v="CMTeam"/>
    <s v="Sachin Srivastva"/>
    <s v="\\192.168.3.3\Share\Releases\Projects\Comcast\Release_For_IT\Test_Build_4.6.1\Utility\Setup"/>
    <s v="Obsolete-LQA"/>
    <s v="\\192.168.3.3\Share\Releases\Projects\Comcast\Release_for_Test\Test_Build_4.6.1\Utility\Setup"/>
    <m/>
    <m/>
    <m/>
    <m/>
    <m/>
    <m/>
    <x v="2"/>
    <d v="2014-04-09T00:00:00"/>
    <x v="18"/>
    <x v="1"/>
  </r>
  <r>
    <d v="2014-04-09T00:00:00"/>
    <d v="2014-04-11T00:00:00"/>
    <n v="4"/>
    <s v="2014-Apr"/>
    <n v="4"/>
    <s v="IT-LQA"/>
    <x v="10"/>
    <m/>
    <s v="RT"/>
    <s v="DBS"/>
    <x v="0"/>
    <s v="RTDBS_COM_4.0.1.17.1"/>
    <s v="CMTeam"/>
    <s v="Rohit Kanwar"/>
    <s v="\\192.168.3.3\Share\Releases\Projects\COM\Release_For_IT\TestBuild_1.0.0.1\Server CD\DBS\Setup"/>
    <m/>
    <s v="\\192.168.3.3\Share\Releases\Projects\COM\Release_For_Test\Test_Build_1.0.0.1\Server CD\DBS\Setup"/>
    <m/>
    <m/>
    <m/>
    <m/>
    <m/>
    <m/>
    <x v="1"/>
    <s v=""/>
    <x v="0"/>
    <x v="0"/>
  </r>
  <r>
    <d v="2014-04-09T00:00:00"/>
    <m/>
    <n v="4"/>
    <s v="2014-Apr"/>
    <s v="False"/>
    <s v="IT"/>
    <x v="1"/>
    <m/>
    <s v="RE"/>
    <s v="DBS"/>
    <x v="0"/>
    <s v="REDBS_1.0.1.22b1"/>
    <s v="CMTeam"/>
    <s v="Shiv Mangal"/>
    <s v="\\192.168.3.3\Share\Releases\Product\RE_1.0\ReleaseForIT\TestBuild_1.0.1\DBS\Build4\Setup"/>
    <s v="Obsolete-LQA"/>
    <m/>
    <m/>
    <m/>
    <m/>
    <m/>
    <m/>
    <m/>
    <x v="2"/>
    <d v="1899-12-30T00:00:00"/>
    <x v="5"/>
    <x v="3"/>
  </r>
  <r>
    <d v="2014-04-09T00:00:00"/>
    <d v="2014-04-09T00:00:00"/>
    <n v="4"/>
    <s v="2014-Apr"/>
    <n v="4"/>
    <s v="LQA"/>
    <x v="1"/>
    <m/>
    <s v="NM"/>
    <s v="DBS"/>
    <x v="1"/>
    <s v="NMDBS_4.7.1b4"/>
    <s v="CMTeam"/>
    <s v="surender Kumar"/>
    <m/>
    <m/>
    <s v="\\192.168.3.3\Share\Releases\Product\Netmind_4.7\Build&amp;Release\Release_For_LQA\Test_Build_1.0.1\Server CD\DBS\Setup"/>
    <m/>
    <m/>
    <m/>
    <m/>
    <m/>
    <m/>
    <x v="1"/>
    <s v=""/>
    <x v="0"/>
    <x v="0"/>
  </r>
  <r>
    <d v="2014-04-09T00:00:00"/>
    <d v="2014-04-09T00:00:00"/>
    <n v="4"/>
    <s v="2014-Apr"/>
    <n v="4"/>
    <s v="LQA"/>
    <x v="1"/>
    <m/>
    <s v="RA"/>
    <s v="CS"/>
    <x v="0"/>
    <s v="RACS_2.5.6.1b1"/>
    <s v="CMTeam"/>
    <s v="Alok Bagwale"/>
    <m/>
    <s v="Obsolete-LQA"/>
    <s v="\\192.168.3.3\Share\Releases\Product\RevMind_2.1\Build&amp;Release\Release_For_LQA\Test_Build_1.0.2\Server CD\GUI\CS\Setup"/>
    <m/>
    <m/>
    <m/>
    <m/>
    <m/>
    <m/>
    <x v="2"/>
    <d v="2014-04-09T00:00:00"/>
    <x v="18"/>
    <x v="1"/>
  </r>
  <r>
    <d v="2014-04-09T00:00:00"/>
    <d v="2014-04-09T00:00:00"/>
    <n v="4"/>
    <s v="2014-Apr"/>
    <n v="4"/>
    <s v="IT-LQA"/>
    <x v="1"/>
    <m/>
    <s v="RA"/>
    <s v="DBS"/>
    <x v="0"/>
    <s v="RADBS_2.1.1.4b1"/>
    <s v="CMTeam"/>
    <s v="Anand Kumar Ojha"/>
    <s v="\\192.168.3.3\Share\Releases\Product\RevMind_2.1\Build&amp;Release\Release_For_IT\TestBuild_1.0.1\Server CD\DBS\Setup"/>
    <m/>
    <s v="\\192.168.3.3\Share\Releases\Product\RevMind_2.1\Build&amp;Release\Release_For_LQA\Test_Build_1.0.2\Server CD\DBS\Setup"/>
    <s v="Pass"/>
    <m/>
    <m/>
    <m/>
    <m/>
    <m/>
    <x v="0"/>
    <s v=""/>
    <x v="0"/>
    <x v="0"/>
  </r>
  <r>
    <d v="2014-04-09T00:00:00"/>
    <d v="2014-04-09T00:00:00"/>
    <n v="4"/>
    <s v="2014-Apr"/>
    <n v="4"/>
    <s v="LQA"/>
    <x v="10"/>
    <m/>
    <s v="WWCS"/>
    <s v="GUI"/>
    <x v="1"/>
    <s v="WWCSGUI_COM_2.1.16.0.1"/>
    <s v="CMTeam"/>
    <s v="Ratnesh Singh"/>
    <m/>
    <m/>
    <s v="\\192.168.3.3\Share\Releases\Projects\Comcast\Release_for_Test\Test_Build_4.6.2\Server CD\GUI\Setup"/>
    <m/>
    <m/>
    <m/>
    <m/>
    <m/>
    <m/>
    <x v="1"/>
    <s v=""/>
    <x v="0"/>
    <x v="0"/>
  </r>
  <r>
    <d v="2014-04-09T00:00:00"/>
    <d v="2014-04-09T00:00:00"/>
    <n v="4"/>
    <s v="2014-Apr"/>
    <n v="4"/>
    <s v="IT-LQA"/>
    <x v="0"/>
    <m/>
    <s v="DM"/>
    <s v="DBS"/>
    <x v="0"/>
    <s v="DMDBS_SLT_2.0.0.20.1.117b1 "/>
    <s v="CMTeam"/>
    <s v="Raja Sarkar"/>
    <s v="\\192.168.3.3\Share\Releases\Projects\SLT\Release_For_LQA\Test_Build_1.0.0.21\Server CD\DBS\Setup"/>
    <m/>
    <s v="\\192.168.3.3\Share\Releases\Projects\SLT\Release_For_IT\Test_Build_1.0.0.4\Server CD\DBS\Setup"/>
    <s v="Pass"/>
    <m/>
    <m/>
    <m/>
    <m/>
    <m/>
    <x v="0"/>
    <s v=""/>
    <x v="0"/>
    <x v="0"/>
  </r>
  <r>
    <d v="2014-04-09T00:00:00"/>
    <d v="2014-04-09T00:00:00"/>
    <n v="4"/>
    <s v="2014-Apr"/>
    <n v="4"/>
    <s v="LQA"/>
    <x v="10"/>
    <m/>
    <s v="WWFS"/>
    <s v="GUI"/>
    <x v="1"/>
    <s v="WWFSGUI_COM_2.1.23.0.1"/>
    <s v="CMTeam"/>
    <s v="Ratnesh Singh"/>
    <m/>
    <m/>
    <s v="\\192.168.3.3\Share\Releases\Projects\Comcast\Release_for_Test\Test_Build_4.6.2\Server CD\GUI\Setup"/>
    <m/>
    <s v="Readme Re-Released"/>
    <m/>
    <m/>
    <m/>
    <m/>
    <x v="1"/>
    <s v=""/>
    <x v="0"/>
    <x v="0"/>
  </r>
  <r>
    <d v="2014-04-11T00:00:00"/>
    <d v="2014-04-11T00:00:00"/>
    <n v="4"/>
    <s v="2014-Apr"/>
    <n v="4"/>
    <s v="IT-LQA"/>
    <x v="0"/>
    <m/>
    <s v="DM"/>
    <s v="DBS"/>
    <x v="0"/>
    <s v="DMDBS_SLT_2.0.0.20.1.119b1"/>
    <s v="CMTeam"/>
    <s v="Manisha Srivastava"/>
    <s v="\\192.168.3.3\Share\Releases\Projects\SLT\Release_For_IT\Test_Build_1.0.0.4\Server CD\DBS\Setup"/>
    <m/>
    <s v="\\192.168.3.3\Share\Releases\Projects\SLT\Release_For_LQA\Test_Build_1.0.0.21\Server CD\DBS\Setup"/>
    <s v="Pass"/>
    <m/>
    <m/>
    <m/>
    <m/>
    <m/>
    <x v="0"/>
    <s v=""/>
    <x v="0"/>
    <x v="0"/>
  </r>
  <r>
    <d v="2014-04-11T00:00:00"/>
    <d v="2014-04-11T00:00:00"/>
    <n v="4"/>
    <s v="2014-Apr"/>
    <n v="4"/>
    <s v="IT-LQA"/>
    <x v="0"/>
    <m/>
    <s v="RT"/>
    <s v="DBS"/>
    <x v="0"/>
    <s v="RTDBS_SLT_3.0.0.20.1.6b1"/>
    <s v="CMTeam"/>
    <s v="Chander Kanta"/>
    <s v="\\192.168.3.3\Share\Releases\Projects\SLT\Release_For_IT\Test_Build_1.0.0.4\Server CD\DBS\Setup "/>
    <m/>
    <s v="\\192.168.3.3\Share\Releases\Projects\SLT\Release_For_LQA\Test_Build_1.0.0.21\Server CD\DBS\Setup"/>
    <s v="Pass"/>
    <s v="Readme Re-Released"/>
    <m/>
    <m/>
    <m/>
    <m/>
    <x v="0"/>
    <s v=""/>
    <x v="0"/>
    <x v="0"/>
  </r>
  <r>
    <d v="2014-04-11T00:00:00"/>
    <d v="2014-04-11T00:00:00"/>
    <n v="4"/>
    <s v="2014-Apr"/>
    <n v="4"/>
    <s v="IT-LQA"/>
    <x v="0"/>
    <m/>
    <s v="RT"/>
    <s v="DBS"/>
    <x v="0"/>
    <s v="RTDBS_SLT_3.0.0.20.1.7b1"/>
    <s v="CMTeam"/>
    <s v="Chander Kanta"/>
    <s v="\\192.168.3.3\Share\Releases\Projects\SLT\Release_For_IT\Test_Build_1.0.0.4\Server CD\DBS\Setup "/>
    <m/>
    <s v="\\192.168.3.3\Share\Releases\Projects\SLT\Release_For_LQA\Test_Build_1.0.0.21\Server CD\DBS\Setup"/>
    <s v="Pass"/>
    <m/>
    <m/>
    <m/>
    <m/>
    <m/>
    <x v="0"/>
    <s v=""/>
    <x v="0"/>
    <x v="0"/>
  </r>
  <r>
    <d v="2014-04-11T00:00:00"/>
    <d v="2014-04-11T00:00:00"/>
    <n v="4"/>
    <s v="2014-Apr"/>
    <n v="4"/>
    <s v="IT-LQA"/>
    <x v="10"/>
    <m/>
    <s v="RT"/>
    <s v="DBS"/>
    <x v="0"/>
    <s v="RTDBS_COM_4.0.1.17.1.1b1"/>
    <s v="CMTeam"/>
    <s v="Rohit Kanwar"/>
    <s v="\\192.168.3.3\Share\Releases\Projects\COM\Release_For_IT\TestBuild_1.0.0.1\Server CD\DBS\Setup"/>
    <s v="Obsolete-LQA"/>
    <s v="\\192.168.3.3\Share\Releases\Projects\COM\Release_For_Test\Test_Build_1.0.0.1\Server CD\DBS\Setup"/>
    <m/>
    <m/>
    <m/>
    <m/>
    <m/>
    <m/>
    <x v="2"/>
    <d v="2014-04-11T00:00:00"/>
    <x v="18"/>
    <x v="1"/>
  </r>
  <r>
    <d v="2014-04-11T00:00:00"/>
    <d v="2014-04-11T00:00:00"/>
    <n v="4"/>
    <s v="2014-Apr"/>
    <n v="4"/>
    <s v="IT-LQA"/>
    <x v="10"/>
    <m/>
    <s v="NP"/>
    <s v="DBS"/>
    <x v="0"/>
    <s v="NPDBS_COM_1.2.3.2.1.6b1"/>
    <s v="CMTeam"/>
    <s v="Abhishek Sharma"/>
    <s v="\\192.168.3.3\Share\Releases\Projects\Comcast\Release_For_IT\Test_Build_4.6.1\Server CD\Database\Setup"/>
    <m/>
    <s v="\\192.168.3.3\Share\Releases\Projects\Comcast\Release_for_Test\Test_Build_4.6.2\Server CD\Database\Setup"/>
    <s v="Pass"/>
    <m/>
    <m/>
    <m/>
    <m/>
    <m/>
    <x v="0"/>
    <s v=""/>
    <x v="0"/>
    <x v="0"/>
  </r>
  <r>
    <d v="2014-04-11T00:00:00"/>
    <d v="2014-04-11T00:00:00"/>
    <n v="4"/>
    <s v="2014-Apr"/>
    <n v="4"/>
    <s v="LQA"/>
    <x v="4"/>
    <m/>
    <s v="MPE"/>
    <s v="MPE"/>
    <x v="0"/>
    <s v="MPE_TLSTR-2b_3.0.0.3.1.91b1"/>
    <s v="CMTeam"/>
    <s v="Sandeep Aggarwal"/>
    <m/>
    <m/>
    <s v="\\192.168.3.3\Share\Releases\Projects\Telstra-2b\Release_For_CD\Test_Build_1.0.0.1\Server CD\MPE\Setup"/>
    <m/>
    <m/>
    <m/>
    <m/>
    <m/>
    <m/>
    <x v="1"/>
    <s v=""/>
    <x v="0"/>
    <x v="0"/>
  </r>
  <r>
    <d v="2014-04-11T00:00:00"/>
    <d v="2014-04-11T00:00:00"/>
    <n v="4"/>
    <s v="2014-Apr"/>
    <n v="4"/>
    <s v="IT-LQA"/>
    <x v="10"/>
    <m/>
    <s v="NM"/>
    <s v="DBS"/>
    <x v="0"/>
    <s v="NMDBS_COM_4.6.1.16.1.10b1"/>
    <s v="CMTeam"/>
    <s v="Sumita Yadav"/>
    <s v="\\192.168.3.3\Share\Releases\Projects\Comcast\Release_For_IT\Test_Build_4.6.1\Server CD\Database\Setup"/>
    <m/>
    <s v="\\192.168.3.3\Share\Releases\Projects\Comcast\Release_for_Test\Test_Build_4.6.2\Server CD\Database\Setup"/>
    <s v="Pass"/>
    <s v="Readme Re-Released"/>
    <m/>
    <m/>
    <m/>
    <m/>
    <x v="0"/>
    <s v=""/>
    <x v="0"/>
    <x v="0"/>
  </r>
  <r>
    <d v="2014-04-11T00:00:00"/>
    <d v="2014-04-11T00:00:00"/>
    <n v="4"/>
    <s v="2014-Apr"/>
    <n v="4"/>
    <s v="LQA-FAT"/>
    <x v="0"/>
    <m/>
    <s v="MPE"/>
    <s v="MPE"/>
    <x v="0"/>
    <s v="MPE_SLT-1B_3.0.1.1.1.62b1"/>
    <s v="CMTeam"/>
    <s v="Ajay Awasthi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4-11T00:00:00"/>
    <d v="2014-04-11T00:00:00"/>
    <n v="4"/>
    <s v="2014-Apr"/>
    <n v="4"/>
    <s v="IT-LQA"/>
    <x v="10"/>
    <m/>
    <s v="NM"/>
    <s v="DBS"/>
    <x v="0"/>
    <s v="NMDBS_COM_4.6.1.16.1.11b1"/>
    <s v="CMTeam"/>
    <s v="Sumita Yadav"/>
    <s v="\\192.168.3.3\Share\Releases\Projects\Comcast\Release_For_IT\Test_Build_4.6.1\Server CD\Database\Setup"/>
    <m/>
    <s v="\\192.168.3.3\Share\Releases\Projects\Comcast\Release_for_Test\Test_Build_4.6.2\Server CD\Database\Setup"/>
    <m/>
    <m/>
    <m/>
    <m/>
    <m/>
    <m/>
    <x v="1"/>
    <s v=""/>
    <x v="0"/>
    <x v="0"/>
  </r>
  <r>
    <d v="2014-04-11T00:00:00"/>
    <d v="2014-04-11T00:00:00"/>
    <n v="4"/>
    <s v="2014-Apr"/>
    <n v="4"/>
    <s v="LQA"/>
    <x v="1"/>
    <m/>
    <s v="RA"/>
    <s v="CS"/>
    <x v="0"/>
    <s v="RACS_2.5.6.1b2"/>
    <s v="CMTeam"/>
    <s v="Alok Bagwale"/>
    <m/>
    <m/>
    <s v="\\192.168.3.3\Share\Releases\Product\RevMind_2.1\Build&amp;Release\Release_For_LQA\Test_Build_1.0.2\Server CD\GUI\CS\Setup"/>
    <m/>
    <m/>
    <m/>
    <m/>
    <m/>
    <m/>
    <x v="1"/>
    <s v=""/>
    <x v="0"/>
    <x v="0"/>
  </r>
  <r>
    <d v="2014-04-11T00:00:00"/>
    <d v="2014-04-11T00:00:00"/>
    <n v="4"/>
    <s v="2014-Apr"/>
    <n v="4"/>
    <s v="IT-LQA"/>
    <x v="1"/>
    <m/>
    <s v="NM"/>
    <s v="DBS"/>
    <x v="0"/>
    <s v="NMDBS_4.6.1.19b1"/>
    <s v="CMTeam"/>
    <s v="surender Kumar"/>
    <s v="\\192.168.3.3\Share\Releases\Product\Netmind_4.6\Build&amp;Release\ReleaseForIT\TestBuild_4.6.1\Build4\ServerCD\DBS\Setup"/>
    <m/>
    <s v="\\192.168.3.3\Share\Releases\Product\Netmind_4.6\Build&amp;Release\ReleaseForTest\TestBuild_4.6.1\Build4\ServerCD\DBS\Setup"/>
    <s v="Pass"/>
    <m/>
    <m/>
    <m/>
    <m/>
    <m/>
    <x v="0"/>
    <s v=""/>
    <x v="0"/>
    <x v="0"/>
  </r>
  <r>
    <d v="2014-04-11T00:00:00"/>
    <d v="2014-04-11T00:00:00"/>
    <n v="4"/>
    <s v="2014-Apr"/>
    <n v="4"/>
    <s v="LQA"/>
    <x v="10"/>
    <m/>
    <s v="RT"/>
    <s v="GUI"/>
    <x v="1"/>
    <s v="RTGUI_COM_4.0.22.0.1"/>
    <s v="CMTeam"/>
    <s v="Ajay Sharma"/>
    <m/>
    <m/>
    <s v="\\192.168.3.3\Share\Releases\Projects\COM\Release_For_Test\Test_Build_1.0.0.1\Server CD\GUI\Setup"/>
    <m/>
    <m/>
    <m/>
    <m/>
    <m/>
    <m/>
    <x v="1"/>
    <s v=""/>
    <x v="0"/>
    <x v="0"/>
  </r>
  <r>
    <d v="2014-04-12T00:00:00"/>
    <d v="2014-04-12T00:00:00"/>
    <n v="4"/>
    <s v="2014-Apr"/>
    <n v="4"/>
    <s v="LQA"/>
    <x v="1"/>
    <m/>
    <s v="RE"/>
    <s v="GUI"/>
    <x v="1"/>
    <s v="REGUI_1.0.9b1"/>
    <s v="CMTeam"/>
    <s v="Harmanpreet Singh"/>
    <m/>
    <m/>
    <s v="\\192.168.3.3\Share\Releases\Product\RE_1.0\ReleaseForLQA\TestBuild_1.0.1\GUI\Setup"/>
    <m/>
    <m/>
    <m/>
    <m/>
    <m/>
    <m/>
    <x v="1"/>
    <s v=""/>
    <x v="0"/>
    <x v="0"/>
  </r>
  <r>
    <d v="2014-04-14T00:00:00"/>
    <d v="2014-04-14T00:00:00"/>
    <n v="4"/>
    <s v="2014-Apr"/>
    <n v="4"/>
    <s v="IT-LQA-FAT"/>
    <x v="0"/>
    <m/>
    <s v="DM"/>
    <s v="DBS"/>
    <x v="0"/>
    <s v="DMDBS_SLT_2.0.0.20.1.118b2"/>
    <s v="CMTeam"/>
    <s v="Raja Sarkar"/>
    <s v="\\192.168.3.3\Share\Releases\Projects\SLT\Release_For_LQA\Test_Build_1.0.0.20\Server CD\DBS\Setup"/>
    <m/>
    <s v="\\192.168.3.3\Share\Releases\Projects\SLT\Release_For_LQA\Test_Build_1.0.0.22\Server CD\DBS\Setup"/>
    <s v="Pass"/>
    <s v="Readme Re-Released"/>
    <m/>
    <m/>
    <m/>
    <s v="K.V. Krishnan"/>
    <x v="0"/>
    <s v=""/>
    <x v="0"/>
    <x v="0"/>
  </r>
  <r>
    <d v="2014-04-14T00:00:00"/>
    <d v="2014-04-14T00:00:00"/>
    <n v="4"/>
    <s v="2014-Apr"/>
    <n v="4"/>
    <s v="IT-LQA-FAT"/>
    <x v="1"/>
    <m/>
    <s v="RE"/>
    <s v="DBS"/>
    <x v="0"/>
    <s v="REDBS_1.0.1.22b2 "/>
    <s v="CMTeam"/>
    <s v="Shiv Mangal"/>
    <s v="\\192.168.3.3\Share\Releases\Product\RE_1.0\ReleaseForIT\TestBuild_1.0.1\DBS\Build4\Setup"/>
    <m/>
    <s v="\\192.168.3.3\Share\Releases\Product\RE_1.0\ReleaseForLQA\TestBuild_1.0.1\DBS\Build4\Setup"/>
    <s v="Pass"/>
    <m/>
    <m/>
    <m/>
    <m/>
    <s v="Ravi Gautam"/>
    <x v="0"/>
    <s v=""/>
    <x v="0"/>
    <x v="0"/>
  </r>
  <r>
    <d v="2014-04-14T00:00:00"/>
    <d v="2014-04-14T00:00:00"/>
    <n v="4"/>
    <s v="2014-Apr"/>
    <n v="4"/>
    <s v="LQA"/>
    <x v="0"/>
    <m/>
    <s v="RE"/>
    <s v="GUI"/>
    <x v="1"/>
    <s v="REGUI_SLT_1.0.9.0.1"/>
    <s v="CMTeam"/>
    <s v="Deepak Dhiman"/>
    <m/>
    <m/>
    <s v="\\192.168.3.3\Share\Releases\Projects\SLT\Release_For_LQA\Test_Build_1.0.0.22\Server CD\GUI\Setup"/>
    <m/>
    <s v="Readme Re-Released"/>
    <m/>
    <m/>
    <m/>
    <m/>
    <x v="1"/>
    <s v=""/>
    <x v="0"/>
    <x v="0"/>
  </r>
  <r>
    <d v="2014-04-14T00:00:00"/>
    <d v="2014-04-14T00:00:00"/>
    <n v="4"/>
    <s v="2014-Apr"/>
    <n v="4"/>
    <s v="LQA-UAT"/>
    <x v="4"/>
    <m/>
    <s v="MPE"/>
    <s v="MPE"/>
    <x v="0"/>
    <s v="MPE_TLSTR-2b_3.0.0.3.1.92b1"/>
    <s v="CMTeam"/>
    <s v="Sandeep Aggarwal"/>
    <m/>
    <m/>
    <s v="\\192.168.3.3\Share\Releases\Projects\Telstra-2b\Release_For_Test\Test_Build_1.0.0.1\Server CD\MPE\Setup"/>
    <s v="Pass"/>
    <m/>
    <m/>
    <m/>
    <m/>
    <s v="Hemant Kumar Sharma"/>
    <x v="0"/>
    <s v=""/>
    <x v="0"/>
    <x v="0"/>
  </r>
  <r>
    <d v="2014-04-14T00:00:00"/>
    <d v="2014-04-14T00:00:00"/>
    <n v="4"/>
    <s v="2014-Apr"/>
    <n v="4"/>
    <s v="LQA"/>
    <x v="10"/>
    <m/>
    <s v="MPE"/>
    <s v="MPE"/>
    <x v="0"/>
    <s v="MPE_COM_3.2.5.0.2.2b1"/>
    <s v="CMTeam"/>
    <s v="Anshul Kumar"/>
    <m/>
    <s v="Obsolete-LQA"/>
    <s v="\\192.168.3.3\Share\Releases\Projects\Comcast\Release_for_Test\Test_Build_4.6.2\Server CD\MPE\Setup"/>
    <m/>
    <m/>
    <m/>
    <m/>
    <m/>
    <m/>
    <x v="2"/>
    <d v="2014-04-14T00:00:00"/>
    <x v="14"/>
    <x v="1"/>
  </r>
  <r>
    <d v="2014-04-14T00:00:00"/>
    <d v="2014-04-14T00:00:00"/>
    <n v="4"/>
    <s v="2014-Apr"/>
    <n v="4"/>
    <s v="IT-LQA"/>
    <x v="0"/>
    <m/>
    <s v="RT"/>
    <s v="DBS"/>
    <x v="0"/>
    <s v="RTDBS_SLT_3.0.0.20.1.5b4"/>
    <s v="CMTeam"/>
    <s v="Chander Kanta"/>
    <s v="\\192.168.3.3\Share\Releases\Projects\SLT\Release_For_IT\Test_Build_1.0.0.4\Server CD\DBS\Setup "/>
    <m/>
    <s v="\\192.168.3.3\Share\Releases\Projects\SLT\Release_For_LQA\Test_Build_1.0.0.22\Server CD\DBS\Setup"/>
    <s v="Pass"/>
    <m/>
    <m/>
    <m/>
    <m/>
    <s v="K.V. Krishnan"/>
    <x v="0"/>
    <s v=""/>
    <x v="0"/>
    <x v="0"/>
  </r>
  <r>
    <d v="2014-04-14T00:00:00"/>
    <d v="2014-04-14T00:00:00"/>
    <n v="4"/>
    <s v="2014-Apr"/>
    <n v="4"/>
    <s v="IT-LQA-FAT"/>
    <x v="0"/>
    <m/>
    <s v="RE"/>
    <s v="DBS"/>
    <x v="0"/>
    <s v="REDBS_SLT_1.0.1.22.1.9b1"/>
    <s v="CMTeam"/>
    <s v="Shiv Mangal"/>
    <s v="\\192.168.3.3\Share\Releases\Projects\SLT\Release_For_IT\Test_Build_1.0.0.4\Server CD\DBS\Setup"/>
    <m/>
    <s v="\\192.168.3.3\Share\Releases\Projects\SLT\Release_For_LQA\Test_Build_1.0.0.22\Server CD\DBS\Setup"/>
    <s v="Pass"/>
    <m/>
    <m/>
    <m/>
    <m/>
    <s v="Ravi Gautam"/>
    <x v="0"/>
    <s v=""/>
    <x v="0"/>
    <x v="0"/>
  </r>
  <r>
    <d v="2014-04-14T00:00:00"/>
    <d v="2014-04-14T00:00:00"/>
    <n v="4"/>
    <s v="2014-Apr"/>
    <n v="4"/>
    <s v="LQA"/>
    <x v="1"/>
    <m/>
    <s v="RA"/>
    <s v="CS"/>
    <x v="0"/>
    <s v="RACS_2.5.6.1b3"/>
    <s v="CMTeam"/>
    <s v="Alok Bagwale"/>
    <s v="\\192.168.3.3\Share\Releases\Product\RevMind_2.1\Build&amp;Release\Release_For_LQA\Test_Build_1.0.2\Server CD\GUI\CS\Setup"/>
    <m/>
    <m/>
    <m/>
    <m/>
    <m/>
    <m/>
    <m/>
    <m/>
    <x v="1"/>
    <s v=""/>
    <x v="0"/>
    <x v="0"/>
  </r>
  <r>
    <d v="2014-04-15T00:00:00"/>
    <d v="2014-04-15T00:00:00"/>
    <n v="4"/>
    <s v="2014-Apr"/>
    <n v="4"/>
    <s v="IT-LQA"/>
    <x v="10"/>
    <m/>
    <s v="RT"/>
    <s v="DBS"/>
    <x v="0"/>
    <s v="RTDBS_COM_4.0.1.17.1.1b2"/>
    <s v="CMTeam"/>
    <s v="Aditya Garg"/>
    <s v="\\192.168.3.3\Share\Releases\Projects\COM\Release_For_IT\TestBuild_1.0.0.1\Server CD\DBS\Setup"/>
    <m/>
    <s v="\\192.168.3.3\Share\Releases\Projects\COM\Release_For_Test\Test_Build_1.0.0.1\Server CD\DBS\Setup"/>
    <m/>
    <m/>
    <m/>
    <m/>
    <m/>
    <m/>
    <x v="1"/>
    <s v=""/>
    <x v="0"/>
    <x v="0"/>
  </r>
  <r>
    <d v="2014-04-15T00:00:00"/>
    <d v="2014-04-15T00:00:00"/>
    <n v="4"/>
    <s v="2014-Apr"/>
    <n v="4"/>
    <s v="LQA"/>
    <x v="1"/>
    <m/>
    <s v="WWFS"/>
    <s v="GUI"/>
    <x v="0"/>
    <s v="WWFSGUI_2.2.1b5 "/>
    <s v="CMTeam"/>
    <s v="Alok Bagwale"/>
    <m/>
    <m/>
    <s v="\\192.168.3.3\Share\Releases\Product\WEB_WFS\Build&amp;Release\Release For Test\TestBuild_2.2.1\Build4\ServerCD\GUI\Setup"/>
    <m/>
    <s v="Readme Re-Released"/>
    <m/>
    <m/>
    <m/>
    <m/>
    <x v="1"/>
    <s v=""/>
    <x v="0"/>
    <x v="0"/>
  </r>
  <r>
    <d v="2014-04-15T00:00:00"/>
    <d v="2014-04-15T00:00:00"/>
    <n v="4"/>
    <s v="2014-Apr"/>
    <n v="4"/>
    <s v="LQA-FAT"/>
    <x v="1"/>
    <m/>
    <s v="MPE"/>
    <s v="MPE"/>
    <x v="0"/>
    <s v="MPE_3.2.4.31b1"/>
    <s v="CMTeam"/>
    <s v="Harish Singh"/>
    <m/>
    <m/>
    <s v="\\192.168.3.3\Share\Releases\Product\MPE_GUI\ReleaseForLQA\TestBuild_1.0.0.2\Server CD\MPE\Setup"/>
    <s v="Pass"/>
    <m/>
    <m/>
    <m/>
    <m/>
    <s v="Pradeep Raghav"/>
    <x v="0"/>
    <s v=""/>
    <x v="0"/>
    <x v="0"/>
  </r>
  <r>
    <d v="2014-04-15T00:00:00"/>
    <d v="2014-04-15T00:00:00"/>
    <n v="4"/>
    <s v="2014-Apr"/>
    <n v="4"/>
    <s v="LQA-FAT"/>
    <x v="0"/>
    <m/>
    <s v="MPE"/>
    <s v="MPE"/>
    <x v="0"/>
    <s v="MPE_SLT-1B_3.0.1.1.1.63b1"/>
    <s v="CMTeam"/>
    <s v="Ajay Awasthi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4-16T00:00:00"/>
    <d v="2014-04-16T00:00:00"/>
    <n v="4"/>
    <s v="2014-Apr"/>
    <n v="4"/>
    <s v="IT-LQA"/>
    <x v="1"/>
    <m/>
    <s v="NM"/>
    <s v="DBS"/>
    <x v="0"/>
    <s v="NMDBS_4.6.1.20b1"/>
    <s v="CMTeam"/>
    <s v="surender Kumar"/>
    <s v="\\192.168.3.3\Share\Releases\Product\Netmind_4.6\Build&amp;Release\ReleaseForIT\TestBuild_4.6.1\Build4\ServerCD\DBS\Setup"/>
    <m/>
    <s v="\\192.168.3.3\Share\Releases\Product\Netmind_4.6\Build&amp;Release\ReleaseForTest\TestBuild_4.6.1\Build4\ServerCD\DBS\Setup"/>
    <s v="Pass"/>
    <m/>
    <m/>
    <m/>
    <m/>
    <m/>
    <x v="0"/>
    <s v=""/>
    <x v="0"/>
    <x v="0"/>
  </r>
  <r>
    <d v="2014-04-16T00:00:00"/>
    <d v="2014-04-16T00:00:00"/>
    <n v="4"/>
    <s v="2014-Apr"/>
    <n v="4"/>
    <s v="LQA"/>
    <x v="3"/>
    <m/>
    <s v="MPE"/>
    <s v="MPE"/>
    <x v="0"/>
    <s v="MPE_OBT_3.2.1.3.1.14b1"/>
    <s v="CMTeam"/>
    <s v="Neelam Jawla"/>
    <m/>
    <m/>
    <s v="\\192.168.3.3\share\Releases\Projects\OBT\Release_For_LQA\TestBuild_1.0.0.4\Server CD\MPE\Setup"/>
    <s v="Pass"/>
    <m/>
    <m/>
    <m/>
    <m/>
    <m/>
    <x v="0"/>
    <s v=""/>
    <x v="0"/>
    <x v="0"/>
  </r>
  <r>
    <d v="2014-04-16T00:00:00"/>
    <d v="2014-04-16T00:00:00"/>
    <n v="4"/>
    <s v="2014-Apr"/>
    <n v="4"/>
    <s v="IT-LQA"/>
    <x v="5"/>
    <m/>
    <s v="NM"/>
    <s v="DBS"/>
    <x v="0"/>
    <s v="NMDBS_BHN_3.5.1.54.2"/>
    <s v="CMTeam"/>
    <s v="Sachin Srivastva"/>
    <s v="\\192.168.3.3\Share\Projects\Neustar\BHN\Build&amp;Release\Release For IT\Test_Build_3.5.37\Server CD\Database\Setup"/>
    <m/>
    <s v="\\192.168.3.3\Share\Projects\Neustar\BHN\Build&amp;Release\Release For Test\Test_Build_3.5.37\Server CD\Database\Setup"/>
    <s v="Pass"/>
    <m/>
    <m/>
    <m/>
    <m/>
    <m/>
    <x v="0"/>
    <s v=""/>
    <x v="0"/>
    <x v="0"/>
  </r>
  <r>
    <d v="2014-04-16T00:00:00"/>
    <d v="2014-04-16T00:00:00"/>
    <n v="4"/>
    <s v="2014-Apr"/>
    <n v="4"/>
    <s v="IT-LQA"/>
    <x v="5"/>
    <m/>
    <s v="NM"/>
    <s v="DBS"/>
    <x v="0"/>
    <s v="NMDBS_BHN_3.5.1.55.2"/>
    <s v="CMTeam"/>
    <s v="Sachin Srivastva"/>
    <s v="\\192.168.3.3\Share\Projects\Neustar\BHN\Build&amp;Release\Release For IT\Test_Build_3.5.37\Server CD\Database\Setup"/>
    <m/>
    <s v="\\192.168.3.3\Share\Projects\Neustar\BHN\Build&amp;Release\Release For Test\Test_Build_3.5.37\Server CD\Database\Setup"/>
    <s v="Pass"/>
    <m/>
    <m/>
    <m/>
    <m/>
    <m/>
    <x v="0"/>
    <s v=""/>
    <x v="0"/>
    <x v="0"/>
  </r>
  <r>
    <d v="2014-04-16T00:00:00"/>
    <d v="2014-04-16T00:00:00"/>
    <n v="4"/>
    <s v="2014-Apr"/>
    <n v="4"/>
    <s v="IT-LQA"/>
    <x v="5"/>
    <m/>
    <s v="NM"/>
    <s v="DBS"/>
    <x v="0"/>
    <s v="NMDBS_BHN_3.5.1.58.1"/>
    <s v="CMTeam"/>
    <s v="Sachin Srivastva"/>
    <s v="\\192.168.3.3\Share\Projects\Neustar\BHN\Build&amp;Release\Release For IT\Test_Build_3.5.37\Server CD\Database\Setup"/>
    <m/>
    <s v="\\192.168.3.3\Share\Projects\Neustar\BHN\Build&amp;Release\Release For Test\Test_Build_3.5.37\Server CD\Database\Setup"/>
    <s v="Pass"/>
    <m/>
    <m/>
    <m/>
    <m/>
    <m/>
    <x v="0"/>
    <s v=""/>
    <x v="0"/>
    <x v="0"/>
  </r>
  <r>
    <d v="2014-04-16T00:00:00"/>
    <d v="2014-04-16T00:00:00"/>
    <n v="4"/>
    <s v="2014-Apr"/>
    <n v="4"/>
    <s v="IT-LQA-AT"/>
    <x v="4"/>
    <m/>
    <s v="NM"/>
    <s v="DBS"/>
    <x v="0"/>
    <s v="NMDBS_TLSTR_4.0.1.0.4.301b1"/>
    <s v="CMTeam"/>
    <s v="Gautam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Deshraj"/>
    <x v="0"/>
    <s v=""/>
    <x v="0"/>
    <x v="0"/>
  </r>
  <r>
    <d v="2014-04-16T00:00:00"/>
    <d v="2014-04-16T00:00:00"/>
    <n v="4"/>
    <s v="2014-Apr"/>
    <n v="4"/>
    <s v="IT-LQA"/>
    <x v="10"/>
    <m/>
    <s v="NP"/>
    <s v="DBS"/>
    <x v="0"/>
    <s v="NPDBS_COM_1.2.3.2.1.7b1"/>
    <s v="CMTeam"/>
    <s v="Sumita Yadav"/>
    <s v="\\192.168.3.3\Share\Releases\Projects\Comcast\Release_For_IT\Test_Build_4.6.1\Server CD\Database\Setup"/>
    <m/>
    <s v="\\192.168.3.3\Share\Releases\Projects\Comcast\Release_for_Test\Test_Build_4.6.2\Server CD\Database\Setup"/>
    <s v="Pass"/>
    <s v="Readme Re-Released"/>
    <m/>
    <m/>
    <m/>
    <m/>
    <x v="0"/>
    <s v=""/>
    <x v="0"/>
    <x v="0"/>
  </r>
  <r>
    <d v="2014-04-16T00:00:00"/>
    <d v="2014-04-16T00:00:00"/>
    <n v="4"/>
    <s v="2014-Apr"/>
    <n v="4"/>
    <s v="IT-LQA"/>
    <x v="10"/>
    <m/>
    <s v="NM"/>
    <s v="DBS"/>
    <x v="0"/>
    <s v="NMDBS_COM_4.6.1.20.1.12b1"/>
    <s v="CMTeam"/>
    <s v="Sumita Yadav"/>
    <s v="\\192.168.3.3\Share\Releases\Projects\Comcast\Release_For_IT\Test_Build_4.6.1\Server CD\Database\Setup"/>
    <s v="Obsolete-LQA"/>
    <s v="\\192.168.3.3\Share\Releases\Projects\Comcast\Release_for_Test\Test_Build_4.6.2\Server CD\Database\Setup"/>
    <m/>
    <m/>
    <m/>
    <m/>
    <m/>
    <m/>
    <x v="2"/>
    <d v="2014-04-16T00:00:00"/>
    <x v="14"/>
    <x v="1"/>
  </r>
  <r>
    <d v="2014-04-17T00:00:00"/>
    <d v="2014-04-17T00:00:00"/>
    <n v="4"/>
    <s v="2014-Apr"/>
    <n v="4"/>
    <s v="LQA-FAT"/>
    <x v="0"/>
    <m/>
    <s v="Utility"/>
    <s v="Utility"/>
    <x v="0"/>
    <s v="UTLSEQM_SLT-1B_1.0.0.0.5.4b1"/>
    <s v="CMTeam"/>
    <s v="Muktesh Mukul"/>
    <m/>
    <m/>
    <s v="\\192.168.3.3\Share\Releases\Projects\SLT-1B\Release_For_Test\Test_Build_1.0.0.1\Utility\MPE\Setup"/>
    <s v="Pass"/>
    <m/>
    <m/>
    <m/>
    <m/>
    <s v="K.V. Krishnan"/>
    <x v="0"/>
    <s v=""/>
    <x v="0"/>
    <x v="0"/>
  </r>
  <r>
    <d v="2014-04-17T00:00:00"/>
    <d v="2014-04-17T00:00:00"/>
    <n v="4"/>
    <s v="2014-Apr"/>
    <n v="4"/>
    <s v="LQA-UAT"/>
    <x v="4"/>
    <m/>
    <s v="MPE"/>
    <s v="MPE"/>
    <x v="0"/>
    <s v="MPE_TLSTR-2b_3.0.0.3.1.93b1-"/>
    <s v="CMTeam"/>
    <s v="Sandeep Aggarwal"/>
    <m/>
    <m/>
    <s v="\\192.168.3.3\Share\Releases\Projects\Telstra-2b\Release_For_Test\Test_Build_1.0.0.1\Server CD\MPE\Setup"/>
    <s v="Pass"/>
    <s v="Readme Re-Released"/>
    <m/>
    <m/>
    <m/>
    <s v="Hemant Kumar Sharma"/>
    <x v="0"/>
    <s v=""/>
    <x v="0"/>
    <x v="0"/>
  </r>
  <r>
    <d v="2014-04-17T00:00:00"/>
    <d v="2014-04-17T00:00:00"/>
    <n v="4"/>
    <s v="2014-Apr"/>
    <n v="4"/>
    <s v="LQA-FAT"/>
    <x v="0"/>
    <m/>
    <s v="MPE"/>
    <s v="MPE"/>
    <x v="0"/>
    <s v="MPE_SLT-1B_3.0.1.1.1.64b1"/>
    <s v="CMTeam"/>
    <s v="Ajay Awasthi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4-17T00:00:00"/>
    <d v="2014-04-17T00:00:00"/>
    <n v="4"/>
    <s v="2014-Apr"/>
    <n v="4"/>
    <s v="IT-LQA"/>
    <x v="10"/>
    <m/>
    <s v="NM"/>
    <s v="DBS"/>
    <x v="0"/>
    <s v="NMDBS_COM_4.6.1.20.1.12b2"/>
    <s v="CMTeam"/>
    <s v="Sumita Yadav"/>
    <s v="\\192.168.3.3\Share\Releases\Projects\Comcast\Release_For_IT\Test_Build_4.6.1\Server CD\Database\Setup"/>
    <m/>
    <s v="\\192.168.3.3\Share\Releases\Projects\Comcast\Release_for_Test\Test_Build_4.6.2\Server CD\Database\Setup"/>
    <s v="Pass"/>
    <s v="Readme Re-Released"/>
    <m/>
    <m/>
    <m/>
    <m/>
    <x v="0"/>
    <s v=""/>
    <x v="0"/>
    <x v="0"/>
  </r>
  <r>
    <d v="2014-04-17T00:00:00"/>
    <d v="2014-04-17T00:00:00"/>
    <n v="4"/>
    <s v="2014-Apr"/>
    <n v="4"/>
    <s v="LQA"/>
    <x v="1"/>
    <m/>
    <s v="WWCS"/>
    <s v="GUI"/>
    <x v="1"/>
    <s v="WWCSGUI_2.1.17"/>
    <s v="CMTeam"/>
    <s v="Rajeev Kumar"/>
    <m/>
    <m/>
    <s v="\\192.168.3.3\Share\Releases\Product\WEB_CS\Build&amp;Release\Release For Test\TestBuild_2.1.17\ServerCD\GUI\Setup"/>
    <m/>
    <m/>
    <m/>
    <m/>
    <m/>
    <m/>
    <x v="1"/>
    <s v=""/>
    <x v="0"/>
    <x v="0"/>
  </r>
  <r>
    <d v="2014-04-17T00:00:00"/>
    <d v="2014-04-17T00:00:00"/>
    <n v="4"/>
    <s v="2014-Apr"/>
    <n v="4"/>
    <s v="IT-LQA"/>
    <x v="10"/>
    <m/>
    <s v="NM"/>
    <s v="DBS"/>
    <x v="0"/>
    <s v="NMDBS_COM_4.6.1.20.1.13b1"/>
    <s v="CMTeam"/>
    <s v="Sachin Srivastva"/>
    <s v="\\192.168.3.3\Share\Releases\Projects\Comcast\Release_For_IT\Test_Build_4.6.1\Server CD\Database\Setup"/>
    <m/>
    <s v="\\192.168.3.3\Share\Releases\Projects\Comcast\Release_for_Test\Test_Build_4.6.2\Server CD\Database\Setup"/>
    <s v="Pass"/>
    <m/>
    <m/>
    <m/>
    <m/>
    <m/>
    <x v="0"/>
    <s v=""/>
    <x v="0"/>
    <x v="0"/>
  </r>
  <r>
    <d v="2014-04-17T00:00:00"/>
    <d v="2014-04-17T00:00:00"/>
    <n v="4"/>
    <s v="2014-Apr"/>
    <n v="4"/>
    <s v="LQA"/>
    <x v="1"/>
    <m/>
    <s v="WWFS"/>
    <s v="GUI"/>
    <x v="1"/>
    <s v="WWFSGUI_2.1.24b1"/>
    <s v="CMTeam"/>
    <s v="Rajeev Kumar"/>
    <m/>
    <m/>
    <s v="\\192.168.3.3\Share\Releases\Product\WEB_WFS\Build&amp;Release\Release For Test\TestBuild_2.1.24\ServerCD\GUI\Setup"/>
    <m/>
    <m/>
    <m/>
    <m/>
    <m/>
    <m/>
    <x v="1"/>
    <s v=""/>
    <x v="0"/>
    <x v="0"/>
  </r>
  <r>
    <d v="2014-04-18T00:00:00"/>
    <d v="2014-04-18T00:00:00"/>
    <n v="4"/>
    <s v="2014-Apr"/>
    <n v="4"/>
    <s v="LQA-FAT"/>
    <x v="0"/>
    <m/>
    <s v="MPE"/>
    <s v="MPE"/>
    <x v="0"/>
    <s v="MPE_SLT-1B_3.0.1.1.1.65b1"/>
    <s v="CMTeam"/>
    <s v="Muktesh Mukul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4-18T00:00:00"/>
    <d v="2014-04-18T00:00:00"/>
    <n v="4"/>
    <s v="2014-Apr"/>
    <n v="4"/>
    <s v="IT-LQA-FAT"/>
    <x v="0"/>
    <m/>
    <s v="DM"/>
    <s v="DBS"/>
    <x v="0"/>
    <s v="DMDBS_SLT_2.0.0.20.1.121b1"/>
    <s v="CMTeam"/>
    <s v="Raja Sarkar"/>
    <s v="\\192.168.3.3\Share\Releases\Projects\SLT\Release_For_IT\Test_Build_1.0.0.4\Server CD\DBS\Setup"/>
    <m/>
    <s v="\\192.168.3.3\Share\Releases\Projects\SLT\Release_For_LQA\Test_Build_1.0.0.22\Server CD\DBS\Setup"/>
    <s v="Pass"/>
    <s v="Readme Re-Released"/>
    <m/>
    <m/>
    <m/>
    <s v="K.V. Krishnan"/>
    <x v="0"/>
    <s v=""/>
    <x v="0"/>
    <x v="0"/>
  </r>
  <r>
    <d v="2014-04-18T00:00:00"/>
    <d v="2014-04-18T00:00:00"/>
    <n v="4"/>
    <s v="2014-Apr"/>
    <n v="4"/>
    <s v="IT-LQA"/>
    <x v="4"/>
    <m/>
    <s v="NM"/>
    <s v="DBS"/>
    <x v="0"/>
    <s v="NMDBS_TLSTR_4.0.1.0.4.302b1"/>
    <s v="CMTeam"/>
    <s v="Deepak Yadav"/>
    <s v="\\192.168.3.3\Share\Releases\Projects\Telstra\Release_For_IT\Test_Build_1.0.0.18\Server CD\DBS\Setup"/>
    <s v="Obsolete-LQA"/>
    <s v="\\192.168.3.3\Share\Releases\Projects\Telstra\Release_For_LQA\Test_Build_1.0.0.18\Server CD\DBS\Setup"/>
    <m/>
    <m/>
    <m/>
    <m/>
    <m/>
    <m/>
    <x v="2"/>
    <d v="2014-04-18T00:00:00"/>
    <x v="14"/>
    <x v="1"/>
  </r>
  <r>
    <d v="2014-04-18T00:00:00"/>
    <d v="2014-04-18T00:00:00"/>
    <n v="4"/>
    <s v="2014-Apr"/>
    <n v="4"/>
    <s v="IT-LQA"/>
    <x v="10"/>
    <m/>
    <s v="NM"/>
    <s v="DBS"/>
    <x v="0"/>
    <s v="NMDBS_COM_4.6.1.20.1.14b1"/>
    <s v="CMTeam"/>
    <s v="Sachin Srivastva"/>
    <s v="\\192.168.3.3\Share\Releases\Projects\Comcast\Release_For_IT\Test_Build_4.6.1\Server CD\Database\Setup"/>
    <m/>
    <s v="\\192.168.3.3\Share\Releases\Projects\Comcast\Release_for_Test\Test_Build_4.6.2\Server CD\Database\Setup"/>
    <s v="Pass"/>
    <m/>
    <m/>
    <m/>
    <m/>
    <m/>
    <x v="0"/>
    <s v=""/>
    <x v="0"/>
    <x v="0"/>
  </r>
  <r>
    <d v="2014-04-18T00:00:00"/>
    <d v="2014-04-18T00:00:00"/>
    <n v="4"/>
    <s v="2014-Apr"/>
    <n v="4"/>
    <s v="IT-LQA"/>
    <x v="10"/>
    <m/>
    <s v="NM"/>
    <s v="DBS"/>
    <x v="0"/>
    <s v="NMDBS_COM_4.6.1.20.1.15b1"/>
    <s v="CMTeam"/>
    <s v="Sachin Srivastva"/>
    <s v="\\192.168.3.3\Share\Releases\Projects\Comcast\Release_For_IT\Test_Build_4.6.1\Server CD\Database\Setup"/>
    <m/>
    <s v="\\192.168.3.3\Share\Releases\Projects\Comcast\Release_for_Test\Test_Build_4.6.2\Server CD\Database\Setup"/>
    <m/>
    <m/>
    <m/>
    <m/>
    <m/>
    <m/>
    <x v="1"/>
    <s v=""/>
    <x v="0"/>
    <x v="0"/>
  </r>
  <r>
    <d v="2014-04-18T00:00:00"/>
    <d v="2014-04-18T00:00:00"/>
    <n v="4"/>
    <s v="2014-Apr"/>
    <n v="4"/>
    <s v="IT-LQA-FAT"/>
    <x v="0"/>
    <m/>
    <s v="DM"/>
    <s v="DBS"/>
    <x v="0"/>
    <s v="DMDBS_SLT_2.0.0.20.1.122b1"/>
    <s v="CMTeam"/>
    <s v="Raja Sarkar"/>
    <s v="\\192.168.3.3\Share\Releases\Projects\SLT\Release_For_IT\Test_Build_1.0.0.4\Server CD\DBS\Setup"/>
    <m/>
    <s v="\\192.168.3.3\Share\Releases\Projects\SLT\Release_For_LQA\Test_Build_1.0.0.22\Server CD\DBS\Setup"/>
    <s v="Pass"/>
    <m/>
    <m/>
    <m/>
    <m/>
    <s v="K.V. Krishnan"/>
    <x v="0"/>
    <s v=""/>
    <x v="0"/>
    <x v="0"/>
  </r>
  <r>
    <d v="2014-04-18T00:00:00"/>
    <d v="2014-04-18T00:00:00"/>
    <n v="4"/>
    <s v="2014-Apr"/>
    <n v="4"/>
    <s v="LQA"/>
    <x v="10"/>
    <m/>
    <s v="WWCS"/>
    <s v="GUI"/>
    <x v="1"/>
    <s v="WWCSGUI_COM_2.1.17.0.1"/>
    <s v="CMTeam"/>
    <s v="Sumit Dalal "/>
    <m/>
    <m/>
    <s v="\\192.168.3.3\Share\Releases\Projects\Comcast\Release_for_Test\Test_Build_4.6.3\Server CD\GUI\Setup"/>
    <m/>
    <m/>
    <m/>
    <m/>
    <m/>
    <m/>
    <x v="1"/>
    <s v=""/>
    <x v="0"/>
    <x v="0"/>
  </r>
  <r>
    <d v="2014-04-18T00:00:00"/>
    <d v="2014-04-18T00:00:00"/>
    <n v="4"/>
    <s v="2014-Apr"/>
    <n v="4"/>
    <s v="LQA"/>
    <x v="10"/>
    <m/>
    <s v="WWFS"/>
    <s v="GUI"/>
    <x v="1"/>
    <s v="WWFSGUI_COM_2.1.24.0.1"/>
    <s v="CMTeam"/>
    <s v="Sumit Dalal "/>
    <m/>
    <m/>
    <s v="\\192.168.3.3\Share\Releases\Projects\Comcast\Release_for_Test\Test_Build_4.6.3\Server CD\GUI\Setup"/>
    <m/>
    <s v="Readme Re-Released"/>
    <m/>
    <m/>
    <m/>
    <m/>
    <x v="1"/>
    <s v=""/>
    <x v="0"/>
    <x v="0"/>
  </r>
  <r>
    <d v="2014-04-21T00:00:00"/>
    <d v="2014-04-21T00:00:00"/>
    <n v="4"/>
    <s v="2014-Apr"/>
    <n v="4"/>
    <s v="IT-LQA"/>
    <x v="10"/>
    <m/>
    <s v="NM"/>
    <s v="DBS"/>
    <x v="0"/>
    <s v="NMDBS_COM_4.6.1.20.1.16b1"/>
    <s v="CMTeam"/>
    <s v="Sachin Srivastva"/>
    <s v="\\192.168.3.3\Share\Releases\Projects\Comcast\Release_For_IT\Test_Build_4.6.1\Server CD\Database\Setup"/>
    <m/>
    <s v="\\192.168.3.3\Share\Releases\Projects\Comcast\Release_for_Test\Test_Build_4.6.3\Server CD\Database\Setup"/>
    <s v="Pass"/>
    <s v="Readme Re-Released"/>
    <m/>
    <m/>
    <m/>
    <m/>
    <x v="0"/>
    <s v=""/>
    <x v="0"/>
    <x v="0"/>
  </r>
  <r>
    <d v="2014-04-21T00:00:00"/>
    <d v="2014-04-21T00:00:00"/>
    <n v="4"/>
    <s v="2014-Apr"/>
    <n v="4"/>
    <s v="LQA"/>
    <x v="10"/>
    <m/>
    <s v="MPE"/>
    <s v="MPE"/>
    <x v="0"/>
    <s v="MPE_COM_3.2.5.0.2.2b2"/>
    <s v="CMTeam"/>
    <s v="Ankit Jain"/>
    <m/>
    <m/>
    <s v="\\192.168.3.3\Share\Releases\Projects\Comcast\Release_for_Test\Test_Build_4.6.3\Server CD\MPE\Setup"/>
    <m/>
    <m/>
    <m/>
    <m/>
    <m/>
    <m/>
    <x v="1"/>
    <s v=""/>
    <x v="0"/>
    <x v="0"/>
  </r>
  <r>
    <d v="2014-04-21T00:00:00"/>
    <d v="2014-04-21T00:00:00"/>
    <n v="4"/>
    <s v="2014-Apr"/>
    <n v="4"/>
    <s v="IT-LQA-FAT"/>
    <x v="0"/>
    <m/>
    <s v="DM"/>
    <s v="DBS"/>
    <x v="0"/>
    <s v="DMDBS_SLT_2.0.0.18.1.99b2"/>
    <s v="CMTeam"/>
    <s v="Manisha Srivastava"/>
    <s v="\\192.168.3.3\Share\Releases\Projects\SLT\Release_For_IT\Test_Build_1.0.0.4\Server CD\DBS\Setup"/>
    <m/>
    <s v="\\192.168.3.3\Share\Releases\Projects\SLT\Release_For_LQA\Test_Build_1.0.0.22\Server CD\DBS\Setup"/>
    <s v="Pass"/>
    <m/>
    <m/>
    <m/>
    <m/>
    <s v="K.V. Krishnan"/>
    <x v="0"/>
    <s v=""/>
    <x v="0"/>
    <x v="0"/>
  </r>
  <r>
    <d v="2014-04-21T00:00:00"/>
    <d v="2014-04-21T00:00:00"/>
    <n v="4"/>
    <s v="2014-Apr"/>
    <n v="4"/>
    <s v="IT-LQA-FAT"/>
    <x v="0"/>
    <m/>
    <s v="DM"/>
    <s v="DBS"/>
    <x v="0"/>
    <s v="DMDBS_SLT_2.0.0.18.1.101b2"/>
    <s v="CMTeam"/>
    <s v="Manisha Srivastava"/>
    <s v="\\192.168.3.3\Share\Releases\Projects\SLT\Release_For_IT\Test_Build_1.0.0.4\Server CD\DBS\Setup"/>
    <m/>
    <s v="\\192.168.3.3\Share\Releases\Projects\SLT\Release_For_LQA\Test_Build_1.0.0.22\Server CD\DBS\Setup"/>
    <s v="Pass"/>
    <m/>
    <m/>
    <m/>
    <m/>
    <s v="K.V. Krishnan"/>
    <x v="0"/>
    <s v=""/>
    <x v="0"/>
    <x v="0"/>
  </r>
  <r>
    <d v="2014-04-21T00:00:00"/>
    <d v="2014-04-21T00:00:00"/>
    <n v="4"/>
    <s v="2014-Apr"/>
    <n v="4"/>
    <s v="LQA"/>
    <x v="1"/>
    <m/>
    <s v="NP"/>
    <s v="DBS"/>
    <x v="1"/>
    <s v="NPDBS_1.3.1b3"/>
    <s v="CMTeam"/>
    <s v="Abhishek Sharma"/>
    <m/>
    <m/>
    <s v="\\192.168.3.3\Share\Releases\Product\NetMindPOS_1.3\Build&amp;Release\Release_For_LQA\Test_Build_1.0.1\Server CD\DBS\Setup"/>
    <m/>
    <m/>
    <m/>
    <m/>
    <m/>
    <m/>
    <x v="1"/>
    <s v=""/>
    <x v="0"/>
    <x v="0"/>
  </r>
  <r>
    <d v="2014-04-21T00:00:00"/>
    <d v="2014-04-21T00:00:00"/>
    <n v="4"/>
    <s v="2014-Apr"/>
    <n v="4"/>
    <s v="LQA"/>
    <x v="1"/>
    <m/>
    <s v="NM"/>
    <s v="DBS"/>
    <x v="1"/>
    <s v="NMDBS_4.7.1b5"/>
    <s v="CMTeam"/>
    <s v="surender Kumar"/>
    <m/>
    <m/>
    <s v="\\192.168.3.3\Share\Releases\Product\Netmind_4.7\Build&amp;Release\Release_For_LQA\Test_Build_1.0.1\Server CD\DBS\Setup"/>
    <m/>
    <m/>
    <m/>
    <m/>
    <m/>
    <m/>
    <x v="1"/>
    <s v=""/>
    <x v="0"/>
    <x v="0"/>
  </r>
  <r>
    <d v="2014-04-21T00:00:00"/>
    <d v="2014-04-22T00:00:00"/>
    <n v="4"/>
    <s v="2014-Apr"/>
    <n v="4"/>
    <s v="IT-LQA"/>
    <x v="10"/>
    <m/>
    <s v="NP"/>
    <s v="DBS"/>
    <x v="0"/>
    <s v="NPDBS_COM_1.2.3.6.1.8b1"/>
    <s v="CMTeam"/>
    <s v="Sachin Srivastva"/>
    <s v="\\192.168.3.3\Share\Releases\Projects\Comcast\Release_For_IT\Test_Build_4.6.1\Server CD\Database\Setup"/>
    <m/>
    <s v="\\192.168.3.3\Share\Releases\Projects\Comcast\Release_for_Test\Test_Build_4.6.3\Server CD\Database\Setup"/>
    <s v="Pass"/>
    <s v="Readme Re-Released"/>
    <m/>
    <m/>
    <m/>
    <m/>
    <x v="0"/>
    <s v=""/>
    <x v="0"/>
    <x v="0"/>
  </r>
  <r>
    <d v="2014-04-22T00:00:00"/>
    <d v="2014-04-22T00:00:00"/>
    <n v="4"/>
    <s v="2014-Apr"/>
    <n v="4"/>
    <s v="IT-LQA"/>
    <x v="10"/>
    <m/>
    <s v="NM"/>
    <s v="DBS"/>
    <x v="0"/>
    <s v="NMDBS_COM_4.6.1.20.1.17b1"/>
    <s v="CMTeam"/>
    <s v="Sachin Srivastva"/>
    <s v="\\192.168.3.3\Share\Releases\Projects\Comcast\Release_For_IT\Test_Build_4.6.1\Server CD\Database\Setup"/>
    <m/>
    <s v="\\192.168.3.3\Share\Releases\Projects\Comcast\Release_for_Test\Test_Build_4.6.3\Server CD\Database\Setup"/>
    <s v="Pass"/>
    <m/>
    <m/>
    <m/>
    <m/>
    <m/>
    <x v="0"/>
    <s v=""/>
    <x v="0"/>
    <x v="0"/>
  </r>
  <r>
    <d v="2014-04-22T00:00:00"/>
    <d v="2014-04-22T00:00:00"/>
    <n v="4"/>
    <s v="2014-Apr"/>
    <n v="4"/>
    <s v="IT-LQA"/>
    <x v="0"/>
    <m/>
    <s v="DM"/>
    <s v="DBS"/>
    <x v="0"/>
    <s v="DMDBS_SLT_2.0.0.20.1.120b1"/>
    <s v="CMTeam"/>
    <s v="Deepinder Singh"/>
    <s v="\\192.168.3.3\Share\Releases\Projects\SLT\Release_For_IT\Test_Build_1.0.0.4\Server CD\DBS\Setup"/>
    <s v="Obsolete-LQA"/>
    <s v="\\192.168.3.3\Share\Releases\Projects\SLT\Release_For_LQA\Test_Build_1.0.0.22\Server CD\DBS\Setup"/>
    <m/>
    <s v="Readme Re-Released"/>
    <m/>
    <m/>
    <m/>
    <m/>
    <x v="2"/>
    <d v="2014-04-22T00:00:00"/>
    <x v="19"/>
    <x v="1"/>
  </r>
  <r>
    <d v="2014-04-22T00:00:00"/>
    <d v="2014-04-22T00:00:00"/>
    <n v="4"/>
    <s v="2014-Apr"/>
    <n v="4"/>
    <s v="LQA-FAT"/>
    <x v="0"/>
    <m/>
    <s v="MPE"/>
    <s v="MPE"/>
    <x v="0"/>
    <s v=" MPE_SLT-1B_3.0.1.1.1.66b1"/>
    <s v="CMTeam"/>
    <s v="Muktesh Mukul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4-22T00:00:00"/>
    <d v="2014-04-22T00:00:00"/>
    <n v="4"/>
    <s v="2014-Apr"/>
    <n v="4"/>
    <s v="IT-LQA"/>
    <x v="1"/>
    <m/>
    <s v="NP"/>
    <s v="DBS"/>
    <x v="0"/>
    <s v="NPDBS_1.2.3.7b1"/>
    <s v="CMTeam"/>
    <s v="Abhishek Sharma"/>
    <s v="\\192.168.3.3\share\Releases\Product\NetMindPOS_1.1\Build&amp;Release\Release for IT\TestBuild_1.2.3\Server CD\DBS\Setup"/>
    <s v="Obsolete-LQA"/>
    <s v="\\192.168.3.3\share\Releases\Product\NetMindPOS_1.1\Build&amp;Release\Release for LQA\TestBuild_1.2.3\Server CD\DBS\Setup"/>
    <m/>
    <m/>
    <m/>
    <m/>
    <m/>
    <m/>
    <x v="2"/>
    <d v="2014-04-22T00:00:00"/>
    <x v="19"/>
    <x v="1"/>
  </r>
  <r>
    <d v="2014-04-22T00:00:00"/>
    <d v="2014-04-22T00:00:00"/>
    <n v="4"/>
    <s v="2014-Apr"/>
    <n v="4"/>
    <s v="LQA-FAT"/>
    <x v="4"/>
    <m/>
    <s v="MPE"/>
    <s v="MPE"/>
    <x v="0"/>
    <s v="MPE_TLSTR-2b_3.0.0.3.1.94b1"/>
    <s v="CMTeam"/>
    <s v="Sandeep Aggarwal"/>
    <m/>
    <m/>
    <s v="\\192.168.3.3\Share\Releases\Projects\Telstra-2b\Release_For_Test\Test_Build_1.0.0.1\Server CD\MPE\Setup"/>
    <s v="Pass"/>
    <m/>
    <m/>
    <m/>
    <m/>
    <s v="Ashwani "/>
    <x v="0"/>
    <s v=""/>
    <x v="0"/>
    <x v="0"/>
  </r>
  <r>
    <d v="2014-04-22T00:00:00"/>
    <d v="2014-04-22T00:00:00"/>
    <n v="4"/>
    <s v="2014-Apr"/>
    <n v="4"/>
    <s v="IT-LQA-FAT"/>
    <x v="0"/>
    <m/>
    <s v="DM"/>
    <s v="DBS"/>
    <x v="0"/>
    <s v="DMDBS_SLT_2.0.0.20.1.120b2"/>
    <s v="CMTeam"/>
    <s v="Deepinder Singh"/>
    <s v="\\192.168.3.3\Share\Releases\Projects\SLT\Release_For_IT\Test_Build_1.0.0.4\Server CD\DBS\Setup"/>
    <m/>
    <s v="\\192.168.3.3\Share\Releases\Projects\SLT\Release_For_LQA\Test_Build_1.0.0.22\Server CD\DBS\Setup"/>
    <s v="Pass"/>
    <m/>
    <m/>
    <m/>
    <m/>
    <s v="Vijay Singh Daagar"/>
    <x v="0"/>
    <s v=""/>
    <x v="0"/>
    <x v="0"/>
  </r>
  <r>
    <d v="2014-04-22T00:00:00"/>
    <d v="2014-04-22T00:00:00"/>
    <n v="4"/>
    <s v="2014-Apr"/>
    <n v="4"/>
    <s v="LQA"/>
    <x v="3"/>
    <m/>
    <s v="IM"/>
    <s v="Utility"/>
    <x v="0"/>
    <s v="IM_OBT_1.0.1.0.1"/>
    <s v="CMTeam"/>
    <s v="Deepak Dhiman"/>
    <m/>
    <m/>
    <s v="\\192.168.3.3\share\Releases\Projects\OBT\Release_For_LQA\TestBuild_1.0.0.4\Utility\Setup"/>
    <s v="Pass"/>
    <s v="Readme Re-Released"/>
    <m/>
    <m/>
    <m/>
    <m/>
    <x v="0"/>
    <s v=""/>
    <x v="0"/>
    <x v="0"/>
  </r>
  <r>
    <d v="2014-04-22T00:00:00"/>
    <d v="2014-04-22T00:00:00"/>
    <n v="4"/>
    <s v="2014-Apr"/>
    <n v="4"/>
    <s v="IT-LQA"/>
    <x v="10"/>
    <m/>
    <s v="NM"/>
    <s v="DBS"/>
    <x v="0"/>
    <s v="NMDBS_COM_4.6.1.20.1.18b1"/>
    <s v="CMTeam"/>
    <s v="Sumita Yadav"/>
    <s v="\\192.168.3.3\Share\Releases\Projects\Comcast\Release_For_IT\Test_Build_4.6.1\Server CD\Database\Setup"/>
    <m/>
    <s v="\\192.168.3.3\Share\Releases\Projects\Comcast\Release_for_Test\Test_Build_4.6.3\Server CD\Database\Setup"/>
    <m/>
    <m/>
    <m/>
    <m/>
    <m/>
    <m/>
    <x v="1"/>
    <s v=""/>
    <x v="0"/>
    <x v="0"/>
  </r>
  <r>
    <d v="2014-04-22T00:00:00"/>
    <d v="2014-04-22T00:00:00"/>
    <n v="4"/>
    <s v="2014-Apr"/>
    <n v="4"/>
    <s v="IT-LQA"/>
    <x v="1"/>
    <m/>
    <s v="RA"/>
    <s v="DBS"/>
    <x v="0"/>
    <s v="RADBS_2.1.1.5b1 "/>
    <s v="CMTeam"/>
    <s v="yogendra kumar"/>
    <s v="\\192.168.3.3\Share\Releases\Product\RevMind_2.1\Build&amp;Release\Release_For_IT\TestBuild_1.0.1\Server CD\DBS\Setup"/>
    <m/>
    <s v="\\192.168.3.3\Share\Releases\Product\RevMind_2.1\Build&amp;Release\Release_For_LQA\Test_Build_1.0.2\Server CD\DBS\Setup"/>
    <s v="Pass"/>
    <s v="Readme Re-Released"/>
    <m/>
    <m/>
    <m/>
    <m/>
    <x v="0"/>
    <s v=""/>
    <x v="0"/>
    <x v="0"/>
  </r>
  <r>
    <d v="2014-04-23T00:00:00"/>
    <d v="2014-04-23T00:00:00"/>
    <n v="4"/>
    <s v="2014-Apr"/>
    <n v="4"/>
    <s v="LQA"/>
    <x v="1"/>
    <m/>
    <s v="RA"/>
    <s v="CS"/>
    <x v="0"/>
    <s v="RACS_2.5.6.1b4"/>
    <s v="CMTeam"/>
    <s v="Alok Bagwale"/>
    <m/>
    <m/>
    <s v="\\192.168.3.3\Share\Releases\Product\RevMind_2.1\Build&amp;Release\Release_For_LQA\Test_Build_1.0.2\Server CD\GUI\CS\Setup"/>
    <m/>
    <m/>
    <m/>
    <m/>
    <m/>
    <m/>
    <x v="1"/>
    <s v=""/>
    <x v="0"/>
    <x v="0"/>
  </r>
  <r>
    <d v="2014-04-23T00:00:00"/>
    <d v="2014-04-23T00:00:00"/>
    <n v="4"/>
    <s v="2014-Apr"/>
    <n v="4"/>
    <s v="IT-LQA"/>
    <x v="10"/>
    <m/>
    <s v="NP"/>
    <s v="DBS"/>
    <x v="0"/>
    <s v="NPDBS_COM_1.2.3.6.1.9b1"/>
    <s v="CMTeam"/>
    <s v="Sumita Yadav"/>
    <s v="\\192.168.3.3\Share\Releases\Projects\Comcast\Release_For_IT\Test_Build_4.6.1\Server CD\Database\Setup"/>
    <m/>
    <s v="\\192.168.3.3\Share\Releases\Projects\Comcast\Release_for_Test\Test_Build_4.6.3\Server CD\Database\Setup"/>
    <s v="Pass"/>
    <m/>
    <m/>
    <m/>
    <m/>
    <m/>
    <x v="0"/>
    <s v=""/>
    <x v="0"/>
    <x v="0"/>
  </r>
  <r>
    <d v="2014-04-23T00:00:00"/>
    <d v="2014-04-23T00:00:00"/>
    <n v="4"/>
    <s v="2014-Apr"/>
    <n v="4"/>
    <s v="LQA-FAT"/>
    <x v="0"/>
    <m/>
    <s v="MPE"/>
    <s v="MPE"/>
    <x v="0"/>
    <s v="MPE_SLT-1B_3.0.1.1.1.67b1"/>
    <s v="CMTeam"/>
    <s v="Ajay Awasthi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4-23T00:00:00"/>
    <d v="2014-04-23T00:00:00"/>
    <n v="4"/>
    <s v="2014-Apr"/>
    <n v="4"/>
    <s v="LQA-FAT"/>
    <x v="0"/>
    <m/>
    <s v="Utility"/>
    <s v="Utility"/>
    <x v="0"/>
    <s v="UTLSEQM_SLT-1B_1.0.0.0.5.5b1"/>
    <s v="CMTeam"/>
    <s v="Ajay Awasthi"/>
    <m/>
    <m/>
    <s v="\\192.168.3.3\Share\Releases\Projects\SLT-1B\Release_For_Test\Test_Build_1.0.0.1\Utility\MPE\Setup"/>
    <s v="Pass"/>
    <m/>
    <m/>
    <m/>
    <m/>
    <s v="K.V. Krishnan"/>
    <x v="0"/>
    <s v=""/>
    <x v="0"/>
    <x v="0"/>
  </r>
  <r>
    <d v="2014-04-23T00:00:00"/>
    <d v="2014-04-23T00:00:00"/>
    <n v="4"/>
    <s v="2014-Apr"/>
    <n v="4"/>
    <s v="LQA-AT"/>
    <x v="4"/>
    <m/>
    <s v="Utility"/>
    <s v="Utility"/>
    <x v="0"/>
    <s v="UTLIM_TLSTR_1.0.0.66.2b1"/>
    <s v="CMTeam"/>
    <s v="Deepak Dhiman"/>
    <m/>
    <m/>
    <s v="\\192.168.3.3\Share\Releases\Projects\Telstra\Release_For_LQA\Test_Build_1.0.0.18\Utility\Setup"/>
    <s v="Pass"/>
    <m/>
    <m/>
    <m/>
    <m/>
    <s v="Deshraj"/>
    <x v="0"/>
    <s v=""/>
    <x v="0"/>
    <x v="0"/>
  </r>
  <r>
    <d v="2014-04-23T00:00:00"/>
    <d v="2014-04-23T00:00:00"/>
    <n v="4"/>
    <s v="2014-Apr"/>
    <n v="4"/>
    <s v="LQA"/>
    <x v="1"/>
    <m/>
    <s v="RE"/>
    <s v="GUI"/>
    <x v="1"/>
    <s v="REGUI_1.0.10b1"/>
    <s v="CMTeam"/>
    <s v="Deepak Dhiman"/>
    <m/>
    <m/>
    <s v="\\192.168.3.3\Share\Releases\Product\RE_1.0\ReleaseForLQA\TestBuild_1.0.1\GUI\Setup"/>
    <m/>
    <m/>
    <m/>
    <m/>
    <m/>
    <m/>
    <x v="1"/>
    <s v=""/>
    <x v="0"/>
    <x v="0"/>
  </r>
  <r>
    <d v="2014-04-23T00:00:00"/>
    <d v="2014-04-23T00:00:00"/>
    <n v="4"/>
    <s v="2014-Apr"/>
    <n v="4"/>
    <s v="LQA-FAT"/>
    <x v="0"/>
    <m/>
    <s v="RE"/>
    <s v="GUI"/>
    <x v="1"/>
    <s v="REGUI_SLT_1.0.10.0.1 "/>
    <s v="CMTeam"/>
    <s v="Deepak Dhiman"/>
    <m/>
    <m/>
    <s v="\\192.168.3.3\Share\Releases\Projects\SLT\Release_For_LQA\Test_Build_1.0.0.23\Server CD\GUI\Setup"/>
    <s v="Pass"/>
    <m/>
    <m/>
    <m/>
    <m/>
    <s v="Ravi Gautam"/>
    <x v="0"/>
    <s v=""/>
    <x v="0"/>
    <x v="0"/>
  </r>
  <r>
    <d v="2014-04-24T00:00:00"/>
    <d v="2014-04-24T00:00:00"/>
    <n v="4"/>
    <s v="2014-Apr"/>
    <n v="4"/>
    <s v="IT-LQA-FAT"/>
    <x v="1"/>
    <m/>
    <s v="RE"/>
    <s v="DBS"/>
    <x v="0"/>
    <s v="REDBS_1.0.1.23b1"/>
    <s v="CMTeam"/>
    <s v="Shiv Mangal"/>
    <s v="\\192.168.3.3\Share\Releases\Product\RE_1.0\ReleaseForIT\TestBuild_1.0.1\DBS\Build4\Setup"/>
    <m/>
    <s v="\\192.168.3.3\Share\Releases\Product\RE_1.0\ReleaseForLQA\TestBuild_1.0.1\DBS\Build4\Setup"/>
    <s v="Pass"/>
    <m/>
    <m/>
    <m/>
    <m/>
    <s v="Ravi Gautam"/>
    <x v="0"/>
    <s v=""/>
    <x v="0"/>
    <x v="0"/>
  </r>
  <r>
    <d v="2014-04-24T00:00:00"/>
    <d v="2014-04-24T00:00:00"/>
    <n v="4"/>
    <s v="2014-Apr"/>
    <n v="4"/>
    <s v="LQA-UAT"/>
    <x v="1"/>
    <m/>
    <s v="MPE"/>
    <s v="MPE"/>
    <x v="0"/>
    <s v="MPE_3.2.4.30b2"/>
    <s v="CMTeam"/>
    <s v="Harish Singh"/>
    <m/>
    <m/>
    <s v="\\192.168.3.3\Share\Releases\Product\MPE_GUI\ReleaseForLQA\TestBuild_1.0.0.2\Server CD\MPE\Setup"/>
    <s v="Pass"/>
    <m/>
    <m/>
    <m/>
    <m/>
    <s v="Pradeep Raghav"/>
    <x v="0"/>
    <s v=""/>
    <x v="0"/>
    <x v="0"/>
  </r>
  <r>
    <d v="2014-04-24T00:00:00"/>
    <d v="2014-04-24T00:00:00"/>
    <n v="4"/>
    <s v="2014-Apr"/>
    <n v="4"/>
    <s v="IT-LQA-FAT"/>
    <x v="1"/>
    <m/>
    <s v="RT"/>
    <s v="DBS"/>
    <x v="0"/>
    <s v="RTDBS_4.0.1.17b2"/>
    <s v="CMTeam"/>
    <s v="Manisha Srivastava"/>
    <s v="\\192.168.3.3\Share\Releases\Product\RT_4.0\ReleaseForIT\TestBuild_4.0.3\DBS\Setup"/>
    <m/>
    <s v="\\192.168.3.3\Share\Releases\Product\RT_4.0\ReleaseForLQA\TestBuild_4.0.22\DBS\Setup"/>
    <s v="Pass"/>
    <s v="Readme Re-Released"/>
    <m/>
    <m/>
    <m/>
    <s v="Harsh Khanna"/>
    <x v="0"/>
    <s v=""/>
    <x v="0"/>
    <x v="0"/>
  </r>
  <r>
    <d v="2014-04-25T00:00:00"/>
    <d v="2014-04-25T00:00:00"/>
    <n v="4"/>
    <s v="2014-Apr"/>
    <n v="4"/>
    <s v="LQA-AT"/>
    <x v="4"/>
    <m/>
    <s v="MPE"/>
    <s v="MPE"/>
    <x v="0"/>
    <s v="MPE_TLSTR-2b_3.0.0.3.1.95b1"/>
    <s v="CMTeam"/>
    <s v="Anshul Kumar"/>
    <m/>
    <m/>
    <s v="\\192.168.3.3\Share\Releases\Projects\Telstra-2b\Release_For_Test\Test_Build_1.0.0.1\Server CD\MPE\Setup"/>
    <s v="Pass"/>
    <s v="Readme Re-Released"/>
    <m/>
    <m/>
    <m/>
    <s v="Ashwani "/>
    <x v="0"/>
    <s v=""/>
    <x v="0"/>
    <x v="0"/>
  </r>
  <r>
    <d v="2014-04-25T00:00:00"/>
    <d v="2014-04-25T00:00:00"/>
    <n v="4"/>
    <s v="2014-Apr"/>
    <n v="4"/>
    <s v="IT-LQA"/>
    <x v="5"/>
    <m/>
    <s v="NM"/>
    <s v="DBS"/>
    <x v="0"/>
    <s v="NMDBS_BHN_3.5.1.59.1"/>
    <s v="CMTeam"/>
    <s v="Sachin Srivastva"/>
    <s v="\\192.168.3.3\Share\Projects\Neustar\BHN\Build&amp;Release\Release For IT\Test_Build_3.5.37\Server CD\Database\Setup"/>
    <m/>
    <s v="\\192.168.3.3\Share\Projects\Neustar\BHN\Build&amp;Release\Release For Test\Test_Build_3.5.37\Server CD\Database\Setup"/>
    <s v="Pass"/>
    <m/>
    <m/>
    <m/>
    <m/>
    <m/>
    <x v="0"/>
    <s v=""/>
    <x v="0"/>
    <x v="0"/>
  </r>
  <r>
    <d v="2014-04-25T00:00:00"/>
    <d v="2014-04-25T00:00:00"/>
    <n v="4"/>
    <s v="2014-Apr"/>
    <n v="4"/>
    <s v="LQA"/>
    <x v="1"/>
    <m/>
    <s v="MPE"/>
    <s v="MPE"/>
    <x v="0"/>
    <s v="MPE_3.2.4.32b1"/>
    <s v="CMTeam"/>
    <s v="Harish Singh"/>
    <m/>
    <s v="Obsolete-LQA"/>
    <s v="\\192.168.3.3\Share\Releases\Product\MPE_GUI\ReleaseForLQA\TestBuild_1.0.0.2\Server CD\MPE\Setup"/>
    <m/>
    <s v="Readme Re-Released"/>
    <m/>
    <m/>
    <m/>
    <m/>
    <x v="2"/>
    <d v="2014-04-25T00:00:00"/>
    <x v="19"/>
    <x v="1"/>
  </r>
  <r>
    <d v="2014-04-25T00:00:00"/>
    <d v="2014-04-25T00:00:00"/>
    <n v="4"/>
    <s v="2014-Apr"/>
    <n v="4"/>
    <s v="IT-LQA"/>
    <x v="10"/>
    <m/>
    <s v="NM"/>
    <s v="DBS"/>
    <x v="0"/>
    <s v="NMDBS_COM_4.6.1.16.1.5b2"/>
    <s v="CMTeam"/>
    <s v="Sachin Srivastva"/>
    <s v="\\192.168.3.3\Share\Releases\Projects\Comcast\Release_For_IT\Test_Build_4.6.1\Server CD\Database\Setup"/>
    <m/>
    <s v="\\192.168.3.3\Share\Releases\Projects\Comcast\Release_for_Test\Test_Build_4.6.3\Server CD\Database\Setup"/>
    <s v="Pass"/>
    <m/>
    <m/>
    <m/>
    <m/>
    <m/>
    <x v="0"/>
    <s v=""/>
    <x v="0"/>
    <x v="0"/>
  </r>
  <r>
    <d v="2014-04-25T00:00:00"/>
    <d v="2014-04-25T00:00:00"/>
    <n v="4"/>
    <s v="2014-Apr"/>
    <n v="4"/>
    <s v="LQA"/>
    <x v="1"/>
    <m/>
    <s v="MPE"/>
    <s v="MPE"/>
    <x v="0"/>
    <s v="MPE_NM46_3.2.5.1.1.5b1"/>
    <s v="CMTeam"/>
    <s v="Anshul Kumar"/>
    <m/>
    <m/>
    <s v="\\192.168.3.3\Share\Releases\Projects\NM46\Release_For_Test\Test_Build_1.0.0.1\Server CD\MPE\Setup"/>
    <m/>
    <m/>
    <m/>
    <m/>
    <m/>
    <m/>
    <x v="1"/>
    <s v=""/>
    <x v="0"/>
    <x v="0"/>
  </r>
  <r>
    <d v="2014-04-25T00:00:00"/>
    <m/>
    <n v="4"/>
    <s v="2014-Apr"/>
    <s v="False"/>
    <s v="IT"/>
    <x v="2"/>
    <m/>
    <s v="RM"/>
    <s v="DBS"/>
    <x v="0"/>
    <s v="RMDBS_SHAW_2.0.1.0.1.45b1"/>
    <s v="CMTeam"/>
    <s v="Aditya Garg"/>
    <s v="\\192.168.3.3\Share\Releases\Projects\SHAW\Release_For_IT\Test_Build_1.0.0.27\Server CD\DBS\Setup"/>
    <m/>
    <m/>
    <m/>
    <m/>
    <m/>
    <m/>
    <m/>
    <m/>
    <x v="1"/>
    <s v=""/>
    <x v="0"/>
    <x v="0"/>
  </r>
  <r>
    <d v="2014-04-25T00:00:00"/>
    <m/>
    <n v="4"/>
    <s v="2014-Apr"/>
    <s v="False"/>
    <s v="IT"/>
    <x v="1"/>
    <m/>
    <s v="NM"/>
    <s v="DBS"/>
    <x v="0"/>
    <s v="NMDBS_4.6.1.21b1"/>
    <s v="CMTeam"/>
    <s v="surender Kumar"/>
    <s v="\\192.168.3.3\Share\Releases\Product\Netmind_4.6\Build&amp;Release\ReleaseForIT\TestBuild_4.6.1\Build4\ServerCD\DBS\Setup"/>
    <s v="Obsolete-IT"/>
    <m/>
    <m/>
    <m/>
    <m/>
    <m/>
    <m/>
    <m/>
    <x v="2"/>
    <d v="2014-04-25T00:00:00"/>
    <x v="19"/>
    <x v="1"/>
  </r>
  <r>
    <d v="2014-04-26T00:00:00"/>
    <d v="2014-04-26T00:00:00"/>
    <n v="4"/>
    <s v="2014-Apr"/>
    <n v="4"/>
    <s v="IT-LQA-FAT"/>
    <x v="0"/>
    <m/>
    <s v="DM"/>
    <s v="DBS"/>
    <x v="0"/>
    <s v="DMDBS_SLT_2.0.0.20.1.123b1"/>
    <s v="CMTeam"/>
    <s v="Deepinder Singh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4-28T00:00:00"/>
    <d v="2014-04-28T00:00:00"/>
    <n v="4"/>
    <s v="2014-Apr"/>
    <n v="4"/>
    <s v="LQA"/>
    <x v="1"/>
    <m/>
    <s v="RA"/>
    <s v="CS"/>
    <x v="0"/>
    <s v="RACS_2.5.6.1b5"/>
    <s v="CMTeam"/>
    <s v="Alok Bagwale"/>
    <m/>
    <m/>
    <s v="\\192.168.3.3\Share\Releases\Product\RevMind_2.1\Build&amp;Release\Release_For_LQA\Test_Build_1.0.2\Server CD\GUI\CS\Setup"/>
    <m/>
    <m/>
    <m/>
    <m/>
    <m/>
    <m/>
    <x v="1"/>
    <s v=""/>
    <x v="0"/>
    <x v="0"/>
  </r>
  <r>
    <d v="2014-04-28T00:00:00"/>
    <d v="2014-04-28T00:00:00"/>
    <n v="4"/>
    <s v="2014-Apr"/>
    <n v="4"/>
    <s v="IT-LQA"/>
    <x v="8"/>
    <m/>
    <s v="NM"/>
    <s v="DBS"/>
    <x v="0"/>
    <s v="NMDBS_TWC_4.6.1.11.3.36b1"/>
    <s v="CMTeam"/>
    <s v="Sudip Ghosh"/>
    <s v="\\192.168.3.3\Share\Releases\Projects\TWC\Release_For_IT\Test_Build_1.0.0.3\Server CD\DBS\Setup"/>
    <s v="Obsolete-LQA"/>
    <s v="\\192.168.3.3\Share\Releases\Projects\TWC\Release_For_Test\Test_Build_1.0.0.4\Server CD\DBS\Setup"/>
    <m/>
    <m/>
    <m/>
    <m/>
    <m/>
    <m/>
    <x v="2"/>
    <d v="2014-04-28T00:00:00"/>
    <x v="20"/>
    <x v="1"/>
  </r>
  <r>
    <d v="2014-04-28T00:00:00"/>
    <d v="2014-04-28T00:00:00"/>
    <n v="4"/>
    <s v="2014-Apr"/>
    <n v="4"/>
    <s v="IT-LQA"/>
    <x v="1"/>
    <m/>
    <s v="RA"/>
    <s v="DBS"/>
    <x v="0"/>
    <s v="RADBS_2.1.1.6b1"/>
    <s v="CMTeam"/>
    <s v="yogendra kumar"/>
    <s v="\\192.168.3.3\Share\Releases\Product\RevMind_2.1\Build&amp;Release\Release_For_IT\TestBuild_1.0.1\Server CD\DBS\Setup"/>
    <m/>
    <s v="\\192.168.3.3\Share\Releases\Product\RevMind_2.1\Build&amp;Release\Release_For_LQA\Test_Build_1.0.2\Server CD\DBS\Setup"/>
    <s v="Pass"/>
    <m/>
    <m/>
    <m/>
    <m/>
    <m/>
    <x v="0"/>
    <s v=""/>
    <x v="0"/>
    <x v="0"/>
  </r>
  <r>
    <d v="2014-04-28T00:00:00"/>
    <d v="2014-04-28T00:00:00"/>
    <n v="4"/>
    <s v="2014-Apr"/>
    <n v="4"/>
    <s v="IT-LQA"/>
    <x v="10"/>
    <m/>
    <s v="NP"/>
    <s v="DBS"/>
    <x v="0"/>
    <s v="NPDBS_COM_1.2.3.6.1.10b1"/>
    <s v="CMTeam"/>
    <s v="Sachin Srivastva"/>
    <s v="\\192.168.3.3\Share\Releases\Projects\Comcast\Release_For_IT\Test_Build_4.6.1\Server CD\Database\Setup"/>
    <m/>
    <s v="\\192.168.3.3\Share\Releases\Projects\Comcast\Release_for_Test\Test_Build_4.6.3\Server CD\Database\Setup"/>
    <s v="Pass"/>
    <m/>
    <m/>
    <m/>
    <m/>
    <m/>
    <x v="0"/>
    <s v=""/>
    <x v="0"/>
    <x v="0"/>
  </r>
  <r>
    <d v="2014-04-28T00:00:00"/>
    <d v="2014-04-28T00:00:00"/>
    <n v="4"/>
    <s v="2014-Apr"/>
    <n v="4"/>
    <s v="IT-LQA"/>
    <x v="10"/>
    <m/>
    <s v="NM"/>
    <s v="DBS"/>
    <x v="0"/>
    <s v="NMDBS_COM_4.6.1.20.1.19b1"/>
    <s v="CMTeam"/>
    <s v="Sachin Srivastva"/>
    <s v="\\192.168.3.3\Share\Releases\Projects\Comcast\Release_For_IT\Test_Build_4.6.1\Server CD\Database\Setup"/>
    <s v="Obsolete-LQA"/>
    <s v="\\192.168.3.3\Share\Releases\Projects\Comcast\Release_for_Test\Test_Build_4.6.3\Server CD\Database\Setup"/>
    <m/>
    <m/>
    <m/>
    <m/>
    <m/>
    <m/>
    <x v="2"/>
    <d v="2014-04-28T00:00:00"/>
    <x v="20"/>
    <x v="1"/>
  </r>
  <r>
    <d v="2014-04-29T00:00:00"/>
    <d v="2014-04-29T00:00:00"/>
    <n v="4"/>
    <s v="2014-Apr"/>
    <n v="4"/>
    <s v="IT-LQA-FAT"/>
    <x v="0"/>
    <m/>
    <s v="DM"/>
    <s v="DBS"/>
    <x v="0"/>
    <s v="DMDBS_SLT_2.0.0.20.1.124b1"/>
    <s v="CMTeam"/>
    <s v="Deepinder Singh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Nisha Malik"/>
    <x v="0"/>
    <s v=""/>
    <x v="0"/>
    <x v="0"/>
  </r>
  <r>
    <d v="2014-04-29T00:00:00"/>
    <d v="2014-04-29T00:00:00"/>
    <n v="4"/>
    <s v="2014-Apr"/>
    <n v="4"/>
    <s v="LQA"/>
    <x v="1"/>
    <m/>
    <s v="WWFS"/>
    <s v="GUI"/>
    <x v="0"/>
    <s v="WWFSGUI_2.2.1b6"/>
    <s v="CMTeam"/>
    <s v="Alok Bagwale"/>
    <m/>
    <m/>
    <s v="\\192.168.3.3\Share\Releases\Product\WEB_WFS\Build&amp;Release\Release For Test\TestBuild_2.2.1\Build4\ServerCD\GUI\Setup"/>
    <m/>
    <m/>
    <m/>
    <m/>
    <m/>
    <m/>
    <x v="1"/>
    <s v=""/>
    <x v="0"/>
    <x v="0"/>
  </r>
  <r>
    <d v="2014-04-29T00:00:00"/>
    <d v="2014-04-29T00:00:00"/>
    <n v="4"/>
    <s v="2014-Apr"/>
    <n v="4"/>
    <s v="LQA"/>
    <x v="1"/>
    <m/>
    <s v="Utility"/>
    <s v="Utility"/>
    <x v="1"/>
    <s v="AWF_2.0.1b28"/>
    <s v="CMTeam"/>
    <s v="Rajesh Maithani"/>
    <m/>
    <m/>
    <s v="\\192.168.3.3\Share\Releases\Product\AWF\Build&amp;Release\Release For Test\TestBuild_2.0.1\Setup"/>
    <m/>
    <m/>
    <m/>
    <m/>
    <m/>
    <m/>
    <x v="1"/>
    <s v=""/>
    <x v="0"/>
    <x v="0"/>
  </r>
  <r>
    <d v="2014-04-29T00:00:00"/>
    <d v="2014-04-29T00:00:00"/>
    <n v="4"/>
    <s v="2014-Apr"/>
    <n v="4"/>
    <s v="IT-LQA"/>
    <x v="10"/>
    <m/>
    <s v="NM"/>
    <s v="DBS"/>
    <x v="0"/>
    <s v="NMDBS_COM_4.6.1.20.1.19b2"/>
    <s v="CMTeam"/>
    <s v="Sumita Yadav"/>
    <s v="\\192.168.3.3\Share\Releases\Projects\Comcast\Release_For_IT\Test_Build_4.6.1\Server CD\Database\Setup"/>
    <m/>
    <s v="\\192.168.3.3\Share\Releases\Projects\Comcast\Release_for_Test\Test_Build_4.6.3\Server CD\Database\Setup"/>
    <s v="Pass"/>
    <s v="Readme Re-Released"/>
    <m/>
    <m/>
    <m/>
    <m/>
    <x v="0"/>
    <s v=""/>
    <x v="0"/>
    <x v="0"/>
  </r>
  <r>
    <d v="2014-04-29T00:00:00"/>
    <d v="2014-04-29T00:00:00"/>
    <n v="4"/>
    <s v="2014-Apr"/>
    <n v="4"/>
    <s v="IT-LQA"/>
    <x v="1"/>
    <m/>
    <s v="NM"/>
    <s v="DBS"/>
    <x v="0"/>
    <s v="NMDBS_4.6.1.21b2"/>
    <s v="CMTeam"/>
    <s v="surender Kumar"/>
    <s v="\\192.168.3.3\Share\Releases\Product\Netmind_4.6\Build&amp;Release\ReleaseForIT\TestBuild_4.6.1\Build4\ServerCD\DBS\Setup"/>
    <m/>
    <s v="\\192.168.3.3\Share\Releases\Product\Netmind_4.6\Build&amp;Release\ReleaseForTest\TestBuild_4.6.1\Build4\ServerCD\DBS\Setup"/>
    <s v="Pass"/>
    <m/>
    <m/>
    <m/>
    <m/>
    <m/>
    <x v="0"/>
    <s v=""/>
    <x v="0"/>
    <x v="0"/>
  </r>
  <r>
    <d v="2014-04-29T00:00:00"/>
    <d v="2014-04-29T00:00:00"/>
    <n v="4"/>
    <s v="2014-Apr"/>
    <n v="4"/>
    <s v="LQA"/>
    <x v="1"/>
    <m/>
    <s v="WWFS"/>
    <s v="GUI"/>
    <x v="0"/>
    <s v="WWFSGUI_2.1.25b2"/>
    <s v="CMTeam"/>
    <s v="Rajeev Kumar"/>
    <m/>
    <m/>
    <s v="\\192.168.3.3\Share\Releases\Product\WEB_WFS\Build&amp;Release\Release For Test\TestBuild_2.1.25\ServerCD\GUI\Setup"/>
    <m/>
    <m/>
    <m/>
    <m/>
    <m/>
    <m/>
    <x v="1"/>
    <s v=""/>
    <x v="0"/>
    <x v="0"/>
  </r>
  <r>
    <d v="2014-04-29T00:00:00"/>
    <d v="2014-04-29T00:00:00"/>
    <n v="4"/>
    <s v="2014-Apr"/>
    <n v="4"/>
    <s v="IT-LQA"/>
    <x v="4"/>
    <m/>
    <s v="NM"/>
    <s v="DBS"/>
    <x v="0"/>
    <s v="NMDBS_TLSTR_4.0.1.0.4.302b2"/>
    <s v="CMTeam"/>
    <s v="Deepak Yadav"/>
    <s v="\\192.168.3.3\Share\Releases\Projects\Telstra\Release_For_IT\Test_Build_1.0.0.18\Server CD\DBS\Setup"/>
    <s v="Obsolete-LQA"/>
    <s v="\\192.168.3.3\Share\Releases\Projects\Telstra\Release_For_LQA\Test_Build_1.0.0.18\Server CD\DBS\Setup"/>
    <m/>
    <m/>
    <m/>
    <m/>
    <m/>
    <m/>
    <x v="2"/>
    <d v="2014-04-29T00:00:00"/>
    <x v="20"/>
    <x v="1"/>
  </r>
  <r>
    <d v="2014-04-29T00:00:00"/>
    <d v="2014-04-29T00:00:00"/>
    <n v="4"/>
    <s v="2014-Apr"/>
    <n v="4"/>
    <s v="LQA"/>
    <x v="1"/>
    <m/>
    <s v="RA"/>
    <s v="CS"/>
    <x v="0"/>
    <s v="RACS_2.5.6.1b6"/>
    <s v="CMTeam"/>
    <s v="Alok Bagwale"/>
    <m/>
    <s v="Obsolete-LQA"/>
    <s v="\\192.168.3.3\Share\Releases\Product\RevMind_2.1\Build&amp;Release\Release_For_LQA\Test_Build_1.0.2\Server CD\GUI\CS\Setup"/>
    <m/>
    <s v="Readme Re-Released"/>
    <m/>
    <m/>
    <m/>
    <m/>
    <x v="2"/>
    <d v="2014-04-29T00:00:00"/>
    <x v="20"/>
    <x v="1"/>
  </r>
  <r>
    <d v="2014-04-29T00:00:00"/>
    <d v="2014-04-29T00:00:00"/>
    <n v="4"/>
    <s v="2014-Apr"/>
    <n v="4"/>
    <s v="LQA"/>
    <x v="1"/>
    <m/>
    <s v="WWFS"/>
    <s v="GUI"/>
    <x v="0"/>
    <s v="WWFSGUI_2.2.1b7"/>
    <s v="CMTeam"/>
    <s v="Alok Bagwale"/>
    <m/>
    <s v="Obsolete-LQA"/>
    <s v="\\192.168.3.3\Share\Releases\Product\WEB_WFS\Build&amp;Release\Release For Test\TestBuild_2.2.1\Build4\ServerCD\GUI\Setup"/>
    <m/>
    <s v="Readme Re-Released"/>
    <m/>
    <m/>
    <m/>
    <m/>
    <x v="2"/>
    <d v="2014-04-29T00:00:00"/>
    <x v="20"/>
    <x v="1"/>
  </r>
  <r>
    <d v="2014-04-29T00:00:00"/>
    <d v="2014-04-29T00:00:00"/>
    <n v="4"/>
    <s v="2014-Apr"/>
    <n v="4"/>
    <s v="LQA"/>
    <x v="10"/>
    <m/>
    <s v="WWFS"/>
    <s v="GUI"/>
    <x v="0"/>
    <s v="WWFSGUI_COM_2.1.25.0.1"/>
    <s v="CMTeam"/>
    <s v="Rajeev Kumar"/>
    <m/>
    <m/>
    <s v="\\192.168.3.3\Share\Releases\Projects\Comcast\Release_for_Test\Test_Build_4.6.4\Server CD\GUI\Setup"/>
    <m/>
    <m/>
    <m/>
    <m/>
    <m/>
    <m/>
    <x v="1"/>
    <s v=""/>
    <x v="0"/>
    <x v="0"/>
  </r>
  <r>
    <d v="2014-04-30T00:00:00"/>
    <d v="2014-04-30T00:00:00"/>
    <n v="4"/>
    <s v="2014-Apr"/>
    <n v="4"/>
    <s v="LQA-FAT"/>
    <x v="0"/>
    <m/>
    <s v="MPE"/>
    <s v="MPE"/>
    <x v="0"/>
    <s v="MPE_SLT-1B_3.0.1.1.1.68b1"/>
    <s v="CMTeam"/>
    <s v="Muktesh Mukul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4-30T00:00:00"/>
    <d v="2014-04-30T00:00:00"/>
    <n v="4"/>
    <s v="2014-Apr"/>
    <n v="4"/>
    <s v="LQA-FAT"/>
    <x v="0"/>
    <m/>
    <s v="Utility"/>
    <s v="Utility"/>
    <x v="0"/>
    <s v="UTLSEQM_SLT-1B_1.0.0.0.5.6b1"/>
    <s v="CMTeam"/>
    <s v="Anshul Kumar"/>
    <m/>
    <m/>
    <s v="\\192.168.3.3\Share\Releases\Projects\SLT-1B\Release_For_Test\Test_Build_1.0.0.1\Utility\MPE\Setup"/>
    <s v="Pass"/>
    <m/>
    <m/>
    <m/>
    <m/>
    <s v="K.V. Krishnan"/>
    <x v="0"/>
    <s v=""/>
    <x v="0"/>
    <x v="0"/>
  </r>
  <r>
    <d v="2014-04-30T00:00:00"/>
    <d v="2014-04-30T00:00:00"/>
    <n v="4"/>
    <s v="2014-Apr"/>
    <n v="4"/>
    <s v="LQA-FAT"/>
    <x v="0"/>
    <m/>
    <s v="Utility"/>
    <s v="Utility"/>
    <x v="0"/>
    <s v="UTLFDUP_SLT-1B_1.0.0.0.5.2b1"/>
    <s v="CMTeam"/>
    <s v="Ajay Awasthi"/>
    <m/>
    <m/>
    <s v="\\192.168.3.3\Share\Releases\Projects\SLT-1B\Release_For_Test\Test_Build_1.0.0.1\Utility\MPE\Setup"/>
    <s v="Pass"/>
    <m/>
    <m/>
    <m/>
    <m/>
    <s v="K.V. Krishnan"/>
    <x v="0"/>
    <s v=""/>
    <x v="0"/>
    <x v="0"/>
  </r>
  <r>
    <d v="2014-04-30T00:00:00"/>
    <d v="2014-04-30T00:00:00"/>
    <n v="4"/>
    <s v="2014-Apr"/>
    <n v="4"/>
    <s v="IT-LQA"/>
    <x v="1"/>
    <m/>
    <s v="RA"/>
    <s v="DBS"/>
    <x v="0"/>
    <s v="RADBS_2.1.1.7b1"/>
    <s v="CMTeam"/>
    <s v="yogendra kumar"/>
    <s v="\\192.168.3.3\Share\Releases\Product\RevMind_2.1\Build&amp;Release\Release_For_IT\TestBuild_1.0.1\Server CD\DBS\Setup"/>
    <m/>
    <s v="\\192.168.3.3\Share\Releases\Product\RevMind_2.1\Build&amp;Release\Release_For_LQA\Test_Build_1.0.2\Server CD\DBS\Setup"/>
    <s v="Pass"/>
    <m/>
    <m/>
    <m/>
    <m/>
    <m/>
    <x v="0"/>
    <s v=""/>
    <x v="0"/>
    <x v="0"/>
  </r>
  <r>
    <d v="2014-04-30T00:00:00"/>
    <d v="2014-04-30T00:00:00"/>
    <n v="4"/>
    <s v="2014-Apr"/>
    <n v="4"/>
    <s v="IT-LQA"/>
    <x v="0"/>
    <m/>
    <s v="DM"/>
    <s v="DBS"/>
    <x v="0"/>
    <s v="DMDBS_SLT_2.0.0.20.1.125b1"/>
    <s v="CMTeam"/>
    <s v="Deepinder Singh"/>
    <s v="\\192.168.3.3\Share\Releases\Projects\SLT\Release_For_IT\Test_Build_1.0.0.4\Server CD\DBS\Setup"/>
    <s v="Obsolete-LQA"/>
    <s v="\\192.168.3.3\Share\Releases\Projects\SLT\Release_For_LQA\Test_Build_1.0.0.23\Server CD\DBS\Setup"/>
    <m/>
    <m/>
    <m/>
    <m/>
    <m/>
    <m/>
    <x v="2"/>
    <d v="2014-04-30T00:00:00"/>
    <x v="20"/>
    <x v="1"/>
  </r>
  <r>
    <d v="2014-04-30T00:00:00"/>
    <d v="2014-04-30T00:00:00"/>
    <n v="4"/>
    <s v="2014-Apr"/>
    <n v="4"/>
    <s v="IT-LQA"/>
    <x v="0"/>
    <m/>
    <s v="DM"/>
    <s v="DBS"/>
    <x v="0"/>
    <s v="DMDBS_SLT_2.0.0.20.1.126b1"/>
    <s v="CMTeam"/>
    <s v="Chander Kanta"/>
    <s v="\\192.168.3.3\Share\Releases\Projects\SLT\Release_For_IT\Test_Build_1.0.0.4\Server CD\DBS\Setup"/>
    <s v="Obsolete-LQA"/>
    <s v="\\192.168.3.3\Share\Releases\Projects\SLT\Release_For_LQA\Test_Build_1.0.0.23\Server CD\DBS\Setup"/>
    <m/>
    <m/>
    <m/>
    <m/>
    <m/>
    <m/>
    <x v="2"/>
    <d v="2014-04-30T00:00:00"/>
    <x v="20"/>
    <x v="1"/>
  </r>
  <r>
    <d v="2014-04-30T00:00:00"/>
    <d v="2014-04-30T00:00:00"/>
    <n v="4"/>
    <s v="2014-Apr"/>
    <n v="4"/>
    <s v="LQA-FAT"/>
    <x v="3"/>
    <m/>
    <s v="WWCS"/>
    <s v="GUI"/>
    <x v="1"/>
    <s v="WWCSGUI_OBT_2.1.17.0.1"/>
    <s v="CMTeam"/>
    <s v="Sumit Dalal "/>
    <m/>
    <m/>
    <s v="\\192.168.3.3\Share\Releases\Projects\OBT\Release_For_LQA\TestBuild_1.0.0.4\Server CD\GUI\Setup"/>
    <s v="Pass"/>
    <m/>
    <m/>
    <m/>
    <m/>
    <s v="Mamta Bora"/>
    <x v="0"/>
    <s v=""/>
    <x v="0"/>
    <x v="0"/>
  </r>
  <r>
    <d v="2014-05-01T00:00:00"/>
    <d v="2014-05-01T00:00:00"/>
    <n v="5"/>
    <s v="2014-May"/>
    <n v="5"/>
    <s v="IT-LQA"/>
    <x v="18"/>
    <m/>
    <s v="TM"/>
    <s v="GUI"/>
    <x v="1"/>
    <s v="TMGUI_WIS_2.0.14"/>
    <s v="CMTeam"/>
    <s v="Apurva Saurabh"/>
    <s v="\\192.168.3.3\Share\Releases\Projects\WIS\Release_For_IT\TestBuild_1.0.0.1\Client CD\Setup"/>
    <m/>
    <s v="\\192.168.3.3\Share\Releases\Projects\WIS\Release_For_Test\Test_Build_1.0.0.1\Client CD\Setup"/>
    <m/>
    <m/>
    <m/>
    <m/>
    <m/>
    <m/>
    <x v="1"/>
    <s v=""/>
    <x v="0"/>
    <x v="0"/>
  </r>
  <r>
    <d v="2014-05-01T00:00:00"/>
    <d v="2014-05-01T00:00:00"/>
    <n v="5"/>
    <s v="2014-May"/>
    <n v="5"/>
    <s v="LQA"/>
    <x v="0"/>
    <m/>
    <s v="WWFS"/>
    <s v="GUI"/>
    <x v="1"/>
    <s v="WWFSGUI_SLT_2.2.1.0.1"/>
    <s v="CMTeam"/>
    <s v="Alok Bagwale"/>
    <m/>
    <s v="Obsolete-LQA"/>
    <s v="\\192.168.3.3\Share\Releases\Projects\SLT\Release_For_LQA\Test_Build_1.0.0.23\Server CD\GUI\Setup"/>
    <m/>
    <s v="Readme Re-Released"/>
    <m/>
    <m/>
    <m/>
    <m/>
    <x v="2"/>
    <d v="2014-05-01T00:00:00"/>
    <x v="20"/>
    <x v="1"/>
  </r>
  <r>
    <d v="2014-05-01T00:00:00"/>
    <d v="2014-05-01T00:00:00"/>
    <n v="5"/>
    <s v="2014-May"/>
    <n v="5"/>
    <s v="LQA"/>
    <x v="0"/>
    <m/>
    <s v="RA"/>
    <s v="CS"/>
    <x v="1"/>
    <s v="RACS_SLT_2.5.6.1.1"/>
    <s v="CMTeam"/>
    <s v="Alok Bagwale"/>
    <m/>
    <s v="Obsolete-LQA"/>
    <s v="\\192.168.3.3\Share\Releases\Projects\SLT\Release_For_LQA\Test_Build_1.0.0.23\Server CD\GUI\Setup"/>
    <m/>
    <s v="Readme Re-Released"/>
    <m/>
    <m/>
    <m/>
    <m/>
    <x v="2"/>
    <d v="2014-05-01T00:00:00"/>
    <x v="20"/>
    <x v="1"/>
  </r>
  <r>
    <d v="2014-05-01T00:00:00"/>
    <d v="2014-05-01T00:00:00"/>
    <n v="5"/>
    <s v="2014-May"/>
    <n v="5"/>
    <s v="IT-LQA-FAT"/>
    <x v="0"/>
    <m/>
    <s v="RA"/>
    <s v="DBS"/>
    <x v="0"/>
    <s v="RADBS_SLT_2.0.0.26.1.67b1"/>
    <s v="CMTeam"/>
    <s v="Raja Sarkar"/>
    <s v="\\192.168.3.3\Share\Releases\Projects\SLT\Release_For_IT\Test_Build_1.0.0.4\Server CD\DBS\Setup"/>
    <m/>
    <s v="\\192.168.3.3\Share\Releases\Projects\SLT\Release_For_LQA\Test_Build_1.0.0.23\Server CD\DBS\Setup"/>
    <s v="Pass"/>
    <s v="Readme Re-Released"/>
    <m/>
    <m/>
    <m/>
    <s v="Vijay Singh Daagar"/>
    <x v="0"/>
    <s v=""/>
    <x v="0"/>
    <x v="0"/>
  </r>
  <r>
    <d v="2014-05-01T00:00:00"/>
    <d v="2014-05-01T00:00:00"/>
    <n v="5"/>
    <s v="2014-May"/>
    <n v="5"/>
    <s v="LQA-UAT"/>
    <x v="6"/>
    <m/>
    <s v="MPE"/>
    <s v="MPE"/>
    <x v="0"/>
    <s v="MPE_ANTEL_3.2.4.32.1.14b1 "/>
    <s v="CMTeam"/>
    <s v="Harish Singh"/>
    <m/>
    <m/>
    <s v="\\192.168.3.3\Share\Releases\Projects\ANTEL\Release_For_Test\Test_Build_1.0.0.7\Server CD\MPE\Setup"/>
    <s v="Pass"/>
    <m/>
    <m/>
    <m/>
    <m/>
    <s v="Pradeep Raghav"/>
    <x v="0"/>
    <s v=""/>
    <x v="0"/>
    <x v="0"/>
  </r>
  <r>
    <d v="2014-05-01T00:00:00"/>
    <d v="2014-05-01T00:00:00"/>
    <n v="5"/>
    <s v="2014-May"/>
    <n v="5"/>
    <s v="IT-LQA-FAT"/>
    <x v="0"/>
    <m/>
    <s v="DM"/>
    <s v="DBS"/>
    <x v="0"/>
    <s v="DMDBS_SLT_2.0.0.20.1.126b2"/>
    <s v="CMTeam"/>
    <s v="Chander Kanta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Nisha Malik"/>
    <x v="0"/>
    <s v=""/>
    <x v="0"/>
    <x v="0"/>
  </r>
  <r>
    <d v="2014-05-01T00:00:00"/>
    <d v="2014-05-01T00:00:00"/>
    <n v="5"/>
    <s v="2014-May"/>
    <n v="5"/>
    <s v="IT-LQA-FAT"/>
    <x v="0"/>
    <m/>
    <s v="DM"/>
    <s v="DBS"/>
    <x v="0"/>
    <s v="DMDBS_SLT_2.0.0.20.1.125b2"/>
    <s v="CMTeam"/>
    <s v="Deepinder Singh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Nisha Malik"/>
    <x v="0"/>
    <s v=""/>
    <x v="0"/>
    <x v="0"/>
  </r>
  <r>
    <d v="2014-05-01T00:00:00"/>
    <d v="2014-05-01T00:00:00"/>
    <n v="5"/>
    <s v="2014-May"/>
    <n v="5"/>
    <s v="IT-LQA-AT"/>
    <x v="4"/>
    <m/>
    <s v="NM"/>
    <s v="DBS"/>
    <x v="0"/>
    <s v="NMDBS_TLSTR_4.0.1.0.4.302b3"/>
    <s v="CMTeam"/>
    <s v="Deepak Yadav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Deshraj"/>
    <x v="0"/>
    <s v=""/>
    <x v="0"/>
    <x v="0"/>
  </r>
  <r>
    <d v="2014-05-01T00:00:00"/>
    <d v="2014-05-01T00:00:00"/>
    <n v="5"/>
    <s v="2014-May"/>
    <n v="5"/>
    <s v="IT-LQA-UAT"/>
    <x v="1"/>
    <m/>
    <s v="NP"/>
    <s v="DBS"/>
    <x v="0"/>
    <s v="NPDBS_1.2.3.7b2"/>
    <s v="CMTeam"/>
    <s v="Abhishek Sharma"/>
    <s v="\\192.168.3.3\share\Releases\Product\NetMindPOS_1.1\Build&amp;Release\Release for IT\TestBuild_1.2.3\Server CD\DBS\Setup"/>
    <m/>
    <s v="\\192.168.3.3\share\Releases\Product\NetMindPOS_1.1\Build&amp;Release\Release for LQA\TestBuild_1.2.3\Server CD\DBS\Setup"/>
    <s v="Pass"/>
    <m/>
    <m/>
    <m/>
    <m/>
    <s v="Abhishek Leekha"/>
    <x v="0"/>
    <s v=""/>
    <x v="0"/>
    <x v="0"/>
  </r>
  <r>
    <d v="2014-05-02T00:00:00"/>
    <d v="2014-05-02T00:00:00"/>
    <n v="5"/>
    <s v="2014-May"/>
    <n v="5"/>
    <s v="IT-LQA"/>
    <x v="10"/>
    <m/>
    <s v="NP"/>
    <s v="DBS"/>
    <x v="0"/>
    <s v="NPDBS_COM_1.2.3.6.1.11b1"/>
    <s v="CMTeam"/>
    <s v="Abhishek Sharma"/>
    <s v="\\192.168.3.3\Share\Releases\Projects\Comcast\Release_For_IT\Test_Build_4.6.1\Server CD\Database\Setup"/>
    <m/>
    <s v="\\192.168.3.3\Share\Releases\Projects\Comcast\Release_for_Test\Test_Build_4.6.4\Server CD\Database\Setup"/>
    <s v="Pass"/>
    <s v="Readme Re-Released"/>
    <m/>
    <m/>
    <m/>
    <m/>
    <x v="0"/>
    <s v=""/>
    <x v="0"/>
    <x v="0"/>
  </r>
  <r>
    <d v="2014-05-02T00:00:00"/>
    <d v="2014-05-02T00:00:00"/>
    <n v="5"/>
    <s v="2014-May"/>
    <n v="5"/>
    <s v="LQA"/>
    <x v="1"/>
    <m/>
    <s v="NM"/>
    <s v="DBS"/>
    <x v="0"/>
    <s v="NMDBS_4.7.1b6"/>
    <s v="CMTeam"/>
    <s v="Abhishek Sharma"/>
    <m/>
    <m/>
    <s v="\\192.168.3.3\Share\Releases\Product\Netmind_4.7\Build&amp;Release\Release_For_LQA\Test_Build_1.0.1\Server CD\DBS\Setup"/>
    <m/>
    <m/>
    <m/>
    <m/>
    <m/>
    <m/>
    <x v="1"/>
    <s v=""/>
    <x v="0"/>
    <x v="0"/>
  </r>
  <r>
    <d v="2014-05-02T00:00:00"/>
    <d v="2014-05-02T00:00:00"/>
    <n v="5"/>
    <s v="2014-May"/>
    <n v="5"/>
    <s v="IT-LQA-FAT"/>
    <x v="0"/>
    <m/>
    <s v="RA"/>
    <s v="DBS"/>
    <x v="0"/>
    <s v="RADBS_SLT_2.0.0.26.1.68b1"/>
    <s v="CMTeam"/>
    <s v="Shiv Mangal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5-02T00:00:00"/>
    <d v="2014-05-02T00:00:00"/>
    <n v="5"/>
    <s v="2014-May"/>
    <n v="5"/>
    <s v="IT-LQA-FAT"/>
    <x v="0"/>
    <m/>
    <s v="DM"/>
    <s v="DBS"/>
    <x v="0"/>
    <s v="DMDBS_SLT_2.0.0.20.1.128b1"/>
    <s v="CMTeam"/>
    <s v="Shiv Mangal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5-02T00:00:00"/>
    <d v="2014-05-02T00:00:00"/>
    <n v="5"/>
    <s v="2014-May"/>
    <n v="5"/>
    <s v="IT-LQA-UAT"/>
    <x v="0"/>
    <m/>
    <s v="DM"/>
    <s v="DBS"/>
    <x v="0"/>
    <s v="DMDBS_SLT_2.0.0.20.1.128b1"/>
    <s v="CMTeam"/>
    <s v="Deepinder Singh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Vijay Singh Daagar"/>
    <x v="0"/>
    <s v=""/>
    <x v="0"/>
    <x v="0"/>
  </r>
  <r>
    <d v="2014-05-02T00:00:00"/>
    <d v="2014-05-02T00:00:00"/>
    <n v="5"/>
    <s v="2014-May"/>
    <n v="5"/>
    <s v="IT-LQA"/>
    <x v="8"/>
    <m/>
    <s v="NM"/>
    <s v="DBS"/>
    <x v="0"/>
    <s v="NMDBS_TWC_4.6.1.11.3.36b2"/>
    <s v="CMTeam"/>
    <s v="Sudip Ghosh"/>
    <s v="\\192.168.3.3\Share\Releases\Projects\TWC\Release_For_IT\Test_Build_1.0.0.3\Server CD\DBS\Setup"/>
    <s v="Obsolete-LQA"/>
    <s v="\\192.168.3.3\Share\Releases\Projects\TWC\Release_For_Test\Test_Build_1.0.0.4\Server CD\DBS\Setup"/>
    <m/>
    <m/>
    <m/>
    <m/>
    <m/>
    <m/>
    <x v="2"/>
    <d v="2014-05-02T00:00:00"/>
    <x v="20"/>
    <x v="1"/>
  </r>
  <r>
    <d v="2014-05-02T00:00:00"/>
    <d v="2014-05-02T00:00:00"/>
    <n v="5"/>
    <s v="2014-May"/>
    <n v="5"/>
    <s v="LQA-FAT"/>
    <x v="4"/>
    <m/>
    <s v="MPE"/>
    <s v="MPE"/>
    <x v="0"/>
    <s v="MPE_TLSTR-2b_3.0.0.3.1.96b1"/>
    <s v="CMTeam"/>
    <s v="Sandeep Aggarwal"/>
    <m/>
    <m/>
    <s v="\\192.168.3.3\Share\Releases\Projects\Telstra-2b\Release_For_Test\Test_Build_1.0.0.1\Server CD\MPE\Setup"/>
    <s v="Pass"/>
    <m/>
    <m/>
    <m/>
    <m/>
    <s v="Ashwani "/>
    <x v="0"/>
    <s v=""/>
    <x v="0"/>
    <x v="0"/>
  </r>
  <r>
    <m/>
    <m/>
    <m/>
    <m/>
    <m/>
    <m/>
    <x v="19"/>
    <m/>
    <m/>
    <m/>
    <x v="2"/>
    <m/>
    <m/>
    <m/>
    <s v="\\192.168.3.3\Share\Releases\Projects\WIS\Release_For_IT\TestBuild_1.0.0.1\Client CD\Setup"/>
    <m/>
    <s v="\\192.168.3.3\Share\Releases\Projects\WIS\Release_For_Test\Test_Build_1.0.0.1\Client CD\Setup"/>
    <m/>
    <m/>
    <m/>
    <m/>
    <m/>
    <m/>
    <x v="1"/>
    <s v=""/>
    <x v="0"/>
    <x v="0"/>
  </r>
  <r>
    <d v="2014-05-05T00:00:00"/>
    <d v="2014-05-05T00:00:00"/>
    <n v="5"/>
    <s v="2014-May"/>
    <n v="5"/>
    <s v="LQA"/>
    <x v="1"/>
    <m/>
    <s v="NP"/>
    <s v="DBS"/>
    <x v="1"/>
    <s v="NPDBS_1.3.1b4"/>
    <s v="CMTeam"/>
    <s v="surender Kumar"/>
    <m/>
    <m/>
    <s v="\\192.168.3.3\Share\Releases\Product\NetMindPOS_1.3\Build&amp;Release\Release_For_LQA\Test_Build_1.0.1\Server CD\DBS\Setup"/>
    <m/>
    <m/>
    <m/>
    <m/>
    <m/>
    <m/>
    <x v="1"/>
    <s v=""/>
    <x v="0"/>
    <x v="0"/>
  </r>
  <r>
    <d v="2014-05-05T00:00:00"/>
    <d v="2014-05-07T00:00:00"/>
    <n v="5"/>
    <s v="2014-May"/>
    <n v="5"/>
    <s v="IT-LQA-FAT"/>
    <x v="1"/>
    <m/>
    <s v="RT"/>
    <s v="DBS"/>
    <x v="1"/>
    <s v="RTDBS_4.0.1.18b1"/>
    <s v="CMTeam"/>
    <s v="Manisha Srivastava"/>
    <s v="\\192.168.3.3\Share\Releases\Product\RT_4.0\ReleaseForIT\TestBuild_4.0.3\DBS\Setup"/>
    <m/>
    <s v="\\192.168.3.3\Share\Releases\Product\RT_4.0\ReleaseForLQA\TestBuild_4.0.22\DBS\Setup"/>
    <s v="Pass"/>
    <s v="Readme Re-Released"/>
    <m/>
    <m/>
    <m/>
    <s v="Harsh Khanna"/>
    <x v="0"/>
    <s v=""/>
    <x v="0"/>
    <x v="0"/>
  </r>
  <r>
    <d v="2014-05-05T00:00:00"/>
    <d v="2014-05-05T00:00:00"/>
    <n v="5"/>
    <s v="2014-May"/>
    <n v="5"/>
    <s v="IT-LQA"/>
    <x v="10"/>
    <m/>
    <s v="NM"/>
    <s v="DBS"/>
    <x v="0"/>
    <s v="NMDBS_COM_4.6.1.20.1.20b1"/>
    <s v="CMTeam"/>
    <s v="Sumita Yadav"/>
    <s v="\\192.168.3.3\Share\Releases\Projects\Comcast\Release_For_IT\Test_Build_4.6.1\Server CD\Database\Setup"/>
    <m/>
    <s v="\\192.168.3.3\Share\Releases\Projects\Comcast\Release_for_Test\Test_Build_4.6.4\Server CD\Database\Setup"/>
    <s v="Pass"/>
    <m/>
    <m/>
    <m/>
    <m/>
    <m/>
    <x v="0"/>
    <s v=""/>
    <x v="0"/>
    <x v="0"/>
  </r>
  <r>
    <d v="2014-05-05T00:00:00"/>
    <d v="2014-05-05T00:00:00"/>
    <n v="5"/>
    <s v="2014-May"/>
    <n v="5"/>
    <s v="LQA-UAT"/>
    <x v="8"/>
    <m/>
    <s v="MPE"/>
    <s v="MPE"/>
    <x v="0"/>
    <s v="MPE_TWC_3.2.1.5.2.13b1"/>
    <s v="CMTeam"/>
    <s v="Ankit Jain"/>
    <m/>
    <m/>
    <s v="\\192.168.3.3\Share\Releases\Projects\TWC\Release_For_Test\Test_Build_1.0.0.4\Server CD\MPE\Setup"/>
    <s v="Pass"/>
    <s v="Readme Re-Released"/>
    <m/>
    <m/>
    <m/>
    <s v="Jitender Aggarwal"/>
    <x v="0"/>
    <s v=""/>
    <x v="0"/>
    <x v="0"/>
  </r>
  <r>
    <d v="2014-05-06T00:00:00"/>
    <d v="2014-05-07T00:00:00"/>
    <n v="5"/>
    <s v="2014-May"/>
    <n v="5"/>
    <s v="IT-LQA"/>
    <x v="3"/>
    <m/>
    <s v="NM"/>
    <s v="DBS"/>
    <x v="0"/>
    <s v="NMDBS_OBT_4.6.1.21.1.30b1"/>
    <s v="CMTeam"/>
    <s v="Rohit Kanwar"/>
    <s v="\\192.168.3.3\Share\Releases\Projects\OBT\Release_For_IT\TestBuild_1.0.0.2\Server CD\DBS\Setup"/>
    <s v="Obsolete-LQA"/>
    <s v="\\192.168.3.3\Share\Releases\Projects\OBT\Release_For_LQA\TestBuild_1.0.0.4\Server CD\DBS\Setup"/>
    <m/>
    <s v="Readme Re-Released"/>
    <m/>
    <m/>
    <m/>
    <m/>
    <x v="2"/>
    <d v="2014-05-07T00:00:00"/>
    <x v="21"/>
    <x v="1"/>
  </r>
  <r>
    <d v="2014-05-06T00:00:00"/>
    <d v="2014-05-06T00:00:00"/>
    <n v="5"/>
    <s v="2014-May"/>
    <n v="5"/>
    <s v="LQA"/>
    <x v="10"/>
    <m/>
    <s v="MPE"/>
    <s v="MPE"/>
    <x v="0"/>
    <s v="MPE_COM_3.2.5.0.2.3b1"/>
    <s v="CMTeam"/>
    <s v="Mohd. Asif"/>
    <m/>
    <m/>
    <s v="\\192.168.3.3\Share\Releases\Projects\Comcast\Release_for_Test\Test_Build_4.6.4\Server CD\MPE\Setup"/>
    <m/>
    <m/>
    <m/>
    <m/>
    <m/>
    <m/>
    <x v="1"/>
    <s v=""/>
    <x v="0"/>
    <x v="0"/>
  </r>
  <r>
    <d v="2014-05-06T00:00:00"/>
    <d v="2014-05-06T00:00:00"/>
    <n v="5"/>
    <s v="2014-May"/>
    <n v="5"/>
    <s v="IT-LQA-FAT"/>
    <x v="1"/>
    <m/>
    <s v="RE"/>
    <s v="DBS"/>
    <x v="0"/>
    <s v="REDBS_1.0.1.24b1"/>
    <s v="CMTeam"/>
    <s v="Shiv Mangal"/>
    <s v="\\192.168.3.3\Share\Releases\Product\RE_1.0\ReleaseForIT\TestBuild_1.0.1\DBS\Build4\Setup"/>
    <m/>
    <s v="\\192.168.3.3\Share\Releases\Product\RE_1.0\ReleaseForLQA\TestBuild_1.0.1\DBS\Build4\Setup"/>
    <s v="Pass"/>
    <m/>
    <m/>
    <m/>
    <m/>
    <s v="Ravi Gautam"/>
    <x v="0"/>
    <s v=""/>
    <x v="0"/>
    <x v="0"/>
  </r>
  <r>
    <d v="2014-05-06T00:00:00"/>
    <d v="2014-05-06T00:00:00"/>
    <n v="5"/>
    <s v="2014-May"/>
    <n v="5"/>
    <s v="IT-LQA-UAT"/>
    <x v="1"/>
    <m/>
    <s v="NP"/>
    <s v="DBS"/>
    <x v="0"/>
    <s v="NPDBS_1.2.3.8b1"/>
    <s v="CMTeam"/>
    <s v="Abhishek Sharma"/>
    <s v="\\192.168.3.3\share\Releases\Product\NetMindPOS_1.1\Build&amp;Release\Release for IT\TestBuild_1.2.3\Server CD\DBS\Setup"/>
    <m/>
    <s v="\\192.168.3.3\share\Releases\Product\NetMindPOS_1.1\Build&amp;Release\Release for LQA\TestBuild_1.2.3\Server CD\DBS\Setup"/>
    <s v="Pass"/>
    <m/>
    <m/>
    <m/>
    <m/>
    <s v="Abhishek Leekha"/>
    <x v="0"/>
    <s v=""/>
    <x v="0"/>
    <x v="0"/>
  </r>
  <r>
    <d v="2014-05-06T00:00:00"/>
    <d v="2014-05-06T00:00:00"/>
    <n v="5"/>
    <s v="2014-May"/>
    <n v="5"/>
    <s v="IT-LQA"/>
    <x v="10"/>
    <m/>
    <s v="NP"/>
    <s v="DBS"/>
    <x v="0"/>
    <s v="NPDBS_COM_1.2.3.6.1.12b1"/>
    <s v="CMTeam"/>
    <s v="Abhishek Sharma"/>
    <s v="\\192.168.3.3\Share\Releases\Projects\Comcast\Release_For_IT\Test_Build_4.6.1\Server CD\Database\Setup"/>
    <m/>
    <s v="\\192.168.3.3\Share\Releases\Projects\Comcast\Release_for_Test\Test_Build_4.6.4\Server CD\Database\Setup"/>
    <s v="Pass"/>
    <m/>
    <m/>
    <m/>
    <m/>
    <m/>
    <x v="0"/>
    <s v=""/>
    <x v="0"/>
    <x v="0"/>
  </r>
  <r>
    <d v="2014-05-07T00:00:00"/>
    <d v="2014-05-07T00:00:00"/>
    <n v="5"/>
    <s v="2014-May"/>
    <n v="5"/>
    <s v="LQA"/>
    <x v="1"/>
    <m/>
    <s v="RT"/>
    <s v="GUI"/>
    <x v="1"/>
    <s v="RTGUI_4.0.23b3 "/>
    <s v="CMTeam"/>
    <s v="Ajay Sharma"/>
    <m/>
    <m/>
    <s v="\\192.168.3.3\Share\Releases\Product\RT_4.0\ReleaseForLQA\TestBuild_4.0.23\GUI\Build1\Setup"/>
    <m/>
    <m/>
    <m/>
    <m/>
    <m/>
    <m/>
    <x v="1"/>
    <s v=""/>
    <x v="0"/>
    <x v="0"/>
  </r>
  <r>
    <d v="2014-05-07T00:00:00"/>
    <d v="2014-05-07T00:00:00"/>
    <n v="5"/>
    <s v="2014-May"/>
    <n v="5"/>
    <s v="IT-LQA-FAT"/>
    <x v="0"/>
    <m/>
    <s v="DM"/>
    <s v="DBS"/>
    <x v="0"/>
    <s v="DMDBS_SLT_2.0.0.20.1.129b1"/>
    <s v="CMTeam"/>
    <s v="Deepinder Singh"/>
    <s v="\\192.168.3.3\Share\Releases\Projects\SLT\Release_For_LQA\Test_Build_1.0.0.23\Server CD\DBS\Setup"/>
    <m/>
    <s v="\\192.168.3.3\Share\Releases\Projects\SLT\Release_For_IT\Test_Build_1.0.0.4\Server CD\DBS\Setup"/>
    <s v="Pass"/>
    <m/>
    <m/>
    <m/>
    <m/>
    <s v="Nisha Malik"/>
    <x v="0"/>
    <s v=""/>
    <x v="0"/>
    <x v="0"/>
  </r>
  <r>
    <d v="2014-05-07T00:00:00"/>
    <d v="2014-05-07T00:00:00"/>
    <n v="5"/>
    <s v="2014-May"/>
    <n v="5"/>
    <s v="LQA"/>
    <x v="3"/>
    <m/>
    <s v="MPE"/>
    <s v="MPE"/>
    <x v="0"/>
    <s v="MPE_OBT_3.2.1.3.1.15b1"/>
    <s v="CMTeam"/>
    <s v="Rohtash"/>
    <m/>
    <m/>
    <s v="\\192.168.3.3\share\Releases\Projects\OBT\Release_For_LQA\TestBuild_1.0.0.4\Server CD\MPE\Setup"/>
    <s v="Pass"/>
    <m/>
    <m/>
    <m/>
    <m/>
    <m/>
    <x v="0"/>
    <s v=""/>
    <x v="0"/>
    <x v="0"/>
  </r>
  <r>
    <d v="2014-05-08T00:00:00"/>
    <d v="2014-05-08T00:00:00"/>
    <n v="5"/>
    <s v="2014-May"/>
    <n v="5"/>
    <s v="IT-LQA-FAT"/>
    <x v="0"/>
    <m/>
    <s v="DM"/>
    <s v="DBS"/>
    <x v="0"/>
    <s v="DMDBS_SLT_2.0.0.20.1.131b1"/>
    <s v="CMTeam"/>
    <s v="Deepinder Singh"/>
    <s v="\\192.168.3.3\Share\Releases\Projects\SLT\Release_For_LQA\Test_Build_1.0.0.23\Server CD\DBS\Setup"/>
    <m/>
    <s v="\\192.168.3.3\Share\Releases\Projects\SLT\Release_For_IT\Test_Build_1.0.0.4\Server CD\DBS\Setup"/>
    <s v="Pass"/>
    <m/>
    <m/>
    <m/>
    <m/>
    <s v="Nisha Malik"/>
    <x v="0"/>
    <s v=""/>
    <x v="0"/>
    <x v="0"/>
  </r>
  <r>
    <d v="2014-05-08T00:00:00"/>
    <d v="2014-05-08T00:00:00"/>
    <n v="5"/>
    <s v="2014-May"/>
    <n v="5"/>
    <s v="LQA"/>
    <x v="0"/>
    <m/>
    <s v="RT"/>
    <s v="GUI"/>
    <x v="1"/>
    <s v="RTGUI_SLT_4.0.23.0.1"/>
    <s v="CMTeam"/>
    <s v="Ajay Sharma"/>
    <m/>
    <m/>
    <s v="\\192.168.3.3\Share\Releases\Projects\SLT\Release_For_LQA\Test_Build_1.0.0.23\Server CD\GUI\Setup"/>
    <m/>
    <m/>
    <m/>
    <m/>
    <m/>
    <m/>
    <x v="1"/>
    <s v=""/>
    <x v="0"/>
    <x v="0"/>
  </r>
  <r>
    <d v="2014-05-08T00:00:00"/>
    <d v="2014-05-08T00:00:00"/>
    <n v="5"/>
    <s v="2014-May"/>
    <n v="5"/>
    <s v="IT-LQA"/>
    <x v="10"/>
    <m/>
    <s v="NM"/>
    <s v="DBS"/>
    <x v="0"/>
    <s v="NMDBS_COM_4.6.1.20.1.21b1"/>
    <s v="CMTeam"/>
    <s v="Sumita Yadav"/>
    <s v="\\192.168.3.3\Share\Releases\Projects\Comcast\Release_For_IT\Test_Build_4.6.1\Server CD\Database\Setup"/>
    <m/>
    <s v="\\192.168.3.3\Share\Releases\Projects\Comcast\Release_for_Test\Test_Build_4.6.4\Server CD\Database\Setup"/>
    <s v="Pass"/>
    <m/>
    <m/>
    <m/>
    <m/>
    <m/>
    <x v="0"/>
    <s v=""/>
    <x v="0"/>
    <x v="0"/>
  </r>
  <r>
    <d v="2014-05-08T00:00:00"/>
    <d v="2014-05-08T00:00:00"/>
    <n v="5"/>
    <s v="2014-May"/>
    <n v="5"/>
    <s v="LQA"/>
    <x v="1"/>
    <m/>
    <s v="RA"/>
    <s v="CS"/>
    <x v="0"/>
    <s v="RACS_2.5.6.1b7 "/>
    <s v="CMTeam"/>
    <s v="Alok Bagwale"/>
    <m/>
    <m/>
    <s v="\\192.168.3.3\Share\Releases\Product\RevMind_2.1\Build&amp;Release\Release_For_LQA\Test_Build_1.0.2\Server CD\GUI\CS\Setup"/>
    <s v="Pass"/>
    <s v="Readme Re-Released"/>
    <m/>
    <m/>
    <m/>
    <m/>
    <x v="0"/>
    <s v=""/>
    <x v="0"/>
    <x v="0"/>
  </r>
  <r>
    <d v="2014-05-08T00:00:00"/>
    <d v="2014-05-08T00:00:00"/>
    <n v="5"/>
    <s v="2014-May"/>
    <n v="5"/>
    <s v="IT-LQA"/>
    <x v="10"/>
    <m/>
    <s v="NM"/>
    <s v="DBS"/>
    <x v="0"/>
    <s v="NMDBS_COM_4.6.1.20.1.22b1"/>
    <s v="CMTeam"/>
    <s v="Sumita Yadav"/>
    <s v="\\192.168.3.3\Share\Releases\Projects\Comcast\Release_For_IT\Test_Build_4.6.1\Server CD\Database\Setup"/>
    <m/>
    <s v="\\192.168.3.3\Share\Releases\Projects\Comcast\Release_for_Test\Test_Build_4.6.4\Server CD\Database\Setup"/>
    <m/>
    <s v="Readme Re-Released"/>
    <m/>
    <m/>
    <m/>
    <m/>
    <x v="1"/>
    <s v=""/>
    <x v="0"/>
    <x v="0"/>
  </r>
  <r>
    <d v="2014-05-08T00:00:00"/>
    <d v="2014-05-08T00:00:00"/>
    <n v="5"/>
    <s v="2014-May"/>
    <n v="5"/>
    <s v="IT-LQA"/>
    <x v="0"/>
    <m/>
    <s v="DM"/>
    <s v="DBS"/>
    <x v="0"/>
    <s v="DMDBS_SLT_2.0.0.20.1.130b1"/>
    <s v="CMTeam"/>
    <s v="Raja Sarkar"/>
    <s v="\\192.168.3.3\Share\Releases\Projects\SLT\Release_For_IT\Test_Build_1.0.0.4\Server CD\DBS\Setup"/>
    <s v="Obsolete-LQA"/>
    <s v="\\192.168.3.3\Share\Releases\Projects\SLT\Release_For_LQA\Test_Build_1.0.0.23\Server CD\DBS\Setup"/>
    <m/>
    <s v="Readme Re-Released"/>
    <m/>
    <m/>
    <m/>
    <m/>
    <x v="2"/>
    <d v="2014-05-08T00:00:00"/>
    <x v="21"/>
    <x v="1"/>
  </r>
  <r>
    <d v="2014-05-09T00:00:00"/>
    <d v="2014-05-09T00:00:00"/>
    <n v="5"/>
    <s v="2014-May"/>
    <n v="5"/>
    <s v="LQA-FAT"/>
    <x v="0"/>
    <m/>
    <s v="RA"/>
    <s v="CS"/>
    <x v="1"/>
    <s v="RACS_SLT_2.5.6.1.2"/>
    <s v="CMTeam"/>
    <s v="Alok Bagwale"/>
    <m/>
    <m/>
    <s v="\\192.168.3.3\Share\Releases\Projects\SLT\Release_For_LQA\Test_Build_1.0.0.23\Server CD\GUI\Setup"/>
    <s v="Pass"/>
    <s v="Readme Re-Released"/>
    <m/>
    <m/>
    <m/>
    <s v="Vijay Singh Daagar"/>
    <x v="0"/>
    <s v=""/>
    <x v="0"/>
    <x v="0"/>
  </r>
  <r>
    <d v="2014-05-09T00:00:00"/>
    <d v="2014-05-09T00:00:00"/>
    <n v="5"/>
    <s v="2014-May"/>
    <n v="5"/>
    <s v="IT-LQA"/>
    <x v="1"/>
    <m/>
    <s v="RA"/>
    <s v="DBS"/>
    <x v="0"/>
    <s v="RADBS_2.1.1.8b1"/>
    <s v="CMTeam"/>
    <s v="Anand Kumar Ojha"/>
    <s v="\\192.168.3.3\Share\Releases\Product\RevMind_2.1\Build&amp;Release\Release_For_IT\TestBuild_1.0.1\Server CD\DBS\Setup"/>
    <m/>
    <s v="\\192.168.3.3\Share\Releases\Product\RevMind_2.1\Build&amp;Release\Release_For_LQA\Test_Build_1.0.2\Server CD\DBS\Setup"/>
    <s v="Pass"/>
    <m/>
    <m/>
    <m/>
    <m/>
    <m/>
    <x v="0"/>
    <s v=""/>
    <x v="0"/>
    <x v="0"/>
  </r>
  <r>
    <d v="2014-05-09T00:00:00"/>
    <d v="2014-05-09T00:00:00"/>
    <n v="5"/>
    <s v="2014-May"/>
    <n v="5"/>
    <s v="IT-LQA-FAT"/>
    <x v="0"/>
    <m/>
    <s v="RA"/>
    <s v="DBS"/>
    <x v="0"/>
    <s v="RADBS_SLT_2.0.0.26.1.69b1"/>
    <s v="CMTeam"/>
    <s v="yogendra kumar"/>
    <s v="\\192.168.3.3\Share\Releases\Projects\SLT\Release_For_IT\Test_Build_1.0.0.4\Server CD\DBS\Setup"/>
    <m/>
    <s v="\\192.168.3.3\Share\Releases\Projects\SLT\Release_For_LQA\Test_Build_1.0.0.23\Server CD\DBS\Setup"/>
    <s v="Pass"/>
    <s v="Readme Re-Released"/>
    <m/>
    <m/>
    <m/>
    <s v="Vijay Singh Daagar"/>
    <x v="0"/>
    <s v=""/>
    <x v="0"/>
    <x v="0"/>
  </r>
  <r>
    <d v="2014-05-09T00:00:00"/>
    <d v="2014-05-09T00:00:00"/>
    <n v="5"/>
    <s v="2014-May"/>
    <n v="5"/>
    <s v="IT-LQA-FAT"/>
    <x v="0"/>
    <m/>
    <s v="DM"/>
    <s v="DBS"/>
    <x v="0"/>
    <s v="DMDBS_SLT_2.0.0.20.1.132b1"/>
    <s v="CMTeam"/>
    <s v="Manisha Srivastava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Nisha Malik"/>
    <x v="0"/>
    <s v=""/>
    <x v="0"/>
    <x v="0"/>
  </r>
  <r>
    <d v="2014-05-09T00:00:00"/>
    <d v="2014-05-09T00:00:00"/>
    <n v="5"/>
    <s v="2014-May"/>
    <n v="5"/>
    <s v="IT-LQA-FAT"/>
    <x v="0"/>
    <m/>
    <s v="DM"/>
    <s v="DBS"/>
    <x v="0"/>
    <s v="DMDBS_SLT_2.0.0.20.1.134b1"/>
    <s v="CMTeam"/>
    <s v="Shiv Mangal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5-09T00:00:00"/>
    <d v="2014-05-09T00:00:00"/>
    <n v="5"/>
    <s v="2014-May"/>
    <n v="5"/>
    <s v="LQA"/>
    <x v="0"/>
    <m/>
    <s v="WWFS"/>
    <s v="GUI"/>
    <x v="1"/>
    <s v="WWFSGUI_SLT_2.2.1.0.2"/>
    <s v="CMTeam"/>
    <s v="Alok Bagwale"/>
    <m/>
    <s v="Obsolete-LQA"/>
    <s v="\\192.168.3.3\Share\Releases\Projects\SLT\Release_For_LQA\Test_Build_1.0.0.23\Server CD\GUI\Setup"/>
    <m/>
    <m/>
    <m/>
    <m/>
    <m/>
    <m/>
    <x v="2"/>
    <d v="2014-05-09T00:00:00"/>
    <x v="21"/>
    <x v="1"/>
  </r>
  <r>
    <d v="2014-05-09T00:00:00"/>
    <d v="2014-05-13T00:00:00"/>
    <n v="5"/>
    <s v="2014-May"/>
    <n v="5"/>
    <s v="IT-LQA"/>
    <x v="1"/>
    <m/>
    <s v="NM"/>
    <s v="DBS"/>
    <x v="0"/>
    <s v="WWFSGUI_SLT_2.2.1.0.2"/>
    <s v="CMTeam"/>
    <s v="surender Kumar"/>
    <s v="\\192.168.3.3\Share\Releases\Product\Netmind_4.6\Build&amp;Release\ReleaseForIT\TestBuild_4.6.1\Build4\ServerCD\DBS\Setup"/>
    <m/>
    <s v="\\192.168.3.3\Share\Releases\Product\Netmind_4.6\Build&amp;Release\ReleaseForTest\TestBuild_4.6.1\Build4\ServerCD\DBS\Setup"/>
    <m/>
    <m/>
    <m/>
    <m/>
    <m/>
    <m/>
    <x v="1"/>
    <s v=""/>
    <x v="0"/>
    <x v="0"/>
  </r>
  <r>
    <d v="2014-05-09T00:00:00"/>
    <d v="2014-05-09T00:00:00"/>
    <n v="5"/>
    <s v="2014-May"/>
    <n v="5"/>
    <s v="LQA"/>
    <x v="0"/>
    <m/>
    <s v="MPE"/>
    <s v="MPE"/>
    <x v="0"/>
    <s v="MPE_SLT-1B_3.0.1.1.1.69b1"/>
    <s v="CMTeam"/>
    <s v="Navkaran Sandhu"/>
    <m/>
    <s v="Obsolete-LQA"/>
    <s v="\\192.168.3.3\Share\Releases\Projects\SLT-1B\Release_For_Test\Test_Build_1.0.0.1\Server CD\MPE\Setup"/>
    <m/>
    <m/>
    <m/>
    <m/>
    <m/>
    <m/>
    <x v="2"/>
    <d v="2014-05-09T00:00:00"/>
    <x v="21"/>
    <x v="1"/>
  </r>
  <r>
    <d v="2014-05-12T00:00:00"/>
    <d v="2014-05-12T00:00:00"/>
    <n v="5"/>
    <s v="2014-May"/>
    <n v="5"/>
    <s v="IT-LQA"/>
    <x v="10"/>
    <m/>
    <s v="NP"/>
    <s v="DBS"/>
    <x v="0"/>
    <s v="NPDBS_COM_1.2.3.6.1.13b1"/>
    <s v="CMTeam"/>
    <s v="Abhishek Sharma"/>
    <s v="\\192.168.3.3\Share\Releases\Projects\Comcast\Release_For_IT\Test_Build_4.6.1\Server CD\Database\Setup"/>
    <m/>
    <s v="\\192.168.3.3\Share\Releases\Projects\Comcast\Release_for_Test\Test_Build_4.6.4\Server CD\Database\Setup"/>
    <s v="Pass"/>
    <s v="Readme Re-Released"/>
    <m/>
    <m/>
    <m/>
    <m/>
    <x v="0"/>
    <s v=""/>
    <x v="0"/>
    <x v="0"/>
  </r>
  <r>
    <d v="2014-05-12T00:00:00"/>
    <d v="2014-05-12T00:00:00"/>
    <n v="5"/>
    <s v="2014-May"/>
    <n v="5"/>
    <s v="IT-LQA"/>
    <x v="4"/>
    <m/>
    <s v="NM"/>
    <s v="DBS"/>
    <x v="0"/>
    <s v="NMDBS_TLSTR_4.0.1.0.4.303b1 "/>
    <s v="CMTeam"/>
    <s v="Gautam"/>
    <s v="\\192.168.3.3\Share\Releases\Projects\Telstra\Release_For_IT\Test_Build_1.0.0.18\Server CD\DBS\Setup"/>
    <m/>
    <s v="\\192.168.3.3\Share\Releases\Projects\Telstra\Release_For_LQA\Test_Build_1.0.0.18\Server CD\DBS\Setup"/>
    <m/>
    <m/>
    <m/>
    <m/>
    <m/>
    <m/>
    <x v="1"/>
    <s v=""/>
    <x v="0"/>
    <x v="0"/>
  </r>
  <r>
    <d v="2014-05-12T00:00:00"/>
    <d v="2014-05-12T00:00:00"/>
    <n v="5"/>
    <s v="2014-May"/>
    <n v="5"/>
    <s v="IT-LQA-UAT"/>
    <x v="1"/>
    <m/>
    <s v="NP"/>
    <s v="DBS"/>
    <x v="0"/>
    <s v="NPDBS_1.2.3.9b1"/>
    <s v="CMTeam"/>
    <s v="Abhishek Sharma"/>
    <s v="\\192.168.3.3\share\Releases\Product\NetMindPOS_1.1\Build&amp;Release\Release for IT\TestBuild_1.2.3\Server CD\DBS\Setup"/>
    <m/>
    <s v="\\192.168.3.3\share\Releases\Product\NetMindPOS_1.1\Build&amp;Release\Release for LQA\TestBuild_1.2.3\Server CD\DBS\Setup"/>
    <s v="Pass"/>
    <m/>
    <m/>
    <m/>
    <m/>
    <s v="Abhishek Leekha"/>
    <x v="0"/>
    <s v=""/>
    <x v="0"/>
    <x v="0"/>
  </r>
  <r>
    <d v="2014-05-12T00:00:00"/>
    <d v="2014-05-12T00:00:00"/>
    <n v="5"/>
    <s v="2014-May"/>
    <n v="5"/>
    <s v="LQA-FAT"/>
    <x v="0"/>
    <m/>
    <s v="MPE"/>
    <s v="MPE"/>
    <x v="0"/>
    <s v="MPE_SLT-1B_3.0.1.1.1.70b1"/>
    <s v="CMTeam"/>
    <s v="Anshul Kumar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5-13T00:00:00"/>
    <d v="2014-05-13T00:00:00"/>
    <n v="5"/>
    <s v="2014-May"/>
    <n v="5"/>
    <s v="LQA"/>
    <x v="1"/>
    <m/>
    <s v="RE"/>
    <s v="GUI"/>
    <x v="1"/>
    <s v="REGUI_1.0.11b4"/>
    <s v="CMTeam"/>
    <s v="Deepak Dhiman"/>
    <m/>
    <m/>
    <s v="\\192.168.3.3\Share\Releases\Product\RE_1.0\ReleaseForLQA\TestBuild_1.0.1\GUI\Setup"/>
    <m/>
    <m/>
    <m/>
    <m/>
    <m/>
    <m/>
    <x v="1"/>
    <s v=""/>
    <x v="0"/>
    <x v="0"/>
  </r>
  <r>
    <d v="2014-05-13T00:00:00"/>
    <d v="2014-05-13T00:00:00"/>
    <n v="5"/>
    <s v="2014-May"/>
    <n v="5"/>
    <s v="IT-LQA"/>
    <x v="3"/>
    <m/>
    <s v="NM"/>
    <s v="DBS"/>
    <x v="0"/>
    <s v="NMDBS_OBT_4.6.1.21.1.31b1"/>
    <s v="CMTeam"/>
    <s v="Rohit Kanwar"/>
    <s v="\\192.168.3.3\Share\Releases\Projects\OBT\Release_For_IT\TestBuild_1.0.0.2\Server CD\DBS\Setup"/>
    <m/>
    <s v="\\192.168.3.3\Share\Releases\Projects\OBT\Release_For_LQA\TestBuild_1.0.0.4\Server CD\DBS\Setup"/>
    <s v="Pass"/>
    <m/>
    <m/>
    <m/>
    <m/>
    <m/>
    <x v="0"/>
    <s v=""/>
    <x v="0"/>
    <x v="0"/>
  </r>
  <r>
    <d v="2014-05-13T00:00:00"/>
    <d v="2014-05-13T00:00:00"/>
    <n v="5"/>
    <s v="2014-May"/>
    <n v="5"/>
    <s v="LQA"/>
    <x v="12"/>
    <m/>
    <s v="MPE"/>
    <s v="MPE"/>
    <x v="0"/>
    <s v="MPE_DRC_3.2.1.3.2.24b1"/>
    <s v="CMTeam"/>
    <s v="Navkaran Sandhu"/>
    <m/>
    <m/>
    <s v="\\192.168.3.3\Share\Releases\Projects\DRC\Release_For_LQA\Test_Build_1.0.0.3\Server CD\MPE\Setup"/>
    <s v="Pass"/>
    <s v="Readme Re-Released"/>
    <m/>
    <m/>
    <m/>
    <m/>
    <x v="0"/>
    <s v=""/>
    <x v="0"/>
    <x v="0"/>
  </r>
  <r>
    <d v="2014-05-13T00:00:00"/>
    <d v="2014-05-13T00:00:00"/>
    <n v="5"/>
    <s v="2014-May"/>
    <n v="5"/>
    <s v="IT-LQA"/>
    <x v="10"/>
    <m/>
    <s v="NM"/>
    <s v="DBS"/>
    <x v="0"/>
    <s v="NMDBS_COM_4.6.1.20.1.23b1"/>
    <s v="CMTeam"/>
    <s v="Sachin Srivastva"/>
    <s v="\\192.168.3.3\Share\Releases\Projects\Comcast\Release_For_IT\Test_Build_4.6.1\Server CD\Database\Setup"/>
    <m/>
    <s v="\\192.168.3.3\Share\Releases\Projects\Comcast\Release_for_Test\Test_Build_4.6.4\Server CD\Database\Setup"/>
    <s v="Pass"/>
    <m/>
    <m/>
    <m/>
    <m/>
    <m/>
    <x v="0"/>
    <s v=""/>
    <x v="0"/>
    <x v="0"/>
  </r>
  <r>
    <d v="2014-05-13T00:00:00"/>
    <d v="2014-05-13T00:00:00"/>
    <n v="5"/>
    <s v="2014-May"/>
    <n v="5"/>
    <s v="IT-LQA"/>
    <x v="10"/>
    <m/>
    <s v="NM"/>
    <s v="DBS"/>
    <x v="0"/>
    <s v="NMDBS_COM_4.6.1.20.1.24b1"/>
    <s v="CMTeam"/>
    <s v="Sachin Srivastva"/>
    <s v="\\192.168.3.3\Share\Releases\Projects\Comcast\Release_For_IT\Test_Build_4.6.1\Server CD\Database\Setup"/>
    <m/>
    <s v="\\192.168.3.3\Share\Releases\Projects\Comcast\Release_for_Test\Test_Build_4.6.4\Server CD\Database\Setup"/>
    <s v="Pass"/>
    <m/>
    <m/>
    <m/>
    <m/>
    <m/>
    <x v="0"/>
    <s v=""/>
    <x v="0"/>
    <x v="0"/>
  </r>
  <r>
    <d v="2014-05-13T00:00:00"/>
    <d v="2014-05-13T00:00:00"/>
    <n v="5"/>
    <s v="2014-May"/>
    <n v="5"/>
    <s v="IT-LQA"/>
    <x v="1"/>
    <m/>
    <s v="RA"/>
    <s v="DBS"/>
    <x v="0"/>
    <s v="RADBS_2.1.1.2b2"/>
    <s v="CMTeam"/>
    <s v="Anand Kumar Ojha"/>
    <s v="\\192.168.3.3\Share\Releases\Product\RevMind_2.1\Build&amp;Release\Release_For_IT\TestBuild_1.0.1\Server CD\DBS\Setup"/>
    <m/>
    <s v="\\192.168.3.3\Share\Releases\Product\RevMind_2.1\Build&amp;Release\Release_For_LQA\Test_Build_1.0.2\Server CD\DBS\Setup"/>
    <s v="Pass"/>
    <s v="Readme Re-Released"/>
    <m/>
    <m/>
    <m/>
    <m/>
    <x v="0"/>
    <s v=""/>
    <x v="0"/>
    <x v="0"/>
  </r>
  <r>
    <d v="2014-05-13T00:00:00"/>
    <d v="2014-05-13T00:00:00"/>
    <n v="5"/>
    <s v="2014-May"/>
    <n v="5"/>
    <s v="LQA"/>
    <x v="1"/>
    <m/>
    <s v="WWCS"/>
    <s v="GUI"/>
    <x v="0"/>
    <s v="WWCSGUI_2.1.18b2"/>
    <s v="CMTeam"/>
    <s v="Sumit Dalal "/>
    <m/>
    <m/>
    <s v="\\192.168.3.3\Share\Releases\Product\WEB_CS\Build&amp;Release\Release For Test\TestBuild_2.1.18\ServerCD\GUI\Setup"/>
    <m/>
    <m/>
    <m/>
    <m/>
    <m/>
    <m/>
    <x v="1"/>
    <s v=""/>
    <x v="0"/>
    <x v="0"/>
  </r>
  <r>
    <d v="2014-05-13T00:00:00"/>
    <d v="2014-05-13T00:00:00"/>
    <n v="5"/>
    <s v="2014-May"/>
    <n v="5"/>
    <s v="LQA-FAT"/>
    <x v="0"/>
    <m/>
    <s v="Utility"/>
    <s v="Utility"/>
    <x v="0"/>
    <s v="UTLSEQM_SLT-1B_1.0.0.0.5.7b1"/>
    <s v="CMTeam"/>
    <s v="Muktesh Mukul"/>
    <m/>
    <m/>
    <s v="\\192.168.3.3\Share\Releases\Projects\SLT-1B\Release_For_Test\Test_Build_1.0.0.1\Utility\MPE\Setup"/>
    <s v="Pass"/>
    <m/>
    <m/>
    <m/>
    <m/>
    <s v="K.V. Krishnan"/>
    <x v="0"/>
    <s v=""/>
    <x v="0"/>
    <x v="0"/>
  </r>
  <r>
    <d v="2014-05-13T00:00:00"/>
    <d v="2014-05-13T00:00:00"/>
    <n v="5"/>
    <s v="2014-May"/>
    <n v="5"/>
    <s v="LQA"/>
    <x v="0"/>
    <m/>
    <s v="RE"/>
    <s v="GUI"/>
    <x v="1"/>
    <s v="REGUI_SLT_1.0.11.0.1"/>
    <s v="CMTeam"/>
    <s v="Deepak Dhiman"/>
    <m/>
    <m/>
    <s v="\\192.168.3.3\Share\Releases\Projects\SLT\Release_For_LQA\Test_Build_1.0.0.23\Server CD\GUI\Setup"/>
    <m/>
    <s v="Readme Re-Released"/>
    <m/>
    <m/>
    <m/>
    <m/>
    <x v="1"/>
    <s v=""/>
    <x v="0"/>
    <x v="0"/>
  </r>
  <r>
    <d v="2014-05-13T00:00:00"/>
    <d v="2014-05-13T00:00:00"/>
    <n v="5"/>
    <s v="2014-May"/>
    <n v="5"/>
    <s v="LQA-FAT"/>
    <x v="0"/>
    <m/>
    <s v="MPE"/>
    <s v="MPE"/>
    <x v="0"/>
    <s v="MPE_SLT-1B_3.0.1.1.1.71b1"/>
    <s v="CMTeam"/>
    <s v="Anshul Kumar"/>
    <m/>
    <s v="Obsolete-LQA"/>
    <s v="\\192.168.3.3\Share\Releases\Projects\SLT-1B\Release_For_Test\Test_Build_1.0.0.1\Server CD\MPE\Setup"/>
    <s v="Pass"/>
    <m/>
    <m/>
    <m/>
    <m/>
    <s v="K.V. Krishnan"/>
    <x v="2"/>
    <d v="2014-05-13T00:00:00"/>
    <x v="22"/>
    <x v="1"/>
  </r>
  <r>
    <d v="2014-05-13T00:00:00"/>
    <d v="2014-05-13T00:00:00"/>
    <n v="5"/>
    <s v="2014-May"/>
    <n v="5"/>
    <s v="IT-LQA-FAT"/>
    <x v="0"/>
    <m/>
    <s v="RE"/>
    <s v="DBS"/>
    <x v="0"/>
    <s v="REDBS_SLT_1.0.1.24.1.10b1"/>
    <s v="CMTeam"/>
    <s v="Shiv Mangal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Ravi Gautam"/>
    <x v="0"/>
    <s v=""/>
    <x v="0"/>
    <x v="0"/>
  </r>
  <r>
    <d v="2014-05-14T00:00:00"/>
    <d v="2014-05-14T00:00:00"/>
    <n v="5"/>
    <s v="2014-May"/>
    <n v="5"/>
    <s v="LQA"/>
    <x v="1"/>
    <m/>
    <s v="WWFS"/>
    <s v="GUI"/>
    <x v="0"/>
    <s v="WWFSGUI_2.2.1b8"/>
    <s v="CMTeam"/>
    <s v="Jitin Sardana"/>
    <m/>
    <m/>
    <s v="\\192.168.3.3\Share\Releases\Product\WEB_WFS\Build&amp;Release\Release For Test\TestBuild_2.2.1\Build4\ServerCD\GUI\Setup"/>
    <s v="Pass"/>
    <s v="Readme Re-Released"/>
    <m/>
    <m/>
    <m/>
    <m/>
    <x v="0"/>
    <s v=""/>
    <x v="0"/>
    <x v="0"/>
  </r>
  <r>
    <d v="2014-05-14T00:00:00"/>
    <d v="2014-05-14T00:00:00"/>
    <n v="5"/>
    <s v="2014-May"/>
    <n v="5"/>
    <s v="LQA"/>
    <x v="10"/>
    <m/>
    <s v="WWCS"/>
    <s v="GUI"/>
    <x v="0"/>
    <s v="WWCSGUI_COM_2.1.18.0.1"/>
    <s v="CMTeam"/>
    <s v="Sumit Dalal "/>
    <m/>
    <m/>
    <s v="\\192.168.3.3\Share\Releases\Projects\Comcast\Release_for_Test\Test_Build_4.6.4\Server CD\GUI\Setup"/>
    <m/>
    <s v="Readme Re-Released"/>
    <m/>
    <m/>
    <m/>
    <m/>
    <x v="1"/>
    <s v=""/>
    <x v="0"/>
    <x v="0"/>
  </r>
  <r>
    <d v="2014-05-14T00:00:00"/>
    <d v="2014-05-14T00:00:00"/>
    <n v="5"/>
    <s v="2014-May"/>
    <n v="5"/>
    <s v="LQA"/>
    <x v="10"/>
    <m/>
    <s v="RT"/>
    <s v="GUI"/>
    <x v="0"/>
    <s v="RTGUI_COM_4.0.22.0.1.1b1"/>
    <s v="CMTeam"/>
    <s v="Ajay Sharma"/>
    <m/>
    <m/>
    <s v="\\192.168.3.3\Share\Releases\Projects\COM\Release_For_Test\Test_Build_1.0.0.1\Server CD\GUI\Setup"/>
    <m/>
    <m/>
    <m/>
    <m/>
    <m/>
    <m/>
    <x v="1"/>
    <s v=""/>
    <x v="0"/>
    <x v="0"/>
  </r>
  <r>
    <d v="2014-05-14T00:00:00"/>
    <d v="2014-05-14T00:00:00"/>
    <n v="5"/>
    <s v="2014-May"/>
    <n v="5"/>
    <s v="LQA-UAT"/>
    <x v="3"/>
    <m/>
    <s v="WWFS"/>
    <s v="GUI"/>
    <x v="0"/>
    <s v="WWFSGUI_OBT_2.1.25.0.3"/>
    <s v="CMTeam"/>
    <s v="Karamjeet kaur"/>
    <m/>
    <m/>
    <s v="\\192.168.3.3\Share\Releases\Projects\OBT\Release_For_LQA\TestBuild_1.0.0.5\Server CD\GUI\Setup"/>
    <s v="Pass"/>
    <s v="Readme Re-Released"/>
    <m/>
    <m/>
    <m/>
    <s v="Mamta Bora"/>
    <x v="0"/>
    <s v=""/>
    <x v="0"/>
    <x v="0"/>
  </r>
  <r>
    <d v="2014-05-14T00:00:00"/>
    <d v="2014-05-14T00:00:00"/>
    <n v="5"/>
    <s v="2014-May"/>
    <n v="5"/>
    <s v="IT-LQA"/>
    <x v="10"/>
    <m/>
    <s v="RT"/>
    <s v="DBS"/>
    <x v="0"/>
    <s v="RTDBS_COM_4.0.1.18.1.2b1"/>
    <s v="CMTeam"/>
    <s v="Aditya Garg"/>
    <s v="\\192.168.3.3\Share\Releases\Projects\Comcast\Release_For_IT\Test_Build_4.6.1\Server CD\Database\Setup"/>
    <s v="Obsolete-LQA"/>
    <s v="\\192.168.3.3\Share\Releases\Projects\Comcast\Release_for_Test\Test_Build_4.6.4\Server CD\Database\Setup"/>
    <m/>
    <m/>
    <m/>
    <m/>
    <m/>
    <m/>
    <x v="2"/>
    <d v="2014-05-14T00:00:00"/>
    <x v="22"/>
    <x v="1"/>
  </r>
  <r>
    <d v="2014-05-14T00:00:00"/>
    <d v="2014-05-14T00:00:00"/>
    <n v="5"/>
    <s v="2014-May"/>
    <n v="5"/>
    <s v="LQA-FAT"/>
    <x v="0"/>
    <m/>
    <s v="MPE"/>
    <s v="MPE"/>
    <x v="0"/>
    <s v="MPE_SLT-1B_3.0.1.1.1.69b2"/>
    <s v="CMTeam"/>
    <s v="Muktesh Mukul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5-14T00:00:00"/>
    <d v="2014-05-14T00:00:00"/>
    <n v="5"/>
    <s v="2014-May"/>
    <n v="5"/>
    <s v="IT-LQA-FAT"/>
    <x v="0"/>
    <m/>
    <s v="RA"/>
    <s v="DBS"/>
    <x v="0"/>
    <s v="RADBS_SLT_2.0.0.26.1.70b1"/>
    <s v="CMTeam"/>
    <s v="yogendra kumar"/>
    <s v="\\192.168.3.3\Share\Releases\Projects\SLT\Release_For_IT\Test_Build_1.0.0.4\Server CD\DBS\Setup"/>
    <m/>
    <s v="\\192.168.3.3\Share\Releases\Projects\SLT\Release_For_LQA\Test_Build_1.0.0.23\Server CD\DBS\Setup"/>
    <s v="Pass"/>
    <s v="Readme Re-Released"/>
    <m/>
    <m/>
    <m/>
    <s v="Vijay Singh Daagar"/>
    <x v="0"/>
    <s v=""/>
    <x v="0"/>
    <x v="0"/>
  </r>
  <r>
    <d v="2014-05-14T00:00:00"/>
    <d v="2014-05-14T00:00:00"/>
    <n v="5"/>
    <s v="2014-May"/>
    <n v="5"/>
    <s v="IT-LQA-FAT"/>
    <x v="0"/>
    <m/>
    <s v="DM"/>
    <s v="DBS"/>
    <x v="0"/>
    <s v="DMDBS_SLT_2.0.0.20.1.136b1"/>
    <s v="CMTeam"/>
    <s v="Shiv Mangal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Ravi Gautam"/>
    <x v="0"/>
    <s v=""/>
    <x v="0"/>
    <x v="0"/>
  </r>
  <r>
    <d v="2014-05-14T00:00:00"/>
    <d v="2014-05-14T00:00:00"/>
    <n v="5"/>
    <s v="2014-May"/>
    <n v="5"/>
    <s v="LQA"/>
    <x v="1"/>
    <m/>
    <s v="NP"/>
    <s v="DBS"/>
    <x v="0"/>
    <s v="NPDBS_1.3.1b5"/>
    <s v="CMTeam"/>
    <s v="Abhishek Sharma"/>
    <m/>
    <m/>
    <s v="\\192.168.3.3\Share\Releases\Product\NetMindPOS_1.3\Build&amp;Release\Release_For_LQA\Test_Build_1.0.1\Server CD\DBS\Setup"/>
    <m/>
    <m/>
    <m/>
    <m/>
    <m/>
    <m/>
    <x v="1"/>
    <s v=""/>
    <x v="0"/>
    <x v="0"/>
  </r>
  <r>
    <d v="2014-05-14T00:00:00"/>
    <d v="2014-05-14T00:00:00"/>
    <n v="5"/>
    <s v="2014-May"/>
    <n v="5"/>
    <s v="IT-LQA"/>
    <x v="1"/>
    <m/>
    <s v="RA"/>
    <s v="DBS"/>
    <x v="0"/>
    <s v="RADBS_2.1.1.9b1"/>
    <s v="CMTeam"/>
    <s v="Anand Kumar Ojha"/>
    <s v="\\192.168.3.3\Share\Releases\Product\RevMind_2.1\Build&amp;Release\Release_For_IT\TestBuild_1.0.1\Server CD\DBS\Setup"/>
    <m/>
    <s v="\\192.168.3.3\Share\Releases\Product\RevMind_2.1\Build&amp;Release\Release_For_LQA\Test_Build_1.0.2\Server CD\DBS\Setup"/>
    <s v="Pass"/>
    <m/>
    <m/>
    <m/>
    <m/>
    <m/>
    <x v="0"/>
    <s v=""/>
    <x v="0"/>
    <x v="0"/>
  </r>
  <r>
    <d v="2014-05-15T00:00:00"/>
    <d v="2014-05-15T00:00:00"/>
    <n v="5"/>
    <s v="2014-May"/>
    <n v="5"/>
    <s v="LQA"/>
    <x v="1"/>
    <m/>
    <s v="NM"/>
    <s v="DBS"/>
    <x v="0"/>
    <s v="NMDBS_4.7.1b7"/>
    <s v="CMTeam"/>
    <s v="surender Kumar"/>
    <m/>
    <m/>
    <s v="\\192.168.3.3\Share\Releases\Product\Netmind_4.7\Build&amp;Release\Release_For_LQA\Test_Build_1.0.1\Server CD\DBS\Setup"/>
    <m/>
    <m/>
    <m/>
    <m/>
    <m/>
    <m/>
    <x v="1"/>
    <s v=""/>
    <x v="0"/>
    <x v="0"/>
  </r>
  <r>
    <d v="2014-05-15T00:00:00"/>
    <d v="2014-05-15T00:00:00"/>
    <n v="5"/>
    <s v="2014-May"/>
    <n v="5"/>
    <s v="LQA-FAT"/>
    <x v="0"/>
    <m/>
    <s v="WWFS"/>
    <s v="GUI"/>
    <x v="1"/>
    <s v="WWFSGUI_SLT_2.2.1.0.3"/>
    <s v="CMTeam"/>
    <s v="Jitin Sardana"/>
    <m/>
    <m/>
    <s v="\\192.168.3.3\Share\Releases\Projects\SLT\Release_For_LQA\Test_Build_1.0.0.23\Server CD\GUI\Setup"/>
    <s v="Pass"/>
    <s v="Readme Re-Released"/>
    <m/>
    <m/>
    <m/>
    <s v="Vijay Singh Daagar"/>
    <x v="0"/>
    <s v=""/>
    <x v="0"/>
    <x v="0"/>
  </r>
  <r>
    <d v="2014-05-15T00:00:00"/>
    <d v="2014-05-15T00:00:00"/>
    <n v="5"/>
    <s v="2014-May"/>
    <n v="5"/>
    <s v="LQA-FAT"/>
    <x v="0"/>
    <m/>
    <s v="MPE"/>
    <s v="MPE"/>
    <x v="0"/>
    <s v="MPE_SLT-1B_3.0.1.1.1.72b1"/>
    <s v="CMTeam"/>
    <s v="Anshul Kumar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5-15T00:00:00"/>
    <d v="2014-05-15T00:00:00"/>
    <n v="5"/>
    <s v="2014-May"/>
    <n v="5"/>
    <s v="IT-LQA"/>
    <x v="8"/>
    <m/>
    <s v="NM"/>
    <s v="DBS"/>
    <x v="0"/>
    <s v="NMDBS_TWC_4.6.1.11.3.36b3"/>
    <s v="CMTeam"/>
    <s v="Sudip Ghosh"/>
    <s v="\\192.168.3.3\Share\Releases\Projects\TWC\Release_For_IT\Test_Build_1.0.0.3\Server CD\DBS\Setup"/>
    <s v="Obsolete-LQA"/>
    <s v="\\192.168.3.3\Share\Releases\Projects\TWC\Release_For_Test\Test_Build_1.0.0.4\Server CD\DBS\Setup"/>
    <m/>
    <m/>
    <m/>
    <m/>
    <m/>
    <m/>
    <x v="2"/>
    <d v="2014-05-15T00:00:00"/>
    <x v="22"/>
    <x v="1"/>
  </r>
  <r>
    <d v="2014-05-15T00:00:00"/>
    <d v="2014-05-15T00:00:00"/>
    <n v="5"/>
    <s v="2014-May"/>
    <n v="5"/>
    <s v="IT-LQA"/>
    <x v="0"/>
    <m/>
    <s v="DM"/>
    <s v="DBS"/>
    <x v="0"/>
    <s v="DMDBS_SLT_2.0.0.20.1.130b2"/>
    <s v="CMTeam"/>
    <s v="Raja Sarkar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m/>
    <x v="0"/>
    <s v=""/>
    <x v="0"/>
    <x v="0"/>
  </r>
  <r>
    <d v="2014-05-15T00:00:00"/>
    <d v="2014-05-15T00:00:00"/>
    <n v="5"/>
    <s v="2014-May"/>
    <n v="5"/>
    <s v="LQA"/>
    <x v="0"/>
    <m/>
    <s v="MPE"/>
    <s v="MPE"/>
    <x v="0"/>
    <s v="MPE_SLT-1B_3.0.1.1.1.71b2"/>
    <s v="CMTeam"/>
    <s v="Anshul Kumar"/>
    <m/>
    <m/>
    <s v="\\192.168.3.3\Share\Releases\Projects\SLT-1B\Release_For_Test\Test_Build_1.0.0.1\Server CD\MPE\Setup"/>
    <s v="Pass"/>
    <m/>
    <m/>
    <m/>
    <m/>
    <m/>
    <x v="0"/>
    <s v=""/>
    <x v="0"/>
    <x v="0"/>
  </r>
  <r>
    <d v="2014-05-16T00:00:00"/>
    <d v="2014-05-16T00:00:00"/>
    <n v="5"/>
    <s v="2014-May"/>
    <n v="5"/>
    <s v="LQA-FAT"/>
    <x v="0"/>
    <m/>
    <s v="MPE"/>
    <s v="MPE"/>
    <x v="0"/>
    <s v="MPE_SLT-1B_3.0.1.1.1.73b1"/>
    <s v="CMTeam"/>
    <s v="Muktesh Mukul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5-16T00:00:00"/>
    <d v="2014-05-16T00:00:00"/>
    <n v="5"/>
    <s v="2014-May"/>
    <n v="5"/>
    <s v="IT-LQA-FAT"/>
    <x v="0"/>
    <m/>
    <s v="DM"/>
    <s v="DBS"/>
    <x v="0"/>
    <s v="DMDBS_SLT_2.0.0.20.1.137b1"/>
    <s v="CMTeam"/>
    <s v="Chander Kanta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5-16T00:00:00"/>
    <d v="2014-05-16T00:00:00"/>
    <n v="5"/>
    <s v="2014-May"/>
    <n v="5"/>
    <s v="LQA"/>
    <x v="13"/>
    <m/>
    <s v="MPE"/>
    <s v="MPE"/>
    <x v="0"/>
    <s v="MPE_NM46_3.2.5.1.1.6b1"/>
    <s v="CMTeam"/>
    <s v="Anshul Kumar"/>
    <m/>
    <m/>
    <s v="\\192.168.3.3\Share\Releases\Projects\NM46\Release_For_Test\Test_Build_1.0.0.1\Server CD\MPE\Setup"/>
    <m/>
    <m/>
    <m/>
    <m/>
    <m/>
    <m/>
    <x v="1"/>
    <s v=""/>
    <x v="0"/>
    <x v="0"/>
  </r>
  <r>
    <d v="2014-05-16T00:00:00"/>
    <d v="2014-05-16T00:00:00"/>
    <n v="5"/>
    <s v="2014-May"/>
    <n v="5"/>
    <s v="LQA-UAT"/>
    <x v="1"/>
    <m/>
    <s v="MPE"/>
    <s v="MPE"/>
    <x v="0"/>
    <s v="MPE_3.2.4.32b2"/>
    <s v="CMTeam"/>
    <s v="Harish Singh"/>
    <m/>
    <m/>
    <s v="\\192.168.3.3\Share\Releases\Product\MPE_GUI\ReleaseForLQA\TestBuild_1.0.0.2\Server CD\MPE\Setup"/>
    <s v="Pass"/>
    <m/>
    <m/>
    <m/>
    <m/>
    <s v="Pradeep Raghav"/>
    <x v="0"/>
    <s v=""/>
    <x v="0"/>
    <x v="0"/>
  </r>
  <r>
    <d v="2014-05-16T00:00:00"/>
    <d v="2014-05-16T00:00:00"/>
    <n v="5"/>
    <s v="2014-May"/>
    <n v="5"/>
    <s v="IT-LQA"/>
    <x v="1"/>
    <m/>
    <s v="RA"/>
    <s v="DBS"/>
    <x v="0"/>
    <s v="RADBS_2.1.1.10b1"/>
    <s v="CMTeam"/>
    <s v="Anand Kumar Ojha"/>
    <s v="\\192.168.3.3\Share\Releases\Product\RevMind_2.1\Build&amp;Release\Release_For_IT\TestBuild_1.0.1\Server CD\DBS\Setup"/>
    <m/>
    <s v="\\192.168.3.3\Share\Releases\Product\RevMind_2.1\Build&amp;Release\Release_For_LQA\Test_Build_1.0.2\Server CD\DBS\Setup"/>
    <s v="Pass"/>
    <s v="Readme Re-Released"/>
    <m/>
    <m/>
    <m/>
    <m/>
    <x v="0"/>
    <s v=""/>
    <x v="0"/>
    <x v="0"/>
  </r>
  <r>
    <d v="2014-05-16T00:00:00"/>
    <d v="2014-05-16T00:00:00"/>
    <n v="5"/>
    <s v="2014-May"/>
    <n v="5"/>
    <s v="LQA-UAT"/>
    <x v="6"/>
    <m/>
    <s v="MPE"/>
    <s v="MPE"/>
    <x v="0"/>
    <s v="MPE_ANTEL_3.2.4.32.1.15b1"/>
    <s v="CMTeam"/>
    <s v="Harish Singh"/>
    <m/>
    <m/>
    <s v="\\192.168.3.3\Share\Releases\Projects\ANTEL\Release_For_Test\Test_Build_1.0.0.7\Server CD\MPE\Setup"/>
    <s v="Pass"/>
    <s v="Readme Re-Released"/>
    <m/>
    <m/>
    <m/>
    <s v="Pradeep Raghav"/>
    <x v="0"/>
    <s v=""/>
    <x v="0"/>
    <x v="0"/>
  </r>
  <r>
    <d v="2014-05-16T00:00:00"/>
    <d v="2014-05-16T00:00:00"/>
    <n v="5"/>
    <s v="2014-May"/>
    <n v="5"/>
    <s v="IT-LQA-AT"/>
    <x v="4"/>
    <m/>
    <s v="NM"/>
    <s v="DBS"/>
    <x v="0"/>
    <s v="NMDBS_TLSTR_4.0.1.0.4.304b1 "/>
    <s v="CMTeam"/>
    <s v="Gautam"/>
    <s v="\\192.168.3.3\Share\Releases\Projects\Telstra\Release_For_IT\Test_Build_1.0.0.18\Server CD\DBS\Setup"/>
    <s v="Obsolete-LQA"/>
    <s v="\\192.168.3.3\Share\Releases\Projects\Telstra\Release_For_LQA\Test_Build_1.0.0.18\Server CD\DBS\Setup"/>
    <s v="Pass"/>
    <m/>
    <m/>
    <m/>
    <m/>
    <s v="Gaurav Shukla"/>
    <x v="2"/>
    <d v="2014-05-16T00:00:00"/>
    <x v="22"/>
    <x v="1"/>
  </r>
  <r>
    <d v="2014-05-16T00:00:00"/>
    <d v="2014-05-16T00:00:00"/>
    <n v="5"/>
    <s v="2014-May"/>
    <n v="5"/>
    <s v="IT-LQA-FAT"/>
    <x v="0"/>
    <m/>
    <s v="DM"/>
    <s v="DBS"/>
    <x v="0"/>
    <s v="DMDBS_SLT_2.0.0.20.1.138b1"/>
    <s v="CMTeam"/>
    <s v="Raja Sarkar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5-19T00:00:00"/>
    <d v="2014-05-19T00:00:00"/>
    <n v="5"/>
    <s v="2014-May"/>
    <n v="5"/>
    <s v="IT-LQA"/>
    <x v="1"/>
    <m/>
    <s v="DM"/>
    <s v="DBS"/>
    <x v="0"/>
    <s v="DMDBS_2.0.0.22b1"/>
    <s v="CMTeam"/>
    <s v="Chander Kanta"/>
    <s v="\\192.168.3.3\Share\Releases\Product\DataMind_2.0\Build&amp;Release\Release for IT\TestBuild_2.0.0\Server CD\DBS\Setup"/>
    <s v="Obsolete-LQA"/>
    <s v="\\192.168.3.3\Share\Releases\Product\DataMind_2.0\Build&amp;Release\Release for LQA\TestBuild_2.0.0\Server CD\DBS\Setup"/>
    <m/>
    <s v="Readme Re-Released"/>
    <m/>
    <m/>
    <m/>
    <m/>
    <x v="2"/>
    <d v="2014-05-19T00:00:00"/>
    <x v="23"/>
    <x v="1"/>
  </r>
  <r>
    <d v="2014-05-19T00:00:00"/>
    <d v="2014-05-19T00:00:00"/>
    <n v="5"/>
    <s v="2014-May"/>
    <n v="5"/>
    <s v="IT-LQA-FAT"/>
    <x v="0"/>
    <m/>
    <s v="RE"/>
    <s v="DBS"/>
    <x v="0"/>
    <s v="REDBS_SLT_1.0.1.24.1.11b1"/>
    <s v="CMTeam"/>
    <s v="Shiv Mangal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Ravi Gautam"/>
    <x v="0"/>
    <s v=""/>
    <x v="0"/>
    <x v="0"/>
  </r>
  <r>
    <d v="2014-05-19T00:00:00"/>
    <d v="2014-05-19T00:00:00"/>
    <n v="5"/>
    <s v="2014-May"/>
    <n v="5"/>
    <s v="IT-LQA-UAT"/>
    <x v="1"/>
    <m/>
    <s v="DM"/>
    <s v="DBS"/>
    <x v="0"/>
    <s v="DMDBS_2.0.0.21b1"/>
    <s v="CMTeam"/>
    <s v="Puneet Gupta"/>
    <s v="\\192.168.3.3\Share\Releases\Product\DataMind_2.0\Build&amp;Release\Release for IT\TestBuild_2.0.0\Server CD\DBS\Setup"/>
    <m/>
    <s v="\\192.168.3.3\Share\Releases\Product\DataMind_2.0\Build&amp;Release\Release for LQA\TestBuild_2.0.0\Server CD\DBS\Setup"/>
    <s v="Pass"/>
    <m/>
    <m/>
    <m/>
    <m/>
    <s v="Ravi Gautam"/>
    <x v="0"/>
    <s v=""/>
    <x v="0"/>
    <x v="0"/>
  </r>
  <r>
    <d v="2014-05-20T00:00:00"/>
    <d v="2014-05-20T00:00:00"/>
    <n v="5"/>
    <s v="2014-May"/>
    <n v="5"/>
    <s v="IT-LQA"/>
    <x v="10"/>
    <m/>
    <s v="NM"/>
    <s v="DBS"/>
    <x v="0"/>
    <s v="NMDBS_COM_4.6.1.20.1.26b1"/>
    <s v="CMTeam"/>
    <s v="Sumita Yadav"/>
    <s v="\\192.168.3.3\Share\Releases\Projects\Comcast\Release_For_IT\Test_Build_4.6.1\Server CD\Database\Setup"/>
    <s v="Obsolete-LQA"/>
    <s v="\\192.168.3.3\Share\Releases\Projects\Comcast\Release_for_Test\Test_Build_4.6.4\Server CD\Database\Setup"/>
    <m/>
    <m/>
    <m/>
    <m/>
    <m/>
    <m/>
    <x v="2"/>
    <d v="2014-05-20T00:00:00"/>
    <x v="23"/>
    <x v="1"/>
  </r>
  <r>
    <d v="2014-05-20T00:00:00"/>
    <d v="2014-05-20T00:00:00"/>
    <n v="5"/>
    <s v="2014-May"/>
    <n v="5"/>
    <s v="IT-LQA"/>
    <x v="10"/>
    <m/>
    <s v="NM"/>
    <s v="DBS"/>
    <x v="0"/>
    <s v="NMDBS_COM_4.6.1.20.1.25b1"/>
    <s v="CMTeam"/>
    <s v="Sudip Ghosh"/>
    <s v="\\192.168.3.3\Share\Releases\Projects\Comcast\Release_For_IT\Test_Build_4.6.1\Server CD\Database\Setup"/>
    <m/>
    <s v="\\192.168.3.3\Share\Releases\Projects\Comcast\Release_for_Test\Test_Build_4.6.4\Server CD\Database\Setup"/>
    <s v="Pass"/>
    <m/>
    <m/>
    <m/>
    <m/>
    <m/>
    <x v="0"/>
    <s v=""/>
    <x v="0"/>
    <x v="0"/>
  </r>
  <r>
    <d v="2014-05-20T00:00:00"/>
    <d v="2014-05-20T00:00:00"/>
    <n v="5"/>
    <s v="2014-May"/>
    <n v="5"/>
    <s v="IT-LQA-FAT"/>
    <x v="0"/>
    <m/>
    <s v="DM"/>
    <s v="DBS"/>
    <x v="0"/>
    <s v="DMDBS_SLT_2.0.0.20.1.133b1"/>
    <s v="CMTeam"/>
    <s v="Deepinder Singh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Nisha Malik"/>
    <x v="0"/>
    <s v=""/>
    <x v="0"/>
    <x v="0"/>
  </r>
  <r>
    <d v="2014-05-20T00:00:00"/>
    <d v="2014-05-20T00:00:00"/>
    <n v="5"/>
    <s v="2014-May"/>
    <n v="5"/>
    <s v="IT-LQA"/>
    <x v="3"/>
    <m/>
    <s v="NM"/>
    <s v="DBS"/>
    <x v="0"/>
    <s v="NMDBS_OBT_4.6.1.21.1.32b1"/>
    <s v="CMTeam"/>
    <s v="Rohit Kanwar"/>
    <s v="\\192.168.3.3\Share\Releases\Projects\OBT\Release_For_IT\TestBuild_1.0.0.2\Server CD\DBS\Setup"/>
    <m/>
    <s v="\\192.168.3.3\Share\Releases\Projects\OBT\Release_For_LQA\TestBuild_1.0.0.5\Server CD\DBS\Setup"/>
    <s v="Pass"/>
    <m/>
    <m/>
    <m/>
    <m/>
    <m/>
    <x v="0"/>
    <s v=""/>
    <x v="0"/>
    <x v="0"/>
  </r>
  <r>
    <d v="2014-05-20T00:00:00"/>
    <d v="2014-05-20T00:00:00"/>
    <n v="5"/>
    <s v="2014-May"/>
    <n v="5"/>
    <s v="IT-LQA"/>
    <x v="3"/>
    <m/>
    <s v="NM"/>
    <s v="DBS"/>
    <x v="0"/>
    <s v="NMDBS_OBT_4.6.1.21.1.39b1"/>
    <s v="CMTeam"/>
    <s v="Chander Kanta"/>
    <s v="\\192.168.3.3\Share\Releases\Projects\OBT\Release_For_IT\TestBuild_1.0.0.2\Server CD\DBS\Setup"/>
    <m/>
    <s v="\\192.168.3.3\Share\Releases\Projects\OBT\Release_For_LQA\TestBuild_1.0.0.5\Server CD\DBS\Setup"/>
    <m/>
    <m/>
    <m/>
    <m/>
    <m/>
    <m/>
    <x v="1"/>
    <s v=""/>
    <x v="0"/>
    <x v="0"/>
  </r>
  <r>
    <d v="2014-05-20T00:00:00"/>
    <d v="2014-05-20T00:00:00"/>
    <n v="5"/>
    <s v="2014-May"/>
    <n v="5"/>
    <s v="IT-LQA"/>
    <x v="10"/>
    <m/>
    <s v="NM"/>
    <s v="DBS"/>
    <x v="0"/>
    <s v="NMDBS_COM_4.6.1.20.1.26b2"/>
    <s v="CMTeam"/>
    <s v="Sumita Yadav"/>
    <s v="\\192.168.3.3\Share\Releases\Projects\Comcast\Release_For_IT\Test_Build_4.6.1\Server CD\Database\Setup"/>
    <s v="Obsolete-LQA"/>
    <s v="\\192.168.3.3\Share\Releases\Projects\Comcast\Release_for_Test\Test_Build_4.6.4\Server CD\Database\Setup"/>
    <m/>
    <m/>
    <m/>
    <m/>
    <m/>
    <m/>
    <x v="2"/>
    <d v="2014-05-20T00:00:00"/>
    <x v="23"/>
    <x v="1"/>
  </r>
  <r>
    <d v="2014-05-20T00:00:00"/>
    <d v="2014-05-20T00:00:00"/>
    <n v="5"/>
    <s v="2014-May"/>
    <n v="5"/>
    <s v="IT-LQA-FAT"/>
    <x v="0"/>
    <m/>
    <s v="DM"/>
    <s v="DBS"/>
    <x v="0"/>
    <s v="DMDBS_SLT_2.0.0.20.1.139b1"/>
    <s v="CMTeam"/>
    <s v="Deepinder Singh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Nisha Malik"/>
    <x v="0"/>
    <s v=""/>
    <x v="0"/>
    <x v="0"/>
  </r>
  <r>
    <d v="2014-05-21T00:00:00"/>
    <d v="2014-05-21T00:00:00"/>
    <n v="5"/>
    <s v="2014-May"/>
    <n v="5"/>
    <s v="IT-LQA"/>
    <x v="4"/>
    <m/>
    <s v="NM"/>
    <s v="DBS"/>
    <x v="0"/>
    <s v="NMDBS_TLSTR_4.0.1.0.4.305b1"/>
    <s v="CMTeam"/>
    <s v="Gautam"/>
    <s v="\\192.168.3.3\Share\Releases\Projects\Telstra\Release_For_IT\Test_Build_1.0.0.18\Server CD\DBS\Setup"/>
    <m/>
    <s v="\\192.168.3.3\Share\Releases\Projects\Telstra\Release_For_LQA\Test_Build_1.0.0.18\Server CD\DBS\Setup"/>
    <m/>
    <m/>
    <m/>
    <m/>
    <m/>
    <m/>
    <x v="1"/>
    <s v=""/>
    <x v="0"/>
    <x v="0"/>
  </r>
  <r>
    <d v="2014-05-21T00:00:00"/>
    <d v="2014-05-21T00:00:00"/>
    <n v="5"/>
    <s v="2014-May"/>
    <n v="5"/>
    <s v="IT-LQA-UAT"/>
    <x v="8"/>
    <m/>
    <s v="NM"/>
    <s v="DBS"/>
    <x v="0"/>
    <s v="NMDBS_TWC_4.6.1.11.3.36b4"/>
    <s v="CMTeam"/>
    <s v="Sudip Ghosh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Sumit Gomber"/>
    <x v="0"/>
    <s v=""/>
    <x v="0"/>
    <x v="0"/>
  </r>
  <r>
    <d v="2014-05-21T00:00:00"/>
    <d v="2014-05-21T00:00:00"/>
    <n v="5"/>
    <s v="2014-May"/>
    <n v="5"/>
    <s v="LQA"/>
    <x v="0"/>
    <m/>
    <s v="Utility"/>
    <s v="Utility"/>
    <x v="0"/>
    <s v="UTLSEQM_SLT-1B_1.0.0.0.5.8b1"/>
    <s v="CMTeam"/>
    <s v="Muktesh Mukul"/>
    <m/>
    <s v="Obsolete-LQA"/>
    <s v="\\192.168.3.3\Share\Releases\Projects\SLT-1B\Release_For_Test\Test_Build_1.0.0.1\Utility\MPE\Setup"/>
    <m/>
    <s v="Readme Re-Released"/>
    <m/>
    <m/>
    <m/>
    <m/>
    <x v="2"/>
    <d v="2014-05-21T00:00:00"/>
    <x v="23"/>
    <x v="1"/>
  </r>
  <r>
    <d v="2014-05-21T00:00:00"/>
    <d v="2014-05-21T00:00:00"/>
    <n v="5"/>
    <s v="2014-May"/>
    <n v="5"/>
    <s v="IT-LQA"/>
    <x v="10"/>
    <m/>
    <s v="NM"/>
    <s v="DBS"/>
    <x v="0"/>
    <s v="NMDBS_COM_4.6.1.20.1.27b1"/>
    <s v="CMTeam"/>
    <s v="Sachin Srivastva"/>
    <s v="\\192.168.3.3\Share\Releases\Projects\Comcast\Release_For_IT\Test_Build_4.6.1\Server CD\Database\Setup"/>
    <m/>
    <s v="\\192.168.3.3\Share\Releases\Projects\Comcast\Release_for_Test\Test_Build_4.6.4\Server CD\Database\Setup"/>
    <s v="Pass"/>
    <s v="Readme Re-Released"/>
    <m/>
    <m/>
    <m/>
    <m/>
    <x v="0"/>
    <s v=""/>
    <x v="0"/>
    <x v="0"/>
  </r>
  <r>
    <d v="2014-05-22T00:00:00"/>
    <d v="2014-05-22T00:00:00"/>
    <n v="5"/>
    <s v="2014-May"/>
    <n v="5"/>
    <s v="IT-LQA-UAT"/>
    <x v="1"/>
    <m/>
    <s v="NP"/>
    <s v="DBS"/>
    <x v="0"/>
    <s v="NPDBS_1.2.3.10b1"/>
    <s v="CMTeam"/>
    <s v="Abhishek Sharma"/>
    <s v="\\192.168.3.3\share\Releases\Product\NetMindPOS_1.1\Build&amp;Release\Release for IT\TestBuild_1.2.3\Server CD\DBS\Setup"/>
    <m/>
    <s v="\\192.168.3.3\share\Releases\Product\NetMindPOS_1.1\Build&amp;Release\Release for LQA\TestBuild_1.2.3\Server CD\DBS\Setup"/>
    <s v="Pass"/>
    <s v="Readme Re-Released"/>
    <m/>
    <m/>
    <m/>
    <s v="Sumit Gomber"/>
    <x v="0"/>
    <s v=""/>
    <x v="0"/>
    <x v="0"/>
  </r>
  <r>
    <d v="2014-05-22T00:00:00"/>
    <d v="2014-05-22T00:00:00"/>
    <n v="5"/>
    <s v="2014-May"/>
    <n v="5"/>
    <s v="IT-LQA"/>
    <x v="12"/>
    <m/>
    <s v="DM"/>
    <s v="DBS"/>
    <x v="0"/>
    <s v="DMDBS_DRC_2.1.1.7.2.17b1"/>
    <s v="CMTeam"/>
    <s v="Anjani Kumar"/>
    <s v="\\192.168.3.3\Share\Releases\Projects\DRC\Release_For_IT\Test_Build_1.0.0.3\Server CD\DBS\Setup"/>
    <m/>
    <s v="\\192.168.3.3\Share\Releases\Projects\DRC\Release_For_LQA\Test_Build_1.0.0.3\Server CD\DBS\Setup"/>
    <s v="Pass"/>
    <m/>
    <m/>
    <m/>
    <m/>
    <m/>
    <x v="0"/>
    <s v=""/>
    <x v="0"/>
    <x v="0"/>
  </r>
  <r>
    <d v="2014-05-22T00:00:00"/>
    <d v="2014-05-22T00:00:00"/>
    <n v="5"/>
    <s v="2014-May"/>
    <n v="5"/>
    <s v="IT-LQA"/>
    <x v="10"/>
    <m/>
    <s v="NM"/>
    <s v="DBS"/>
    <x v="0"/>
    <s v="NMDBS_COM_4.6.1.20.1.28b1"/>
    <s v="CMTeam"/>
    <s v="Sudip Ghosh"/>
    <s v="\\192.168.3.3\Share\Releases\Projects\Comcast\Release_For_IT\Test_Build_4.6.1\Server CD\Database\Setup"/>
    <m/>
    <s v="\\192.168.3.3\Share\Releases\Projects\Comcast\Release_for_Test\Test_Build_4.6.4\Server CD\Database\Setup"/>
    <s v="Pass"/>
    <m/>
    <m/>
    <m/>
    <m/>
    <m/>
    <x v="0"/>
    <s v=""/>
    <x v="0"/>
    <x v="0"/>
  </r>
  <r>
    <d v="2014-05-22T00:00:00"/>
    <d v="2014-05-22T00:00:00"/>
    <n v="5"/>
    <s v="2014-May"/>
    <n v="5"/>
    <s v="IT-LQA"/>
    <x v="10"/>
    <m/>
    <s v="NM"/>
    <s v="DBS"/>
    <x v="0"/>
    <s v="NMDBS_COM_4.6.1.20.1.26b3"/>
    <s v="CMTeam"/>
    <s v="Sumita Yadav"/>
    <s v="\\192.168.3.3\Share\Releases\Projects\Comcast\Release_For_IT\Test_Build_4.6.1\Server CD\Database\Setup"/>
    <s v="Obsolete-LQA"/>
    <s v="\\192.168.3.3\Share\Releases\Projects\Comcast\Release_for_Test\Test_Build_4.6.4\Server CD\Database\Setup"/>
    <m/>
    <m/>
    <m/>
    <m/>
    <m/>
    <m/>
    <x v="2"/>
    <d v="2014-05-22T00:00:00"/>
    <x v="23"/>
    <x v="1"/>
  </r>
  <r>
    <d v="2014-05-22T00:00:00"/>
    <d v="2014-05-22T00:00:00"/>
    <n v="5"/>
    <s v="2014-May"/>
    <n v="5"/>
    <s v="IT-LQA-UAT"/>
    <x v="1"/>
    <m/>
    <s v="RA"/>
    <s v="DBS"/>
    <x v="0"/>
    <s v="RADBS_2.1.1.11b1 "/>
    <s v="CMTeam"/>
    <s v="Anand Kumar Ojha"/>
    <s v="\\192.168.3.3\Share\Releases\Product\RevMind_2.1\Build&amp;Release\Release_For_IT\TestBuild_1.0.1\Server CD\DBS\Setup"/>
    <m/>
    <s v="\\192.168.3.3\Share\Releases\Product\RevMind_2.1\Build&amp;Release\Release_For_LQA\Test_Build_1.0.2\Server CD\DBS\Setup"/>
    <s v="Pass"/>
    <s v="Readme Re-Released"/>
    <m/>
    <m/>
    <m/>
    <s v="Jagdish Sankar"/>
    <x v="0"/>
    <s v=""/>
    <x v="0"/>
    <x v="0"/>
  </r>
  <r>
    <d v="2014-05-22T00:00:00"/>
    <m/>
    <n v="5"/>
    <s v="2014-May"/>
    <s v="False"/>
    <s v="IT"/>
    <x v="1"/>
    <m/>
    <s v="NM"/>
    <s v="DBS"/>
    <x v="0"/>
    <s v="NMDBS_4.6.1.23b1"/>
    <s v="CMTeam"/>
    <s v="surender Kumar"/>
    <s v="\\192.168.3.3\Share\Releases\Product\Netmind_4.6\Build&amp;Release\ReleaseForIT\TestBuild_4.6.1\Build4\ServerCD\DBS\Setup"/>
    <m/>
    <s v="\\192.168.3.3\Share\Releases\Product\Netmind_4.6\Build&amp;Release\ReleaseForTest\TestBuild_4.6.1\Build4\ServerCD\DBS\Setup"/>
    <m/>
    <m/>
    <m/>
    <m/>
    <m/>
    <m/>
    <x v="1"/>
    <s v=""/>
    <x v="0"/>
    <x v="0"/>
  </r>
  <r>
    <d v="2014-05-22T00:00:00"/>
    <d v="2014-05-22T00:00:00"/>
    <n v="5"/>
    <s v="2014-May"/>
    <n v="5"/>
    <s v="LQA-UAT"/>
    <x v="1"/>
    <m/>
    <s v="MPE"/>
    <s v="MPE"/>
    <x v="0"/>
    <s v="MPE_3.2.1.6b1"/>
    <s v="CMTeam"/>
    <s v="Ankit Jain"/>
    <m/>
    <m/>
    <s v="\\192.168.3.3\Share\Releases\Product\MPE_3.2\ReleaseForLQA\TestBuild_3.2.1\Build2\ServerCD\Setup\RHEL_5.1"/>
    <s v="Pass"/>
    <m/>
    <m/>
    <m/>
    <m/>
    <s v="Jitender Aggarwal"/>
    <x v="0"/>
    <s v=""/>
    <x v="0"/>
    <x v="0"/>
  </r>
  <r>
    <d v="2014-05-23T00:00:00"/>
    <d v="2014-05-23T00:00:00"/>
    <n v="5"/>
    <s v="2014-May"/>
    <n v="5"/>
    <s v="IT-LQA-FAT"/>
    <x v="0"/>
    <m/>
    <s v="DM"/>
    <s v="DBS"/>
    <x v="0"/>
    <s v="DMDBS_SLT_2.0.0.20.1.135b1"/>
    <s v="CMTeam"/>
    <s v="Raja Sarkar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Nisha Malik"/>
    <x v="0"/>
    <s v=""/>
    <x v="0"/>
    <x v="0"/>
  </r>
  <r>
    <d v="2014-05-23T00:00:00"/>
    <d v="2014-05-23T00:00:00"/>
    <n v="5"/>
    <s v="2014-May"/>
    <n v="5"/>
    <s v="IT-LQA-UAT"/>
    <x v="10"/>
    <m/>
    <s v="NM"/>
    <s v="DBS"/>
    <x v="0"/>
    <s v="NMDBS_COM_4.6.1.20.1.29b1"/>
    <s v="CMTeam"/>
    <s v="Sachin Srivastva"/>
    <s v="\\192.168.3.3\Share\Releases\Projects\Comcast\Release_For_IT\Test_Build_4.6.1\Server CD\Database\Setup"/>
    <m/>
    <s v="\\192.168.3.3\Share\Releases\Projects\Comcast\Release_for_Test\Test_Build_4.6.4\Server CD\Database\Setup"/>
    <s v="Pass"/>
    <m/>
    <m/>
    <m/>
    <m/>
    <s v="Sumit Gomber"/>
    <x v="0"/>
    <s v=""/>
    <x v="0"/>
    <x v="0"/>
  </r>
  <r>
    <d v="2014-05-23T00:00:00"/>
    <d v="2014-05-23T00:00:00"/>
    <n v="5"/>
    <s v="2014-May"/>
    <n v="5"/>
    <s v="IT-LQA"/>
    <x v="10"/>
    <m/>
    <s v="NM"/>
    <s v="DBS"/>
    <x v="0"/>
    <s v="NMDBS_COM_4.6.1.20.1.30b1"/>
    <s v="CMTeam"/>
    <s v="Sachin Srivastva"/>
    <s v="\\192.168.3.3\Share\Releases\Projects\Comcast\Release_For_IT\Test_Build_4.6.1\Server CD\Database\Setup"/>
    <m/>
    <s v="\\192.168.3.3\Share\Releases\Projects\Comcast\Release_for_Test\Test_Build_4.6.4\Server CD\Database\Setup"/>
    <s v="Pass"/>
    <m/>
    <m/>
    <m/>
    <m/>
    <m/>
    <x v="0"/>
    <s v=""/>
    <x v="0"/>
    <x v="0"/>
  </r>
  <r>
    <d v="2014-05-23T00:00:00"/>
    <d v="2014-05-23T00:00:00"/>
    <n v="5"/>
    <s v="2014-May"/>
    <n v="5"/>
    <s v="IT-LQA-UAT"/>
    <x v="10"/>
    <m/>
    <s v="NP"/>
    <s v="DBS"/>
    <x v="0"/>
    <s v="NPDBS_COM_1.2.3.6.1.14b1"/>
    <s v="CMTeam"/>
    <s v="Sumita Yadav"/>
    <s v="\\192.168.3.3\Share\Releases\Projects\Comcast\Release_For_IT\Test_Build_4.6.1\Server CD\Database\Setup"/>
    <m/>
    <s v="\\192.168.3.3\Share\Releases\Projects\Comcast\Release_for_Test\Test_Build_4.6.4\Server CD\Database\Setup"/>
    <s v="Pass"/>
    <m/>
    <m/>
    <m/>
    <m/>
    <s v="Sumit Gomber"/>
    <x v="0"/>
    <s v=""/>
    <x v="0"/>
    <x v="0"/>
  </r>
  <r>
    <d v="2014-05-23T00:00:00"/>
    <d v="2014-05-23T00:00:00"/>
    <n v="5"/>
    <s v="2014-May"/>
    <n v="5"/>
    <s v="LQA"/>
    <x v="1"/>
    <m/>
    <s v="Utility"/>
    <s v="Utility"/>
    <x v="1"/>
    <s v="AWF_2.0.1b29"/>
    <s v="CMTeam"/>
    <s v="Rajesh Maithani"/>
    <m/>
    <m/>
    <s v="\\192.168.3.3\Share\Releases\Product\AWF\Build&amp;Release\Release For Test\TestBuild_2.0.1\Setup"/>
    <m/>
    <m/>
    <m/>
    <m/>
    <m/>
    <m/>
    <x v="1"/>
    <s v=""/>
    <x v="0"/>
    <x v="0"/>
  </r>
  <r>
    <d v="2014-05-23T00:00:00"/>
    <d v="2014-05-23T00:00:00"/>
    <n v="5"/>
    <s v="2014-May"/>
    <n v="5"/>
    <s v="LQA"/>
    <x v="1"/>
    <m/>
    <s v="WWFS"/>
    <s v="GUI"/>
    <x v="0"/>
    <s v="WWFSGUI_2.1.26b3"/>
    <s v="CMTeam"/>
    <s v="Karamjeet kaur"/>
    <m/>
    <m/>
    <s v="\\192.168.3.3\Share\Releases\Product\WEB_WFS\Build&amp;Release\Release For Test\TestBuild_2.1.26\ServerCD\GUI\Setup"/>
    <m/>
    <m/>
    <m/>
    <m/>
    <m/>
    <m/>
    <x v="1"/>
    <s v=""/>
    <x v="0"/>
    <x v="0"/>
  </r>
  <r>
    <d v="2014-05-23T00:00:00"/>
    <d v="2014-05-23T00:00:00"/>
    <n v="5"/>
    <s v="2014-May"/>
    <n v="5"/>
    <s v="IT-LQA-FAT"/>
    <x v="0"/>
    <m/>
    <s v="DM"/>
    <s v="DBS"/>
    <x v="0"/>
    <s v="DMDBS_SLT_2.0.0.20.1.140b1"/>
    <s v="CMTeam"/>
    <s v="Chander Kanta"/>
    <s v="\\192.168.3.3\Share\Releases\Projects\SLT\Release_For_LQA\Test_Build_1.0.0.23\Server CD\DBS\Setup"/>
    <m/>
    <s v="\\192.168.3.3\Share\Releases\Projects\SLT\Release_For_IT\Test_Build_1.0.0.4\Server CD\DBS\Setup"/>
    <s v="Pass"/>
    <m/>
    <m/>
    <m/>
    <m/>
    <s v="Nisha Malik"/>
    <x v="0"/>
    <s v=""/>
    <x v="0"/>
    <x v="0"/>
  </r>
  <r>
    <d v="2014-05-23T00:00:00"/>
    <d v="2014-05-23T00:00:00"/>
    <n v="5"/>
    <s v="2014-May"/>
    <n v="5"/>
    <s v="LQA"/>
    <x v="1"/>
    <m/>
    <s v="RT"/>
    <s v="GUI"/>
    <x v="0"/>
    <s v="RTGUI_4.0.24b2"/>
    <s v="CMTeam"/>
    <s v="Ajay Sharma"/>
    <m/>
    <m/>
    <s v="\\192.168.3.3\Share\Releases\Product\RT_4.0\ReleaseForLQA\TestBuild_4.0.24\GUI\Build1\Setup"/>
    <m/>
    <m/>
    <m/>
    <m/>
    <m/>
    <m/>
    <x v="1"/>
    <s v=""/>
    <x v="0"/>
    <x v="0"/>
  </r>
  <r>
    <d v="2014-05-23T00:00:00"/>
    <d v="2014-05-23T00:00:00"/>
    <n v="5"/>
    <s v="2014-May"/>
    <n v="5"/>
    <s v="IT-LQA-FAT"/>
    <x v="1"/>
    <m/>
    <s v="RT"/>
    <s v="DBS"/>
    <x v="0"/>
    <s v="RTDBS_4.0.1.19b1"/>
    <s v="CMTeam"/>
    <s v="Aditya Garg"/>
    <s v="\\192.168.3.3\Share\Releases\Product\RT_4.0\ReleaseForIT\TestBuild_4.0.3\DBS\Setup"/>
    <m/>
    <s v="\\192.168.3.3\Share\Releases\Product\RT_4.0\ReleaseForLQA\TestBuild_4.0.23\DBS\Setup"/>
    <s v="Pass"/>
    <m/>
    <m/>
    <m/>
    <m/>
    <s v="Harsh Khanna"/>
    <x v="0"/>
    <s v=""/>
    <x v="0"/>
    <x v="0"/>
  </r>
  <r>
    <d v="2014-05-23T00:00:00"/>
    <d v="2014-05-23T00:00:00"/>
    <n v="5"/>
    <s v="2014-May"/>
    <n v="5"/>
    <s v="LQA"/>
    <x v="3"/>
    <m/>
    <s v="RT"/>
    <s v="GUI"/>
    <x v="1"/>
    <s v="RTGUI_OBT_4.0.24.0.1"/>
    <s v="CMTeam"/>
    <s v="Ajay Sharma"/>
    <m/>
    <m/>
    <s v="\\192.168.3.3\share\Releases\Projects\OBT\Release_For_LQA\TestBuild_1.0.0.6\Server CD\GUI\Setup"/>
    <s v="Pass"/>
    <m/>
    <m/>
    <m/>
    <m/>
    <m/>
    <x v="0"/>
    <s v=""/>
    <x v="0"/>
    <x v="0"/>
  </r>
  <r>
    <d v="2014-05-23T00:00:00"/>
    <d v="2014-05-23T00:00:00"/>
    <n v="5"/>
    <s v="2014-May"/>
    <n v="5"/>
    <s v="LQA"/>
    <x v="0"/>
    <m/>
    <s v="RT"/>
    <s v="GUI"/>
    <x v="1"/>
    <s v="RTGUI_SLT_4.0.24.0.1"/>
    <s v="CMTeam"/>
    <s v="Ajay Sharma"/>
    <m/>
    <m/>
    <s v="\\192.168.3.3\Share\Releases\Projects\SLT\Release_For_LQA\Test_Build_1.0.0.23\Server CD\GUI\Setup"/>
    <m/>
    <s v="Readme Re-Released"/>
    <m/>
    <m/>
    <m/>
    <m/>
    <x v="1"/>
    <s v=""/>
    <x v="0"/>
    <x v="0"/>
  </r>
  <r>
    <d v="2014-05-23T00:00:00"/>
    <d v="2014-05-23T00:00:00"/>
    <n v="5"/>
    <s v="2014-May"/>
    <n v="5"/>
    <s v="IT-LQA-UAT"/>
    <x v="5"/>
    <m/>
    <s v="NM"/>
    <s v="MPE"/>
    <x v="1"/>
    <s v="NMMPE_BHN_3.5.2.30.1"/>
    <s v="CMTeam"/>
    <s v="Ankit Jain"/>
    <s v="\\192.168.3.3\Share\Projects\Neustar\BHN\Build&amp;Release\Release For IT\Test_Build_3.5.37\Server CD\MPE\Setup"/>
    <m/>
    <s v="\\192.168.3.3\Share\Projects\Neustar\BHN\Build&amp;Release\Release For Test\Test_Build_3.5.37\Server CD\MPE\Setup"/>
    <s v="Pass"/>
    <m/>
    <m/>
    <m/>
    <m/>
    <s v="Sunil Katyar"/>
    <x v="0"/>
    <s v=""/>
    <x v="0"/>
    <x v="0"/>
  </r>
  <r>
    <d v="2014-05-23T00:00:00"/>
    <d v="2014-05-23T00:00:00"/>
    <n v="5"/>
    <s v="2014-May"/>
    <n v="5"/>
    <s v="LQA"/>
    <x v="1"/>
    <m/>
    <s v="NP"/>
    <s v="DBS"/>
    <x v="1"/>
    <s v="NPDBS_1.3.1b6"/>
    <s v="CMTeam"/>
    <s v="surender Kumar"/>
    <m/>
    <m/>
    <s v="\\192.168.3.3\Share\Releases\Product\NetMindPOS_1.3\Build&amp;Release\Release_For_LQA\Test_Build_1.0.1\Server CD\DBS\Setup"/>
    <m/>
    <m/>
    <m/>
    <m/>
    <m/>
    <m/>
    <x v="1"/>
    <s v=""/>
    <x v="0"/>
    <x v="0"/>
  </r>
  <r>
    <d v="2014-05-23T00:00:00"/>
    <d v="2014-05-23T00:00:00"/>
    <n v="5"/>
    <s v="2014-May"/>
    <n v="5"/>
    <s v="LQA"/>
    <x v="10"/>
    <m/>
    <s v="WWFS"/>
    <s v="GUI"/>
    <x v="1"/>
    <s v="WWFSGUI_COM_2.1.26.0.1"/>
    <s v="CMTeam"/>
    <s v="Rajeev Kumar"/>
    <m/>
    <m/>
    <s v="\\192.168.3.3\Share\Releases\Projects\Comcast\Release_for_Test\Test_Build_4.6.5\Server CD\GUI\Setup"/>
    <m/>
    <s v="Readme Re-Released"/>
    <m/>
    <m/>
    <m/>
    <m/>
    <x v="1"/>
    <s v=""/>
    <x v="0"/>
    <x v="0"/>
  </r>
  <r>
    <d v="2014-05-23T00:00:00"/>
    <d v="2014-05-23T00:00:00"/>
    <n v="5"/>
    <s v="2014-May"/>
    <n v="5"/>
    <s v="IT-LQA"/>
    <x v="10"/>
    <m/>
    <s v="NM"/>
    <s v="DBS"/>
    <x v="0"/>
    <s v="NMDBS_COM_4.6.1.20.1.31b1"/>
    <s v="CMTeam"/>
    <s v="Sudip Ghosh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m/>
    <x v="0"/>
    <s v=""/>
    <x v="0"/>
    <x v="0"/>
  </r>
  <r>
    <d v="2014-05-23T00:00:00"/>
    <d v="2014-05-23T00:00:00"/>
    <n v="5"/>
    <s v="2014-May"/>
    <n v="5"/>
    <s v="IT-LQA"/>
    <x v="0"/>
    <m/>
    <s v="NM"/>
    <s v="DBS"/>
    <x v="0"/>
    <s v="DMDBS_SLT_2.0.0.20.1.141b1"/>
    <s v="CMTeam"/>
    <s v="Raja Sarkar"/>
    <s v="\\192.168.3.3\Share\Releases\Projects\SLT\Release_For_IT\Test_Build_1.0.0.4\Server CD\DBS\Setup"/>
    <s v="Obsolete-LQA"/>
    <s v="\\192.168.3.3\Share\Releases\Projects\SLT\Release_For_LQA\Test_Build_1.0.0.23\Server CD\DBS\Setup"/>
    <m/>
    <s v="Readme Re-Released"/>
    <m/>
    <m/>
    <m/>
    <m/>
    <x v="2"/>
    <d v="2014-05-23T00:00:00"/>
    <x v="23"/>
    <x v="1"/>
  </r>
  <r>
    <d v="2014-05-23T00:00:00"/>
    <d v="2014-05-23T00:00:00"/>
    <n v="5"/>
    <s v="2014-May"/>
    <n v="5"/>
    <s v="LQA"/>
    <x v="1"/>
    <m/>
    <s v="NM"/>
    <s v="DBS"/>
    <x v="1"/>
    <s v="NMDBS_4.7.1b8"/>
    <s v="CMTeam"/>
    <s v="surender Kumar"/>
    <m/>
    <m/>
    <s v="\\192.168.3.3\Share\Releases\Product\Netmind_4.7\Build&amp;Release\Release_For_LQA\Test_Build_1.0.1\Server CD\DBS\Setup"/>
    <m/>
    <m/>
    <m/>
    <m/>
    <m/>
    <m/>
    <x v="1"/>
    <s v=""/>
    <x v="0"/>
    <x v="0"/>
  </r>
  <r>
    <d v="2014-05-23T00:00:00"/>
    <d v="2014-05-23T00:00:00"/>
    <n v="5"/>
    <s v="2014-May"/>
    <n v="5"/>
    <s v="IT-LQA"/>
    <x v="0"/>
    <m/>
    <s v="RA"/>
    <s v="DBS"/>
    <x v="0"/>
    <s v="RADBS_SLT_2.0.0.26.1.71b1"/>
    <s v="CMTeam"/>
    <s v="Sudip Ghosh"/>
    <s v="\\192.168.3.3\Share\Releases\Projects\SLT\Release_For_IT\Test_Build_1.0.0.4\Server CD\DBS\Setup"/>
    <s v="Obsolete-LQA"/>
    <s v="\\192.168.3.3\Share\Releases\Projects\SLT\Release_For_LQA\Test_Build_1.0.0.23\Server CD\DBS\Setup"/>
    <m/>
    <m/>
    <m/>
    <m/>
    <m/>
    <m/>
    <x v="2"/>
    <d v="2014-05-23T00:00:00"/>
    <x v="23"/>
    <x v="1"/>
  </r>
  <r>
    <d v="2014-05-26T00:00:00"/>
    <d v="2014-05-26T00:00:00"/>
    <n v="5"/>
    <s v="2014-May"/>
    <n v="5"/>
    <s v="LQA"/>
    <x v="0"/>
    <m/>
    <s v="MPE"/>
    <s v="MPE"/>
    <x v="0"/>
    <s v="MPE_SLT-1B_3.0.1.1.1.74b1"/>
    <s v="CMTeam"/>
    <s v="Navkaran Sandhu"/>
    <m/>
    <s v="Obsolete-LQA"/>
    <s v="\\192.168.3.3\Share\Releases\Projects\SLT-1B\Release_For_Test\Test_Build_1.0.0.1\Server CD\MPE\Setup"/>
    <m/>
    <m/>
    <m/>
    <m/>
    <m/>
    <m/>
    <x v="2"/>
    <d v="2014-05-26T00:00:00"/>
    <x v="24"/>
    <x v="1"/>
  </r>
  <r>
    <d v="2014-05-26T00:00:00"/>
    <d v="2014-05-26T00:00:00"/>
    <n v="5"/>
    <s v="2014-May"/>
    <n v="5"/>
    <s v="IT-LQA-FAT"/>
    <x v="0"/>
    <m/>
    <s v="DM"/>
    <s v="DBS"/>
    <x v="0"/>
    <s v="DMDBS_SLT_2.0.0.20.1.142b1"/>
    <s v="CMTeam"/>
    <s v="Raja Sarkar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5-26T00:00:00"/>
    <d v="2014-05-26T00:00:00"/>
    <n v="5"/>
    <s v="2014-May"/>
    <n v="5"/>
    <s v="LQA"/>
    <x v="0"/>
    <m/>
    <s v="MPE"/>
    <s v="MPE"/>
    <x v="0"/>
    <s v="MPE_SLT-1B_3.0.1.1.1.75b1"/>
    <s v="CMTeam"/>
    <s v="Navkaran Sandhu"/>
    <m/>
    <s v="Obsolete-LQA"/>
    <s v="\\192.168.3.3\Share\Releases\Projects\SLT-1B\Release_For_Test\Test_Build_1.0.0.1\Server CD\MPE\Setup"/>
    <m/>
    <m/>
    <m/>
    <m/>
    <m/>
    <m/>
    <x v="2"/>
    <d v="2014-05-26T00:00:00"/>
    <x v="24"/>
    <x v="1"/>
  </r>
  <r>
    <d v="2014-05-26T00:00:00"/>
    <d v="2014-05-26T00:00:00"/>
    <n v="5"/>
    <s v="2014-May"/>
    <n v="5"/>
    <s v="IT-LQA"/>
    <x v="0"/>
    <m/>
    <s v="DM"/>
    <s v="DBS"/>
    <x v="0"/>
    <s v="DMDBS_SLT_2.0.0.20.1.141b2"/>
    <s v="CMTeam"/>
    <s v="Raja Sarkar"/>
    <s v="\\192.168.3.3\Share\Releases\Projects\SLT\Release_For_IT\Test_Build_1.0.0.4\Server CD\DBS\Setup"/>
    <s v="Obsolete-LQA"/>
    <s v="\\192.168.3.3\Share\Releases\Projects\SLT\Release_For_LQA\Test_Build_1.0.0.23\Server CD\DBS\Setup"/>
    <m/>
    <m/>
    <m/>
    <m/>
    <m/>
    <m/>
    <x v="2"/>
    <d v="2014-05-26T00:00:00"/>
    <x v="24"/>
    <x v="1"/>
  </r>
  <r>
    <d v="2014-05-26T00:00:00"/>
    <d v="2014-05-26T00:00:00"/>
    <n v="5"/>
    <s v="2014-May"/>
    <n v="5"/>
    <s v="IT-LQA-FAT"/>
    <x v="0"/>
    <m/>
    <s v="RA"/>
    <s v="DBS"/>
    <x v="0"/>
    <s v="RADBS_SLT_2.0.0.26.1.72b1"/>
    <s v="CMTeam"/>
    <s v="Shiv Mangal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5-26T00:00:00"/>
    <m/>
    <n v="5"/>
    <s v="2014-May"/>
    <s v="False"/>
    <s v="IT"/>
    <x v="1"/>
    <m/>
    <s v="NM"/>
    <s v="DBS"/>
    <x v="0"/>
    <s v="NMDBS_4.6.1.24b1"/>
    <s v="CMTeam"/>
    <s v="Puneet Gupta"/>
    <s v="\\192.168.3.3\Share\Releases\Product\Netmind_4.6\Build&amp;Release\ReleaseForIT\TestBuild_4.6.1\Build4\ServerCD\DBS\Setup"/>
    <s v="Obsolete-LQA"/>
    <m/>
    <m/>
    <m/>
    <m/>
    <m/>
    <m/>
    <m/>
    <x v="2"/>
    <d v="1899-12-30T00:00:00"/>
    <x v="5"/>
    <x v="3"/>
  </r>
  <r>
    <d v="2014-05-26T00:00:00"/>
    <d v="2014-05-26T00:00:00"/>
    <n v="5"/>
    <s v="2014-May"/>
    <n v="5"/>
    <s v="IT-LQA"/>
    <x v="10"/>
    <m/>
    <s v="NM"/>
    <s v="DBS"/>
    <x v="0"/>
    <s v="NMDBS_COM_4.6.1.20.1.26b4"/>
    <s v="CMTeam"/>
    <s v="Sumita Yadav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m/>
    <x v="0"/>
    <s v=""/>
    <x v="0"/>
    <x v="0"/>
  </r>
  <r>
    <d v="2014-05-27T00:00:00"/>
    <d v="2014-05-27T00:00:00"/>
    <n v="5"/>
    <s v="2014-May"/>
    <n v="5"/>
    <s v="LQA-FAT"/>
    <x v="0"/>
    <m/>
    <s v="MPE"/>
    <s v="MPE"/>
    <x v="0"/>
    <s v="MPE_SLT-1B_3.0.1.1.1.76b1"/>
    <s v="CMTeam"/>
    <s v="Muktesh Mukul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5-27T00:00:00"/>
    <d v="2014-05-27T00:00:00"/>
    <n v="5"/>
    <s v="2014-May"/>
    <n v="5"/>
    <s v="IT-LQA-FAT"/>
    <x v="0"/>
    <m/>
    <s v="DM"/>
    <s v="DBS"/>
    <x v="0"/>
    <s v="DMDBS_SLT_2.0.0.20.1.143b1"/>
    <s v="CMTeam"/>
    <s v="Raja Sarkar"/>
    <s v="\\192.168.3.3\Share\Releases\Projects\SLT\Release_For_IT\Test_Build_1.0.0.4\Server CD\DBS\Setup"/>
    <m/>
    <s v="\\192.168.3.3\Share\Releases\Projects\SLT\Release_For_LQA\Test_Build_1.0.0.23\Server CD\DBS\Setup"/>
    <s v="Pass"/>
    <s v="Readme Re-Released"/>
    <m/>
    <m/>
    <m/>
    <s v="K.V. Krishnan"/>
    <x v="0"/>
    <s v=""/>
    <x v="0"/>
    <x v="0"/>
  </r>
  <r>
    <d v="2014-05-27T00:00:00"/>
    <d v="2014-05-27T00:00:00"/>
    <n v="5"/>
    <s v="2014-May"/>
    <n v="5"/>
    <s v="IT-LQA"/>
    <x v="0"/>
    <m/>
    <s v="DM"/>
    <s v="DBS"/>
    <x v="0"/>
    <s v="DMDBS_SLT_2.0.0.20.1.144b1"/>
    <s v="CMTeam"/>
    <s v="Raja Sarkar"/>
    <s v="\\192.168.3.3\Share\Releases\Projects\SLT\Release_For_IT\Test_Build_1.0.0.4\Server CD\DBS\Setup"/>
    <s v="Obsolete-LQA"/>
    <s v="\\192.168.3.3\Share\Releases\Projects\SLT\Release_For_LQA\Test_Build_1.0.0.23\Server CD\DBS\Setup"/>
    <m/>
    <m/>
    <m/>
    <m/>
    <m/>
    <m/>
    <x v="2"/>
    <d v="2014-05-27T00:00:00"/>
    <x v="24"/>
    <x v="1"/>
  </r>
  <r>
    <d v="2014-05-27T00:00:00"/>
    <d v="2014-05-27T00:00:00"/>
    <n v="5"/>
    <s v="2014-May"/>
    <n v="5"/>
    <s v="IT-LQA-AT"/>
    <x v="4"/>
    <m/>
    <s v="NM"/>
    <s v="DBS"/>
    <x v="0"/>
    <s v="NMDBS_TLSTR_4.0.1.0.4.306b1"/>
    <s v="CMTeam"/>
    <s v="Deepak Yadav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Gaurav Shukla"/>
    <x v="0"/>
    <s v=""/>
    <x v="0"/>
    <x v="0"/>
  </r>
  <r>
    <d v="2014-05-27T00:00:00"/>
    <d v="2014-05-27T00:00:00"/>
    <n v="5"/>
    <s v="2014-May"/>
    <n v="5"/>
    <s v="IT-LQA-FAT"/>
    <x v="0"/>
    <m/>
    <s v="RA"/>
    <s v="DBS"/>
    <x v="0"/>
    <s v="RADBS_SLT_2.0.0.26.1.73b1"/>
    <s v="CMTeam"/>
    <s v="Raja Sarkar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5-27T00:00:00"/>
    <d v="2014-05-27T00:00:00"/>
    <n v="5"/>
    <s v="2014-May"/>
    <n v="5"/>
    <s v="IT-LQA"/>
    <x v="10"/>
    <m/>
    <s v="NM"/>
    <s v="DBS"/>
    <x v="0"/>
    <s v="NMDBS_COM_4.6.1.20.1.32b1"/>
    <s v="CMTeam"/>
    <s v="Sudip Ghosh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m/>
    <x v="0"/>
    <s v=""/>
    <x v="0"/>
    <x v="0"/>
  </r>
  <r>
    <d v="2014-05-27T00:00:00"/>
    <d v="2014-05-27T00:00:00"/>
    <n v="5"/>
    <s v="2014-May"/>
    <n v="5"/>
    <s v="IT-LQA"/>
    <x v="8"/>
    <m/>
    <s v="NM"/>
    <s v="DBS"/>
    <x v="0"/>
    <s v="NMDBS_TWC_4.6.1.11.3.37b1"/>
    <s v="CMTeam"/>
    <s v="Sudip Ghosh"/>
    <s v="\\192.168.3.3\Share\Releases\Projects\TWC\Release_For_IT\Test_Build_1.0.0.3\Server CD\DBS\Setup"/>
    <s v="Obsolete-LQA"/>
    <s v="\\192.168.3.3\Share\Releases\Projects\TWC\Release_For_Test\Test_Build_1.0.0.4\Server CD\DBS\Setup"/>
    <m/>
    <m/>
    <m/>
    <m/>
    <m/>
    <m/>
    <x v="2"/>
    <d v="2014-05-27T00:00:00"/>
    <x v="24"/>
    <x v="1"/>
  </r>
  <r>
    <d v="2014-05-27T00:00:00"/>
    <d v="2014-05-27T00:00:00"/>
    <n v="5"/>
    <s v="2014-May"/>
    <n v="5"/>
    <s v="IT-LQA-FAT"/>
    <x v="0"/>
    <m/>
    <s v="DM"/>
    <s v="DBS"/>
    <x v="0"/>
    <s v="DMDBS_SLT_2.0.0.20.1.141b3"/>
    <s v="CMTeam"/>
    <s v="Raja Sarkar"/>
    <s v="\\192.168.3.3\Share\Releases\Projects\SLT\Release_For_LQA\Test_Build_1.0.0.23\Server CD\DBS\Setup"/>
    <m/>
    <s v="\\192.168.3.3\Share\Releases\Projects\SLT\Release_For_IT\Test_Build_1.0.0.4\Server CD\DBS\Setup"/>
    <s v="Pass"/>
    <m/>
    <m/>
    <m/>
    <m/>
    <s v="K.V. Krishnan"/>
    <x v="0"/>
    <s v=""/>
    <x v="0"/>
    <x v="0"/>
  </r>
  <r>
    <d v="2014-05-27T00:00:00"/>
    <d v="2014-05-27T00:00:00"/>
    <n v="5"/>
    <s v="2014-May"/>
    <n v="5"/>
    <s v="IT-LQA-FAT"/>
    <x v="0"/>
    <m/>
    <s v="RA"/>
    <s v="DBS"/>
    <x v="0"/>
    <s v=" RADBS_SLT_2.0.0.26.1.71b2 "/>
    <s v="CMTeam"/>
    <s v="Raja Sarkar"/>
    <s v="\\192.168.3.3\Share\Releases\Projects\SLT\Release_For_LQA\Test_Build_1.0.0.23\Server CD\DBS\Setup"/>
    <m/>
    <s v="\\192.168.3.3\Share\Releases\Projects\SLT\Release_For_IT\Test_Build_1.0.0.4\Server CD\DBS\Setup"/>
    <s v="Pass"/>
    <m/>
    <m/>
    <m/>
    <m/>
    <s v="K.V. Krishnan"/>
    <x v="0"/>
    <s v=""/>
    <x v="0"/>
    <x v="0"/>
  </r>
  <r>
    <d v="2014-05-27T00:00:00"/>
    <d v="2014-05-27T00:00:00"/>
    <n v="5"/>
    <s v="2014-May"/>
    <n v="5"/>
    <s v="LQA-FAT"/>
    <x v="0"/>
    <m/>
    <s v="Utility"/>
    <s v="Utility"/>
    <x v="0"/>
    <s v="UTLSEQM_SLT-1B_1.0.0.0.5.8b2"/>
    <s v="CMTeam"/>
    <s v="Muktesh Mukul"/>
    <m/>
    <m/>
    <s v="\\192.168.3.3\Share\Releases\Projects\SLT-1B\Release_For_Test\Test_Build_1.0.0.1\Utility\MPE\Setup"/>
    <s v="Pass"/>
    <m/>
    <m/>
    <m/>
    <m/>
    <s v="K.V. Krishnan"/>
    <x v="0"/>
    <s v=""/>
    <x v="0"/>
    <x v="0"/>
  </r>
  <r>
    <d v="2014-05-27T00:00:00"/>
    <d v="2014-05-27T00:00:00"/>
    <n v="5"/>
    <s v="2014-May"/>
    <n v="5"/>
    <s v="IT-LQA"/>
    <x v="3"/>
    <m/>
    <s v="NM"/>
    <s v="DBS"/>
    <x v="0"/>
    <s v="NMDBS_OBT_4.6.1.21.1.33b1"/>
    <s v="CMTeam"/>
    <s v="Rohit Kanwar"/>
    <s v="\\192.168.3.3\Share\Releases\Projects\OBT\Release_For_IT\TestBuild_1.0.0.2\Server CD\DBS\Setup"/>
    <m/>
    <s v="\\192.168.3.3\Share\Releases\Projects\OBT\Release_For_LQA\TestBuild_1.0.0.6\Server CD\DBS\Setup"/>
    <s v="Pass"/>
    <m/>
    <m/>
    <m/>
    <m/>
    <m/>
    <x v="0"/>
    <s v=""/>
    <x v="0"/>
    <x v="0"/>
  </r>
  <r>
    <d v="2014-05-28T00:00:00"/>
    <d v="2014-05-28T00:00:00"/>
    <n v="5"/>
    <s v="2014-May"/>
    <n v="5"/>
    <s v="IT-LQA-FAT"/>
    <x v="0"/>
    <m/>
    <s v="NM"/>
    <s v="DBS"/>
    <x v="0"/>
    <s v="NMDBS_SLT_4.0.2.0.1.17b1"/>
    <s v="CMTeam"/>
    <s v="Raja Sarkar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Sureya N Behra"/>
    <x v="0"/>
    <s v=""/>
    <x v="0"/>
    <x v="0"/>
  </r>
  <r>
    <d v="2014-05-28T00:00:00"/>
    <d v="2014-05-28T00:00:00"/>
    <n v="5"/>
    <s v="2014-May"/>
    <n v="5"/>
    <s v="IT-LQA"/>
    <x v="10"/>
    <m/>
    <s v="NM"/>
    <s v="DBS"/>
    <x v="0"/>
    <s v="NMDBS_COM_4.6.1.20.1.33b1"/>
    <s v="CMTeam"/>
    <s v="Sachin Srivastva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m/>
    <x v="0"/>
    <s v=""/>
    <x v="0"/>
    <x v="0"/>
  </r>
  <r>
    <d v="2014-05-28T00:00:00"/>
    <d v="2014-05-28T00:00:00"/>
    <n v="5"/>
    <s v="2014-May"/>
    <n v="5"/>
    <s v="LQA-FAT"/>
    <x v="0"/>
    <m/>
    <s v="MPE"/>
    <s v="MPE"/>
    <x v="0"/>
    <s v="MPE_SLT-1B_3.0.1.1.1.74b2"/>
    <s v="CMTeam"/>
    <s v="Navkaran Sandhu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5-28T00:00:00"/>
    <d v="2014-05-28T00:00:00"/>
    <n v="5"/>
    <s v="2014-May"/>
    <n v="5"/>
    <s v="IT-LQA"/>
    <x v="10"/>
    <m/>
    <s v="NM"/>
    <s v="DBS"/>
    <x v="0"/>
    <s v="NMDBS_COM_4.6.1.20.1.35b1"/>
    <s v="CMTeam"/>
    <s v="Sudip Ghosh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m/>
    <x v="0"/>
    <s v=""/>
    <x v="0"/>
    <x v="0"/>
  </r>
  <r>
    <d v="2014-05-28T00:00:00"/>
    <d v="2014-05-28T00:00:00"/>
    <n v="5"/>
    <s v="2014-May"/>
    <n v="5"/>
    <s v="IT-LQA-UAT"/>
    <x v="10"/>
    <m/>
    <s v="NM"/>
    <s v="DBS"/>
    <x v="0"/>
    <s v="NMDBS_COM_4.6.1.20.1.34b1"/>
    <s v="CMTeam"/>
    <s v="Sumita Yadav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s v="Sumit Gomber"/>
    <x v="0"/>
    <s v=""/>
    <x v="0"/>
    <x v="0"/>
  </r>
  <r>
    <d v="2014-05-28T00:00:00"/>
    <d v="2014-05-28T00:00:00"/>
    <n v="5"/>
    <s v="2014-May"/>
    <n v="5"/>
    <s v="IT-LQA-FAT"/>
    <x v="0"/>
    <m/>
    <s v="DM"/>
    <s v="DBS"/>
    <x v="0"/>
    <s v="DMDBS_SLT_2.0.0.20.1.144b2"/>
    <s v="CMTeam"/>
    <s v="Raja Sarkar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5-28T00:00:00"/>
    <d v="2014-05-28T00:00:00"/>
    <n v="5"/>
    <s v="2014-May"/>
    <n v="5"/>
    <s v="LQA"/>
    <x v="0"/>
    <m/>
    <s v="MPE"/>
    <s v="MPE"/>
    <x v="0"/>
    <s v="MPE_SLT-1B_3.0.1.1.1.75b2"/>
    <s v="CMTeam"/>
    <s v="Muktesh Mukul"/>
    <m/>
    <s v="Obsolete-LQA"/>
    <s v="\\192.168.3.3\Share\Releases\Projects\SLT-1B\Release_For_Test\Test_Build_1.0.0.1\Server CD\MPE\Setup"/>
    <m/>
    <m/>
    <m/>
    <m/>
    <m/>
    <m/>
    <x v="2"/>
    <d v="2014-05-28T00:00:00"/>
    <x v="24"/>
    <x v="1"/>
  </r>
  <r>
    <d v="2014-05-28T00:00:00"/>
    <d v="2014-05-28T00:00:00"/>
    <n v="5"/>
    <s v="2014-May"/>
    <n v="5"/>
    <s v="IT-LQA-FAT"/>
    <x v="0"/>
    <m/>
    <s v="DM"/>
    <s v="DBS"/>
    <x v="0"/>
    <s v="DMDBS_SLT_2.0.0.20.1.145b1"/>
    <s v="CMTeam"/>
    <s v="Raja Sarkar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Nisha Malik"/>
    <x v="0"/>
    <s v=""/>
    <x v="0"/>
    <x v="0"/>
  </r>
  <r>
    <d v="2014-05-28T00:00:00"/>
    <d v="2014-05-28T00:00:00"/>
    <n v="5"/>
    <s v="2014-May"/>
    <n v="5"/>
    <s v="IT-LQA"/>
    <x v="10"/>
    <m/>
    <s v="NM"/>
    <s v="DBS"/>
    <x v="0"/>
    <s v="NMDBS_COM_3.5.2.99.1"/>
    <s v="CMTeam"/>
    <s v="yogendra kumar"/>
    <s v="\\192.168.3.3\Share\Releases\Projects\Comcast\Release_For_IT\Test_Build_3.5.50\Server CD\Database\Setup"/>
    <m/>
    <s v="\\192.168.3.3\Share\Releases\Projects\Comcast\Release_for_Test\Test_Build_3.5.50\Server CD\Database\Setup"/>
    <m/>
    <m/>
    <m/>
    <m/>
    <m/>
    <m/>
    <x v="1"/>
    <s v=""/>
    <x v="0"/>
    <x v="0"/>
  </r>
  <r>
    <d v="2014-05-28T00:00:00"/>
    <d v="2014-05-28T00:00:00"/>
    <n v="5"/>
    <s v="2014-May"/>
    <n v="5"/>
    <s v="IT-LQA"/>
    <x v="10"/>
    <m/>
    <s v="NM"/>
    <s v="DBS"/>
    <x v="0"/>
    <s v="NMDBS_COM_4.6.1.20.1.36b1"/>
    <s v="CMTeam"/>
    <s v="Sachin Srivastva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m/>
    <x v="0"/>
    <s v=""/>
    <x v="0"/>
    <x v="0"/>
  </r>
  <r>
    <d v="2014-05-28T00:00:00"/>
    <d v="2014-05-28T00:00:00"/>
    <n v="5"/>
    <s v="2014-May"/>
    <n v="5"/>
    <s v="IT-LQA-UAT"/>
    <x v="8"/>
    <m/>
    <s v="NM"/>
    <s v="DBS"/>
    <x v="0"/>
    <s v="NMDBS_TWC_4.6.1.11.3.37b2"/>
    <s v="CMTeam"/>
    <s v="Sudip Ghosh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Jitender Aggarwal"/>
    <x v="0"/>
    <s v=""/>
    <x v="0"/>
    <x v="0"/>
  </r>
  <r>
    <d v="2014-05-28T00:00:00"/>
    <d v="2014-05-28T00:00:00"/>
    <n v="5"/>
    <s v="2014-May"/>
    <n v="5"/>
    <s v="IT-LQA-FAT"/>
    <x v="1"/>
    <m/>
    <s v="RA"/>
    <s v="DBS"/>
    <x v="0"/>
    <s v="RADBS_2.1.1.12b1"/>
    <s v="CMTeam"/>
    <s v="Anand Kumar Ojha"/>
    <s v="\\192.168.3.3\Share\Releases\Product\RevMind_2.1\Build&amp;Release\Release_For_IT\TestBuild_1.0.1\Server CD\DBS\Setup"/>
    <m/>
    <s v="\\192.168.3.3\Share\Releases\Product\RevMind_2.1\Build&amp;Release\Release_For_LQA\Test_Build_1.0.2\Server CD\DBS\Setup"/>
    <s v="Pass"/>
    <s v="Readme Re-Released"/>
    <m/>
    <m/>
    <m/>
    <s v="Jagdish Sankar"/>
    <x v="0"/>
    <s v=""/>
    <x v="0"/>
    <x v="0"/>
  </r>
  <r>
    <d v="2014-05-28T00:00:00"/>
    <d v="2014-05-28T00:00:00"/>
    <n v="5"/>
    <s v="2014-May"/>
    <n v="5"/>
    <s v="IT-LQA-FAT"/>
    <x v="0"/>
    <m/>
    <s v="RA"/>
    <s v="DBS"/>
    <x v="0"/>
    <s v="RADBS_SLT_2.1.1.12.1.74b1"/>
    <s v="CMTeam"/>
    <s v="Anand Kumar Ojha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Vijay Singh Daagar"/>
    <x v="0"/>
    <s v=""/>
    <x v="0"/>
    <x v="0"/>
  </r>
  <r>
    <d v="2014-05-29T00:00:00"/>
    <d v="2014-05-29T00:00:00"/>
    <n v="5"/>
    <s v="2014-May"/>
    <n v="5"/>
    <s v="IT-LQA-AT"/>
    <x v="4"/>
    <m/>
    <s v="NM"/>
    <s v="DBS"/>
    <x v="0"/>
    <s v="NMDBS_TLSTR_4.0.1.0.4.304b2 "/>
    <s v="CMTeam"/>
    <s v="Gautam"/>
    <s v="\\192.168.3.3\Share\Releases\Projects\Telstra\Release_For_IT\Test_Build_1.0.0.18\Server CD\DBS\Setup"/>
    <m/>
    <s v="\\192.168.3.3\Share\Releases\Projects\Telstra\Release_For_LQA\Test_Build_1.0.0.18\Server CD\DBS\Setup"/>
    <s v="Pass"/>
    <s v="Readme Re-Released"/>
    <m/>
    <m/>
    <m/>
    <s v="Abrar Khan"/>
    <x v="0"/>
    <s v=""/>
    <x v="0"/>
    <x v="0"/>
  </r>
  <r>
    <d v="2014-05-29T00:00:00"/>
    <d v="2014-05-29T00:00:00"/>
    <n v="5"/>
    <s v="2014-May"/>
    <n v="5"/>
    <s v="IT-LQA"/>
    <x v="1"/>
    <m/>
    <s v="NM"/>
    <s v="DBS"/>
    <x v="0"/>
    <s v="NMDBS_4.6.1.25b1"/>
    <s v="CMTeam"/>
    <s v="Puneet Gupta"/>
    <s v="\\192.168.3.3\Share\Releases\Product\Netmind_4.6\Build&amp;Release\ReleaseForIT\TestBuild_4.6.1\Build4\ServerCD\DBS\Setup"/>
    <m/>
    <s v="\\192.168.3.3\Share\Releases\Product\Netmind_4.6\Build&amp;Release\ReleaseForTest\TestBuild_4.6.1\Build4\ServerCD\DBS\Setup"/>
    <s v="Pass"/>
    <m/>
    <m/>
    <m/>
    <m/>
    <m/>
    <x v="0"/>
    <s v=""/>
    <x v="0"/>
    <x v="0"/>
  </r>
  <r>
    <d v="2014-05-29T00:00:00"/>
    <m/>
    <n v="5"/>
    <s v="2014-May"/>
    <s v="False"/>
    <s v="IT"/>
    <x v="10"/>
    <m/>
    <s v="NM"/>
    <s v="DBS"/>
    <x v="0"/>
    <s v="NMDBS_COM_4.6.1.20.1.37b1"/>
    <s v="CMTeam"/>
    <s v="Sumita Yadav"/>
    <s v="\\192.168.3.3\Share\Releases\Projects\Comcast\Release_For_IT\Test_Build_4.6.1\Server CD\Database\Setup"/>
    <s v="Obsolete-IT"/>
    <m/>
    <m/>
    <m/>
    <m/>
    <m/>
    <m/>
    <m/>
    <x v="2"/>
    <d v="2014-05-29T00:00:00"/>
    <x v="24"/>
    <x v="1"/>
  </r>
  <r>
    <d v="2014-05-29T00:00:00"/>
    <d v="2014-05-29T00:00:00"/>
    <n v="5"/>
    <s v="2014-May"/>
    <n v="5"/>
    <s v="IT-LQA"/>
    <x v="10"/>
    <m/>
    <s v="RT"/>
    <s v="DBS"/>
    <x v="0"/>
    <s v="RTDBS_COM_4.0.1.18.1.2b2"/>
    <s v="CMTeam"/>
    <s v="Aditya Garg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m/>
    <x v="0"/>
    <s v=""/>
    <x v="0"/>
    <x v="0"/>
  </r>
  <r>
    <d v="2014-05-29T00:00:00"/>
    <d v="2014-05-29T00:00:00"/>
    <n v="5"/>
    <s v="2014-May"/>
    <n v="5"/>
    <s v="LQA-FAT"/>
    <x v="0"/>
    <m/>
    <s v="MPE"/>
    <s v="MPE"/>
    <x v="0"/>
    <s v="MPE_SLT-1B_3.0.1.1.1.75b3"/>
    <s v="CMTeam"/>
    <s v="Muktesh Mukul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5-29T00:00:00"/>
    <d v="2014-05-29T00:00:00"/>
    <n v="5"/>
    <s v="2014-May"/>
    <n v="5"/>
    <s v="IT-LQA"/>
    <x v="1"/>
    <m/>
    <s v="NM"/>
    <s v="DBS"/>
    <x v="0"/>
    <s v="NMDBS_4.6.1.24b2"/>
    <s v="CMTeam"/>
    <s v="Puneet Gupta"/>
    <s v="\\192.168.3.3\Share\Releases\Product\Netmind_4.6\Build&amp;Release\ReleaseForTest\TestBuild_4.6.1\Build4\ServerCD\DBS\Setup"/>
    <s v="Obsolete-LQA"/>
    <s v="\\192.168.3.3\Share\Releases\Product\Netmind_4.6\Build&amp;Release\ReleaseForIT\TestBuild_4.6.1\Build4\ServerCD\DBS\Setup"/>
    <m/>
    <m/>
    <m/>
    <m/>
    <m/>
    <m/>
    <x v="2"/>
    <d v="2014-05-29T00:00:00"/>
    <x v="24"/>
    <x v="1"/>
  </r>
  <r>
    <d v="2014-05-29T00:00:00"/>
    <d v="2014-05-29T00:00:00"/>
    <n v="5"/>
    <s v="2014-May"/>
    <n v="5"/>
    <s v="IT-LQA"/>
    <x v="10"/>
    <m/>
    <s v="NM"/>
    <s v="DBS"/>
    <x v="0"/>
    <s v="NMDBS_COM_4.6.1.20.1.38b1"/>
    <s v="CMTeam"/>
    <s v="Sachin Srivastva"/>
    <s v="\\192.168.3.3\Share\Releases\Projects\Comcast\Release_For_IT\Test_Build_4.6.1\Server CD\Database\Setup"/>
    <m/>
    <s v="\\192.168.3.3\Share\Releases\Projects\Comcast\Release_for_Test\Test_Build_4.6.5\Server CD\Database\Setup"/>
    <s v="Pass"/>
    <s v="Readme Re-Released"/>
    <m/>
    <m/>
    <m/>
    <m/>
    <x v="0"/>
    <s v=""/>
    <x v="0"/>
    <x v="0"/>
  </r>
  <r>
    <d v="2014-05-29T00:00:00"/>
    <d v="2014-05-29T00:00:00"/>
    <n v="5"/>
    <s v="2014-May"/>
    <n v="5"/>
    <s v="IT-LQA"/>
    <x v="1"/>
    <m/>
    <s v="RT"/>
    <s v="DBS"/>
    <x v="0"/>
    <s v="RTDBS_4.0.1.20b1"/>
    <s v="CMTeam"/>
    <s v="Aditya Garg"/>
    <s v="\\192.168.3.3\Share\Releases\Product\RT_4.0\ReleaseForIT\TestBuild_4.0.3\DBS\Setup"/>
    <m/>
    <s v="\\192.168.3.3\Share\Releases\Product\RT_4.0\ReleaseForLQA\TestBuild_4.0.24\DBS\Setup"/>
    <s v="Pass"/>
    <m/>
    <m/>
    <m/>
    <m/>
    <m/>
    <x v="0"/>
    <s v=""/>
    <x v="0"/>
    <x v="0"/>
  </r>
  <r>
    <d v="2014-05-30T00:00:00"/>
    <d v="2014-05-30T00:00:00"/>
    <n v="5"/>
    <s v="2014-May"/>
    <n v="5"/>
    <s v="IT-LQA-FAT"/>
    <x v="0"/>
    <m/>
    <s v="DM"/>
    <s v="DBS"/>
    <x v="0"/>
    <s v="DMDBS_SLT_2.0.0.20.1.146b1"/>
    <s v="CMTeam"/>
    <s v="Shiv Mangal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5-30T00:00:00"/>
    <d v="2014-05-30T00:00:00"/>
    <n v="5"/>
    <s v="2014-May"/>
    <n v="5"/>
    <s v="IT-LQA-FAT"/>
    <x v="0"/>
    <m/>
    <s v="RA"/>
    <s v="DBS"/>
    <x v="0"/>
    <s v="RADBS_SLT_2.1.1.12.1.75b1"/>
    <s v="CMTeam"/>
    <s v="Shiv Mangal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5-30T00:00:00"/>
    <d v="2014-06-05T00:00:00"/>
    <n v="5"/>
    <s v="2014-May"/>
    <n v="6"/>
    <s v="IT-LQA"/>
    <x v="12"/>
    <m/>
    <s v="DM"/>
    <s v="DBS"/>
    <x v="0"/>
    <s v="DMDBS_DRC_2.1.1.7.2.18b1"/>
    <s v="CMTeam"/>
    <s v="Rohit Kanwar"/>
    <s v="\\192.168.3.3\Share\Releases\Projects\DRC\Release_For_IT\Test_Build_1.0.0.3\Server CD\DBS\Setup"/>
    <s v="Obsolete-FAT"/>
    <s v="\\192.168.3.3\Share\Releases\Projects\DRC\Release_For_LQA\Test_Build_1.0.0.3\Server CD\DBS\Setup"/>
    <s v="Pass"/>
    <m/>
    <m/>
    <m/>
    <m/>
    <m/>
    <x v="2"/>
    <s v=""/>
    <x v="0"/>
    <x v="0"/>
  </r>
  <r>
    <d v="2014-05-30T00:00:00"/>
    <d v="2014-05-30T00:00:00"/>
    <n v="5"/>
    <s v="2014-May"/>
    <n v="5"/>
    <s v="IT-LQA-FAT"/>
    <x v="0"/>
    <m/>
    <s v="DM"/>
    <s v="DBS"/>
    <x v="0"/>
    <s v="DMDBS_SLT_2.0.0.20.1.147b1"/>
    <s v="CMTeam"/>
    <s v="Raja Sarkar"/>
    <s v="\\192.168.3.3\Share\Releases\Projects\SLT\Release_For_IT\Test_Build_1.0.0.4\Server CD\DBS\Setup"/>
    <m/>
    <s v="\\192.168.3.3\Share\Releases\Projects\SLT\Release_For_LQA\Test_Build_1.0.0.23\Server CD\DBS\Setup"/>
    <s v="Pass"/>
    <s v="Readme Re-Released"/>
    <m/>
    <m/>
    <m/>
    <s v="Nisha Malik"/>
    <x v="0"/>
    <s v=""/>
    <x v="0"/>
    <x v="0"/>
  </r>
  <r>
    <d v="2014-05-30T00:00:00"/>
    <d v="2014-05-30T00:00:00"/>
    <n v="5"/>
    <s v="2014-May"/>
    <n v="5"/>
    <s v="IT-LQA"/>
    <x v="10"/>
    <m/>
    <s v="NM"/>
    <s v="DBS"/>
    <x v="0"/>
    <s v="NMDBS_COM_4.6.1.20.1.37b2"/>
    <s v="CMTeam"/>
    <s v="Sumita Yadav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m/>
    <x v="0"/>
    <s v=""/>
    <x v="0"/>
    <x v="0"/>
  </r>
  <r>
    <d v="2014-06-02T00:00:00"/>
    <d v="2014-06-02T00:00:00"/>
    <n v="6"/>
    <s v="2014-Jun"/>
    <n v="6"/>
    <s v="IT-LQA"/>
    <x v="10"/>
    <m/>
    <s v="NM"/>
    <s v="DBS"/>
    <x v="0"/>
    <s v="NMDBS_COM_4.6.1.20.1.39b1"/>
    <s v="CMTeam"/>
    <s v="Sumita Yadav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m/>
    <x v="0"/>
    <s v=""/>
    <x v="0"/>
    <x v="0"/>
  </r>
  <r>
    <d v="2014-06-02T00:00:00"/>
    <d v="2014-06-02T00:00:00"/>
    <n v="6"/>
    <s v="2014-Jun"/>
    <n v="6"/>
    <s v="IT-LQA"/>
    <x v="1"/>
    <m/>
    <s v="NM"/>
    <s v="DBS"/>
    <x v="0"/>
    <s v="NMDBS_4.6.1.26b1"/>
    <s v="CMTeam"/>
    <s v="surender Kumar"/>
    <s v="\\192.168.3.3\Share\Releases\Product\Netmind_4.6\Build&amp;Release\ReleaseForIT\TestBuild_4.6.1\Build4\ServerCD\DBS\Setup"/>
    <m/>
    <s v="\\192.168.3.3\Share\Releases\Product\Netmind_4.6\Build&amp;Release\ReleaseForTest\TestBuild_4.6.1\Build4\ServerCD\DBS\Setup"/>
    <s v="Pass"/>
    <m/>
    <m/>
    <m/>
    <m/>
    <m/>
    <x v="0"/>
    <s v=""/>
    <x v="0"/>
    <x v="0"/>
  </r>
  <r>
    <d v="2014-06-03T00:00:00"/>
    <d v="2014-06-03T00:00:00"/>
    <n v="6"/>
    <s v="2014-Jun"/>
    <n v="6"/>
    <s v="LQA"/>
    <x v="12"/>
    <m/>
    <s v="MPE"/>
    <s v="MPE"/>
    <x v="0"/>
    <s v="MPE_DRC_3.2.1.3.2.25b1"/>
    <s v="CMTeam"/>
    <s v="Navkaran Sandhu"/>
    <m/>
    <s v="Obsolete-LQA"/>
    <s v="\\192.168.3.3\Share\Releases\Projects\DRC\Release_For_LQA\Test_Build_1.0.0.3\Server CD\MPE\Setup"/>
    <s v="Pass"/>
    <m/>
    <m/>
    <m/>
    <m/>
    <m/>
    <x v="2"/>
    <d v="2014-06-03T00:00:00"/>
    <x v="25"/>
    <x v="1"/>
  </r>
  <r>
    <d v="2014-06-03T00:00:00"/>
    <d v="2014-06-03T00:00:00"/>
    <n v="6"/>
    <s v="2014-Jun"/>
    <n v="6"/>
    <s v="IT-LQA"/>
    <x v="10"/>
    <m/>
    <s v="NM"/>
    <s v="DBS"/>
    <x v="0"/>
    <s v="NMDBS_COM_4.6.1.20.1.40b1"/>
    <s v="CMTeam"/>
    <s v="Sumita Yadav"/>
    <s v="\\192.168.3.3\Share\Releases\Projects\Comcast\Release_For_IT\Test_Build_4.6.1\Server CD\Database\Setup"/>
    <m/>
    <s v="\\192.168.3.3\Share\Releases\Projects\Comcast\Release_for_Test\Test_Build_4.6.5\Server CD\Database\Setup"/>
    <s v="Pass"/>
    <s v="Readme Re-Released"/>
    <m/>
    <m/>
    <m/>
    <m/>
    <x v="0"/>
    <s v=""/>
    <x v="0"/>
    <x v="0"/>
  </r>
  <r>
    <d v="2014-06-03T00:00:00"/>
    <d v="2014-06-03T00:00:00"/>
    <n v="6"/>
    <s v="2014-Jun"/>
    <n v="6"/>
    <s v="LQA"/>
    <x v="4"/>
    <m/>
    <s v="MPE"/>
    <s v="MPE"/>
    <x v="0"/>
    <s v="MPE_TLSTR-2b_3.0.0.3.1.97b1"/>
    <s v="CMTeam"/>
    <s v="Sandeep Aggarwal"/>
    <m/>
    <s v="Obsolete-LQA"/>
    <s v="\\192.168.3.3\Share\Releases\Projects\Telstra-2b\Release_For_Test\Test_Build_1.0.0.1\Server CD\MPE\Setup"/>
    <m/>
    <m/>
    <m/>
    <m/>
    <m/>
    <m/>
    <x v="2"/>
    <d v="2014-06-03T00:00:00"/>
    <x v="25"/>
    <x v="1"/>
  </r>
  <r>
    <d v="2014-06-04T00:00:00"/>
    <d v="2014-06-04T00:00:00"/>
    <n v="6"/>
    <s v="2014-Jun"/>
    <n v="6"/>
    <s v="LQA"/>
    <x v="3"/>
    <m/>
    <s v="MPE"/>
    <s v="MPE"/>
    <x v="0"/>
    <s v="MPE_OBT_3.2.1.3.1.16b1"/>
    <s v="CMTeam"/>
    <s v="Rohtash"/>
    <m/>
    <m/>
    <s v="\\192.168.3.3\share\Releases\Projects\OBT\Release_For_LQA\TestBuild_1.0.0.6\Server CD\MPE\Setup"/>
    <s v="Pass"/>
    <m/>
    <m/>
    <m/>
    <m/>
    <m/>
    <x v="0"/>
    <s v=""/>
    <x v="0"/>
    <x v="0"/>
  </r>
  <r>
    <d v="2014-06-04T00:00:00"/>
    <d v="2014-06-04T00:00:00"/>
    <n v="6"/>
    <s v="2014-Jun"/>
    <n v="6"/>
    <s v="IT-LQA"/>
    <x v="3"/>
    <m/>
    <s v="NM"/>
    <s v="DBS"/>
    <x v="0"/>
    <s v="NMDBS_OBT_4.6.1.21.1.30b2"/>
    <s v="CMTeam"/>
    <s v="Rohit Kanwar"/>
    <s v="\\192.168.3.3\Share\Releases\Projects\OBT\Release_For_IT\TestBuild_1.0.0.2\Server CD\DBS\Setup"/>
    <m/>
    <s v="\\192.168.3.3\Share\Releases\Projects\OBT\Release_For_LQA\TestBuild_1.0.0.6\Server CD\DBS\Setup"/>
    <s v="Pass"/>
    <m/>
    <m/>
    <m/>
    <m/>
    <m/>
    <x v="0"/>
    <s v=""/>
    <x v="0"/>
    <x v="0"/>
  </r>
  <r>
    <d v="2014-06-04T00:00:00"/>
    <d v="2014-06-04T00:00:00"/>
    <n v="6"/>
    <s v="2014-Jun"/>
    <n v="6"/>
    <s v="IT-LQA"/>
    <x v="3"/>
    <m/>
    <s v="NM"/>
    <s v="DBS"/>
    <x v="0"/>
    <s v="NMDBS_COM_4.6.1.20.1.41b1"/>
    <s v="CMTeam"/>
    <s v="Sumita Yadav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m/>
    <x v="0"/>
    <s v=""/>
    <x v="0"/>
    <x v="0"/>
  </r>
  <r>
    <d v="2014-06-04T00:00:00"/>
    <d v="2014-06-04T00:00:00"/>
    <n v="6"/>
    <s v="2014-Jun"/>
    <n v="6"/>
    <s v="IT-LQA-UAT"/>
    <x v="0"/>
    <m/>
    <s v="DM"/>
    <s v="DBS"/>
    <x v="0"/>
    <s v="DMDBS_SLT_2.0.0.20.1.148b1"/>
    <s v="CMTeam"/>
    <s v="Raja Sarkar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6-04T00:00:00"/>
    <d v="2014-06-04T00:00:00"/>
    <n v="6"/>
    <s v="2014-Jun"/>
    <n v="6"/>
    <s v="LQA"/>
    <x v="10"/>
    <m/>
    <s v="RT"/>
    <s v="GUI"/>
    <x v="1"/>
    <s v="RTGUI_COM_4.0.24.0.1"/>
    <s v="CMTeam"/>
    <s v="Harmanpreet Singh"/>
    <m/>
    <m/>
    <s v="\\192.168.3.3\share\Releases\Projects\Comcast\Release_for_Test\Test_Build_4.6.5\Server CD\GUI\Setup"/>
    <m/>
    <m/>
    <m/>
    <m/>
    <m/>
    <m/>
    <x v="1"/>
    <s v=""/>
    <x v="0"/>
    <x v="0"/>
  </r>
  <r>
    <d v="2014-06-05T00:00:00"/>
    <d v="2014-06-05T00:00:00"/>
    <n v="6"/>
    <s v="2014-Jun"/>
    <n v="6"/>
    <s v="LQA"/>
    <x v="16"/>
    <m/>
    <s v="MPE"/>
    <s v="MPE"/>
    <x v="0"/>
    <s v="NMMPE_TLN_2.0.3.50.2"/>
    <s v="CMTeam"/>
    <s v="Muktesh Mukul"/>
    <m/>
    <s v="Obsolete-LQA"/>
    <s v="\\192.168.3.3\Share\Releases\Projects\Telenet\Build&amp;Release\Release For Test\Test_Build_4.0.41\Server CD\MPE\Setup"/>
    <m/>
    <m/>
    <m/>
    <m/>
    <m/>
    <m/>
    <x v="2"/>
    <d v="2014-06-05T00:00:00"/>
    <x v="25"/>
    <x v="1"/>
  </r>
  <r>
    <d v="2014-06-05T00:00:00"/>
    <d v="2014-06-05T00:00:00"/>
    <n v="6"/>
    <s v="2014-Jun"/>
    <n v="6"/>
    <s v="IT-LQA"/>
    <x v="8"/>
    <m/>
    <s v="NM"/>
    <s v="DBS"/>
    <x v="0"/>
    <s v="NMDBS_TWC_4.6.1.11.3.38b1 "/>
    <s v="CMTeam"/>
    <s v="yogendra kumar"/>
    <s v="\\192.168.3.3\Share\Releases\Projects\TWC\Release_For_IT\Test_Build_1.0.0.3\Server CD\DBS\Setup"/>
    <s v="Obsolete-LQA"/>
    <s v="\\192.168.3.3\Share\Releases\Projects\TWC\Release_For_Test\Test_Build_1.0.0.4\Server CD\DBS\Setup"/>
    <m/>
    <m/>
    <m/>
    <m/>
    <m/>
    <m/>
    <x v="2"/>
    <d v="2014-06-05T00:00:00"/>
    <x v="25"/>
    <x v="1"/>
  </r>
  <r>
    <d v="2014-06-05T00:00:00"/>
    <d v="2014-06-06T00:00:00"/>
    <n v="6"/>
    <s v="2014-Jun"/>
    <n v="6"/>
    <s v="IT-LQA-FAT"/>
    <x v="0"/>
    <m/>
    <s v="DM"/>
    <s v="DBS"/>
    <x v="0"/>
    <s v="DMDBS_SLT_2.0.0.20.1.150b1"/>
    <s v="CMTeam"/>
    <s v="Shiv Mangal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6-06T00:00:00"/>
    <d v="2014-06-06T00:00:00"/>
    <n v="6"/>
    <s v="2014-Jun"/>
    <n v="6"/>
    <s v="LQA-UAT"/>
    <x v="8"/>
    <m/>
    <s v="MPE"/>
    <s v="MPE"/>
    <x v="0"/>
    <s v="MPE_TWC_3.2.1.5.2.14b1"/>
    <s v="CMTeam"/>
    <s v="Ankit Jain"/>
    <m/>
    <m/>
    <s v="\\192.168.3.3\Share\Releases\Projects\TWC\Release_For_Test\Test_Build_1.0.0.4\Server CD\MPE\Setup"/>
    <s v="Pass"/>
    <m/>
    <m/>
    <m/>
    <m/>
    <s v="Paritosh Ghildyal"/>
    <x v="0"/>
    <s v=""/>
    <x v="0"/>
    <x v="0"/>
  </r>
  <r>
    <d v="2014-06-06T00:00:00"/>
    <d v="2014-06-06T00:00:00"/>
    <n v="6"/>
    <s v="2014-Jun"/>
    <n v="6"/>
    <s v="IT-LQA-UAT"/>
    <x v="1"/>
    <m/>
    <s v="RA"/>
    <s v="DBS"/>
    <x v="0"/>
    <s v="RADBS_2.1.1.13b1"/>
    <s v="CMTeam"/>
    <s v="Anand Kumar Ojha"/>
    <s v="\\192.168.3.3\Share\Releases\Product\RevMind_2.1\Build&amp;Release\Release_For_IT\TestBuild_1.0.1\Server CD\DBS\Setup"/>
    <m/>
    <s v="\\192.168.3.3\Share\Releases\Product\RevMind_2.1\Build&amp;Release\Release_For_LQA\Test_Build_1.0.2\Server CD\DBS\Setup"/>
    <s v="Pass"/>
    <m/>
    <m/>
    <m/>
    <m/>
    <s v="Aditya Mani Sharma"/>
    <x v="0"/>
    <s v=""/>
    <x v="0"/>
    <x v="0"/>
  </r>
  <r>
    <d v="2014-06-06T00:00:00"/>
    <d v="2014-06-06T00:00:00"/>
    <n v="6"/>
    <s v="2014-Jun"/>
    <n v="6"/>
    <s v="IT-LQA-UAT"/>
    <x v="0"/>
    <m/>
    <s v="DM"/>
    <s v="DBS"/>
    <x v="0"/>
    <s v="DMDBS_SLT_2.0.0.20.1.149b1"/>
    <s v="CMTeam"/>
    <s v="Raja Sarkar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6-06T00:00:00"/>
    <d v="2014-06-06T00:00:00"/>
    <n v="6"/>
    <s v="2014-Jun"/>
    <n v="6"/>
    <s v="IT-LQA"/>
    <x v="0"/>
    <m/>
    <s v="DM"/>
    <s v="DBS"/>
    <x v="0"/>
    <s v="DMDBS_SLT_2.0.0.20.1.151b1"/>
    <s v="CMTeam"/>
    <s v="Raja Sarkar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m/>
    <x v="0"/>
    <s v=""/>
    <x v="0"/>
    <x v="0"/>
  </r>
  <r>
    <d v="2014-06-06T00:00:00"/>
    <d v="2014-06-06T00:00:00"/>
    <n v="6"/>
    <s v="2014-Jun"/>
    <n v="6"/>
    <s v="LQA-FAT"/>
    <x v="0"/>
    <m/>
    <s v="MPE"/>
    <s v="MPE"/>
    <x v="0"/>
    <s v="MPE_SLT-1B_3.0.1.1.1.77b1"/>
    <s v="CMTeam"/>
    <s v="Muktesh Mukul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6-06T00:00:00"/>
    <d v="2014-06-06T00:00:00"/>
    <n v="6"/>
    <s v="2014-Jun"/>
    <n v="6"/>
    <s v="LQA"/>
    <x v="0"/>
    <m/>
    <s v="Utility"/>
    <s v="Utility"/>
    <x v="0"/>
    <s v="UTLSEQM_SLT-1B_1.0.0.0.5.9b1"/>
    <s v="CMTeam"/>
    <s v="Muktesh Mukul"/>
    <m/>
    <m/>
    <s v="\\192.168.3.3\Share\Releases\Projects\SLT-1B\Release_For_Test\Test_Build_1.0.0.1\Utility\MPE\Setup"/>
    <s v="Pass"/>
    <m/>
    <m/>
    <m/>
    <m/>
    <m/>
    <x v="0"/>
    <s v=""/>
    <x v="0"/>
    <x v="0"/>
  </r>
  <r>
    <d v="2014-06-06T00:00:00"/>
    <d v="2014-06-06T00:00:00"/>
    <n v="6"/>
    <s v="2014-Jun"/>
    <n v="6"/>
    <s v="LQA"/>
    <x v="1"/>
    <m/>
    <s v="RT"/>
    <s v="GUI"/>
    <x v="1"/>
    <s v="RTGUI_4.0.25b1"/>
    <s v="CMTeam"/>
    <s v="Ratnesh Singh"/>
    <m/>
    <m/>
    <s v="\\192.168.3.3\Share\Releases\Product\RT_4.0\ReleaseForLQA\TestBuild_4.0.24\GUI\Build1\Setup "/>
    <m/>
    <m/>
    <m/>
    <m/>
    <m/>
    <m/>
    <x v="1"/>
    <s v=""/>
    <x v="0"/>
    <x v="0"/>
  </r>
  <r>
    <d v="2014-06-06T00:00:00"/>
    <d v="2014-06-06T00:00:00"/>
    <n v="6"/>
    <s v="2014-Jun"/>
    <n v="6"/>
    <s v="LQA-FAT"/>
    <x v="0"/>
    <m/>
    <s v="RT"/>
    <s v="GUI"/>
    <x v="1"/>
    <s v="RTGUI_SLT_4.0.25.0.1 "/>
    <s v="CMTeam"/>
    <s v="Ratnesh Singh"/>
    <m/>
    <m/>
    <s v="\\192.168.3.3\Share\Releases\Projects\SLT\Release_For_LQA\Test_Build_1.0.0.23\Server CD\GUI\Setup"/>
    <s v="Pass"/>
    <s v="Readme Re-Released"/>
    <m/>
    <m/>
    <m/>
    <s v="Harsh Khanna"/>
    <x v="0"/>
    <s v=""/>
    <x v="0"/>
    <x v="0"/>
  </r>
  <r>
    <d v="2014-06-09T00:00:00"/>
    <d v="2014-06-09T00:00:00"/>
    <n v="6"/>
    <s v="2014-Jun"/>
    <n v="6"/>
    <s v="IT-LQA"/>
    <x v="1"/>
    <m/>
    <s v="DM"/>
    <s v="DBS"/>
    <x v="0"/>
    <s v="DMDBS_2.0.0.22b2"/>
    <s v="CMTeam"/>
    <s v="Chander Kanta"/>
    <s v="\\192.168.3.3\Share\Releases\Product\DataMind_2.0\Build&amp;Release\Release for IT\TestBuild_2.0.0\Server CD\DBS\Setup"/>
    <s v="Obsolete-LQA"/>
    <s v="\\192.168.3.3\Share\Releases\Product\DataMind_2.0\Build&amp;Release\Release for LQA\TestBuild_2.0.0\Server CD\DBS\Setup"/>
    <m/>
    <m/>
    <m/>
    <m/>
    <m/>
    <m/>
    <x v="2"/>
    <d v="2014-06-09T00:00:00"/>
    <x v="26"/>
    <x v="1"/>
  </r>
  <r>
    <d v="2014-06-09T00:00:00"/>
    <d v="2014-06-09T00:00:00"/>
    <n v="6"/>
    <s v="2014-Jun"/>
    <n v="6"/>
    <s v="LQA"/>
    <x v="3"/>
    <m/>
    <s v="MPE"/>
    <s v="MPE"/>
    <x v="0"/>
    <s v="MPE_OBT_3.2.1.7.1.17b1"/>
    <s v="CMTeam"/>
    <s v="Rohtash"/>
    <m/>
    <m/>
    <s v="\\192.168.3.3\share\Releases\Projects\OBT\Release_For_LQA\TestBuild_1.0.0.6\Server CD\MPE\Setup"/>
    <s v="Pass"/>
    <m/>
    <m/>
    <m/>
    <m/>
    <m/>
    <x v="0"/>
    <s v=""/>
    <x v="0"/>
    <x v="0"/>
  </r>
  <r>
    <d v="2014-06-09T00:00:00"/>
    <d v="2014-06-09T00:00:00"/>
    <n v="6"/>
    <s v="2014-Jun"/>
    <n v="6"/>
    <s v="IT-LQA-UAT"/>
    <x v="6"/>
    <m/>
    <s v="NM"/>
    <s v="DBS"/>
    <x v="0"/>
    <s v="NMDBS_ANTEL_4.6.1.0.2.34b1"/>
    <s v="CMTeam"/>
    <s v="Gautam"/>
    <s v="\\192.168.3.3\Share\Releases\Projects\ANTEL\Release_For_IT\TestBuild_1.0.0.4\Server CD\DBS\Setup"/>
    <m/>
    <s v="\\192.168.3.3\Share\Releases\Projects\ANTEL\Release_For_Test\Test_Build_1.0.0.7\Server CD\DBS\Setup"/>
    <s v="Pass"/>
    <s v="Readme Re-Released"/>
    <m/>
    <m/>
    <m/>
    <s v="Pradeep Raghav"/>
    <x v="0"/>
    <s v=""/>
    <x v="0"/>
    <x v="0"/>
  </r>
  <r>
    <d v="2014-06-09T00:00:00"/>
    <d v="2014-06-09T00:00:00"/>
    <n v="6"/>
    <s v="2014-Jun"/>
    <n v="6"/>
    <s v="LQA-FAT"/>
    <x v="4"/>
    <m/>
    <s v="MPE"/>
    <s v="MPE"/>
    <x v="0"/>
    <s v="MPE_TLSTR-2b_3.0.0.3.1.97b2"/>
    <s v="CMTeam"/>
    <s v="Sandeep Aggarwal"/>
    <m/>
    <m/>
    <s v="\\192.168.3.3\Share\Releases\Projects\Telstra-2b\Release_For_Test\Test_Build_1.0.0.1\Server CD\MPE\Setup"/>
    <s v="Pass"/>
    <m/>
    <m/>
    <m/>
    <m/>
    <s v="Ashwani "/>
    <x v="0"/>
    <s v=""/>
    <x v="0"/>
    <x v="0"/>
  </r>
  <r>
    <d v="2014-06-09T00:00:00"/>
    <d v="2014-06-09T00:00:00"/>
    <n v="6"/>
    <s v="2014-Jun"/>
    <n v="6"/>
    <s v="IT-LQA-UAT"/>
    <x v="8"/>
    <m/>
    <s v="NM"/>
    <s v="DBS"/>
    <x v="0"/>
    <s v="NMDBS_TWC_4.6.1.11.3.39b1 "/>
    <s v="CMTeam"/>
    <s v="Sudip Ghosh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Paritosh Ghildyal"/>
    <x v="0"/>
    <s v=""/>
    <x v="0"/>
    <x v="0"/>
  </r>
  <r>
    <d v="2014-06-09T00:00:00"/>
    <d v="2014-06-09T00:00:00"/>
    <n v="6"/>
    <s v="2014-Jun"/>
    <n v="6"/>
    <s v="IT-LQA"/>
    <x v="3"/>
    <m/>
    <s v="NM"/>
    <s v="DBS"/>
    <x v="0"/>
    <s v="NMDBS_OBT_4.6.1.26.1.34b1"/>
    <s v="CMTeam"/>
    <s v="Puneet Gupta"/>
    <s v="\\192.168.3.3\Share\Releases\Projects\OBT\Release_For_IT\TestBuild_1.0.0.2\Server CD\DBS\Setup"/>
    <m/>
    <s v="\\192.168.3.3\Share\Releases\Projects\OBT\Release_For_LQA\TestBuild_1.0.0.6\Server CD\DBS\Setup"/>
    <s v="Pass"/>
    <m/>
    <m/>
    <m/>
    <m/>
    <m/>
    <x v="0"/>
    <s v=""/>
    <x v="0"/>
    <x v="0"/>
  </r>
  <r>
    <d v="2014-06-10T00:00:00"/>
    <d v="2014-06-10T00:00:00"/>
    <n v="6"/>
    <s v="2014-Jun"/>
    <n v="6"/>
    <s v="IT-LQA"/>
    <x v="10"/>
    <m/>
    <s v="NM"/>
    <s v="DBS"/>
    <x v="0"/>
    <s v="NMDBS_COM_4.6.1.20.1.42b1"/>
    <s v="CMTeam"/>
    <s v="Sumita Yadav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m/>
    <x v="0"/>
    <s v=""/>
    <x v="0"/>
    <x v="0"/>
  </r>
  <r>
    <d v="2014-06-10T00:00:00"/>
    <d v="2014-06-10T00:00:00"/>
    <n v="6"/>
    <s v="2014-Jun"/>
    <n v="6"/>
    <s v="IT-LQA-UAT"/>
    <x v="1"/>
    <m/>
    <s v="DM"/>
    <s v="DBS"/>
    <x v="0"/>
    <s v="DMDBS_2.0.0.22b3"/>
    <s v="CMTeam"/>
    <s v="Chander Kanta"/>
    <s v="\\192.168.3.3\Share\Releases\Product\DataMind_2.0\Build&amp;Release\Release for IT\TestBuild_2.0.0\Server CD\DBS\Setup"/>
    <m/>
    <s v="\\192.168.3.3\Share\Releases\Product\DataMind_2.0\Build&amp;Release\Release for LQA\TestBuild_2.0.0\Server CD\DBS\Setup"/>
    <s v="Pass"/>
    <m/>
    <m/>
    <m/>
    <m/>
    <s v="Ekansh Arora"/>
    <x v="0"/>
    <s v=""/>
    <x v="0"/>
    <x v="0"/>
  </r>
  <r>
    <d v="2014-06-10T00:00:00"/>
    <d v="2014-06-10T00:00:00"/>
    <n v="6"/>
    <s v="2014-Jun"/>
    <n v="6"/>
    <s v="IT-LQA-UAT"/>
    <x v="8"/>
    <m/>
    <s v="NM"/>
    <s v="DBS"/>
    <x v="0"/>
    <s v="NMDBS_TWC_4.6.1.11.3.38b2"/>
    <s v="CMTeam"/>
    <s v="yogendra kumar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Paritosh Ghildyal"/>
    <x v="0"/>
    <s v=""/>
    <x v="0"/>
    <x v="0"/>
  </r>
  <r>
    <d v="2014-06-10T00:00:00"/>
    <d v="2014-06-10T00:00:00"/>
    <n v="6"/>
    <s v="2014-Jun"/>
    <n v="6"/>
    <s v="IT-LQA-UAT"/>
    <x v="4"/>
    <m/>
    <s v="NM"/>
    <s v="DBS"/>
    <x v="0"/>
    <s v="NMDBS_TLSTR_4.0.1.0.4.307b1"/>
    <s v="CMTeam"/>
    <s v="Gautam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Deshraj"/>
    <x v="0"/>
    <s v=""/>
    <x v="0"/>
    <x v="0"/>
  </r>
  <r>
    <d v="2014-06-11T00:00:00"/>
    <d v="2014-06-11T00:00:00"/>
    <n v="6"/>
    <s v="2014-Jun"/>
    <n v="6"/>
    <s v="IT-LQA-FAT"/>
    <x v="0"/>
    <m/>
    <s v="NM"/>
    <s v="DBS"/>
    <x v="0"/>
    <s v="NMDBS_SLT_4.0.2.0.1.18b1"/>
    <s v="CMTeam"/>
    <s v="Rohit Kanwar"/>
    <s v="\\192.168.3.3\Share\Releases\Projects\SLT\Release_For_IT\Test_Build_1.0.0.4\Server CD\DBS\Setup"/>
    <s v="Obsolete-LQA"/>
    <s v="\\192.168.3.3\Share\Releases\Projects\SLT\Release_For_LQA\Test_Build_1.0.0.23\Server CD\DBS\Setup"/>
    <s v="Pass"/>
    <m/>
    <m/>
    <m/>
    <m/>
    <s v="K.V. Krishnan"/>
    <x v="2"/>
    <d v="2014-06-11T00:00:00"/>
    <x v="26"/>
    <x v="1"/>
  </r>
  <r>
    <d v="2014-06-11T00:00:00"/>
    <d v="2014-06-11T00:00:00"/>
    <n v="6"/>
    <s v="2014-Jun"/>
    <n v="6"/>
    <s v="IT-LQA-UAT"/>
    <x v="10"/>
    <m/>
    <s v="NP"/>
    <s v="DBS"/>
    <x v="0"/>
    <s v="NPDBS_COM_1.2.3.6.1.15b1"/>
    <s v="CMTeam"/>
    <s v="Nitin Kumar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s v="Abhishek Leekha"/>
    <x v="0"/>
    <s v=""/>
    <x v="0"/>
    <x v="0"/>
  </r>
  <r>
    <d v="2014-06-12T00:00:00"/>
    <d v="2014-06-12T00:00:00"/>
    <n v="6"/>
    <s v="2014-Jun"/>
    <n v="6"/>
    <s v="IT-LQA-UAT"/>
    <x v="10"/>
    <m/>
    <s v="NM"/>
    <s v="DBS"/>
    <x v="0"/>
    <s v="NMDBS_COM_4.6.1.26.1.43b1"/>
    <s v="CMTeam"/>
    <s v="Sumita Yadav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s v="Abhishek Leekha"/>
    <x v="0"/>
    <s v=""/>
    <x v="0"/>
    <x v="0"/>
  </r>
  <r>
    <d v="2014-06-13T00:00:00"/>
    <d v="2014-06-13T00:00:00"/>
    <n v="6"/>
    <s v="2014-Jun"/>
    <n v="6"/>
    <s v="IT-LQA"/>
    <x v="10"/>
    <m/>
    <s v="NM"/>
    <s v="DBS"/>
    <x v="0"/>
    <s v="NMDBS_COM_4.6.1.26.1.44b1"/>
    <s v="CMTeam"/>
    <s v="Sachin Srivastva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m/>
    <x v="0"/>
    <s v=""/>
    <x v="0"/>
    <x v="0"/>
  </r>
  <r>
    <d v="2014-06-13T00:00:00"/>
    <d v="2014-06-13T00:00:00"/>
    <n v="6"/>
    <s v="2014-Jun"/>
    <n v="6"/>
    <s v="IT-LQA"/>
    <x v="1"/>
    <m/>
    <s v="NM"/>
    <s v="DBS"/>
    <x v="0"/>
    <s v="NMDBS_4.6.1.27b1"/>
    <s v="CMTeam"/>
    <s v="surender Kumar"/>
    <s v="\\192.168.3.3\Share\Releases\Product\Netmind_4.6\Build&amp;Release\ReleaseForIT\TestBuild_4.6.1\Build4\ServerCD\DBS\Setup"/>
    <m/>
    <s v="\\192.168.3.3\Share\Releases\Product\Netmind_4.6\Build&amp;Release\ReleaseForTest\TestBuild_4.6.1\Build4\ServerCD\DBS\Setup"/>
    <s v="Pass"/>
    <m/>
    <m/>
    <m/>
    <m/>
    <m/>
    <x v="0"/>
    <s v=""/>
    <x v="0"/>
    <x v="0"/>
  </r>
  <r>
    <d v="2014-06-13T00:00:00"/>
    <d v="2014-06-13T00:00:00"/>
    <n v="6"/>
    <s v="2014-Jun"/>
    <n v="6"/>
    <s v="LQA"/>
    <x v="1"/>
    <m/>
    <s v="NM"/>
    <s v="DBS"/>
    <x v="0"/>
    <s v="NMDBS_4.7.1b9"/>
    <s v="CMTeam"/>
    <s v="surender Kumar"/>
    <m/>
    <m/>
    <s v="\\192.168.3.3\Share\Releases\Product\Netmind_4.7\Build&amp;Release\Release_For_LQA\Test_Build_1.0.1\Server CD\DBS\Setup"/>
    <m/>
    <m/>
    <m/>
    <m/>
    <m/>
    <m/>
    <x v="1"/>
    <s v=""/>
    <x v="0"/>
    <x v="0"/>
  </r>
  <r>
    <d v="2014-06-16T00:00:00"/>
    <d v="2014-06-16T00:00:00"/>
    <n v="6"/>
    <s v="2014-Jun"/>
    <n v="6"/>
    <s v="LQA"/>
    <x v="3"/>
    <m/>
    <s v="MPE"/>
    <s v="MPE"/>
    <x v="0"/>
    <s v="MPE_OBT_3.2.1.7.1.18b1"/>
    <s v="CMTeam"/>
    <s v="Rohtash"/>
    <m/>
    <m/>
    <s v="\\192.168.3.3\share\Releases\Projects\OBT\Release_For_LQA\TestBuild_1.0.0.6\Server CD\MPE\Setup"/>
    <s v="Pass"/>
    <m/>
    <m/>
    <m/>
    <m/>
    <m/>
    <x v="0"/>
    <s v=""/>
    <x v="0"/>
    <x v="0"/>
  </r>
  <r>
    <d v="2014-06-16T00:00:00"/>
    <d v="2014-06-16T00:00:00"/>
    <n v="6"/>
    <s v="2014-Jun"/>
    <n v="6"/>
    <s v="LQA-UAT"/>
    <x v="1"/>
    <m/>
    <s v="VCS"/>
    <s v="GUI"/>
    <x v="0"/>
    <s v="VCSGUI_2.0.0.2b1"/>
    <s v="CMTeam"/>
    <s v="Rajeev Kumar"/>
    <m/>
    <m/>
    <s v="\\192.168.3.3\Share\Releases\Product\VCS\Build&amp;Release\Release For LQA\TestBuild_1.0.0\Build1\ServerCD\GUI\Setup"/>
    <s v="Pass"/>
    <m/>
    <m/>
    <m/>
    <m/>
    <s v="Gaurav Shukla"/>
    <x v="0"/>
    <s v=""/>
    <x v="0"/>
    <x v="0"/>
  </r>
  <r>
    <d v="2014-06-16T00:00:00"/>
    <d v="2014-06-16T00:00:00"/>
    <n v="6"/>
    <s v="2014-Jun"/>
    <n v="6"/>
    <s v="LQA-FAT"/>
    <x v="4"/>
    <m/>
    <s v="MPE"/>
    <s v="MPE"/>
    <x v="0"/>
    <s v="MPE_TLSTR-2b_3.0.0.3.1.98b1"/>
    <s v="CMTeam"/>
    <s v="Sandeep Aggarwal"/>
    <m/>
    <m/>
    <s v="\\192.168.3.3\Share\Releases\Projects\Telstra-2b\Release_For_Test\Test_Build_1.0.0.1\Server CD\MPE\Setup"/>
    <s v="Pass"/>
    <m/>
    <m/>
    <m/>
    <m/>
    <s v="Ashwani "/>
    <x v="0"/>
    <s v=""/>
    <x v="0"/>
    <x v="0"/>
  </r>
  <r>
    <d v="2014-06-16T00:00:00"/>
    <d v="2014-06-16T00:00:00"/>
    <n v="6"/>
    <s v="2014-Jun"/>
    <n v="6"/>
    <s v="LQA"/>
    <x v="0"/>
    <m/>
    <s v="MPE"/>
    <s v="MPE"/>
    <x v="0"/>
    <s v="MPE_SLT-1B_3.0.1.1.1.78b1"/>
    <s v="CMTeam"/>
    <s v="Ajay Awasthi"/>
    <m/>
    <s v="Obsolete-LQA"/>
    <s v="\\192.168.3.3\Share\Releases\Projects\SLT-1B\Release_For_Test\Test_Build_1.0.0.1\Server CD\MPE\Setup"/>
    <m/>
    <m/>
    <m/>
    <m/>
    <m/>
    <m/>
    <x v="2"/>
    <d v="2014-06-16T00:00:00"/>
    <x v="27"/>
    <x v="1"/>
  </r>
  <r>
    <d v="2014-06-16T00:00:00"/>
    <d v="2014-06-16T00:00:00"/>
    <n v="6"/>
    <s v="2014-Jun"/>
    <n v="6"/>
    <s v="IT-LQA"/>
    <x v="10"/>
    <m/>
    <s v="NP"/>
    <s v="DBS"/>
    <x v="0"/>
    <s v="NPDBS_COM_1.2.3.6.1.16b1"/>
    <s v="CMTeam"/>
    <s v="Nitin Kumar"/>
    <s v="\\192.168.3.3\Share\Releases\Projects\Comcast\Release_For_IT\Test_Build_4.6.1\Server CD\Database\Setup"/>
    <s v="Obsolete-LQA"/>
    <s v="\\192.168.3.3\Share\Releases\Projects\Comcast\Release_for_Test\Test_Build_4.6.5\Server CD\Database\Setup"/>
    <m/>
    <m/>
    <m/>
    <m/>
    <m/>
    <m/>
    <x v="2"/>
    <d v="2014-06-16T00:00:00"/>
    <x v="27"/>
    <x v="1"/>
  </r>
  <r>
    <d v="2014-06-16T00:00:00"/>
    <d v="2014-06-16T00:00:00"/>
    <n v="6"/>
    <s v="2014-Jun"/>
    <n v="6"/>
    <s v="IT-LQA"/>
    <x v="10"/>
    <m/>
    <s v="NM"/>
    <s v="DBS"/>
    <x v="0"/>
    <s v="NMDBS_COM_4.6.1.26.1.45b1"/>
    <s v="CMTeam"/>
    <s v="Nitin Kumar"/>
    <s v="\\192.168.3.3\Share\Releases\Projects\Comcast\Release_For_IT\Test_Build_4.6.1\Server CD\Database\Setup"/>
    <s v="Obsolete-LQA"/>
    <s v="\\192.168.3.3\Share\Releases\Projects\Comcast\Release_for_Test\Test_Build_4.6.5\Server CD\Database\Setup"/>
    <m/>
    <m/>
    <m/>
    <m/>
    <m/>
    <m/>
    <x v="2"/>
    <d v="2014-06-16T00:00:00"/>
    <x v="27"/>
    <x v="1"/>
  </r>
  <r>
    <d v="2014-06-16T00:00:00"/>
    <d v="2014-06-16T00:00:00"/>
    <n v="6"/>
    <s v="2014-Jun"/>
    <n v="6"/>
    <s v="IT-LQA"/>
    <x v="10"/>
    <m/>
    <s v="NM"/>
    <s v="DBS"/>
    <x v="0"/>
    <s v="NMDBS_COM_4.6.1.26.1.46b1"/>
    <s v="CMTeam"/>
    <s v="Sachin Srivastva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m/>
    <x v="0"/>
    <s v=""/>
    <x v="0"/>
    <x v="0"/>
  </r>
  <r>
    <d v="2014-06-16T00:00:00"/>
    <d v="2014-06-16T00:00:00"/>
    <n v="6"/>
    <s v="2014-Jun"/>
    <n v="6"/>
    <s v="LQA"/>
    <x v="1"/>
    <m/>
    <s v="WWFS"/>
    <s v="GUI"/>
    <x v="0"/>
    <s v="WWFSGUI_2.1.27b2"/>
    <s v="CMTeam"/>
    <s v="Karamjeet kaur"/>
    <m/>
    <m/>
    <s v="\\192.168.3.3\Share\Releases\Product\WEB_WFS\Build&amp;Release\Release For Test\TestBuild_2.1.27\ServerCD\GUI\Setup"/>
    <m/>
    <s v="Readme Re-Released"/>
    <m/>
    <m/>
    <m/>
    <m/>
    <x v="1"/>
    <s v=""/>
    <x v="0"/>
    <x v="0"/>
  </r>
  <r>
    <d v="2014-06-17T00:00:00"/>
    <d v="2014-06-17T00:00:00"/>
    <n v="6"/>
    <s v="2014-Jun"/>
    <n v="6"/>
    <s v="IT-LQA-UAT"/>
    <x v="10"/>
    <m/>
    <s v="NM"/>
    <s v="DBS"/>
    <x v="0"/>
    <s v="NMDBS_COM_4.6.1.26.1.45b2"/>
    <s v="CMTeam"/>
    <s v="Nitin Kumar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s v="Abhishek Leekha"/>
    <x v="0"/>
    <s v=""/>
    <x v="0"/>
    <x v="0"/>
  </r>
  <r>
    <d v="2014-06-17T00:00:00"/>
    <d v="2014-06-17T00:00:00"/>
    <n v="6"/>
    <s v="2014-Jun"/>
    <n v="6"/>
    <s v="IT-LQA"/>
    <x v="10"/>
    <m/>
    <s v="NP"/>
    <s v="DBS"/>
    <x v="0"/>
    <s v="NPDBS_COM_1.2.3.6.1.16b2"/>
    <s v="CMTeam"/>
    <s v="Nitin Kumar"/>
    <s v="\\192.168.3.3\Share\Releases\Projects\Comcast\Release_For_IT\Test_Build_4.6.1\Server CD\Database\Setup"/>
    <s v="Obsolete-LQA"/>
    <s v="\\192.168.3.3\Share\Releases\Projects\Comcast\Release_for_Test\Test_Build_4.6.5\Server CD\Database\Setup"/>
    <m/>
    <m/>
    <m/>
    <m/>
    <m/>
    <m/>
    <x v="2"/>
    <d v="2014-06-17T00:00:00"/>
    <x v="27"/>
    <x v="1"/>
  </r>
  <r>
    <d v="2014-06-17T00:00:00"/>
    <d v="2014-06-17T00:00:00"/>
    <n v="6"/>
    <s v="2014-Jun"/>
    <n v="6"/>
    <s v="IT-LQA"/>
    <x v="6"/>
    <m/>
    <s v="NM"/>
    <s v="DBS"/>
    <x v="0"/>
    <s v="NMDBS_ANTEL_4.6.1.26.2.35b1"/>
    <s v="CMTeam"/>
    <s v="Gautam"/>
    <s v="\\192.168.3.3\Share\Releases\Projects\ANTEL\Release_For_IT\TestBuild_1.0.0.4\Server CD\DBS\Setup"/>
    <s v="Obsolete-LQA"/>
    <s v="\\192.168.3.3\Share\Releases\Projects\ANTEL\Release_For_Test\Test_Build_1.0.0.7\Server CD\DBS\Setup"/>
    <m/>
    <s v="Readme Re-Released"/>
    <m/>
    <m/>
    <m/>
    <m/>
    <x v="2"/>
    <d v="2014-06-17T00:00:00"/>
    <x v="27"/>
    <x v="1"/>
  </r>
  <r>
    <d v="2014-06-17T00:00:00"/>
    <d v="2014-06-17T00:00:00"/>
    <n v="6"/>
    <s v="2014-Jun"/>
    <n v="6"/>
    <s v="IT-LQA-FAT"/>
    <x v="0"/>
    <m/>
    <s v="NM"/>
    <s v="DBS"/>
    <x v="0"/>
    <s v="NMDBS_SLT_4.0.2.0.1.18b2"/>
    <s v="CMTeam"/>
    <s v="Rohit Kanwar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6-18T00:00:00"/>
    <d v="2014-06-18T00:00:00"/>
    <n v="6"/>
    <s v="2014-Jun"/>
    <n v="6"/>
    <s v="IT-LQA"/>
    <x v="6"/>
    <m/>
    <s v="NM"/>
    <s v="DBS"/>
    <x v="0"/>
    <s v="NMDBS_ANTEL_4.6.1.26.2.36b1"/>
    <s v="CMTeam"/>
    <s v="Gautam"/>
    <s v="\\192.168.3.3\Share\Releases\Projects\ANTEL\Release_For_IT\TestBuild_1.0.0.4\Server CD\DBS\Setup"/>
    <m/>
    <s v="\\192.168.3.3\Share\Releases\Projects\ANTEL\Release_For_Test\Test_Build_1.0.0.7\Server CD\DBS\Setup"/>
    <s v="Pass"/>
    <m/>
    <m/>
    <m/>
    <m/>
    <m/>
    <x v="0"/>
    <s v=""/>
    <x v="0"/>
    <x v="0"/>
  </r>
  <r>
    <d v="2014-06-18T00:00:00"/>
    <d v="2014-06-18T00:00:00"/>
    <n v="6"/>
    <s v="2014-Jun"/>
    <n v="6"/>
    <s v="LQA-FAT"/>
    <x v="0"/>
    <m/>
    <s v="MPE"/>
    <s v="MPE"/>
    <x v="0"/>
    <s v="MPE_SLT-1B_3.0.1.1.1.78b2"/>
    <s v="CMTeam"/>
    <s v="Ajay Awasthi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6-18T00:00:00"/>
    <d v="2014-06-18T00:00:00"/>
    <n v="6"/>
    <s v="2014-Jun"/>
    <n v="6"/>
    <s v="LQA"/>
    <x v="3"/>
    <m/>
    <s v="MPE"/>
    <s v="MPE"/>
    <x v="0"/>
    <s v="MPE_OBT_3.2.1.7.1.19b1"/>
    <s v="CMTeam"/>
    <s v="Rohtash"/>
    <m/>
    <m/>
    <s v="\\192.168.3.3\share\Releases\Projects\OBT\Release_For_LQA\TestBuild_1.0.0.6\Server CD\MPE\Setup"/>
    <s v="Pass"/>
    <m/>
    <m/>
    <m/>
    <m/>
    <m/>
    <x v="0"/>
    <s v=""/>
    <x v="0"/>
    <x v="0"/>
  </r>
  <r>
    <d v="2014-06-18T00:00:00"/>
    <d v="2014-06-18T00:00:00"/>
    <n v="6"/>
    <s v="2014-Jun"/>
    <n v="6"/>
    <s v="IT-LQA"/>
    <x v="12"/>
    <m/>
    <s v="DM"/>
    <s v="DBS"/>
    <x v="0"/>
    <s v="DMDBS_DRC_2.1.1.7.2.19b1"/>
    <s v="CMTeam"/>
    <s v="Rohit Kanwar"/>
    <s v="\\192.168.3.3\Share\Releases\Projects\DRC\Release_For_IT\Test_Build_1.0.0.3\Server CD\DBS\Setup"/>
    <s v="Obsolete-UAT"/>
    <s v="\\192.168.3.3\Share\Releases\Projects\DRC\Release_For_LQA\Test_Build_1.0.0.3\Server CD\DBS\Setup"/>
    <s v="Pass"/>
    <s v="Readme Re-Released"/>
    <m/>
    <m/>
    <m/>
    <m/>
    <x v="2"/>
    <s v=""/>
    <x v="0"/>
    <x v="0"/>
  </r>
  <r>
    <d v="2014-06-18T00:00:00"/>
    <d v="2014-06-18T00:00:00"/>
    <n v="6"/>
    <s v="2014-Jun"/>
    <n v="6"/>
    <s v="IT-LQA"/>
    <x v="10"/>
    <m/>
    <s v="RT"/>
    <s v="DBS"/>
    <x v="0"/>
    <s v="RTDBS_COM_4.0.1.18.1.3b1"/>
    <s v="CMTeam"/>
    <s v="Gautam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m/>
    <x v="0"/>
    <s v=""/>
    <x v="0"/>
    <x v="0"/>
  </r>
  <r>
    <d v="2014-06-18T00:00:00"/>
    <d v="2014-06-18T00:00:00"/>
    <n v="6"/>
    <s v="2014-Jun"/>
    <n v="6"/>
    <s v="IT-LQA-UAT"/>
    <x v="10"/>
    <m/>
    <s v="Utility"/>
    <s v="Utility"/>
    <x v="1"/>
    <s v="NMUTLMIG4_COM_1.0.0.0.2"/>
    <s v="CMTeam"/>
    <s v="Sachin Srivastva"/>
    <s v="\\192.168.3.3\Share\Releases\Projects\Comcast\Release_For_IT\Test_Build_4.6.1\Utility\Setup"/>
    <s v="Obsolete-UAT"/>
    <s v="\\192.168.3.3\Share\Releases\Projects\Comcast\Release_for_Test\Test_Build_4.6.5\Utility\Setup "/>
    <s v="Pass"/>
    <m/>
    <m/>
    <m/>
    <m/>
    <s v="Rudra Narayan"/>
    <x v="2"/>
    <s v=""/>
    <x v="0"/>
    <x v="0"/>
  </r>
  <r>
    <d v="2014-06-18T00:00:00"/>
    <d v="2014-06-18T00:00:00"/>
    <n v="6"/>
    <s v="2014-Jun"/>
    <n v="6"/>
    <s v="IT-LQA"/>
    <x v="10"/>
    <m/>
    <s v="NM"/>
    <s v="DBS"/>
    <x v="0"/>
    <s v="NMDBS_COM_4.6.1.26.1.47b1"/>
    <s v="CMTeam"/>
    <s v="Sumita Yadav"/>
    <s v="\\192.168.3.3\Share\Releases\Projects\Comcast\Release_For_IT\Test_Build_4.6.1\Server CD\Database\Setup"/>
    <m/>
    <s v="\\192.168.3.3\Share\Releases\Projects\Comcast\Release_for_Test\Test_Build_4.6.5\Server CD\Database\Setup"/>
    <s v="Pass"/>
    <s v="Readme Re-Released"/>
    <m/>
    <m/>
    <m/>
    <m/>
    <x v="0"/>
    <s v=""/>
    <x v="0"/>
    <x v="0"/>
  </r>
  <r>
    <d v="2014-06-18T00:00:00"/>
    <d v="2014-06-18T00:00:00"/>
    <n v="6"/>
    <s v="2014-Jun"/>
    <n v="6"/>
    <s v="IT-LQA"/>
    <x v="10"/>
    <m/>
    <s v="Utility"/>
    <s v="Utility"/>
    <x v="1"/>
    <s v="NMUTLMIG1_COM_1.0.0.0.5"/>
    <s v="CMTeam"/>
    <s v="Sachin Srivastva"/>
    <s v="\\192.168.3.3\Share\Releases\Projects\Comcast\Release_For_IT\Test_Build_4.6.1\Utility\Setup"/>
    <s v="Obsolete-LQA"/>
    <s v="\\192.168.3.3\Share\Releases\Projects\Comcast\Release_for_Test\Test_Build_4.6.5\Utility\Setup "/>
    <m/>
    <m/>
    <m/>
    <m/>
    <m/>
    <m/>
    <x v="2"/>
    <d v="2014-06-18T00:00:00"/>
    <x v="27"/>
    <x v="1"/>
  </r>
  <r>
    <d v="2014-06-19T00:00:00"/>
    <d v="2014-06-19T00:00:00"/>
    <n v="6"/>
    <s v="2014-Jun"/>
    <n v="6"/>
    <s v="LQA"/>
    <x v="6"/>
    <m/>
    <s v="WWCS"/>
    <s v="GUI"/>
    <x v="1"/>
    <s v="WWCSGUI_ANTEL_2.1.18.0.1"/>
    <s v="CMTeam"/>
    <s v="Deepak Dhiman"/>
    <m/>
    <m/>
    <s v="\\192.168.3.3\Share\Releases\Projects\ANTEL\Release_For_Test\"/>
    <s v="Pass"/>
    <m/>
    <m/>
    <m/>
    <m/>
    <m/>
    <x v="0"/>
    <s v=""/>
    <x v="0"/>
    <x v="0"/>
  </r>
  <r>
    <d v="2014-06-19T00:00:00"/>
    <d v="2014-06-19T00:00:00"/>
    <n v="6"/>
    <s v="2014-Jun"/>
    <n v="6"/>
    <s v="IT-LQA-UAT"/>
    <x v="10"/>
    <m/>
    <s v="Utility"/>
    <s v="Utility"/>
    <x v="1"/>
    <s v="NMUTLMIG1_COM_1.0.0.0.6"/>
    <s v="CMTeam"/>
    <s v="Sachin Srivastva"/>
    <s v="\\192.168.3.3\Share\Releases\Projects\Comcast\Release_For_IT\Test_Build_4.6.1\Utility\Setup"/>
    <s v="Obsolete-UAT"/>
    <s v="\\192.168.3.3\Share\Releases\Projects\Comcast\Release_for_Test\Test_Build_4.6.5\Utility\Setup"/>
    <s v="Pass"/>
    <m/>
    <m/>
    <m/>
    <m/>
    <s v="Rudra Narayan"/>
    <x v="2"/>
    <s v=""/>
    <x v="0"/>
    <x v="0"/>
  </r>
  <r>
    <d v="2014-06-19T00:00:00"/>
    <d v="2014-06-19T00:00:00"/>
    <n v="6"/>
    <s v="2014-Jun"/>
    <n v="6"/>
    <s v="LQA"/>
    <x v="10"/>
    <m/>
    <s v="RT"/>
    <s v="GUI"/>
    <x v="1"/>
    <s v="RTGUI_COM_4.0.25.0.1"/>
    <s v="CMTeam"/>
    <s v="Ratnesh Singh"/>
    <m/>
    <m/>
    <s v="\\192.168.3.3\share\Releases\Projects\Comcast\Release_for_Test\Test_Build_4.6.5\Server CD\GUI\Setup"/>
    <m/>
    <m/>
    <m/>
    <m/>
    <m/>
    <m/>
    <x v="1"/>
    <s v=""/>
    <x v="0"/>
    <x v="0"/>
  </r>
  <r>
    <d v="2014-06-20T00:00:00"/>
    <d v="2014-06-20T00:00:00"/>
    <n v="6"/>
    <s v="2014-Jun"/>
    <n v="6"/>
    <s v="IT-LQA"/>
    <x v="0"/>
    <m/>
    <s v="NM"/>
    <s v="DBS"/>
    <x v="0"/>
    <s v="NMDBS_SLT_4.0.2.0.1.19b1"/>
    <s v="CMTeam"/>
    <s v="Rohit Kanwar"/>
    <s v="\\192.168.3.3\Share\Releases\Projects\SLT\Release_For_IT\Test_Build_1.0.0.4\Server CD\DBS\Setup"/>
    <s v="Obsolete-LQA"/>
    <s v="\\192.168.3.3\Share\Releases\Projects\SLT\Release_For_LQA\Test_Build_1.0.0.23\Server CD\DBS\Setup"/>
    <m/>
    <m/>
    <m/>
    <m/>
    <m/>
    <m/>
    <x v="2"/>
    <d v="2014-06-20T00:00:00"/>
    <x v="27"/>
    <x v="1"/>
  </r>
  <r>
    <d v="2014-06-20T00:00:00"/>
    <d v="2014-06-20T00:00:00"/>
    <n v="6"/>
    <s v="2014-Jun"/>
    <n v="6"/>
    <s v="IT-LQA"/>
    <x v="6"/>
    <m/>
    <s v="NM"/>
    <s v="DBS"/>
    <x v="0"/>
    <s v="NMDBS_ANTEL_4.6.1.26.2.35b2 "/>
    <s v="CMTeam"/>
    <s v="Gautam"/>
    <s v="\\192.168.3.3\Share\Releases\Projects\ANTEL\Release_For_IT\TestBuild_1.0.0.4\Server CD\DBS\Setup"/>
    <m/>
    <s v="\\192.168.3.3\Share\Releases\Projects\ANTEL\Release_For_Test\Test_Build_1.0.0.7\Server CD\DBS\Setup"/>
    <s v="Pass"/>
    <m/>
    <m/>
    <m/>
    <m/>
    <m/>
    <x v="0"/>
    <s v=""/>
    <x v="0"/>
    <x v="0"/>
  </r>
  <r>
    <d v="2014-06-20T00:00:00"/>
    <d v="2014-06-20T00:00:00"/>
    <n v="6"/>
    <s v="2014-Jun"/>
    <n v="6"/>
    <s v="IT-LQA-UAT"/>
    <x v="6"/>
    <m/>
    <s v="DM"/>
    <s v="DBS"/>
    <x v="0"/>
    <s v="DMDBS_ANTEL_2.1.1.2.1.5b1"/>
    <s v="CMTeam"/>
    <s v="Gautam"/>
    <s v="\\192.168.3.3\Share\Releases\Projects\ANTEL\Release_For_IT\TestBuild_1.0.0.4\Server CD\DBS\Setup"/>
    <m/>
    <s v="\\192.168.3.3\Share\Releases\Projects\ANTEL\Release_For_Test\Test_Build_1.0.0.7\Server CD\DBS\Setup"/>
    <s v="Pass"/>
    <m/>
    <m/>
    <m/>
    <m/>
    <s v="Pradeep Raghav"/>
    <x v="0"/>
    <s v=""/>
    <x v="0"/>
    <x v="0"/>
  </r>
  <r>
    <d v="2014-06-20T00:00:00"/>
    <d v="2014-06-20T00:00:00"/>
    <n v="6"/>
    <s v="2014-Jun"/>
    <n v="6"/>
    <s v="IT-LQA-FAT"/>
    <x v="0"/>
    <m/>
    <s v="NM"/>
    <s v="DBS"/>
    <x v="0"/>
    <s v="NMDBS_SLT_4.0.2.0.1.19b2"/>
    <s v="CMTeam"/>
    <s v="Rohit Kanwar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6-20T00:00:00"/>
    <d v="2014-06-20T00:00:00"/>
    <n v="6"/>
    <s v="2014-Jun"/>
    <n v="6"/>
    <s v="IT-LQA-UAT"/>
    <x v="0"/>
    <m/>
    <s v="DM"/>
    <s v="DBS"/>
    <x v="0"/>
    <s v="DMDBS_SLT_2.0.0.20.1.152b1"/>
    <s v="CMTeam"/>
    <s v="Raja Sarkar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Harsh Khanna"/>
    <x v="0"/>
    <s v=""/>
    <x v="0"/>
    <x v="0"/>
  </r>
  <r>
    <d v="2014-06-20T00:00:00"/>
    <d v="2014-06-20T00:00:00"/>
    <n v="6"/>
    <s v="2014-Jun"/>
    <n v="6"/>
    <s v="IT-LQA-UAT"/>
    <x v="1"/>
    <m/>
    <s v="DM"/>
    <s v="DBS"/>
    <x v="0"/>
    <s v="DMDBS_2.0.0.23b1"/>
    <s v="CMTeam"/>
    <s v="Chander Kanta"/>
    <s v="\\192.168.3.3\Share\Releases\Product\DataMind_2.0\Build&amp;Release\Release for IT\TestBuild_2.0.0\Server CD\DBS\Setup"/>
    <m/>
    <s v="\\192.168.3.3\Share\Releases\Product\DataMind_2.0\Build&amp;Release\Release for LQA\TestBuild_2.0.0\Server CD\DBS\Setup"/>
    <s v="Pass"/>
    <m/>
    <m/>
    <m/>
    <m/>
    <s v="Ekansh Arora"/>
    <x v="0"/>
    <s v=""/>
    <x v="0"/>
    <x v="0"/>
  </r>
  <r>
    <d v="2014-06-23T00:00:00"/>
    <d v="2014-06-23T00:00:00"/>
    <n v="6"/>
    <s v="2014-Jun"/>
    <n v="6"/>
    <s v="LQA"/>
    <x v="1"/>
    <m/>
    <s v="RT"/>
    <s v="GUI"/>
    <x v="0"/>
    <s v="RTGUI_4.0.26b1 "/>
    <s v="CMTeam"/>
    <s v="Ajay Sharma"/>
    <m/>
    <m/>
    <s v="\\192.168.3.3\Share\Releases\Product\RT_4.0\ReleaseForLQA\TestBuild_4.0.24\GUI\Build1\Setup "/>
    <m/>
    <m/>
    <m/>
    <m/>
    <m/>
    <m/>
    <x v="1"/>
    <s v=""/>
    <x v="0"/>
    <x v="0"/>
  </r>
  <r>
    <d v="2014-06-23T00:00:00"/>
    <d v="2014-06-23T00:00:00"/>
    <n v="6"/>
    <s v="2014-Jun"/>
    <n v="6"/>
    <s v="IT-LQA-UAT"/>
    <x v="0"/>
    <m/>
    <s v="NM"/>
    <s v="DBS"/>
    <x v="0"/>
    <s v="NMDBS_TWC_4.6.1.11.3.40b1"/>
    <s v="CMTeam"/>
    <s v="Sudip Ghosh"/>
    <s v="\\192.168.3.3\Share\Releases\Projects\TWC\Release_For_IT\Test_Build_1.0.0.3\Server CD\DBS\Setup"/>
    <m/>
    <s v="\\192.168.3.3\Share\Releases\Projects\TWC\Release_For_Test\Test_Build_1.0.0.4\Server CD\DBS\Setup"/>
    <s v="Pass"/>
    <s v="Readme Re-Released"/>
    <m/>
    <m/>
    <m/>
    <s v="Abhishek Leekha"/>
    <x v="0"/>
    <s v=""/>
    <x v="0"/>
    <x v="0"/>
  </r>
  <r>
    <d v="2014-06-23T00:00:00"/>
    <d v="2014-06-23T00:00:00"/>
    <n v="6"/>
    <s v="2014-Jun"/>
    <n v="6"/>
    <s v="LQA-UAT"/>
    <x v="0"/>
    <m/>
    <s v="MPE"/>
    <s v="MPE"/>
    <x v="0"/>
    <s v="MPE_SLT-1B_3.0.1.1.1.79b1"/>
    <s v="CMTeam"/>
    <s v="Muktesh Mukul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6-23T00:00:00"/>
    <d v="2014-06-23T00:00:00"/>
    <n v="6"/>
    <s v="2014-Jun"/>
    <n v="6"/>
    <s v="IT-LQA"/>
    <x v="1"/>
    <m/>
    <s v="RT"/>
    <s v="DBS"/>
    <x v="0"/>
    <s v="RTDBS_4.0.1.21b1"/>
    <s v="CMTeam"/>
    <s v="Puneet Gupta"/>
    <s v="\\192.168.3.3\Share\Releases\Product\RT_4.0\ReleaseForIT\TestBuild_4.0.3\DBS\Setup"/>
    <s v="Obsolete-LQA"/>
    <s v="\\192.168.3.3\Share\Releases\Product\RT_4.0\ReleaseForLQA\TestBuild_4.0.24\DBS\Setup"/>
    <m/>
    <m/>
    <m/>
    <m/>
    <m/>
    <m/>
    <x v="2"/>
    <d v="2014-06-23T00:00:00"/>
    <x v="28"/>
    <x v="1"/>
  </r>
  <r>
    <d v="2014-06-23T00:00:00"/>
    <d v="2014-06-23T00:00:00"/>
    <n v="6"/>
    <s v="2014-Jun"/>
    <n v="6"/>
    <s v="LQA"/>
    <x v="0"/>
    <m/>
    <s v="RT"/>
    <s v="GUI"/>
    <x v="0"/>
    <s v="RTGUI_SLT_4.0.26.0.1"/>
    <s v="CMTeam"/>
    <s v="Ajay Sharma"/>
    <m/>
    <m/>
    <s v="\\192.168.3.3\Share\Releases\Projects\SLT\Release_For_LQA\Test_Build_1.0.0.23\Server CD\GUI\Setup"/>
    <m/>
    <m/>
    <m/>
    <m/>
    <m/>
    <m/>
    <x v="1"/>
    <s v=""/>
    <x v="0"/>
    <x v="0"/>
  </r>
  <r>
    <d v="2014-06-23T00:00:00"/>
    <d v="2014-06-23T00:00:00"/>
    <n v="6"/>
    <s v="2014-Jun"/>
    <n v="6"/>
    <s v="LQA-UAT"/>
    <x v="10"/>
    <m/>
    <s v="WWCS"/>
    <s v="GUI"/>
    <x v="0"/>
    <s v="WWCSGUI_COM_2.1.18.0.2"/>
    <s v="CMTeam"/>
    <s v="Rajeev Kumar"/>
    <m/>
    <m/>
    <s v="\\192.168.3.3\Share\Releases\Projects\Comcast\Release_for_Test\Test_Build_4.6.5\Server CD\GUI\Setup"/>
    <s v="Pass"/>
    <m/>
    <m/>
    <m/>
    <m/>
    <s v="Akansha Upadhyay"/>
    <x v="0"/>
    <s v=""/>
    <x v="0"/>
    <x v="0"/>
  </r>
  <r>
    <d v="2014-06-23T00:00:00"/>
    <d v="2014-06-23T00:00:00"/>
    <n v="6"/>
    <s v="2014-Jun"/>
    <n v="6"/>
    <s v="LQA"/>
    <x v="1"/>
    <m/>
    <s v="WWCS"/>
    <s v="GUI"/>
    <x v="0"/>
    <s v="WWFSGUI_2.1.28b3"/>
    <s v="CMTeam"/>
    <s v="Rajeev Kumar"/>
    <m/>
    <m/>
    <s v="\\192.168.3.3\Share\Releases\Product\WEB_WFS\Build&amp;Release\Release For Test\TestBuild_2.1.28\ServerCD\GUI\Setup"/>
    <m/>
    <m/>
    <m/>
    <m/>
    <m/>
    <m/>
    <x v="1"/>
    <s v=""/>
    <x v="0"/>
    <x v="0"/>
  </r>
  <r>
    <d v="2014-06-24T00:00:00"/>
    <d v="2014-06-24T00:00:00"/>
    <n v="6"/>
    <s v="2014-Jun"/>
    <n v="6"/>
    <s v="IT-LQA"/>
    <x v="0"/>
    <m/>
    <s v="NM"/>
    <s v="DBS"/>
    <x v="0"/>
    <s v="NMDBS_SLT_4.0.2.0.1.20b1"/>
    <s v="CMTeam"/>
    <s v="Rohit Kanwar"/>
    <s v="\\192.168.3.3\Share\Releases\Projects\SLT\Release_For_IT\Test_Build_1.0.0.4\Server CD\DBS\Setup"/>
    <s v="Obsolete-LQA"/>
    <s v="\\192.168.3.3\Share\Releases\Projects\SLT\Release_For_LQA\Test_Build_1.0.0.23\Server CD\DBS\Setup"/>
    <m/>
    <m/>
    <m/>
    <m/>
    <m/>
    <m/>
    <x v="2"/>
    <d v="2014-06-24T00:00:00"/>
    <x v="28"/>
    <x v="1"/>
  </r>
  <r>
    <d v="2014-06-24T00:00:00"/>
    <d v="2014-06-24T00:00:00"/>
    <n v="6"/>
    <s v="2014-Jun"/>
    <n v="6"/>
    <s v="LQA-UAT"/>
    <x v="10"/>
    <m/>
    <s v="WWFS"/>
    <s v="GUI"/>
    <x v="0"/>
    <s v="WWFSGUI_COM_2.1.28.0.1"/>
    <s v="CMTeam"/>
    <s v="Karamjeet kaur"/>
    <m/>
    <m/>
    <s v="\\192.168.3.3\Share\Releases\Projects\Comcast\Release_for_Test\Test_Build_4.6.5\Server CD\GUI\Setup"/>
    <s v="Pass"/>
    <s v="Readme Re-Released"/>
    <m/>
    <m/>
    <m/>
    <s v="Akansha Upadhyay"/>
    <x v="0"/>
    <s v=""/>
    <x v="0"/>
    <x v="0"/>
  </r>
  <r>
    <d v="2014-06-24T00:00:00"/>
    <d v="2014-06-24T00:00:00"/>
    <n v="6"/>
    <s v="2014-Jun"/>
    <n v="6"/>
    <s v="IT-LQA"/>
    <x v="1"/>
    <m/>
    <s v="NM"/>
    <s v="DBS"/>
    <x v="0"/>
    <s v="NMDBS_4.6.1.24b3"/>
    <s v="CMTeam"/>
    <s v="surender Kumar"/>
    <s v="\\192.168.3.3\Share\Releases\Product\Netmind_4.6\Build&amp;Release\ReleaseForIT\TestBuild_4.6.1\Build4\ServerCD\DBS\Setup"/>
    <m/>
    <s v="\\192.168.3.3\Share\Releases\Product\Netmind_4.6\Build&amp;Release\ReleaseForTest\TestBuild_4.6.1\Build4\ServerCD\DBS\Setup"/>
    <s v="Pass"/>
    <m/>
    <m/>
    <m/>
    <m/>
    <m/>
    <x v="0"/>
    <s v=""/>
    <x v="0"/>
    <x v="0"/>
  </r>
  <r>
    <d v="2014-06-24T00:00:00"/>
    <d v="2014-06-24T00:00:00"/>
    <n v="6"/>
    <s v="2014-Jun"/>
    <n v="6"/>
    <s v="LQA"/>
    <x v="6"/>
    <m/>
    <s v="WWFS"/>
    <s v="GUI"/>
    <x v="0"/>
    <s v="WWFSGUI_ANTEL_2.1.28.0.1"/>
    <s v="CMTeam"/>
    <s v="Deepak Dhiman"/>
    <m/>
    <m/>
    <s v="\\192.168.3.3\Share\Releases\Projects\ANTEL\Release_For_Test\Test_Build_1.0.0.7\Server CD\GUI\Setup"/>
    <s v="Pass"/>
    <s v="Readme Re-Released"/>
    <m/>
    <m/>
    <m/>
    <m/>
    <x v="0"/>
    <s v=""/>
    <x v="0"/>
    <x v="0"/>
  </r>
  <r>
    <d v="2014-06-24T00:00:00"/>
    <d v="2014-06-24T00:00:00"/>
    <n v="6"/>
    <s v="2014-Jun"/>
    <n v="6"/>
    <s v="IT-LQA"/>
    <x v="6"/>
    <m/>
    <s v="NM"/>
    <s v="DBS"/>
    <x v="0"/>
    <s v="NMDBS_ANTEL_4.6.1.26.2.37b1"/>
    <s v="CMTeam"/>
    <s v="surender Kumar"/>
    <s v="\\192.168.3.3\Share\Releases\Projects\ANTEL\Release_For_IT\TestBuild_1.0.0.4\Server CD\DBS\Setup"/>
    <m/>
    <s v="\\192.168.3.3\Share\Releases\Projects\ANTEL\Release_For_Test\Test_Build_1.0.0.7\Server CD\DBS\Setup"/>
    <s v="Pass"/>
    <m/>
    <m/>
    <m/>
    <m/>
    <m/>
    <x v="0"/>
    <s v=""/>
    <x v="0"/>
    <x v="0"/>
  </r>
  <r>
    <d v="2014-06-25T00:00:00"/>
    <d v="2014-06-25T00:00:00"/>
    <n v="6"/>
    <s v="2014-Jun"/>
    <n v="6"/>
    <s v="LQA-FAT"/>
    <x v="0"/>
    <m/>
    <s v="MPE"/>
    <s v="MPE"/>
    <x v="0"/>
    <s v="MPE_SLT-1B_3.0.1.1.1.80b1"/>
    <s v="CMTeam"/>
    <s v="Muktesh Mukul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6-25T00:00:00"/>
    <d v="2014-06-25T00:00:00"/>
    <n v="6"/>
    <s v="2014-Jun"/>
    <n v="6"/>
    <s v="IT-LQA-FAT"/>
    <x v="0"/>
    <m/>
    <s v="NM"/>
    <s v="DBS"/>
    <x v="0"/>
    <s v="NMDBS_SLT_4.0.2.0.1.20b2"/>
    <s v="CMTeam"/>
    <s v="Rohit Kanwar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6-25T00:00:00"/>
    <d v="2014-06-25T00:00:00"/>
    <n v="6"/>
    <s v="2014-Jun"/>
    <n v="6"/>
    <s v="IT-LQA"/>
    <x v="10"/>
    <m/>
    <s v="NM"/>
    <s v="DBS"/>
    <x v="0"/>
    <s v="NMDBS_COM_4.6.1.26.1.48b1"/>
    <s v="CMTeam"/>
    <s v="Sachin Srivastva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m/>
    <x v="0"/>
    <s v=""/>
    <x v="0"/>
    <x v="0"/>
  </r>
  <r>
    <d v="2014-06-25T00:00:00"/>
    <d v="2014-06-25T00:00:00"/>
    <n v="6"/>
    <s v="2014-Jun"/>
    <n v="6"/>
    <s v="IT-LQA-FAT"/>
    <x v="0"/>
    <m/>
    <s v="NM"/>
    <s v="DBS"/>
    <x v="0"/>
    <s v="NMDBS_SLT_4.0.2.0.1.21b1"/>
    <s v="CMTeam"/>
    <s v="surender Kumar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6-26T00:00:00"/>
    <d v="2014-06-26T00:00:00"/>
    <n v="6"/>
    <s v="2014-Jun"/>
    <n v="6"/>
    <s v="LQA"/>
    <x v="3"/>
    <m/>
    <s v="MPE"/>
    <s v="MPE"/>
    <x v="0"/>
    <s v="MPE_OBT_3.2.1.7.1.20b1"/>
    <s v="CMTeam"/>
    <s v="Neelam Jawla"/>
    <m/>
    <m/>
    <s v="\\192.168.3.3\share\Releases\Projects\OBT\Release_For_LQA\TestBuild_1.0.0.6\Server CD\MPE\Setup"/>
    <s v="Pass"/>
    <m/>
    <m/>
    <m/>
    <m/>
    <m/>
    <x v="0"/>
    <s v=""/>
    <x v="0"/>
    <x v="0"/>
  </r>
  <r>
    <d v="2014-06-26T00:00:00"/>
    <d v="2014-06-26T00:00:00"/>
    <n v="6"/>
    <s v="2014-Jun"/>
    <n v="6"/>
    <s v="IT-LQA-FAT"/>
    <x v="0"/>
    <m/>
    <s v="NM"/>
    <s v="DBS"/>
    <x v="0"/>
    <s v="NMDBS_SLT_4.0.2.0.1.22b1"/>
    <s v="CMTeam"/>
    <s v="Rohit Kanwar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6-26T00:00:00"/>
    <d v="2014-06-26T00:00:00"/>
    <n v="6"/>
    <s v="2014-Jun"/>
    <n v="6"/>
    <s v="LQA"/>
    <x v="8"/>
    <m/>
    <s v="MPE"/>
    <s v="MPE"/>
    <x v="0"/>
    <s v="MPE_TWC_3.2.1.5.2.15b1"/>
    <s v="CMTeam"/>
    <s v="Mohd. Asif"/>
    <m/>
    <s v="Obsolete-LQA"/>
    <s v="\\192.168.3.3\Share\Releases\Projects\TWC\Release_For_Test\Test_Build_1.0.0.4\Server CD\MPE\Setup"/>
    <m/>
    <m/>
    <m/>
    <m/>
    <m/>
    <m/>
    <x v="2"/>
    <d v="2014-06-26T00:00:00"/>
    <x v="28"/>
    <x v="1"/>
  </r>
  <r>
    <d v="2014-06-27T00:00:00"/>
    <d v="2014-06-27T00:00:00"/>
    <n v="6"/>
    <s v="2014-Jun"/>
    <n v="6"/>
    <s v="LQA-UAT"/>
    <x v="1"/>
    <m/>
    <s v="RA"/>
    <s v="CS"/>
    <x v="0"/>
    <s v="RACS_2.5.7b1"/>
    <s v="CMTeam"/>
    <s v="Alok Bagwale"/>
    <m/>
    <m/>
    <s v="\\192.168.3.3\Share\Releases\Product\RevMind_2.1\Build&amp;Release\Release_For_LQA\Test_Build_1.0.2\Server CD\GUI\CS\Setup"/>
    <s v="Pass"/>
    <s v="Readme Re-Released"/>
    <m/>
    <m/>
    <m/>
    <s v="Aditya Mani Sharma"/>
    <x v="0"/>
    <s v=""/>
    <x v="0"/>
    <x v="0"/>
  </r>
  <r>
    <d v="2014-06-27T00:00:00"/>
    <d v="2014-06-27T00:00:00"/>
    <n v="6"/>
    <s v="2014-Jun"/>
    <n v="6"/>
    <s v="LQA-UAT"/>
    <x v="1"/>
    <m/>
    <s v="WWFS"/>
    <s v="GUI"/>
    <x v="0"/>
    <s v="WWFSGUI_2.2.1.1b1"/>
    <s v="CMTeam"/>
    <s v="Jitin Sardana"/>
    <m/>
    <m/>
    <s v="\\192.168.3.3\Share\Releases\Product\WEB_WFS\Build&amp;Release\Release For Test\TestBuild_2.2.1\Build4\ServerCD\GUI\Setup"/>
    <s v="Pass"/>
    <s v="Readme Re-Released"/>
    <m/>
    <m/>
    <m/>
    <s v="Aditya Mani Sharma"/>
    <x v="0"/>
    <s v=""/>
    <x v="0"/>
    <x v="0"/>
  </r>
  <r>
    <d v="2014-06-27T00:00:00"/>
    <d v="2014-06-27T00:00:00"/>
    <n v="6"/>
    <s v="2014-Jun"/>
    <n v="6"/>
    <s v="IT-LQA-UAT"/>
    <x v="1"/>
    <m/>
    <s v="RA"/>
    <s v="DBS"/>
    <x v="0"/>
    <s v="RADBS_2.1.1.14b1"/>
    <s v="CMTeam"/>
    <s v="Anand Kumar Ojha"/>
    <s v="\\192.168.3.3\Share\Releases\Product\RevMind_2.1\Build&amp;Release\Release_For_IT\TestBuild_1.0.1\Server CD\DBS\Setup"/>
    <m/>
    <s v="\\192.168.3.3\Share\Releases\Product\RevMind_2.1\Build&amp;Release\Release_For_LQA\Test_Build_1.0.2\Server CD\DBS\Setup"/>
    <s v="Pass"/>
    <s v="Readme Re-Released"/>
    <m/>
    <m/>
    <m/>
    <s v="Aditya Mani Sharma"/>
    <x v="0"/>
    <s v=""/>
    <x v="0"/>
    <x v="0"/>
  </r>
  <r>
    <d v="2014-06-27T00:00:00"/>
    <d v="2014-06-27T00:00:00"/>
    <n v="6"/>
    <s v="2014-Jun"/>
    <n v="6"/>
    <s v="IT-LQA"/>
    <x v="10"/>
    <m/>
    <s v="NM"/>
    <s v="DBS"/>
    <x v="0"/>
    <s v="NMDBS_COM_4.6.1.26.1.49b1"/>
    <s v="CMTeam"/>
    <s v="Sumita Yadav"/>
    <s v="\\192.168.3.3\Share\Releases\Projects\Comcast\Release_For_IT\Test_Build_4.6.1\Server CD\Database\Setup"/>
    <s v="Obsolete-LQA"/>
    <s v="\\192.168.3.3\Share\Releases\Projects\Comcast\Release_for_Test\Test_Build_4.6.5\Server CD\Database\Setup"/>
    <m/>
    <m/>
    <m/>
    <m/>
    <m/>
    <m/>
    <x v="2"/>
    <d v="2014-06-27T00:00:00"/>
    <x v="28"/>
    <x v="1"/>
  </r>
  <r>
    <d v="2014-06-27T00:00:00"/>
    <d v="2014-06-27T00:00:00"/>
    <n v="6"/>
    <s v="2014-Jun"/>
    <n v="6"/>
    <s v="IT-LQA"/>
    <x v="3"/>
    <m/>
    <s v="NM"/>
    <s v="DBS"/>
    <x v="0"/>
    <s v="NMDBS_OBT_4.6.1.27.1.35b1"/>
    <s v="CMTeam"/>
    <s v="Puneet Gupta"/>
    <s v="\\192.168.3.3\Share\Releases\Projects\OBT\Release_For_IT\TestBuild_1.0.0.2\Server CD\DBS\Setup"/>
    <m/>
    <s v="\\192.168.3.3\Share\Releases\Projects\OBT\Release_For_LQA\TestBuild_1.0.0.6\Server CD\DBS\Setup"/>
    <s v="Pass"/>
    <m/>
    <m/>
    <m/>
    <m/>
    <m/>
    <x v="0"/>
    <s v=""/>
    <x v="0"/>
    <x v="0"/>
  </r>
  <r>
    <d v="2014-06-27T00:00:00"/>
    <d v="2014-06-27T00:00:00"/>
    <n v="6"/>
    <s v="2014-Jun"/>
    <n v="6"/>
    <s v="IT-LQA-FAT"/>
    <x v="0"/>
    <m/>
    <s v="NM"/>
    <s v="DBS"/>
    <x v="0"/>
    <s v="NMDBS_SLT_4.0.2.0.1.23b1"/>
    <s v="CMTeam"/>
    <s v="Rohit Kanwar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6-30T00:00:00"/>
    <d v="2014-06-30T00:00:00"/>
    <n v="6"/>
    <s v="2014-Jun"/>
    <n v="6"/>
    <s v="IT-LQA-UAT"/>
    <x v="0"/>
    <m/>
    <s v="DM"/>
    <s v="DBS"/>
    <x v="0"/>
    <s v="DMDBS_SLT_2.0.0.20.1.113b1"/>
    <s v="CMTeam"/>
    <s v="Raja Sarkar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6-30T00:00:00"/>
    <d v="2014-06-30T00:00:00"/>
    <n v="6"/>
    <s v="2014-Jun"/>
    <n v="6"/>
    <s v="IT-LQA"/>
    <x v="8"/>
    <m/>
    <s v="NM"/>
    <s v="DBS"/>
    <x v="0"/>
    <s v="NMDBS_TWC_4.6.1.11.3.41b1"/>
    <s v="CMTeam"/>
    <s v="Sudip Ghosh"/>
    <s v="\\192.168.3.3\Share\Releases\Projects\TWC\Release_For_IT\Test_Build_1.0.0.3\Server CD\DBS\Setup"/>
    <s v="Obsolete-LQA"/>
    <s v="\\192.168.3.3\Share\Releases\Projects\TWC\Release_For_Test\Test_Build_1.0.0.4\Server CD\DBS\Setup"/>
    <m/>
    <m/>
    <m/>
    <m/>
    <m/>
    <m/>
    <x v="2"/>
    <d v="2014-06-30T00:00:00"/>
    <x v="29"/>
    <x v="1"/>
  </r>
  <r>
    <d v="2014-06-30T00:00:00"/>
    <d v="2014-06-30T00:00:00"/>
    <n v="6"/>
    <s v="2014-Jun"/>
    <n v="6"/>
    <s v="IT-LQA"/>
    <x v="0"/>
    <m/>
    <s v="DM"/>
    <s v="DBS"/>
    <x v="0"/>
    <s v="DMDBS_SLT_2.0.0.20.1.153b1"/>
    <s v="CMTeam"/>
    <s v="Raja Sarkar"/>
    <s v="\\192.168.3.3\Share\Releases\Projects\SLT\Release_For_IT\Test_Build_1.0.0.4\Server CD\DBS\Setup"/>
    <s v="Obsolete-LQA"/>
    <s v="\\192.168.3.3\Share\Releases\Projects\SLT\Release_For_LQA\Test_Build_1.0.0.23\Server CD\DBS\Setup"/>
    <m/>
    <m/>
    <m/>
    <m/>
    <m/>
    <m/>
    <x v="2"/>
    <d v="2014-06-30T00:00:00"/>
    <x v="29"/>
    <x v="1"/>
  </r>
  <r>
    <d v="2014-07-01T00:00:00"/>
    <d v="2014-07-01T00:00:00"/>
    <n v="7"/>
    <s v="2014-Jul"/>
    <n v="7"/>
    <s v="LQA"/>
    <x v="10"/>
    <m/>
    <s v="MPE"/>
    <s v="MPE"/>
    <x v="0"/>
    <s v="MPE_COM_3.2.5.0.2.4b1"/>
    <s v="CMTeam"/>
    <s v="Mohd. Asif"/>
    <m/>
    <m/>
    <s v="\\192.168.3.3\Share\Releases\Projects\Comcast\Release_for_Test\Test_Build_4.6.5\Server CD\MPE\Setup"/>
    <m/>
    <m/>
    <m/>
    <m/>
    <m/>
    <m/>
    <x v="1"/>
    <s v=""/>
    <x v="0"/>
    <x v="0"/>
  </r>
  <r>
    <d v="2014-07-01T00:00:00"/>
    <d v="2014-07-02T00:00:00"/>
    <n v="7"/>
    <s v="2014-Jul"/>
    <n v="7"/>
    <s v="IT-LQA-FAT"/>
    <x v="1"/>
    <m/>
    <s v="RE"/>
    <s v="DBS"/>
    <x v="0"/>
    <s v="REDBS_1.0.1.25b1"/>
    <s v="CMTeam"/>
    <s v="Shiv Mangal"/>
    <s v="\\192.168.3.3\Share\Releases\Product\RE_1.0\ReleaseForIT\TestBuild_1.0.1\DBS\Build4\Setup"/>
    <m/>
    <s v="\\192.168.3.3\Share\Releases\Product\RE_1.0\ReleaseForLQA\TestBuild_1.0.1\DBS\Build4\Setup"/>
    <s v="Pass"/>
    <m/>
    <m/>
    <m/>
    <m/>
    <s v="Ravi Gautam"/>
    <x v="0"/>
    <s v=""/>
    <x v="0"/>
    <x v="0"/>
  </r>
  <r>
    <d v="2014-07-02T00:00:00"/>
    <d v="2014-07-02T00:00:00"/>
    <n v="7"/>
    <s v="2014-Jul"/>
    <n v="7"/>
    <s v="IT-LQA"/>
    <x v="10"/>
    <m/>
    <s v="NM"/>
    <s v="DBS"/>
    <x v="0"/>
    <s v="NMDBS_COM_4.6.1.26.1.49b2"/>
    <s v="CMTeam"/>
    <s v="Sumita Yadav"/>
    <s v="\\192.168.3.3\Share\Releases\Projects\Comcast\Release_For_IT\Test_Build_4.6.1\Server CD\Database\Setup"/>
    <s v="Obsolete-LQA"/>
    <s v="\\192.168.3.3\Share\Releases\Projects\Comcast\Release_for_Test\Test_Build_4.6.5\Server CD\Database\Setup"/>
    <m/>
    <m/>
    <m/>
    <m/>
    <m/>
    <m/>
    <x v="2"/>
    <d v="2014-07-02T00:00:00"/>
    <x v="29"/>
    <x v="1"/>
  </r>
  <r>
    <d v="2014-07-02T00:00:00"/>
    <d v="2014-07-02T00:00:00"/>
    <n v="7"/>
    <s v="2014-Jul"/>
    <n v="7"/>
    <s v="IT-LQA"/>
    <x v="6"/>
    <m/>
    <s v="NM"/>
    <s v="DBS"/>
    <x v="0"/>
    <s v="NMDBS_ANTEL_4.6.1.26.2.38b1"/>
    <s v="CMTeam"/>
    <s v="Rohit Kanwar"/>
    <s v="\\192.168.3.3\Share\Releases\Projects\ANTEL\Release_For_IT\TestBuild_1.0.0.4\Server CD\DBS\Setup"/>
    <m/>
    <s v="\\192.168.3.3\Share\Releases\Projects\ANTEL\Release_For_Test\Test_Build_1.0.0.7\Server CD\DBS\Setup"/>
    <s v="Pass"/>
    <s v="Readme Re-Released"/>
    <m/>
    <m/>
    <m/>
    <m/>
    <x v="0"/>
    <s v=""/>
    <x v="0"/>
    <x v="0"/>
  </r>
  <r>
    <d v="2014-07-02T00:00:00"/>
    <d v="2014-07-02T00:00:00"/>
    <n v="7"/>
    <s v="2014-Jul"/>
    <n v="7"/>
    <s v="IT-LQA-FAT"/>
    <x v="0"/>
    <m/>
    <s v="RE"/>
    <s v="DBS"/>
    <x v="0"/>
    <s v="REDBS_SLT_1.0.1.25.1.12b1"/>
    <s v="CMTeam"/>
    <s v="Shiv Mangal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Ravi Gautam"/>
    <x v="0"/>
    <s v=""/>
    <x v="0"/>
    <x v="0"/>
  </r>
  <r>
    <d v="2014-07-03T00:00:00"/>
    <d v="2014-07-03T00:00:00"/>
    <n v="7"/>
    <s v="2014-Jul"/>
    <n v="7"/>
    <s v="IT-LQA"/>
    <x v="6"/>
    <m/>
    <s v="NM"/>
    <s v="DBS"/>
    <x v="0"/>
    <s v="NMDBS_ANTEL_4.6.1.26.2.39b1"/>
    <s v="CMTeam"/>
    <s v="Rohit Kanwar"/>
    <s v="\\192.168.3.3\Share\Releases\Projects\ANTEL\Release_For_IT\TestBuild_1.0.0.4\Server CD\DBS\Setup"/>
    <m/>
    <s v="\\192.168.3.3\Share\Releases\Projects\ANTEL\Release_For_Test\Test_Build_1.0.0.7\Server CD\DBS\Setup"/>
    <s v="Pass"/>
    <m/>
    <m/>
    <m/>
    <m/>
    <m/>
    <x v="0"/>
    <s v=""/>
    <x v="0"/>
    <x v="0"/>
  </r>
  <r>
    <d v="2014-07-03T00:00:00"/>
    <d v="2014-07-03T00:00:00"/>
    <n v="7"/>
    <s v="2014-Jul"/>
    <n v="7"/>
    <s v="IT-LQA-UAT"/>
    <x v="6"/>
    <m/>
    <s v="NM"/>
    <s v="DBS"/>
    <x v="0"/>
    <s v="NMDBS_ANTEL_4.6.1.26.2.40b1"/>
    <s v="CMTeam"/>
    <s v="Rohit Kanwar"/>
    <s v="\\192.168.3.3\Share\Releases\Projects\ANTEL\Release_For_IT\TestBuild_1.0.0.4\Server CD\DBS\Setup"/>
    <m/>
    <s v="\\192.168.3.3\Share\Releases\Projects\ANTEL\Release_For_Test\Test_Build_1.0.0.7\Server CD\DBS\Setup"/>
    <s v="Pass"/>
    <m/>
    <m/>
    <m/>
    <m/>
    <s v="Pradeep Raghav"/>
    <x v="0"/>
    <s v=""/>
    <x v="0"/>
    <x v="0"/>
  </r>
  <r>
    <d v="2014-07-03T00:00:00"/>
    <d v="2014-07-03T00:00:00"/>
    <n v="7"/>
    <s v="2014-Jul"/>
    <n v="7"/>
    <s v="IT-LQA"/>
    <x v="10"/>
    <m/>
    <s v="NM"/>
    <s v="DBS"/>
    <x v="0"/>
    <s v="NMDBS_COM_4.6.1.26.1.50b1"/>
    <s v="CMTeam"/>
    <s v="Sumita Yadav"/>
    <s v="\\192.168.3.3\Share\Releases\Projects\Comcast\Release_For_IT\Test_Build_4.6.1\Server CD\Database\Setup"/>
    <m/>
    <s v="\\192.168.3.3\Share\Releases\Projects\Comcast\Release_for_Test\Test_Build_4.6.5\Server CD\Database\Setup"/>
    <s v="Pass"/>
    <s v="Readme Re-Released"/>
    <m/>
    <m/>
    <m/>
    <m/>
    <x v="0"/>
    <s v=""/>
    <x v="0"/>
    <x v="0"/>
  </r>
  <r>
    <d v="2014-07-04T00:00:00"/>
    <d v="2014-07-04T00:00:00"/>
    <n v="7"/>
    <s v="2014-Jul"/>
    <n v="7"/>
    <s v="IT-LQA"/>
    <x v="10"/>
    <m/>
    <s v="NP"/>
    <s v="DBS"/>
    <x v="0"/>
    <s v="NPDBS_COM_1.2.3.6.1.16b2"/>
    <s v="CMTeam"/>
    <s v="Nitin Kumar"/>
    <s v="\\192.168.3.3\Share\Releases\Projects\Comcast\Release_For_IT\Test_Build_4.6.1\Server CD\Database\Setup"/>
    <s v="Obsolete-LQA"/>
    <s v="\\192.168.3.3\Share\Releases\Projects\Comcast\Release_for_Test\Test_Build_4.6.5\Server CD\Database\Setup"/>
    <m/>
    <m/>
    <m/>
    <m/>
    <m/>
    <m/>
    <x v="2"/>
    <d v="2014-07-04T00:00:00"/>
    <x v="29"/>
    <x v="1"/>
  </r>
  <r>
    <d v="2014-07-04T00:00:00"/>
    <d v="2014-07-04T00:00:00"/>
    <n v="7"/>
    <s v="2014-Jul"/>
    <n v="7"/>
    <s v="IT-LQA"/>
    <x v="10"/>
    <m/>
    <s v="NM"/>
    <s v="DBS"/>
    <x v="0"/>
    <s v="NMDBS_COM_4.6.1.26.1.51b1"/>
    <s v="CMTeam"/>
    <s v="Nitin Kumar"/>
    <s v="\\192.168.3.3\Share\Releases\Projects\Comcast\Release_For_IT\Test_Build_4.6.1\Server CD\Database\Setup"/>
    <s v="Obsolete-LQA"/>
    <s v="\\192.168.3.3\Share\Releases\Projects\Comcast\Release_for_Test\Test_Build_4.6.5\Server CD\Database\Setup"/>
    <m/>
    <m/>
    <m/>
    <m/>
    <m/>
    <m/>
    <x v="2"/>
    <d v="2014-07-04T00:00:00"/>
    <x v="29"/>
    <x v="1"/>
  </r>
  <r>
    <d v="2014-07-04T00:00:00"/>
    <d v="2014-07-04T00:00:00"/>
    <n v="7"/>
    <s v="2014-Jul"/>
    <n v="7"/>
    <s v="IT-LQA-FAT"/>
    <x v="0"/>
    <m/>
    <s v="DM"/>
    <s v="DBS"/>
    <x v="0"/>
    <s v="DMDBS_SLT_2.0.0.20.1.153b2 "/>
    <s v="CMTeam"/>
    <s v="Raja Sarkar"/>
    <s v="\\192.168.3.3\Share\Releases\Projects\SLT\Release_For_LQA\Test_Build_1.0.0.23\Server CD\DBS\Setup"/>
    <m/>
    <s v="\\192.168.3.3\Share\Releases\Projects\SLT\Release_For_IT\Test_Build_1.0.0.4\Server CD\DBS\Setup"/>
    <s v="Pass"/>
    <m/>
    <m/>
    <m/>
    <m/>
    <s v="K.V. Krishnan"/>
    <x v="0"/>
    <s v=""/>
    <x v="0"/>
    <x v="0"/>
  </r>
  <r>
    <d v="2014-07-04T00:00:00"/>
    <d v="2014-07-04T00:00:00"/>
    <n v="7"/>
    <s v="2014-Jul"/>
    <n v="7"/>
    <s v="LQA-UAT"/>
    <x v="1"/>
    <m/>
    <s v="NM"/>
    <s v="DBS"/>
    <x v="0"/>
    <s v="NMDBS_4.7.1b10"/>
    <s v="CMTeam"/>
    <s v="surender Kumar"/>
    <m/>
    <m/>
    <s v="\\192.168.3.3\Share\Releases\Product\Netmind_4.7\Build&amp;Release\Release_For_LQA\Test_Build_1.0.1\Server CD\DBS\Setup"/>
    <s v="Pass"/>
    <m/>
    <m/>
    <m/>
    <m/>
    <s v="Sureya N Behra"/>
    <x v="0"/>
    <s v=""/>
    <x v="0"/>
    <x v="0"/>
  </r>
  <r>
    <d v="2014-07-04T00:00:00"/>
    <d v="2014-07-04T00:00:00"/>
    <n v="7"/>
    <s v="2014-Jul"/>
    <n v="7"/>
    <s v="LQA-FAT"/>
    <x v="0"/>
    <m/>
    <s v="MPE"/>
    <s v="MPE"/>
    <x v="0"/>
    <s v="MPE_SLT-1B_3.0.1.1.1.81b1"/>
    <s v="CMTeam"/>
    <s v="Ajay Awasthi"/>
    <m/>
    <m/>
    <s v="\\192.168.3.3\Share\Releases\Projects\SLT-1B\Release_For_Test\Test_Build_1.0.0.1\Server CD\MPE\Setup"/>
    <s v="Pass"/>
    <s v="Readme Re-Released"/>
    <m/>
    <m/>
    <m/>
    <s v="K.V. Krishnan"/>
    <x v="0"/>
    <s v=""/>
    <x v="0"/>
    <x v="0"/>
  </r>
  <r>
    <d v="2014-07-07T00:00:00"/>
    <d v="2014-07-07T00:00:00"/>
    <n v="7"/>
    <s v="2014-Jul"/>
    <n v="7"/>
    <s v="IT-LQA"/>
    <x v="10"/>
    <m/>
    <s v="NM"/>
    <s v="DBS"/>
    <x v="0"/>
    <s v="NMDBS_COM_4.6.1.26.1.51b2"/>
    <s v="CMTeam"/>
    <s v="Nitin Kumar"/>
    <s v="\\192.168.3.3\Share\Releases\Projects\Comcast\Release_For_IT\Test_Build_4.6.1\Server CD\Database\Setup"/>
    <s v="Obsolete-LQA"/>
    <s v="\\192.168.3.3\Share\Releases\Projects\Comcast\Release_for_Test\Test_Build_4.6.5\Server CD\Database\Setup"/>
    <m/>
    <m/>
    <m/>
    <m/>
    <m/>
    <m/>
    <x v="2"/>
    <d v="2014-07-07T00:00:00"/>
    <x v="30"/>
    <x v="1"/>
  </r>
  <r>
    <d v="2014-07-07T00:00:00"/>
    <d v="2014-07-07T00:00:00"/>
    <n v="7"/>
    <s v="2014-Jul"/>
    <n v="7"/>
    <s v="IT-LQA"/>
    <x v="10"/>
    <m/>
    <s v="NM"/>
    <s v="DBS"/>
    <x v="0"/>
    <s v="NMDBS_COM_4.6.1.26.1.49b3"/>
    <s v="CMTeam"/>
    <s v="Sumita Yadav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m/>
    <x v="0"/>
    <s v=""/>
    <x v="0"/>
    <x v="0"/>
  </r>
  <r>
    <d v="2014-07-08T00:00:00"/>
    <d v="2014-07-08T00:00:00"/>
    <n v="7"/>
    <s v="2014-Jul"/>
    <n v="7"/>
    <s v="IT-LQA"/>
    <x v="10"/>
    <m/>
    <s v="Utility"/>
    <s v="Utility"/>
    <x v="1"/>
    <s v="NMUTLMIG4_COM_1.0.0.0.3"/>
    <s v="CMTeam"/>
    <s v="Sachin Srivastva"/>
    <s v="\\192.168.3.3\Share\Releases\Projects\Comcast\Release_For_IT\Test_Build_4.6.1\Utility\Setup"/>
    <s v="Obsolete-LQA"/>
    <s v="\\192.168.3.3\Share\Releases\Projects\Comcast\Release_for_Test\Test_Build_4.6.5\Utility\Setup "/>
    <m/>
    <m/>
    <m/>
    <m/>
    <m/>
    <m/>
    <x v="2"/>
    <d v="2014-07-08T00:00:00"/>
    <x v="30"/>
    <x v="1"/>
  </r>
  <r>
    <d v="2014-07-08T00:00:00"/>
    <d v="2014-07-08T00:00:00"/>
    <n v="7"/>
    <s v="2014-Jul"/>
    <n v="7"/>
    <s v="IT-LQA"/>
    <x v="10"/>
    <m/>
    <s v="Utility"/>
    <s v="Utility"/>
    <x v="1"/>
    <s v="NMUTLMIG1_COM_1.0.0.0.7"/>
    <s v="CMTeam"/>
    <s v="Sachin Srivastva"/>
    <s v="\\192.168.3.3\Share\Releases\Projects\Comcast\Release_For_IT\Test_Build_4.6.1\Utility\Setup"/>
    <s v="Obsolete-LQA"/>
    <s v="\\192.168.3.3\Share\Releases\Projects\Comcast\Release_for_Test\Test_Build_4.6.5\Utility\Setup "/>
    <m/>
    <m/>
    <m/>
    <m/>
    <m/>
    <m/>
    <x v="2"/>
    <d v="2014-07-08T00:00:00"/>
    <x v="30"/>
    <x v="1"/>
  </r>
  <r>
    <d v="2014-07-08T00:00:00"/>
    <d v="2014-07-08T00:00:00"/>
    <n v="7"/>
    <s v="2014-Jul"/>
    <n v="7"/>
    <s v="IT-LQA"/>
    <x v="10"/>
    <m/>
    <s v="Utility"/>
    <s v="Utility"/>
    <x v="1"/>
    <s v="NMUTLMIG3_COM_1.0.0.0.5"/>
    <s v="CMTeam"/>
    <s v="Sachin Srivastva"/>
    <s v="\\192.168.3.3\Share\Releases\Projects\Comcast\Release_For_IT\Test_Build_4.6.1\Utility\Setup"/>
    <m/>
    <s v="\\192.168.3.3\Share\Releases\Projects\Comcast\Release_for_Test\Test_Build_4.6.5\Utility\Setup "/>
    <m/>
    <m/>
    <m/>
    <m/>
    <m/>
    <m/>
    <x v="1"/>
    <s v=""/>
    <x v="0"/>
    <x v="0"/>
  </r>
  <r>
    <d v="2014-07-08T00:00:00"/>
    <d v="2014-07-08T00:00:00"/>
    <n v="7"/>
    <s v="2014-Jul"/>
    <n v="7"/>
    <s v="LQA"/>
    <x v="3"/>
    <m/>
    <s v="MPE"/>
    <s v="MPE"/>
    <x v="0"/>
    <s v="MPE_OBT_3.2.1.7.1.21b1"/>
    <s v="CMTeam"/>
    <s v="Neelam Jawla"/>
    <m/>
    <m/>
    <s v="\\192.168.3.3\share\Releases\Projects\OBT\Release_For_LQA\TestBuild_1.0.0.6\Server CD\MPE\Setup"/>
    <s v="Pass"/>
    <m/>
    <m/>
    <m/>
    <m/>
    <m/>
    <x v="0"/>
    <s v=""/>
    <x v="0"/>
    <x v="0"/>
  </r>
  <r>
    <d v="2014-07-08T00:00:00"/>
    <d v="2014-07-08T00:00:00"/>
    <n v="7"/>
    <s v="2014-Jul"/>
    <n v="7"/>
    <s v="IT-LQA-FAT"/>
    <x v="0"/>
    <m/>
    <s v="NM"/>
    <s v="DBS"/>
    <x v="0"/>
    <s v="NMDBS_SLT_4.0.2.0.1.24b1"/>
    <s v="CMTeam"/>
    <s v="Raja Sarkar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7-08T00:00:00"/>
    <d v="2014-07-08T00:00:00"/>
    <n v="7"/>
    <s v="2014-Jul"/>
    <n v="7"/>
    <s v="IT-LQA-UAT"/>
    <x v="8"/>
    <m/>
    <s v="NM"/>
    <s v="DBS"/>
    <x v="0"/>
    <s v="NMDBS_TWC_4.6.1.11.3.41b2"/>
    <s v="CMTeam"/>
    <s v="Sudip Ghosh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Rudra Narayan"/>
    <x v="0"/>
    <s v=""/>
    <x v="0"/>
    <x v="0"/>
  </r>
  <r>
    <d v="2014-07-08T00:00:00"/>
    <d v="2014-07-08T00:00:00"/>
    <n v="7"/>
    <s v="2014-Jul"/>
    <n v="7"/>
    <s v="LQA-UAT"/>
    <x v="6"/>
    <m/>
    <s v="IM"/>
    <s v="Utility"/>
    <x v="0"/>
    <s v="IM_ANTEL_1.0.1.0.1"/>
    <s v="CMTeam"/>
    <s v="Rajesh Maithani"/>
    <m/>
    <m/>
    <s v="\\192.168.3.3\share\Releases\Projects\ANTEL\Release_For_Test\Test_Build_1.0.0.7\IM\Setup"/>
    <s v="Pass"/>
    <s v="Readme Re-Released"/>
    <m/>
    <m/>
    <m/>
    <s v="Pradeep Raghav"/>
    <x v="0"/>
    <s v=""/>
    <x v="0"/>
    <x v="0"/>
  </r>
  <r>
    <d v="2014-07-08T00:00:00"/>
    <d v="2014-07-08T00:00:00"/>
    <n v="7"/>
    <s v="2014-Jul"/>
    <n v="7"/>
    <s v="LQA"/>
    <x v="8"/>
    <m/>
    <s v="MPE"/>
    <s v="MPE"/>
    <x v="0"/>
    <s v="MPE_TWC_3.2.1.5.2.15b2"/>
    <s v="CMTeam"/>
    <s v="Mohd. Asif"/>
    <m/>
    <s v="Obsolete-LQA"/>
    <s v="\\192.168.3.3\Share\Releases\Projects\TWC\Release_For_Test\Test_Build_1.0.0.4\Server CD\MPE\Setup"/>
    <m/>
    <s v="Readme Re-Released"/>
    <m/>
    <m/>
    <m/>
    <m/>
    <x v="2"/>
    <d v="2014-07-08T00:00:00"/>
    <x v="30"/>
    <x v="1"/>
  </r>
  <r>
    <d v="2014-07-09T00:00:00"/>
    <d v="2014-07-09T00:00:00"/>
    <n v="7"/>
    <s v="2014-Jul"/>
    <n v="7"/>
    <s v="IT-LQA-UAT"/>
    <x v="3"/>
    <m/>
    <s v="NM"/>
    <s v="DBS"/>
    <x v="0"/>
    <s v="NMDBS_OBT_4.6.1.27.1.36b1"/>
    <s v="CMTeam"/>
    <s v="Anjani Kumar"/>
    <s v="\\192.168.3.3\Share\Releases\Projects\OBT\Release_For_IT\TestBuild_1.0.0.2\Server CD\DBS\Setup"/>
    <m/>
    <s v="\\192.168.3.3\Share\Releases\Projects\OBT\Release_For_LQA\TestBuild_1.0.0.6\Server CD\DBS\Setup"/>
    <s v="Pass"/>
    <m/>
    <m/>
    <m/>
    <m/>
    <s v="Ajay Kumar Pandey"/>
    <x v="0"/>
    <s v=""/>
    <x v="0"/>
    <x v="0"/>
  </r>
  <r>
    <d v="2014-07-09T00:00:00"/>
    <d v="2014-07-09T00:00:00"/>
    <n v="7"/>
    <s v="2014-Jul"/>
    <n v="7"/>
    <s v="IT-LQA-FAT"/>
    <x v="0"/>
    <m/>
    <s v="NM"/>
    <s v="DBS"/>
    <x v="0"/>
    <s v="NMDBS_SLT_4.0.2.0.1.25b1"/>
    <s v="CMTeam"/>
    <s v="Raja Sarkar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7-09T00:00:00"/>
    <d v="2014-07-09T00:00:00"/>
    <n v="7"/>
    <s v="2014-Jul"/>
    <n v="7"/>
    <s v="IT-LQA"/>
    <x v="10"/>
    <m/>
    <s v="NM"/>
    <s v="DBS"/>
    <x v="0"/>
    <s v="NMDBS_COM_4.6.1.26.1.52b1"/>
    <s v="CMTeam"/>
    <s v="Sumita Yadav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m/>
    <x v="0"/>
    <s v=""/>
    <x v="0"/>
    <x v="0"/>
  </r>
  <r>
    <d v="2014-07-10T00:00:00"/>
    <d v="2014-07-10T00:00:00"/>
    <n v="7"/>
    <s v="2014-Jul"/>
    <n v="7"/>
    <s v="LQA-UAT"/>
    <x v="4"/>
    <m/>
    <s v="MPE"/>
    <s v="MPE"/>
    <x v="0"/>
    <s v="MPE_TLSTR-2b_3.0.0.3.1.99b1"/>
    <s v="CMTeam"/>
    <s v="Sandeep Aggarwal"/>
    <m/>
    <m/>
    <s v="\\192.168.3.3\Share\Releases\Projects\Telstra-2b\Release_For_Test\Test_Build_1.0.0.1\Server CD\MPE\Setup"/>
    <s v="Pass"/>
    <s v="Readme Re-Released"/>
    <m/>
    <m/>
    <m/>
    <s v="Gaurav Shukla"/>
    <x v="0"/>
    <s v=""/>
    <x v="0"/>
    <x v="0"/>
  </r>
  <r>
    <d v="2014-07-10T00:00:00"/>
    <d v="2014-07-10T00:00:00"/>
    <n v="7"/>
    <s v="2014-Jul"/>
    <n v="7"/>
    <s v="IT-LQA-UAT"/>
    <x v="6"/>
    <m/>
    <s v="NM"/>
    <s v="DBS"/>
    <x v="0"/>
    <s v="NMDBS_ANTEL_4.6.1.26.2.41b1"/>
    <s v="CMTeam"/>
    <s v="Rohit Kanwar"/>
    <s v="\\192.168.3.3\Share\Releases\Projects\ANTEL\Release_For_IT\TestBuild_1.0.0.4\Server CD\DBS\Setup"/>
    <m/>
    <s v="\\192.168.3.3\Share\Releases\Projects\ANTEL\Release_For_Test\Test_Build_1.0.0.7\Server CD\DBS\Setup"/>
    <s v="Pass"/>
    <s v="Readme Re-Released"/>
    <m/>
    <m/>
    <m/>
    <s v="Pradeep Raghav"/>
    <x v="0"/>
    <s v=""/>
    <x v="0"/>
    <x v="0"/>
  </r>
  <r>
    <d v="2014-07-10T00:00:00"/>
    <d v="2014-07-10T00:00:00"/>
    <n v="7"/>
    <s v="2014-Jul"/>
    <n v="7"/>
    <s v="IT-LQA"/>
    <x v="10"/>
    <m/>
    <s v="NM"/>
    <s v="DBS"/>
    <x v="0"/>
    <s v="NMDBS_COM_4.6.1.26.1.53b1"/>
    <s v="CMTeam"/>
    <s v="Sumita Yadav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m/>
    <x v="0"/>
    <s v=""/>
    <x v="0"/>
    <x v="0"/>
  </r>
  <r>
    <d v="2014-07-11T00:00:00"/>
    <d v="2014-07-11T00:00:00"/>
    <n v="7"/>
    <s v="2014-Jul"/>
    <n v="7"/>
    <s v="LQA-UAT"/>
    <x v="8"/>
    <m/>
    <s v="MPE"/>
    <s v="MPE"/>
    <x v="0"/>
    <s v="MPE_TWC_3.2.1.5.2.15b3"/>
    <s v="CMTeam"/>
    <s v="Mohd. Asif"/>
    <m/>
    <m/>
    <s v="\\192.168.3.3\Share\Releases\Projects\TWC\Release_For_Test\Test_Build_1.0.0.4\Server CD\MPE\Setup"/>
    <m/>
    <m/>
    <m/>
    <m/>
    <m/>
    <s v="Rudra Narayan"/>
    <x v="3"/>
    <m/>
    <x v="4"/>
    <x v="2"/>
  </r>
  <r>
    <d v="2014-07-11T00:00:00"/>
    <d v="2014-07-11T00:00:00"/>
    <n v="7"/>
    <s v="2014-Jul"/>
    <n v="7"/>
    <s v="IT-LQA-UAT"/>
    <x v="6"/>
    <m/>
    <s v="NM"/>
    <s v="DBS"/>
    <x v="0"/>
    <s v="NMDBS_ANTEL_4.6.1.26.2.42b1"/>
    <s v="CMTeam"/>
    <s v="Rohit Kanwar"/>
    <s v="\\192.168.3.3\Share\Releases\Projects\ANTEL\Release_For_IT\TestBuild_1.0.0.4\Server CD\DBS\Setup"/>
    <m/>
    <s v="\\192.168.3.3\Share\Releases\Projects\ANTEL\Release_For_Test\Test_Build_1.0.0.7\Server CD\DBS\Setup"/>
    <s v="Pass"/>
    <s v="Readme Re-Released"/>
    <m/>
    <m/>
    <m/>
    <s v="Pradeep Raghav"/>
    <x v="0"/>
    <s v=""/>
    <x v="0"/>
    <x v="0"/>
  </r>
  <r>
    <d v="2014-07-14T00:00:00"/>
    <d v="2014-07-14T00:00:00"/>
    <n v="7"/>
    <s v="2014-Jul"/>
    <n v="7"/>
    <s v="LQA"/>
    <x v="4"/>
    <m/>
    <s v="MPE"/>
    <s v="MPE"/>
    <x v="0"/>
    <s v="MPE_TLSTR-2b_3.0.0.3.1.100b1"/>
    <s v="CMTeam"/>
    <s v="Sandeep Aggarwal"/>
    <m/>
    <m/>
    <s v="\\192.168.3.3\Share\Releases\Projects\Telstra-2b\Release_For_Test\Test_Build_1.0.0.1\Server CD\MPE\Setup"/>
    <m/>
    <m/>
    <m/>
    <m/>
    <m/>
    <m/>
    <x v="1"/>
    <s v=""/>
    <x v="0"/>
    <x v="0"/>
  </r>
  <r>
    <d v="2014-07-14T00:00:00"/>
    <d v="2014-07-14T00:00:00"/>
    <n v="7"/>
    <s v="2014-Jul"/>
    <n v="7"/>
    <s v="IT-LQA-FAT"/>
    <x v="10"/>
    <m/>
    <s v="NP"/>
    <s v="DBS"/>
    <x v="0"/>
    <s v="NPDBS_COM_1.2.3.6.1.16b3"/>
    <s v="CMTeam"/>
    <s v="Nitin Kumar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s v="Sumit Gomber"/>
    <x v="0"/>
    <s v=""/>
    <x v="0"/>
    <x v="0"/>
  </r>
  <r>
    <d v="2014-07-14T00:00:00"/>
    <d v="2014-07-14T00:00:00"/>
    <n v="7"/>
    <s v="2014-Jul"/>
    <n v="7"/>
    <s v="IT-LQA-UAT"/>
    <x v="10"/>
    <m/>
    <s v="NM"/>
    <s v="DBS"/>
    <x v="0"/>
    <s v="NMDBS_COM_4.6.1.26.1.51b3"/>
    <s v="CMTeam"/>
    <s v="Nitin Kumar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s v="Sumit Gomber"/>
    <x v="0"/>
    <s v=""/>
    <x v="0"/>
    <x v="0"/>
  </r>
  <r>
    <d v="2014-07-14T00:00:00"/>
    <d v="2014-07-14T00:00:00"/>
    <n v="7"/>
    <s v="2014-Jul"/>
    <n v="7"/>
    <s v="IT-LQA-UAT"/>
    <x v="1"/>
    <m/>
    <s v="NP"/>
    <s v="DBS"/>
    <x v="0"/>
    <s v="NPDBS_1.2.3.11b1"/>
    <s v="CMTeam"/>
    <s v="Nitin Kumar"/>
    <s v="\\192.168.3.3\share\Releases\Product\NetMindPOS_1.1\Build&amp;Release\Release for IT\TestBuild_1.2.3\Server CD\DBS\Setup"/>
    <m/>
    <s v="\\192.168.3.3\share\Releases\Product\NetMindPOS_1.1\Build&amp;Release\Release for LQA\TestBuild_1.2.3\Server CD\DBS\Setup"/>
    <s v="Pass"/>
    <m/>
    <m/>
    <m/>
    <m/>
    <s v="Sumit Gomber"/>
    <x v="0"/>
    <s v=""/>
    <x v="0"/>
    <x v="0"/>
  </r>
  <r>
    <d v="2014-07-14T00:00:00"/>
    <d v="2014-07-14T00:00:00"/>
    <n v="7"/>
    <s v="2014-Jul"/>
    <n v="7"/>
    <s v="IT-LQA-UAT"/>
    <x v="5"/>
    <m/>
    <s v="NM"/>
    <s v="MPE"/>
    <x v="0"/>
    <s v="NMMPE_BHN_3.5.2.31.1"/>
    <s v="CMTeam"/>
    <s v="Ankit Jain"/>
    <s v="\\192.168.3.3\Share\Projects\Neustar\BHN\Build&amp;Release\Release For IT\Test_Build_3.5.37\Server CD\MPE\Setup"/>
    <m/>
    <s v="\\192.168.3.3\Share\Projects\Neustar\BHN\Build&amp;Release\Release For Test\Test_Build_3.5.37\Server CD\MPE\Setup"/>
    <s v="Pass"/>
    <m/>
    <m/>
    <m/>
    <m/>
    <s v="Rudra Narayan"/>
    <x v="0"/>
    <m/>
    <x v="4"/>
    <x v="2"/>
  </r>
  <r>
    <d v="2014-07-14T00:00:00"/>
    <d v="2014-07-14T00:00:00"/>
    <n v="7"/>
    <s v="2014-Jul"/>
    <n v="7"/>
    <s v="LQA-UAT"/>
    <x v="8"/>
    <m/>
    <s v="MPE"/>
    <s v="MPE"/>
    <x v="0"/>
    <s v="MPE_TWC_3.2.1.5.2.16b1 "/>
    <s v="CMTeam"/>
    <s v="Mohd. Asif"/>
    <m/>
    <m/>
    <s v="\\192.168.3.3\Share\Releases\Projects\TWC\Release_For_Test\Test_Build_1.0.0.4\Server CD\MPE\Setup"/>
    <s v="Pass"/>
    <m/>
    <m/>
    <m/>
    <m/>
    <s v="Rudra Narayan"/>
    <x v="0"/>
    <s v=""/>
    <x v="0"/>
    <x v="0"/>
  </r>
  <r>
    <d v="2014-07-15T00:00:00"/>
    <d v="2014-07-15T00:00:00"/>
    <n v="7"/>
    <s v="2014-Jul"/>
    <n v="7"/>
    <s v="IT-LQA"/>
    <x v="10"/>
    <m/>
    <s v="NM"/>
    <s v="DBS"/>
    <x v="0"/>
    <s v="NMDBS_COM_4.6.1.26.1.55b1"/>
    <s v="CMTeam"/>
    <s v="Nitin Kumar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m/>
    <x v="0"/>
    <s v=""/>
    <x v="0"/>
    <x v="0"/>
  </r>
  <r>
    <d v="2014-07-15T00:00:00"/>
    <d v="2014-07-15T00:00:00"/>
    <n v="7"/>
    <s v="2014-Jul"/>
    <n v="7"/>
    <s v="IT-LQA-UAT"/>
    <x v="6"/>
    <m/>
    <s v="NM"/>
    <s v="DBS"/>
    <x v="0"/>
    <s v="NMDBS_ANTEL_4.6.1.26.2.43b1"/>
    <s v="CMTeam"/>
    <s v="Rohit Kanwar"/>
    <s v="\\192.168.3.3\Share\Releases\Projects\ANTEL\Release_For_IT\TestBuild_1.0.0.4\Server CD\DBS\Setup"/>
    <m/>
    <s v="\\192.168.3.3\Share\Releases\Projects\ANTEL\Release_For_Test\Test_Build_1.0.0.7\Server CD\DBS\Setup"/>
    <s v="Pass"/>
    <m/>
    <m/>
    <m/>
    <m/>
    <s v="Pradeep Raghav"/>
    <x v="0"/>
    <s v=""/>
    <x v="0"/>
    <x v="0"/>
  </r>
  <r>
    <d v="2014-07-15T00:00:00"/>
    <d v="2014-07-15T00:00:00"/>
    <n v="7"/>
    <s v="2014-Jul"/>
    <n v="7"/>
    <s v="LQA"/>
    <x v="1"/>
    <m/>
    <s v="WWCS"/>
    <s v="GUI"/>
    <x v="1"/>
    <s v="WWCSGUI_2.1.19b2 "/>
    <s v="CMTeam"/>
    <s v="Deepak Dhiman"/>
    <m/>
    <m/>
    <s v="\\192.168.3.3\Share\Releases\Product\WEB_CS\Build&amp;Release\Release For Test\TestBuild_2.1.19\ServerCD\GUI\Setup"/>
    <m/>
    <s v="Readme Re-Released"/>
    <m/>
    <m/>
    <m/>
    <m/>
    <x v="1"/>
    <s v=""/>
    <x v="0"/>
    <x v="0"/>
  </r>
  <r>
    <d v="2014-07-16T00:00:00"/>
    <d v="2014-07-16T00:00:00"/>
    <n v="7"/>
    <s v="2014-Jul"/>
    <n v="7"/>
    <s v="IT-LQA"/>
    <x v="10"/>
    <m/>
    <s v="NM"/>
    <s v="DBS"/>
    <x v="0"/>
    <s v="NMDBS_COM_4.6.1.26.1.54b1"/>
    <s v="CMTeam"/>
    <s v="Sumita Yadav"/>
    <s v="\\192.168.3.3\Share\Releases\Projects\Comcast\Release_For_IT\Test_Build_4.6.1\Server CD\Database\Setup"/>
    <s v="Obsolete-LQA"/>
    <s v="\\192.168.3.3\Share\Releases\Projects\Comcast\Release_for_Test\Test_Build_4.6.5\Server CD\Database\Setup"/>
    <m/>
    <m/>
    <m/>
    <m/>
    <m/>
    <m/>
    <x v="2"/>
    <d v="2014-07-16T00:00:00"/>
    <x v="31"/>
    <x v="1"/>
  </r>
  <r>
    <d v="2014-07-16T00:00:00"/>
    <d v="2014-07-16T00:00:00"/>
    <n v="7"/>
    <s v="2014-Jul"/>
    <n v="7"/>
    <s v="IT-LQA"/>
    <x v="10"/>
    <m/>
    <s v="Utility"/>
    <s v="Utility"/>
    <x v="1"/>
    <s v="NMUTLMIG4_COM_1.0.0.0.4"/>
    <s v="CMTeam"/>
    <s v="Sachin Srivastva"/>
    <s v="\\192.168.3.3\Share\Releases\Projects\Comcast\Release_for_Test\Test_Build_4.6.5\Utility\Setup "/>
    <m/>
    <s v="\\192.168.3.3\Share\Releases\Projects\Comcast\Release_For_IT\Test_Build_4.6.1\Utility\Setup"/>
    <m/>
    <m/>
    <m/>
    <m/>
    <m/>
    <m/>
    <x v="1"/>
    <s v=""/>
    <x v="0"/>
    <x v="0"/>
  </r>
  <r>
    <d v="2014-07-16T00:00:00"/>
    <d v="2014-07-16T00:00:00"/>
    <n v="7"/>
    <s v="2014-Jul"/>
    <n v="7"/>
    <s v="LQA"/>
    <x v="1"/>
    <m/>
    <s v="RT"/>
    <s v="GUI"/>
    <x v="0"/>
    <s v="RTGUI_4.0.25.1b1"/>
    <s v="CMTeam"/>
    <s v="Ratnesh Singh"/>
    <m/>
    <m/>
    <s v="\\192.168.3.3\Share\Releases\Product\RT_4.0\ReleaseForLQA\TestBuild_4.0.24\GUI\Build1\Setup "/>
    <m/>
    <s v="Readme Re-Released"/>
    <m/>
    <m/>
    <m/>
    <m/>
    <x v="1"/>
    <s v=""/>
    <x v="0"/>
    <x v="0"/>
  </r>
  <r>
    <d v="2014-07-16T00:00:00"/>
    <d v="2014-07-16T00:00:00"/>
    <n v="7"/>
    <s v="2014-Jul"/>
    <n v="7"/>
    <s v="IT-LQA-UAT"/>
    <x v="4"/>
    <m/>
    <s v="NM"/>
    <s v="DBS"/>
    <x v="0"/>
    <s v="NMDBS_TLSTR_4.0.1.0.4.308b1"/>
    <s v="CMTeam"/>
    <s v="Deepak Yadav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Gaurav Shukla"/>
    <x v="0"/>
    <s v=""/>
    <x v="0"/>
    <x v="0"/>
  </r>
  <r>
    <d v="2014-07-16T00:00:00"/>
    <d v="2014-07-17T00:00:00"/>
    <n v="7"/>
    <s v="2014-Jul"/>
    <n v="7"/>
    <s v="IT"/>
    <x v="1"/>
    <m/>
    <s v="NM"/>
    <s v="DBS"/>
    <x v="0"/>
    <s v="NMDBS_4.6.1.28b1"/>
    <s v="CMTeam"/>
    <s v="Abhishek Sharma"/>
    <s v="\\192.168.3.3\Share\Releases\Product\Netmind_4.6\Build&amp;Release\ReleaseForIT\TestBuild_4.6.1\Build4\ServerCD\DBS\Setup"/>
    <m/>
    <s v="\\192.168.3.3\Share\Releases\Product\Netmind_4.6\Build&amp;Release\ReleaseForTest\TestBuild_4.6.1\Build4\ServerCD\DBS\Setup"/>
    <m/>
    <m/>
    <m/>
    <m/>
    <m/>
    <m/>
    <x v="1"/>
    <s v=""/>
    <x v="0"/>
    <x v="0"/>
  </r>
  <r>
    <d v="2014-07-16T00:00:00"/>
    <d v="2014-07-16T00:00:00"/>
    <n v="7"/>
    <s v="2014-Jul"/>
    <n v="7"/>
    <s v="IT-LQA-FAT"/>
    <x v="0"/>
    <m/>
    <s v="NM"/>
    <s v="DBS"/>
    <x v="0"/>
    <s v="NMDBS_SLT_4.0.2.0.1.26b1"/>
    <s v="CMTeam"/>
    <s v="Raja Sarkar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7-17T00:00:00"/>
    <d v="2014-07-17T00:00:00"/>
    <n v="7"/>
    <s v="2014-Jul"/>
    <n v="7"/>
    <s v="LQA-FAT"/>
    <x v="0"/>
    <m/>
    <s v="MPE"/>
    <s v="MPE"/>
    <x v="0"/>
    <s v="MPE_SLT-1B_3.0.1.1.1.82b1"/>
    <s v="CMTeam"/>
    <s v="Muktesh Mukul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7-17T00:00:00"/>
    <d v="2014-07-17T00:00:00"/>
    <n v="7"/>
    <s v="2014-Jul"/>
    <n v="7"/>
    <s v="IT-LQA"/>
    <x v="10"/>
    <m/>
    <s v="NM"/>
    <s v="DBS"/>
    <x v="0"/>
    <s v="NMDBS_COM_4.6.1.26.1.56b1"/>
    <s v="CMTeam"/>
    <s v="surender Kumar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m/>
    <x v="0"/>
    <s v=""/>
    <x v="0"/>
    <x v="0"/>
  </r>
  <r>
    <d v="2014-07-17T00:00:00"/>
    <d v="2014-07-17T00:00:00"/>
    <n v="7"/>
    <s v="2014-Jul"/>
    <n v="7"/>
    <s v="IT-LQA"/>
    <x v="10"/>
    <m/>
    <s v="NM"/>
    <s v="DBS"/>
    <x v="0"/>
    <s v="NMDBS_COM_4.6.1.26.1.54b2"/>
    <s v="CMTeam"/>
    <s v="Sumita Yadav"/>
    <s v="\\192.168.3.3\Share\Releases\Projects\Comcast\Release_For_IT\Test_Build_4.6.1\Server CD\Database\Setup"/>
    <s v="Obsolete-LQA"/>
    <s v="\\192.168.3.3\Share\Releases\Projects\Comcast\Release_for_Test\Test_Build_4.6.5\Server CD\Database\Setup"/>
    <m/>
    <m/>
    <m/>
    <m/>
    <m/>
    <m/>
    <x v="2"/>
    <d v="2014-07-17T00:00:00"/>
    <x v="31"/>
    <x v="1"/>
  </r>
  <r>
    <d v="2014-07-17T00:00:00"/>
    <d v="2014-07-17T00:00:00"/>
    <n v="7"/>
    <s v="2014-Jul"/>
    <n v="7"/>
    <s v="IT-LQA-FAT"/>
    <x v="10"/>
    <m/>
    <s v="NM"/>
    <s v="DBS"/>
    <x v="0"/>
    <s v="NMDBS_COM_4.6.1.26.1.57b1"/>
    <s v="CMTeam"/>
    <s v="Sachin Srivastva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s v="Rudra Narayan"/>
    <x v="0"/>
    <s v=""/>
    <x v="0"/>
    <x v="0"/>
  </r>
  <r>
    <d v="2014-07-18T00:00:00"/>
    <d v="2014-07-18T00:00:00"/>
    <n v="7"/>
    <s v="2014-Jul"/>
    <n v="7"/>
    <s v="LQA"/>
    <x v="1"/>
    <m/>
    <s v="WWFS"/>
    <s v="GUI"/>
    <x v="0"/>
    <s v="WWFSGUI_2.1.29b3"/>
    <s v="CMTeam"/>
    <s v="Karamjeet kaur"/>
    <m/>
    <m/>
    <s v="\\192.168.3.3\Share\Releases\Product\WEB_WFS\Build&amp;Release\Release For Test\TestBuild_2.1.29\ServerCD\GUI\Setup"/>
    <m/>
    <m/>
    <m/>
    <m/>
    <m/>
    <m/>
    <x v="1"/>
    <s v=""/>
    <x v="0"/>
    <x v="0"/>
  </r>
  <r>
    <d v="2014-07-18T00:00:00"/>
    <d v="2014-07-18T00:00:00"/>
    <n v="7"/>
    <s v="2014-Jul"/>
    <n v="7"/>
    <s v="IT-LQA-UAT"/>
    <x v="10"/>
    <m/>
    <s v="NM"/>
    <s v="DBS"/>
    <x v="0"/>
    <s v="NMDBS_COM_4.6.1.26.1.54b3"/>
    <s v="CMTeam"/>
    <s v="Sumita Yadav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s v="Rudra Narayan"/>
    <x v="0"/>
    <s v=""/>
    <x v="0"/>
    <x v="0"/>
  </r>
  <r>
    <d v="2014-07-18T00:00:00"/>
    <d v="2014-07-18T00:00:00"/>
    <n v="7"/>
    <s v="2014-Jul"/>
    <n v="7"/>
    <s v="LQA"/>
    <x v="10"/>
    <m/>
    <s v="RT"/>
    <s v="GUI"/>
    <x v="0"/>
    <s v="RTGUI_COM_4.0.25.1.1.1b2"/>
    <s v="CMTeam"/>
    <s v="Ratnesh Singh"/>
    <m/>
    <m/>
    <s v="\\192.168.3.3\share\Releases\Projects\Comcast\Release_for_Test\Test_Build_4.6.5\Server CD\GUI\Setup"/>
    <m/>
    <m/>
    <m/>
    <m/>
    <m/>
    <m/>
    <x v="1"/>
    <s v=""/>
    <x v="0"/>
    <x v="0"/>
  </r>
  <r>
    <d v="2014-07-18T00:00:00"/>
    <d v="2014-07-18T00:00:00"/>
    <n v="7"/>
    <s v="2014-Jul"/>
    <n v="7"/>
    <s v="IT-LQA"/>
    <x v="10"/>
    <m/>
    <s v="NM"/>
    <s v="DBS"/>
    <x v="0"/>
    <s v="NMDBS_COM_4.6.1.26.1.59b1"/>
    <s v="CMTeam"/>
    <s v="Rohit Kanwar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m/>
    <x v="0"/>
    <s v=""/>
    <x v="0"/>
    <x v="0"/>
  </r>
  <r>
    <d v="2014-07-18T00:00:00"/>
    <d v="2014-07-18T00:00:00"/>
    <n v="7"/>
    <s v="2014-Jul"/>
    <n v="7"/>
    <s v="IT-LQA-UAT"/>
    <x v="10"/>
    <m/>
    <s v="NM"/>
    <s v="DBS"/>
    <x v="0"/>
    <s v="NMDBS_COM_4.6.1.26.1.58b1"/>
    <s v="CMTeam"/>
    <s v="Nitin Kumar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s v="Sumit Gomber"/>
    <x v="0"/>
    <s v=""/>
    <x v="0"/>
    <x v="0"/>
  </r>
  <r>
    <d v="2014-07-18T00:00:00"/>
    <d v="2014-07-18T00:00:00"/>
    <n v="7"/>
    <s v="2014-Jul"/>
    <n v="7"/>
    <s v="IT-LQA-UAT"/>
    <x v="10"/>
    <m/>
    <s v="NP"/>
    <s v="DBS"/>
    <x v="0"/>
    <s v="NPDBS_COM_1.2.3.6.1.17b1"/>
    <s v="CMTeam"/>
    <s v="Nitin Kumar"/>
    <s v="\\192.168.3.3\Share\Releases\Projects\Comcast\Release_For_IT\Test_Build_4.6.1\Server CD\Database\Setup"/>
    <m/>
    <s v="\\192.168.3.3\Share\Releases\Projects\Comcast\Release_for_Test\Test_Build_4.6.5\Server CD\Database\Setup"/>
    <s v="Pass"/>
    <m/>
    <m/>
    <m/>
    <m/>
    <s v="Sumit Gomber"/>
    <x v="0"/>
    <s v=""/>
    <x v="0"/>
    <x v="0"/>
  </r>
  <r>
    <d v="2014-07-18T00:00:00"/>
    <d v="2014-07-18T00:00:00"/>
    <n v="7"/>
    <s v="2014-Jul"/>
    <n v="7"/>
    <s v="LQA-UAT"/>
    <x v="10"/>
    <m/>
    <s v="WWCS"/>
    <s v="GUI"/>
    <x v="1"/>
    <s v="WWCSGUI_COM_2.1.19.0.1"/>
    <s v="CMTeam"/>
    <s v="Deepak Dhiman"/>
    <m/>
    <m/>
    <s v="\\192.168.3.3\Share\Releases\Projects\Comcast\Release_for_Test\Test_Build_4.6.6\Server CD\GUI\Setup"/>
    <s v="Pass"/>
    <m/>
    <m/>
    <m/>
    <m/>
    <s v="Rudra Narayan"/>
    <x v="0"/>
    <s v=""/>
    <x v="0"/>
    <x v="0"/>
  </r>
  <r>
    <d v="2014-07-18T00:00:00"/>
    <d v="2014-07-18T00:00:00"/>
    <n v="7"/>
    <s v="2014-Jul"/>
    <n v="7"/>
    <s v="IT-LQA-FAT"/>
    <x v="0"/>
    <m/>
    <s v="NM"/>
    <s v="DBS"/>
    <x v="0"/>
    <s v="NMDBS_SLT_4.0.2.0.1.27b1"/>
    <s v="CMTeam"/>
    <s v="Raja Sarkar"/>
    <s v="\\192.168.3.3\Share\Releases\Projects\SLT\Release_For_IT\Test_Build_1.0.0.4\Server CD\DBS\Setup"/>
    <m/>
    <s v="\\192.168.3.3\Share\Releases\Projects\SLT\Release_For_LQA\Test_Build_1.0.0.23\Server CD\DBS\Setup"/>
    <s v="Pass"/>
    <m/>
    <m/>
    <m/>
    <m/>
    <s v="K.V. Krishnan"/>
    <x v="0"/>
    <s v=""/>
    <x v="0"/>
    <x v="0"/>
  </r>
  <r>
    <d v="2014-07-18T00:00:00"/>
    <d v="2014-07-18T00:00:00"/>
    <n v="7"/>
    <s v="2014-Jul"/>
    <n v="7"/>
    <s v="LQA"/>
    <x v="10"/>
    <m/>
    <s v="WWFS"/>
    <s v="GUI"/>
    <x v="1"/>
    <s v="WWFSGUI_COM_2.1.29.0.1"/>
    <s v="CMTeam"/>
    <s v="Karamjeet kaur"/>
    <m/>
    <m/>
    <s v="\\192.168.3.3\Share\Releases\Projects\Comcast\Release_for_Test\Test_Build_4.6.6\Server CD\GUI\Setup"/>
    <m/>
    <m/>
    <m/>
    <m/>
    <m/>
    <m/>
    <x v="1"/>
    <s v=""/>
    <x v="0"/>
    <x v="0"/>
  </r>
  <r>
    <d v="2014-07-21T00:00:00"/>
    <d v="2014-07-21T00:00:00"/>
    <n v="7"/>
    <s v="2014-Jul"/>
    <n v="7"/>
    <s v="IT-LQA-UAT"/>
    <x v="10"/>
    <m/>
    <s v="NM"/>
    <s v="DBS"/>
    <x v="0"/>
    <s v="NMDBS_COM_4.6.1.26.1.61b1"/>
    <s v="CMTeam"/>
    <s v="Sachin Srivastva"/>
    <s v="\\192.168.3.3\Share\Releases\Projects\Comcast\Release_For_IT\Test_Build_4.6.1\Server CD\Database\Setup"/>
    <m/>
    <s v="\\192.168.3.3\Share\Releases\Projects\Comcast\Release_for_Test\Test_Build_4.6.6\Server CD\Database\Setup"/>
    <s v="Pass"/>
    <m/>
    <m/>
    <m/>
    <m/>
    <s v="Rudra Narayan"/>
    <x v="0"/>
    <s v=""/>
    <x v="0"/>
    <x v="0"/>
  </r>
  <r>
    <d v="2014-07-21T00:00:00"/>
    <d v="2014-07-21T00:00:00"/>
    <n v="7"/>
    <s v="2014-Jul"/>
    <n v="7"/>
    <s v="IT-LQA"/>
    <x v="1"/>
    <m/>
    <s v="RT"/>
    <s v="DBS"/>
    <x v="0"/>
    <s v="RTDBS_4.0.1.21b2"/>
    <s v="CMTeam"/>
    <s v="Puneet Gupta"/>
    <s v="\\192.168.3.3\Share\Releases\Product\RT_4.0\ReleaseForIT\TestBuild_4.0.3\DBS\Setup"/>
    <s v="Obsolete-LQA"/>
    <s v="\\192.168.3.3\Share\Releases\Product\RT_4.0\ReleaseForLQA\TestBuild_4.0.24\DBS\Setup"/>
    <m/>
    <m/>
    <m/>
    <m/>
    <m/>
    <m/>
    <x v="2"/>
    <d v="2014-07-21T00:00:00"/>
    <x v="32"/>
    <x v="1"/>
  </r>
  <r>
    <d v="2014-07-21T00:00:00"/>
    <d v="2014-07-21T00:00:00"/>
    <n v="7"/>
    <s v="2014-Jul"/>
    <n v="7"/>
    <s v="LQA"/>
    <x v="1"/>
    <m/>
    <s v="RT"/>
    <s v="GUI"/>
    <x v="1"/>
    <s v="RTGUI_4.0.27b1"/>
    <s v="CMTeam"/>
    <s v="Ajay Sharma"/>
    <m/>
    <m/>
    <s v="\\192.168.3.3\Share\Releases\Product\RT_4.0\ReleaseForLQA\TestBuild_4.0.24\GUI\Build1\Setup "/>
    <m/>
    <m/>
    <m/>
    <m/>
    <m/>
    <m/>
    <x v="1"/>
    <s v=""/>
    <x v="0"/>
    <x v="0"/>
  </r>
  <r>
    <d v="2014-07-21T00:00:00"/>
    <d v="2014-07-21T00:00:00"/>
    <n v="7"/>
    <s v="2014-Jul"/>
    <n v="7"/>
    <s v="LQA"/>
    <x v="0"/>
    <m/>
    <s v="RT"/>
    <s v="GUI"/>
    <x v="1"/>
    <s v="RTGUI_SLT_4.0.27.0.1"/>
    <s v="CMTeam"/>
    <s v="Ajay Sharma"/>
    <m/>
    <s v="Obsolete-LQA"/>
    <s v="\\192.168.3.3\Share\Releases\Projects\SLT\Release_For_LQA\Test_Build_1.0.0.24\Server CD\GUI\Setup"/>
    <m/>
    <m/>
    <m/>
    <m/>
    <m/>
    <m/>
    <x v="2"/>
    <d v="2014-07-21T00:00:00"/>
    <x v="32"/>
    <x v="1"/>
  </r>
  <r>
    <d v="2014-07-21T00:00:00"/>
    <d v="2014-07-21T00:00:00"/>
    <n v="7"/>
    <s v="2014-Jul"/>
    <n v="7"/>
    <s v="IT-LQA"/>
    <x v="17"/>
    <m/>
    <s v="NM"/>
    <s v="DBS"/>
    <x v="0"/>
    <s v="PATCH_DBS_3.0.5.03_CPMTS.02_87.1"/>
    <s v="CMTeam"/>
    <s v="Rohit Kanwar"/>
    <s v="\\192.168.3.3\Share\Releases\Projects\MTS\Release For IT\Test_Build_3.0.5.25\Server CD\Database\Setup"/>
    <m/>
    <s v="\\192.168.3.3\Share\Releases\Projects\MTS\Release For Test\Test_Build_3.0.5.25\Server CD\Database\Setup"/>
    <m/>
    <m/>
    <m/>
    <m/>
    <m/>
    <m/>
    <x v="1"/>
    <s v=""/>
    <x v="0"/>
    <x v="0"/>
  </r>
  <r>
    <d v="2014-07-23T00:00:00"/>
    <d v="2014-07-23T00:00:00"/>
    <n v="7"/>
    <s v="2014-Jul"/>
    <n v="7"/>
    <s v="IT-LQA-UAT"/>
    <x v="8"/>
    <m/>
    <s v="NM"/>
    <s v="DBS"/>
    <x v="0"/>
    <s v="NMDBS_TWC_4.6.1.11.3.42b1"/>
    <s v="CMTeam"/>
    <s v="Sudip Ghosh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Abhishek Leekha"/>
    <x v="0"/>
    <s v=""/>
    <x v="0"/>
    <x v="0"/>
  </r>
  <r>
    <d v="2014-07-23T00:00:00"/>
    <d v="2014-07-23T00:00:00"/>
    <n v="7"/>
    <s v="2014-Jul"/>
    <n v="7"/>
    <s v="IT-LQA-UAT"/>
    <x v="10"/>
    <m/>
    <s v="NM"/>
    <s v="DBS"/>
    <x v="0"/>
    <s v="NMDBS_COM_4.6.1.26.1.62b1"/>
    <s v="CMTeam"/>
    <s v="Sachin Srivastva"/>
    <s v="\\192.168.3.3\Share\Releases\Projects\Comcast\Release_For_IT\Test_Build_4.6.1\Server CD\Database\Setup"/>
    <m/>
    <s v="\\192.168.3.3\Share\Releases\Projects\Comcast\Release_for_Test\Test_Build_4.6.6\Server CD\Database\Setup"/>
    <s v="Pass"/>
    <m/>
    <m/>
    <m/>
    <m/>
    <s v="Rudra Narayan"/>
    <x v="0"/>
    <s v=""/>
    <x v="0"/>
    <x v="0"/>
  </r>
  <r>
    <d v="2014-07-23T00:00:00"/>
    <d v="2014-07-23T00:00:00"/>
    <n v="7"/>
    <s v="2014-Jul"/>
    <n v="7"/>
    <s v="LQA-UAT"/>
    <x v="8"/>
    <m/>
    <s v="MPE"/>
    <s v="MPE"/>
    <x v="0"/>
    <s v="MPE_TWC_3.2.1.5.2.17b1"/>
    <s v="CMTeam"/>
    <s v="Ankit Jain"/>
    <m/>
    <m/>
    <s v="\\192.168.3.3\Share\Releases\Projects\TWC\Release_For_Test\Test_Build_1.0.0.4\Server CD\MPE\Setup"/>
    <s v="Pass"/>
    <m/>
    <m/>
    <m/>
    <m/>
    <s v="Jitender Aggarwal"/>
    <x v="0"/>
    <s v=""/>
    <x v="0"/>
    <x v="0"/>
  </r>
  <r>
    <d v="2014-07-23T00:00:00"/>
    <d v="2014-07-23T00:00:00"/>
    <n v="7"/>
    <s v="2014-Jul"/>
    <n v="7"/>
    <s v="IT-LQA-UAT"/>
    <x v="1"/>
    <m/>
    <s v="NP"/>
    <s v="DBS"/>
    <x v="0"/>
    <s v="NPDBS_1.2.3.12b1"/>
    <s v="CMTeam"/>
    <s v="Abhishek Sharma"/>
    <s v="\\192.168.3.3\share\Releases\Product\NetMindPOS_1.1\Build&amp;Release\Release for IT\TestBuild_1.2.3\Server CD\DBS\Setup"/>
    <m/>
    <s v="\\192.168.3.3\share\Releases\Product\NetMindPOS_1.1\Build&amp;Release\Release for LQA\TestBuild_1.2.3\Server CD\DBS\Setup"/>
    <s v="Pass"/>
    <m/>
    <m/>
    <m/>
    <m/>
    <s v="Abhishek Leekha"/>
    <x v="0"/>
    <s v=""/>
    <x v="0"/>
    <x v="0"/>
  </r>
  <r>
    <d v="2014-07-23T00:00:00"/>
    <d v="2014-07-23T00:00:00"/>
    <n v="7"/>
    <s v="2014-Jul"/>
    <n v="7"/>
    <s v="IT-LQA"/>
    <x v="10"/>
    <m/>
    <s v="NM"/>
    <s v="DBS"/>
    <x v="0"/>
    <s v="NMDBS_COM_4.6.1.26.1.60b1"/>
    <s v="CMTeam"/>
    <s v="Sudip Ghosh"/>
    <s v="\\192.168.3.3\Share\Releases\Projects\Comcast\Release_For_IT\Test_Build_4.6.1\Server CD\Database\Setup"/>
    <m/>
    <s v="\\192.168.3.3\Share\Releases\Projects\Comcast\Release_for_Test\Test_Build_4.6.6\Server CD\Database\Setup"/>
    <m/>
    <m/>
    <m/>
    <m/>
    <m/>
    <m/>
    <x v="1"/>
    <s v=""/>
    <x v="0"/>
    <x v="0"/>
  </r>
  <r>
    <d v="2014-07-23T00:00:00"/>
    <d v="2014-07-23T00:00:00"/>
    <n v="7"/>
    <s v="2014-Jul"/>
    <n v="7"/>
    <s v="LQA"/>
    <x v="1"/>
    <m/>
    <s v="WWFS"/>
    <s v="GUI"/>
    <x v="0"/>
    <s v="WWFSGUI_2.1.30b1"/>
    <s v="CMTeam"/>
    <s v="Deepak Dhiman"/>
    <m/>
    <s v="Obsolete-LQA"/>
    <s v="\\192.168.3.3\Share\Releases\Product\WEB_WFS\Build&amp;Release\Release For Test\TestBuild_2.1.30\ServerCD\GUI\Setup"/>
    <m/>
    <m/>
    <m/>
    <m/>
    <m/>
    <m/>
    <x v="2"/>
    <d v="2014-07-23T00:00:00"/>
    <x v="32"/>
    <x v="1"/>
  </r>
  <r>
    <d v="2014-07-24T00:00:00"/>
    <d v="2014-07-24T00:00:00"/>
    <n v="7"/>
    <s v="2014-Jul"/>
    <n v="7"/>
    <s v="LQA"/>
    <x v="1"/>
    <m/>
    <s v="WWFS"/>
    <s v="GUI"/>
    <x v="0"/>
    <s v="WWFSGUI_2.1.30b2"/>
    <s v="CMTeam"/>
    <s v="Karamjeet kaur"/>
    <m/>
    <m/>
    <s v="\\192.168.3.3\Share\Releases\Product\WEB_WFS\Build&amp;Release\Release For Test\TestBuild_2.1.30\ServerCD\GUI\Setup"/>
    <m/>
    <m/>
    <m/>
    <m/>
    <m/>
    <m/>
    <x v="1"/>
    <s v=""/>
    <x v="0"/>
    <x v="0"/>
  </r>
  <r>
    <d v="2014-07-24T00:00:00"/>
    <d v="2014-07-24T00:00:00"/>
    <n v="7"/>
    <s v="2014-Jul"/>
    <n v="7"/>
    <s v="IT-LQA"/>
    <x v="1"/>
    <m/>
    <s v="NM"/>
    <s v="DBS"/>
    <x v="0"/>
    <s v="NMDBS_4.6.1.29b1"/>
    <s v="CMTeam"/>
    <s v="surender Kumar"/>
    <s v="\\192.168.3.3\Share\Releases\Product\Netmind_4.6\Build&amp;Release\ReleaseForIT\TestBuild_4.6.1\Build4\ServerCD\DBS\Setup"/>
    <s v="Obsolete-LQA"/>
    <s v="\\192.168.3.3\Share\Releases\Product\Netmind_4.6\Build&amp;Release\ReleaseForTest\TestBuild_4.6.1\Build4\ServerCD\DBS\Setup"/>
    <m/>
    <m/>
    <m/>
    <m/>
    <m/>
    <m/>
    <x v="2"/>
    <d v="2014-07-24T00:00:00"/>
    <x v="32"/>
    <x v="1"/>
  </r>
  <r>
    <d v="2014-07-24T00:00:00"/>
    <d v="2014-07-24T00:00:00"/>
    <n v="7"/>
    <s v="2014-Jul"/>
    <n v="7"/>
    <s v="IT-LQA-UAT"/>
    <x v="1"/>
    <m/>
    <s v="RE"/>
    <s v="DBS"/>
    <x v="0"/>
    <s v="REDBS_1.0.1.26b1 "/>
    <s v="CMTeam"/>
    <s v="Shiv Mangal"/>
    <s v="\\192.168.3.3\Share\Releases\Product\RE_1.0\ReleaseForIT\TestBuild_1.0.1\DBS\Build4\Setup"/>
    <m/>
    <s v="\\192.168.3.3\Share\Releases\Product\RE_1.0\ReleaseForLQA\TestBuild_1.0.1\DBS\Build4\Setup"/>
    <s v="Pass"/>
    <m/>
    <m/>
    <m/>
    <m/>
    <s v="Ravi Gautam"/>
    <x v="0"/>
    <s v=""/>
    <x v="0"/>
    <x v="0"/>
  </r>
  <r>
    <d v="2014-07-24T00:00:00"/>
    <d v="2014-07-24T00:00:00"/>
    <n v="7"/>
    <s v="2014-Jul"/>
    <n v="7"/>
    <s v="LQA-UAT"/>
    <x v="3"/>
    <m/>
    <s v="MPE"/>
    <s v="MPE"/>
    <x v="0"/>
    <s v="MPE_OBT_3.2.1.7.1.22b1"/>
    <s v="CMTeam"/>
    <s v="Neelam Jawla"/>
    <m/>
    <m/>
    <s v="\\192.168.3.3\share\Releases\Projects\OBT\Release_For_LQA\TestBuild_1.0.0.6\Server CD\MPE\Setup"/>
    <s v="Pass"/>
    <m/>
    <m/>
    <m/>
    <m/>
    <s v="Ajay Kumar Pandey"/>
    <x v="0"/>
    <s v=""/>
    <x v="0"/>
    <x v="0"/>
  </r>
  <r>
    <d v="2014-07-24T00:00:00"/>
    <d v="2014-07-24T00:00:00"/>
    <n v="7"/>
    <s v="2014-Jul"/>
    <n v="7"/>
    <s v="IT-LQA"/>
    <x v="10"/>
    <m/>
    <s v="NM"/>
    <s v="DBS"/>
    <x v="0"/>
    <s v="NMDBS_COM_4.6.1.26.1.63b1"/>
    <s v="CMTeam"/>
    <s v="Sumita Yadav"/>
    <s v="\\192.168.3.3\Share\Releases\Projects\Comcast\Release_For_IT\Test_Build_4.6.1\Server CD\Database\Setup"/>
    <m/>
    <s v="\\192.168.3.3\Share\Releases\Projects\Comcast\Release_for_Test\Test_Build_4.6.6\Server CD\Database\Setup"/>
    <m/>
    <m/>
    <m/>
    <m/>
    <m/>
    <m/>
    <x v="1"/>
    <s v=""/>
    <x v="0"/>
    <x v="0"/>
  </r>
  <r>
    <d v="2014-07-24T00:00:00"/>
    <d v="2014-07-24T00:00:00"/>
    <n v="7"/>
    <s v="2014-Jul"/>
    <n v="7"/>
    <s v="IT-LQA"/>
    <x v="10"/>
    <m/>
    <s v="NM"/>
    <s v="DBS"/>
    <x v="0"/>
    <s v="NMDBS_COM_4.6.1.26.1.64b1"/>
    <s v="CMTeam"/>
    <s v="Abhishek Sharma"/>
    <s v="\\192.168.3.3\Share\Releases\Projects\Comcast\Release_For_IT\Test_Build_4.6.1\Server CD\Database\Setup"/>
    <m/>
    <s v="\\192.168.3.3\Share\Releases\Projects\Comcast\Release_for_Test\Test_Build_4.6.6\Server CD\Database\Setup"/>
    <m/>
    <s v="Readme Re-Released"/>
    <m/>
    <m/>
    <m/>
    <m/>
    <x v="1"/>
    <s v=""/>
    <x v="0"/>
    <x v="0"/>
  </r>
  <r>
    <d v="2014-07-24T00:00:00"/>
    <d v="2014-07-24T00:00:00"/>
    <n v="7"/>
    <s v="2014-Jul"/>
    <n v="7"/>
    <s v="IT-LQA"/>
    <x v="10"/>
    <m/>
    <s v="NM"/>
    <s v="DBS"/>
    <x v="0"/>
    <s v="NMDBS_COM_4.6.1.26.1.65b1"/>
    <s v="CMTeam"/>
    <s v="Abhishek Sharma"/>
    <s v="\\192.168.3.3\Share\Releases\Projects\Comcast\Release_For_IT\Test_Build_4.6.1\Server CD\Database\Setup"/>
    <m/>
    <s v="\\192.168.3.3\Share\Releases\Projects\Comcast\Release_for_Test\Test_Build_4.6.6\Server CD\Database\Setup"/>
    <m/>
    <m/>
    <m/>
    <m/>
    <m/>
    <m/>
    <x v="1"/>
    <s v=""/>
    <x v="0"/>
    <x v="0"/>
  </r>
  <r>
    <d v="2014-07-24T00:00:00"/>
    <d v="2014-07-24T00:00:00"/>
    <n v="7"/>
    <s v="2014-Jul"/>
    <n v="7"/>
    <s v="LQA"/>
    <x v="10"/>
    <m/>
    <s v="WWFS"/>
    <s v="GUI"/>
    <x v="0"/>
    <s v="WWFSGUI_COM_2.1.30.0.1"/>
    <s v="CMTeam"/>
    <s v="Karamjeet kaur"/>
    <m/>
    <m/>
    <s v="\\192.168.3.3\Share\Releases\Projects\Comcast\Release_for_Test\Test_Build_4.6.6\Server CD\GUI\Setup"/>
    <m/>
    <m/>
    <m/>
    <m/>
    <m/>
    <m/>
    <x v="1"/>
    <s v=""/>
    <x v="0"/>
    <x v="0"/>
  </r>
  <r>
    <d v="2014-07-25T00:00:00"/>
    <d v="2014-07-25T00:00:00"/>
    <n v="7"/>
    <s v="2014-Jul"/>
    <n v="7"/>
    <s v="LQA-UAT"/>
    <x v="16"/>
    <m/>
    <s v="NM"/>
    <s v="MPE"/>
    <x v="0"/>
    <s v="NMMPE_TLN_2.0.3.50.3"/>
    <s v="CMTeam"/>
    <s v="Muktesh Mukul"/>
    <m/>
    <m/>
    <s v="\\192.168.3.3\Share\Releases\Projects\Telenet\Build&amp;Release\Release For Test\Test_Build_4.0.41\Server CD\MPE\Setup"/>
    <s v="Pass"/>
    <m/>
    <m/>
    <m/>
    <m/>
    <s v="Manas Ranjan Barik"/>
    <x v="0"/>
    <s v=""/>
    <x v="0"/>
    <x v="0"/>
  </r>
  <r>
    <d v="2014-07-25T00:00:00"/>
    <d v="2014-07-25T00:00:00"/>
    <n v="7"/>
    <s v="2014-Jul"/>
    <n v="7"/>
    <s v="IT-LQA"/>
    <x v="1"/>
    <m/>
    <s v="NM"/>
    <s v="DBS"/>
    <x v="0"/>
    <s v="NMDBS_4.6.1.29b2"/>
    <s v="CMTeam"/>
    <s v="surender Kumar"/>
    <s v="\\192.168.3.3\Share\Releases\Product\Netmind_4.6\Build&amp;Release\ReleaseForIT\TestBuild_4.6.1\Build4\ServerCD\DBS\Setup"/>
    <m/>
    <s v="\\192.168.3.3\Share\Releases\Product\Netmind_4.6\Build&amp;Release\ReleaseForTest\TestBuild_4.6.1\Build4\ServerCD\DBS\Setup"/>
    <m/>
    <m/>
    <m/>
    <m/>
    <m/>
    <m/>
    <x v="1"/>
    <s v=""/>
    <x v="0"/>
    <x v="0"/>
  </r>
  <r>
    <d v="2014-07-25T00:00:00"/>
    <d v="2014-07-25T00:00:00"/>
    <n v="7"/>
    <s v="2014-Jul"/>
    <n v="7"/>
    <s v="IT-LQA"/>
    <x v="10"/>
    <m/>
    <s v="NP"/>
    <s v="DBS"/>
    <x v="0"/>
    <s v="NPDBS_COM_1.2.3.6.1.18b1"/>
    <s v="CMTeam"/>
    <s v="Nitin Kumar"/>
    <s v="\\192.168.3.3\Share\Releases\Projects\Comcast\Release_For_IT\Test_Build_4.6.1\Server CD\Database\Setup"/>
    <m/>
    <s v="\\192.168.3.3\Share\Releases\Projects\Comcast\Release_for_Test\Test_Build_4.6.6\Server CD\Database\Setup"/>
    <s v="Pass"/>
    <m/>
    <m/>
    <m/>
    <m/>
    <m/>
    <x v="0"/>
    <s v=""/>
    <x v="0"/>
    <x v="0"/>
  </r>
  <r>
    <d v="2014-07-28T00:00:00"/>
    <d v="2014-07-28T00:00:00"/>
    <n v="7"/>
    <s v="2014-Jul"/>
    <n v="7"/>
    <s v="LQA"/>
    <x v="1"/>
    <m/>
    <s v="WWFS"/>
    <s v="GUI"/>
    <x v="1"/>
    <s v="WWFSGUI_2.1.31b1"/>
    <s v="CMTeam"/>
    <s v="Karamjeet kaur"/>
    <m/>
    <m/>
    <s v="\\192.168.3.3\Share\Releases\Product\WEB_WFS\Build&amp;Release\Release For Test\TestBuild_2.1.31\ServerCD\GUI\Setup"/>
    <m/>
    <m/>
    <m/>
    <m/>
    <m/>
    <m/>
    <x v="1"/>
    <s v=""/>
    <x v="0"/>
    <x v="0"/>
  </r>
  <r>
    <d v="2014-07-28T00:00:00"/>
    <d v="2014-07-28T00:00:00"/>
    <n v="7"/>
    <s v="2014-Jul"/>
    <n v="7"/>
    <s v="LQA"/>
    <x v="10"/>
    <m/>
    <s v="WWFS"/>
    <s v="GUI"/>
    <x v="1"/>
    <s v="WWFSGUI_COM_2.1.31.0.1"/>
    <s v="CMTeam"/>
    <s v="Rajeev Kumar"/>
    <m/>
    <m/>
    <s v="\\192.168.3.3\Share\Releases\Projects\Comcast\Release_for_Test\Test_Build_4.6.6\Server CD\GUI\Setup"/>
    <m/>
    <m/>
    <m/>
    <m/>
    <m/>
    <m/>
    <x v="1"/>
    <s v=""/>
    <x v="0"/>
    <x v="0"/>
  </r>
  <r>
    <d v="2014-07-28T00:00:00"/>
    <d v="2014-07-28T00:00:00"/>
    <n v="7"/>
    <s v="2014-Jul"/>
    <n v="7"/>
    <s v="LQA-UAT"/>
    <x v="4"/>
    <m/>
    <s v="MPE"/>
    <s v="MPE"/>
    <x v="0"/>
    <s v="MPE_TLSTR-2b_3.0.0.3.1.101b1"/>
    <s v="CMTeam"/>
    <s v="Anshul Kumar"/>
    <m/>
    <m/>
    <s v="\\192.168.3.3\Share\Releases\Projects\Telstra-2b\Release_For_Test\Test_Build_1.0.0.1\Server CD\MPE\Setup"/>
    <s v="Pass"/>
    <m/>
    <m/>
    <m/>
    <m/>
    <s v="Ashwani Kumar Sharma"/>
    <x v="0"/>
    <s v=""/>
    <x v="0"/>
    <x v="0"/>
  </r>
  <r>
    <d v="2014-07-30T00:00:00"/>
    <d v="2014-07-30T00:00:00"/>
    <n v="7"/>
    <s v="2014-Jul"/>
    <n v="7"/>
    <s v="LQA-UAT"/>
    <x v="4"/>
    <m/>
    <s v="MPE"/>
    <s v="MPE"/>
    <x v="0"/>
    <s v="MPE_TLSTR-2b_3.0.0.3.1.102b1"/>
    <s v="CMTeam"/>
    <s v="Sandeep Aggarwal"/>
    <m/>
    <m/>
    <s v="\\192.168.3.3\Share\Releases\Projects\Telstra-2b\Release_For_Test\Test_Build_1.0.0.1\Server CD\MPE\Setup"/>
    <s v="Pass"/>
    <m/>
    <m/>
    <m/>
    <m/>
    <s v="Ashwani Kumar Sharma"/>
    <x v="0"/>
    <s v=""/>
    <x v="0"/>
    <x v="0"/>
  </r>
  <r>
    <d v="2014-07-30T00:00:00"/>
    <d v="2014-07-30T00:00:00"/>
    <n v="7"/>
    <s v="2014-Jul"/>
    <n v="7"/>
    <s v="LQA"/>
    <x v="1"/>
    <m/>
    <s v="NP"/>
    <s v="DBS"/>
    <x v="1"/>
    <s v="NPDBS_1.3.2b1"/>
    <s v="CMTeam"/>
    <s v="Abhishek Sharma"/>
    <m/>
    <s v="Obsolete-LQA"/>
    <s v="\\192.168.3.3\Share\Releases\Product\NetMindPOS_1.3\Build&amp;Release\Release_For_LQA\Test_Build_1.0.2\Server CD\DBS\Setup"/>
    <m/>
    <s v="Readme Re-Released"/>
    <m/>
    <m/>
    <m/>
    <m/>
    <x v="2"/>
    <d v="2014-07-30T00:00:00"/>
    <x v="33"/>
    <x v="1"/>
  </r>
  <r>
    <d v="2014-07-30T00:00:00"/>
    <d v="2014-07-30T00:00:00"/>
    <n v="7"/>
    <s v="2014-Jul"/>
    <n v="7"/>
    <s v="LQA-UAT"/>
    <x v="1"/>
    <m/>
    <s v="NM"/>
    <s v="DBS"/>
    <x v="1"/>
    <s v="NMDBS_4.7.1b11"/>
    <s v="CMTeam"/>
    <s v="surender Kumar"/>
    <m/>
    <m/>
    <s v="\\192.168.3.3\Share\Releases\Product\Netmind_4.7\Build&amp;Release\Release_For_LQA\Test_Build_1.0.1\Server CD\DBS\Setup"/>
    <s v="Pass"/>
    <s v="Readme Re-Released"/>
    <m/>
    <m/>
    <m/>
    <s v="Jitender Aggarwal"/>
    <x v="0"/>
    <s v=""/>
    <x v="0"/>
    <x v="0"/>
  </r>
  <r>
    <d v="2014-07-31T00:00:00"/>
    <d v="2014-07-31T00:00:00"/>
    <n v="7"/>
    <s v="2014-Jul"/>
    <n v="7"/>
    <s v="IT-LQA"/>
    <x v="12"/>
    <m/>
    <s v="DM"/>
    <s v="DBS"/>
    <x v="0"/>
    <s v="DMDBS_DRC_2.1.1.7.2.20b1"/>
    <s v="CMTeam"/>
    <s v="Anjani Kumar"/>
    <s v="\\192.168.3.3\Share\Releases\Projects\DRC\Release_For_IT\Test_Build_1.0.0.3\Server CD\DBS\Setup"/>
    <s v="Obsolete-LQA"/>
    <s v="\\192.168.3.3\Share\Releases\Projects\DRC\Release_For_LQA\Test_Build_1.0.0.3\Server CD\DBS\Setup"/>
    <m/>
    <m/>
    <m/>
    <m/>
    <m/>
    <m/>
    <x v="2"/>
    <d v="2014-07-31T00:00:00"/>
    <x v="33"/>
    <x v="1"/>
  </r>
  <r>
    <d v="2014-07-31T00:00:00"/>
    <d v="2014-07-31T00:00:00"/>
    <n v="7"/>
    <s v="2014-Jul"/>
    <n v="7"/>
    <s v="IT-LQA"/>
    <x v="10"/>
    <m/>
    <s v="NM"/>
    <s v="DBS"/>
    <x v="0"/>
    <s v="NMDBS_COM_4.6.1.26.1.67b1"/>
    <s v="CMTeam"/>
    <s v="Sumita Yadav"/>
    <s v="\\192.168.3.3\Share\Releases\Projects\Comcast\Release_For_IT\Test_Build_4.6.1\Server CD\Database\Setup"/>
    <m/>
    <s v="\\192.168.3.3\Share\Releases\Projects\Comcast\Release_for_Test\Test_Build_4.6.6\Server CD\Database\Setup"/>
    <m/>
    <m/>
    <m/>
    <m/>
    <m/>
    <m/>
    <x v="1"/>
    <s v=""/>
    <x v="0"/>
    <x v="0"/>
  </r>
  <r>
    <d v="2014-08-01T00:00:00"/>
    <d v="2014-08-01T00:00:00"/>
    <n v="8"/>
    <s v="2014-Aug"/>
    <n v="8"/>
    <s v="LQA"/>
    <x v="1"/>
    <m/>
    <s v="NP"/>
    <s v="DBS"/>
    <x v="1"/>
    <s v="NPDBS_1.3.2b2"/>
    <s v="CMTeam"/>
    <s v="Abhishek Sharma"/>
    <m/>
    <s v="Obsolete-LQA"/>
    <s v="\\192.168.3.3\Share\Releases\Product\NetMindPOS_1.3\Build&amp;Release\Release_For_LQA\Test_Build_1.0.2\Server CD\DBS\Setup"/>
    <m/>
    <m/>
    <m/>
    <m/>
    <m/>
    <m/>
    <x v="2"/>
    <d v="2014-08-01T00:00:00"/>
    <x v="33"/>
    <x v="1"/>
  </r>
  <r>
    <d v="2014-08-01T00:00:00"/>
    <d v="2014-08-01T00:00:00"/>
    <n v="8"/>
    <s v="2014-Aug"/>
    <n v="8"/>
    <s v="IT-LQA-UAT"/>
    <x v="1"/>
    <m/>
    <s v="NP"/>
    <s v="DBS"/>
    <x v="0"/>
    <s v="NPDBS_1.2.3.13b1"/>
    <s v="CMTeam"/>
    <s v="Nitin Kumar"/>
    <s v="\\192.168.3.3\share\Releases\Product\NetMindPOS_1.1\Build&amp;Release\Release for IT\TestBuild_1.2.3\Server CD\DBS\Setup"/>
    <m/>
    <s v="\\192.168.3.3\share\Releases\Product\NetMindPOS_1.1\Build&amp;Release\Release for LQA\TestBuild_1.2.3\Server CD\DBS\Setup"/>
    <s v="Pass"/>
    <m/>
    <m/>
    <m/>
    <m/>
    <s v="Abhishek Leekha"/>
    <x v="0"/>
    <s v=""/>
    <x v="0"/>
    <x v="0"/>
  </r>
  <r>
    <d v="2014-08-01T00:00:00"/>
    <d v="2014-08-01T00:00:00"/>
    <n v="8"/>
    <s v="2014-Aug"/>
    <n v="8"/>
    <s v="IT-LQA-UAT"/>
    <x v="10"/>
    <m/>
    <s v="NP"/>
    <s v="DBS"/>
    <x v="0"/>
    <s v="NPDBS_COM_1.2.3.6.1.19b1"/>
    <s v="CMTeam"/>
    <s v="Nitin Kumar"/>
    <s v="\\192.168.3.3\Share\Releases\Projects\Comcast\Release_For_IT\Test_Build_4.6.1\Server CD\Database\Setup"/>
    <m/>
    <s v="\\192.168.3.3\Share\Releases\Projects\Comcast\Release_for_Test\Test_Build_4.6.6\Server CD\Database\Setup"/>
    <s v="Pass"/>
    <m/>
    <m/>
    <m/>
    <m/>
    <s v="Abhishek Leekha"/>
    <x v="0"/>
    <s v=""/>
    <x v="0"/>
    <x v="0"/>
  </r>
  <r>
    <d v="2014-08-04T00:00:00"/>
    <d v="2014-08-04T00:00:00"/>
    <n v="8"/>
    <s v="2014-Aug"/>
    <n v="8"/>
    <s v="IT-LQA-UAT"/>
    <x v="1"/>
    <m/>
    <s v="NP"/>
    <s v="DBS"/>
    <x v="0"/>
    <s v="NPDBS_1.2.3.14b1"/>
    <s v="CMTeam"/>
    <s v="Abhishek Sharma"/>
    <s v="\\192.168.3.3\share\Releases\Product\NetMindPOS_1.1\Build&amp;Release\Release for IT\TestBuild_1.2.3\Server CD\DBS\Setup"/>
    <m/>
    <s v="\\192.168.3.3\share\Releases\Product\NetMindPOS_1.1\Build&amp;Release\Release for LQA\TestBuild_1.2.3\Server CD\DBS\Setup"/>
    <s v="Pass"/>
    <m/>
    <m/>
    <m/>
    <m/>
    <s v="Abhishek Leekha"/>
    <x v="0"/>
    <s v=""/>
    <x v="0"/>
    <x v="0"/>
  </r>
  <r>
    <d v="2014-08-04T00:00:00"/>
    <d v="2014-08-04T00:00:00"/>
    <n v="8"/>
    <s v="2014-Aug"/>
    <n v="8"/>
    <s v="LQA-FAT"/>
    <x v="0"/>
    <m/>
    <s v="MPE"/>
    <s v="MPE"/>
    <x v="0"/>
    <s v="MPE_SLT-1B_3.0.1.1.1.83b1"/>
    <s v="CMTeam"/>
    <s v="Muktesh Mukul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8-05T00:00:00"/>
    <d v="2014-08-05T00:00:00"/>
    <n v="8"/>
    <s v="2014-Aug"/>
    <n v="8"/>
    <s v="IT-LQA-FAT"/>
    <x v="0"/>
    <m/>
    <s v="DM"/>
    <s v="DBS"/>
    <x v="0"/>
    <s v="DMDBS_SLT_2.0.0.20.1.154b1"/>
    <s v="CMTeam"/>
    <s v="Raja Sarkar"/>
    <s v="\\192.168.3.3\Share\Releases\Projects\SLT\Release_For_LQA\Test_Build_1.0.0.24\Server CD\DBS\Setup"/>
    <m/>
    <s v="\\192.168.3.3\Share\Releases\Projects\SLT\Release_For_IT\Test_Build_1.0.0.4\Server CD\DBS\Setup"/>
    <s v="Pass"/>
    <m/>
    <m/>
    <m/>
    <m/>
    <s v="K.V. Krishnan"/>
    <x v="0"/>
    <s v=""/>
    <x v="0"/>
    <x v="0"/>
  </r>
  <r>
    <d v="2014-08-05T00:00:00"/>
    <d v="2014-08-05T00:00:00"/>
    <n v="8"/>
    <s v="2014-Aug"/>
    <n v="8"/>
    <s v="IT-LQA"/>
    <x v="12"/>
    <m/>
    <s v="DM"/>
    <s v="DBS"/>
    <x v="0"/>
    <s v="DMDBS_DRC_2.1.1.7.2.21b1"/>
    <s v="CMTeam"/>
    <s v="Anjani Kumar"/>
    <s v="\\192.168.3.3\Share\Releases\Projects\DRC\Release_For_IT\Test_Build_1.0.0.3\Server CD\DBS\Setup"/>
    <m/>
    <s v="\\192.168.3.3\Share\Releases\Projects\DRC\Release_For_LQA\Test_Build_1.0.0.3\Server CD\DBS\Setup"/>
    <s v="Pass"/>
    <m/>
    <m/>
    <m/>
    <m/>
    <m/>
    <x v="0"/>
    <s v=""/>
    <x v="0"/>
    <x v="0"/>
  </r>
  <r>
    <d v="2014-08-05T00:00:00"/>
    <d v="2014-08-05T00:00:00"/>
    <n v="8"/>
    <s v="2014-Aug"/>
    <n v="8"/>
    <s v="LQA"/>
    <x v="12"/>
    <m/>
    <s v="MPE"/>
    <s v="MPE"/>
    <x v="0"/>
    <s v="MPE_DRC_3.2.1.3.2.25b2"/>
    <s v="CMTeam"/>
    <s v="Navkaran Sandhu"/>
    <m/>
    <m/>
    <s v="\\192.168.3.3\Share\Releases\Projects\DRC\Release_For_LQA\Test_Build_1.0.0.3\Server CD\MPE\Setup"/>
    <s v="Pass"/>
    <m/>
    <m/>
    <m/>
    <m/>
    <m/>
    <x v="0"/>
    <s v=""/>
    <x v="0"/>
    <x v="0"/>
  </r>
  <r>
    <d v="2014-08-06T00:00:00"/>
    <d v="2014-08-06T00:00:00"/>
    <n v="8"/>
    <s v="2014-Aug"/>
    <n v="8"/>
    <s v="IT-LQA"/>
    <x v="10"/>
    <m/>
    <s v="NM"/>
    <s v="DBS"/>
    <x v="0"/>
    <s v="NMDBS_COM_4.6.1.29.1.68b1"/>
    <s v="CMTeam"/>
    <s v="Sachin Srivastva"/>
    <s v="\\192.168.3.3\Share\Releases\Projects\Comcast\Release_For_IT\Test_Build_4.6.1\Server CD\Database\Setup"/>
    <m/>
    <s v="\\192.168.3.3\Share\Releases\Projects\Comcast\Release_for_Test\Test_Build_4.6.6\Server CD\Database\Setup"/>
    <m/>
    <m/>
    <m/>
    <m/>
    <m/>
    <m/>
    <x v="1"/>
    <s v=""/>
    <x v="0"/>
    <x v="0"/>
  </r>
  <r>
    <d v="2014-08-06T00:00:00"/>
    <d v="2014-08-06T00:00:00"/>
    <n v="8"/>
    <s v="2014-Aug"/>
    <n v="8"/>
    <s v="LQA-UAT"/>
    <x v="1"/>
    <m/>
    <s v="RA"/>
    <s v="DBS"/>
    <x v="1"/>
    <s v="RADBS_2.2.1b1"/>
    <s v="CMTeam"/>
    <s v="Puneet Gupta"/>
    <m/>
    <m/>
    <s v="\\192.168.3.3\Share\Releases\Product\RevMind_2.2\Build&amp;Release\Release_For_LQA\Test_Build_1.0.1\Server CD\DBS\Setup"/>
    <s v="Pass"/>
    <s v="Readme Re-Released"/>
    <m/>
    <m/>
    <m/>
    <m/>
    <x v="0"/>
    <s v=""/>
    <x v="0"/>
    <x v="0"/>
  </r>
  <r>
    <d v="2014-08-06T00:00:00"/>
    <d v="2014-08-06T00:00:00"/>
    <n v="8"/>
    <s v="2014-Aug"/>
    <n v="8"/>
    <s v="LQA"/>
    <x v="1"/>
    <m/>
    <s v="WWFS"/>
    <s v="GUI"/>
    <x v="0"/>
    <s v="WWFSGUI_2.2.1.2b1"/>
    <s v="CMTeam"/>
    <s v="Alok Bagwale"/>
    <m/>
    <m/>
    <s v="\\192.168.3.3\Share\Releases\Product\WEB_WFS\Build&amp;Release\Release For Test\TestBuild_2.2.1\Build4\ServerCD\GUI\Setup"/>
    <m/>
    <m/>
    <m/>
    <m/>
    <m/>
    <m/>
    <x v="1"/>
    <s v=""/>
    <x v="0"/>
    <x v="0"/>
  </r>
  <r>
    <d v="2014-08-06T00:00:00"/>
    <d v="2014-08-06T00:00:00"/>
    <n v="8"/>
    <s v="2014-Aug"/>
    <n v="8"/>
    <s v="LQA"/>
    <x v="1"/>
    <m/>
    <s v="CS"/>
    <s v="GUI"/>
    <x v="1"/>
    <s v="CSGUI_2.6.1b1"/>
    <s v="CMTeam"/>
    <s v="Alok Bagwale"/>
    <m/>
    <m/>
    <s v="\\192.168.3.3\Share\Releases\Product\CSGUI_2.6\Build&amp;Release\Release_For_LQA\Test_Build_1.0.1\Server CD\GUI\Setup"/>
    <m/>
    <s v="Readme Re-Released"/>
    <m/>
    <m/>
    <m/>
    <m/>
    <x v="1"/>
    <s v=""/>
    <x v="0"/>
    <x v="0"/>
  </r>
  <r>
    <d v="2014-08-06T00:00:00"/>
    <d v="2014-08-06T00:00:00"/>
    <n v="8"/>
    <s v="2014-Aug"/>
    <n v="8"/>
    <s v="LQA"/>
    <x v="4"/>
    <m/>
    <s v="Utility"/>
    <s v="Utility"/>
    <x v="1"/>
    <s v="UTLIM_TLSTR_1.0.0.70"/>
    <s v="CMTeam"/>
    <s v="Nikhil Dwivedi"/>
    <m/>
    <m/>
    <s v="\\192.168.3.3\Share\Releases\Projects\Telstra\Release_For_LQA\Test_Build_1.0.0.18\Utility\Setup"/>
    <m/>
    <m/>
    <m/>
    <m/>
    <m/>
    <m/>
    <x v="1"/>
    <s v=""/>
    <x v="0"/>
    <x v="0"/>
  </r>
  <r>
    <d v="2014-08-06T00:00:00"/>
    <d v="2014-08-06T00:00:00"/>
    <n v="8"/>
    <s v="2014-Aug"/>
    <n v="8"/>
    <s v="IT-LQA"/>
    <x v="1"/>
    <m/>
    <s v="Utility"/>
    <s v="Utility"/>
    <x v="1"/>
    <s v="UTLSUBPRT_1.0.1"/>
    <s v="CMTeam"/>
    <s v="Puneet Gupta"/>
    <s v="\\192.168.3.3\Share\Releases\Product\UTL_SUBPRT\Release_For_IT\TestBuild_1.0.0.1\Utility\DBS\Setup"/>
    <m/>
    <s v="\\192.168.3.3\Share\Releases\Product\UTL_SUBPRT\Release_For_Test\TestBuild_1.0.0.1\Utility\DBS\Setup"/>
    <m/>
    <m/>
    <m/>
    <m/>
    <m/>
    <m/>
    <x v="1"/>
    <s v=""/>
    <x v="0"/>
    <x v="0"/>
  </r>
  <r>
    <d v="2014-08-06T00:00:00"/>
    <d v="2014-08-06T00:00:00"/>
    <n v="8"/>
    <s v="2014-Aug"/>
    <n v="8"/>
    <s v="IT-LQA-UAT"/>
    <x v="1"/>
    <m/>
    <s v="NP"/>
    <s v="DBS"/>
    <x v="0"/>
    <s v="NPDBS_1.2.3.15b1"/>
    <s v="CMTeam"/>
    <s v="Abhishek Sharma"/>
    <s v="\\192.168.3.3\share\Releases\Product\NetMindPOS_1.1\Build&amp;Release\Release for IT\TestBuild_1.2.3\Server CD\DBS\Setup"/>
    <m/>
    <s v="\\192.168.3.3\share\Releases\Product\NetMindPOS_1.1\Build&amp;Release\Release for LQA\TestBuild_1.2.3\Server CD\DBS\Setup"/>
    <s v="Pass"/>
    <m/>
    <m/>
    <m/>
    <m/>
    <s v="Abhishek Leekha"/>
    <x v="0"/>
    <s v=""/>
    <x v="0"/>
    <x v="0"/>
  </r>
  <r>
    <d v="2014-08-06T00:00:00"/>
    <d v="2014-08-06T00:00:00"/>
    <n v="8"/>
    <s v="2014-Aug"/>
    <n v="8"/>
    <s v="IT-LQA-UAT"/>
    <x v="10"/>
    <m/>
    <s v="NP"/>
    <s v="DBS"/>
    <x v="0"/>
    <s v="NPDBS_COM_1.2.3.6.1.20b1"/>
    <s v="CMTeam"/>
    <s v="Nitin Kumar"/>
    <s v="\\192.168.3.3\Share\Releases\Projects\Comcast\Release_For_IT\Test_Build_4.6.1\Server CD\Database\Setup"/>
    <m/>
    <s v="\\192.168.3.3\Share\Releases\Projects\Comcast\Release_for_Test\Test_Build_4.6.6\Server CD\Database\Setup"/>
    <s v="Pass"/>
    <m/>
    <m/>
    <m/>
    <m/>
    <s v="Abhishek Leekha"/>
    <x v="0"/>
    <s v=""/>
    <x v="0"/>
    <x v="0"/>
  </r>
  <r>
    <d v="2014-08-07T00:00:00"/>
    <d v="2014-08-07T00:00:00"/>
    <n v="8"/>
    <s v="2014-Aug"/>
    <n v="8"/>
    <s v="LQA-UAT"/>
    <x v="0"/>
    <m/>
    <s v="MPE"/>
    <s v="MPE"/>
    <x v="0"/>
    <s v="MPE_SLT-1B_3.0.1.1.1.84b1"/>
    <s v="CMTeam"/>
    <s v="Ajay Awasthi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8-08T00:00:00"/>
    <d v="2014-08-08T00:00:00"/>
    <n v="8"/>
    <s v="2014-Aug"/>
    <n v="8"/>
    <s v="LQA-UAT"/>
    <x v="1"/>
    <m/>
    <s v="MPE"/>
    <s v="MPE"/>
    <x v="0"/>
    <s v="MPE_3.2.1.7b1"/>
    <s v="CMTeam"/>
    <s v="Neelam Jawla"/>
    <m/>
    <m/>
    <s v="\\192.168.3.3\Share\Releases\Product\MPE_3.2\ReleaseForLQA\TestBuild_3.2.1\Build2\ServerCD\Setup\RHEL_5.1"/>
    <s v="Pass"/>
    <m/>
    <m/>
    <m/>
    <m/>
    <m/>
    <x v="0"/>
    <s v=""/>
    <x v="0"/>
    <x v="0"/>
  </r>
  <r>
    <d v="2014-08-08T00:00:00"/>
    <d v="2014-08-08T00:00:00"/>
    <n v="8"/>
    <s v="2014-Aug"/>
    <n v="8"/>
    <s v="LQA-UAT"/>
    <x v="1"/>
    <m/>
    <s v="MPE"/>
    <s v="MPE"/>
    <x v="0"/>
    <s v="MPE_3.2.1.8b1"/>
    <s v="CMTeam"/>
    <s v="Neelam Jawla"/>
    <m/>
    <m/>
    <s v="\\192.168.3.3\Share\Releases\Product\MPE_3.2\ReleaseForLQA\TestBuild_3.2.1\Build2\ServerCD\Setup\RHEL_5.2"/>
    <s v="Pass"/>
    <m/>
    <m/>
    <m/>
    <m/>
    <s v="Ajay Kumar Pandey"/>
    <x v="0"/>
    <s v=""/>
    <x v="0"/>
    <x v="0"/>
  </r>
  <r>
    <d v="2014-08-11T00:00:00"/>
    <d v="2014-08-11T00:00:00"/>
    <n v="8"/>
    <s v="2014-Aug"/>
    <n v="8"/>
    <s v="IT-LQA-UAT"/>
    <x v="3"/>
    <m/>
    <s v="NM"/>
    <s v="DBS"/>
    <x v="0"/>
    <s v="NMDBS_OBT_4.6.1.27.1.37b1"/>
    <s v="CMTeam"/>
    <s v="Rohit Kanwar"/>
    <s v="\\192.168.3.3\Share\Releases\Projects\OBT\Release_For_IT\TestBuild_1.0.0.2\Server CD\DBS\Setup"/>
    <m/>
    <s v="\\192.168.3.3\Share\Releases\Projects\OBT\Release_For_LQA\TestBuild_1.0.0.6\Server CD\DBS\Setup"/>
    <s v="Pass"/>
    <s v="Readme Re-Released"/>
    <m/>
    <m/>
    <m/>
    <s v="Ajay Kumar Pandey"/>
    <x v="0"/>
    <s v=""/>
    <x v="0"/>
    <x v="0"/>
  </r>
  <r>
    <d v="2014-08-11T00:00:00"/>
    <d v="2014-08-11T00:00:00"/>
    <n v="8"/>
    <s v="2014-Aug"/>
    <n v="8"/>
    <s v="LQA-UAT"/>
    <x v="3"/>
    <m/>
    <s v="MPE"/>
    <s v="MPE"/>
    <x v="0"/>
    <s v="MPE_OBT_3.2.1.8.1.23b1"/>
    <s v="CMTeam"/>
    <s v="Neelam Jawla"/>
    <m/>
    <m/>
    <s v="\\192.168.3.3\share\Releases\Projects\OBT\Release_For_LQA\TestBuild_1.0.0.6\Server CD\MPE\Setup"/>
    <s v="Pass"/>
    <m/>
    <m/>
    <m/>
    <m/>
    <s v="Ajay Kumar Pandey"/>
    <x v="0"/>
    <s v=""/>
    <x v="0"/>
    <x v="0"/>
  </r>
  <r>
    <d v="2014-08-11T00:00:00"/>
    <d v="2014-08-11T00:00:00"/>
    <n v="8"/>
    <s v="2014-Aug"/>
    <n v="8"/>
    <s v="IT-LQA-UAT"/>
    <x v="1"/>
    <m/>
    <s v="RA"/>
    <s v="DBS"/>
    <x v="0"/>
    <s v="RADBS_2.1.1.15b1"/>
    <s v="CMTeam"/>
    <s v="Puneet Gupta"/>
    <s v="\\192.168.3.3\Share\Releases\Product\RevMind_2.1\Build&amp;Release\Release_For_IT\TestBuild_1.0.1\Server CD\DBS\Setup"/>
    <m/>
    <s v="\\192.168.3.3\Share\Releases\Product\RevMind_2.1\Build&amp;Release\Release_For_LQA\Test_Build_1.0.2\Server CD\DBS\Setup"/>
    <s v="Pass"/>
    <m/>
    <m/>
    <m/>
    <m/>
    <s v="K.V. Krishnan"/>
    <x v="0"/>
    <s v=""/>
    <x v="0"/>
    <x v="0"/>
  </r>
  <r>
    <d v="2014-08-11T00:00:00"/>
    <d v="2014-08-11T00:00:00"/>
    <n v="8"/>
    <s v="2014-Aug"/>
    <n v="8"/>
    <s v="IT-LQA-UAT"/>
    <x v="3"/>
    <m/>
    <s v="NM"/>
    <s v="DBS"/>
    <x v="0"/>
    <s v="NMDBS_OBT_4.6.1.27.1.38b1"/>
    <s v="CMTeam"/>
    <s v="Anjani Kumar"/>
    <s v="\\192.168.3.3\Share\Releases\Projects\OBT\Release_For_IT\TestBuild_1.0.0.2\Server CD\DBS\Setup"/>
    <m/>
    <s v="\\192.168.3.3\Share\Releases\Projects\OBT\Release_For_LQA\TestBuild_1.0.0.6\Server CD\DBS\Setup"/>
    <s v="Pass"/>
    <m/>
    <m/>
    <m/>
    <m/>
    <s v="Ajay Kumar Pandey"/>
    <x v="0"/>
    <s v=""/>
    <x v="0"/>
    <x v="0"/>
  </r>
  <r>
    <d v="2014-08-12T00:00:00"/>
    <d v="2014-08-12T00:00:00"/>
    <n v="8"/>
    <s v="2014-Aug"/>
    <n v="8"/>
    <s v="IT-LQA"/>
    <x v="0"/>
    <m/>
    <s v="DM"/>
    <s v="DBS"/>
    <x v="0"/>
    <s v="DMDBS_SLT_2.0.0.23.1.155b1"/>
    <s v="CMTeam"/>
    <s v="Shiv Mangal"/>
    <s v="\\192.168.3.3\Share\Releases\Projects\SLT\Release_For_IT\Test_Build_1.0.0.4\Server CD\DBS\Setup"/>
    <s v="Obsolete-LQA"/>
    <s v="\\192.168.3.3\Share\Releases\Projects\SLT\Release_For_LQA\Test_Build_1.0.0.24\Server CD\DBS\Setup"/>
    <m/>
    <m/>
    <m/>
    <m/>
    <m/>
    <m/>
    <x v="2"/>
    <d v="2014-08-12T00:00:00"/>
    <x v="34"/>
    <x v="1"/>
  </r>
  <r>
    <d v="2014-08-12T00:00:00"/>
    <d v="2014-08-12T00:00:00"/>
    <n v="8"/>
    <s v="2014-Aug"/>
    <n v="8"/>
    <s v="IT-LQA-UAT"/>
    <x v="10"/>
    <m/>
    <s v="NM"/>
    <s v="DBS"/>
    <x v="0"/>
    <s v="NMDBS_COM_4.6.1.26.1.66b1"/>
    <s v="CMTeam"/>
    <s v="Sumita Yadav"/>
    <s v="\\192.168.3.3\Share\Releases\Projects\Comcast\Release_For_IT\Test_Build_4.6.1\Server CD\Database\Setup"/>
    <m/>
    <s v="\\192.168.3.3\Share\Releases\Projects\Comcast\Release_for_Test\Test_Build_4.6.6\Server CD\Database\Setup"/>
    <s v="Pass"/>
    <m/>
    <m/>
    <m/>
    <m/>
    <s v="Rudra Narayan"/>
    <x v="0"/>
    <s v=""/>
    <x v="0"/>
    <x v="0"/>
  </r>
  <r>
    <d v="2014-08-12T00:00:00"/>
    <d v="2014-08-12T00:00:00"/>
    <n v="8"/>
    <s v="2014-Aug"/>
    <n v="8"/>
    <s v="IT-LQA"/>
    <x v="8"/>
    <m/>
    <s v="NM"/>
    <s v="DBS"/>
    <x v="0"/>
    <s v="NMDBS_TWC_4.6.1.11.3.43b1"/>
    <s v="CMTeam"/>
    <s v="Sudip Ghosh"/>
    <s v="\\192.168.3.3\Share\Releases\Projects\TWC\Release_For_IT\Test_Build_1.0.0.3\Server CD\DBS\Setup"/>
    <s v="Obsolete-LQA"/>
    <s v="\\192.168.3.3\Share\Releases\Projects\TWC\Release_For_Test\Test_Build_1.0.0.4\Server CD\DBS\Setup"/>
    <m/>
    <m/>
    <m/>
    <m/>
    <m/>
    <m/>
    <x v="2"/>
    <d v="2014-08-12T00:00:00"/>
    <x v="34"/>
    <x v="1"/>
  </r>
  <r>
    <d v="2014-08-12T00:00:00"/>
    <d v="2014-08-12T00:00:00"/>
    <n v="8"/>
    <s v="2014-Aug"/>
    <n v="8"/>
    <s v="LQA-UAT"/>
    <x v="4"/>
    <m/>
    <s v="MPE"/>
    <s v="MPE"/>
    <x v="0"/>
    <s v="MPE_TLSTR-2b_3.0.0.3.1.103b1"/>
    <s v="CMTeam"/>
    <s v="Sandeep Aggarwal"/>
    <m/>
    <m/>
    <s v="\\192.168.3.3\Share\Releases\Projects\Telstra-2b\Release_For_Test\Test_Build_1.0.0.1\Server CD\MPE\Setup"/>
    <s v="Pass"/>
    <m/>
    <m/>
    <m/>
    <m/>
    <s v="Vijay Singh Daagar"/>
    <x v="0"/>
    <s v=""/>
    <x v="0"/>
    <x v="0"/>
  </r>
  <r>
    <d v="2014-08-13T00:00:00"/>
    <d v="2014-08-13T00:00:00"/>
    <n v="8"/>
    <s v="2014-Aug"/>
    <n v="8"/>
    <s v="LQA-FAT"/>
    <x v="0"/>
    <m/>
    <s v="MPE"/>
    <s v="MPE"/>
    <x v="0"/>
    <s v="MPE_SLT-1B_3.0.1.1.1.85b1"/>
    <s v="CMTeam"/>
    <s v="Ajay Awasthi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8-13T00:00:00"/>
    <d v="2014-08-13T00:00:00"/>
    <n v="8"/>
    <s v="2014-Aug"/>
    <n v="8"/>
    <s v="IT-LQA-UAT"/>
    <x v="0"/>
    <m/>
    <s v="DM"/>
    <s v="DBS"/>
    <x v="0"/>
    <s v="DMDBS_SLT_2.0.0.23.1.155b2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08-13T00:00:00"/>
    <d v="2014-08-13T00:00:00"/>
    <n v="8"/>
    <s v="2014-Aug"/>
    <n v="8"/>
    <s v="LQA-UAT"/>
    <x v="8"/>
    <m/>
    <s v="MPE"/>
    <s v="MPE"/>
    <x v="0"/>
    <s v="MPE_TWC_3.2.1.5.2.18b1"/>
    <s v="CMTeam"/>
    <s v="Mohd. Asif"/>
    <m/>
    <m/>
    <s v="\\192.168.3.3\Share\Releases\Projects\TWC\Release_For_Test\Test_Build_1.0.0.4\Server CD\MPE\Setup"/>
    <s v="Pass"/>
    <s v="Readme Re-Released"/>
    <m/>
    <m/>
    <m/>
    <s v="Jitender Aggarwal"/>
    <x v="0"/>
    <s v=""/>
    <x v="0"/>
    <x v="0"/>
  </r>
  <r>
    <d v="2014-08-13T00:00:00"/>
    <d v="2014-08-13T00:00:00"/>
    <n v="8"/>
    <s v="2014-Aug"/>
    <n v="8"/>
    <s v="IT-LQA"/>
    <x v="4"/>
    <m/>
    <s v="NM"/>
    <s v="DBS"/>
    <x v="0"/>
    <s v="NMDBS_TLSTR_4.0.1.0.4.309b1"/>
    <s v="CMTeam"/>
    <s v="Deepak Yadav"/>
    <s v="\\192.168.3.3\Share\Releases\Projects\Telstra\Release_For_IT\Test_Build_1.0.0.18\Server CD\DBS\Setup"/>
    <s v="Obsolete-LQA"/>
    <s v="\\192.168.3.3\Share\Releases\Projects\Telstra\Release_For_LQA\Test_Build_1.0.0.18\Server CD\DBS\Setup"/>
    <m/>
    <m/>
    <m/>
    <m/>
    <m/>
    <m/>
    <x v="2"/>
    <d v="2014-08-13T00:00:00"/>
    <x v="34"/>
    <x v="1"/>
  </r>
  <r>
    <d v="2014-08-14T00:00:00"/>
    <d v="2014-09-01T00:00:00"/>
    <n v="8"/>
    <s v="2014-Aug"/>
    <n v="9"/>
    <s v="IT-LQA-UAT"/>
    <x v="10"/>
    <m/>
    <s v="NM"/>
    <s v="DBS"/>
    <x v="0"/>
    <s v="NMDBS_COM_4.6.1.29.1.69b1"/>
    <s v="CMTeam"/>
    <s v="Sumita Yadav"/>
    <s v="\\192.168.3.3\Share\Releases\Projects\Comcast\Release_For_IT\Test_Build_4.6.1\Server CD\Database\Setup"/>
    <m/>
    <s v="\\192.168.3.3\Share\Releases\Projects\Comcast\Release_for_Test\Test_Build_4.6.6\Server CD\Database\Setup"/>
    <s v="Pass"/>
    <m/>
    <m/>
    <m/>
    <m/>
    <s v="Rudra Narayan"/>
    <x v="0"/>
    <s v=""/>
    <x v="0"/>
    <x v="0"/>
  </r>
  <r>
    <d v="2014-08-15T00:00:00"/>
    <d v="2014-08-15T00:00:00"/>
    <n v="8"/>
    <s v="2014-Aug"/>
    <n v="8"/>
    <s v="LQA"/>
    <x v="0"/>
    <m/>
    <s v="MPE"/>
    <s v="MPE"/>
    <x v="0"/>
    <s v="MPE_SLT-1B_3.0.1.1.1.86b1"/>
    <s v="CMTeam"/>
    <s v="Asha Nandan"/>
    <m/>
    <s v="Obsolete-LQA"/>
    <s v="\\192.168.3.3\Share\Releases\Projects\SLT-1B\Release_For_Test\Test_Build_1.0.0.1\Server CD\MPE\Setup"/>
    <m/>
    <m/>
    <m/>
    <m/>
    <m/>
    <m/>
    <x v="2"/>
    <d v="2014-08-15T00:00:00"/>
    <x v="34"/>
    <x v="1"/>
  </r>
  <r>
    <d v="2014-08-19T00:00:00"/>
    <d v="2014-08-19T00:00:00"/>
    <n v="8"/>
    <s v="2014-Aug"/>
    <n v="8"/>
    <s v="LQA"/>
    <x v="1"/>
    <m/>
    <s v="RT"/>
    <s v="GUI"/>
    <x v="0"/>
    <s v="RTGUI_4.0.27.1b1"/>
    <s v="CMTeam"/>
    <s v="Ajay Sharma"/>
    <m/>
    <m/>
    <s v="\\192.168.3.3\Share\Releases\Product\RT_4.0\ReleaseForLQA\TestBuild_4.0.24\GUI\Build1\Setup "/>
    <m/>
    <m/>
    <m/>
    <m/>
    <m/>
    <m/>
    <x v="1"/>
    <s v=""/>
    <x v="0"/>
    <x v="0"/>
  </r>
  <r>
    <d v="2014-08-19T00:00:00"/>
    <d v="2014-08-19T00:00:00"/>
    <n v="8"/>
    <s v="2014-Aug"/>
    <n v="8"/>
    <s v="LQA"/>
    <x v="0"/>
    <m/>
    <s v="RT"/>
    <s v="GUI"/>
    <x v="0"/>
    <s v="RTGUI_SLT_4.0.27.1.2 "/>
    <s v="CMTeam"/>
    <s v="Ajay Sharma"/>
    <m/>
    <m/>
    <s v="\\192.168.3.3\Share\Releases\Projects\SLT\Release_For_LQA\Test_Build_1.0.0.24\Server CD\GUI\Setup"/>
    <m/>
    <m/>
    <m/>
    <m/>
    <m/>
    <m/>
    <x v="1"/>
    <s v=""/>
    <x v="0"/>
    <x v="0"/>
  </r>
  <r>
    <d v="2014-08-19T00:00:00"/>
    <d v="2014-08-19T00:00:00"/>
    <n v="8"/>
    <s v="2014-Aug"/>
    <n v="8"/>
    <s v="IT-LQA"/>
    <x v="1"/>
    <m/>
    <s v="RT"/>
    <s v="DBS"/>
    <x v="0"/>
    <s v="RTDBS_4.0.1.21b3"/>
    <s v="CMTeam"/>
    <s v="Puneet Gupta"/>
    <s v="\\192.168.3.3\Share\Releases\Product\RT_4.0\ReleaseForIT\TestBuild_4.0.3\DBS\Setup"/>
    <m/>
    <s v="\\192.168.3.3\Share\Releases\Product\RT_4.0\ReleaseForLQA\TestBuild_4.0.24\DBS\Setup"/>
    <s v="Pass"/>
    <m/>
    <m/>
    <m/>
    <m/>
    <m/>
    <x v="0"/>
    <s v=""/>
    <x v="0"/>
    <x v="0"/>
  </r>
  <r>
    <d v="2014-08-19T00:00:00"/>
    <d v="2014-08-19T00:00:00"/>
    <n v="8"/>
    <s v="2014-Aug"/>
    <n v="8"/>
    <s v="LQA-UAT"/>
    <x v="4"/>
    <m/>
    <s v="MPE"/>
    <s v="MPE"/>
    <x v="0"/>
    <s v="MPE_TLSTR-2b_3.0.0.3.1.104b1"/>
    <s v="CMTeam"/>
    <s v="Sandeep Aggarwal"/>
    <m/>
    <m/>
    <s v="\\192.168.3.3\Share\Releases\Projects\Telstra-2b\Release_For_Test\Test_Build_1.0.0.1\Server CD\MPE\Setup"/>
    <s v="Pass"/>
    <m/>
    <m/>
    <m/>
    <m/>
    <s v="Vijay Singh Daagar"/>
    <x v="0"/>
    <s v=""/>
    <x v="0"/>
    <x v="0"/>
  </r>
  <r>
    <d v="2014-08-20T00:00:00"/>
    <d v="2014-08-20T00:00:00"/>
    <n v="8"/>
    <s v="2014-Aug"/>
    <n v="8"/>
    <s v="IT-LQA-FAT"/>
    <x v="0"/>
    <m/>
    <s v="DM"/>
    <s v="DBS"/>
    <x v="0"/>
    <s v="DMDBS_SLT_2.0.0.23.1.156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s v="Pass"/>
    <s v="Readme Re-Released"/>
    <m/>
    <m/>
    <m/>
    <s v="K.V. Krishnan"/>
    <x v="0"/>
    <s v=""/>
    <x v="0"/>
    <x v="0"/>
  </r>
  <r>
    <d v="2014-08-20T00:00:00"/>
    <d v="2014-08-20T00:00:00"/>
    <n v="8"/>
    <s v="2014-Aug"/>
    <n v="8"/>
    <s v="IT-LQA-UAT"/>
    <x v="4"/>
    <m/>
    <s v="NM"/>
    <s v="DBS"/>
    <x v="0"/>
    <s v="NMDBS_TLSTR_4.0.1.0.4.309b2"/>
    <s v="CMTeam"/>
    <s v="Deepak Yadav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Abrar Khan"/>
    <x v="0"/>
    <s v=""/>
    <x v="0"/>
    <x v="0"/>
  </r>
  <r>
    <d v="2014-08-21T00:00:00"/>
    <d v="2014-08-21T00:00:00"/>
    <n v="8"/>
    <s v="2014-Aug"/>
    <n v="8"/>
    <s v="IT-LQA-UAT"/>
    <x v="0"/>
    <m/>
    <s v="DM"/>
    <s v="DBS"/>
    <x v="0"/>
    <s v="DMDBS_SLT_2.0.0.23.1.157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08-21T00:00:00"/>
    <d v="2014-08-21T00:00:00"/>
    <n v="8"/>
    <s v="2014-Aug"/>
    <n v="8"/>
    <s v="IT-LQA-UAT"/>
    <x v="0"/>
    <m/>
    <s v="DM"/>
    <s v="DBS"/>
    <x v="0"/>
    <s v="DMDBS_SLT_2.0.0.23.1.158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s v="Pass"/>
    <s v="Readme Re-Released"/>
    <m/>
    <m/>
    <m/>
    <s v="K.V. Krishnan"/>
    <x v="0"/>
    <s v=""/>
    <x v="0"/>
    <x v="0"/>
  </r>
  <r>
    <d v="2014-08-21T00:00:00"/>
    <d v="2014-08-21T00:00:00"/>
    <n v="8"/>
    <s v="2014-Aug"/>
    <n v="8"/>
    <s v="LQA-UAT"/>
    <x v="8"/>
    <m/>
    <s v="MPE"/>
    <s v="MPE"/>
    <x v="0"/>
    <s v="MPE_TWC_3.2.1.5.2.19b1"/>
    <s v="CMTeam"/>
    <s v="Mohd. Asif"/>
    <m/>
    <m/>
    <s v="\\192.168.3.3\Share\Releases\Projects\TWC\Release_For_Test\Test_Build_1.0.0.4\Server CD\MPE\Setup"/>
    <s v="Pass"/>
    <m/>
    <m/>
    <m/>
    <m/>
    <s v="Ajay Kumar Pandey"/>
    <x v="0"/>
    <s v=""/>
    <x v="0"/>
    <x v="0"/>
  </r>
  <r>
    <d v="2014-08-21T00:00:00"/>
    <d v="2014-08-21T00:00:00"/>
    <n v="8"/>
    <s v="2014-Aug"/>
    <n v="8"/>
    <s v="IT-LQA-UAT"/>
    <x v="0"/>
    <m/>
    <s v="RA"/>
    <s v="DBS"/>
    <x v="0"/>
    <s v="RADBS_SLT_2.1.1.12.1.76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08-21T00:00:00"/>
    <d v="2014-08-21T00:00:00"/>
    <n v="8"/>
    <s v="2014-Aug"/>
    <n v="8"/>
    <s v="LQA-UAT"/>
    <x v="0"/>
    <m/>
    <s v="MPE"/>
    <s v="MPE"/>
    <x v="0"/>
    <s v="MPE_SLT-1B_3.0.1.1.1.87b1"/>
    <s v="CMTeam"/>
    <s v="Muktesh Mukul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8-21T00:00:00"/>
    <d v="2014-08-21T00:00:00"/>
    <n v="8"/>
    <s v="2014-Aug"/>
    <n v="8"/>
    <s v="IT-LQA-FAT"/>
    <x v="0"/>
    <m/>
    <s v="DM"/>
    <s v="DBS"/>
    <x v="0"/>
    <s v="DMDBS_SLT_2.0.0.23.1.159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s v="Pass"/>
    <s v="Readme Re-Released"/>
    <m/>
    <m/>
    <m/>
    <s v="K.V. Krishnan"/>
    <x v="0"/>
    <s v=""/>
    <x v="0"/>
    <x v="0"/>
  </r>
  <r>
    <d v="2014-08-21T00:00:00"/>
    <d v="2014-08-21T00:00:00"/>
    <n v="8"/>
    <s v="2014-Aug"/>
    <n v="8"/>
    <s v="LQA-UAT"/>
    <x v="3"/>
    <m/>
    <s v="MPE"/>
    <s v="MPE"/>
    <x v="0"/>
    <s v="MPE_OBT_3.2.1.8.1.24b1"/>
    <s v="CMTeam"/>
    <s v="Neelam Jawla"/>
    <m/>
    <m/>
    <s v="\\192.168.3.3\share\Releases\Projects\OBT\Release_For_LQA\TestBuild_1.0.0.6\Server CD\MPE\Setup"/>
    <s v="Pass"/>
    <m/>
    <m/>
    <m/>
    <m/>
    <s v="Ajay Kumar Pandey"/>
    <x v="0"/>
    <s v=""/>
    <x v="0"/>
    <x v="0"/>
  </r>
  <r>
    <d v="2014-08-21T00:00:00"/>
    <d v="2014-08-21T00:00:00"/>
    <n v="8"/>
    <s v="2014-Aug"/>
    <n v="8"/>
    <s v="IT-LQA"/>
    <x v="1"/>
    <m/>
    <s v="NM"/>
    <s v="DBS"/>
    <x v="0"/>
    <s v="NMDBS_4.6.1.30b1"/>
    <s v="CMTeam"/>
    <s v="Rajat Gupta"/>
    <s v="\\192.168.3.3\Share\Releases\Product\Netmind_4.6\Build&amp;Release\ReleaseForIT\TestBuild_4.6.1\Build4\ServerCD\DBS\Setup"/>
    <m/>
    <s v="\\192.168.3.3\Share\Releases\Product\Netmind_4.6\Build&amp;Release\ReleaseForTest\TestBuild_4.6.1\Build4\ServerCD\DBS\Setup"/>
    <s v="Pass"/>
    <m/>
    <m/>
    <m/>
    <m/>
    <s v="Rudra Narayan"/>
    <x v="0"/>
    <s v=""/>
    <x v="0"/>
    <x v="0"/>
  </r>
  <r>
    <d v="2014-08-21T00:00:00"/>
    <d v="2014-08-21T00:00:00"/>
    <n v="8"/>
    <s v="2014-Aug"/>
    <n v="8"/>
    <s v="IT-LQA"/>
    <x v="10"/>
    <m/>
    <s v="NP"/>
    <s v="DBS"/>
    <x v="0"/>
    <s v="NPDBS_COM_1.2.3.15.1.21b1"/>
    <s v="CMTeam"/>
    <s v="Nitin Kumar"/>
    <s v="\\192.168.3.3\Share\Releases\Projects\Comcast\Release_For_IT\Test_Build_4.6.1\Server CD\Database\Setup"/>
    <s v="Obsolete-LQA"/>
    <s v="\\192.168.3.3\Share\Releases\Projects\Comcast\Release_for_Test\Test_Build_4.6.6\Server CD\Database\Setup"/>
    <m/>
    <m/>
    <m/>
    <m/>
    <m/>
    <m/>
    <x v="2"/>
    <d v="2014-08-21T00:00:00"/>
    <x v="35"/>
    <x v="1"/>
  </r>
  <r>
    <d v="2014-08-21T00:00:00"/>
    <d v="2014-08-21T00:00:00"/>
    <n v="8"/>
    <s v="2014-Aug"/>
    <n v="8"/>
    <s v="LQA"/>
    <x v="1"/>
    <m/>
    <s v="WWFS"/>
    <s v="GUI"/>
    <x v="1"/>
    <s v="WWFSGUI_2.1.32b2"/>
    <s v="CMTeam"/>
    <s v="Rajeev Kumar"/>
    <m/>
    <m/>
    <s v="\\192.168.3.3\Share\Releases\Product\WEB_WFS\Build&amp;Release\Release For Test\TestBuild_2.1.32\ServerCD\GUI\Setup"/>
    <m/>
    <m/>
    <m/>
    <m/>
    <m/>
    <m/>
    <x v="1"/>
    <s v=""/>
    <x v="0"/>
    <x v="0"/>
  </r>
  <r>
    <d v="2014-08-21T00:00:00"/>
    <d v="2014-08-21T00:00:00"/>
    <n v="8"/>
    <s v="2014-Aug"/>
    <n v="8"/>
    <s v="LQA-UAT"/>
    <x v="10"/>
    <m/>
    <s v="WWFS"/>
    <s v="GUI"/>
    <x v="1"/>
    <s v="WWFSGUI_COM_2.1.32.0.1"/>
    <s v="CMTeam"/>
    <s v="Rajeev Kumar"/>
    <m/>
    <m/>
    <s v="\\192.168.3.3\Share\Releases\Projects\Comcast\Release_for_Test\Test_Build_4.6.6\Server CD\GUI\Setup "/>
    <s v="Pass"/>
    <s v="Readme Re-Released"/>
    <m/>
    <m/>
    <m/>
    <s v="Rudra Narayan"/>
    <x v="0"/>
    <s v=""/>
    <x v="0"/>
    <x v="0"/>
  </r>
  <r>
    <d v="2014-08-22T00:00:00"/>
    <d v="2014-08-22T00:00:00"/>
    <n v="8"/>
    <s v="2014-Aug"/>
    <n v="8"/>
    <s v="IT-LQA-UAT"/>
    <x v="0"/>
    <m/>
    <s v="RA"/>
    <s v="DBS"/>
    <x v="0"/>
    <s v="RADBS_SLT_2.1.1.12.1.77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Sureya N Behra"/>
    <x v="0"/>
    <s v=""/>
    <x v="0"/>
    <x v="0"/>
  </r>
  <r>
    <d v="2014-08-22T00:00:00"/>
    <d v="2014-08-22T00:00:00"/>
    <n v="8"/>
    <s v="2014-Aug"/>
    <n v="8"/>
    <s v="IT-LQA-FAT"/>
    <x v="0"/>
    <m/>
    <s v="DM"/>
    <s v="DBS"/>
    <x v="0"/>
    <s v="DMDBS_SLT_2.0.0.23.1.160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Sureya N Behra"/>
    <x v="0"/>
    <s v=""/>
    <x v="0"/>
    <x v="0"/>
  </r>
  <r>
    <d v="2014-08-22T00:00:00"/>
    <d v="2014-08-22T00:00:00"/>
    <n v="8"/>
    <s v="2014-Aug"/>
    <n v="8"/>
    <s v="LQA-UAT"/>
    <x v="0"/>
    <m/>
    <s v="MPE"/>
    <s v="MPE"/>
    <x v="0"/>
    <s v="MPE_SLT-1B_3.0.1.1.1.86b2"/>
    <s v="CMTeam"/>
    <s v="Muktesh Mukul"/>
    <m/>
    <m/>
    <s v="\\192.168.3.3\Share\Releases\Projects\SLT-1B\Release_For_Test\Test_Build_1.0.0.1\Server CD\MPE\Setup"/>
    <s v="Pass"/>
    <s v="Readme Re-Released"/>
    <m/>
    <m/>
    <m/>
    <s v="K.V. Krishnan"/>
    <x v="0"/>
    <s v=""/>
    <x v="0"/>
    <x v="0"/>
  </r>
  <r>
    <d v="2014-08-22T00:00:00"/>
    <d v="2014-08-22T00:00:00"/>
    <n v="8"/>
    <s v="2014-Aug"/>
    <n v="8"/>
    <s v="IT-LQA-UAT"/>
    <x v="10"/>
    <m/>
    <s v="NM"/>
    <s v="DBS"/>
    <x v="0"/>
    <s v=" NMDBS_COM_4.6.1.29.1.70b1"/>
    <s v="CMTeam"/>
    <s v="Sachin Srivastva"/>
    <s v="\\192.168.3.3\Share\Releases\Projects\Comcast\Release_For_IT\Test_Build_4.6.1\Server CD\Database\Setup"/>
    <m/>
    <s v="\\192.168.3.3\Share\Releases\Projects\Comcast\Release_for_Test\Test_Build_4.6.6\Server CD\Database\Setup"/>
    <s v="Pass"/>
    <m/>
    <m/>
    <m/>
    <m/>
    <s v="Rudra Narayan"/>
    <x v="0"/>
    <s v=""/>
    <x v="0"/>
    <x v="0"/>
  </r>
  <r>
    <d v="2014-08-22T00:00:00"/>
    <d v="2014-08-22T00:00:00"/>
    <n v="8"/>
    <s v="2014-Aug"/>
    <n v="8"/>
    <s v="IT-LQA-UAT"/>
    <x v="10"/>
    <m/>
    <s v="NM"/>
    <s v="DBS"/>
    <x v="0"/>
    <s v="NMDBS_COM_3.5.2.100.1"/>
    <s v="CMTeam"/>
    <s v="Sachin Srivastva"/>
    <s v="\\192.168.3.3\Share\Releases\Projects\Comcast\Release_For_IT\Test_Build_3.5.50\Server CD\Database\Setup"/>
    <m/>
    <s v="\\192.168.3.3\Share\Releases\Projects\Comcast\Release_for_Test\Test_Build_3.5.50\Server CD\Database\Setup"/>
    <s v="Pass"/>
    <m/>
    <m/>
    <m/>
    <m/>
    <s v="Rudra Narayan"/>
    <x v="0"/>
    <s v=""/>
    <x v="0"/>
    <x v="0"/>
  </r>
  <r>
    <d v="2014-08-22T00:00:00"/>
    <d v="2014-08-22T00:00:00"/>
    <n v="8"/>
    <s v="2014-Aug"/>
    <n v="8"/>
    <s v="LQA-UAT"/>
    <x v="0"/>
    <m/>
    <s v="MPE"/>
    <s v="MPE"/>
    <x v="0"/>
    <s v="MPE_SLT-1B_3.0.1.1.1.88b1"/>
    <s v="CMTeam"/>
    <s v="Muktesh Mukul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8-22T00:00:00"/>
    <d v="2014-08-22T00:00:00"/>
    <n v="8"/>
    <s v="2014-Aug"/>
    <n v="8"/>
    <s v="IT-LQA"/>
    <x v="0"/>
    <m/>
    <s v="RA"/>
    <s v="DBS"/>
    <x v="0"/>
    <s v="RADBS_SLT_2.1.1.12.1.78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m/>
    <x v="0"/>
    <s v=""/>
    <x v="0"/>
    <x v="0"/>
  </r>
  <r>
    <d v="2014-08-22T00:00:00"/>
    <d v="2014-08-22T00:00:00"/>
    <n v="8"/>
    <s v="2014-Aug"/>
    <n v="8"/>
    <s v="IT-LQA"/>
    <x v="0"/>
    <m/>
    <s v="DM"/>
    <s v="DBS"/>
    <x v="0"/>
    <s v="DMDBS_SLT_2.0.0.23.1.161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m/>
    <x v="0"/>
    <s v=""/>
    <x v="0"/>
    <x v="0"/>
  </r>
  <r>
    <d v="2014-08-25T00:00:00"/>
    <d v="2014-08-25T00:00:00"/>
    <n v="8"/>
    <s v="2014-Aug"/>
    <n v="8"/>
    <s v="LQA"/>
    <x v="10"/>
    <m/>
    <s v="RT"/>
    <s v="GUI"/>
    <x v="0"/>
    <s v="RTGUI_COM_4.0.25.1.1.2b1"/>
    <s v="CMTeam"/>
    <s v="Ajay Sharma"/>
    <m/>
    <m/>
    <s v="\\192.168.3.3\share\Releases\Projects\Comcast\Release_for_Test\Test_Build_4.6.6\Server CD\GUI\Setup"/>
    <m/>
    <m/>
    <m/>
    <m/>
    <m/>
    <m/>
    <x v="1"/>
    <s v=""/>
    <x v="0"/>
    <x v="0"/>
  </r>
  <r>
    <d v="2014-08-25T00:00:00"/>
    <d v="2014-08-25T00:00:00"/>
    <n v="8"/>
    <s v="2014-Aug"/>
    <n v="8"/>
    <s v="IT-LQA-UAT"/>
    <x v="4"/>
    <m/>
    <s v="NM"/>
    <s v="DBS"/>
    <x v="0"/>
    <s v="NMDBS_TLSTR_4.0.1.0.4.310b1"/>
    <s v="CMTeam"/>
    <s v="Deepak Yadav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Abrar Khan"/>
    <x v="0"/>
    <s v=""/>
    <x v="0"/>
    <x v="0"/>
  </r>
  <r>
    <d v="2014-08-25T00:00:00"/>
    <d v="2014-08-25T00:00:00"/>
    <n v="8"/>
    <s v="2014-Aug"/>
    <n v="8"/>
    <s v="LQA-UAT"/>
    <x v="0"/>
    <m/>
    <s v="MPE"/>
    <s v="MPE"/>
    <x v="0"/>
    <s v="MPE_SLT-1B_3.0.1.1.1.89b1"/>
    <s v="CMTeam"/>
    <s v="Muktesh Mukul"/>
    <m/>
    <m/>
    <s v="\\192.168.3.3\Share\Releases\Projects\SLT-1B\Release_For_Test\Test_Build_1.0.0.1\Server CD\MPE\Setup"/>
    <s v="Pass"/>
    <s v="Readme Re-Released"/>
    <m/>
    <m/>
    <m/>
    <s v="K.V. Krishnan"/>
    <x v="0"/>
    <s v=""/>
    <x v="0"/>
    <x v="0"/>
  </r>
  <r>
    <d v="2014-08-25T00:00:00"/>
    <d v="2014-08-25T00:00:00"/>
    <n v="8"/>
    <s v="2014-Aug"/>
    <n v="8"/>
    <s v="IT-LQA"/>
    <x v="0"/>
    <m/>
    <s v="DM"/>
    <s v="DBS"/>
    <x v="0"/>
    <s v="DMDBS_SLT_2.0.0.23.1.164b1"/>
    <s v="CMTeam"/>
    <s v="Rohit Kanw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m/>
    <x v="0"/>
    <s v=""/>
    <x v="0"/>
    <x v="0"/>
  </r>
  <r>
    <d v="2014-08-26T00:00:00"/>
    <d v="2014-08-26T00:00:00"/>
    <n v="8"/>
    <s v="2014-Aug"/>
    <n v="8"/>
    <s v="IT-LQA"/>
    <x v="0"/>
    <m/>
    <s v="DM"/>
    <s v="DBS"/>
    <x v="0"/>
    <s v="DMDBS_SLT_2.0.0.23.1.165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m/>
    <x v="0"/>
    <s v=""/>
    <x v="0"/>
    <x v="0"/>
  </r>
  <r>
    <d v="2014-08-26T00:00:00"/>
    <d v="2014-08-26T00:00:00"/>
    <n v="8"/>
    <s v="2014-Aug"/>
    <n v="8"/>
    <s v="LQA"/>
    <x v="1"/>
    <m/>
    <s v="Utility"/>
    <s v="Utility"/>
    <x v="1"/>
    <s v="AWF_2.0.1b30"/>
    <s v="CMTeam"/>
    <s v="Ratnesh Singh"/>
    <m/>
    <m/>
    <s v="\\192.168.3.3\Share\Releases\Product\AWF\Build&amp;Release\Release For Test\TestBuild_2.0.1\Setup"/>
    <m/>
    <m/>
    <m/>
    <m/>
    <m/>
    <m/>
    <x v="1"/>
    <s v=""/>
    <x v="0"/>
    <x v="0"/>
  </r>
  <r>
    <d v="2014-08-26T00:00:00"/>
    <d v="2014-08-26T00:00:00"/>
    <n v="8"/>
    <s v="2014-Aug"/>
    <n v="8"/>
    <s v="IT-LQA"/>
    <x v="10"/>
    <m/>
    <s v="NM"/>
    <s v="DBS"/>
    <x v="0"/>
    <s v="NMDBS_COM_4.6.1.29.1.71b1"/>
    <s v="CMTeam"/>
    <s v="Nitin Kumar"/>
    <s v="\\192.168.3.3\Share\Releases\Projects\Comcast\Release_For_IT\Test_Build_4.6.1\Server CD\Database\Setup"/>
    <m/>
    <s v="\\192.168.3.3\Share\Releases\Projects\Comcast\Release_for_Test\Test_Build_4.6.6\Server CD\Database\Setup"/>
    <m/>
    <m/>
    <m/>
    <m/>
    <m/>
    <m/>
    <x v="1"/>
    <s v=""/>
    <x v="0"/>
    <x v="0"/>
  </r>
  <r>
    <d v="2014-08-27T00:00:00"/>
    <d v="2014-08-27T00:00:00"/>
    <n v="8"/>
    <s v="2014-Aug"/>
    <n v="8"/>
    <s v="IT-LQA-FAT"/>
    <x v="0"/>
    <m/>
    <s v="DM"/>
    <s v="DBS"/>
    <x v="0"/>
    <s v="DMDBS_SLT_2.0.0.23.1.163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Sureya N Behra"/>
    <x v="0"/>
    <s v=""/>
    <x v="0"/>
    <x v="0"/>
  </r>
  <r>
    <d v="2014-08-27T00:00:00"/>
    <d v="2014-08-27T00:00:00"/>
    <n v="8"/>
    <s v="2014-Aug"/>
    <n v="8"/>
    <s v="LQA-UAT"/>
    <x v="1"/>
    <m/>
    <s v="CS"/>
    <s v="GUI"/>
    <x v="0"/>
    <s v="CSGUI_2.6.1b2"/>
    <s v="CMTeam"/>
    <s v="Alok Bagwale"/>
    <m/>
    <m/>
    <s v="\\192.168.3.3\Share\Releases\Product\CSGUI_2.6\Build&amp;Release\Release_For_LQA\Test_Build_1.0.1\Server CD\GUI\Setup"/>
    <s v="Pass"/>
    <s v="Readme Re-Released"/>
    <m/>
    <m/>
    <m/>
    <s v="Aditya Mani Sharma"/>
    <x v="0"/>
    <s v=""/>
    <x v="0"/>
    <x v="0"/>
  </r>
  <r>
    <d v="2014-08-27T00:00:00"/>
    <d v="2014-08-27T00:00:00"/>
    <n v="8"/>
    <s v="2014-Aug"/>
    <n v="8"/>
    <s v="LQA-UAT"/>
    <x v="1"/>
    <m/>
    <s v="WWFS"/>
    <s v="GUI"/>
    <x v="1"/>
    <s v="WWFSGUI_2.2.1.2b2"/>
    <s v="CMTeam"/>
    <s v="Alok Bagwale"/>
    <m/>
    <m/>
    <s v="\\192.168.3.3\Share\Releases\Product\WEB_WFS\Build&amp;Release\Release For Test\TestBuild_2.2.1\Build4\ServerCD\GUI\Setup"/>
    <s v="Pass"/>
    <s v="Readme Re-Released"/>
    <m/>
    <m/>
    <m/>
    <s v="Aditya Mani Sharma"/>
    <x v="0"/>
    <s v=""/>
    <x v="0"/>
    <x v="0"/>
  </r>
  <r>
    <d v="2014-08-27T00:00:00"/>
    <d v="2014-08-27T00:00:00"/>
    <n v="8"/>
    <s v="2014-Aug"/>
    <n v="8"/>
    <s v="IT-LQA"/>
    <x v="10"/>
    <m/>
    <s v="NM"/>
    <s v="Utility"/>
    <x v="1"/>
    <s v="NMUTLMIG1_COM_1.0.0.0.9"/>
    <s v="CMTeam"/>
    <s v="Sachin Srivastva"/>
    <s v="\\192.168.3.3\Share\Releases\Projects\Comcast\Release_for_Test\Test_Build_4.6.6\Utility\Setup "/>
    <m/>
    <s v="\\192.168.3.3\Share\Releases\Projects\Comcast\Release_For_IT\Test_Build_4.6.1\Utility\Setup"/>
    <m/>
    <m/>
    <m/>
    <m/>
    <m/>
    <m/>
    <x v="1"/>
    <s v=""/>
    <x v="0"/>
    <x v="0"/>
  </r>
  <r>
    <d v="2014-08-27T00:00:00"/>
    <d v="2014-08-27T00:00:00"/>
    <n v="8"/>
    <s v="2014-Aug"/>
    <n v="8"/>
    <s v="IT-LQA-UAT"/>
    <x v="0"/>
    <m/>
    <s v="DM"/>
    <s v="DBS"/>
    <x v="0"/>
    <s v="DMDBS_SLT_2.0.0.23.1.162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Nisha Malik"/>
    <x v="0"/>
    <s v=""/>
    <x v="0"/>
    <x v="0"/>
  </r>
  <r>
    <d v="2014-08-27T00:00:00"/>
    <d v="2014-08-27T00:00:00"/>
    <n v="8"/>
    <s v="2014-Aug"/>
    <n v="8"/>
    <s v="IT-LQA-FAT"/>
    <x v="0"/>
    <m/>
    <s v="RA"/>
    <s v="DBS"/>
    <x v="0"/>
    <s v="RADBS_SLT_2.1.1.12.1.79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08-27T00:00:00"/>
    <d v="2014-08-27T00:00:00"/>
    <n v="8"/>
    <s v="2014-Aug"/>
    <n v="8"/>
    <s v="LQA-UAT"/>
    <x v="1"/>
    <m/>
    <s v="RA"/>
    <s v="DBS"/>
    <x v="1"/>
    <s v="RADBS_2.2.1b2"/>
    <s v="CMTeam"/>
    <s v="Puneet Gupta"/>
    <m/>
    <m/>
    <s v="\\192.168.3.3\Share\Releases\Product\RevMind_2.2\Build&amp;Release\Release_For_LQA\Test_Build_1.0.1\Server CD\DBS\Setup"/>
    <s v="Pass"/>
    <m/>
    <m/>
    <m/>
    <m/>
    <s v="Aditya Mani Sharma"/>
    <x v="0"/>
    <s v=""/>
    <x v="0"/>
    <x v="0"/>
  </r>
  <r>
    <d v="2014-08-27T00:00:00"/>
    <d v="2014-08-27T00:00:00"/>
    <n v="8"/>
    <s v="2014-Aug"/>
    <n v="8"/>
    <s v="IT-LQA-UAT"/>
    <x v="1"/>
    <m/>
    <s v="NP"/>
    <s v="DBS"/>
    <x v="0"/>
    <s v="NPDBS_1.2.3.16b1"/>
    <s v="CMTeam"/>
    <s v="Nitin Kumar"/>
    <s v="\\192.168.3.3\share\Releases\Product\NetMindPOS_1.1\Build&amp;Release\Release for IT\TestBuild_1.2.3\Server CD\DBS\Setup"/>
    <m/>
    <s v="\\192.168.3.3\share\Releases\Product\NetMindPOS_1.1\Build&amp;Release\Release for LQA\TestBuild_1.2.3\Server CD\DBS\Setup"/>
    <s v="Pass"/>
    <m/>
    <m/>
    <m/>
    <m/>
    <s v="Sumit Gomber"/>
    <x v="0"/>
    <s v=""/>
    <x v="0"/>
    <x v="0"/>
  </r>
  <r>
    <d v="2014-08-27T00:00:00"/>
    <d v="2014-08-27T00:00:00"/>
    <n v="8"/>
    <s v="2014-Aug"/>
    <n v="8"/>
    <s v="IT-LQA-UAT"/>
    <x v="4"/>
    <m/>
    <s v="NM"/>
    <s v="DBS"/>
    <x v="0"/>
    <s v="NMDBS_TLSTR_4.0.1.0.4.311b1"/>
    <s v="CMTeam"/>
    <s v="Deepak Yadav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Abrar Khan"/>
    <x v="0"/>
    <s v=""/>
    <x v="0"/>
    <x v="0"/>
  </r>
  <r>
    <d v="2014-08-27T00:00:00"/>
    <d v="2014-08-27T00:00:00"/>
    <n v="8"/>
    <s v="2014-Aug"/>
    <n v="8"/>
    <s v="LQA"/>
    <x v="0"/>
    <m/>
    <s v="MPE"/>
    <s v="MPE"/>
    <x v="0"/>
    <s v="MPE_SLT-1B_3.0.1.1.1.90b1"/>
    <s v="CMTeam"/>
    <s v="Muktesh Mukul"/>
    <m/>
    <s v="Obsolete-LQA"/>
    <s v="\\192.168.3.3\Share\Releases\Projects\SLT-1B\Release_For_Test\Test_Build_1.0.0.1\Server CD\MPE\Setup"/>
    <m/>
    <m/>
    <m/>
    <m/>
    <m/>
    <m/>
    <x v="2"/>
    <d v="2014-08-27T00:00:00"/>
    <x v="36"/>
    <x v="1"/>
  </r>
  <r>
    <d v="2014-08-27T00:00:00"/>
    <d v="2014-08-27T00:00:00"/>
    <n v="8"/>
    <s v="2014-Aug"/>
    <n v="8"/>
    <s v="IT-LQA-UAT"/>
    <x v="10"/>
    <m/>
    <s v="NM"/>
    <s v="DBS"/>
    <x v="0"/>
    <s v="NMDBS_COM_4.6.1.29.1.72b1"/>
    <s v="CMTeam"/>
    <s v="Sachin Srivastva"/>
    <s v="\\192.168.3.3\Share\Releases\Projects\Comcast\Release_For_IT\Test_Build_4.6.1\Server CD\Database\Setup"/>
    <m/>
    <s v="\\192.168.3.3\Share\Releases\Projects\Comcast\Release_for_Test\Test_Build_4.6.6\Server CD\Database\Setup"/>
    <s v="Pass"/>
    <m/>
    <m/>
    <m/>
    <m/>
    <s v="Rudra Narayan"/>
    <x v="0"/>
    <s v=""/>
    <x v="0"/>
    <x v="0"/>
  </r>
  <r>
    <d v="2014-08-27T00:00:00"/>
    <d v="2014-08-27T00:00:00"/>
    <n v="8"/>
    <s v="2014-Aug"/>
    <n v="8"/>
    <s v="LQA"/>
    <x v="1"/>
    <m/>
    <s v="WWFS"/>
    <s v="GUI"/>
    <x v="1"/>
    <s v="WWFSGUI_2.1.33b1"/>
    <s v="CMTeam"/>
    <s v="Rajeev Kumar"/>
    <m/>
    <m/>
    <s v="\\192.168.3.3\Share\Releases\Product\WEB_WFS\Build&amp;Release\Release For Test\TestBuild_2.1.33\ServerCD\GUI\Setup"/>
    <m/>
    <m/>
    <m/>
    <m/>
    <m/>
    <m/>
    <x v="1"/>
    <s v=""/>
    <x v="0"/>
    <x v="0"/>
  </r>
  <r>
    <d v="2014-08-27T00:00:00"/>
    <d v="2014-08-27T00:00:00"/>
    <n v="8"/>
    <s v="2014-Aug"/>
    <n v="8"/>
    <s v="LQA"/>
    <x v="10"/>
    <m/>
    <s v="WWFS"/>
    <s v="GUI"/>
    <x v="1"/>
    <s v="WWFSGUI_COM_2.1.33.0.1"/>
    <s v="CMTeam"/>
    <s v="Rajeev Kumar"/>
    <m/>
    <m/>
    <s v="\\192.168.3.3\Share\Releases\Projects\Comcast\Release_for_Test\Test_Build_4.6.6\Server CD\GUI\Setup "/>
    <m/>
    <m/>
    <m/>
    <m/>
    <m/>
    <m/>
    <x v="1"/>
    <s v=""/>
    <x v="0"/>
    <x v="0"/>
  </r>
  <r>
    <d v="2014-08-28T00:00:00"/>
    <d v="2014-08-28T00:00:00"/>
    <n v="8"/>
    <s v="2014-Aug"/>
    <n v="8"/>
    <s v="LQA"/>
    <x v="0"/>
    <m/>
    <s v="MPE"/>
    <s v="MPE"/>
    <x v="0"/>
    <s v="MPE_SLT-1B_3.0.1.1.1.91b1"/>
    <s v="CMTeam"/>
    <s v="Navkaran Sandhu"/>
    <m/>
    <m/>
    <s v="\\192.168.3.3\Share\Releases\Projects\SLT-1B\Release_For_Test\Test_Build_1.0.0.1\Server CD\MPE\Setup"/>
    <s v="Pass"/>
    <m/>
    <m/>
    <m/>
    <m/>
    <m/>
    <x v="0"/>
    <s v=""/>
    <x v="0"/>
    <x v="0"/>
  </r>
  <r>
    <d v="2014-08-28T00:00:00"/>
    <d v="2014-08-28T00:00:00"/>
    <n v="8"/>
    <s v="2014-Aug"/>
    <n v="8"/>
    <s v="LQA-FAT"/>
    <x v="0"/>
    <m/>
    <s v="MPE"/>
    <s v="MPE"/>
    <x v="0"/>
    <s v="MPE_SLT-1B_3.0.1.1.1.92b1"/>
    <s v="CMTeam"/>
    <s v="Navkaran Sandhu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08-29T00:00:00"/>
    <d v="2014-08-29T00:00:00"/>
    <n v="8"/>
    <s v="2014-Aug"/>
    <n v="8"/>
    <s v="LQA"/>
    <x v="0"/>
    <m/>
    <s v="MPE"/>
    <s v="MPE"/>
    <x v="0"/>
    <s v="MPE_SLT-1B_3.0.1.1.1.90b2"/>
    <s v="CMTeam"/>
    <s v="Muktesh Mukul"/>
    <m/>
    <m/>
    <s v="\\192.168.3.3\Share\Releases\Projects\SLT-1B\Release_For_Test\Test_Build_1.0.0.1\Server CD\MPE\Setup"/>
    <s v="Pass"/>
    <m/>
    <m/>
    <m/>
    <m/>
    <m/>
    <x v="0"/>
    <s v=""/>
    <x v="0"/>
    <x v="0"/>
  </r>
  <r>
    <d v="2014-08-29T00:00:00"/>
    <d v="2014-08-29T00:00:00"/>
    <n v="8"/>
    <s v="2014-Aug"/>
    <n v="8"/>
    <s v="IT-LQA-UAT"/>
    <x v="1"/>
    <m/>
    <s v="DM"/>
    <s v="DBS"/>
    <x v="0"/>
    <s v="DMDBS_2.0.0.24b1"/>
    <s v="CMTeam"/>
    <s v="Anand Kumar Ojha"/>
    <s v="\\192.168.3.3\Share\Releases\Product\DataMind_2.0\Build&amp;Release\Release for IT\TestBuild_2.0.0\Server CD\DBS\Setup"/>
    <m/>
    <s v="\\192.168.3.3\Share\Releases\Product\DataMind_2.0\Build&amp;Release\Release for LQA\TestBuild_2.0.0\Server CD\DBS\Setup"/>
    <s v="Pass"/>
    <m/>
    <m/>
    <m/>
    <m/>
    <s v="Surya N Behra"/>
    <x v="0"/>
    <s v=""/>
    <x v="0"/>
    <x v="0"/>
  </r>
  <r>
    <d v="2014-09-01T00:00:00"/>
    <d v="2014-09-01T00:00:00"/>
    <n v="9"/>
    <s v="2014-Sep"/>
    <n v="9"/>
    <s v="IT-LQA-FAT"/>
    <x v="0"/>
    <m/>
    <s v="DM"/>
    <s v="DBS"/>
    <x v="0"/>
    <s v="DMDBS_SLT_2.0.0.23.1.166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09-01T00:00:00"/>
    <d v="2014-09-01T00:00:00"/>
    <n v="9"/>
    <s v="2014-Sep"/>
    <n v="9"/>
    <s v="IT-LQA"/>
    <x v="10"/>
    <m/>
    <s v="NM"/>
    <s v="DBS"/>
    <x v="0"/>
    <s v="NMDBS_COM_4.6.1.29.1.73b1"/>
    <s v="CMTeam"/>
    <s v="Sachin Srivastva"/>
    <s v="\\192.168.3.3\Share\Releases\Projects\Comcast\Release_For_IT\Test_Build_4.6.1\Server CD\Database\Setup"/>
    <s v="Obsolete-LQA"/>
    <s v="\\192.168.3.3\Share\Releases\Projects\Comcast\Release_for_Test\Test_Build_4.6.6\Server CD\Database\Setup"/>
    <m/>
    <m/>
    <m/>
    <m/>
    <m/>
    <m/>
    <x v="2"/>
    <d v="2014-09-01T00:00:00"/>
    <x v="37"/>
    <x v="1"/>
  </r>
  <r>
    <d v="2014-09-01T00:00:00"/>
    <d v="2014-09-01T00:00:00"/>
    <n v="9"/>
    <s v="2014-Sep"/>
    <n v="9"/>
    <s v="LQA-UAT"/>
    <x v="8"/>
    <m/>
    <s v="MPE"/>
    <s v="MPE"/>
    <x v="0"/>
    <s v="MPE_TWC_3.2.1.5.2.20b1"/>
    <s v="CMTeam"/>
    <s v="Ankit Jain"/>
    <m/>
    <m/>
    <s v="\\192.168.3.3\Share\Releases\Projects\TWC\Release_For_Test\Test_Build_1.0.0.4\Server CD\MPE\Setup"/>
    <s v="Pass"/>
    <s v="Readme Re-Released"/>
    <m/>
    <m/>
    <m/>
    <s v="Sunil Katyar"/>
    <x v="0"/>
    <s v=""/>
    <x v="0"/>
    <x v="0"/>
  </r>
  <r>
    <d v="2014-09-01T00:00:00"/>
    <d v="2014-09-01T00:00:00"/>
    <n v="9"/>
    <s v="2014-Sep"/>
    <n v="9"/>
    <s v="IT-LQA"/>
    <x v="8"/>
    <m/>
    <s v="Utility"/>
    <s v="Utility"/>
    <x v="1"/>
    <s v="NMUTLMIG5_TWC_1.0.0.0.1 "/>
    <s v="CMTeam"/>
    <s v="Sudip Ghosh"/>
    <s v="\\192.168.3.3\Share\Releases\Projects\TWC\Release_For_IT\Test_Build_1.0.0.3\Utility\Setup"/>
    <s v="Obsolete-LQA"/>
    <s v="\\192.168.3.3\Share\Releases\Projects\TWC\Release_For_Test\Test_Build_1.0.0.4\Utility\Setup"/>
    <m/>
    <m/>
    <m/>
    <m/>
    <m/>
    <m/>
    <x v="2"/>
    <d v="2014-09-01T00:00:00"/>
    <x v="37"/>
    <x v="1"/>
  </r>
  <r>
    <d v="2014-09-01T00:00:00"/>
    <d v="2014-09-01T00:00:00"/>
    <n v="9"/>
    <s v="2014-Sep"/>
    <n v="9"/>
    <s v="IT-LQA-UAT"/>
    <x v="10"/>
    <m/>
    <s v="NM"/>
    <s v="DBS"/>
    <x v="0"/>
    <s v="NMDBS_COM_4.6.1.29.1.75b1"/>
    <s v="CMTeam"/>
    <s v="Sumita Yadav"/>
    <s v="\\192.168.3.3\Share\Releases\Projects\Comcast\Release_for_Test\Test_Build_4.6.6\Server CD\Database\Setup"/>
    <m/>
    <s v="\\192.168.3.3\Share\Releases\Projects\Comcast\Release_for_Test\Test_Build_4.6.6\Server CD\Database\Setup"/>
    <s v="Pass"/>
    <m/>
    <m/>
    <m/>
    <m/>
    <s v="Rudra Narayan"/>
    <x v="0"/>
    <s v=""/>
    <x v="0"/>
    <x v="0"/>
  </r>
  <r>
    <d v="2014-09-01T00:00:00"/>
    <d v="2014-09-01T00:00:00"/>
    <n v="9"/>
    <s v="2014-Sep"/>
    <n v="9"/>
    <s v="LQA"/>
    <x v="1"/>
    <m/>
    <s v="WWFS"/>
    <s v="GUI"/>
    <x v="0"/>
    <s v="WWFSGUI_2.1.34b1"/>
    <s v="CMTeam"/>
    <s v="Karamjeet kaur"/>
    <m/>
    <m/>
    <s v="\\192.168.3.3\Share\Releases\Product\WEB_WFS\Build&amp;Release\Release For Test\TestBuild_2.1.34\ServerCD\GUI\Setup"/>
    <m/>
    <m/>
    <m/>
    <m/>
    <m/>
    <m/>
    <x v="1"/>
    <s v=""/>
    <x v="0"/>
    <x v="0"/>
  </r>
  <r>
    <d v="2014-09-01T00:00:00"/>
    <d v="2014-09-01T00:00:00"/>
    <n v="9"/>
    <s v="2014-Sep"/>
    <n v="9"/>
    <s v="LQA-UAT"/>
    <x v="10"/>
    <m/>
    <s v="WWFS"/>
    <s v="GUI"/>
    <x v="1"/>
    <s v="WWFSGUI_COM_2.1.34.0.1"/>
    <s v="CMTeam"/>
    <s v="Deepak Dhiman"/>
    <m/>
    <m/>
    <s v="\\192.168.3.3\Share\Releases\Projects\Comcast\Release_for_Test\Test_Build_4.6.6\Server CD\GUI\Setup "/>
    <s v="Pass"/>
    <m/>
    <m/>
    <m/>
    <m/>
    <s v="Rudra Narayan"/>
    <x v="0"/>
    <s v=""/>
    <x v="0"/>
    <x v="0"/>
  </r>
  <r>
    <d v="2014-09-02T00:00:00"/>
    <d v="2014-09-02T00:00:00"/>
    <n v="9"/>
    <s v="2014-Sep"/>
    <n v="9"/>
    <s v="LQA-UAT"/>
    <x v="10"/>
    <m/>
    <s v="WWFS"/>
    <s v="GUI"/>
    <x v="0"/>
    <s v="WWFSGUI_COM_2.1.34.0.1.1b1"/>
    <s v="CMTeam"/>
    <s v="Karamjeet kaur"/>
    <m/>
    <m/>
    <s v="\\192.168.3.3\Share\Releases\Projects\Comcast\Release_for_Test\Test_Build_4.6.6\Server CD\GUI\Setup "/>
    <s v="Pass"/>
    <m/>
    <m/>
    <m/>
    <m/>
    <s v="Rudra Narayan"/>
    <x v="0"/>
    <s v=""/>
    <x v="0"/>
    <x v="0"/>
  </r>
  <r>
    <d v="2014-09-02T00:00:00"/>
    <d v="2014-09-02T00:00:00"/>
    <n v="9"/>
    <s v="2014-Sep"/>
    <n v="9"/>
    <s v="IT-LQA"/>
    <x v="10"/>
    <m/>
    <s v="NM"/>
    <s v="DBS"/>
    <x v="0"/>
    <s v="NMDBS_COM_4.6.1.29.1.74b1"/>
    <s v="CMTeam"/>
    <s v="Sachin Srivastva"/>
    <s v="\\192.168.3.3\Share\Releases\Projects\Comcast\Release_for_Test\Test_Build_4.6.6\Server CD\Database\Setup"/>
    <s v="Obsolete-LQA"/>
    <s v="\\192.168.3.3\Share\Releases\Projects\Comcast\Release_for_Test\Test_Build_4.6.6\Server CD\Database\Setup"/>
    <m/>
    <m/>
    <m/>
    <m/>
    <m/>
    <m/>
    <x v="2"/>
    <d v="2014-09-02T00:00:00"/>
    <x v="37"/>
    <x v="1"/>
  </r>
  <r>
    <d v="2014-09-02T00:00:00"/>
    <d v="2014-09-02T00:00:00"/>
    <n v="9"/>
    <s v="2014-Sep"/>
    <n v="9"/>
    <s v="IT-LQA"/>
    <x v="10"/>
    <m/>
    <s v="NM"/>
    <s v="DBS"/>
    <x v="0"/>
    <s v="NMDBS_COM_4.6.1.29.1.76b1"/>
    <s v="CMTeam"/>
    <s v="Sachin Srivastva"/>
    <s v="\\192.168.3.3\Share\Releases\Projects\Comcast\Release_for_Test\Test_Build_4.6.6\Server CD\Database\Setup"/>
    <s v="Obsolete-LQA"/>
    <s v="\\192.168.3.3\Share\Releases\Projects\Comcast\Release_for_Test\Test_Build_4.6.6\Server CD\Database\Setup"/>
    <m/>
    <m/>
    <m/>
    <m/>
    <m/>
    <m/>
    <x v="2"/>
    <d v="2014-09-02T00:00:00"/>
    <x v="37"/>
    <x v="1"/>
  </r>
  <r>
    <d v="2014-09-02T00:00:00"/>
    <d v="2014-09-02T00:00:00"/>
    <n v="9"/>
    <s v="2014-Sep"/>
    <n v="9"/>
    <s v="IT-LQA-UAT"/>
    <x v="0"/>
    <m/>
    <s v="DM"/>
    <s v="DBS"/>
    <x v="0"/>
    <s v="DMDBS_SLT_2.0.0.23.1.167b1 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09-02T00:00:00"/>
    <d v="2014-09-02T00:00:00"/>
    <n v="9"/>
    <s v="2014-Sep"/>
    <n v="9"/>
    <s v="LQA-UAT"/>
    <x v="1"/>
    <m/>
    <s v="NM"/>
    <s v="DBS"/>
    <x v="0"/>
    <s v="NMDBS_4.7.1b12"/>
    <s v="CMTeam"/>
    <s v="Rajat Gupta"/>
    <m/>
    <m/>
    <s v="\\192.168.3.3\Share\Releases\Product\Netmind_4.7\Build&amp;Release\Release_For_LQA\Test_Build_1.0.1\Server CD\DBS\Setup"/>
    <s v="Pass"/>
    <m/>
    <m/>
    <m/>
    <m/>
    <s v="Jitender Aggarwal"/>
    <x v="0"/>
    <s v=""/>
    <x v="0"/>
    <x v="0"/>
  </r>
  <r>
    <d v="2014-09-02T00:00:00"/>
    <d v="2014-09-02T00:00:00"/>
    <n v="9"/>
    <s v="2014-Sep"/>
    <n v="9"/>
    <s v="IT-LQA"/>
    <x v="10"/>
    <m/>
    <s v="NM"/>
    <s v="DBS"/>
    <x v="0"/>
    <s v="NMDBS_COM_3.5.2.101.1"/>
    <s v="CMTeam"/>
    <s v="Sachin Srivastva"/>
    <s v="\\192.168.3.3\Share\Releases\Projects\Comcast\Release_For_IT\Test_Build_3.5.50\Server CD\Database\Setup"/>
    <s v="Obsolete-LQA"/>
    <s v="\\192.168.3.3\Share\Releases\Projects\Comcast\Release_for_Test\Test_Build_3.5.50\Server CD\Database\Setup"/>
    <m/>
    <m/>
    <m/>
    <m/>
    <m/>
    <m/>
    <x v="2"/>
    <d v="2014-09-02T00:00:00"/>
    <x v="37"/>
    <x v="1"/>
  </r>
  <r>
    <d v="2014-09-02T00:00:00"/>
    <d v="2014-09-02T00:00:00"/>
    <n v="9"/>
    <s v="2014-Sep"/>
    <n v="9"/>
    <s v="IT-LQA-UAT"/>
    <x v="10"/>
    <m/>
    <s v="NM"/>
    <s v="DBS"/>
    <x v="0"/>
    <s v="NMDBS_COM_3.5.2.102.1"/>
    <s v="CMTeam"/>
    <s v="Sachin Srivastva"/>
    <s v="\\192.168.3.3\Share\Releases\Projects\Comcast\Release_For_IT\Test_Build_3.5.50\Server CD\Database\Setup"/>
    <m/>
    <s v="\\192.168.3.3\Share\Releases\Projects\Comcast\Release_for_Test\Test_Build_3.5.50\Server CD\Database\Setup"/>
    <s v="Pass"/>
    <m/>
    <m/>
    <m/>
    <m/>
    <s v="Mayank Sharma"/>
    <x v="0"/>
    <s v=""/>
    <x v="0"/>
    <x v="0"/>
  </r>
  <r>
    <d v="2014-09-03T00:00:00"/>
    <d v="2014-09-03T00:00:00"/>
    <n v="9"/>
    <s v="2014-Sep"/>
    <n v="9"/>
    <s v="IT-LQA-UAT"/>
    <x v="3"/>
    <m/>
    <s v="NM"/>
    <s v="DBS"/>
    <x v="0"/>
    <s v="NMDBS_OBT_4.6.1.27.1.39b1"/>
    <s v="CMTeam"/>
    <s v="Rohit Kanwar"/>
    <s v="\\192.168.3.3\Share\Releases\Projects\OBT\Release_For_IT\TestBuild_1.0.0.2\Server CD\DBS\Setup"/>
    <m/>
    <s v="\\192.168.3.3\Share\Releases\Projects\OBT\Release_For_LQA\TestBuild_1.0.0.6\Server CD\DBS\Setup"/>
    <s v="Pass"/>
    <m/>
    <m/>
    <m/>
    <m/>
    <s v="Ajay Kumar Pandey"/>
    <x v="0"/>
    <s v=""/>
    <x v="0"/>
    <x v="0"/>
  </r>
  <r>
    <d v="2014-09-03T00:00:00"/>
    <d v="2014-09-03T00:00:00"/>
    <n v="9"/>
    <s v="2014-Sep"/>
    <n v="9"/>
    <s v="LQA-UAT"/>
    <x v="1"/>
    <m/>
    <s v="WWFS"/>
    <s v="GUI"/>
    <x v="0"/>
    <s v="WWFSGUI_2.2.1.2b3"/>
    <s v="CMTeam"/>
    <s v="Alok Bagwale"/>
    <m/>
    <m/>
    <s v="\\192.168.3.3\Share\Releases\Product\WEB_WFS\Build&amp;Release\Release For Test\TestBuild_2.2.1\Build4\ServerCD\GUI\Setup"/>
    <s v="Pass"/>
    <m/>
    <m/>
    <m/>
    <m/>
    <s v="Ajay Gera"/>
    <x v="0"/>
    <s v=""/>
    <x v="0"/>
    <x v="0"/>
  </r>
  <r>
    <d v="2014-09-03T00:00:00"/>
    <d v="2014-09-03T00:00:00"/>
    <n v="9"/>
    <s v="2014-Sep"/>
    <n v="9"/>
    <s v="LQA"/>
    <x v="1"/>
    <m/>
    <s v="CS"/>
    <s v="GUI"/>
    <x v="1"/>
    <s v="CSGUI_2.6.1b3"/>
    <s v="CMTeam"/>
    <s v="Alok Bagwale"/>
    <m/>
    <m/>
    <s v="\\192.168.3.3\Share\Releases\Product\CSGUI_2.6\Build&amp;Release\Release_For_LQA\Test_Build_1.0.1\Server CD\GUI\Setup"/>
    <m/>
    <m/>
    <m/>
    <m/>
    <m/>
    <m/>
    <x v="1"/>
    <s v=""/>
    <x v="0"/>
    <x v="0"/>
  </r>
  <r>
    <d v="2014-09-03T00:00:00"/>
    <d v="2014-09-03T00:00:00"/>
    <n v="9"/>
    <s v="2014-Sep"/>
    <n v="9"/>
    <s v="LQA-UAT"/>
    <x v="12"/>
    <m/>
    <s v="MPE"/>
    <s v="MPE"/>
    <x v="0"/>
    <s v="MPE_DRC_3.2.1.3.2.26b1"/>
    <s v="CMTeam"/>
    <s v="Navkaran Sandhu"/>
    <m/>
    <m/>
    <s v="\\192.168.3.3\Share\Releases\Projects\DRC\Release_For_LQA\Test_Build_1.0.0.3\Server CD\MPE\Setup"/>
    <s v="Pass"/>
    <m/>
    <m/>
    <m/>
    <m/>
    <s v="Mamta Bora"/>
    <x v="0"/>
    <s v=""/>
    <x v="0"/>
    <x v="0"/>
  </r>
  <r>
    <d v="2014-09-04T00:00:00"/>
    <d v="2014-09-04T00:00:00"/>
    <n v="9"/>
    <s v="2014-Sep"/>
    <n v="9"/>
    <s v="IT-LQA-UAT"/>
    <x v="3"/>
    <m/>
    <s v="NM"/>
    <s v="DBS"/>
    <x v="0"/>
    <s v="NMDBS_OBT_4.6.1.27.1.40b1"/>
    <s v="CMTeam"/>
    <s v="Rohit Kanwar"/>
    <s v="\\192.168.3.3\Share\Releases\Projects\OBT\Release_For_IT\TestBuild_1.0.0.2\Server CD\DBS\Setup"/>
    <m/>
    <s v="\\192.168.3.3\Share\Releases\Projects\OBT\Release_For_LQA\TestBuild_1.0.0.6\Server CD\DBS\Setup"/>
    <s v="Pass"/>
    <m/>
    <m/>
    <m/>
    <m/>
    <s v="Ajay Kumar Pandey"/>
    <x v="0"/>
    <s v=""/>
    <x v="0"/>
    <x v="0"/>
  </r>
  <r>
    <d v="2014-09-04T00:00:00"/>
    <d v="2014-09-04T00:00:00"/>
    <n v="9"/>
    <s v="2014-Sep"/>
    <n v="9"/>
    <s v="LQA-UAT"/>
    <x v="1"/>
    <m/>
    <s v="RA"/>
    <s v="DBS"/>
    <x v="1"/>
    <s v="RADBS_2.2.1b3"/>
    <s v="CMTeam"/>
    <s v="Puneet Gupta"/>
    <m/>
    <m/>
    <s v="\\192.168.3.3\Share\Releases\Product\RevMind_2.2\Build&amp;Release\Release_For_LQA\Test_Build_1.0.1\Server CD\DBS\Setup"/>
    <s v="Pass"/>
    <m/>
    <m/>
    <m/>
    <m/>
    <s v="Jagdish Sankar"/>
    <x v="0"/>
    <s v=""/>
    <x v="0"/>
    <x v="0"/>
  </r>
  <r>
    <d v="2014-09-04T00:00:00"/>
    <d v="2014-09-04T00:00:00"/>
    <n v="9"/>
    <s v="2014-Sep"/>
    <n v="9"/>
    <s v="IT-LQA"/>
    <x v="10"/>
    <m/>
    <s v="NM"/>
    <s v="DBS"/>
    <x v="0"/>
    <s v="NMDBS_COM_4.6.1.29.1.73b2"/>
    <s v="CMTeam"/>
    <s v="Sachin Srivastva"/>
    <s v="\\192.168.3.3\Share\Releases\Projects\Comcast\Release_For_IT\Test_Build_4.6.1\Server CD\Database\Setup"/>
    <s v="Obsolete-LQA"/>
    <s v="\\192.168.3.3\Share\Releases\Projects\Comcast\Release_for_Test\Test_Build_4.6.6\Server CD\Database\Setup"/>
    <m/>
    <m/>
    <m/>
    <m/>
    <m/>
    <m/>
    <x v="2"/>
    <d v="2014-09-04T00:00:00"/>
    <x v="37"/>
    <x v="1"/>
  </r>
  <r>
    <d v="2014-09-04T00:00:00"/>
    <d v="2014-09-04T00:00:00"/>
    <n v="9"/>
    <s v="2014-Sep"/>
    <n v="9"/>
    <s v="LQA-UAT"/>
    <x v="0"/>
    <m/>
    <s v="MPE"/>
    <s v="MPE"/>
    <x v="0"/>
    <s v="MPE_SLT-1B_3.0.1.1.1.93b1"/>
    <s v="CMTeam"/>
    <s v="Muktesh Mukul"/>
    <m/>
    <m/>
    <s v="\\192.168.3.3\Share\Releases\Projects\SLT-1B\Release_For_Test\Test_Build_1.0.0.1\Server CD\MPE\Setup"/>
    <s v="Pass"/>
    <m/>
    <m/>
    <m/>
    <m/>
    <s v="Sureya N Behra"/>
    <x v="0"/>
    <s v=""/>
    <x v="0"/>
    <x v="0"/>
  </r>
  <r>
    <d v="2014-09-04T00:00:00"/>
    <d v="2014-09-04T00:00:00"/>
    <n v="9"/>
    <s v="2014-Sep"/>
    <n v="9"/>
    <s v="IT-LQA-UAT"/>
    <x v="10"/>
    <m/>
    <s v="NM"/>
    <s v="DBS"/>
    <x v="0"/>
    <s v="NMDBS_COM_3.5.2.101.2"/>
    <s v="CMTeam"/>
    <s v="Sachin Srivastva"/>
    <s v="\\192.168.3.3\Share\Releases\Projects\Comcast\Release_For_IT\Test_Build_3.5.50\Server CD\Database\Setup"/>
    <m/>
    <s v="\\192.168.3.3\Share\Releases\Projects\Comcast\Release_for_Test\Test_Build_3.5.50\Server CD\Database\Setup"/>
    <s v="Pass"/>
    <s v="Readme Re-Released"/>
    <m/>
    <m/>
    <m/>
    <s v="Mayank Sharma"/>
    <x v="0"/>
    <s v=""/>
    <x v="0"/>
    <x v="0"/>
  </r>
  <r>
    <d v="2014-09-04T00:00:00"/>
    <d v="2014-09-04T00:00:00"/>
    <n v="9"/>
    <s v="2014-Sep"/>
    <n v="9"/>
    <s v="IT-LQA"/>
    <x v="1"/>
    <m/>
    <s v="RT"/>
    <s v="DBS"/>
    <x v="0"/>
    <s v="RTDBS_4.0.1.22b1"/>
    <s v="CMTeam"/>
    <s v="Puneet Gupta"/>
    <s v="\\192.168.3.3\Share\Releases\Product\RT_4.0\ReleaseForIT\TestBuild_4.0.3\DBS\Setup"/>
    <m/>
    <s v="\\192.168.3.3\Share\Releases\Product\RT_4.0\ReleaseForLQA\TestBuild_4.0.24\DBS\Setup"/>
    <s v="Pass"/>
    <m/>
    <m/>
    <m/>
    <m/>
    <m/>
    <x v="0"/>
    <s v=""/>
    <x v="0"/>
    <x v="0"/>
  </r>
  <r>
    <d v="2014-09-04T00:00:00"/>
    <d v="2014-09-04T00:00:00"/>
    <n v="9"/>
    <s v="2014-Sep"/>
    <n v="9"/>
    <s v="IT-LQA-UAT"/>
    <x v="0"/>
    <m/>
    <s v="DM"/>
    <s v="DBS"/>
    <x v="0"/>
    <s v="DMDBS_SLT_2.0.0.23.1.168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09-04T00:00:00"/>
    <d v="2014-09-04T00:00:00"/>
    <n v="9"/>
    <s v="2014-Sep"/>
    <n v="9"/>
    <s v="LQA"/>
    <x v="4"/>
    <m/>
    <s v="MPE"/>
    <s v="MPE"/>
    <x v="0"/>
    <s v="MPE_TLSTR-2b_3.0.0.3.1.105b1"/>
    <s v="CMTeam"/>
    <s v="Sandeep Aggarwal"/>
    <m/>
    <m/>
    <s v="\\192.168.3.3\Share\Releases\Projects\Telstra-2b\Release_For_Test\Test_Build_1.0.0.1\Server CD\MPE\Setup"/>
    <m/>
    <s v="Readme Re-Released"/>
    <m/>
    <m/>
    <m/>
    <m/>
    <x v="1"/>
    <s v=""/>
    <x v="0"/>
    <x v="0"/>
  </r>
  <r>
    <d v="2014-09-04T00:00:00"/>
    <d v="2014-09-04T00:00:00"/>
    <n v="9"/>
    <s v="2014-Sep"/>
    <n v="9"/>
    <s v="IT-LQA"/>
    <x v="0"/>
    <m/>
    <s v="DM"/>
    <s v="DBS"/>
    <x v="0"/>
    <s v="DMDBS_SLT_2.0.0.23.1.169b1 "/>
    <s v="CMTeam"/>
    <s v="Rohit Kanw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m/>
    <x v="0"/>
    <s v=""/>
    <x v="0"/>
    <x v="0"/>
  </r>
  <r>
    <d v="2014-09-04T00:00:00"/>
    <d v="2014-09-04T00:00:00"/>
    <n v="9"/>
    <s v="2014-Sep"/>
    <n v="9"/>
    <s v="LQA-UAT"/>
    <x v="10"/>
    <m/>
    <s v="WWFS"/>
    <s v="GUI"/>
    <x v="0"/>
    <s v="WWFSGUI_COM_2.1.34.0.1.2b1"/>
    <s v="CMTeam"/>
    <s v="Rajeev Kumar"/>
    <m/>
    <m/>
    <s v="\\192.168.3.3\Share\Releases\Projects\Comcast\Release_for_Test\Test_Build_4.6.6\Server CD\GUI\Setup "/>
    <s v="Pass"/>
    <m/>
    <m/>
    <m/>
    <m/>
    <s v="Rudra Narayan"/>
    <x v="0"/>
    <s v=""/>
    <x v="0"/>
    <x v="0"/>
  </r>
  <r>
    <d v="2014-09-05T00:00:00"/>
    <d v="2014-09-05T00:00:00"/>
    <n v="9"/>
    <s v="2014-Sep"/>
    <n v="9"/>
    <s v="LQA-UAT"/>
    <x v="3"/>
    <m/>
    <s v="WWFS"/>
    <s v="GUI"/>
    <x v="1"/>
    <s v="WWFSGUI_OBT_2.1.34.0.1"/>
    <s v="CMTeam"/>
    <s v="Rajeev Kumar"/>
    <m/>
    <m/>
    <s v="\\192.168.3.3\Share\Releases\Projects\OBT\Release_For_LQA\TestBuild_1.0.0.7\Server CD\GUI\Setup "/>
    <s v="Pass"/>
    <s v="Readme Re-Released"/>
    <m/>
    <m/>
    <m/>
    <s v="Ajay Kumar Pandey"/>
    <x v="0"/>
    <s v=""/>
    <x v="0"/>
    <x v="0"/>
  </r>
  <r>
    <d v="2014-09-05T00:00:00"/>
    <d v="2014-09-05T00:00:00"/>
    <n v="9"/>
    <s v="2014-Sep"/>
    <n v="9"/>
    <s v="IT-LQA"/>
    <x v="0"/>
    <m/>
    <s v="DM"/>
    <s v="DBS"/>
    <x v="0"/>
    <s v="DMDBS_SLT_2.0.0.23.1.170b1"/>
    <s v="CMTeam"/>
    <s v="Rohit Kanw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m/>
    <x v="0"/>
    <s v=""/>
    <x v="0"/>
    <x v="0"/>
  </r>
  <r>
    <d v="2014-09-05T00:00:00"/>
    <d v="2014-09-05T00:00:00"/>
    <n v="9"/>
    <s v="2014-Sep"/>
    <n v="9"/>
    <s v="LQA-FAT"/>
    <x v="0"/>
    <m/>
    <s v="MPE"/>
    <s v="MPE"/>
    <x v="0"/>
    <s v=" MPE_SLT-1B_3.0.1.1.1.94b1"/>
    <s v="CMTeam"/>
    <s v="Muktesh Mukul"/>
    <m/>
    <m/>
    <s v="\\192.168.3.3\Share\Releases\Projects\SLT-1B\Release_For_Test\Test_Build_1.0.0.1\Server CD\MPE\Setup"/>
    <s v="Pass"/>
    <m/>
    <m/>
    <m/>
    <m/>
    <m/>
    <x v="0"/>
    <m/>
    <x v="4"/>
    <x v="2"/>
  </r>
  <r>
    <d v="2014-09-05T00:00:00"/>
    <d v="2014-09-05T00:00:00"/>
    <n v="9"/>
    <s v="2014-Sep"/>
    <n v="9"/>
    <s v="IT-LQA-UAT"/>
    <x v="12"/>
    <m/>
    <s v="DM"/>
    <s v="DBS"/>
    <x v="0"/>
    <s v="DMDBS_DRC_2.1.1.7.2.20b2"/>
    <s v="CMTeam"/>
    <s v="Anjani Kumar"/>
    <s v="\\192.168.3.3\Share\Releases\Projects\DRC\Release_For_IT\Test_Build_1.0.0.3\Server CD\DBS\Setup"/>
    <m/>
    <s v="\\192.168.3.3\Share\Releases\Projects\DRC\Release_For_LQA\Test_Build_1.0.0.3\Server CD\DBS\Setup"/>
    <s v="Pass"/>
    <m/>
    <m/>
    <m/>
    <m/>
    <s v="Manas Ranjan Barik"/>
    <x v="0"/>
    <s v=""/>
    <x v="0"/>
    <x v="0"/>
  </r>
  <r>
    <d v="2014-09-05T00:00:00"/>
    <d v="2014-09-05T00:00:00"/>
    <n v="9"/>
    <s v="2014-Sep"/>
    <n v="9"/>
    <s v="IT-LQA-UAT"/>
    <x v="8"/>
    <m/>
    <s v="Utility"/>
    <s v="Utility"/>
    <x v="1"/>
    <s v="NMUTLMIG5_TWC_1.0.0.0.2"/>
    <s v="CMTeam"/>
    <s v="Sudip Ghosh"/>
    <s v="\\192.168.3.3\Share\Releases\Projects\TWC\Release_For_Test\Test_Build_1.0.0.4\Utility\Setup"/>
    <m/>
    <s v="\\192.168.3.3\Share\Releases\Projects\TWC\Release_For_IT\Test_Build_1.0.0.3\Utility\Setup"/>
    <s v="Pass"/>
    <m/>
    <m/>
    <m/>
    <m/>
    <s v="Pradeep Raghav"/>
    <x v="0"/>
    <s v=""/>
    <x v="0"/>
    <x v="0"/>
  </r>
  <r>
    <d v="2014-09-05T00:00:00"/>
    <d v="2014-09-05T00:00:00"/>
    <n v="9"/>
    <s v="2014-Sep"/>
    <n v="9"/>
    <s v="LQA"/>
    <x v="20"/>
    <m/>
    <s v="RT"/>
    <s v="GUI"/>
    <x v="1"/>
    <s v="RTGUI_FNB_4.0.19.0.1"/>
    <s v="CMTeam"/>
    <s v="Ratnesh Singh"/>
    <m/>
    <m/>
    <s v="\\192.168.3.3\Share\Releases\Projects\FNB\Release_For_Test\Test_Build_1.0.0.1\Server CD\GUI\Setup"/>
    <s v="Pass"/>
    <s v="Readme Re-Released"/>
    <m/>
    <m/>
    <m/>
    <m/>
    <x v="0"/>
    <s v=""/>
    <x v="0"/>
    <x v="0"/>
  </r>
  <r>
    <d v="2014-09-05T00:00:00"/>
    <d v="2014-09-05T00:00:00"/>
    <n v="9"/>
    <s v="2014-Sep"/>
    <n v="9"/>
    <s v="LQA"/>
    <x v="5"/>
    <m/>
    <s v="RT"/>
    <s v="GUI"/>
    <x v="1"/>
    <s v="RTGUI_BHN_4.0.27.0.1"/>
    <s v="CMTeam"/>
    <s v="Ratnesh Singh"/>
    <m/>
    <m/>
    <s v="\\192.168.3.3\Share\Releases\Projects\BHN\Release_For_Test\Test_Build_1.0.0.1\Server CD\GUI\Setup"/>
    <m/>
    <s v="Readme Re-Released"/>
    <m/>
    <m/>
    <m/>
    <m/>
    <x v="1"/>
    <s v=""/>
    <x v="0"/>
    <x v="0"/>
  </r>
  <r>
    <d v="2014-09-06T00:00:00"/>
    <d v="2014-09-06T00:00:00"/>
    <n v="9"/>
    <s v="2014-Sep"/>
    <n v="9"/>
    <s v="IT-LQA"/>
    <x v="10"/>
    <m/>
    <s v="NM"/>
    <s v="DBS"/>
    <x v="0"/>
    <s v="NMDBS_COM_4.6.1.29.1.73b3"/>
    <s v="CMTeam"/>
    <s v="Sachin Srivastva"/>
    <s v="\\192.168.3.3\Share\Releases\Projects\Comcast\Release_For_IT\Test_Build_4.6.1\Server CD\Database\Setup"/>
    <s v="Obsolete-LQA"/>
    <s v="\\192.168.3.3\Share\Releases\Projects\Comcast\Release_for_Test\Test_Build_4.6.6\Server CD\Database\Setup"/>
    <m/>
    <m/>
    <m/>
    <m/>
    <m/>
    <m/>
    <x v="2"/>
    <d v="2014-09-06T00:00:00"/>
    <x v="37"/>
    <x v="1"/>
  </r>
  <r>
    <d v="2014-09-08T00:00:00"/>
    <d v="2014-09-08T00:00:00"/>
    <n v="9"/>
    <s v="2014-Sep"/>
    <n v="9"/>
    <s v="IT-LQA-UAT"/>
    <x v="1"/>
    <m/>
    <s v="DM"/>
    <s v="DBS"/>
    <x v="0"/>
    <s v="DMDBS_2.0.0.25b1"/>
    <s v="CMTeam"/>
    <s v="Anand Kumar Ojha"/>
    <s v="\\192.168.3.3\Share\Releases\Product\DataMind_2.0\Build&amp;Release\Release for IT\TestBuild_2.0.0\Server CD\DBS\Setup"/>
    <m/>
    <s v="\\192.168.3.3\Share\Releases\Product\DataMind_2.0\Build&amp;Release\Release for LQA\TestBuild_2.0.0\Server CD\DBS\Setup"/>
    <s v="Pass"/>
    <m/>
    <m/>
    <m/>
    <m/>
    <s v="Ravi Gautam"/>
    <x v="0"/>
    <s v=""/>
    <x v="0"/>
    <x v="0"/>
  </r>
  <r>
    <d v="2014-09-08T00:00:00"/>
    <d v="2014-09-08T00:00:00"/>
    <n v="9"/>
    <s v="2014-Sep"/>
    <n v="9"/>
    <s v="IT-LQA-UAT"/>
    <x v="10"/>
    <m/>
    <s v="NM"/>
    <s v="DBS"/>
    <x v="0"/>
    <s v="NMDBS_COM_4.6.1.29.1.73b4"/>
    <s v="CMTeam"/>
    <s v="Sachin Srivastva"/>
    <s v="\\192.168.3.3\Share\Releases\Projects\Comcast\Release_For_IT\Test_Build_4.6.1\Server CD\Database\Setup"/>
    <m/>
    <s v="\\192.168.3.3\Share\Releases\Projects\Comcast\Release_for_Test\Test_Build_4.6.6\Server CD\Database\Setup"/>
    <s v="Pass"/>
    <m/>
    <m/>
    <m/>
    <m/>
    <s v="Abhishek Leekha"/>
    <x v="0"/>
    <s v=""/>
    <x v="0"/>
    <x v="0"/>
  </r>
  <r>
    <d v="2014-09-08T00:00:00"/>
    <d v="2014-09-08T00:00:00"/>
    <n v="9"/>
    <s v="2014-Sep"/>
    <n v="9"/>
    <s v="IT-LQA"/>
    <x v="5"/>
    <m/>
    <s v="NM"/>
    <s v="DBS"/>
    <x v="0"/>
    <s v="NMDBS_BHN_3.5.1.60.1"/>
    <s v="CMTeam"/>
    <s v="Sudip Ghosh"/>
    <s v="\\192.168.3.3\Share\Projects\Neustar\BHN\Build&amp;Release\Release For IT\Test_Build_3.5.37\Server CD\Database\Setup"/>
    <m/>
    <s v="\\192.168.3.3\Share\Projects\Neustar\BHN\Build&amp;Release\Release For Test\Test_Build_3.5.37\Server CD\Database\Setup"/>
    <m/>
    <m/>
    <m/>
    <m/>
    <m/>
    <m/>
    <x v="1"/>
    <s v=""/>
    <x v="0"/>
    <x v="0"/>
  </r>
  <r>
    <d v="2014-09-08T00:00:00"/>
    <d v="2014-09-08T00:00:00"/>
    <n v="9"/>
    <s v="2014-Sep"/>
    <n v="9"/>
    <s v="IT-LQA-UAT"/>
    <x v="5"/>
    <m/>
    <s v="NM"/>
    <s v="DBS"/>
    <x v="0"/>
    <s v="NMDBS_BHN_3.5.1.61.1"/>
    <s v="CMTeam"/>
    <s v="Sudip Ghosh"/>
    <s v="\\192.168.3.3\Share\Projects\Neustar\BHN\Build&amp;Release\Release For IT\Test_Build_3.5.37\Server CD\Database\Setup"/>
    <m/>
    <s v="\\192.168.3.3\Share\Projects\Neustar\BHN\Build&amp;Release\Release For Test\Test_Build_3.5.37\Server CD\Database\Setup"/>
    <s v="Pass"/>
    <m/>
    <m/>
    <m/>
    <m/>
    <s v="Sunil Katyar"/>
    <x v="0"/>
    <s v=""/>
    <x v="0"/>
    <x v="0"/>
  </r>
  <r>
    <d v="2014-09-08T00:00:00"/>
    <d v="2014-09-08T00:00:00"/>
    <n v="9"/>
    <s v="2014-Sep"/>
    <n v="9"/>
    <s v="IT-LQA-UAT"/>
    <x v="5"/>
    <m/>
    <s v="NM"/>
    <s v="DBS"/>
    <x v="0"/>
    <s v="NMDBS_BHN_3.5.1.62.1"/>
    <s v="CMTeam"/>
    <s v="Sudip Ghosh"/>
    <s v="\\192.168.3.3\Share\Projects\Neustar\BHN\Build&amp;Release\Release For IT\Test_Build_3.5.37\Server CD\Database\Setup"/>
    <m/>
    <s v="\\192.168.3.3\Share\Projects\Neustar\BHN\Build&amp;Release\Release For Test\Test_Build_3.5.37\Server CD\Database\Setup"/>
    <s v="Pass"/>
    <m/>
    <m/>
    <m/>
    <m/>
    <s v="Sunil Katyar"/>
    <x v="0"/>
    <s v=""/>
    <x v="0"/>
    <x v="0"/>
  </r>
  <r>
    <d v="2014-09-08T00:00:00"/>
    <d v="2014-09-08T00:00:00"/>
    <n v="9"/>
    <s v="2014-Sep"/>
    <n v="9"/>
    <s v="IT-LQA"/>
    <x v="5"/>
    <m/>
    <s v="NM"/>
    <s v="DBS"/>
    <x v="0"/>
    <s v="NMDBS_BHN_3.5.1.63.1"/>
    <s v="CMTeam"/>
    <s v="Sudip Ghosh"/>
    <s v="\\192.168.3.3\Share\Projects\Neustar\BHN\Build&amp;Release\Release For IT\Test_Build_3.5.37\Server CD\Database\Setup"/>
    <s v="Obsolete-LQA"/>
    <s v="\\192.168.3.3\Share\Projects\Neustar\BHN\Build&amp;Release\Release For Test\Test_Build_3.5.37\Server CD\Database\Setup"/>
    <m/>
    <m/>
    <m/>
    <m/>
    <m/>
    <m/>
    <x v="2"/>
    <d v="2014-09-08T00:00:00"/>
    <x v="38"/>
    <x v="1"/>
  </r>
  <r>
    <d v="2014-09-08T00:00:00"/>
    <d v="2014-09-08T00:00:00"/>
    <n v="9"/>
    <s v="2014-Sep"/>
    <n v="9"/>
    <s v="IT-LQA"/>
    <x v="5"/>
    <m/>
    <s v="NM"/>
    <s v="DBS"/>
    <x v="0"/>
    <s v="NMDBS_BHN_3.5.1.64.1"/>
    <s v="CMTeam"/>
    <s v="Sudip Ghosh"/>
    <s v="\\192.168.3.3\Share\Projects\Neustar\BHN\Build&amp;Release\Release For IT\Test_Build_3.5.37\Server CD\Database\Setup"/>
    <s v="Obsolete-LQA"/>
    <s v="\\192.168.3.3\Share\Projects\Neustar\BHN\Build&amp;Release\Release For Test\Test_Build_3.5.37\Server CD\Database\Setup"/>
    <m/>
    <m/>
    <m/>
    <m/>
    <m/>
    <m/>
    <x v="2"/>
    <d v="2014-09-08T00:00:00"/>
    <x v="38"/>
    <x v="1"/>
  </r>
  <r>
    <d v="2014-09-08T00:00:00"/>
    <d v="2014-09-08T00:00:00"/>
    <n v="9"/>
    <s v="2014-Sep"/>
    <n v="9"/>
    <s v="IT-LQA"/>
    <x v="5"/>
    <m/>
    <s v="NM"/>
    <s v="DBS"/>
    <x v="0"/>
    <s v="NMDBS_BHN_3.5.1.65.1"/>
    <s v="CMTeam"/>
    <s v="Sudip Ghosh"/>
    <s v="\\192.168.3.3\Share\Projects\Neustar\BHN\Build&amp;Release\Release For IT\Test_Build_3.5.37\Server CD\Database\Setup"/>
    <s v="Obsolete-LQA"/>
    <s v="\\192.168.3.3\Share\Projects\Neustar\BHN\Build&amp;Release\Release For Test\Test_Build_3.5.37\Server CD\Database\Setup"/>
    <m/>
    <m/>
    <m/>
    <m/>
    <m/>
    <m/>
    <x v="2"/>
    <d v="2014-09-08T00:00:00"/>
    <x v="38"/>
    <x v="1"/>
  </r>
  <r>
    <d v="2014-09-08T00:00:00"/>
    <d v="2014-09-08T00:00:00"/>
    <n v="9"/>
    <s v="2014-Sep"/>
    <n v="9"/>
    <s v="IT-LQA-UAT"/>
    <x v="4"/>
    <m/>
    <s v="NM"/>
    <s v="DBS"/>
    <x v="0"/>
    <s v="NMDBS_TLSTR_4.0.1.0.4.312b1"/>
    <s v="CMTeam"/>
    <s v="Deepak Yadav"/>
    <s v="\\192.168.3.3\Share\Releases\Projects\Telstra\Release_For_IT\Test_Build_1.0.0.18\Server CD\DBS\Setup"/>
    <m/>
    <s v="\\192.168.3.3\Share\Releases\Projects\Telstra\Release_For_LQA\Test_Build_1.0.0.18\Server CD\DBS\Setup"/>
    <s v="Pass"/>
    <s v="Readme Re-Released"/>
    <m/>
    <m/>
    <m/>
    <s v="Deshraj"/>
    <x v="0"/>
    <s v=""/>
    <x v="0"/>
    <x v="0"/>
  </r>
  <r>
    <d v="2014-09-08T00:00:00"/>
    <d v="2014-09-08T00:00:00"/>
    <n v="9"/>
    <s v="2014-Sep"/>
    <n v="9"/>
    <s v="IT-LQA-UAT"/>
    <x v="4"/>
    <m/>
    <s v="NM"/>
    <s v="DBS"/>
    <x v="0"/>
    <s v="NMDBS_TLSTR_4.0.1.0.4.313b1"/>
    <s v="CMTeam"/>
    <s v="Deepak Yadav"/>
    <s v="\\192.168.3.3\Share\Releases\Projects\Telstra\Release_For_IT\Test_Build_1.0.0.18\Server CD\DBS\Setup"/>
    <m/>
    <s v="\\192.168.3.3\Share\Releases\Projects\Telstra\Release_For_LQA\Test_Build_1.0.0.18\Server CD\DBS\Setup"/>
    <s v="Pass"/>
    <s v="Readme Re-Released"/>
    <m/>
    <m/>
    <m/>
    <s v="Gaurav Shukla"/>
    <x v="0"/>
    <s v=""/>
    <x v="0"/>
    <x v="0"/>
  </r>
  <r>
    <d v="2014-09-08T00:00:00"/>
    <d v="2014-09-08T00:00:00"/>
    <n v="9"/>
    <s v="2014-Sep"/>
    <n v="9"/>
    <s v="LQA-UAT"/>
    <x v="4"/>
    <m/>
    <s v="MPE"/>
    <s v="MPE"/>
    <x v="0"/>
    <s v="MPE_TLSTR-2b_3.0.0.3.1.106b1"/>
    <s v="CMTeam"/>
    <s v="Sandeep Aggarwal"/>
    <m/>
    <m/>
    <s v="\\192.168.3.3\Share\Releases\Projects\Telstra-2b\Release_For_Test\Test_Build_1.0.0.1\Server CD\MPE\Setup"/>
    <s v="Pass"/>
    <s v="Readme Re-Released"/>
    <m/>
    <m/>
    <m/>
    <s v="Tushar Tyagi"/>
    <x v="0"/>
    <s v=""/>
    <x v="0"/>
    <x v="0"/>
  </r>
  <r>
    <d v="2014-09-09T00:00:00"/>
    <d v="2014-09-09T00:00:00"/>
    <n v="9"/>
    <s v="2014-Sep"/>
    <n v="9"/>
    <s v="IT-LQA-UAT"/>
    <x v="10"/>
    <m/>
    <s v="NP"/>
    <s v="DBS"/>
    <x v="0"/>
    <s v="NPDBS_COM_1.2.3.15.1.21b2"/>
    <s v="CMTeam"/>
    <s v="Nitin Kumar"/>
    <s v="\\192.168.3.3\Share\Releases\Projects\Comcast\Release_For_IT\Test_Build_4.6.1\Server CD\Database\Setup"/>
    <m/>
    <s v="\\192.168.3.3\Share\Releases\Projects\Telstra-2b\Release_For_Test\Test_Build_1.0.0.1\Server CD\MPE\Setup"/>
    <s v="Pass"/>
    <m/>
    <m/>
    <m/>
    <m/>
    <s v="Sumit Gomber"/>
    <x v="0"/>
    <s v=""/>
    <x v="0"/>
    <x v="0"/>
  </r>
  <r>
    <d v="2014-09-09T00:00:00"/>
    <d v="2014-09-09T00:00:00"/>
    <n v="9"/>
    <s v="2014-Sep"/>
    <n v="9"/>
    <s v="LQA"/>
    <x v="1"/>
    <m/>
    <s v="NP"/>
    <s v="DBS"/>
    <x v="0"/>
    <s v="NPDBS_1.3.2b3"/>
    <s v="CMTeam"/>
    <s v="Rajat Gupta"/>
    <m/>
    <s v="Obsolete-LQA"/>
    <s v="\\192.168.3.3\Share\Releases\Product\NetMindPOS_1.3\Build&amp;Release\Release_For_LQA\Test_Build_1.0.2\Server CD\DBS\Setup"/>
    <m/>
    <m/>
    <m/>
    <m/>
    <m/>
    <m/>
    <x v="2"/>
    <d v="2014-09-09T00:00:00"/>
    <x v="38"/>
    <x v="1"/>
  </r>
  <r>
    <d v="2014-09-09T00:00:00"/>
    <d v="2014-09-09T00:00:00"/>
    <n v="9"/>
    <s v="2014-Sep"/>
    <n v="9"/>
    <s v="IT-LQA"/>
    <x v="10"/>
    <m/>
    <s v="NM"/>
    <s v="DBS"/>
    <x v="0"/>
    <s v="NMDBS_COM_4.6.1.29.1.74b2"/>
    <s v="CMTeam"/>
    <s v="Sachin Srivastva"/>
    <s v="\\192.168.3.3\Share\Releases\Projects\Comcast\Release_for_Test\Test_Build_4.6.6\Server CD\Database\Setup"/>
    <s v="Obsolete-LQA"/>
    <s v="\\192.168.3.3\Share\Releases\Projects\Comcast\Release_for_Test\Test_Build_4.6.6\Server CD\Database\Setup"/>
    <m/>
    <m/>
    <m/>
    <m/>
    <m/>
    <m/>
    <x v="2"/>
    <d v="2014-09-09T00:00:00"/>
    <x v="38"/>
    <x v="1"/>
  </r>
  <r>
    <d v="2014-09-09T00:00:00"/>
    <d v="2014-09-09T00:00:00"/>
    <n v="9"/>
    <s v="2014-Sep"/>
    <n v="9"/>
    <s v="IT-LQA"/>
    <x v="12"/>
    <m/>
    <s v="DM"/>
    <s v="DBS"/>
    <x v="0"/>
    <s v="DMDBS_DRC_2.1.1.7.2.22b1"/>
    <s v="CMTeam"/>
    <s v="Rohit Kanwar"/>
    <s v="\\192.168.3.3\Share\Releases\Projects\DRC\Release_For_IT\Test_Build_1.0.0.3\Server CD\DBS\Setup"/>
    <s v="Obsolete-LQA"/>
    <s v="\\192.168.3.3\Share\Releases\Projects\DRC\Release_For_LQA\Test_Build_1.0.0.3\Server CD\DBS\Setup"/>
    <m/>
    <m/>
    <m/>
    <m/>
    <m/>
    <m/>
    <x v="2"/>
    <d v="2014-09-09T00:00:00"/>
    <x v="38"/>
    <x v="1"/>
  </r>
  <r>
    <d v="2014-09-10T00:00:00"/>
    <d v="2014-09-17T00:00:00"/>
    <n v="9"/>
    <s v="2014-Sep"/>
    <n v="9"/>
    <s v="IT-LQA"/>
    <x v="8"/>
    <m/>
    <s v="NM"/>
    <s v="DBS"/>
    <x v="0"/>
    <s v="NMDBS_TWC_4.6.1.11.3.43b2"/>
    <s v="CMTeam"/>
    <s v="Sudip Ghosh"/>
    <s v="\\192.168.3.3\Share\Releases\Projects\TWC\Release_For_IT\Test_Build_1.0.0.3\Server CD\DBS\Setup"/>
    <s v="Obsolete-LQA"/>
    <s v="\\192.168.3.3\Share\Releases\Projects\TWC\Release_For_Test\Test_Build_1.0.0.4\Server CD\DBS\Setup"/>
    <m/>
    <s v="Readme Re-Released"/>
    <m/>
    <m/>
    <m/>
    <m/>
    <x v="2"/>
    <d v="2014-09-17T00:00:00"/>
    <x v="39"/>
    <x v="1"/>
  </r>
  <r>
    <d v="2014-09-11T00:00:00"/>
    <d v="2014-09-11T00:00:00"/>
    <n v="9"/>
    <s v="2014-Sep"/>
    <n v="9"/>
    <s v="IT-LQA-FAT"/>
    <x v="0"/>
    <m/>
    <s v="RA"/>
    <s v="DBS"/>
    <x v="0"/>
    <s v="RADBS_SLT_2.1.1.12.1.80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09-11T00:00:00"/>
    <d v="2014-09-11T00:00:00"/>
    <n v="9"/>
    <s v="2014-Sep"/>
    <n v="9"/>
    <s v="IT-LQA-FAT"/>
    <x v="0"/>
    <m/>
    <s v="DM"/>
    <s v="DBS"/>
    <x v="0"/>
    <s v="DMDBS_SLT_2.0.0.23.1.171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09-11T00:00:00"/>
    <d v="2014-09-11T00:00:00"/>
    <n v="9"/>
    <s v="2014-Sep"/>
    <n v="9"/>
    <s v="IT-LQA-UAT"/>
    <x v="1"/>
    <m/>
    <s v="RE"/>
    <s v="DBS"/>
    <x v="0"/>
    <s v="REDBS_1.0.1.27b1"/>
    <s v="CMTeam"/>
    <s v="Shiv Mangal"/>
    <s v="\\192.168.3.3\Share\Releases\Product\RE_1.0\ReleaseForIT\TestBuild_1.0.1\DBS\Build4\Setup"/>
    <m/>
    <s v="\\192.168.3.3\Share\Releases\Product\RE_1.0\ReleaseForLQA\TestBuild_1.0.1\DBS\Build4\Setup"/>
    <s v="Pass"/>
    <m/>
    <m/>
    <m/>
    <m/>
    <s v="Ravi Gautam"/>
    <x v="0"/>
    <s v=""/>
    <x v="0"/>
    <x v="0"/>
  </r>
  <r>
    <d v="2014-09-11T00:00:00"/>
    <d v="2014-09-11T00:00:00"/>
    <n v="9"/>
    <s v="2014-Sep"/>
    <n v="9"/>
    <s v="IT-LQA"/>
    <x v="10"/>
    <m/>
    <s v="NM"/>
    <s v="DBS"/>
    <x v="0"/>
    <s v="NMDBS_COM_4.6.1.29.1.74b3"/>
    <s v="CMTeam"/>
    <s v="Sachin Srivastva"/>
    <s v="\\192.168.3.3\Share\Releases\Projects\Comcast\Release_For_IT\Test_Build_4.6.1\Server CD\Database\Setup"/>
    <m/>
    <s v="\\192.168.3.3\Share\Releases\Projects\Comcast\Release_for_Test\Test_Build_4.6.6\Server CD\Database\Setup"/>
    <m/>
    <m/>
    <m/>
    <m/>
    <m/>
    <m/>
    <x v="1"/>
    <s v=""/>
    <x v="0"/>
    <x v="0"/>
  </r>
  <r>
    <d v="2014-09-11T00:00:00"/>
    <d v="2014-09-11T00:00:00"/>
    <n v="9"/>
    <s v="2014-Sep"/>
    <n v="9"/>
    <s v="IT-LQA-UAT"/>
    <x v="10"/>
    <m/>
    <s v="NM"/>
    <s v="DBS"/>
    <x v="0"/>
    <s v="NMDBS_COM_4.6.1.29.1.76b2"/>
    <s v="CMTeam"/>
    <s v="Sachin Srivastva"/>
    <s v="\\192.168.3.3\Share\Releases\Projects\Comcast\Release_For_IT\Test_Build_4.6.1\Server CD\Database\Setup"/>
    <m/>
    <s v="\\192.168.3.3\Share\Releases\Projects\Comcast\Release_for_Test\Test_Build_4.6.6\Server CD\Database\Setup"/>
    <s v="Pass"/>
    <m/>
    <m/>
    <m/>
    <m/>
    <s v="Abhishek Leekha"/>
    <x v="0"/>
    <s v=""/>
    <x v="0"/>
    <x v="0"/>
  </r>
  <r>
    <d v="2014-09-11T00:00:00"/>
    <d v="2014-09-11T00:00:00"/>
    <n v="9"/>
    <s v="2014-Sep"/>
    <n v="9"/>
    <s v="IT-LQA-UAT"/>
    <x v="3"/>
    <m/>
    <s v="NM"/>
    <s v="DBS"/>
    <x v="0"/>
    <s v="NMDBS_OBT_4.6.1.27.1.41b1"/>
    <s v="CMTeam"/>
    <s v="Rohit Kanwar"/>
    <s v="\\192.168.3.3\Share\Releases\Projects\OBT\Release_For_IT\TestBuild_1.0.0.2\Server CD\DBS\Setup"/>
    <s v="Obsolete-LQA"/>
    <s v="\\192.168.3.3\Share\Releases\Projects\OBT\Release_For_LQA\TestBuild_1.0.0.6\Server CD\DBS\Setup"/>
    <s v="Pass"/>
    <m/>
    <m/>
    <m/>
    <m/>
    <s v="Ajay Kumar Pandey"/>
    <x v="2"/>
    <d v="2014-09-11T00:00:00"/>
    <x v="38"/>
    <x v="1"/>
  </r>
  <r>
    <d v="2014-09-11T00:00:00"/>
    <d v="2014-09-11T00:00:00"/>
    <n v="9"/>
    <s v="2014-Sep"/>
    <n v="9"/>
    <s v="IT-LQA-FAT"/>
    <x v="0"/>
    <m/>
    <s v="DM"/>
    <s v="DBS"/>
    <x v="0"/>
    <s v="DMDBS_SLT_2.0.0.23.1.172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09-15T00:00:00"/>
    <d v="2014-09-15T00:00:00"/>
    <n v="9"/>
    <s v="2014-Sep"/>
    <n v="9"/>
    <s v="IT-LQA-UAT"/>
    <x v="3"/>
    <m/>
    <s v="NM"/>
    <s v="DBS"/>
    <x v="0"/>
    <s v="NMDBS_OBT_4.6.1.27.1.41b2"/>
    <s v="CMTeam"/>
    <s v="Rohit Kanwar"/>
    <s v="\\192.168.3.3\Share\Releases\Projects\OBT\Release_For_IT\TestBuild_1.0.0.2\Server CD\DBS\Setup"/>
    <m/>
    <s v="\\192.168.3.3\Share\Releases\Projects\OBT\Release_For_LQA\TestBuild_1.0.0.6\Server CD\DBS\Setup"/>
    <s v="Pass"/>
    <m/>
    <m/>
    <m/>
    <m/>
    <s v="Ajay Kumar Pandey"/>
    <x v="0"/>
    <s v=""/>
    <x v="0"/>
    <x v="0"/>
  </r>
  <r>
    <d v="2014-09-16T00:00:00"/>
    <d v="2014-09-16T00:00:00"/>
    <n v="9"/>
    <s v="2014-Sep"/>
    <n v="9"/>
    <s v="IT-LQA-FAT"/>
    <x v="0"/>
    <m/>
    <s v="RA"/>
    <s v="DBS"/>
    <x v="0"/>
    <s v="RADBS_SLT_2.1.1.12.1.81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09-16T00:00:00"/>
    <d v="2014-09-16T00:00:00"/>
    <n v="9"/>
    <s v="2014-Sep"/>
    <n v="9"/>
    <s v="IT-LQA-FAT"/>
    <x v="0"/>
    <m/>
    <s v="DM"/>
    <s v="DBS"/>
    <x v="0"/>
    <s v="DMDBS_SLT_2.0.0.23.1.174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Nisha Malik"/>
    <x v="0"/>
    <s v=""/>
    <x v="0"/>
    <x v="0"/>
  </r>
  <r>
    <d v="2014-09-16T00:00:00"/>
    <d v="2014-09-16T00:00:00"/>
    <n v="9"/>
    <s v="2014-Sep"/>
    <n v="9"/>
    <s v="IT-LQA"/>
    <x v="0"/>
    <m/>
    <s v="NM"/>
    <s v="DBS"/>
    <x v="0"/>
    <s v="NMDBS_SLT_4.0.2.0.1.28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m/>
    <x v="0"/>
    <s v=""/>
    <x v="0"/>
    <x v="0"/>
  </r>
  <r>
    <d v="2014-09-16T00:00:00"/>
    <d v="2014-09-16T00:00:00"/>
    <n v="9"/>
    <s v="2014-Sep"/>
    <n v="9"/>
    <s v="LQA-UAT"/>
    <x v="10"/>
    <m/>
    <s v="WWFS"/>
    <s v="GUI"/>
    <x v="0"/>
    <s v="WWFSGUI_COM_2.1.34.0.1.3b1"/>
    <s v="CMTeam"/>
    <s v="Karamjeet kaur"/>
    <m/>
    <m/>
    <s v="\\192.168.3.3\Share\Releases\Projects\Comcast\Release_for_Test\Test_Build_4.6.6\Server CD\GUI\Setup "/>
    <s v="Pass"/>
    <m/>
    <m/>
    <m/>
    <m/>
    <s v="Rudra Narayan"/>
    <x v="0"/>
    <s v=""/>
    <x v="0"/>
    <x v="0"/>
  </r>
  <r>
    <d v="2014-09-17T00:00:00"/>
    <d v="2014-09-17T00:00:00"/>
    <n v="9"/>
    <s v="2014-Sep"/>
    <n v="9"/>
    <s v="IT-LQA"/>
    <x v="16"/>
    <m/>
    <s v="NP"/>
    <s v="DBS"/>
    <x v="0"/>
    <s v="NPDBS_TLN_1.0.4.95.1"/>
    <s v="CMTeam"/>
    <s v="Anjani Kumar"/>
    <s v="\\192.168.3.3\Share\Releases\Projects\Telenet\Build&amp;Release\Release For IT\Test_Build_4.0.41\Server CD\Database\Setup"/>
    <s v="Obsolete-LQA"/>
    <s v="\\192.168.3.3\Share\Releases\Projects\Telenet\Build&amp;Release\Release For Test\Test_Build_4.0.41\Server CD\Database\Setup"/>
    <m/>
    <m/>
    <m/>
    <m/>
    <m/>
    <m/>
    <x v="2"/>
    <d v="2014-09-17T00:00:00"/>
    <x v="39"/>
    <x v="1"/>
  </r>
  <r>
    <d v="2014-09-17T00:00:00"/>
    <d v="2014-09-17T00:00:00"/>
    <n v="9"/>
    <s v="2014-Sep"/>
    <n v="9"/>
    <s v="LQA"/>
    <x v="1"/>
    <m/>
    <s v="MPE"/>
    <s v="MPE"/>
    <x v="1"/>
    <s v="MPE_3.2.6b1"/>
    <s v="CMTeam"/>
    <s v="Harish Singh"/>
    <m/>
    <m/>
    <s v="\\192.168.3.3\Share\Releases\Product\MPE_3.2\ReleaseForLQA\TestBuild_3.2.6\Server CD\MPE\Setup"/>
    <m/>
    <m/>
    <m/>
    <m/>
    <m/>
    <m/>
    <x v="1"/>
    <s v=""/>
    <x v="0"/>
    <x v="0"/>
  </r>
  <r>
    <d v="2014-09-17T00:00:00"/>
    <d v="2014-09-17T00:00:00"/>
    <n v="9"/>
    <s v="2014-Sep"/>
    <n v="9"/>
    <s v="LQA-UAT"/>
    <x v="21"/>
    <m/>
    <s v="MPE"/>
    <s v="MPE"/>
    <x v="1"/>
    <s v="MPE_TLSTR-ST_3.2.6.0.1"/>
    <s v="CMTeam"/>
    <s v="Rohtash "/>
    <m/>
    <m/>
    <s v="\\192.168.3.3\Share\Releases\Projects\TLSTR-ST\Release_For_Test\Test_Build_1.0.0.1\Server CD\MPE\Setup"/>
    <s v="Pass"/>
    <s v="Readme Re-Released"/>
    <m/>
    <m/>
    <m/>
    <s v="Upender"/>
    <x v="0"/>
    <s v=""/>
    <x v="0"/>
    <x v="0"/>
  </r>
  <r>
    <d v="2014-09-17T00:00:00"/>
    <d v="2014-09-17T00:00:00"/>
    <n v="9"/>
    <s v="2014-Sep"/>
    <n v="9"/>
    <s v="IT-LQA-FAT"/>
    <x v="0"/>
    <m/>
    <s v="DM"/>
    <s v="DBS"/>
    <x v="0"/>
    <s v="DMDBS_SLT_2.0.0.23.1.173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09-17T00:00:00"/>
    <d v="2014-09-17T00:00:00"/>
    <n v="9"/>
    <s v="2014-Sep"/>
    <n v="9"/>
    <s v="LQA-UAT"/>
    <x v="8"/>
    <m/>
    <s v="WWCS"/>
    <s v="GUI"/>
    <x v="0"/>
    <s v="WWCSGUI_TWC_2.1.13.0.1.1b1"/>
    <s v="CMTeam"/>
    <s v="Deepak Dhiman"/>
    <m/>
    <m/>
    <s v="\\192.168.3.3\Share\Releases\Projects\TWC\Release_For_Test\Test_Build_1.0.0.4\Server CD\GUI\Setup"/>
    <s v="Pass"/>
    <m/>
    <m/>
    <m/>
    <m/>
    <s v="Ajay Kumar Pandey"/>
    <x v="0"/>
    <s v=""/>
    <x v="0"/>
    <x v="0"/>
  </r>
  <r>
    <d v="2014-09-18T00:00:00"/>
    <d v="2014-09-18T00:00:00"/>
    <n v="9"/>
    <s v="2014-Sep"/>
    <n v="9"/>
    <s v="IT-LQA-UAT"/>
    <x v="1"/>
    <m/>
    <s v="NP"/>
    <s v="DBS"/>
    <x v="0"/>
    <s v="NPDBS_1.2.3.17b1"/>
    <s v="CMTeam"/>
    <s v="Nitin Kumar"/>
    <s v="\\192.168.3.3\share\Releases\Product\NetMindPOS_1.1\Build&amp;Release\Release for IT\TestBuild_1.2.3\Server CD\DBS\Setup"/>
    <m/>
    <s v="\\192.168.3.3\share\Releases\Product\NetMindPOS_1.1\Build&amp;Release\Release for LQA\TestBuild_1.2.3\Server CD\DBS\Setup"/>
    <s v="Pass"/>
    <m/>
    <m/>
    <m/>
    <m/>
    <s v="Sumit Gomber"/>
    <x v="0"/>
    <s v=""/>
    <x v="0"/>
    <x v="0"/>
  </r>
  <r>
    <d v="2014-09-18T00:00:00"/>
    <d v="2014-09-18T00:00:00"/>
    <n v="9"/>
    <s v="2014-Sep"/>
    <n v="9"/>
    <s v="IT-LQA-UAT"/>
    <x v="10"/>
    <m/>
    <s v="NM"/>
    <s v="DBS"/>
    <x v="0"/>
    <s v="NMDBS_COM_4.6.1.29.1.77b1"/>
    <s v="CMTeam"/>
    <s v="Sachin Srivastva"/>
    <s v="\\192.168.3.3\Share\Releases\Projects\Comcast\Release_For_IT\Test_Build_4.6.1\Server CD\Database\Setup"/>
    <m/>
    <s v="\\192.168.3.3\Share\Releases\Projects\Comcast\Release_for_Test\Test_Build_4.6.6\Server CD\Database\Setup"/>
    <s v="Pass"/>
    <m/>
    <m/>
    <m/>
    <m/>
    <s v="Rudra Narayan"/>
    <x v="0"/>
    <s v=""/>
    <x v="0"/>
    <x v="0"/>
  </r>
  <r>
    <d v="2014-09-18T00:00:00"/>
    <d v="2014-09-18T00:00:00"/>
    <n v="9"/>
    <s v="2014-Sep"/>
    <n v="9"/>
    <s v="IT-LQA"/>
    <x v="10"/>
    <m/>
    <s v="NP"/>
    <s v="DBS"/>
    <x v="0"/>
    <s v="NPDBS_COM_1.2.3.15.1.22b1"/>
    <s v="CMTeam"/>
    <s v="Nitin Kumar"/>
    <s v="\\192.168.3.3\Share\Releases\Projects\Comcast\Release_For_IT\Test_Build_4.6.1\Server CD\Database\Setup"/>
    <m/>
    <s v="\\192.168.3.3\Share\Releases\Projects\Comcast\Release_for_Test\Test_Build_4.6.6\Server CD\Database\Setup"/>
    <m/>
    <m/>
    <m/>
    <m/>
    <m/>
    <m/>
    <x v="1"/>
    <s v=""/>
    <x v="0"/>
    <x v="0"/>
  </r>
  <r>
    <d v="2014-09-19T00:00:00"/>
    <d v="2014-09-19T00:00:00"/>
    <n v="9"/>
    <s v="2014-Sep"/>
    <n v="9"/>
    <s v="LQA"/>
    <x v="0"/>
    <m/>
    <s v="MPE"/>
    <s v="MPE"/>
    <x v="0"/>
    <s v="MPE_SLT-1B_3.0.1.1.1.95b1"/>
    <s v="CMTeam"/>
    <s v="Muktesh Mukul"/>
    <m/>
    <m/>
    <s v="\\192.168.3.3\Share\Releases\Projects\SLT-1B\Release_For_Test\Test_Build_1.0.0.1\Server CD\MPE\Setup"/>
    <s v="Pass"/>
    <m/>
    <m/>
    <m/>
    <m/>
    <m/>
    <x v="0"/>
    <s v=""/>
    <x v="0"/>
    <x v="0"/>
  </r>
  <r>
    <d v="2014-09-19T00:00:00"/>
    <d v="2014-09-19T00:00:00"/>
    <n v="9"/>
    <s v="2014-Sep"/>
    <n v="9"/>
    <s v="IT-LQA-FAT"/>
    <x v="0"/>
    <m/>
    <s v="DM"/>
    <s v="DBS"/>
    <x v="0"/>
    <s v="DMDBS_SLT_2.0.0.23.1.175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09-19T00:00:00"/>
    <d v="2014-09-19T00:00:00"/>
    <n v="9"/>
    <s v="2014-Sep"/>
    <n v="9"/>
    <s v="IT-LQA-FAT"/>
    <x v="0"/>
    <m/>
    <s v="RA"/>
    <s v="DBS"/>
    <x v="0"/>
    <s v="RADBS_SLT_2.1.1.12.1.82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09-19T00:00:00"/>
    <d v="2014-09-19T00:00:00"/>
    <n v="9"/>
    <s v="2014-Sep"/>
    <n v="9"/>
    <s v="LQA-UAT"/>
    <x v="10"/>
    <m/>
    <s v="WWFS"/>
    <s v="GUI"/>
    <x v="0"/>
    <s v="WWFSGUI_COM_2.1.34.0.1.4b1"/>
    <s v="CMTeam"/>
    <s v="Sumit Dalal "/>
    <m/>
    <m/>
    <s v="\\192.168.3.3\Share\Releases\Projects\Comcast\Release_for_Test\Test_Build_4.6.6\Server CD\GUI\Setup "/>
    <s v="Pass"/>
    <m/>
    <m/>
    <m/>
    <m/>
    <s v="Rudra Narayan"/>
    <x v="0"/>
    <s v=""/>
    <x v="0"/>
    <x v="0"/>
  </r>
  <r>
    <d v="2014-09-19T00:00:00"/>
    <d v="2014-09-19T00:00:00"/>
    <n v="9"/>
    <s v="2014-Sep"/>
    <n v="9"/>
    <s v="IT-LQA"/>
    <x v="10"/>
    <m/>
    <s v="NP"/>
    <s v="DBS"/>
    <x v="0"/>
    <s v="NPDBS_COM_1.2.3.17.1.23b1"/>
    <s v="CMTeam"/>
    <s v="Nitin Kumar"/>
    <s v="\\192.168.3.3\Share\Releases\Projects\Comcast\Release_For_IT\Test_Build_4.6.1\Server CD\Database\Setup"/>
    <m/>
    <s v="\\192.168.3.3\Share\Releases\Projects\Comcast\Release_for_Test\Test_Build_4.6.6\Server CD\Database\Setup"/>
    <m/>
    <m/>
    <m/>
    <m/>
    <m/>
    <m/>
    <x v="1"/>
    <s v=""/>
    <x v="0"/>
    <x v="0"/>
  </r>
  <r>
    <d v="2014-09-19T00:00:00"/>
    <d v="2014-09-19T00:00:00"/>
    <n v="9"/>
    <s v="2014-Sep"/>
    <n v="9"/>
    <s v="LQA"/>
    <x v="5"/>
    <m/>
    <s v="WWCS"/>
    <s v="GUI"/>
    <x v="1"/>
    <s v="WWCSGUI_BHN_2.1.19.0.1"/>
    <s v="CMTeam"/>
    <s v="Deepak Dhiman"/>
    <m/>
    <m/>
    <s v="\\192.168.3.3\Share\Releases\Projects\BHN\Release_For_Test\Test_Build_1.0.1\Server CD\GUI\Setup"/>
    <m/>
    <s v="Readme Re-Released"/>
    <m/>
    <m/>
    <m/>
    <m/>
    <x v="1"/>
    <s v=""/>
    <x v="0"/>
    <x v="0"/>
  </r>
  <r>
    <d v="2014-09-20T00:00:00"/>
    <d v="2014-09-20T00:00:00"/>
    <n v="9"/>
    <s v="2014-Sep"/>
    <n v="9"/>
    <s v="LQA"/>
    <x v="5"/>
    <m/>
    <s v="WWFS"/>
    <s v="GUI"/>
    <x v="1"/>
    <s v="WWFSGUI_BHN_2.1.34.0.1"/>
    <s v="CMTeam"/>
    <s v="Deepak Dhiman"/>
    <m/>
    <m/>
    <s v="\\192.168.3.3\Share\Releases\Projects\BHN\Release_For_Test\Test_Build_1.0.1\Server CD\GUI\Setup"/>
    <m/>
    <s v="Readme Re-Released"/>
    <m/>
    <m/>
    <m/>
    <m/>
    <x v="1"/>
    <s v=""/>
    <x v="0"/>
    <x v="0"/>
  </r>
  <r>
    <d v="2014-09-20T00:00:00"/>
    <d v="2014-09-20T00:00:00"/>
    <n v="9"/>
    <s v="2014-Sep"/>
    <n v="9"/>
    <s v="IT-LQA-FAT"/>
    <x v="0"/>
    <m/>
    <s v="RA"/>
    <s v="DBS"/>
    <x v="0"/>
    <s v="RADBS_SLT_2.1.1.12.1.84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09-22T00:00:00"/>
    <d v="2014-09-22T00:00:00"/>
    <n v="9"/>
    <s v="2014-Sep"/>
    <n v="9"/>
    <s v="IT-LQA-FAT"/>
    <x v="0"/>
    <m/>
    <s v="DM"/>
    <s v="DBS"/>
    <x v="0"/>
    <s v="DMDBS_SLT_2.0.0.25.1.176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09-22T00:00:00"/>
    <d v="2014-09-22T00:00:00"/>
    <n v="9"/>
    <s v="2014-Sep"/>
    <n v="9"/>
    <s v="LQA-UAT"/>
    <x v="8"/>
    <m/>
    <s v="MPE"/>
    <s v="MPE"/>
    <x v="0"/>
    <s v="MPE_TWC_3.2.1.5.2.21b1"/>
    <s v="CMTeam"/>
    <s v="Ankit Jain"/>
    <m/>
    <m/>
    <s v="\\192.168.3.3\Share\Releases\Projects\TWC\Release_For_Test\Test_Build_1.0.0.4\Server CD\MPE\Setup"/>
    <s v="Pass"/>
    <m/>
    <m/>
    <m/>
    <m/>
    <s v="Ajay Kumar Pandey"/>
    <x v="0"/>
    <s v=""/>
    <x v="0"/>
    <x v="0"/>
  </r>
  <r>
    <d v="2014-09-22T00:00:00"/>
    <d v="2014-09-22T00:00:00"/>
    <n v="9"/>
    <s v="2014-Sep"/>
    <n v="9"/>
    <s v="IT-LQA-FAT"/>
    <x v="0"/>
    <m/>
    <s v="DM"/>
    <s v="DBS"/>
    <x v="0"/>
    <s v="DMDBS_SLT_2.0.0.25.1.178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09-22T00:00:00"/>
    <d v="2014-09-22T00:00:00"/>
    <n v="9"/>
    <s v="2014-Sep"/>
    <n v="9"/>
    <s v="LQA-UAT"/>
    <x v="4"/>
    <m/>
    <s v="MPE"/>
    <s v="MPE"/>
    <x v="0"/>
    <s v="MPE_TLSTR-2b_3.0.0.3.1.107b1"/>
    <s v="CMTeam"/>
    <s v="Sandeep Aggarwal"/>
    <m/>
    <m/>
    <s v="\\192.168.3.3\Share\Releases\Projects\Telstra-2b\Release_For_Test\Test_Build_1.0.0.1\Server CD\MPE\Setup"/>
    <s v="Pass"/>
    <m/>
    <m/>
    <m/>
    <m/>
    <s v="Gaurav Shukla"/>
    <x v="0"/>
    <s v=""/>
    <x v="0"/>
    <x v="0"/>
  </r>
  <r>
    <d v="2014-09-23T00:00:00"/>
    <d v="2014-09-23T00:00:00"/>
    <n v="9"/>
    <s v="2014-Sep"/>
    <n v="9"/>
    <s v="LQA"/>
    <x v="5"/>
    <m/>
    <s v="NM"/>
    <s v="DBS"/>
    <x v="1"/>
    <s v="NMDBS_BHN_4.7.1.1"/>
    <s v="CMTeam"/>
    <s v="Abhishek Sharma"/>
    <m/>
    <m/>
    <s v="\\192.168.3.3\Share\Releases\Projects\BHN\Release_For_Test\Test_Build_1.0.1\Server CD\DBS\Setup"/>
    <m/>
    <s v="Readme Re-Released"/>
    <m/>
    <m/>
    <m/>
    <m/>
    <x v="1"/>
    <s v=""/>
    <x v="0"/>
    <x v="0"/>
  </r>
  <r>
    <d v="2014-09-23T00:00:00"/>
    <d v="2014-09-23T00:00:00"/>
    <n v="9"/>
    <s v="2014-Sep"/>
    <n v="9"/>
    <s v="LQA"/>
    <x v="5"/>
    <m/>
    <s v="MPE"/>
    <s v="MPE"/>
    <x v="1"/>
    <s v="MPE_BHN_3.2.5.0.1"/>
    <s v="CMTeam"/>
    <s v="Ankit Jain"/>
    <m/>
    <m/>
    <s v="\\192.168.3.3\Share\Releases\Projects\BHN\Release_For_Test\Test_Build_1.0.1\Server CD\MPE\Setup "/>
    <m/>
    <m/>
    <m/>
    <m/>
    <m/>
    <m/>
    <x v="1"/>
    <s v=""/>
    <x v="0"/>
    <x v="0"/>
  </r>
  <r>
    <d v="2014-09-23T00:00:00"/>
    <d v="2014-09-23T00:00:00"/>
    <n v="9"/>
    <s v="2014-Sep"/>
    <n v="9"/>
    <s v="IT-LQA"/>
    <x v="5"/>
    <m/>
    <s v="NM"/>
    <s v="DBS"/>
    <x v="0"/>
    <s v="NMDBS_BHN_3.5.1.66.1"/>
    <s v="CMTeam"/>
    <s v="Abhishek Sharma"/>
    <s v="\\192.168.3.3\Share\Projects\Neustar\BHN\Build&amp;Release\Release For IT\Test_Build_3.5.37\Server CD\Database\Setup"/>
    <m/>
    <s v="\\192.168.3.3\Share\Projects\Neustar\BHN\Build&amp;Release\Release For Test\Test_Build_3.5.37\Server CD\Database\Setup"/>
    <m/>
    <m/>
    <m/>
    <m/>
    <m/>
    <m/>
    <x v="1"/>
    <s v=""/>
    <x v="0"/>
    <x v="0"/>
  </r>
  <r>
    <d v="2014-09-23T00:00:00"/>
    <d v="2014-09-23T00:00:00"/>
    <n v="9"/>
    <s v="2014-Sep"/>
    <n v="9"/>
    <s v="IT-LQA-FAT"/>
    <x v="0"/>
    <m/>
    <s v="DM"/>
    <s v="DBS"/>
    <x v="0"/>
    <s v="DMDBS_SLT_2.0.0.25.1.179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09-23T00:00:00"/>
    <d v="2014-09-23T00:00:00"/>
    <n v="9"/>
    <s v="2014-Sep"/>
    <n v="9"/>
    <s v="IT-LQA-FAT"/>
    <x v="0"/>
    <m/>
    <s v="RA"/>
    <s v="DBS"/>
    <x v="0"/>
    <s v="RADBS_SLT_2.1.1.12.1.85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09-24T00:00:00"/>
    <d v="2014-09-24T00:00:00"/>
    <n v="9"/>
    <s v="2014-Sep"/>
    <n v="9"/>
    <s v="IT-LQA"/>
    <x v="5"/>
    <m/>
    <s v="NM"/>
    <s v="DBS"/>
    <x v="0"/>
    <s v="NMDBS_BHN_3.5.1.67.1"/>
    <s v="CMTeam"/>
    <s v="Abhishek Sharma"/>
    <s v="\\192.168.3.3\Share\Projects\Neustar\BHN\Build&amp;Release\Release For IT\Test_Build_3.5.37\Server CD\Database\Setup"/>
    <m/>
    <s v="\\192.168.3.3\Share\Projects\Neustar\BHN\Build&amp;Release\Release For Test\Test_Build_3.5.37\Server CD\Database\Setup"/>
    <m/>
    <m/>
    <m/>
    <m/>
    <m/>
    <m/>
    <x v="1"/>
    <s v=""/>
    <x v="0"/>
    <x v="0"/>
  </r>
  <r>
    <d v="2014-09-24T00:00:00"/>
    <d v="2014-09-24T00:00:00"/>
    <n v="9"/>
    <s v="2014-Sep"/>
    <n v="9"/>
    <s v="IT-LQA"/>
    <x v="5"/>
    <m/>
    <s v="Utility"/>
    <s v="Utility"/>
    <x v="1"/>
    <s v="NMUTLMIG1_BHN_1.0.0.0.1"/>
    <s v="CMTeam"/>
    <s v="Sumita Yadav"/>
    <s v="\\192.168.3.3\Share\Releases\Projects\BHN\Release_For_Test\Test_Build_1.0.1\Server CD\Utility\Setup"/>
    <s v="Obsolete-LQA"/>
    <s v="\\192.168.3.3\Share\Releases\Projects\BHN\Release_For_IT\TestBuild_1.0.0.1\Server CD\Utility\Setup"/>
    <m/>
    <m/>
    <m/>
    <m/>
    <m/>
    <m/>
    <x v="2"/>
    <d v="2014-09-24T00:00:00"/>
    <x v="40"/>
    <x v="1"/>
  </r>
  <r>
    <d v="2014-09-24T00:00:00"/>
    <d v="2014-09-24T00:00:00"/>
    <n v="9"/>
    <s v="2014-Sep"/>
    <n v="9"/>
    <s v="IT-LQA"/>
    <x v="5"/>
    <m/>
    <s v="Utility"/>
    <s v="Utility"/>
    <x v="1"/>
    <s v="NMUTLMIG2_BHN_1.0.0.0.1"/>
    <s v="CMTeam"/>
    <s v="Sumita Yadav"/>
    <s v="\\192.168.3.3\Share\Releases\Projects\BHN\Release_For_Test\Test_Build_1.0.1\Server CD\Utility\Setup"/>
    <s v="Obsolete-LQA"/>
    <s v="\\192.168.3.3\Share\Releases\Projects\BHN\Release_For_IT\TestBuild_1.0.0.1\Server CD\Utility\Setup"/>
    <m/>
    <m/>
    <m/>
    <m/>
    <m/>
    <m/>
    <x v="2"/>
    <d v="2014-09-24T00:00:00"/>
    <x v="40"/>
    <x v="1"/>
  </r>
  <r>
    <d v="2014-09-24T00:00:00"/>
    <d v="2014-09-24T00:00:00"/>
    <n v="9"/>
    <s v="2014-Sep"/>
    <n v="9"/>
    <s v="IT-LQA"/>
    <x v="5"/>
    <m/>
    <s v="Utility"/>
    <s v="Utility"/>
    <x v="1"/>
    <s v="NMUTLMIG3_BHN_1.0.0.0.1"/>
    <s v="CMTeam"/>
    <s v="Sumita Yadav"/>
    <s v="\\192.168.3.3\Share\Releases\Projects\BHN\Release_For_Test\Test_Build_1.0.1\Server CD\Utility\Setup"/>
    <s v="Obsolete-LQA"/>
    <s v="\\192.168.3.3\Share\Releases\Projects\BHN\Release_For_IT\TestBuild_1.0.0.1\Server CD\Utility\Setup"/>
    <m/>
    <m/>
    <m/>
    <m/>
    <m/>
    <m/>
    <x v="2"/>
    <d v="2014-09-24T00:00:00"/>
    <x v="40"/>
    <x v="1"/>
  </r>
  <r>
    <d v="2014-09-24T00:00:00"/>
    <d v="2014-09-24T00:00:00"/>
    <n v="9"/>
    <s v="2014-Sep"/>
    <n v="9"/>
    <s v="IT-LQA"/>
    <x v="5"/>
    <m/>
    <s v="Utility"/>
    <s v="Utility"/>
    <x v="1"/>
    <s v="NMUTLMIG4_BHN_1.0.0.0.1"/>
    <s v="CMTeam"/>
    <s v="Sumita Yadav"/>
    <s v="\\192.168.3.3\Share\Releases\Projects\BHN\Release_For_Test\Test_Build_1.0.1\Server CD\Utility\Setup"/>
    <s v="Obsolete-LQA"/>
    <s v="\\192.168.3.3\Share\Releases\Projects\BHN\Release_For_IT\TestBuild_1.0.0.1\Server CD\Utility\Setup"/>
    <m/>
    <m/>
    <m/>
    <m/>
    <m/>
    <m/>
    <x v="2"/>
    <d v="2014-09-24T00:00:00"/>
    <x v="40"/>
    <x v="1"/>
  </r>
  <r>
    <d v="2014-09-24T00:00:00"/>
    <d v="2014-09-24T00:00:00"/>
    <n v="9"/>
    <s v="2014-Sep"/>
    <n v="9"/>
    <s v="IT-LQA"/>
    <x v="5"/>
    <m/>
    <s v="NM"/>
    <s v="DBS"/>
    <x v="0"/>
    <s v="NMDBS_BHN_3.5.1.63.2"/>
    <s v="CMTeam"/>
    <s v="Abhishek Sharma"/>
    <s v="\\192.168.3.3\Share\Projects\Neustar\BHN\Build&amp;Release\Release For IT\Test_Build_3.5.37\Server CD\Database\Setup"/>
    <s v="Obsolete-LQA"/>
    <s v="\\192.168.3.3\Share\Projects\Neustar\BHN\Build&amp;Release\Release For Test\Test_Build_3.5.37\Server CD\Database\Setup"/>
    <m/>
    <m/>
    <m/>
    <m/>
    <m/>
    <m/>
    <x v="2"/>
    <d v="2014-09-24T00:00:00"/>
    <x v="40"/>
    <x v="1"/>
  </r>
  <r>
    <d v="2014-09-24T00:00:00"/>
    <d v="2014-09-24T00:00:00"/>
    <n v="9"/>
    <s v="2014-Sep"/>
    <n v="9"/>
    <s v="IT-LQA"/>
    <x v="5"/>
    <m/>
    <s v="NM"/>
    <s v="DBS"/>
    <x v="0"/>
    <s v="NMDBS_BHN_3.5.1.64.2"/>
    <s v="CMTeam"/>
    <s v="Abhishek Sharma"/>
    <s v="\\192.168.3.3\Share\Projects\Neustar\BHN\Build&amp;Release\Release For IT\Test_Build_3.5.37\Server CD\Database\Setup"/>
    <s v="Obsolete-LQA"/>
    <s v="\\192.168.3.3\Share\Projects\Neustar\BHN\Build&amp;Release\Release For Test\Test_Build_3.5.37\Server CD\Database\Setup"/>
    <m/>
    <m/>
    <m/>
    <m/>
    <m/>
    <m/>
    <x v="2"/>
    <d v="2014-09-24T00:00:00"/>
    <x v="40"/>
    <x v="1"/>
  </r>
  <r>
    <d v="2014-09-24T00:00:00"/>
    <d v="2014-09-24T00:00:00"/>
    <n v="9"/>
    <s v="2014-Sep"/>
    <n v="9"/>
    <s v="IT-LQA-UAT"/>
    <x v="5"/>
    <m/>
    <s v="NM"/>
    <s v="DBS"/>
    <x v="0"/>
    <s v="NMDBS_BHN_3.5.1.65.2"/>
    <s v="CMTeam"/>
    <s v="Abhishek Sharma"/>
    <s v="\\192.168.3.3\Share\Projects\Neustar\BHN\Build&amp;Release\Release For IT\Test_Build_3.5.37\Server CD\Database\Setup"/>
    <m/>
    <s v="\\192.168.3.3\Share\Projects\Neustar\BHN\Build&amp;Release\Release For Test\Test_Build_3.5.37\Server CD\Database\Setup"/>
    <s v="Pass"/>
    <m/>
    <m/>
    <m/>
    <m/>
    <s v="Sunil Katyar"/>
    <x v="0"/>
    <s v=""/>
    <x v="0"/>
    <x v="0"/>
  </r>
  <r>
    <d v="2014-09-24T00:00:00"/>
    <d v="2014-09-24T00:00:00"/>
    <n v="9"/>
    <s v="2014-Sep"/>
    <n v="9"/>
    <s v="LQA-UAT"/>
    <x v="10"/>
    <m/>
    <s v="WWFS"/>
    <s v="GUI"/>
    <x v="0"/>
    <s v="WWFSGUI_COM_2.1.34.0.1.5b1"/>
    <s v="CMTeam"/>
    <s v="Deepak Dhiman"/>
    <m/>
    <m/>
    <s v="\\192.168.3.3\Share\Releases\Projects\Comcast\Release_for_Test\Test_Build_4.6.6\Server CD\GUI\Setup "/>
    <s v="Pass"/>
    <m/>
    <m/>
    <m/>
    <m/>
    <s v="Rudra Narayan"/>
    <x v="0"/>
    <s v=""/>
    <x v="0"/>
    <x v="0"/>
  </r>
  <r>
    <d v="2014-09-24T00:00:00"/>
    <d v="2014-09-24T00:00:00"/>
    <n v="9"/>
    <s v="2014-Sep"/>
    <n v="9"/>
    <s v="IT-LQA-FAT"/>
    <x v="0"/>
    <m/>
    <s v="DM"/>
    <s v="DBS"/>
    <x v="0"/>
    <s v="DMDBS_SLT_2.0.0.20.1.114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s v="Readme Re-Released"/>
    <m/>
    <m/>
    <m/>
    <s v="K.V. Krishnan"/>
    <x v="0"/>
    <s v=""/>
    <x v="0"/>
    <x v="0"/>
  </r>
  <r>
    <d v="2014-09-24T00:00:00"/>
    <d v="2014-09-24T00:00:00"/>
    <n v="9"/>
    <s v="2014-Sep"/>
    <n v="9"/>
    <s v="IT-LQA-UAT"/>
    <x v="10"/>
    <m/>
    <s v="RT"/>
    <s v="DBS"/>
    <x v="0"/>
    <s v="RTDBS_COM_4.0.1.20.1.4b1"/>
    <s v="CMTeam"/>
    <s v="Sachin Srivastva"/>
    <s v="\\192.168.3.3\Share\Releases\Projects\Comcast\Release_For_IT\Test_Build_4.6.1\Server CD\Database\Setup"/>
    <m/>
    <s v="\\192.168.3.3\Share\Releases\Projects\Comcast\Release_for_Test\Test_Build_4.6.6\Server CD\Database\Setup"/>
    <s v="Pass"/>
    <m/>
    <m/>
    <m/>
    <m/>
    <s v="Sumit Gomber"/>
    <x v="0"/>
    <s v=""/>
    <x v="0"/>
    <x v="0"/>
  </r>
  <r>
    <d v="2014-09-24T00:00:00"/>
    <d v="2014-09-24T00:00:00"/>
    <n v="9"/>
    <s v="2014-Sep"/>
    <n v="9"/>
    <s v="LQA-UAT"/>
    <x v="10"/>
    <m/>
    <s v="RT"/>
    <s v="GUI"/>
    <x v="0"/>
    <s v="RTGUI_COM_4.0.25.1.1.3b1"/>
    <s v="CMTeam"/>
    <s v="Ratnesh Singh"/>
    <m/>
    <m/>
    <s v="\\192.168.3.3\share\Releases\Projects\Comcast\Release_for_Test\Test_Build_4.6.6\Server CD\GUI\Setup"/>
    <s v="Pass"/>
    <m/>
    <m/>
    <m/>
    <m/>
    <s v="Sumit Gomber"/>
    <x v="0"/>
    <s v=""/>
    <x v="0"/>
    <x v="0"/>
  </r>
  <r>
    <d v="2014-09-25T00:00:00"/>
    <d v="2014-09-25T00:00:00"/>
    <n v="9"/>
    <s v="2014-Sep"/>
    <n v="9"/>
    <s v="IT-LQA-UAT"/>
    <x v="8"/>
    <m/>
    <s v="NM"/>
    <s v="DBS"/>
    <x v="0"/>
    <s v="NMDBS_TWC_4.6.1.11.3.43b3"/>
    <s v="CMTeam"/>
    <s v="Sudip Ghosh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Ajay Kumar Pandey"/>
    <x v="0"/>
    <s v=""/>
    <x v="0"/>
    <x v="0"/>
  </r>
  <r>
    <d v="2014-09-26T00:00:00"/>
    <d v="2014-09-26T00:00:00"/>
    <n v="9"/>
    <s v="2014-Sep"/>
    <n v="9"/>
    <s v="IT-LQA-FAT"/>
    <x v="0"/>
    <m/>
    <s v="DM"/>
    <s v="DBS"/>
    <x v="0"/>
    <s v="DMDBS_SLT_2.0.0.25.1.180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09-26T00:00:00"/>
    <d v="2014-09-26T00:00:00"/>
    <n v="9"/>
    <s v="2014-Sep"/>
    <n v="9"/>
    <s v="IT-LQA-FAT"/>
    <x v="0"/>
    <m/>
    <s v="DM"/>
    <s v="DBS"/>
    <x v="0"/>
    <s v="DMDBS_SLT_2.0.0.25.1.181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09-26T00:00:00"/>
    <d v="2014-09-26T00:00:00"/>
    <n v="9"/>
    <s v="2014-Sep"/>
    <n v="9"/>
    <s v="IT-LQA-FAT"/>
    <x v="0"/>
    <m/>
    <s v="DM"/>
    <s v="DBS"/>
    <x v="0"/>
    <s v="DMDBS_SLT_2.0.0.25.1.182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09-26T00:00:00"/>
    <d v="2014-09-26T00:00:00"/>
    <n v="9"/>
    <s v="2014-Sep"/>
    <n v="9"/>
    <s v="IT-LQA-UAT"/>
    <x v="5"/>
    <m/>
    <s v="NM"/>
    <s v="DBS"/>
    <x v="0"/>
    <s v="NMDBS_BHN_3.5.1.63.3"/>
    <s v="CMTeam"/>
    <s v="Sudip Ghosh"/>
    <s v="\\192.168.3.3\Share\Projects\Neustar\BHN\Build&amp;Release\Release For IT\Test_Build_3.5.37\Server CD\Database\Setup"/>
    <m/>
    <s v="\\192.168.3.3\Share\Projects\Neustar\BHN\Build&amp;Release\Release For Test\Test_Build_3.5.37\Server CD\Database\Setup"/>
    <s v="Pass"/>
    <m/>
    <m/>
    <m/>
    <m/>
    <s v="Sunil Katyar"/>
    <x v="0"/>
    <s v=""/>
    <x v="0"/>
    <x v="0"/>
  </r>
  <r>
    <d v="2014-09-26T00:00:00"/>
    <d v="2014-09-26T00:00:00"/>
    <n v="9"/>
    <s v="2014-Sep"/>
    <n v="9"/>
    <s v="IT-LQA-UAT"/>
    <x v="5"/>
    <m/>
    <s v="NM"/>
    <s v="DBS"/>
    <x v="0"/>
    <s v="NMDBS_BHN_3.5.1.64.3"/>
    <s v="CMTeam"/>
    <s v="Sudip Ghosh"/>
    <s v="\\192.168.3.3\Share\Projects\Neustar\BHN\Build&amp;Release\Release For IT\Test_Build_3.5.37\Server CD\Database\Setup"/>
    <m/>
    <s v="\\192.168.3.3\Share\Projects\Neustar\BHN\Build&amp;Release\Release For Test\Test_Build_3.5.37\Server CD\Database\Setup"/>
    <s v="Pass"/>
    <m/>
    <m/>
    <m/>
    <m/>
    <s v="Sunil Katyar"/>
    <x v="0"/>
    <s v=""/>
    <x v="0"/>
    <x v="0"/>
  </r>
  <r>
    <d v="2014-09-26T00:00:00"/>
    <d v="2014-09-26T00:00:00"/>
    <n v="9"/>
    <s v="2014-Sep"/>
    <n v="9"/>
    <s v="IT-LQA-UAT"/>
    <x v="21"/>
    <s v="phase 1"/>
    <s v="DM"/>
    <s v="DBS"/>
    <x v="0"/>
    <s v="DMDBS_TLSTR-ST_2.1.1.8.1.1b1"/>
    <s v="CMTeam"/>
    <s v="Aditya Garg"/>
    <s v="\\192.168.3.3\Share\Releases\Projects\SLT\Release_For_IT\Test_Build_1.0.0.4\Server CD\DBS\Setup"/>
    <m/>
    <s v="\\192.168.3.3\Share\Releases\Projects\TLSTR-ST\Release_For_Test\Test_Build_1.0.1\Server CD\MPE\Setup"/>
    <s v="Pass"/>
    <m/>
    <m/>
    <m/>
    <m/>
    <s v="Upender"/>
    <x v="0"/>
    <s v=""/>
    <x v="0"/>
    <x v="0"/>
  </r>
  <r>
    <d v="2014-09-26T00:00:00"/>
    <d v="2014-09-26T00:00:00"/>
    <n v="9"/>
    <s v="2014-Sep"/>
    <n v="9"/>
    <s v="LQA-UAT"/>
    <x v="21"/>
    <m/>
    <s v="MPE"/>
    <s v="MPE"/>
    <x v="0"/>
    <s v="MPE_TLSTR-ST_3.2.6.0.1.1b1"/>
    <s v="CMTeam"/>
    <s v="Rohtash "/>
    <m/>
    <m/>
    <s v="\\192.168.3.3\Share\Releases\Projects\TLSTR-ST\Release_For_Test\Test_Build_1.0.1\Server CD\MPE\Setup"/>
    <s v="Pass"/>
    <m/>
    <m/>
    <m/>
    <m/>
    <s v="Upender"/>
    <x v="0"/>
    <s v=""/>
    <x v="0"/>
    <x v="0"/>
  </r>
  <r>
    <d v="2014-09-27T00:00:00"/>
    <d v="2014-09-26T00:00:00"/>
    <n v="9"/>
    <s v="2014-Sep"/>
    <n v="9"/>
    <s v="IT-LQA-UAT"/>
    <x v="16"/>
    <m/>
    <s v="NP"/>
    <s v="DBS"/>
    <x v="0"/>
    <s v="NPDBS_TLN_1.0.4.95.2"/>
    <s v="CMTeam"/>
    <s v="Anjani Kumar"/>
    <s v="\\192.168.3.3\Share\Releases\Projects\Telenet\Build&amp;Release\Release For IT\Test_Build_4.0.41\Server CD\Database\Setup"/>
    <m/>
    <s v="\\192.168.3.3\Share\Releases\Projects\Telenet\Build&amp;Release\Release For Test\Test_Build_4.0.41\Server CD\Database\Setup"/>
    <s v="Pass"/>
    <m/>
    <m/>
    <m/>
    <m/>
    <s v="Ajay Kumar Pandey"/>
    <x v="0"/>
    <s v=""/>
    <x v="0"/>
    <x v="0"/>
  </r>
  <r>
    <d v="2014-09-29T00:00:00"/>
    <d v="2014-09-29T00:00:00"/>
    <n v="9"/>
    <s v="2014-Sep"/>
    <n v="9"/>
    <s v="IT-LQA-UAT"/>
    <x v="8"/>
    <m/>
    <s v="NM"/>
    <s v="DBS"/>
    <x v="0"/>
    <s v="NMDBS_TWC_4.6.1.11.3.44b1"/>
    <s v="CMTeam"/>
    <s v="Sudip Ghosh"/>
    <s v="\\192.168.3.3\Share\Releases\Projects\TWC\Release_For_IT\Test_Build_1.0.0.3\Server CD\DBS\Setup"/>
    <m/>
    <s v="\\192.168.3.3\Share\Releases\Projects\TWC\Release_For_Test\Test_Build_1.0.0.4\Server CD\DBS\Setup"/>
    <s v="Pass"/>
    <s v="Readme Re-Released"/>
    <m/>
    <m/>
    <m/>
    <s v="Ajay Kumar Pandey"/>
    <x v="0"/>
    <s v=""/>
    <x v="0"/>
    <x v="0"/>
  </r>
  <r>
    <d v="2014-09-29T00:00:00"/>
    <d v="2014-09-29T00:00:00"/>
    <n v="9"/>
    <s v="2014-Sep"/>
    <n v="9"/>
    <s v="LQA-UAT"/>
    <x v="3"/>
    <m/>
    <s v="MPE"/>
    <s v="MPE"/>
    <x v="0"/>
    <s v="MPE_OBT_3.2.1.8.1.25b1"/>
    <s v="CMTeam"/>
    <s v="Navkaran Sandhu"/>
    <m/>
    <m/>
    <s v="\\192.168.3.3\share\Releases\Projects\OBT\Release_For_LQA\TestBuild_1.0.0.7\Server CD\MPE\Setup"/>
    <s v="Pass"/>
    <m/>
    <m/>
    <m/>
    <m/>
    <s v="Ajay Kumar Pandey"/>
    <x v="0"/>
    <s v=""/>
    <x v="0"/>
    <x v="0"/>
  </r>
  <r>
    <d v="2014-09-30T00:00:00"/>
    <d v="2014-09-30T00:00:00"/>
    <n v="9"/>
    <s v="2014-Sep"/>
    <n v="9"/>
    <s v="LQA-FAT"/>
    <x v="0"/>
    <m/>
    <s v="DM"/>
    <s v="DBS"/>
    <x v="0"/>
    <s v="DMDBS_SLT_2.0.0.25.1.183b1 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Surya N Behra"/>
    <x v="0"/>
    <s v=""/>
    <x v="0"/>
    <x v="0"/>
  </r>
  <r>
    <d v="2014-09-30T00:00:00"/>
    <d v="2014-09-30T00:00:00"/>
    <n v="9"/>
    <s v="2014-Sep"/>
    <n v="9"/>
    <s v="IT-LQA"/>
    <x v="5"/>
    <m/>
    <s v="NM"/>
    <s v="DBS"/>
    <x v="0"/>
    <s v="NMDBS_BHN_3.5.1.68.1"/>
    <s v="CMTeam"/>
    <s v="Sudip Ghosh"/>
    <s v="\\192.168.3.3\Share\Projects\Neustar\BHN\Build&amp;Release\Release For IT\Test_Build_3.5.37\Server CD\Database\Setup"/>
    <s v="Obsolete-LQA"/>
    <s v="\\192.168.3.3\Share\Projects\Neustar\BHN\Build&amp;Release\Release For Test\Test_Build_3.5.37\Server CD\Database\Setup"/>
    <m/>
    <m/>
    <m/>
    <m/>
    <m/>
    <m/>
    <x v="2"/>
    <d v="2014-09-30T00:00:00"/>
    <x v="41"/>
    <x v="1"/>
  </r>
  <r>
    <d v="2014-09-30T00:00:00"/>
    <d v="2014-09-30T00:00:00"/>
    <n v="9"/>
    <s v="2014-Sep"/>
    <n v="9"/>
    <s v="IT-LQA"/>
    <x v="0"/>
    <m/>
    <s v="DM"/>
    <s v="DBS"/>
    <x v="0"/>
    <s v="DMDBS_SLT_2.0.0.25.1.184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m/>
    <x v="0"/>
    <s v=""/>
    <x v="0"/>
    <x v="0"/>
  </r>
  <r>
    <d v="2014-09-30T00:00:00"/>
    <d v="2014-09-30T00:00:00"/>
    <n v="9"/>
    <s v="2014-Sep"/>
    <n v="9"/>
    <s v="IT-LQA-FAT"/>
    <x v="0"/>
    <m/>
    <s v="DM"/>
    <s v="DBS"/>
    <x v="0"/>
    <s v="DMDBS_SLT_2.0.0.25.1.185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0-01T00:00:00"/>
    <d v="2014-10-01T00:00:00"/>
    <n v="10"/>
    <s v="2014-Oct"/>
    <n v="10"/>
    <s v="IT-LQA"/>
    <x v="5"/>
    <m/>
    <s v="NM"/>
    <s v="DBS"/>
    <x v="0"/>
    <s v="NMDBS_BHN_3.5.1.68.2"/>
    <s v="CMTeam"/>
    <s v="Sudip Ghosh"/>
    <s v="\\192.168.3.3\Share\Projects\Neustar\BHN\Build&amp;Release\Release For IT\Test_Build_3.5.37\Server CD\Database\Setup"/>
    <m/>
    <s v="\\192.168.3.3\Share\Projects\Neustar\BHN\Build&amp;Release\Release For Test\Test_Build_3.5.37\Server CD\Database\Setup"/>
    <m/>
    <m/>
    <m/>
    <m/>
    <m/>
    <m/>
    <x v="1"/>
    <s v=""/>
    <x v="0"/>
    <x v="0"/>
  </r>
  <r>
    <d v="2014-10-01T00:00:00"/>
    <d v="2014-10-01T00:00:00"/>
    <n v="10"/>
    <s v="2014-Oct"/>
    <n v="10"/>
    <s v="LQA-FAT"/>
    <x v="0"/>
    <m/>
    <s v="MPE"/>
    <s v="MPE"/>
    <x v="0"/>
    <s v="MPE_SLT-1B_3.0.1.1.1.96b1"/>
    <s v="CMTeam"/>
    <s v="Muktesh Mukul"/>
    <m/>
    <m/>
    <s v="\\192.168.3.3\Share\Releases\Projects\SLT-1B\Release_For_Test\Test_Build_1.0.0.1\Server CD\MPE\Setup"/>
    <s v="Pass"/>
    <s v="Readme Re-Released"/>
    <m/>
    <m/>
    <m/>
    <s v="K.V. Krishnan"/>
    <x v="0"/>
    <s v=""/>
    <x v="0"/>
    <x v="0"/>
  </r>
  <r>
    <d v="2014-10-01T00:00:00"/>
    <d v="2014-10-01T00:00:00"/>
    <n v="10"/>
    <s v="2014-Oct"/>
    <n v="10"/>
    <s v="LQA-UAT"/>
    <x v="21"/>
    <m/>
    <s v="MPE"/>
    <s v="MPE"/>
    <x v="0"/>
    <s v="MPE_TLSTR-ST_3.2.6.0.1.2b1"/>
    <s v="CMTeam"/>
    <s v="Rohtash "/>
    <m/>
    <m/>
    <s v="\\192.168.3.3\Share\Releases\Projects\TLSTR-ST\Release_For_Test\Test_Build_1.0.1\Server CD\MPE\Setup"/>
    <s v="Pass"/>
    <m/>
    <m/>
    <m/>
    <m/>
    <s v="Upender"/>
    <x v="0"/>
    <s v=""/>
    <x v="0"/>
    <x v="0"/>
  </r>
  <r>
    <d v="2014-10-01T00:00:00"/>
    <d v="2014-10-01T00:00:00"/>
    <n v="10"/>
    <s v="2014-Oct"/>
    <n v="10"/>
    <s v="IT-LQA-UAT"/>
    <x v="0"/>
    <m/>
    <s v="RA"/>
    <s v="DBS"/>
    <x v="0"/>
    <s v="RADBS_SLT_2.1.1.12.1.86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0-01T00:00:00"/>
    <d v="2014-10-01T00:00:00"/>
    <n v="10"/>
    <s v="2014-Oct"/>
    <n v="10"/>
    <s v="IT-LQA-UAT"/>
    <x v="0"/>
    <m/>
    <s v="DM"/>
    <s v="DBS"/>
    <x v="0"/>
    <s v="DMDBS_SLT_2.0.0.25.1.186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0-01T00:00:00"/>
    <d v="2014-10-01T00:00:00"/>
    <n v="10"/>
    <s v="2014-Oct"/>
    <n v="10"/>
    <s v="IT-LQA-UAT"/>
    <x v="0"/>
    <m/>
    <s v="RA"/>
    <s v="DBS"/>
    <x v="0"/>
    <s v="RADBS_SLT_2.1.1.12.1.87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0-01T00:00:00"/>
    <d v="2014-10-01T00:00:00"/>
    <n v="10"/>
    <s v="2014-Oct"/>
    <n v="10"/>
    <s v="IT-LQA-UAT"/>
    <x v="0"/>
    <m/>
    <s v="DM"/>
    <s v="DBS"/>
    <x v="0"/>
    <s v="DMDBS_SLT_2.0.0.25.1.187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0-01T00:00:00"/>
    <d v="2014-10-01T00:00:00"/>
    <n v="10"/>
    <s v="2014-Oct"/>
    <n v="10"/>
    <s v="IT-LQA"/>
    <x v="5"/>
    <m/>
    <s v="Utility"/>
    <s v="Utility"/>
    <x v="1"/>
    <s v="NMUTLMIG3_BHN_1.0.0.0.2"/>
    <s v="CMTeam"/>
    <s v="Sumita Yadav"/>
    <s v="\\192.168.3.3\Share\Releases\Projects\BHN\Release_For_Test\Test_Build_1.0.1\Server CD\Utility\Setup"/>
    <s v="Obsolete-LQA"/>
    <s v="\\192.168.3.3\Share\Releases\Projects\BHN\Release_For_IT\TestBuild_1.0.0.1\Server CD\Utility\Setup"/>
    <m/>
    <m/>
    <m/>
    <m/>
    <m/>
    <m/>
    <x v="2"/>
    <d v="2014-10-01T00:00:00"/>
    <x v="41"/>
    <x v="1"/>
  </r>
  <r>
    <d v="2014-10-01T00:00:00"/>
    <d v="2014-10-01T00:00:00"/>
    <n v="10"/>
    <s v="2014-Oct"/>
    <n v="10"/>
    <s v="IT-LQA"/>
    <x v="5"/>
    <m/>
    <s v="Utility"/>
    <s v="Utility"/>
    <x v="1"/>
    <s v="NMUTLMIG1_BHN_1.0.0.0.2"/>
    <s v="CMTeam"/>
    <s v="Sumita Yadav"/>
    <s v="\\192.168.3.3\Share\Releases\Projects\BHN\Release_For_Test\Test_Build_1.0.1\Server CD\Utility\Setup"/>
    <s v="Obsolete-LQA"/>
    <s v="\\192.168.3.3\Share\Releases\Projects\BHN\Release_For_IT\TestBuild_1.0.0.1\Server CD\Utility\Setup"/>
    <m/>
    <m/>
    <m/>
    <m/>
    <m/>
    <m/>
    <x v="2"/>
    <d v="2014-10-01T00:00:00"/>
    <x v="41"/>
    <x v="1"/>
  </r>
  <r>
    <d v="2014-10-01T00:00:00"/>
    <d v="2014-10-01T00:00:00"/>
    <n v="10"/>
    <s v="2014-Oct"/>
    <n v="10"/>
    <s v="IT-LQA"/>
    <x v="5"/>
    <m/>
    <s v="Utility"/>
    <s v="Utility"/>
    <x v="1"/>
    <s v="NMUTLMIG2_BHN_1.0.0.0.2"/>
    <s v="CMTeam"/>
    <s v="Sumita Yadav"/>
    <s v="\\192.168.3.3\Share\Releases\Projects\BHN\Release_For_Test\Test_Build_1.0.1\Server CD\Utility\Setup"/>
    <s v="Obsolete-LQA"/>
    <s v="\\192.168.3.3\Share\Releases\Projects\BHN\Release_For_IT\TestBuild_1.0.0.1\Server CD\Utility\Setup"/>
    <m/>
    <m/>
    <m/>
    <m/>
    <m/>
    <m/>
    <x v="2"/>
    <d v="2014-10-01T00:00:00"/>
    <x v="41"/>
    <x v="1"/>
  </r>
  <r>
    <d v="2014-10-01T00:00:00"/>
    <d v="2014-10-01T00:00:00"/>
    <n v="10"/>
    <s v="2014-Oct"/>
    <n v="10"/>
    <s v="IT-LQA-UAT"/>
    <x v="8"/>
    <m/>
    <s v="NM"/>
    <s v="DBS"/>
    <x v="0"/>
    <s v="NMDBS_TWC_4.6.1.11.3.45b1"/>
    <s v="CMTeam"/>
    <s v="Sachin Srivastva"/>
    <s v="\\192.168.3.3\Share\Releases\Projects\TWC\Release_For_Test\Test_Build_1.0.0.4\Server CD\DBS\Setup"/>
    <m/>
    <s v="\\192.168.3.3\Share\Releases\Projects\TWC\Release_For_IT\Test_Build_1.0.0.3\Server CD\DBS\Setup"/>
    <s v="Pass"/>
    <m/>
    <m/>
    <m/>
    <m/>
    <s v="Ajay Kumar Pandey"/>
    <x v="0"/>
    <s v=""/>
    <x v="0"/>
    <x v="0"/>
  </r>
  <r>
    <d v="2014-10-06T00:00:00"/>
    <d v="2014-10-06T00:00:00"/>
    <n v="10"/>
    <s v="2014-Oct"/>
    <n v="10"/>
    <s v="LQA-UAT"/>
    <x v="8"/>
    <m/>
    <s v="MPE"/>
    <s v="MPE"/>
    <x v="0"/>
    <s v="MPE_TWC_3.2.1.5.2.22b1"/>
    <s v="CMTeam"/>
    <s v="Ankit Jain"/>
    <m/>
    <m/>
    <s v="\\192.168.3.3\Share\Releases\Projects\TWC\Release_For_Test\Test_Build_1.0.0.4\Server CD\MPE\Setup"/>
    <s v="Pass"/>
    <m/>
    <m/>
    <m/>
    <m/>
    <s v="Manas Ranjan Barik"/>
    <x v="0"/>
    <s v=""/>
    <x v="0"/>
    <x v="0"/>
  </r>
  <r>
    <d v="2014-10-06T00:00:00"/>
    <d v="2014-10-06T00:00:00"/>
    <n v="10"/>
    <s v="2014-Oct"/>
    <n v="10"/>
    <s v="IT-LQA-UAT"/>
    <x v="21"/>
    <s v="phase 1"/>
    <s v="DM"/>
    <s v="DBS"/>
    <x v="0"/>
    <s v="DMDBS_TLSTR-ST_2.1.1.8.1.2b1"/>
    <s v="CMTeam"/>
    <s v="Aditya Garg"/>
    <s v="\\192.168.3.3\Share\Releases\Projects\TLSTR-ST\Release_For_IT\TestBuild_1.0.1\Server CD\DBS\Setup"/>
    <m/>
    <s v="\\192.168.3.3\Share\Releases\Projects\TLSTR-ST\Release_For_Test\Test_Build_1.0.1\Server CD\DBS\Setup"/>
    <s v="Pass"/>
    <m/>
    <m/>
    <m/>
    <m/>
    <s v="Parul K Rajput"/>
    <x v="0"/>
    <s v=""/>
    <x v="0"/>
    <x v="0"/>
  </r>
  <r>
    <d v="2014-10-06T00:00:00"/>
    <d v="2014-10-06T00:00:00"/>
    <n v="10"/>
    <s v="2014-Oct"/>
    <n v="10"/>
    <s v="LQA-UAT"/>
    <x v="21"/>
    <m/>
    <s v="MPE"/>
    <s v="MPE"/>
    <x v="0"/>
    <s v="MPE_TLSTR-ST_3.2.6.0.1.3b1"/>
    <s v="CMTeam"/>
    <s v="Rohtash "/>
    <m/>
    <m/>
    <s v="\\192.168.3.3\Share\Releases\Projects\TLSTR-ST\Release_For_Test\Test_Build_1.0.1\Server CD\MPE\Setup"/>
    <s v="Pass"/>
    <m/>
    <m/>
    <m/>
    <m/>
    <s v="Parul K Rajput"/>
    <x v="0"/>
    <s v=""/>
    <x v="0"/>
    <x v="0"/>
  </r>
  <r>
    <d v="2014-10-06T00:00:00"/>
    <d v="2014-10-06T00:00:00"/>
    <n v="10"/>
    <s v="2014-Oct"/>
    <n v="10"/>
    <s v="IT-LQA-UAT"/>
    <x v="8"/>
    <m/>
    <s v="NM"/>
    <s v="DBS"/>
    <x v="0"/>
    <s v="NMDBS_TWC_4.6.1.11.3.46b1"/>
    <s v="CMTeam"/>
    <s v="Sudip Ghosh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Ajay Kumar Pandey"/>
    <x v="0"/>
    <s v=""/>
    <x v="0"/>
    <x v="0"/>
  </r>
  <r>
    <d v="2014-10-07T00:00:00"/>
    <d v="2014-10-07T00:00:00"/>
    <n v="10"/>
    <s v="2014-Oct"/>
    <n v="10"/>
    <s v="IT-LQA"/>
    <x v="5"/>
    <m/>
    <s v="Utility"/>
    <s v="Utility"/>
    <x v="1"/>
    <s v="NMUTLMIG3_BHN_1.0.0.0.3"/>
    <s v="CMTeam"/>
    <s v="Sumita Yadav"/>
    <s v="\\192.168.3.3\Share\Releases\Projects\BHN\Release_For_Test\Test_Build_1.0.1\Server CD\Utility\Setup"/>
    <s v="Obsolete-LQA"/>
    <s v="\\192.168.3.3\Share\Releases\Projects\BHN\Release_For_IT\TestBuild_1.0.0.1\Server CD\Utility\Setup"/>
    <m/>
    <m/>
    <m/>
    <m/>
    <m/>
    <m/>
    <x v="2"/>
    <d v="2014-10-07T00:00:00"/>
    <x v="42"/>
    <x v="1"/>
  </r>
  <r>
    <d v="2014-10-07T00:00:00"/>
    <d v="2014-10-07T00:00:00"/>
    <n v="10"/>
    <s v="2014-Oct"/>
    <n v="10"/>
    <s v="IT-LQA"/>
    <x v="5"/>
    <m/>
    <s v="Utility"/>
    <s v="Utility"/>
    <x v="1"/>
    <s v="NMUTLMIG1_BHN_1.0.0.0.3"/>
    <s v="CMTeam"/>
    <s v="Sumita Yadav"/>
    <s v="\\192.168.3.3\Share\Releases\Projects\BHN\Release_For_Test\Test_Build_1.0.1\Server CD\Utility\Setup"/>
    <s v="Obsolete-LQA"/>
    <s v="\\192.168.3.3\Share\Releases\Projects\BHN\Release_For_IT\TestBuild_1.0.0.1\Server CD\Utility\Setup"/>
    <m/>
    <m/>
    <m/>
    <m/>
    <m/>
    <m/>
    <x v="2"/>
    <d v="2014-10-07T00:00:00"/>
    <x v="42"/>
    <x v="1"/>
  </r>
  <r>
    <d v="2014-10-07T00:00:00"/>
    <d v="2014-10-07T00:00:00"/>
    <n v="10"/>
    <s v="2014-Oct"/>
    <n v="10"/>
    <s v="IT-LQA"/>
    <x v="5"/>
    <m/>
    <s v="Utility"/>
    <s v="Utility"/>
    <x v="1"/>
    <s v="NMUTLMIG2_BHN_1.0.0.0.3"/>
    <s v="CMTeam"/>
    <s v="Sumita Yadav"/>
    <s v="\\192.168.3.3\Share\Releases\Projects\BHN\Release_For_Test\Test_Build_1.0.1\Server CD\Utility\Setup"/>
    <s v="Obsolete-LQA"/>
    <s v="\\192.168.3.3\Share\Releases\Projects\BHN\Release_For_IT\TestBuild_1.0.0.1\Server CD\Utility\Setup"/>
    <m/>
    <m/>
    <m/>
    <m/>
    <m/>
    <m/>
    <x v="2"/>
    <d v="2014-10-07T00:00:00"/>
    <x v="42"/>
    <x v="1"/>
  </r>
  <r>
    <d v="2014-10-07T00:00:00"/>
    <d v="2014-10-07T00:00:00"/>
    <n v="10"/>
    <s v="2014-Oct"/>
    <n v="10"/>
    <s v="IT-LQA-UAT"/>
    <x v="0"/>
    <m/>
    <s v="RA"/>
    <s v="DBS"/>
    <x v="0"/>
    <s v="RADBS_SLT_2.1.1.15.1.89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0-07T00:00:00"/>
    <d v="2014-10-07T00:00:00"/>
    <n v="10"/>
    <s v="2014-Oct"/>
    <n v="10"/>
    <s v="IT-LQA-UAT"/>
    <x v="0"/>
    <m/>
    <s v="DM"/>
    <s v="DBS"/>
    <x v="0"/>
    <s v="DMDBS_SLT_2.0.0.25.1.188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0-08T00:00:00"/>
    <d v="2014-10-08T00:00:00"/>
    <n v="10"/>
    <s v="2014-Oct"/>
    <n v="10"/>
    <s v="LQA"/>
    <x v="5"/>
    <m/>
    <s v="NM"/>
    <s v="DBS"/>
    <x v="1"/>
    <s v="NMDBS_BHN_4.7.1.2"/>
    <s v="CMTeam"/>
    <s v="surender Kumar"/>
    <m/>
    <m/>
    <s v="\\192.168.3.3\Share\Releases\Projects\BHN\Release_For_Test\Test_Build_1.0.1\Server CD\DBS\Setup"/>
    <m/>
    <s v="Readme Re-Released"/>
    <m/>
    <m/>
    <m/>
    <m/>
    <x v="1"/>
    <s v=""/>
    <x v="0"/>
    <x v="0"/>
  </r>
  <r>
    <d v="2014-10-08T00:00:00"/>
    <d v="2014-10-08T00:00:00"/>
    <n v="10"/>
    <s v="2014-Oct"/>
    <n v="10"/>
    <s v="IT-LQA"/>
    <x v="5"/>
    <m/>
    <s v="Utility"/>
    <s v="Utility"/>
    <x v="0"/>
    <s v="NMUTLMIG1_BHN_1.0.0.0.4"/>
    <s v="CMTeam"/>
    <s v="surender Kumar"/>
    <s v="\\192.168.3.3\Share\Releases\Projects\BHN\Release_For_Test\Test_Build_1.0.1\Server CD\Utility\Setup"/>
    <s v="Obsolete-LQA"/>
    <s v="\\192.168.3.3\Share\Releases\Projects\BHN\Release_For_IT\TestBuild_1.0.0.1\Server CD\Utility\Setup"/>
    <m/>
    <m/>
    <m/>
    <m/>
    <m/>
    <m/>
    <x v="2"/>
    <d v="2014-10-08T00:00:00"/>
    <x v="42"/>
    <x v="1"/>
  </r>
  <r>
    <d v="2014-10-09T00:00:00"/>
    <d v="2014-10-09T00:00:00"/>
    <n v="10"/>
    <s v="2014-Oct"/>
    <n v="10"/>
    <s v="IT-LQA"/>
    <x v="0"/>
    <m/>
    <s v="DM"/>
    <s v="DBS"/>
    <x v="0"/>
    <s v="DMDBS_SLT_2.0.0.25.1.190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s v="Readme Re-Released"/>
    <m/>
    <m/>
    <m/>
    <m/>
    <x v="0"/>
    <s v=""/>
    <x v="0"/>
    <x v="0"/>
  </r>
  <r>
    <d v="2014-10-10T00:00:00"/>
    <d v="2014-10-10T00:00:00"/>
    <n v="10"/>
    <s v="2014-Oct"/>
    <n v="10"/>
    <s v="LQA"/>
    <x v="1"/>
    <m/>
    <s v="WWCS"/>
    <s v="GUI"/>
    <x v="1"/>
    <s v="WWCSGUI_2.1.20b4"/>
    <s v="CMTeam"/>
    <s v="Rajeev Kumar"/>
    <m/>
    <m/>
    <s v="\\192.168.3.3\Share\Releases\Product\WEB_CS\Build&amp;Release\Release For Test\TestBuild_2.1.20\ServerCD\GUI\Setup"/>
    <m/>
    <m/>
    <m/>
    <m/>
    <m/>
    <m/>
    <x v="1"/>
    <s v=""/>
    <x v="0"/>
    <x v="0"/>
  </r>
  <r>
    <d v="2014-10-10T00:00:00"/>
    <d v="2014-10-10T00:00:00"/>
    <n v="10"/>
    <s v="2014-Oct"/>
    <n v="10"/>
    <s v="IT-LQA"/>
    <x v="5"/>
    <m/>
    <s v="Utility"/>
    <s v="Utility"/>
    <x v="1"/>
    <s v="NMUTLMIG3_BHN_1.0.0.0.4"/>
    <s v="CMTeam"/>
    <s v="Sumita Yadav"/>
    <s v="\\192.168.3.3\Share\Releases\Projects\BHN\Release_For_Test\Test_Build_1.0.1\Server CD\Utility\Setup"/>
    <s v="Obsolete-LQA"/>
    <s v="\\192.168.3.3\Share\Releases\Projects\BHN\Release_For_IT\TestBuild_1.0.0.1\Server CD\Utility\Setup"/>
    <m/>
    <m/>
    <m/>
    <m/>
    <m/>
    <m/>
    <x v="2"/>
    <d v="2014-10-10T00:00:00"/>
    <x v="42"/>
    <x v="1"/>
  </r>
  <r>
    <d v="2014-10-10T00:00:00"/>
    <d v="2014-10-10T00:00:00"/>
    <n v="10"/>
    <s v="2014-Oct"/>
    <n v="10"/>
    <s v="IT-LQA"/>
    <x v="5"/>
    <m/>
    <s v="Utility"/>
    <s v="Utility"/>
    <x v="1"/>
    <s v="NMUTLMIG1_BHN_1.0.0.0.5"/>
    <s v="CMTeam"/>
    <s v="Sumita Yadav"/>
    <s v="\\192.168.3.3\Share\Releases\Projects\BHN\Release_For_Test\Test_Build_1.0.1\Server CD\Utility\Setup"/>
    <s v="Obsolete-LQA"/>
    <s v="\\192.168.3.3\Share\Releases\Projects\BHN\Release_For_IT\TestBuild_1.0.0.1\Server CD\Utility\Setup"/>
    <m/>
    <m/>
    <m/>
    <m/>
    <m/>
    <m/>
    <x v="2"/>
    <d v="2014-10-10T00:00:00"/>
    <x v="42"/>
    <x v="1"/>
  </r>
  <r>
    <d v="2014-10-10T00:00:00"/>
    <d v="2014-10-10T00:00:00"/>
    <n v="10"/>
    <s v="2014-Oct"/>
    <n v="10"/>
    <s v="IT-LQA"/>
    <x v="5"/>
    <m/>
    <s v="Utility"/>
    <s v="Utility"/>
    <x v="1"/>
    <s v="NMUTLMIG2_BHN_1.0.0.0.4"/>
    <s v="CMTeam"/>
    <s v="Sumita Yadav"/>
    <s v="\\192.168.3.3\Share\Releases\Projects\BHN\Release_For_Test\Test_Build_1.0.1\Server CD\Utility\Setup"/>
    <m/>
    <s v="\\192.168.3.3\Share\Releases\Projects\BHN\Release_For_IT\TestBuild_1.0.0.1\Server CD\Utility\Setup"/>
    <m/>
    <m/>
    <m/>
    <m/>
    <m/>
    <m/>
    <x v="1"/>
    <s v=""/>
    <x v="0"/>
    <x v="0"/>
  </r>
  <r>
    <d v="2014-10-10T00:00:00"/>
    <d v="2014-10-10T00:00:00"/>
    <n v="10"/>
    <s v="2014-Oct"/>
    <n v="10"/>
    <s v="LQA"/>
    <x v="0"/>
    <m/>
    <s v="MPE"/>
    <s v="MPE"/>
    <x v="0"/>
    <s v="MPE_SLT-1B_3.0.1.1.1.97b1"/>
    <s v="CMTeam"/>
    <s v="Muktesh Mukul"/>
    <m/>
    <m/>
    <s v="\\192.168.3.3\Share\Releases\Projects\SLT-1B\Release_For_Test\Test_Build_1.0.0.1\Server CD\MPE\Setup"/>
    <s v="Pass"/>
    <m/>
    <m/>
    <m/>
    <m/>
    <m/>
    <x v="0"/>
    <s v=""/>
    <x v="0"/>
    <x v="0"/>
  </r>
  <r>
    <d v="2014-10-10T00:00:00"/>
    <d v="2014-10-10T00:00:00"/>
    <n v="10"/>
    <s v="2014-Oct"/>
    <n v="10"/>
    <s v="LQA"/>
    <x v="5"/>
    <m/>
    <s v="MPE"/>
    <s v="MPE"/>
    <x v="0"/>
    <s v="MPE_BHN_3.2.5.0.1.1b1"/>
    <s v="CMTeam"/>
    <s v="Ankit Jain"/>
    <m/>
    <m/>
    <s v="\\192.168.3.3\Share\Releases\Projects\BHN\Release_For_Test\Test_Build_1.0.1\Server CD\MPE\Setup "/>
    <m/>
    <m/>
    <m/>
    <m/>
    <m/>
    <m/>
    <x v="1"/>
    <s v=""/>
    <x v="0"/>
    <x v="0"/>
  </r>
  <r>
    <d v="2014-10-10T00:00:00"/>
    <d v="2014-10-10T00:00:00"/>
    <n v="10"/>
    <s v="2014-Oct"/>
    <n v="10"/>
    <s v="IT-LQA"/>
    <x v="0"/>
    <m/>
    <s v="RA"/>
    <s v="DBS"/>
    <x v="0"/>
    <s v="RADBS_SLT_2.1.1.12.1.83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m/>
    <m/>
    <m/>
    <m/>
    <m/>
    <m/>
    <x v="1"/>
    <s v=""/>
    <x v="0"/>
    <x v="0"/>
  </r>
  <r>
    <d v="2014-10-10T00:00:00"/>
    <d v="2014-10-10T00:00:00"/>
    <n v="10"/>
    <s v="2014-Oct"/>
    <n v="10"/>
    <s v="IT-LQA"/>
    <x v="0"/>
    <m/>
    <s v="DM"/>
    <s v="DBS"/>
    <x v="0"/>
    <s v="DMDBS_SLT_2.0.0.25.1.177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m/>
    <m/>
    <m/>
    <m/>
    <m/>
    <m/>
    <x v="1"/>
    <s v=""/>
    <x v="0"/>
    <x v="0"/>
  </r>
  <r>
    <d v="2014-10-10T00:00:00"/>
    <d v="2014-10-10T00:00:00"/>
    <n v="10"/>
    <s v="2014-Oct"/>
    <n v="10"/>
    <s v="LQA"/>
    <x v="1"/>
    <m/>
    <s v="IM"/>
    <s v="IM"/>
    <x v="1"/>
    <s v="IM_1.0.2b1"/>
    <s v="CMTeam"/>
    <s v="Ratnesh Singh"/>
    <m/>
    <s v="Obsolete-LQA"/>
    <s v="\\192.168.3.3\Share\Releases\Product\IM_1.0\Build&amp;Release\Release_For_LQA\Test_Build_1.0.1\Server CD\IM\Setup"/>
    <m/>
    <m/>
    <m/>
    <m/>
    <m/>
    <m/>
    <x v="2"/>
    <d v="2014-10-10T00:00:00"/>
    <x v="42"/>
    <x v="1"/>
  </r>
  <r>
    <d v="2014-10-10T00:00:00"/>
    <d v="2014-10-10T00:00:00"/>
    <n v="10"/>
    <s v="2014-Oct"/>
    <n v="10"/>
    <s v="IT-LQA-UAT"/>
    <x v="8"/>
    <m/>
    <s v="NM"/>
    <s v="DBS"/>
    <x v="0"/>
    <s v="NMDBS_TWC_4.6.1.11.3.47b1"/>
    <s v="CMTeam"/>
    <s v="Sudip Ghosh"/>
    <s v="\\192.168.3.3\Share\Releases\Projects\TWC\Release_For_Test\Test_Build_1.0.0.4\Server CD\DBS\Setup"/>
    <m/>
    <s v="\\192.168.3.3\Share\Releases\Projects\TWC\Release_For_IT\Test_Build_1.0.0.3\Server CD\DBS\Setup"/>
    <s v="Pass"/>
    <m/>
    <m/>
    <m/>
    <m/>
    <s v="Ajay Kumar Pandey"/>
    <x v="0"/>
    <s v=""/>
    <x v="0"/>
    <x v="0"/>
  </r>
  <r>
    <d v="2014-10-10T00:00:00"/>
    <d v="2014-10-10T00:00:00"/>
    <n v="10"/>
    <s v="2014-Oct"/>
    <n v="10"/>
    <s v="IT-LQA"/>
    <x v="21"/>
    <s v="phase 1"/>
    <s v="DM"/>
    <s v="DBS"/>
    <x v="0"/>
    <s v="DMDBS_TLSTR-ST_2.1.1.8.1.3b1"/>
    <s v="CMTeam"/>
    <s v="Aditya Garg"/>
    <s v="\\192.168.3.3\Share\Releases\Projects\TLSTR-ST\Release_For_IT\TestBuild_1.0.1\Server CD\DBS\Setup"/>
    <s v="Obsolete-LQA"/>
    <s v="\\192.168.3.3\Share\Releases\Projects\TLSTR-ST\Release_For_Test\Test_Build_1.0.1\Server CD\DBS\Setup"/>
    <m/>
    <m/>
    <m/>
    <m/>
    <m/>
    <m/>
    <x v="2"/>
    <d v="2014-10-10T00:00:00"/>
    <x v="42"/>
    <x v="1"/>
  </r>
  <r>
    <d v="2014-10-10T00:00:00"/>
    <d v="2014-10-10T00:00:00"/>
    <n v="10"/>
    <s v="2014-Oct"/>
    <n v="10"/>
    <s v="LQA-FAT"/>
    <x v="10"/>
    <m/>
    <s v="MPE"/>
    <s v="MPE"/>
    <x v="0"/>
    <s v="MPE_COM_3.2.5.0.2.5b1"/>
    <s v="CMTeam"/>
    <s v="Mohd. Asif"/>
    <m/>
    <m/>
    <s v="\\192.168.3.3\Share\Releases\Projects\Comcast\Release_for_Test\Test_Build_4.6.6\Server CD\MPE\Setup"/>
    <s v="Pass"/>
    <m/>
    <m/>
    <m/>
    <m/>
    <s v="Sumit Gomber"/>
    <x v="0"/>
    <s v=""/>
    <x v="0"/>
    <x v="0"/>
  </r>
  <r>
    <d v="2014-10-10T00:00:00"/>
    <d v="2014-10-10T00:00:00"/>
    <n v="10"/>
    <s v="2014-Oct"/>
    <n v="10"/>
    <s v="LQA-UAT"/>
    <x v="21"/>
    <m/>
    <s v="MPE"/>
    <s v="MPE"/>
    <x v="0"/>
    <s v="MPE_TLSTR-ST_3.2.6.0.1.4b1"/>
    <s v="CMTeam"/>
    <s v="Rohtash"/>
    <m/>
    <m/>
    <s v="\\192.168.3.3\Share\Releases\Projects\TLSTR-ST\Release_For_Test\Test_Build_1.0.1\Server CD\MPE\Setup"/>
    <s v="Pass"/>
    <m/>
    <m/>
    <m/>
    <m/>
    <s v="Parul K Rajput"/>
    <x v="0"/>
    <s v=""/>
    <x v="0"/>
    <x v="0"/>
  </r>
  <r>
    <d v="2014-10-10T00:00:00"/>
    <d v="2014-10-10T00:00:00"/>
    <n v="10"/>
    <s v="2014-Oct"/>
    <n v="10"/>
    <s v="LQA"/>
    <x v="5"/>
    <m/>
    <s v="IM"/>
    <s v="IM"/>
    <x v="1"/>
    <s v="IM_BHN_1.0.2.0.1"/>
    <s v="CMTeam"/>
    <s v="Ratnesh Singh"/>
    <m/>
    <s v="Obsolete-LQA"/>
    <s v="\\192.168.3.3\share\Releases\Projects\BHN\Release_For_Test\Test_Build_1.0.1\Server CD\IM\Setup"/>
    <m/>
    <m/>
    <m/>
    <m/>
    <m/>
    <m/>
    <x v="2"/>
    <d v="2014-10-10T00:00:00"/>
    <x v="42"/>
    <x v="1"/>
  </r>
  <r>
    <d v="2014-10-10T00:00:00"/>
    <d v="2014-10-10T00:00:00"/>
    <n v="10"/>
    <s v="2014-Oct"/>
    <n v="10"/>
    <s v="LQA"/>
    <x v="5"/>
    <m/>
    <s v="NM"/>
    <s v="DBS"/>
    <x v="1"/>
    <s v="NMDBS_BHN_4.7.1.3"/>
    <s v="CMTeam"/>
    <s v="surender Kumar"/>
    <m/>
    <m/>
    <s v="\\192.168.3.3\Share\Releases\Projects\BHN\Release_For_Test\Test_Build_1.0.1\Server CD\DBS\Setup"/>
    <m/>
    <s v="Readme Re-Released"/>
    <m/>
    <m/>
    <m/>
    <m/>
    <x v="1"/>
    <s v=""/>
    <x v="0"/>
    <x v="0"/>
  </r>
  <r>
    <d v="2014-10-10T00:00:00"/>
    <d v="2014-10-10T00:00:00"/>
    <n v="10"/>
    <s v="2014-Oct"/>
    <n v="10"/>
    <s v="LQA"/>
    <x v="5"/>
    <m/>
    <s v="WWFS"/>
    <s v="GUI"/>
    <x v="1"/>
    <s v="WWFSGUI_BHN_2.1.34.0.2"/>
    <s v="CMTeam"/>
    <s v="Deepak Dhiman"/>
    <m/>
    <m/>
    <s v="\\192.168.3.3\Share\Releases\Projects\BHN\Release_For_Test\Test_Build_1.0.2\Server CD\GUI\Setup"/>
    <m/>
    <m/>
    <m/>
    <m/>
    <m/>
    <m/>
    <x v="1"/>
    <s v=""/>
    <x v="0"/>
    <x v="0"/>
  </r>
  <r>
    <d v="2014-10-13T00:00:00"/>
    <d v="2014-10-13T00:00:00"/>
    <n v="10"/>
    <s v="2014-Oct"/>
    <n v="10"/>
    <s v="IT-LQA"/>
    <x v="0"/>
    <m/>
    <s v="DM"/>
    <s v="DBS"/>
    <x v="0"/>
    <s v="DMDBS_SLT_2.0.0.25.1.191b1"/>
    <s v="CMTeam"/>
    <s v="Raja Sarkar"/>
    <s v="\\192.168.3.3\Share\Releases\Projects\SLT\Release_For_IT\Test_Build_1.0.0.4\Server CD\DBS\Setup"/>
    <s v="Obsolete-LQA"/>
    <s v="\\192.168.3.3\Share\Releases\Projects\SLT\Release_For_LQA\Test_Build_1.0.0.24\Server CD\DBS\Setup"/>
    <m/>
    <m/>
    <m/>
    <m/>
    <m/>
    <m/>
    <x v="2"/>
    <d v="2014-10-13T00:00:00"/>
    <x v="43"/>
    <x v="1"/>
  </r>
  <r>
    <d v="2014-10-13T00:00:00"/>
    <d v="2014-10-13T00:00:00"/>
    <n v="10"/>
    <s v="2014-Oct"/>
    <n v="10"/>
    <s v="IT-LQA-FAT"/>
    <x v="10"/>
    <m/>
    <s v=" NM"/>
    <s v="DBS"/>
    <x v="0"/>
    <s v="NMDBS_COM_4.6.1.29.1.78b1"/>
    <s v="CMTeam"/>
    <s v="Sumita Yadav"/>
    <s v="\\192.168.3.3\Share\Releases\Projects\Comcast\Release_for_Test\Test_Build_4.6.6\Server CD\Database\Setup"/>
    <m/>
    <s v="\\192.168.3.3\Share\Releases\Projects\Comcast\Release_For_IT\Test_Build_4.6.1\Server CD\Database\Setup"/>
    <s v="Pass"/>
    <s v="Readme Re-Released"/>
    <m/>
    <m/>
    <m/>
    <s v="Sumit Gomber"/>
    <x v="0"/>
    <s v=""/>
    <x v="0"/>
    <x v="0"/>
  </r>
  <r>
    <d v="2014-10-13T00:00:00"/>
    <d v="2014-10-13T00:00:00"/>
    <n v="10"/>
    <s v="2014-Oct"/>
    <n v="10"/>
    <s v="IT-LQA"/>
    <x v="10"/>
    <m/>
    <s v=" NM"/>
    <s v="DBS"/>
    <x v="0"/>
    <s v="NMDBS_COM_4.6.1.29.1.79b1"/>
    <s v="CMTeam"/>
    <s v="Sumita Yadav"/>
    <s v="\\192.168.3.3\Share\Releases\Projects\Comcast\Release_for_Test\Test_Build_4.6.6\Server CD\Database\Setup"/>
    <s v="Obsolete-LQA"/>
    <s v="\\192.168.3.3\Share\Releases\Projects\Comcast\Release_For_IT\Test_Build_4.6.1\Server CD\Database\Setup"/>
    <m/>
    <s v="Readme Re-Released"/>
    <m/>
    <m/>
    <m/>
    <m/>
    <x v="2"/>
    <d v="2014-10-13T00:00:00"/>
    <x v="43"/>
    <x v="1"/>
  </r>
  <r>
    <d v="2014-10-13T00:00:00"/>
    <d v="2014-10-13T00:00:00"/>
    <n v="10"/>
    <s v="2014-Oct"/>
    <n v="10"/>
    <s v="IT-LQA"/>
    <x v="8"/>
    <m/>
    <s v="Utility"/>
    <s v="Utility"/>
    <x v="0"/>
    <s v="NMUTLMIG6_TWC_1.0.0.0.1"/>
    <s v="CMTeam"/>
    <s v="Sudip Ghosh"/>
    <s v="\\192.168.3.3\Share\Releases\Projects\TWC\Release_For_IT\Test_Build_1.0.0.3\Utility\Setup"/>
    <s v="Obsolete-LQA"/>
    <s v="\\192.168.3.3\Share\Releases\Projects\TWC\Release_For_Test\Test_Build_1.0.0.4\Utility\Setup"/>
    <m/>
    <m/>
    <m/>
    <m/>
    <m/>
    <m/>
    <x v="2"/>
    <d v="2014-10-13T00:00:00"/>
    <x v="43"/>
    <x v="1"/>
  </r>
  <r>
    <d v="2014-10-13T00:00:00"/>
    <d v="2014-10-13T00:00:00"/>
    <n v="10"/>
    <s v="2014-Oct"/>
    <n v="10"/>
    <s v="IT-LQA"/>
    <x v="10"/>
    <m/>
    <s v=" NM"/>
    <s v="DBS"/>
    <x v="0"/>
    <s v="NMDBS_COM_4.6.1.30.1.81b1"/>
    <s v="CMTeam"/>
    <s v="Sachin Srivastva"/>
    <s v="\\192.168.3.3\Share\Releases\Projects\Comcast\Release_for_Test\Test_Build_4.6.6\Server CD\Database\Setup"/>
    <s v="Obsolete-LQA"/>
    <s v="\\192.168.3.3\Share\Releases\Projects\Comcast\Release_For_IT\Test_Build_4.6.1\Server CD\Database\Setup"/>
    <m/>
    <s v="Readme Re-Released"/>
    <m/>
    <m/>
    <m/>
    <m/>
    <x v="2"/>
    <d v="2014-10-13T00:00:00"/>
    <x v="43"/>
    <x v="1"/>
  </r>
  <r>
    <d v="2014-10-13T00:00:00"/>
    <d v="2014-10-13T00:00:00"/>
    <n v="10"/>
    <s v="2014-Oct"/>
    <n v="10"/>
    <s v="IT-LQA"/>
    <x v="10"/>
    <m/>
    <s v=" NM"/>
    <s v="DBS"/>
    <x v="0"/>
    <s v="NMDBS_COM_4.6.1.30.1.80b1"/>
    <s v="CMTeam"/>
    <s v="Sachin Srivastva"/>
    <s v="\\192.168.3.3\Share\Releases\Projects\Comcast\Release_for_Test\Test_Build_4.6.6\Server CD\Database\Setup"/>
    <s v="Obsolete-LQA"/>
    <s v="\\192.168.3.3\Share\Releases\Projects\Comcast\Release_For_IT\Test_Build_4.6.1\Server CD\Database\Setup"/>
    <m/>
    <s v="Readme Re-Released"/>
    <m/>
    <m/>
    <m/>
    <m/>
    <x v="2"/>
    <d v="2014-10-13T00:00:00"/>
    <x v="43"/>
    <x v="1"/>
  </r>
  <r>
    <d v="2014-10-14T00:00:00"/>
    <d v="2014-10-14T00:00:00"/>
    <n v="10"/>
    <s v="2014-Oct"/>
    <n v="10"/>
    <s v="IT-LQA-UAT"/>
    <x v="0"/>
    <m/>
    <s v="DM"/>
    <s v="DBS"/>
    <x v="0"/>
    <s v="DMDBS_SLT_2.0.0.25.1.192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Surya N Behra"/>
    <x v="0"/>
    <s v=""/>
    <x v="0"/>
    <x v="0"/>
  </r>
  <r>
    <d v="2014-10-14T00:00:00"/>
    <d v="2014-10-14T00:00:00"/>
    <n v="10"/>
    <s v="2014-Oct"/>
    <n v="10"/>
    <s v="IT-LQA-UAT"/>
    <x v="0"/>
    <m/>
    <s v="RA"/>
    <s v="DBS"/>
    <x v="0"/>
    <s v="RADBS_SLT_2.1.1.15.1.90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Surya N Behra"/>
    <x v="0"/>
    <s v=""/>
    <x v="0"/>
    <x v="0"/>
  </r>
  <r>
    <d v="2014-10-14T00:00:00"/>
    <d v="2014-10-14T00:00:00"/>
    <n v="10"/>
    <s v="2014-Oct"/>
    <n v="10"/>
    <s v="IT-LQA-UAT"/>
    <x v="21"/>
    <s v="phase 1"/>
    <s v="DM"/>
    <s v="DBS"/>
    <x v="0"/>
    <s v="DMDBS_TLSTR-ST_2.1.1.8.1.3b2"/>
    <s v="CMTeam"/>
    <s v="Aditya Garg"/>
    <s v="\\192.168.3.3\Share\Releases\Projects\TLSTR-ST\Release_For_IT\TestBuild_1.0.1\Server CD\DBS\Setup"/>
    <m/>
    <s v="\\192.168.3.3\Share\Releases\Projects\TLSTR-ST\Release_For_Test\Test_Build_1.0.1\Server CD\DBS\Setup"/>
    <s v="Pass"/>
    <m/>
    <m/>
    <m/>
    <m/>
    <s v="Parul K Rajput"/>
    <x v="0"/>
    <s v=""/>
    <x v="0"/>
    <x v="0"/>
  </r>
  <r>
    <d v="2014-10-14T00:00:00"/>
    <d v="2014-10-14T00:00:00"/>
    <n v="10"/>
    <s v="2014-Oct"/>
    <n v="10"/>
    <s v="IT-LQA"/>
    <x v="0"/>
    <m/>
    <s v="NM"/>
    <s v="DBS"/>
    <x v="0"/>
    <s v="NMDBS_SLT_4.0.2.0.1.29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0-14T00:00:00"/>
    <d v="2014-10-14T00:00:00"/>
    <n v="10"/>
    <s v="2014-Oct"/>
    <n v="10"/>
    <s v="IT-LQA-FAT"/>
    <x v="0"/>
    <m/>
    <s v="DM"/>
    <s v="DBS"/>
    <x v="0"/>
    <s v="DMDBS_SLT_2.0.0.25.1.193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0-14T00:00:00"/>
    <d v="2014-10-14T00:00:00"/>
    <n v="10"/>
    <s v="2014-Oct"/>
    <n v="10"/>
    <s v="LQA"/>
    <x v="1"/>
    <m/>
    <s v="NM"/>
    <s v="DBS"/>
    <x v="0"/>
    <s v="NMDBS_4.7.1b13"/>
    <s v="CMTeam"/>
    <s v="Rajat Gupta"/>
    <m/>
    <m/>
    <s v="\\192.168.3.3\Share\Releases\Product\Netmind_4.7\Build&amp;Release\Release_For_LQA\Test_Build_1.0.1\Server CD\DBS\Setup"/>
    <m/>
    <m/>
    <m/>
    <m/>
    <m/>
    <m/>
    <x v="1"/>
    <s v=""/>
    <x v="0"/>
    <x v="0"/>
  </r>
  <r>
    <d v="2014-10-14T00:00:00"/>
    <d v="2014-10-14T00:00:00"/>
    <n v="10"/>
    <s v="2014-Oct"/>
    <n v="10"/>
    <s v="LQA"/>
    <x v="5"/>
    <m/>
    <s v="NM"/>
    <s v="DBS"/>
    <x v="0"/>
    <s v="NMDBS_BHN_4.7.1.4"/>
    <s v="CMTeam"/>
    <s v="surender Kumar"/>
    <m/>
    <m/>
    <s v="\\192.168.3.3\Share\Releases\Projects\BHN\Release_For_Test\Test_Build_1.0.1\Server CD\DBS\Setup"/>
    <m/>
    <m/>
    <m/>
    <m/>
    <m/>
    <m/>
    <x v="1"/>
    <s v=""/>
    <x v="0"/>
    <x v="0"/>
  </r>
  <r>
    <d v="2014-10-14T00:00:00"/>
    <d v="2014-10-14T00:00:00"/>
    <n v="10"/>
    <s v="2014-Oct"/>
    <n v="10"/>
    <s v="IT-LQA"/>
    <x v="21"/>
    <s v="phase 1"/>
    <s v="DM"/>
    <s v="DBS"/>
    <x v="0"/>
    <s v="DMDBS_TLSTR-ST_2.1.1.8.1.4b1"/>
    <s v="CMTeam"/>
    <s v="Aditya Garg"/>
    <s v="\\192.168.3.3\Share\Releases\Projects\TLSTR-ST\Release_For_IT\TestBuild_1.0.1\Server CD\DBS\Setup"/>
    <s v="Obsolete-LQA"/>
    <s v="\\192.168.3.3\Share\Releases\Projects\TLSTR-ST\Release_For_Test\Test_Build_1.0.1\Server CD\DBS\Setup"/>
    <m/>
    <m/>
    <m/>
    <m/>
    <m/>
    <m/>
    <x v="2"/>
    <d v="2014-10-14T00:00:00"/>
    <x v="43"/>
    <x v="1"/>
  </r>
  <r>
    <d v="2014-10-14T00:00:00"/>
    <d v="2014-10-14T00:00:00"/>
    <n v="10"/>
    <s v="2014-Oct"/>
    <n v="10"/>
    <s v="LQA"/>
    <x v="5"/>
    <m/>
    <s v="IM"/>
    <s v="IM"/>
    <x v="0"/>
    <s v="IM_BHN_1.0.2.0.2"/>
    <s v="CMTeam"/>
    <s v="Rajesh Maithani"/>
    <m/>
    <m/>
    <s v="\\192.168.3.3\share\Releases\Projects\BHN\Release_For_Test\Test_Build_1.0.2\Server CD\IM\Setup"/>
    <m/>
    <m/>
    <m/>
    <m/>
    <m/>
    <m/>
    <x v="1"/>
    <s v=""/>
    <x v="0"/>
    <x v="0"/>
  </r>
  <r>
    <d v="2014-10-16T00:00:00"/>
    <d v="2014-10-16T00:00:00"/>
    <n v="10"/>
    <s v="2014-Oct"/>
    <n v="10"/>
    <s v="IT-LQA"/>
    <x v="1"/>
    <m/>
    <s v="RT"/>
    <s v="DBS"/>
    <x v="0"/>
    <s v="RTDBS_4.0.1.23b1"/>
    <s v="CMTeam"/>
    <s v="Rohit Kanwar"/>
    <s v="\\192.168.3.3\Share\Releases\Product\RT_4.0\ReleaseForIT\TestBuild_4.0.3\DBS\Setup"/>
    <m/>
    <s v="\\192.168.3.3\Share\Releases\Product\RT_4.0\ReleaseForLQA\TestBuild_4.0.24\DBS\Setup"/>
    <s v="Pass"/>
    <m/>
    <m/>
    <m/>
    <m/>
    <m/>
    <x v="0"/>
    <s v=""/>
    <x v="0"/>
    <x v="0"/>
  </r>
  <r>
    <d v="2014-10-16T00:00:00"/>
    <d v="2014-10-16T00:00:00"/>
    <n v="10"/>
    <s v="2014-Oct"/>
    <n v="10"/>
    <s v="IT-LQA-UAT"/>
    <x v="8"/>
    <m/>
    <s v="NM"/>
    <s v="DBS"/>
    <x v="0"/>
    <s v="NMDBS_TWC_4.6.1.11.3.48b1"/>
    <s v="CMTeam"/>
    <s v="Sudip Ghosh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Pradeep Raghav"/>
    <x v="0"/>
    <s v=""/>
    <x v="0"/>
    <x v="0"/>
  </r>
  <r>
    <d v="2014-10-16T00:00:00"/>
    <d v="2014-10-16T00:00:00"/>
    <n v="10"/>
    <s v="2014-Oct"/>
    <n v="10"/>
    <s v="IT-LQA"/>
    <x v="0"/>
    <m/>
    <s v="RA"/>
    <s v="DBS"/>
    <x v="0"/>
    <s v="RADBS_SLT_2.1.1.15.1.88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m/>
    <m/>
    <m/>
    <m/>
    <m/>
    <m/>
    <x v="1"/>
    <s v=""/>
    <x v="0"/>
    <x v="0"/>
  </r>
  <r>
    <d v="2014-10-16T00:00:00"/>
    <d v="2014-10-16T00:00:00"/>
    <n v="10"/>
    <s v="2014-Oct"/>
    <n v="10"/>
    <s v="IT-LQA"/>
    <x v="0"/>
    <m/>
    <s v="DM"/>
    <s v="DBS"/>
    <x v="0"/>
    <s v="DMDBS_SLT_2.0.0.25.1.189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m/>
    <m/>
    <m/>
    <m/>
    <m/>
    <m/>
    <x v="1"/>
    <s v=""/>
    <x v="0"/>
    <x v="0"/>
  </r>
  <r>
    <d v="2014-10-16T00:00:00"/>
    <d v="2014-10-16T00:00:00"/>
    <n v="10"/>
    <s v="2014-Oct"/>
    <n v="10"/>
    <s v="LQA"/>
    <x v="5"/>
    <m/>
    <s v="NM"/>
    <s v="DBS"/>
    <x v="0"/>
    <s v="NMUTLMIG1_BHN3x_1.0.1"/>
    <s v="CMTeam"/>
    <s v="surender Kumar"/>
    <m/>
    <m/>
    <s v="\\192.168.3.3\Share\Releases\Projects\BHN\Release_For_Test\Test_Build_1.0.2\Server CD\Utility\Setup"/>
    <m/>
    <s v="Readme Re-Released"/>
    <m/>
    <m/>
    <m/>
    <m/>
    <x v="1"/>
    <s v=""/>
    <x v="0"/>
    <x v="0"/>
  </r>
  <r>
    <d v="2014-10-17T00:00:00"/>
    <d v="2014-10-17T00:00:00"/>
    <n v="10"/>
    <s v="2014-Oct"/>
    <n v="10"/>
    <s v="LQA"/>
    <x v="5"/>
    <m/>
    <s v="MPE"/>
    <s v="MPE"/>
    <x v="0"/>
    <s v="MPE_BHN_3.2.5.0.1.2b1"/>
    <s v="CMTeam"/>
    <s v="Ankit Jain"/>
    <m/>
    <m/>
    <s v="\\192.168.3.3\Share\Releases\Projects\BHN\Release_For_Test\Test_Build_1.0.2\Server CD\MPE\Setup"/>
    <m/>
    <m/>
    <m/>
    <m/>
    <m/>
    <m/>
    <x v="1"/>
    <s v=""/>
    <x v="0"/>
    <x v="0"/>
  </r>
  <r>
    <d v="2014-10-17T00:00:00"/>
    <d v="2014-10-17T00:00:00"/>
    <n v="10"/>
    <s v="2014-Oct"/>
    <n v="10"/>
    <s v="LQA-UAT"/>
    <x v="8"/>
    <m/>
    <s v="MPE"/>
    <s v="MPE"/>
    <x v="0"/>
    <s v="MPE_TWC_3.2.1.5.2.23b1"/>
    <s v="CMTeam"/>
    <s v="Ankit Jain"/>
    <m/>
    <m/>
    <s v="\\192.168.3.3\Share\Releases\Projects\TWC\Release_For_Test\Test_Build_1.0.0.4\Server CD\MPE\Setup"/>
    <s v="Pass"/>
    <m/>
    <m/>
    <m/>
    <m/>
    <s v="Pradeep Raghav"/>
    <x v="0"/>
    <s v=""/>
    <x v="0"/>
    <x v="0"/>
  </r>
  <r>
    <d v="2014-10-17T00:00:00"/>
    <d v="2014-10-17T00:00:00"/>
    <n v="10"/>
    <s v="2014-Oct"/>
    <n v="10"/>
    <s v="IT-LQA-UAT"/>
    <x v="10"/>
    <m/>
    <s v="NM"/>
    <s v="DBS"/>
    <x v="0"/>
    <s v="NMDBS_COM_4.6.1.30.1.81b2"/>
    <s v="CMTeam"/>
    <s v="Sachin Srivastva"/>
    <s v="\\192.168.3.3\Share\Releases\Projects\Comcast\Release_For_IT\Test_Build_4.6.1\Server CD\Database\Setup"/>
    <m/>
    <s v="\\192.168.3.3\Share\Releases\Projects\Comcast\Release_for_Test\Test_Build_4.6.6\Server CD\Database\Setup"/>
    <s v="Pass"/>
    <m/>
    <m/>
    <m/>
    <m/>
    <s v="Abhishek Leekha"/>
    <x v="0"/>
    <s v=""/>
    <x v="0"/>
    <x v="0"/>
  </r>
  <r>
    <d v="2014-10-17T00:00:00"/>
    <d v="2014-10-17T00:00:00"/>
    <n v="10"/>
    <s v="2014-Oct"/>
    <n v="10"/>
    <s v="IT-LQA-UAT"/>
    <x v="10"/>
    <m/>
    <s v="NM"/>
    <s v="DBS"/>
    <x v="0"/>
    <s v="NMDBS_COM_4.6.1.30.1.80b2"/>
    <s v="CMTeam"/>
    <s v="Sachin Srivastva"/>
    <s v="\\192.168.3.3\Share\Releases\Projects\Comcast\Release_For_IT\Test_Build_4.6.1\Server CD\Database\Setup"/>
    <m/>
    <s v="\\192.168.3.3\Share\Releases\Projects\Comcast\Release_for_Test\Test_Build_4.6.6\Server CD\Database\Setup"/>
    <s v="Pass"/>
    <m/>
    <m/>
    <m/>
    <m/>
    <s v="Abhishek Leekha"/>
    <x v="0"/>
    <s v=""/>
    <x v="0"/>
    <x v="0"/>
  </r>
  <r>
    <d v="2014-10-18T00:00:00"/>
    <d v="2014-10-18T00:00:00"/>
    <n v="10"/>
    <s v="2014-Oct"/>
    <n v="10"/>
    <s v="IT-LQA-FAT"/>
    <x v="0"/>
    <m/>
    <s v="DM"/>
    <s v="DBS"/>
    <x v="0"/>
    <s v="DMDBS_SLT_2.0.0.25.1.194b1"/>
    <s v="CMTeam"/>
    <s v="Raja Sarkar"/>
    <s v="\\192.168.3.3\Share\Releases\Projects\SLT\Release_For_LQA\Test_Build_1.0.0.24\Server CD\DBS\Setup"/>
    <m/>
    <s v="\\192.168.3.3\Share\Releases\Projects\SLT\Release_For_IT\Test_Build_1.0.0.4\Server CD\DBS\Setup"/>
    <s v="Pass"/>
    <m/>
    <m/>
    <m/>
    <m/>
    <s v="Surya N Behra"/>
    <x v="0"/>
    <s v=""/>
    <x v="0"/>
    <x v="0"/>
  </r>
  <r>
    <d v="2014-10-18T00:00:00"/>
    <d v="2014-10-18T00:00:00"/>
    <n v="10"/>
    <s v="2014-Oct"/>
    <n v="10"/>
    <s v="IT-LQA-FAT"/>
    <x v="0"/>
    <m/>
    <s v="RA"/>
    <s v="DBS"/>
    <x v="0"/>
    <s v="RADBS_SLT_2.1.1.15.1.91b1"/>
    <s v="CMTeam"/>
    <s v="Raja Sarkar"/>
    <s v="\\192.168.3.3\Share\Releases\Projects\SLT\Release_For_LQA\Test_Build_1.0.0.24\Server CD\DBS\Setup"/>
    <m/>
    <s v="\\192.168.3.3\Share\Releases\Projects\SLT\Release_For_IT\Test_Build_1.0.0.4\Server CD\DBS\Setup"/>
    <s v="Pass"/>
    <m/>
    <m/>
    <m/>
    <m/>
    <s v="Surya N Behra"/>
    <x v="0"/>
    <s v=""/>
    <x v="0"/>
    <x v="0"/>
  </r>
  <r>
    <d v="2014-10-18T00:00:00"/>
    <d v="2014-10-18T00:00:00"/>
    <n v="10"/>
    <s v="2014-Oct"/>
    <n v="10"/>
    <s v="LQA-UAT"/>
    <x v="8"/>
    <m/>
    <s v="Utility"/>
    <s v="Utility"/>
    <x v="0"/>
    <s v="NMUTLMIG6_TWC_1.0.0.0.2"/>
    <s v="CMTeam"/>
    <s v="Sudip Ghosh"/>
    <m/>
    <m/>
    <s v="\\192.168.3.3\Share\Releases\Projects\TWC\Release_For_Test\Test_Build_1.0.0.4\Utility\Setup"/>
    <s v="Pass"/>
    <m/>
    <m/>
    <m/>
    <m/>
    <s v="Pradeep Raghav"/>
    <x v="0"/>
    <s v=""/>
    <x v="0"/>
    <x v="0"/>
  </r>
  <r>
    <d v="2014-10-18T00:00:00"/>
    <d v="2014-10-18T00:00:00"/>
    <n v="10"/>
    <s v="2014-Oct"/>
    <n v="10"/>
    <s v="LQA"/>
    <x v="1"/>
    <m/>
    <s v="RT"/>
    <s v="GUI"/>
    <x v="1"/>
    <s v="RTGUI_4.0.28b1"/>
    <s v="CMTeam"/>
    <s v="Ratnesh Singh"/>
    <m/>
    <s v="Obsolete-LQA"/>
    <s v="\\192.168.3.3\Share\Releases\Product\RT_4.0\ReleaseForLQA\TestBuild_4.0.24\GUI\Build1\Setup "/>
    <m/>
    <m/>
    <m/>
    <m/>
    <m/>
    <m/>
    <x v="2"/>
    <d v="2014-10-18T00:00:00"/>
    <x v="43"/>
    <x v="1"/>
  </r>
  <r>
    <d v="2014-10-20T00:00:00"/>
    <d v="2014-10-20T00:00:00"/>
    <n v="10"/>
    <s v="2014-Oct"/>
    <n v="10"/>
    <s v="IT-LQA"/>
    <x v="21"/>
    <s v="phase 1"/>
    <s v="DM"/>
    <s v="DBS"/>
    <x v="0"/>
    <s v="DMDBS_TLSTR-ST_2.1.1.8.1.4b2"/>
    <s v="CMTeam"/>
    <s v="Abhishek Sharma"/>
    <s v="\\192.168.3.3\Share\Releases\Projects\TLSTR-ST\Release_For_IT\TestBuild_1.0.1\Server CD\DBS\Setup"/>
    <s v="Obsolete-LQA"/>
    <s v="\\192.168.3.3\Share\Releases\Projects\TLSTR-ST\Release_For_Test\Test_Build_1.0.1\Server CD\DBS\Setup"/>
    <m/>
    <s v="Readme Re-Released"/>
    <m/>
    <m/>
    <m/>
    <m/>
    <x v="2"/>
    <d v="2014-10-20T00:00:00"/>
    <x v="44"/>
    <x v="1"/>
  </r>
  <r>
    <d v="2014-10-20T00:00:00"/>
    <d v="2014-10-20T00:00:00"/>
    <n v="10"/>
    <s v="2014-Oct"/>
    <n v="10"/>
    <s v="LQA"/>
    <x v="1"/>
    <m/>
    <s v="NM"/>
    <s v="DBS"/>
    <x v="0"/>
    <s v="NMDBS_4.7.1b14"/>
    <s v="CMTeam"/>
    <s v="Rohit Gulati"/>
    <m/>
    <m/>
    <s v="\\192.168.3.3\Share\Releases\Product\Netmind_4.7\Build&amp;Release\Release_For_LQA\Test_Build_1.0.1\Server CD\DBS\Setup"/>
    <m/>
    <m/>
    <m/>
    <m/>
    <m/>
    <m/>
    <x v="1"/>
    <s v=""/>
    <x v="0"/>
    <x v="0"/>
  </r>
  <r>
    <d v="2014-10-20T00:00:00"/>
    <d v="2014-10-20T00:00:00"/>
    <n v="10"/>
    <s v="2014-Oct"/>
    <n v="10"/>
    <s v="LQA-UAT"/>
    <x v="21"/>
    <m/>
    <s v="MPE"/>
    <s v="MPE"/>
    <x v="0"/>
    <s v="MPE_TLSTR-ST_3.2.6.0.1.5b1"/>
    <s v="CMTeam"/>
    <s v="Ankit Jain"/>
    <m/>
    <m/>
    <s v="\\192.168.3.3\Share\Releases\Projects\TLSTR-ST\Release_For_Test\Test_Build_1.0.1\Server CD\MPE\Setup"/>
    <s v="Pass"/>
    <m/>
    <m/>
    <m/>
    <m/>
    <s v="Aditya Mani Sharma"/>
    <x v="0"/>
    <s v=""/>
    <x v="0"/>
    <x v="0"/>
  </r>
  <r>
    <d v="2014-10-20T00:00:00"/>
    <d v="2014-10-20T00:00:00"/>
    <n v="10"/>
    <s v="2014-Oct"/>
    <n v="10"/>
    <s v="IT-LQA-FAT"/>
    <x v="0"/>
    <m/>
    <s v="DM"/>
    <s v="DBS"/>
    <x v="0"/>
    <s v="DMDBS_SLT_2.0.0.25.1.191b2 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0-20T00:00:00"/>
    <d v="2014-10-20T00:00:00"/>
    <n v="10"/>
    <s v="2014-Oct"/>
    <n v="10"/>
    <s v="IT-LQA-FAT"/>
    <x v="0"/>
    <m/>
    <s v="NM"/>
    <s v="DBS"/>
    <x v="0"/>
    <s v="NMDBS_SLT_4.0.2.0.1.30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0-21T00:00:00"/>
    <d v="2014-10-21T00:00:00"/>
    <n v="10"/>
    <s v="2014-Oct"/>
    <n v="10"/>
    <s v="LQA-FAT"/>
    <x v="0"/>
    <m/>
    <s v="MPE"/>
    <s v="MPE"/>
    <x v="0"/>
    <s v="MPE_SLT-1B_3.0.1.1.1.98b1"/>
    <s v="CMTeam"/>
    <s v="Muktesh Mukul"/>
    <m/>
    <m/>
    <s v="\\192.168.3.3\Share\Releases\Projects\SLT-1B\Release_For_Test\Test_Build_1.0.0.1\Server CD\MPE\Setup"/>
    <s v="Pass"/>
    <s v="Readme Re-Released"/>
    <m/>
    <m/>
    <m/>
    <s v="Surya N Behra"/>
    <x v="0"/>
    <s v=""/>
    <x v="0"/>
    <x v="0"/>
  </r>
  <r>
    <d v="2014-10-21T00:00:00"/>
    <d v="2014-10-21T00:00:00"/>
    <n v="10"/>
    <s v="2014-Oct"/>
    <n v="10"/>
    <s v="LQA"/>
    <x v="1"/>
    <m/>
    <s v="Utility"/>
    <s v="Utility"/>
    <x v="1"/>
    <s v="AWF_2.0.1b31"/>
    <s v="CMTeam"/>
    <s v="Ratnesh Singh"/>
    <m/>
    <m/>
    <s v="\\192.168.3.3\Share\Releases\Product\AWF\Build&amp;Release\Release For Test\TestBuild_2.0.1\Setup"/>
    <m/>
    <m/>
    <m/>
    <m/>
    <m/>
    <m/>
    <x v="1"/>
    <s v=""/>
    <x v="0"/>
    <x v="0"/>
  </r>
  <r>
    <d v="2014-10-21T00:00:00"/>
    <d v="2014-10-21T00:00:00"/>
    <n v="10"/>
    <s v="2014-Oct"/>
    <n v="10"/>
    <s v="IT-LQA-FAT"/>
    <x v="10"/>
    <m/>
    <s v="NM"/>
    <s v="DBS"/>
    <x v="0"/>
    <s v="NMDBS_COM_4.6.1.29.1.79b2"/>
    <s v="CMTeam"/>
    <s v="Sumita Yadav"/>
    <s v="\\192.168.3.3\Share\Releases\Projects\Comcast\Release_For_IT\Test_Build_4.6.1\Server CD\Database\Setup"/>
    <m/>
    <s v="\\192.168.3.3\Share\Releases\Projects\Comcast\Release_for_Test\Test_Build_4.6.6\Server CD\Database\Setup"/>
    <s v="Pass"/>
    <m/>
    <m/>
    <m/>
    <m/>
    <s v="Sumit Gomber"/>
    <x v="0"/>
    <s v=""/>
    <x v="0"/>
    <x v="0"/>
  </r>
  <r>
    <d v="2014-10-21T00:00:00"/>
    <d v="2014-10-21T00:00:00"/>
    <n v="10"/>
    <s v="2014-Oct"/>
    <n v="10"/>
    <s v="LQA"/>
    <x v="5"/>
    <m/>
    <s v="NM"/>
    <s v="DBS"/>
    <x v="1"/>
    <s v="NMDBS_BHN_4.7.1.5"/>
    <s v="CMTeam"/>
    <s v="surender Kumar"/>
    <m/>
    <m/>
    <s v="\\192.168.3.3\Share\Releases\Projects\BHN\Release_For_Test\Test_Build_1.0.1\Server CD\DBS\Setup"/>
    <m/>
    <m/>
    <m/>
    <m/>
    <m/>
    <m/>
    <x v="1"/>
    <s v=""/>
    <x v="0"/>
    <x v="0"/>
  </r>
  <r>
    <d v="2014-10-22T00:00:00"/>
    <d v="2014-10-22T00:00:00"/>
    <n v="10"/>
    <s v="2014-Oct"/>
    <n v="10"/>
    <s v="LQA"/>
    <x v="5"/>
    <m/>
    <s v="MPE"/>
    <s v="MPE"/>
    <x v="0"/>
    <s v="MPE_BHN_3.2.5.0.1.3b1"/>
    <s v="CMTeam"/>
    <s v="Mohd. Asif"/>
    <m/>
    <m/>
    <s v="\\192.168.3.3\Share\Releases\Projects\BHN\Release_For_Test\Test_Build_1.0.2\Server CD\MPE\Setup"/>
    <m/>
    <m/>
    <m/>
    <m/>
    <m/>
    <m/>
    <x v="1"/>
    <s v=""/>
    <x v="0"/>
    <x v="0"/>
  </r>
  <r>
    <d v="2014-10-27T00:00:00"/>
    <d v="2014-10-27T00:00:00"/>
    <n v="10"/>
    <s v="2014-Oct"/>
    <n v="10"/>
    <s v="IT-LQA-FAT"/>
    <x v="0"/>
    <m/>
    <s v="DM"/>
    <s v="DBS"/>
    <x v="0"/>
    <s v="DMDBS_SLT_2.0.0.25.1.195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0-27T00:00:00"/>
    <d v="2014-10-27T00:00:00"/>
    <n v="10"/>
    <s v="2014-Oct"/>
    <n v="10"/>
    <s v="IT-LQA"/>
    <x v="10"/>
    <m/>
    <s v="NM"/>
    <s v="DBS"/>
    <x v="0"/>
    <s v="NMDBS_COM_4.6.1.30.1.82b1"/>
    <s v="CMTeam"/>
    <s v="Nitin Kumar"/>
    <s v="\\192.168.3.3\Share\Releases\Projects\Comcast\Release_For_IT\Test_Build_4.6.1\Server CD\Database\Setup"/>
    <s v="Obsolete-LQA"/>
    <s v="\\192.168.3.3\Share\Releases\Projects\Comcast\Release_for_Test\Test_Build_4.6.6\Server CD\Database\Setup"/>
    <m/>
    <m/>
    <m/>
    <m/>
    <m/>
    <m/>
    <x v="2"/>
    <d v="2014-10-27T00:00:00"/>
    <x v="45"/>
    <x v="1"/>
  </r>
  <r>
    <d v="2014-10-27T00:00:00"/>
    <d v="2014-10-27T00:00:00"/>
    <n v="10"/>
    <s v="2014-Oct"/>
    <n v="10"/>
    <s v="IT-LQA"/>
    <x v="10"/>
    <m/>
    <s v="NP"/>
    <s v="DBS"/>
    <x v="0"/>
    <s v="NPDBS_COM_1.2.3.17.1.24b1 "/>
    <s v="CMTeam"/>
    <s v="Nitin Kumar"/>
    <s v="\\192.168.3.3\Share\Releases\Projects\Comcast\Release_For_IT\Test_Build_4.6.1\Server CD\Database\Setup"/>
    <s v="Obsolete-LQA"/>
    <s v="\\192.168.3.3\Share\Releases\Projects\Comcast\Release_for_Test\Test_Build_4.6.6\Server CD\Database\Setup"/>
    <m/>
    <m/>
    <m/>
    <m/>
    <m/>
    <m/>
    <x v="2"/>
    <d v="2014-10-27T00:00:00"/>
    <x v="45"/>
    <x v="1"/>
  </r>
  <r>
    <d v="2014-10-27T00:00:00"/>
    <d v="2014-10-27T00:00:00"/>
    <n v="10"/>
    <s v="2014-Oct"/>
    <n v="10"/>
    <s v="LQA"/>
    <x v="1"/>
    <m/>
    <s v="NM"/>
    <s v="DBS"/>
    <x v="0"/>
    <s v="NMDBS_4.7.1b15"/>
    <s v="CMTeam"/>
    <s v="Rohit Gulati"/>
    <m/>
    <m/>
    <s v="\\192.168.3.3\Share\Releases\Product\Netmind_4.7\Build&amp;Release\Release_For_LQA\Test_Build_1.0.1\Server CD\DBS\Setup"/>
    <m/>
    <m/>
    <m/>
    <m/>
    <m/>
    <m/>
    <x v="1"/>
    <s v=""/>
    <x v="0"/>
    <x v="0"/>
  </r>
  <r>
    <d v="2014-10-27T00:00:00"/>
    <d v="2014-10-27T00:00:00"/>
    <n v="10"/>
    <s v="2014-Oct"/>
    <n v="10"/>
    <s v="IT-LQA"/>
    <x v="4"/>
    <m/>
    <s v="NM"/>
    <s v="DBS"/>
    <x v="0"/>
    <s v="NMDBS_TLSTR_4.0.1.0.4.314b1"/>
    <s v="CMTeam"/>
    <s v="Deepak Yadav"/>
    <s v="\\192.168.3.3\Share\Releases\Projects\Telstra\Release_For_IT\Test_Build_1.0.0.18\Server CD\DBS\Setup"/>
    <s v="Obsolete-LQA"/>
    <s v="\\192.168.3.3\Share\Releases\Projects\Telstra\Release_For_LQA\Test_Build_1.0.0.18\Server CD\DBS\Setup"/>
    <m/>
    <m/>
    <m/>
    <m/>
    <m/>
    <m/>
    <x v="2"/>
    <d v="2014-10-27T00:00:00"/>
    <x v="45"/>
    <x v="1"/>
  </r>
  <r>
    <d v="2014-10-28T00:00:00"/>
    <d v="2014-10-28T00:00:00"/>
    <n v="10"/>
    <s v="2014-Oct"/>
    <n v="10"/>
    <s v="LQA-UAT"/>
    <x v="10"/>
    <m/>
    <s v="WWFS"/>
    <s v="GUI"/>
    <x v="0"/>
    <s v="WWFSGUI_COM_2.1.34.0.1.6b1"/>
    <s v="CMTeam"/>
    <s v="Sumit Dalal "/>
    <m/>
    <m/>
    <s v="\\192.168.3.3\Share\Releases\Projects\Comcast\Release_for_Test\Test_Build_4.6.6\Server CD\GUI\Setup "/>
    <s v="Pass"/>
    <m/>
    <m/>
    <m/>
    <m/>
    <s v="Rudra Narayan"/>
    <x v="0"/>
    <s v=""/>
    <x v="0"/>
    <x v="0"/>
  </r>
  <r>
    <d v="2014-10-28T00:00:00"/>
    <d v="2014-10-28T00:00:00"/>
    <n v="10"/>
    <s v="2014-Oct"/>
    <n v="10"/>
    <s v="IT-LQA"/>
    <x v="21"/>
    <s v="phase 1"/>
    <s v="DM"/>
    <s v="DBS"/>
    <x v="0"/>
    <s v="DMDBS_TLSTR-ST_2.1.1.8.1.4b3"/>
    <s v="CMTeam"/>
    <s v="Aditya Garg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4-10-29T00:00:00"/>
    <d v="2014-10-29T00:00:00"/>
    <n v="10"/>
    <s v="2014-Oct"/>
    <n v="10"/>
    <s v="LQA"/>
    <x v="1"/>
    <m/>
    <s v="WWFS"/>
    <s v="GUI"/>
    <x v="1"/>
    <s v="WWFSGUI_2.1.35b1"/>
    <s v="CMTeam"/>
    <s v="Karamjeet kaur"/>
    <m/>
    <s v="Obsolete-LQA"/>
    <s v="\\192.168.3.3\Share\Releases\Product\WEB_WFS\Build&amp;Release\Release For Test\TestBuild_2.1.35\ServerCD\GUI\Setup"/>
    <m/>
    <m/>
    <m/>
    <m/>
    <m/>
    <m/>
    <x v="2"/>
    <d v="2014-10-29T00:00:00"/>
    <x v="45"/>
    <x v="1"/>
  </r>
  <r>
    <d v="2014-10-29T00:00:00"/>
    <d v="2014-10-29T00:00:00"/>
    <n v="10"/>
    <s v="2014-Oct"/>
    <n v="10"/>
    <s v="LQA"/>
    <x v="21"/>
    <m/>
    <s v="MPE"/>
    <s v="MPE"/>
    <x v="0"/>
    <s v="MPE_TLSTR-2b_3.0.0.3.1.108b1"/>
    <s v="CMTeam"/>
    <s v="Sandeep Aggarwal"/>
    <m/>
    <s v="Obsolete-LQA"/>
    <s v="\\192.168.3.3\Share\Releases\Projects\Telstra-2b\Release_For_Test\Test_Build_1.0.0.1\Server CD\MPE\Setup"/>
    <m/>
    <m/>
    <m/>
    <m/>
    <m/>
    <m/>
    <x v="2"/>
    <d v="2014-10-29T00:00:00"/>
    <x v="45"/>
    <x v="1"/>
  </r>
  <r>
    <d v="2014-10-29T00:00:00"/>
    <d v="2014-10-29T00:00:00"/>
    <n v="10"/>
    <s v="2014-Oct"/>
    <n v="10"/>
    <s v="IT-LQA-FAT"/>
    <x v="0"/>
    <m/>
    <s v="RA"/>
    <s v="DBS"/>
    <x v="0"/>
    <s v="RADBS_SLT_2.1.1.15.1.92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0-29T00:00:00"/>
    <d v="2014-10-29T00:00:00"/>
    <n v="10"/>
    <s v="2014-Oct"/>
    <n v="10"/>
    <s v="LQA-FAT"/>
    <x v="0"/>
    <m/>
    <s v="MPE"/>
    <s v="MPE"/>
    <x v="0"/>
    <s v="MPE_SLT-1B_3.0.1.1.1.99b1"/>
    <s v="CMTeam"/>
    <s v="Muktesh Mukul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10-29T00:00:00"/>
    <d v="2014-10-29T00:00:00"/>
    <n v="10"/>
    <s v="2014-Oct"/>
    <n v="10"/>
    <s v="IT-LQA-UAT"/>
    <x v="6"/>
    <m/>
    <s v="NM"/>
    <s v="DBS"/>
    <x v="0"/>
    <s v="NMDBS_ANTEL_4.6.1.26.2.44b1"/>
    <s v="CMTeam"/>
    <s v="Rohit Kanwar"/>
    <s v="\\192.168.3.3\Share\Releases\Projects\ANTEL\Release_For_IT\TestBuild_1.0.0.4\Server CD\DBS\Setup"/>
    <m/>
    <s v="\\192.168.3.3\Share\Releases\Projects\ANTEL\Release_For_Test\Test_Build_1.0.0.7\Server CD\DBS\Setup"/>
    <s v="Pass"/>
    <m/>
    <m/>
    <m/>
    <m/>
    <s v="Pradeep Raghav"/>
    <x v="0"/>
    <s v=""/>
    <x v="0"/>
    <x v="0"/>
  </r>
  <r>
    <d v="2014-10-29T00:00:00"/>
    <d v="2014-10-29T00:00:00"/>
    <n v="10"/>
    <s v="2014-Oct"/>
    <n v="10"/>
    <s v="IT-LQA-UAT"/>
    <x v="4"/>
    <m/>
    <s v="NM"/>
    <s v="DBS"/>
    <x v="0"/>
    <s v="NMDBS_TLSTR_4.0.1.0.4.314b2"/>
    <s v="CMTeam"/>
    <s v="Nitin Kumar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Abrar Khan"/>
    <x v="0"/>
    <s v=""/>
    <x v="0"/>
    <x v="0"/>
  </r>
  <r>
    <d v="2014-10-29T00:00:00"/>
    <d v="2014-10-29T00:00:00"/>
    <n v="10"/>
    <s v="2014-Oct"/>
    <n v="10"/>
    <s v="LQA-UAT"/>
    <x v="4"/>
    <m/>
    <s v="MPE"/>
    <s v="MPE"/>
    <x v="0"/>
    <s v="MPE_TLSTR-2b_3.0.0.3.1.108b2"/>
    <s v="CMTeam"/>
    <s v="Sandeep Aggarwal"/>
    <m/>
    <m/>
    <s v="\\192.168.3.3\Share\Releases\Projects\Telstra-2b\Release_For_Test\Test_Build_1.0.0.1\Server CD\MPE\Setup"/>
    <s v="Pass"/>
    <m/>
    <m/>
    <m/>
    <m/>
    <s v="Gaurav Shukla"/>
    <x v="0"/>
    <s v=""/>
    <x v="0"/>
    <x v="0"/>
  </r>
  <r>
    <d v="2014-10-30T00:00:00"/>
    <d v="2014-10-30T00:00:00"/>
    <n v="10"/>
    <s v="2014-Oct"/>
    <n v="10"/>
    <s v="LQA-UAT"/>
    <x v="21"/>
    <m/>
    <s v="MPE"/>
    <s v="MPE"/>
    <x v="0"/>
    <s v="MPE_TLSTR-ST_3.2.6.0.1.6b1"/>
    <s v="CMTeam"/>
    <s v="Rohtash "/>
    <m/>
    <m/>
    <s v="\\192.168.3.3\Share\Releases\Projects\TLSTR-ST\Release_For_Test\Test_Build_1.0.1\Server CD\MPE\Setup"/>
    <s v="Pass"/>
    <m/>
    <m/>
    <m/>
    <m/>
    <s v="Aditya Mani Sharma"/>
    <x v="0"/>
    <s v=""/>
    <x v="0"/>
    <x v="0"/>
  </r>
  <r>
    <d v="2014-10-30T00:00:00"/>
    <d v="2014-10-30T00:00:00"/>
    <n v="10"/>
    <s v="2014-Oct"/>
    <n v="10"/>
    <s v="LQA"/>
    <x v="0"/>
    <m/>
    <s v="MPE"/>
    <s v="MPE"/>
    <x v="0"/>
    <s v="MPE_SLT-1B_3.0.1.1.1.100b1"/>
    <s v="CMTeam"/>
    <s v="Muktesh Mukul"/>
    <m/>
    <s v="Obsolete-LQA"/>
    <s v="\\192.168.3.3\Share\Releases\Projects\SLT-1B\Release_For_Test\Test_Build_1.0.0.1\Server CD\MPE\Setup"/>
    <m/>
    <m/>
    <m/>
    <m/>
    <m/>
    <m/>
    <x v="2"/>
    <d v="2014-10-30T00:00:00"/>
    <x v="45"/>
    <x v="1"/>
  </r>
  <r>
    <d v="2014-10-30T00:00:00"/>
    <d v="2014-10-30T00:00:00"/>
    <n v="10"/>
    <s v="2014-Oct"/>
    <n v="10"/>
    <s v="IT-LQA-FAT"/>
    <x v="0"/>
    <m/>
    <s v="DM"/>
    <s v="DBS"/>
    <x v="0"/>
    <s v="DMDBS_SLT_2.0.0.25.1.196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0-30T00:00:00"/>
    <d v="2014-10-30T00:00:00"/>
    <n v="10"/>
    <s v="2014-Oct"/>
    <n v="10"/>
    <s v="IT-LQA-FAT"/>
    <x v="0"/>
    <m/>
    <s v="RA"/>
    <s v="DBS"/>
    <x v="0"/>
    <s v="RADBS_SLT_2.1.1.15.1.93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0-30T00:00:00"/>
    <d v="2014-10-30T00:00:00"/>
    <n v="10"/>
    <s v="2014-Oct"/>
    <n v="10"/>
    <s v="IT-LQA-UAT"/>
    <x v="8"/>
    <m/>
    <s v="NM"/>
    <s v="DBS"/>
    <x v="0"/>
    <s v="NMDBS_TWC_4.6.1.11.3.49b1"/>
    <s v="CMTeam"/>
    <s v="Sachin Srivastva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Pradeep Raghav"/>
    <x v="0"/>
    <s v=""/>
    <x v="0"/>
    <x v="0"/>
  </r>
  <r>
    <d v="2014-10-30T00:00:00"/>
    <d v="2014-10-30T00:00:00"/>
    <n v="10"/>
    <s v="2014-Oct"/>
    <n v="10"/>
    <s v="IT-LQA"/>
    <x v="10"/>
    <m/>
    <s v="NM"/>
    <s v="DBS"/>
    <x v="0"/>
    <s v="NMDBS_COM_4.6.1.30.1.83b1"/>
    <s v="CMTeam"/>
    <s v="Sachin Srivastva"/>
    <s v="\\192.168.3.3\Share\Releases\Projects\Comcast\Release_For_IT\Test_Build_4.6.1\Server CD\Database\Setup"/>
    <s v="Obsolete-LQA"/>
    <s v="\\192.168.3.3\Share\Releases\Projects\Comcast\Release_for_Test\Test_Build_4.6.6\Server CD\Database\Setup"/>
    <m/>
    <m/>
    <m/>
    <m/>
    <m/>
    <m/>
    <x v="2"/>
    <d v="2014-10-30T00:00:00"/>
    <x v="45"/>
    <x v="1"/>
  </r>
  <r>
    <d v="2014-10-30T00:00:00"/>
    <d v="2014-10-30T00:00:00"/>
    <n v="10"/>
    <s v="2014-Oct"/>
    <n v="10"/>
    <s v="LQA"/>
    <x v="5"/>
    <m/>
    <s v="MPE"/>
    <s v="MPE"/>
    <x v="0"/>
    <s v="MPE_BHN_3.2.5.0.1.4b1"/>
    <s v="CMTeam"/>
    <s v="Ankit Jain"/>
    <m/>
    <m/>
    <s v="\\192.168.3.3\Share\Releases\Projects\BHN\Release_For_Test\Test_Build_1.0.2\Server CD\MPE\Setup"/>
    <m/>
    <m/>
    <m/>
    <m/>
    <m/>
    <m/>
    <x v="1"/>
    <s v=""/>
    <x v="0"/>
    <x v="0"/>
  </r>
  <r>
    <d v="2014-10-31T00:00:00"/>
    <d v="2014-10-31T00:00:00"/>
    <n v="10"/>
    <s v="2014-Oct"/>
    <n v="10"/>
    <s v="IT-LQA-FAT"/>
    <x v="0"/>
    <m/>
    <s v="RA"/>
    <s v="DBS"/>
    <x v="0"/>
    <s v=" RADBS_SLT_2.1.1.15.1.94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0-31T00:00:00"/>
    <d v="2014-10-31T00:00:00"/>
    <n v="10"/>
    <s v="2014-Oct"/>
    <n v="10"/>
    <s v="IT-LQA"/>
    <x v="21"/>
    <s v="phase 1"/>
    <s v="DM"/>
    <s v="DBS"/>
    <x v="0"/>
    <s v="DMDBS_TLSTR-ST_2.1.1.8.1.5b1"/>
    <s v="CMTeam"/>
    <s v="Abhishek Sharma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4-10-31T00:00:00"/>
    <d v="2014-10-31T00:00:00"/>
    <n v="10"/>
    <s v="2014-Oct"/>
    <n v="10"/>
    <s v="IT-LQA"/>
    <x v="0"/>
    <m/>
    <s v="DM"/>
    <s v="DBS"/>
    <x v="0"/>
    <s v="DMDBS_SLT_2.0.0.25.1.197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m/>
    <m/>
    <m/>
    <m/>
    <m/>
    <m/>
    <x v="1"/>
    <s v=""/>
    <x v="0"/>
    <x v="0"/>
  </r>
  <r>
    <d v="2014-10-31T00:00:00"/>
    <d v="2014-10-31T00:00:00"/>
    <n v="10"/>
    <s v="2014-Oct"/>
    <n v="10"/>
    <s v="IT-LQA-FAT"/>
    <x v="0"/>
    <m/>
    <s v="DM"/>
    <s v="DBS"/>
    <x v="0"/>
    <s v="DMDBS_SLT_2.0.0.25.1.198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Surya N Behra"/>
    <x v="0"/>
    <s v=""/>
    <x v="0"/>
    <x v="0"/>
  </r>
  <r>
    <d v="2014-10-31T00:00:00"/>
    <d v="2014-10-31T00:00:00"/>
    <n v="10"/>
    <s v="2014-Oct"/>
    <n v="10"/>
    <s v="IT-LQA-UAT"/>
    <x v="6"/>
    <m/>
    <s v="NM"/>
    <s v="DBS"/>
    <x v="0"/>
    <s v="NMDBS_ANTEL_4.6.1.26.2.45b1"/>
    <s v="CMTeam"/>
    <s v="Rohit Kanwar"/>
    <s v="\\192.168.3.3\Share\Releases\Projects\ANTEL\Release_For_IT\TestBuild_1.0.0.4\Server CD\DBS\Setup"/>
    <m/>
    <s v="\\192.168.3.3\Share\Releases\Projects\ANTEL\Release_For_Test\Test_Build_1.0.0.7\Server CD\DBS\Setup"/>
    <s v="Pass"/>
    <s v="Readme Re-Released"/>
    <m/>
    <m/>
    <m/>
    <s v="Pradeep Raghav"/>
    <x v="0"/>
    <s v=""/>
    <x v="0"/>
    <x v="0"/>
  </r>
  <r>
    <d v="2014-10-31T00:00:00"/>
    <d v="2014-10-31T00:00:00"/>
    <n v="10"/>
    <s v="2014-Oct"/>
    <n v="10"/>
    <s v="LQA"/>
    <x v="5"/>
    <m/>
    <s v="NM"/>
    <s v="DBS"/>
    <x v="0"/>
    <s v="NMDBS_BHN_4.7.1.6"/>
    <s v="CMTeam"/>
    <s v="surender Kumar"/>
    <m/>
    <m/>
    <s v="\\192.168.3.3\Share\Releases\Projects\BHN\Release_For_Test\Test_Build_1.0.1\Server CD\DBS\Setup"/>
    <m/>
    <m/>
    <m/>
    <m/>
    <m/>
    <m/>
    <x v="1"/>
    <s v=""/>
    <x v="0"/>
    <x v="0"/>
  </r>
  <r>
    <d v="2014-10-31T00:00:00"/>
    <d v="2014-10-31T00:00:00"/>
    <n v="10"/>
    <s v="2014-Oct"/>
    <n v="10"/>
    <s v="LQA"/>
    <x v="1"/>
    <m/>
    <s v="IM"/>
    <s v="IM"/>
    <x v="1"/>
    <s v="IM_1.0.2b2"/>
    <s v="CMTeam"/>
    <s v="Ratnesh Singh"/>
    <m/>
    <m/>
    <s v="\\192.168.3.3\Share\Releases\Product\IM_1.0\Build&amp;Release\Release_For_LQA\Test_Build_1.0.1\Server CD\IM\Setup"/>
    <m/>
    <m/>
    <m/>
    <m/>
    <m/>
    <m/>
    <x v="1"/>
    <s v=""/>
    <x v="0"/>
    <x v="0"/>
  </r>
  <r>
    <d v="2014-11-03T00:00:00"/>
    <d v="2014-11-03T00:00:00"/>
    <n v="11"/>
    <s v="2014-Nov"/>
    <n v="11"/>
    <s v="IT-LQA-UAT"/>
    <x v="4"/>
    <m/>
    <s v="NM"/>
    <s v="DBS"/>
    <x v="0"/>
    <s v="NMDBS_TLSTR_4.0.1.0.4.315b1"/>
    <s v="CMTeam"/>
    <s v="Deepak Yadav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Abrar Khan"/>
    <x v="0"/>
    <s v=""/>
    <x v="0"/>
    <x v="0"/>
  </r>
  <r>
    <d v="2014-11-03T00:00:00"/>
    <d v="2014-11-03T00:00:00"/>
    <n v="11"/>
    <s v="2014-Nov"/>
    <n v="11"/>
    <s v="LQA"/>
    <x v="5"/>
    <m/>
    <s v="IM"/>
    <s v="IM"/>
    <x v="1"/>
    <s v="IM_BHN_1.0.2.0.3"/>
    <s v="CMTeam"/>
    <s v="Ratnesh Singh"/>
    <m/>
    <m/>
    <s v="\\192.168.3.3\share\Releases\Projects\BHN\Release_For_Test\Test_Build_1.0.2\Server CD\IM\Setup"/>
    <m/>
    <m/>
    <m/>
    <m/>
    <m/>
    <m/>
    <x v="1"/>
    <s v=""/>
    <x v="0"/>
    <x v="0"/>
  </r>
  <r>
    <d v="2014-11-03T00:00:00"/>
    <d v="2014-11-03T00:00:00"/>
    <n v="11"/>
    <s v="2014-Nov"/>
    <n v="11"/>
    <s v="LQA-FAT"/>
    <x v="0"/>
    <m/>
    <s v="MPE"/>
    <s v="MPE"/>
    <x v="0"/>
    <s v="MPE_SLT-1B_3.0.1.1.1.100b2"/>
    <s v="CMTeam"/>
    <s v="Muktesh Mukul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11-03T00:00:00"/>
    <d v="2014-11-03T00:00:00"/>
    <n v="11"/>
    <s v="2014-Nov"/>
    <n v="11"/>
    <s v="IT-LQA-UAT"/>
    <x v="4"/>
    <m/>
    <s v="NM"/>
    <s v="DBS"/>
    <x v="0"/>
    <s v="NMDBS_TLSTR_4.0.1.0.4.316b1"/>
    <s v="CMTeam"/>
    <s v="Nitin Kumar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Abrar Khan"/>
    <x v="0"/>
    <s v=""/>
    <x v="0"/>
    <x v="0"/>
  </r>
  <r>
    <d v="2014-11-04T00:00:00"/>
    <d v="2014-11-04T00:00:00"/>
    <n v="11"/>
    <s v="2014-Nov"/>
    <n v="11"/>
    <s v="IT-LQA-FAT"/>
    <x v="0"/>
    <m/>
    <s v="DM"/>
    <s v="DBS"/>
    <x v="0"/>
    <s v="DMDBS_SLT_2.0.0.25.1.199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1-04T00:00:00"/>
    <d v="2014-11-04T00:00:00"/>
    <n v="11"/>
    <s v="2014-Nov"/>
    <n v="11"/>
    <s v="IT-LQA-FAT"/>
    <x v="0"/>
    <m/>
    <s v="RA"/>
    <s v="DBS"/>
    <x v="0"/>
    <s v="RADBS_SLT_2.1.1.15.1.95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1-04T00:00:00"/>
    <d v="2014-11-04T00:00:00"/>
    <n v="11"/>
    <s v="2014-Nov"/>
    <n v="11"/>
    <s v="IT-LQA-UAT"/>
    <x v="10"/>
    <m/>
    <s v="NP"/>
    <s v="DBS"/>
    <x v="0"/>
    <s v="NPDBS_COM_1.2.3.17.1.24b2"/>
    <s v="CMTeam"/>
    <s v="Sumita Yadav"/>
    <s v="\\192.168.3.3\Share\Releases\Projects\Comcast\Release_For_IT\Test_Build_4.6.1\Server CD\Database\Setup"/>
    <m/>
    <s v="\\192.168.3.3\Share\Releases\Projects\Comcast\Release_for_Test\Test_Build_4.6.6\Server CD\Database\Setup"/>
    <s v="Pass"/>
    <m/>
    <m/>
    <m/>
    <m/>
    <s v="Rudra Narayan"/>
    <x v="0"/>
    <s v=""/>
    <x v="0"/>
    <x v="0"/>
  </r>
  <r>
    <d v="2014-11-04T00:00:00"/>
    <d v="2014-11-04T00:00:00"/>
    <n v="11"/>
    <s v="2014-Nov"/>
    <n v="11"/>
    <s v="IT-LQA"/>
    <x v="0"/>
    <m/>
    <s v="DM"/>
    <s v="DBS"/>
    <x v="0"/>
    <s v="NPDBS_COM_1.2.3.17.1.24b2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m/>
    <m/>
    <m/>
    <m/>
    <m/>
    <m/>
    <x v="1"/>
    <s v=""/>
    <x v="0"/>
    <x v="0"/>
  </r>
  <r>
    <d v="2014-11-04T00:00:00"/>
    <d v="2014-11-04T00:00:00"/>
    <n v="11"/>
    <s v="2014-Nov"/>
    <n v="11"/>
    <s v="IT-LQA-FAT"/>
    <x v="0"/>
    <m/>
    <s v="DM"/>
    <s v="DBS"/>
    <x v="0"/>
    <s v="DMDBS_SLT_2.0.0.25.1.200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s v="Pass"/>
    <s v="Readme Re-Released"/>
    <m/>
    <m/>
    <m/>
    <s v="Surya N Behra"/>
    <x v="0"/>
    <s v=""/>
    <x v="0"/>
    <x v="0"/>
  </r>
  <r>
    <d v="2014-11-04T00:00:00"/>
    <d v="2014-11-04T00:00:00"/>
    <n v="11"/>
    <s v="2014-Nov"/>
    <n v="11"/>
    <s v="IT-LQA-FAT"/>
    <x v="0"/>
    <m/>
    <s v="RA"/>
    <s v="DBS"/>
    <x v="0"/>
    <s v="RADBS_SLT_2.1.1.15.1.96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Surya N Behra"/>
    <x v="0"/>
    <s v=""/>
    <x v="0"/>
    <x v="0"/>
  </r>
  <r>
    <d v="2014-11-04T00:00:00"/>
    <d v="2014-11-04T00:00:00"/>
    <n v="11"/>
    <s v="2014-Nov"/>
    <n v="11"/>
    <s v="IT-LQA-UAT"/>
    <x v="6"/>
    <m/>
    <s v="NM"/>
    <s v="DBS"/>
    <x v="0"/>
    <s v="NMDBS_ANTEL_4.6.1.26.2.46b1"/>
    <s v="CMTeam"/>
    <s v="Rohit Kanwar"/>
    <s v="\\192.168.3.3\Share\Releases\Projects\ANTEL\Release_For_IT\TestBuild_1.0.0.4\Server CD\DBS\Setup"/>
    <m/>
    <s v="\\192.168.3.3\Share\Releases\Projects\ANTEL\Release_For_Test\Test_Build_1.0.0.7\Server CD\DBS\Setup"/>
    <s v="Pass"/>
    <m/>
    <m/>
    <m/>
    <m/>
    <s v="Pradeep Raghav"/>
    <x v="0"/>
    <s v=""/>
    <x v="0"/>
    <x v="0"/>
  </r>
  <r>
    <d v="2014-11-05T00:00:00"/>
    <d v="2014-11-05T00:00:00"/>
    <n v="11"/>
    <s v="2014-Nov"/>
    <n v="11"/>
    <s v="IT-LQA-UAT"/>
    <x v="10"/>
    <m/>
    <s v="NM"/>
    <s v="DBS"/>
    <x v="0"/>
    <s v="NMDBS_COM_4.6.1.30.1.84b1"/>
    <s v="CMTeam"/>
    <s v="Sachin Srivastva"/>
    <s v="\\192.168.3.3\Share\Releases\Projects\Comcast\Release_For_IT\Test_Build_4.6.1\Server CD\Database\Setup"/>
    <m/>
    <s v="\\192.168.3.3\Share\Releases\Projects\Comcast\Release_for_Test\Test_Build_4.6.6\Server CD\Database\Setup"/>
    <s v="Pass"/>
    <m/>
    <m/>
    <m/>
    <m/>
    <s v="Rudra Narayan"/>
    <x v="0"/>
    <s v=""/>
    <x v="0"/>
    <x v="0"/>
  </r>
  <r>
    <d v="2014-11-05T00:00:00"/>
    <d v="2014-11-05T00:00:00"/>
    <n v="11"/>
    <s v="2014-Nov"/>
    <n v="11"/>
    <s v="IT-LQA"/>
    <x v="21"/>
    <s v="phase 1"/>
    <s v="DM"/>
    <s v="DBS"/>
    <x v="0"/>
    <s v="DMDBS_TLSTR-ST_2.1.1.8.1.6b1"/>
    <s v="CMTeam"/>
    <s v="Abhishek Sharma"/>
    <s v="\\192.168.3.3\Share\Releases\Projects\TLSTR-ST\Release_For_IT\TestBuild_1.0.1\Server CD\DBS\Setup"/>
    <m/>
    <s v="\\192.168.3.3\Share\Releases\Projects\TLSTR-ST\Release_For_Test\Test_Build_1.0.1\Server CD\DBS\Setup"/>
    <m/>
    <s v="Readme Re-Released"/>
    <m/>
    <m/>
    <m/>
    <m/>
    <x v="1"/>
    <s v=""/>
    <x v="0"/>
    <x v="0"/>
  </r>
  <r>
    <d v="2014-11-05T00:00:00"/>
    <d v="2014-11-05T00:00:00"/>
    <n v="11"/>
    <s v="2014-Nov"/>
    <n v="11"/>
    <s v="IT-LQA-UAT"/>
    <x v="10"/>
    <m/>
    <s v="NM"/>
    <s v="DBS"/>
    <x v="0"/>
    <s v="NMDBS_COM_4.6.1.30.1.82b2"/>
    <s v="CMTeam"/>
    <s v="Sachin Srivastva"/>
    <s v="\\192.168.3.3\Share\Releases\Projects\Comcast\Release_For_IT\Test_Build_4.6.1\Server CD\Database\Setup"/>
    <m/>
    <s v="\\192.168.3.3\Share\Releases\Projects\Comcast\Release_for_Test\Test_Build_4.6.6\Server CD\Database\Setup"/>
    <s v="Pass"/>
    <m/>
    <m/>
    <m/>
    <m/>
    <s v="Rudra Narayan"/>
    <x v="0"/>
    <s v=""/>
    <x v="0"/>
    <x v="0"/>
  </r>
  <r>
    <d v="2014-11-05T00:00:00"/>
    <d v="2014-11-05T00:00:00"/>
    <n v="11"/>
    <s v="2014-Nov"/>
    <n v="11"/>
    <s v="IT-LQA"/>
    <x v="21"/>
    <s v="phase 1"/>
    <s v="DM"/>
    <s v="DBS"/>
    <x v="0"/>
    <s v="DMDBS_TLSTR-ST_2.1.1.8.1.7b1"/>
    <s v="CMTeam"/>
    <s v="Aditya Garg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4-11-06T00:00:00"/>
    <d v="2014-11-06T00:00:00"/>
    <n v="11"/>
    <s v="2014-Nov"/>
    <n v="11"/>
    <s v="IT-LQA-UAT"/>
    <x v="10"/>
    <m/>
    <s v="NM"/>
    <s v="DBS"/>
    <x v="0"/>
    <s v="NMDBS_COM_4.6.1.30.1.83b2"/>
    <s v="CMTeam"/>
    <s v="Sachin Srivastva"/>
    <s v="\\192.168.3.3\Share\Releases\Projects\Comcast\Release_For_IT\Test_Build_4.6.1\Server CD\Database\Setup"/>
    <m/>
    <s v="\\192.168.3.3\Share\Releases\Projects\Comcast\Release_for_Test\Test_Build_4.6.6\Server CD\Database\Setup"/>
    <s v="Pass"/>
    <m/>
    <m/>
    <m/>
    <m/>
    <s v="Rudra Narayan"/>
    <x v="0"/>
    <s v=""/>
    <x v="0"/>
    <x v="0"/>
  </r>
  <r>
    <d v="2014-11-07T00:00:00"/>
    <d v="2014-11-07T00:00:00"/>
    <n v="11"/>
    <s v="2014-Nov"/>
    <n v="11"/>
    <s v="LQA-FAT"/>
    <x v="22"/>
    <m/>
    <s v="MPE"/>
    <s v="MPE"/>
    <x v="0"/>
    <s v="MPE_MOBSA_3.0.1.1.1.7b1"/>
    <s v="CMTeam"/>
    <s v="Ajay Awasthi"/>
    <m/>
    <m/>
    <s v="\\192.168.3.3\Share\Releases\Projects\MOBSA\Release_For_LQA\Test_Build_1.0.0.3\Server CD\MPE\Setup"/>
    <s v="Pass"/>
    <m/>
    <m/>
    <m/>
    <m/>
    <s v="Manas Ranjan Barik"/>
    <x v="0"/>
    <s v=""/>
    <x v="0"/>
    <x v="0"/>
  </r>
  <r>
    <d v="2014-11-11T00:00:00"/>
    <d v="2014-11-11T00:00:00"/>
    <n v="11"/>
    <s v="2014-Nov"/>
    <n v="11"/>
    <s v="IT-LQA-UAT"/>
    <x v="6"/>
    <m/>
    <s v="NM"/>
    <s v="DBS"/>
    <x v="0"/>
    <s v="NMDBS_ANTEL_4.6.1.26.2.47b1"/>
    <s v="CMTeam"/>
    <s v="Rohit Kanwar"/>
    <s v="\\192.168.3.3\Share\Releases\Projects\ANTEL\Release_For_IT\TestBuild_1.0.0.4\Server CD\DBS\Setup"/>
    <m/>
    <s v="\\192.168.3.3\Share\Releases\Projects\ANTEL\Release_For_Test\Test_Build_1.0.0.7\Server CD\DBS\Setup"/>
    <s v="Pass"/>
    <s v="Readme Re-Released"/>
    <m/>
    <m/>
    <m/>
    <s v="Pradeep Raghav"/>
    <x v="0"/>
    <s v=""/>
    <x v="0"/>
    <x v="0"/>
  </r>
  <r>
    <d v="2014-11-11T00:00:00"/>
    <d v="2014-11-11T00:00:00"/>
    <n v="11"/>
    <s v="2014-Nov"/>
    <n v="11"/>
    <s v="LQA-UAT"/>
    <x v="10"/>
    <m/>
    <s v="WWFS"/>
    <s v="GUI"/>
    <x v="0"/>
    <s v="WWFSGUI_COM_2.1.34.0.1.7b1"/>
    <s v="CMTeam"/>
    <s v="Karamjeet kaur"/>
    <m/>
    <m/>
    <s v="\\192.168.3.3\Share\Releases\Projects\Comcast\Release_for_Test\Test_Build_4.6.6\Server CD\GUI\Setup "/>
    <s v="Pass"/>
    <s v="Readme Re-Released"/>
    <m/>
    <m/>
    <m/>
    <s v="Rudra Narayan"/>
    <x v="0"/>
    <s v=""/>
    <x v="0"/>
    <x v="0"/>
  </r>
  <r>
    <d v="2014-11-11T00:00:00"/>
    <d v="2014-11-11T00:00:00"/>
    <n v="11"/>
    <s v="2014-Nov"/>
    <n v="11"/>
    <s v="LQA-UAT"/>
    <x v="1"/>
    <m/>
    <s v="MPE"/>
    <s v="MPE"/>
    <x v="0"/>
    <s v="MPE_3.2.4.33b1"/>
    <s v="CMTeam"/>
    <s v="Harish Singh"/>
    <m/>
    <m/>
    <s v="\\192.168.3.3\Share\Releases\Product\MPE_GUI\ReleaseForLQA\TestBuild_1.0.0.2\Server CD\MPE\Setup"/>
    <s v="Pass"/>
    <m/>
    <m/>
    <m/>
    <m/>
    <s v="Manas Ranjan Barik"/>
    <x v="0"/>
    <s v=""/>
    <x v="0"/>
    <x v="0"/>
  </r>
  <r>
    <d v="2014-11-11T00:00:00"/>
    <d v="2014-11-11T00:00:00"/>
    <n v="11"/>
    <s v="2014-Nov"/>
    <n v="11"/>
    <s v="LQA-UAT"/>
    <x v="6"/>
    <m/>
    <s v="MPE"/>
    <s v="MPE"/>
    <x v="0"/>
    <s v="MPE_ANTEL_3.2.4.33.1.16b1"/>
    <s v="CMTeam"/>
    <s v="Harish Singh"/>
    <m/>
    <m/>
    <s v="\\192.168.3.3\Share\Releases\Projects\ANTEL\Release_For_Test\Test_Build_1.0.0.7\Server CD\MPE\Setup"/>
    <s v="Pass"/>
    <m/>
    <m/>
    <m/>
    <m/>
    <s v="Manas Ranjan Barik"/>
    <x v="0"/>
    <s v=""/>
    <x v="0"/>
    <x v="0"/>
  </r>
  <r>
    <d v="2014-11-11T00:00:00"/>
    <d v="2014-11-11T00:00:00"/>
    <n v="11"/>
    <s v="2014-Nov"/>
    <n v="11"/>
    <s v="IT-LQA-FAT"/>
    <x v="0"/>
    <m/>
    <s v="DM"/>
    <s v="DBS"/>
    <x v="0"/>
    <s v="DMDBS_SLT_2.0.0.25.1.201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1-12T00:00:00"/>
    <d v="2014-11-12T00:00:00"/>
    <n v="11"/>
    <s v="2014-Nov"/>
    <n v="11"/>
    <s v="IT-LQA"/>
    <x v="8"/>
    <m/>
    <s v="NM"/>
    <s v="DBS"/>
    <x v="0"/>
    <s v="NMDBS_TWC_4.6.1.11.3.50b1"/>
    <s v="CMTeam"/>
    <s v="Sachin Srivastva"/>
    <s v="\\192.168.3.3\Share\Releases\Projects\TWC\Release_For_IT\Test_Build_1.0.0.3\Server CD\DBS\Setup"/>
    <s v="Obsolete-LQA"/>
    <s v="\\192.168.3.3\Share\Releases\Projects\TWC\Release_For_Test\Test_Build_1.0.0.4\Server CD\DBS\Setup"/>
    <m/>
    <m/>
    <m/>
    <m/>
    <m/>
    <m/>
    <x v="2"/>
    <d v="2014-11-12T00:00:00"/>
    <x v="46"/>
    <x v="1"/>
  </r>
  <r>
    <d v="2014-11-12T00:00:00"/>
    <m/>
    <n v="11"/>
    <s v="2014-Nov"/>
    <s v="False"/>
    <s v="IT"/>
    <x v="1"/>
    <m/>
    <s v="RT"/>
    <s v="DBS"/>
    <x v="0"/>
    <s v="RTDBS_4.0.1.24b1"/>
    <s v="CMTeam"/>
    <s v="Rohit Kanwar"/>
    <s v="\\192.168.3.3\Share\Releases\Product\RT_4.0\ReleaseForIT\TestBuild_4.0.3\DBS\Setup"/>
    <s v="Obsolete-IT"/>
    <m/>
    <m/>
    <m/>
    <m/>
    <m/>
    <m/>
    <m/>
    <x v="2"/>
    <d v="2014-11-12T00:00:00"/>
    <x v="46"/>
    <x v="1"/>
  </r>
  <r>
    <d v="2014-11-12T00:00:00"/>
    <d v="2014-11-12T00:00:00"/>
    <n v="11"/>
    <s v="2014-Nov"/>
    <n v="11"/>
    <s v="LQA"/>
    <x v="17"/>
    <m/>
    <s v="SAC"/>
    <s v="AGENT"/>
    <x v="1"/>
    <s v="SACAGENT_1.3.1.0.1.1b1_MTS_RHEL_4.8_x86_64"/>
    <s v="CMTeam"/>
    <s v="Daljeet "/>
    <m/>
    <m/>
    <s v="\\192.168.3.3\Share\Releases\Projects\MTS\Release For Test\Test_Build_3.0.5.25\Server CD\AGENT\Setup"/>
    <m/>
    <m/>
    <m/>
    <m/>
    <m/>
    <m/>
    <x v="1"/>
    <s v=""/>
    <x v="0"/>
    <x v="0"/>
  </r>
  <r>
    <d v="2014-11-12T00:00:00"/>
    <d v="2014-11-12T00:00:00"/>
    <n v="11"/>
    <s v="2014-Nov"/>
    <n v="11"/>
    <s v="LQA-FAT"/>
    <x v="0"/>
    <m/>
    <s v="MPE"/>
    <s v="MPE"/>
    <x v="0"/>
    <s v="MPE_SLT-1B_3.0.1.1.1.101b1"/>
    <s v="CMTeam"/>
    <s v="Muktesh Mukul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11-13T00:00:00"/>
    <d v="2014-11-13T00:00:00"/>
    <n v="11"/>
    <s v="2014-Nov"/>
    <n v="11"/>
    <s v="LQA"/>
    <x v="5"/>
    <m/>
    <s v="MPE"/>
    <s v="MPE"/>
    <x v="0"/>
    <s v="MPE_BHN_3.2.5.0.1.5b1"/>
    <s v="CMTeam"/>
    <s v="Mohd. Asif"/>
    <m/>
    <m/>
    <s v="\\192.168.3.3\Share\Releases\Projects\BHN\Release_For_Test\Test_Build_1.0.2\Server CD\MPE\Setup"/>
    <m/>
    <m/>
    <m/>
    <m/>
    <m/>
    <m/>
    <x v="1"/>
    <s v=""/>
    <x v="0"/>
    <x v="0"/>
  </r>
  <r>
    <d v="2014-11-13T00:00:00"/>
    <d v="2014-11-13T00:00:00"/>
    <n v="11"/>
    <s v="2014-Nov"/>
    <n v="11"/>
    <s v="IT-LQA"/>
    <x v="0"/>
    <m/>
    <s v="NM"/>
    <s v="DBS"/>
    <x v="0"/>
    <s v="NMDBS_SLT_4.0.2.0.1.31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1-13T00:00:00"/>
    <d v="2014-11-13T00:00:00"/>
    <n v="11"/>
    <s v="2014-Nov"/>
    <n v="11"/>
    <s v="IT-LQA-FAT"/>
    <x v="0"/>
    <m/>
    <s v="DM"/>
    <s v="DBS"/>
    <x v="0"/>
    <s v="DMDBS_SLT_2.0.0.25.1.203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1-14T00:00:00"/>
    <d v="2014-11-14T00:00:00"/>
    <n v="11"/>
    <s v="2014-Nov"/>
    <n v="11"/>
    <s v="IT-LQA-UAT"/>
    <x v="4"/>
    <m/>
    <s v="NM"/>
    <s v="DBS"/>
    <x v="0"/>
    <s v="NMDBS_TLSTR_4.0.1.0.4.317b1"/>
    <s v="CMTeam"/>
    <s v="Deepak Yadav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Abrar Khan"/>
    <x v="0"/>
    <s v=""/>
    <x v="0"/>
    <x v="0"/>
  </r>
  <r>
    <d v="2014-11-14T00:00:00"/>
    <d v="2014-11-14T00:00:00"/>
    <n v="11"/>
    <s v="2014-Nov"/>
    <n v="11"/>
    <s v="LQA"/>
    <x v="5"/>
    <m/>
    <s v="WWFS"/>
    <s v="GUI"/>
    <x v="0"/>
    <s v="WWFSGUI_BHN_2.1.34.0.4"/>
    <s v="CMTeam"/>
    <s v="Karamjeet kaur"/>
    <m/>
    <m/>
    <s v="\\192.168.3.3\Share\Releases\Projects\BHN\Release_For_Test\Test_Build_1.0.3\Server CD\GUI\Setup"/>
    <m/>
    <s v="Readme Re-Released"/>
    <m/>
    <m/>
    <m/>
    <m/>
    <x v="1"/>
    <s v=""/>
    <x v="0"/>
    <x v="0"/>
  </r>
  <r>
    <d v="2014-11-17T00:00:00"/>
    <d v="2014-11-17T00:00:00"/>
    <n v="11"/>
    <s v="2014-Nov"/>
    <n v="11"/>
    <s v="IT-LQA-UAT"/>
    <x v="8"/>
    <m/>
    <s v="NM"/>
    <s v="DBS"/>
    <x v="0"/>
    <s v="NMDBS_TWC_4.6.1.11.3.50b2"/>
    <s v="CMTeam"/>
    <s v="Sachin Srivastva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Mayank Sharma"/>
    <x v="0"/>
    <s v=""/>
    <x v="0"/>
    <x v="0"/>
  </r>
  <r>
    <d v="2014-11-17T00:00:00"/>
    <d v="2014-11-17T00:00:00"/>
    <n v="11"/>
    <s v="2014-Nov"/>
    <n v="11"/>
    <s v="IT-LQA"/>
    <x v="0"/>
    <m/>
    <s v="RA"/>
    <s v="DBS"/>
    <x v="0"/>
    <s v="NMDBS_TWC_4.6.1.11.3.50b2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m/>
    <m/>
    <m/>
    <m/>
    <m/>
    <m/>
    <x v="1"/>
    <s v=""/>
    <x v="0"/>
    <x v="0"/>
  </r>
  <r>
    <d v="2014-11-17T00:00:00"/>
    <d v="2014-11-17T00:00:00"/>
    <n v="11"/>
    <s v="2014-Nov"/>
    <n v="11"/>
    <s v="IT-LQA-FAT"/>
    <x v="0"/>
    <m/>
    <s v="RA"/>
    <s v="DBS"/>
    <x v="0"/>
    <s v="RADBS_SLT_2.1.1.15.1.97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1-17T00:00:00"/>
    <d v="2014-11-17T00:00:00"/>
    <n v="11"/>
    <s v="2014-Nov"/>
    <n v="11"/>
    <s v="IT-LQA-FAT"/>
    <x v="0"/>
    <m/>
    <s v="DM"/>
    <s v="DBS"/>
    <x v="0"/>
    <s v="DMDBS_SLT_2.0.0.25.1.202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1-17T00:00:00"/>
    <d v="2014-11-17T00:00:00"/>
    <n v="11"/>
    <s v="2014-Nov"/>
    <n v="11"/>
    <s v="IT-LQA-UAT"/>
    <x v="8"/>
    <m/>
    <s v="NM"/>
    <s v="DBS"/>
    <x v="0"/>
    <s v="NMDBS_TWC_4.6.1.11.3.51b1"/>
    <s v="CMTeam"/>
    <s v="Sudip Ghosh"/>
    <s v="\\192.168.3.3\Share\Releases\Projects\TWC\Release_For_Test\Test_Build_1.0.0.4\Server CD\DBS\Setup"/>
    <m/>
    <s v="\\192.168.3.3\Share\Releases\Projects\TWC\Release_For_IT\Test_Build_1.0.0.3\Server CD\DBS\Setup"/>
    <s v="Pass"/>
    <m/>
    <m/>
    <m/>
    <m/>
    <s v="Ajay Kumar Pandey"/>
    <x v="0"/>
    <s v=""/>
    <x v="0"/>
    <x v="0"/>
  </r>
  <r>
    <d v="2014-11-18T00:00:00"/>
    <d v="2014-11-18T00:00:00"/>
    <n v="11"/>
    <s v="2014-Nov"/>
    <n v="11"/>
    <s v="LQA"/>
    <x v="1"/>
    <m/>
    <s v="WWCS"/>
    <s v="GUI"/>
    <x v="1"/>
    <s v="WWCSGUI_2.1.21b1"/>
    <s v="CMTeam"/>
    <s v="Karamjeet kaur"/>
    <m/>
    <m/>
    <s v="\\192.168.3.3\Share\Releases\Product\WEB_CS\Build&amp;Release\Release For Test\TestBuild_2.1.21\ServerCD\GUI\Setup"/>
    <m/>
    <m/>
    <m/>
    <m/>
    <m/>
    <m/>
    <x v="1"/>
    <s v=""/>
    <x v="0"/>
    <x v="0"/>
  </r>
  <r>
    <d v="2014-11-18T00:00:00"/>
    <d v="2014-11-18T00:00:00"/>
    <n v="11"/>
    <s v="2014-Nov"/>
    <n v="11"/>
    <s v="IT-LQA"/>
    <x v="10"/>
    <m/>
    <s v="NM"/>
    <s v="DBS"/>
    <x v="0"/>
    <s v="NMDBS_COM_4.6.1.30.1.85b1"/>
    <s v="CMTeam"/>
    <s v="Sumita Yadav"/>
    <s v="\\192.168.3.3\Share\Releases\Projects\Comcast\Release_For_IT\Test_Build_4.6.1\Server CD\Database\Setup"/>
    <m/>
    <s v="\\192.168.3.3\Share\Releases\Projects\Comcast\Release_for_Test\Test_Build_4.6.6\Server CD\Database\Setup"/>
    <m/>
    <m/>
    <m/>
    <m/>
    <m/>
    <m/>
    <x v="1"/>
    <s v=""/>
    <x v="0"/>
    <x v="0"/>
  </r>
  <r>
    <d v="2014-11-18T00:00:00"/>
    <d v="2014-11-18T00:00:00"/>
    <n v="11"/>
    <s v="2014-Nov"/>
    <n v="11"/>
    <s v="IT-LQA"/>
    <x v="10"/>
    <m/>
    <s v="NP"/>
    <s v="DBS"/>
    <x v="0"/>
    <s v="NPDBS_COM_1.2.3.17.1.25b1"/>
    <s v="CMTeam"/>
    <s v="Sumita Yadav"/>
    <s v="\\192.168.3.3\Share\Releases\Projects\Comcast\Release_For_IT\Test_Build_4.6.1\Server CD\Database\Setup"/>
    <m/>
    <s v="\\192.168.3.3\Share\Releases\Projects\Comcast\Release_for_Test\Test_Build_4.6.6\Server CD\Database\Setup"/>
    <m/>
    <m/>
    <m/>
    <m/>
    <m/>
    <m/>
    <x v="1"/>
    <s v=""/>
    <x v="0"/>
    <x v="0"/>
  </r>
  <r>
    <d v="2014-11-18T00:00:00"/>
    <d v="2014-11-18T00:00:00"/>
    <n v="11"/>
    <s v="2014-Nov"/>
    <n v="11"/>
    <s v="LQA"/>
    <x v="5"/>
    <m/>
    <s v="NM"/>
    <s v="DBS"/>
    <x v="0"/>
    <s v="NMDBS_BHN_4.7.1.7"/>
    <s v="CMTeam"/>
    <s v="Sachin Srivastva"/>
    <m/>
    <m/>
    <s v="\\192.168.3.3\Share\Releases\Projects\BHN\Release_For_Test\Test_Build_1.0.3\Server CD\DBS\Setup"/>
    <m/>
    <s v="Readme Re-Released"/>
    <m/>
    <m/>
    <m/>
    <m/>
    <x v="1"/>
    <s v=""/>
    <x v="0"/>
    <x v="0"/>
  </r>
  <r>
    <d v="2014-11-18T00:00:00"/>
    <d v="2014-11-18T00:00:00"/>
    <n v="11"/>
    <s v="2014-Nov"/>
    <n v="11"/>
    <s v="LQA-FAT"/>
    <x v="0"/>
    <m/>
    <s v="MPE"/>
    <s v="MPE"/>
    <x v="0"/>
    <s v="MPE_SLT-1B_3.0.1.1.1.102b1"/>
    <s v="CMTeam"/>
    <s v="Muktesh Mukul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11-18T00:00:00"/>
    <d v="2014-11-18T00:00:00"/>
    <n v="11"/>
    <s v="2014-Nov"/>
    <n v="11"/>
    <s v="IT-LQA"/>
    <x v="1"/>
    <m/>
    <s v="NM"/>
    <s v="WFS"/>
    <x v="1"/>
    <s v="NMWFS_4.1.6"/>
    <s v="CMTeam"/>
    <s v="Lokeshna Virdi"/>
    <s v="\\192.168.3.3\Share\Releases\Product\Netmind4.1\Build&amp;Release\ReleaseForIT\TestBuild_4.1.1\Build5\Client CD\GUI\Workflow System\Setup"/>
    <m/>
    <s v="\\192.168.3.3\Share\Releases\Product\Netmind4.1\Build&amp;Release\ReleaseForTest\TestBuild_4.1.1\Build5\Client CD\GUI\Workflow System\Setup"/>
    <m/>
    <m/>
    <m/>
    <m/>
    <m/>
    <m/>
    <x v="1"/>
    <s v=""/>
    <x v="0"/>
    <x v="0"/>
  </r>
  <r>
    <d v="2014-11-19T00:00:00"/>
    <d v="2014-11-19T00:00:00"/>
    <n v="11"/>
    <s v="2014-Nov"/>
    <n v="11"/>
    <s v="IT-LQA-UAT"/>
    <x v="10"/>
    <m/>
    <s v="NM"/>
    <s v="DBS"/>
    <x v="0"/>
    <s v="NMDBS_COM_4.6.1.30.1.86b1"/>
    <s v="CMTeam"/>
    <s v="Sumita Yadav"/>
    <s v="\\192.168.3.3\Share\Releases\Projects\Comcast\Release_For_IT\Test_Build_4.6.1\Server CD\Database\Setup"/>
    <m/>
    <s v="\\192.168.3.3\Share\Releases\Projects\Comcast\Release_for_Test\Test_Build_4.6.6\Server CD\Database\Setup"/>
    <s v="Pass"/>
    <m/>
    <m/>
    <m/>
    <m/>
    <s v="Rudra Narayan"/>
    <x v="0"/>
    <s v=""/>
    <x v="0"/>
    <x v="0"/>
  </r>
  <r>
    <d v="2014-11-19T00:00:00"/>
    <d v="2014-11-19T00:00:00"/>
    <n v="11"/>
    <s v="2014-Nov"/>
    <n v="11"/>
    <s v="LQA"/>
    <x v="5"/>
    <m/>
    <s v="NM"/>
    <s v="DBS"/>
    <x v="0"/>
    <s v="NMDBS_BHN_4.7.1.8"/>
    <s v="CMTeam"/>
    <s v="surender Kumar"/>
    <m/>
    <m/>
    <s v="\\192.168.3.3\Share\Releases\Projects\BHN\Release_For_Test\Test_Build_1.0.3\Server CD\DBS\Setup"/>
    <m/>
    <m/>
    <m/>
    <m/>
    <m/>
    <m/>
    <x v="1"/>
    <s v=""/>
    <x v="0"/>
    <x v="0"/>
  </r>
  <r>
    <d v="2014-11-19T00:00:00"/>
    <d v="2014-11-19T00:00:00"/>
    <n v="11"/>
    <s v="2014-Nov"/>
    <n v="11"/>
    <s v="IT-LQA"/>
    <x v="6"/>
    <m/>
    <s v="NM"/>
    <s v="DBS"/>
    <x v="0"/>
    <s v="NMDBS_ANTEL_4.6.1.26.2.48b1"/>
    <s v="CMTeam"/>
    <s v="Rohit  Kanwar"/>
    <s v="\\192.168.3.3\Share\Releases\Projects\ANTEL\Release_For_IT\TestBuild_1.0.0.4\Server CD\DBS\Setup"/>
    <s v="Obsolete-LQA"/>
    <s v="\\192.168.3.3\Share\Releases\Projects\ANTEL\Release_For_Test\Test_Build_1.0.0.7\Server CD\DBS\Setup"/>
    <m/>
    <m/>
    <m/>
    <m/>
    <m/>
    <m/>
    <x v="2"/>
    <d v="2014-11-19T00:00:00"/>
    <x v="47"/>
    <x v="1"/>
  </r>
  <r>
    <d v="2014-11-19T00:00:00"/>
    <d v="2014-11-19T00:00:00"/>
    <n v="11"/>
    <s v="2014-Nov"/>
    <n v="11"/>
    <s v="IT-LQA-UAT"/>
    <x v="6"/>
    <m/>
    <s v="NM"/>
    <s v="DBS"/>
    <x v="0"/>
    <s v="NMDBS_ANTEL_4.6.1.26.2.49b1"/>
    <s v="CMTeam"/>
    <s v="Rohit  Kanwar"/>
    <s v="\\192.168.3.3\Share\Releases\Projects\ANTEL\Release_For_IT\TestBuild_1.0.0.4\Server CD\DBS\Setup"/>
    <m/>
    <s v="\\192.168.3.3\Share\Releases\Projects\ANTEL\Release_For_Test\Test_Build_1.0.0.7\Server CD\DBS\Setup"/>
    <s v="Pass"/>
    <s v="Readme Re-Released"/>
    <m/>
    <m/>
    <m/>
    <s v="Pradeep Raghav"/>
    <x v="0"/>
    <s v=""/>
    <x v="0"/>
    <x v="0"/>
  </r>
  <r>
    <d v="2014-11-20T00:00:00"/>
    <d v="2014-11-20T00:00:00"/>
    <n v="11"/>
    <s v="2014-Nov"/>
    <n v="11"/>
    <s v="IT-LQA-UAT"/>
    <x v="0"/>
    <m/>
    <s v="DM"/>
    <s v="DBS"/>
    <x v="0"/>
    <s v="DMDBS_SLT_2.0.0.25.1.204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Surya N Behra"/>
    <x v="0"/>
    <s v=""/>
    <x v="0"/>
    <x v="0"/>
  </r>
  <r>
    <d v="2014-11-20T00:00:00"/>
    <d v="2014-11-20T00:00:00"/>
    <n v="11"/>
    <s v="2014-Nov"/>
    <n v="11"/>
    <s v="IT-LQA-FAT"/>
    <x v="0"/>
    <m/>
    <s v="DM"/>
    <s v="DBS"/>
    <x v="0"/>
    <s v="DMDBS_SLT_2.0.0.25.1.205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1-20T00:00:00"/>
    <d v="2014-11-20T00:00:00"/>
    <n v="11"/>
    <s v="2014-Nov"/>
    <n v="11"/>
    <s v="LQA-UAT"/>
    <x v="0"/>
    <m/>
    <s v="MPE"/>
    <s v="MPE"/>
    <x v="0"/>
    <s v="MPE_SLT-1B_3.0.1.1.1.103b1"/>
    <s v="CMTeam"/>
    <s v="Muktesh Mukul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11-20T00:00:00"/>
    <d v="2014-11-20T00:00:00"/>
    <n v="11"/>
    <s v="2014-Nov"/>
    <n v="11"/>
    <s v="IT-LQA"/>
    <x v="0"/>
    <m/>
    <s v="NM"/>
    <s v="DBS"/>
    <x v="0"/>
    <s v="NMDBS_SLT_4.0.2.0.1.32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1-20T00:00:00"/>
    <d v="2014-11-20T00:00:00"/>
    <n v="11"/>
    <s v="2014-Nov"/>
    <n v="11"/>
    <s v="IT-LQA"/>
    <x v="1"/>
    <m/>
    <s v="RT"/>
    <s v="DBS"/>
    <x v="0"/>
    <s v="RTDBS_4.0.1.24b2"/>
    <s v="CMTeam"/>
    <s v="Rohit Kanwar"/>
    <s v="\\192.168.3.3\Share\Releases\Product\RT_4.0\ReleaseForIT\TestBuild_4.0.3\DBS\Setup"/>
    <m/>
    <s v="\\192.168.3.3\Share\Releases\Product\RT_4.0\ReleaseForLQA\TestBuild_4.0.24\DBS\Setup"/>
    <s v="Pass"/>
    <m/>
    <m/>
    <m/>
    <m/>
    <s v="K.V. Krishnan"/>
    <x v="0"/>
    <s v=""/>
    <x v="0"/>
    <x v="0"/>
  </r>
  <r>
    <d v="2014-11-20T00:00:00"/>
    <d v="2014-11-20T00:00:00"/>
    <n v="11"/>
    <s v="2014-Nov"/>
    <n v="11"/>
    <s v="IT-LQA"/>
    <x v="0"/>
    <m/>
    <s v="NM"/>
    <s v="WFS"/>
    <x v="1"/>
    <s v="NMWFS_SLT_4.1.6.0.1"/>
    <s v="CMTeam"/>
    <s v="Lokeshna Virdi"/>
    <s v="\\192.168.3.3\Share\Releases\Projects\SLT\Release_For_IT\Test_Build_1.0.0.4\Client CD\WFS\Setup"/>
    <m/>
    <s v="\\192.168.3.3\Share\Releases\Projects\SLT\Release_For_LQA\Test_Build_1.0.0.24\Client CD\WFS\Setup"/>
    <s v="Pass"/>
    <m/>
    <m/>
    <m/>
    <m/>
    <s v="K.V. Krishnan"/>
    <x v="0"/>
    <s v=""/>
    <x v="0"/>
    <x v="0"/>
  </r>
  <r>
    <d v="2014-11-20T00:00:00"/>
    <d v="2014-11-20T00:00:00"/>
    <n v="11"/>
    <s v="2014-Nov"/>
    <n v="11"/>
    <s v="LQA-UAT"/>
    <x v="8"/>
    <m/>
    <s v="WWFS"/>
    <s v="GUI"/>
    <x v="0"/>
    <s v="WWFSGUI_TWC_2.1.20.0.4.12b1"/>
    <s v="CMTeam"/>
    <s v="Rajeev Kumar"/>
    <m/>
    <m/>
    <s v="\\192.168.3.3\Share\Releases\Projects\TWC\Release_For_Test\Test_Build_1.0.0.4\Server CD\GUI\Setup"/>
    <s v="Pass"/>
    <m/>
    <m/>
    <m/>
    <m/>
    <s v="Pradeep Raghav"/>
    <x v="0"/>
    <s v=""/>
    <x v="0"/>
    <x v="0"/>
  </r>
  <r>
    <d v="2014-11-20T00:00:00"/>
    <d v="2014-11-20T00:00:00"/>
    <n v="11"/>
    <s v="2014-Nov"/>
    <n v="11"/>
    <s v="LQA"/>
    <x v="1"/>
    <m/>
    <s v="RT"/>
    <s v="GUI"/>
    <x v="1"/>
    <s v="RTGUI_4.0.28b2 "/>
    <s v="CMTeam"/>
    <s v="Ratnesh Singh"/>
    <m/>
    <m/>
    <s v="\\192.168.3.3\Share\Releases\Product\RT_4.0\ReleaseForLQA\TestBuild_4.0.24\GUI\Build1\Setup "/>
    <m/>
    <m/>
    <m/>
    <m/>
    <m/>
    <m/>
    <x v="1"/>
    <s v=""/>
    <x v="0"/>
    <x v="0"/>
  </r>
  <r>
    <d v="2014-11-21T00:00:00"/>
    <d v="2014-11-21T00:00:00"/>
    <n v="11"/>
    <s v="2014-Nov"/>
    <n v="11"/>
    <s v="LQA"/>
    <x v="20"/>
    <m/>
    <s v="CS"/>
    <s v="GUI"/>
    <x v="1"/>
    <s v="CSGUI_FNB_2.6.1.0.1"/>
    <s v="CMTeam"/>
    <s v="Alok Bagwale"/>
    <m/>
    <m/>
    <s v="\\192.168.3.3\Share\Releases\Projects\FNB\Release_For_Test\Test_Build_1.0.1\Server CD\GUI\Setup"/>
    <s v="Pass"/>
    <m/>
    <m/>
    <m/>
    <m/>
    <m/>
    <x v="0"/>
    <s v=""/>
    <x v="0"/>
    <x v="0"/>
  </r>
  <r>
    <d v="2014-11-21T00:00:00"/>
    <d v="2014-11-21T00:00:00"/>
    <n v="11"/>
    <s v="2014-Nov"/>
    <n v="11"/>
    <s v="LQA"/>
    <x v="20"/>
    <m/>
    <s v="WWFS"/>
    <s v="GUI"/>
    <x v="1"/>
    <s v="WWFSGUI_FNB_2.2.1.2.1"/>
    <s v="CMTeam"/>
    <s v="Alok Bagwale"/>
    <m/>
    <m/>
    <s v="\\192.168.3.3\Share\Releases\Projects\FNB\Release_For_Test\Test_Build_1.0.1\Server CD\GUI\Setup"/>
    <s v="Pass"/>
    <m/>
    <m/>
    <m/>
    <m/>
    <m/>
    <x v="0"/>
    <s v=""/>
    <x v="0"/>
    <x v="0"/>
  </r>
  <r>
    <d v="2014-11-21T00:00:00"/>
    <d v="2014-11-21T00:00:00"/>
    <n v="11"/>
    <s v="2014-Nov"/>
    <n v="11"/>
    <s v="LQA"/>
    <x v="21"/>
    <m/>
    <s v="MPE"/>
    <s v="MPE"/>
    <x v="0"/>
    <s v="MPE_TLSTR-ST_3.2.6.0.1.7b1"/>
    <s v="CMTeam"/>
    <s v="Anshul Kumar"/>
    <m/>
    <m/>
    <s v="\\192.168.3.3\Share\Releases\Projects\TLSTR-ST\Release_For_Test\Test_Build_1.0.1\Server CD\MPE\Setup"/>
    <m/>
    <m/>
    <m/>
    <m/>
    <m/>
    <m/>
    <x v="1"/>
    <s v=""/>
    <x v="0"/>
    <x v="0"/>
  </r>
  <r>
    <d v="2014-11-24T00:00:00"/>
    <d v="2014-11-24T00:00:00"/>
    <n v="11"/>
    <s v="2014-Nov"/>
    <n v="11"/>
    <s v="LQA-UAT"/>
    <x v="20"/>
    <m/>
    <s v="NM"/>
    <s v="DBS"/>
    <x v="1"/>
    <s v="NMDBS_FNB_4.7.1.1"/>
    <s v="CMTeam"/>
    <s v="Anjani Kumar"/>
    <m/>
    <m/>
    <s v="\\192.168.3.3\Share\Releases\Projects\FNB\Release_For_Test\Test_Build_1.0.1\Server CD\DBS\Setup"/>
    <s v="Pass"/>
    <s v="Readme Re-Released"/>
    <m/>
    <m/>
    <m/>
    <s v="Pradeep Raghav"/>
    <x v="0"/>
    <s v=""/>
    <x v="0"/>
    <x v="0"/>
  </r>
  <r>
    <d v="2014-11-24T00:00:00"/>
    <d v="2014-11-24T00:00:00"/>
    <n v="11"/>
    <s v="2014-Nov"/>
    <n v="11"/>
    <s v="LQA"/>
    <x v="20"/>
    <m/>
    <s v="WWCS"/>
    <s v="GUI"/>
    <x v="1"/>
    <s v="WWCSGUI_FNB_2.1.19.0.1"/>
    <s v="CMTeam"/>
    <s v="Alok Bagwale"/>
    <m/>
    <m/>
    <s v="\\192.168.3.3\Share\Releases\Projects\FNB\Release_For_Test\Test_Build_1.0.1\Server CD\GUI\Setup"/>
    <m/>
    <m/>
    <m/>
    <m/>
    <m/>
    <m/>
    <x v="1"/>
    <s v=""/>
    <x v="0"/>
    <x v="0"/>
  </r>
  <r>
    <d v="2014-11-24T00:00:00"/>
    <d v="2014-11-24T00:00:00"/>
    <n v="11"/>
    <s v="2014-Nov"/>
    <n v="11"/>
    <s v="LQA"/>
    <x v="20"/>
    <m/>
    <s v="WWFS"/>
    <s v="GUI"/>
    <x v="1"/>
    <s v="WWFSGUI_FNB_2.1.34.0.1"/>
    <s v="CMTeam"/>
    <s v="Karamjeet kaur"/>
    <m/>
    <m/>
    <s v="\\192.168.3.3\Share\Releases\Projects\FNB\Release_For_Test\Test_Build_1.0.1\Server CD\GUI\Setup"/>
    <m/>
    <m/>
    <m/>
    <m/>
    <m/>
    <m/>
    <x v="1"/>
    <s v=""/>
    <x v="0"/>
    <x v="0"/>
  </r>
  <r>
    <d v="2014-11-24T00:00:00"/>
    <d v="2014-11-24T00:00:00"/>
    <n v="11"/>
    <s v="2014-Nov"/>
    <n v="11"/>
    <s v="LQA"/>
    <x v="20"/>
    <m/>
    <s v="RA"/>
    <s v="DBS"/>
    <x v="1"/>
    <s v="RADBS_FNB_2.2.1.1"/>
    <s v="CMTeam"/>
    <s v="Anjani Kumar"/>
    <m/>
    <m/>
    <s v="\\192.168.3.3\Share\Releases\Projects\FNB\Release_For_Test\Test_Build_1.0.1\Server CD\DBS\Setup"/>
    <s v="Pass"/>
    <m/>
    <m/>
    <m/>
    <m/>
    <m/>
    <x v="0"/>
    <s v=""/>
    <x v="0"/>
    <x v="0"/>
  </r>
  <r>
    <d v="2014-11-24T00:00:00"/>
    <d v="2014-11-24T00:00:00"/>
    <n v="11"/>
    <s v="2014-Nov"/>
    <n v="11"/>
    <s v="IT-LQA"/>
    <x v="20"/>
    <m/>
    <s v="DM"/>
    <s v="DBS"/>
    <x v="1"/>
    <s v="DMDBS_FNB_2.1.1.11.1"/>
    <s v="CMTeam"/>
    <s v="Anjani Kumar"/>
    <s v="\\192.168.3.3\Share\Releases\Projects\FNB\Release_For_IT\TestBuild_1.0.1\Server CD\DBS\Setup"/>
    <m/>
    <s v="\\192.168.3.3\Share\Releases\Projects\FNB\Release_For_Test\Test_Build_1.0.1\Server CD\DBS\Setup"/>
    <s v="Pass"/>
    <s v="Readme Re-Released"/>
    <m/>
    <m/>
    <m/>
    <m/>
    <x v="0"/>
    <s v=""/>
    <x v="0"/>
    <x v="0"/>
  </r>
  <r>
    <d v="2014-11-24T00:00:00"/>
    <d v="2014-11-24T00:00:00"/>
    <n v="11"/>
    <s v="2014-Nov"/>
    <n v="11"/>
    <s v="IT-LQA"/>
    <x v="20"/>
    <m/>
    <s v="RT"/>
    <s v="DBS"/>
    <x v="1"/>
    <s v="RTDBS_FNB_4.0.1.24.1"/>
    <s v="CMTeam"/>
    <s v="Anjani Kumar"/>
    <s v="\\192.168.3.3\Share\Releases\Projects\FNB\Release_For_IT\TestBuild_1.0.1\Server CD\DBS\Setup"/>
    <s v="Obsolete-LQA"/>
    <s v="\\192.168.3.3\Share\Releases\Projects\FNB\Release_For_Test\Test_Build_1.0.1\Server CD\DBS\Setup"/>
    <s v="Pass"/>
    <m/>
    <m/>
    <m/>
    <m/>
    <m/>
    <x v="2"/>
    <d v="2014-11-24T00:00:00"/>
    <x v="48"/>
    <x v="1"/>
  </r>
  <r>
    <d v="2014-11-24T00:00:00"/>
    <d v="2014-11-24T00:00:00"/>
    <n v="11"/>
    <s v="2014-Nov"/>
    <n v="11"/>
    <s v="IT-LQA-UAT"/>
    <x v="20"/>
    <m/>
    <s v="NM"/>
    <s v="DBS"/>
    <x v="1"/>
    <s v="NMDBS_TLSTR_4.0.1.0.4.318b1"/>
    <s v="CMTeam"/>
    <s v="Anjani Kumar"/>
    <s v="\\192.168.3.3\Share\Releases\Projects\FNB\Release_For_IT\TestBuild_1.0.1\Server CD\DBS\Setup"/>
    <m/>
    <s v="\\192.168.3.3\Share\Releases\Projects\FNB\Release_For_Test\Test_Build_1.0.1\Server CD\DBS\Setup"/>
    <s v="Pass"/>
    <m/>
    <m/>
    <m/>
    <m/>
    <s v="Abrar Khan"/>
    <x v="0"/>
    <s v=""/>
    <x v="0"/>
    <x v="0"/>
  </r>
  <r>
    <d v="2014-11-24T00:00:00"/>
    <d v="2014-11-24T00:00:00"/>
    <n v="11"/>
    <s v="2014-Nov"/>
    <n v="11"/>
    <s v="LQA"/>
    <x v="1"/>
    <m/>
    <s v="IM"/>
    <s v="IM"/>
    <x v="1"/>
    <s v="IM_1.0.3b1"/>
    <s v="CMTeam"/>
    <s v="Ratnesh Singh"/>
    <m/>
    <m/>
    <s v="\\192.168.3.3\Share\Releases\Product\IM_1.0\Build&amp;Release\Release_For_LQA\Test_Build_1.0.2\Server CD\IM\Setup"/>
    <m/>
    <m/>
    <m/>
    <m/>
    <m/>
    <m/>
    <x v="1"/>
    <s v=""/>
    <x v="0"/>
    <x v="0"/>
  </r>
  <r>
    <d v="2014-11-24T00:00:00"/>
    <d v="2014-11-24T00:00:00"/>
    <n v="11"/>
    <s v="2014-Nov"/>
    <n v="11"/>
    <s v="IT-LQA"/>
    <x v="20"/>
    <m/>
    <s v="MPE"/>
    <s v="DBS"/>
    <x v="1"/>
    <s v="MPEDBS_FNB_1.0.1.13.1"/>
    <s v="CMTeam"/>
    <s v="Anjani Kumar"/>
    <s v="\\192.168.3.3\Share\Releases\Projects\FNB\Release_For_IT\TestBuild_1.0.1\Server CD\DBS\Setup"/>
    <m/>
    <s v="\\192.168.3.3\Share\Releases\Projects\FNB\Release_For_Test\Test_Build_1.0.1\Server CD\DBS\Setup"/>
    <m/>
    <m/>
    <m/>
    <m/>
    <m/>
    <m/>
    <x v="1"/>
    <s v=""/>
    <x v="0"/>
    <x v="0"/>
  </r>
  <r>
    <d v="2014-11-24T00:00:00"/>
    <d v="2014-11-24T00:00:00"/>
    <n v="11"/>
    <s v="2014-Nov"/>
    <n v="11"/>
    <s v="LQA"/>
    <x v="5"/>
    <m/>
    <s v="IM"/>
    <s v="IM"/>
    <x v="1"/>
    <s v="IM_BHN_1.0.3.0.1"/>
    <s v="CMTeam"/>
    <s v="Ratnesh Singh"/>
    <m/>
    <m/>
    <s v="\\192.168.3.3\share\Releases\Projects\BHN\Release_For_Test\Test_Build_1.0.3\Server CD\IM\Setup"/>
    <m/>
    <m/>
    <m/>
    <m/>
    <m/>
    <m/>
    <x v="1"/>
    <s v=""/>
    <x v="0"/>
    <x v="0"/>
  </r>
  <r>
    <d v="2014-11-24T00:00:00"/>
    <d v="2014-11-24T00:00:00"/>
    <n v="11"/>
    <s v="2014-Nov"/>
    <n v="11"/>
    <s v="LQA"/>
    <x v="1"/>
    <m/>
    <s v="MPE"/>
    <s v="MPE"/>
    <x v="0"/>
    <s v="MPE_3.2.4.34b1"/>
    <s v="CMTeam"/>
    <s v="Harish Singh"/>
    <m/>
    <s v="Obsolete-LQA"/>
    <s v="\\192.168.3.3\Share\Releases\Product\MPE_GUI\ReleaseForLQA\TestBuild_1.0.0.2\Server CD\MPE\Setup"/>
    <m/>
    <m/>
    <m/>
    <m/>
    <m/>
    <m/>
    <x v="2"/>
    <d v="2014-11-24T00:00:00"/>
    <x v="48"/>
    <x v="1"/>
  </r>
  <r>
    <d v="2014-11-24T00:00:00"/>
    <d v="2014-11-24T00:00:00"/>
    <n v="11"/>
    <s v="2014-Nov"/>
    <n v="11"/>
    <s v="LQA"/>
    <x v="1"/>
    <m/>
    <s v="RT"/>
    <s v="GUI"/>
    <x v="1"/>
    <s v="RTGUI_4.0.29b1"/>
    <s v="CMTeam"/>
    <s v="Ratnesh Singh"/>
    <m/>
    <m/>
    <s v="\\192.168.3.3\Share\Releases\Product\RT_4.0\ReleaseForLQA\TestBuild_4.0.24\GUI\Build1\Setup "/>
    <m/>
    <m/>
    <m/>
    <m/>
    <m/>
    <m/>
    <x v="1"/>
    <s v=""/>
    <x v="0"/>
    <x v="0"/>
  </r>
  <r>
    <d v="2014-11-25T00:00:00"/>
    <d v="2014-11-25T00:00:00"/>
    <n v="11"/>
    <s v="2014-Nov"/>
    <n v="11"/>
    <s v="LQA"/>
    <x v="0"/>
    <m/>
    <s v="RT"/>
    <s v="GUI"/>
    <x v="1"/>
    <s v="RTGUI_SLT_4.0.29.0.1"/>
    <s v="CMTeam"/>
    <s v="Dheeraj Kant"/>
    <m/>
    <m/>
    <s v="\\192.168.3.3\Share\Releases\Projects\SLT\Release_For_LQA\Test_Build_1.0.0.24\Server CD\GUI\Setup"/>
    <m/>
    <m/>
    <m/>
    <m/>
    <m/>
    <m/>
    <x v="1"/>
    <s v=""/>
    <x v="0"/>
    <x v="0"/>
  </r>
  <r>
    <d v="2014-11-25T00:00:00"/>
    <d v="2014-11-25T00:00:00"/>
    <n v="11"/>
    <s v="2014-Nov"/>
    <n v="11"/>
    <s v="LQA-UAT"/>
    <x v="1"/>
    <m/>
    <s v="MPE"/>
    <s v="MPE"/>
    <x v="0"/>
    <s v="MPE_3.2.4.34b2 "/>
    <s v="CMTeam"/>
    <s v="Harish Singh"/>
    <m/>
    <m/>
    <s v="\\192.168.3.3\Share\Releases\Product\MPE_GUI\ReleaseForLQA\TestBuild_1.0.0.2\Server CD\MPE\Setup"/>
    <s v="Pass"/>
    <m/>
    <m/>
    <m/>
    <m/>
    <s v="Pradeep Raghav"/>
    <x v="0"/>
    <s v=""/>
    <x v="0"/>
    <x v="0"/>
  </r>
  <r>
    <d v="2014-11-25T00:00:00"/>
    <d v="2014-11-25T00:00:00"/>
    <n v="11"/>
    <s v="2014-Nov"/>
    <n v="11"/>
    <s v="LQA-UAT"/>
    <x v="10"/>
    <m/>
    <s v="WWFS"/>
    <s v="GUI"/>
    <x v="0"/>
    <s v="WWFSGUI_COM_2.1.34.0.1.8b1"/>
    <s v="CMTeam"/>
    <s v="Rajeev Kumar"/>
    <m/>
    <m/>
    <s v="\\192.168.3.3\Share\Releases\Projects\Comcast\Release_for_Test\Test_Build_4.6.6\Server CD\GUI\Setup "/>
    <s v="Pass"/>
    <m/>
    <m/>
    <m/>
    <m/>
    <s v="Rudra Narayan"/>
    <x v="0"/>
    <s v=""/>
    <x v="0"/>
    <x v="0"/>
  </r>
  <r>
    <d v="2014-11-25T00:00:00"/>
    <d v="2014-11-25T00:00:00"/>
    <n v="11"/>
    <s v="2014-Nov"/>
    <n v="11"/>
    <s v="LQA"/>
    <x v="20"/>
    <m/>
    <s v="MPE"/>
    <s v="GUI"/>
    <x v="1"/>
    <s v="MPEGUI_FNB_1.0.8.0.1 "/>
    <s v="CMTeam"/>
    <s v="Ajay Sharma"/>
    <m/>
    <m/>
    <s v="\\192.168.3.3\Share\Releases\Projects\FNB\Release_For_Test\Test_Build_1.0.1\Server CD\GUI\Setup"/>
    <m/>
    <m/>
    <m/>
    <m/>
    <m/>
    <m/>
    <x v="1"/>
    <s v=""/>
    <x v="0"/>
    <x v="0"/>
  </r>
  <r>
    <d v="2014-11-25T00:00:00"/>
    <d v="2014-11-25T00:00:00"/>
    <n v="11"/>
    <s v="2014-Nov"/>
    <n v="11"/>
    <s v="IT-LQA"/>
    <x v="0"/>
    <m/>
    <s v="DM"/>
    <s v="DBS"/>
    <x v="0"/>
    <s v="DMDBS_SLT_2.0.0.25.1.207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1-26T00:00:00"/>
    <d v="2014-11-26T00:00:00"/>
    <n v="11"/>
    <s v="2014-Nov"/>
    <n v="11"/>
    <s v="IT-LQA"/>
    <x v="8"/>
    <m/>
    <s v="NM"/>
    <s v="DBS"/>
    <x v="0"/>
    <s v="NMDBS_TWC_4.6.1.11.3.52b1"/>
    <s v="CMTeam"/>
    <s v="Sachin Srivastva"/>
    <s v="\\192.168.3.3\Share\Releases\Projects\TWC\Release_For_IT\Test_Build_1.0.0.3\Server CD\DBS\Setup"/>
    <m/>
    <s v="\\192.168.3.3\Share\Releases\Projects\TWC\Release_For_Test\Test_Build_1.0.0.4\Server CD\DBS\Setup"/>
    <m/>
    <m/>
    <m/>
    <m/>
    <m/>
    <m/>
    <x v="1"/>
    <s v=""/>
    <x v="0"/>
    <x v="0"/>
  </r>
  <r>
    <d v="2014-11-26T00:00:00"/>
    <d v="2014-11-26T00:00:00"/>
    <n v="11"/>
    <s v="2014-Nov"/>
    <n v="11"/>
    <s v="LQA"/>
    <x v="1"/>
    <m/>
    <s v="CS"/>
    <s v="GUI"/>
    <x v="1"/>
    <s v="CSGUI_2.6.2b1"/>
    <s v="CMTeam"/>
    <s v="Alok Bagwale"/>
    <m/>
    <m/>
    <s v="\\192.168.3.3\Share\Releases\Product\CSGUI_2.6\Build&amp;Release\Release_For_LQA\Test_Build_1.0.2\Server CD\GUI\Setup"/>
    <m/>
    <m/>
    <m/>
    <m/>
    <m/>
    <m/>
    <x v="1"/>
    <s v=""/>
    <x v="0"/>
    <x v="0"/>
  </r>
  <r>
    <d v="2014-11-26T00:00:00"/>
    <d v="2014-11-26T00:00:00"/>
    <n v="11"/>
    <s v="2014-Nov"/>
    <n v="11"/>
    <s v="IT-LQA"/>
    <x v="20"/>
    <m/>
    <s v="MPE"/>
    <s v="DBS"/>
    <x v="0"/>
    <s v="MPEDBS_FNB_1.0.1.13.1.1b1"/>
    <s v="CMTeam"/>
    <s v="Anjani Kumar"/>
    <s v="\\192.168.3.3\Share\Releases\Projects\FNB\Release_For_IT\TestBuild_1.0.1\Server CD\DBS\Setup"/>
    <m/>
    <s v="\\192.168.3.3\Share\Releases\Projects\FNB\Release_For_Test\Test_Build_1.0.1\Server CD\DBS\Setup"/>
    <m/>
    <m/>
    <m/>
    <m/>
    <m/>
    <m/>
    <x v="1"/>
    <s v=""/>
    <x v="0"/>
    <x v="0"/>
  </r>
  <r>
    <d v="2014-11-26T00:00:00"/>
    <d v="2014-11-26T00:00:00"/>
    <n v="11"/>
    <s v="2014-Nov"/>
    <n v="11"/>
    <s v="LQA-UAT"/>
    <x v="1"/>
    <m/>
    <s v="RA"/>
    <s v="DBS"/>
    <x v="0"/>
    <s v="RADBS_3.0.1b1"/>
    <s v="CMTeam"/>
    <s v="Puneet Gupta"/>
    <m/>
    <m/>
    <s v="\\192.168.3.3\Share\Releases\Product\RevMind_3.0.1\Build&amp;Release\Release_For_LQA\Test_Build_1.0.1\Server CD\DBS\Setup"/>
    <s v="Pass"/>
    <m/>
    <m/>
    <m/>
    <m/>
    <s v="Ekansh Arora"/>
    <x v="0"/>
    <s v=""/>
    <x v="0"/>
    <x v="0"/>
  </r>
  <r>
    <d v="2014-11-27T00:00:00"/>
    <d v="2014-11-27T00:00:00"/>
    <n v="11"/>
    <s v="2014-Nov"/>
    <n v="11"/>
    <s v="LQA-UAT"/>
    <x v="20"/>
    <m/>
    <s v="MPE"/>
    <s v="MPE"/>
    <x v="1"/>
    <s v="MPE_FNB_3.2.4.34.1 "/>
    <s v="CMTeam"/>
    <s v="Harish Singh"/>
    <m/>
    <m/>
    <s v="\\192.168.3.3\Share\Releases\Projects\FNB\Release_For_Test\Test_Build_1.0.1\Server CD\MPE\Setup"/>
    <s v="Pass"/>
    <s v="Readme Re-Released"/>
    <m/>
    <m/>
    <m/>
    <s v="Manas Ranjan Barik"/>
    <x v="0"/>
    <s v=""/>
    <x v="0"/>
    <x v="0"/>
  </r>
  <r>
    <d v="2014-11-27T00:00:00"/>
    <d v="2014-11-27T00:00:00"/>
    <n v="11"/>
    <s v="2014-Nov"/>
    <n v="11"/>
    <s v="IT-LQA"/>
    <x v="5"/>
    <m/>
    <s v="Utility"/>
    <s v="Utility"/>
    <x v="1"/>
    <s v="NMUTLMIG1_BHN_1.0.0.0.6"/>
    <s v="CMTeam"/>
    <s v="surender Kumar"/>
    <s v="\\192.168.3.3\Share\Releases\Projects\BHN\Release_For_IT\TestBuild_1.0.0.1\Server CD\Utility\Setup"/>
    <m/>
    <s v="\\192.168.3.3\Share\Releases\Projects\BHN\Release_For_Test\Test_Build_1.0.3\Server CD\Utility\Setup"/>
    <m/>
    <m/>
    <m/>
    <m/>
    <m/>
    <m/>
    <x v="1"/>
    <s v=""/>
    <x v="0"/>
    <x v="0"/>
  </r>
  <r>
    <d v="2014-11-27T00:00:00"/>
    <d v="2014-11-27T00:00:00"/>
    <n v="11"/>
    <s v="2014-Nov"/>
    <n v="11"/>
    <s v="IT-LQA"/>
    <x v="5"/>
    <m/>
    <s v="Utility"/>
    <s v="Utility"/>
    <x v="1"/>
    <s v="NMUTLMIG3_BHN_1.0.0.0.5"/>
    <s v="CMTeam"/>
    <s v="surender Kumar"/>
    <s v="\\192.168.3.3\Share\Releases\Projects\BHN\Release_For_IT\TestBuild_1.0.0.1\Server CD\Utility\Setup"/>
    <m/>
    <s v="\\192.168.3.3\Share\Releases\Projects\BHN\Release_For_Test\Test_Build_1.0.3\Server CD\Utility\Setup"/>
    <m/>
    <m/>
    <m/>
    <m/>
    <m/>
    <m/>
    <x v="1"/>
    <s v=""/>
    <x v="0"/>
    <x v="0"/>
  </r>
  <r>
    <d v="2014-11-27T00:00:00"/>
    <d v="2014-11-27T00:00:00"/>
    <n v="11"/>
    <s v="2014-Nov"/>
    <n v="11"/>
    <s v="IT-LQA"/>
    <x v="20"/>
    <m/>
    <s v="DM"/>
    <s v="DBS"/>
    <x v="0"/>
    <s v="DMDBS_FNB_2.1.1.11.1.1b1"/>
    <s v="CMTeam"/>
    <s v="Anjani Kumar"/>
    <s v="\\192.168.3.3\Share\Releases\Projects\FNB\Release_For_IT\TestBuild_1.0.1\Server CD\DBS\Setup"/>
    <m/>
    <s v="\\192.168.3.3\Share\Releases\Projects\FNB\Release_For_Test\Test_Build_1.0.1\Server CD\DBS\Setup"/>
    <s v="Pass"/>
    <s v="Readme Re-Released"/>
    <m/>
    <m/>
    <m/>
    <m/>
    <x v="0"/>
    <s v=""/>
    <x v="0"/>
    <x v="0"/>
  </r>
  <r>
    <d v="2014-11-27T00:00:00"/>
    <d v="2014-11-27T00:00:00"/>
    <n v="11"/>
    <s v="2014-Nov"/>
    <n v="11"/>
    <s v="LQA-UAT"/>
    <x v="8"/>
    <m/>
    <s v="MPE"/>
    <s v="MPE"/>
    <x v="0"/>
    <s v="MPE_TWC_3.2.1.5.2.24b1"/>
    <s v="CMTeam"/>
    <s v="Mohd. Asif"/>
    <m/>
    <m/>
    <s v="\\192.168.3.3\Share\Releases\Projects\TWC\Release_For_Test\Test_Build_1.0.0.4\Server CD\MPE\Setup"/>
    <s v="Pass"/>
    <m/>
    <m/>
    <m/>
    <m/>
    <s v="Rudra Narayan"/>
    <x v="0"/>
    <s v=""/>
    <x v="0"/>
    <x v="0"/>
  </r>
  <r>
    <d v="2014-11-27T00:00:00"/>
    <d v="2014-11-27T00:00:00"/>
    <n v="11"/>
    <s v="2014-Nov"/>
    <n v="11"/>
    <s v="IT-LQA"/>
    <x v="1"/>
    <m/>
    <s v="RT"/>
    <s v="DBS"/>
    <x v="0"/>
    <s v="RTDBS_4.0.1.25b1"/>
    <s v="CMTeam"/>
    <s v="Ratnesh Singh"/>
    <s v="\\192.168.3.3\Share\Releases\Product\RT_4.0\ReleaseForIT\TestBuild_4.0.3\DBS\Setup"/>
    <m/>
    <s v="\\192.168.3.3\Share\Releases\Product\RT_4.0\ReleaseForLQA\TestBuild_4.0.24\DBS\Setup"/>
    <s v="Pass"/>
    <m/>
    <m/>
    <m/>
    <m/>
    <s v="K.V. Krishnan"/>
    <x v="0"/>
    <s v=""/>
    <x v="0"/>
    <x v="0"/>
  </r>
  <r>
    <d v="2014-11-27T00:00:00"/>
    <d v="2014-11-27T00:00:00"/>
    <n v="11"/>
    <s v="2014-Nov"/>
    <n v="11"/>
    <s v="LQA"/>
    <x v="1"/>
    <m/>
    <s v="RT"/>
    <s v="GUI"/>
    <x v="1"/>
    <s v="RTGUI_4.0.30b1"/>
    <s v="CMTeam"/>
    <s v="Dheeraj Kant"/>
    <m/>
    <m/>
    <s v="\\192.168.3.3\Share\Releases\Product\RT_4.0\ReleaseForLQA\TestBuild_4.0.24\GUI\Build1\Setup "/>
    <m/>
    <m/>
    <m/>
    <m/>
    <m/>
    <m/>
    <x v="1"/>
    <s v=""/>
    <x v="0"/>
    <x v="0"/>
  </r>
  <r>
    <d v="2014-11-27T00:00:00"/>
    <d v="2014-11-27T00:00:00"/>
    <n v="11"/>
    <s v="2014-Nov"/>
    <n v="11"/>
    <s v="LQA"/>
    <x v="1"/>
    <m/>
    <s v="NM"/>
    <s v="DBS"/>
    <x v="1"/>
    <s v="NMDBS_4.7.1b16"/>
    <s v="CMTeam"/>
    <s v="Rajat Gupta"/>
    <m/>
    <m/>
    <s v="\\192.168.3.3\Share\Releases\Product\Netmind_4.7\Build&amp;Release\Release_For_LQA\Test_Build_1.0.1\Server CD\DBS\Setup"/>
    <s v="Fail"/>
    <s v="Readme Re-Released"/>
    <m/>
    <m/>
    <m/>
    <m/>
    <x v="4"/>
    <s v=""/>
    <x v="0"/>
    <x v="0"/>
  </r>
  <r>
    <d v="2014-11-27T00:00:00"/>
    <d v="2014-11-27T00:00:00"/>
    <n v="11"/>
    <s v="2014-Nov"/>
    <n v="11"/>
    <s v="IT-LQA"/>
    <x v="0"/>
    <m/>
    <s v="NM"/>
    <s v="DBS"/>
    <x v="0"/>
    <s v="NMDBS_SLT_4.0.2.0.1.33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1-27T00:00:00"/>
    <d v="2014-11-27T00:00:00"/>
    <n v="11"/>
    <s v="2014-Nov"/>
    <n v="11"/>
    <s v="IT-LQA"/>
    <x v="0"/>
    <m/>
    <s v="DM"/>
    <s v="DBS"/>
    <x v="0"/>
    <s v="DMDBS_SLT_2.0.0.25.1.208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1-28T00:00:00"/>
    <d v="2014-11-28T00:00:00"/>
    <n v="11"/>
    <s v="2014-Nov"/>
    <n v="11"/>
    <s v="LQA"/>
    <x v="0"/>
    <m/>
    <s v="RT"/>
    <s v="GUI"/>
    <x v="1"/>
    <s v="RTGUI_SLT_4.0.30.0.1"/>
    <s v="CMTeam"/>
    <s v="Dheeraj Kant"/>
    <m/>
    <m/>
    <s v="\\192.168.3.3\Share\Releases\Projects\SLT\Release_For_LQA\Test_Build_1.0.0.24\Server CD\GUI\Setup"/>
    <m/>
    <m/>
    <m/>
    <m/>
    <m/>
    <m/>
    <x v="1"/>
    <s v=""/>
    <x v="0"/>
    <x v="0"/>
  </r>
  <r>
    <d v="2014-11-28T00:00:00"/>
    <d v="2014-11-28T00:00:00"/>
    <n v="11"/>
    <s v="2014-Nov"/>
    <n v="11"/>
    <s v="IT-LQA"/>
    <x v="5"/>
    <m/>
    <s v="NM"/>
    <s v="DBS"/>
    <x v="1"/>
    <s v=" NMDBS_BHN_4.7.1.9"/>
    <s v="CMTeam"/>
    <s v="Rajat Gupta"/>
    <m/>
    <m/>
    <s v="\\192.168.3.3\Share\Releases\Projects\BHN\Release_For_Test\Test_Build_1.0.3\Server CD\DBS\Setup"/>
    <m/>
    <m/>
    <m/>
    <m/>
    <m/>
    <m/>
    <x v="1"/>
    <s v=""/>
    <x v="0"/>
    <x v="0"/>
  </r>
  <r>
    <d v="2014-11-28T00:00:00"/>
    <d v="2014-11-28T00:00:00"/>
    <n v="11"/>
    <s v="2014-Nov"/>
    <n v="11"/>
    <s v="LQA"/>
    <x v="21"/>
    <m/>
    <s v="MPE"/>
    <s v="MPE"/>
    <x v="0"/>
    <s v="MPE_TLSTR-ST_3.2.6.0.1.8b1"/>
    <s v="CMTeam"/>
    <s v="Sandeep Aggarwal"/>
    <m/>
    <m/>
    <s v="\\192.168.3.3\Share\Releases\Projects\TLSTR-ST\Release_For_Test\Test_Build_1.0.1\Server CD\MPE\Setup"/>
    <m/>
    <m/>
    <m/>
    <m/>
    <m/>
    <m/>
    <x v="1"/>
    <s v=""/>
    <x v="0"/>
    <x v="0"/>
  </r>
  <r>
    <d v="2014-11-28T00:00:00"/>
    <d v="2014-11-28T00:00:00"/>
    <n v="11"/>
    <s v="2014-Nov"/>
    <n v="11"/>
    <s v="LQA"/>
    <x v="1"/>
    <m/>
    <s v="WWFS"/>
    <s v="GUI"/>
    <x v="1"/>
    <s v="WWFSGUI_2.1.35b2"/>
    <s v="CMTeam"/>
    <s v="Karamjeet kaur"/>
    <m/>
    <s v="Obsolete-LQA"/>
    <s v="\\192.168.3.3\Share\Releases\Product\WEB_WFS\Build&amp;Release\Release For Test\TestBuild_2.1.35\ServerCD\GUI\Setup"/>
    <m/>
    <m/>
    <m/>
    <m/>
    <m/>
    <m/>
    <x v="2"/>
    <d v="2014-11-28T00:00:00"/>
    <x v="48"/>
    <x v="1"/>
  </r>
  <r>
    <d v="2014-12-01T00:00:00"/>
    <d v="2014-12-01T00:00:00"/>
    <n v="12"/>
    <s v="2014-Dec"/>
    <n v="12"/>
    <s v="IT-LQA-FAT"/>
    <x v="4"/>
    <m/>
    <s v="WWFS"/>
    <s v="DBS"/>
    <x v="0"/>
    <s v="NMDBS_TLSTR_4.0.1.0.4.319b1"/>
    <s v="CMTeam"/>
    <s v="Nitin Kumar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Abrar Khan"/>
    <x v="0"/>
    <s v=""/>
    <x v="0"/>
    <x v="0"/>
  </r>
  <r>
    <d v="2014-12-01T00:00:00"/>
    <d v="2014-12-01T00:00:00"/>
    <n v="12"/>
    <s v="2014-Dec"/>
    <n v="12"/>
    <s v="IT-LQA"/>
    <x v="20"/>
    <m/>
    <s v="MPE"/>
    <s v="DBS"/>
    <x v="0"/>
    <s v="MPEDBS_FNB_1.0.1.13.1.2b1"/>
    <s v="CMTeam"/>
    <s v="Anjani Kumar"/>
    <s v="\\192.168.3.3\Share\Releases\Projects\FNB\Release_For_IT\TestBuild_1.0.1\Server CD\DBS\Setup"/>
    <m/>
    <s v="\\192.168.3.3\Share\Releases\Projects\FNB\Release_For_Test\Test_Build_1.0.1\Server CD\DBS\Setup"/>
    <m/>
    <m/>
    <m/>
    <m/>
    <m/>
    <m/>
    <x v="1"/>
    <s v=""/>
    <x v="0"/>
    <x v="0"/>
  </r>
  <r>
    <d v="2014-12-01T00:00:00"/>
    <d v="2014-12-01T00:00:00"/>
    <n v="12"/>
    <s v="2014-Dec"/>
    <n v="12"/>
    <s v="IT-LQA-UAT"/>
    <x v="6"/>
    <m/>
    <s v="NM"/>
    <s v="DBS"/>
    <x v="0"/>
    <s v="NMDBS_ANTEL_4.6.1.26.2.50b1"/>
    <s v="CMTeam"/>
    <s v="Rohit Kanwar"/>
    <s v="\\192.168.3.3\Share\Releases\Projects\ANTEL\Release_For_IT\TestBuild_1.0.0.4\Server CD\DBS\Setup"/>
    <m/>
    <s v="\\192.168.3.3\Share\Releases\Projects\ANTEL\Release_For_Test\Test_Build_1.0.0.7\Server CD\DBS\Setup"/>
    <s v="Pass"/>
    <m/>
    <m/>
    <m/>
    <m/>
    <s v="Pradeep Raghav"/>
    <x v="0"/>
    <s v=""/>
    <x v="0"/>
    <x v="0"/>
  </r>
  <r>
    <d v="2014-12-02T00:00:00"/>
    <d v="2014-12-02T00:00:00"/>
    <n v="12"/>
    <s v="2014-Dec"/>
    <n v="12"/>
    <s v="LQA"/>
    <x v="0"/>
    <m/>
    <s v="CS"/>
    <s v="GUI"/>
    <x v="1"/>
    <s v="CSGUI_SLT_2.6.1.0.1"/>
    <s v="CMTeam"/>
    <s v="Alok Bagwale"/>
    <m/>
    <m/>
    <s v="\\192.168.3.3\Share\Releases\Projects\SLT\Release_For_LQA\Test_Build_1.0.0.24\Server CD\GUI\Setup"/>
    <m/>
    <m/>
    <m/>
    <m/>
    <m/>
    <m/>
    <x v="1"/>
    <s v=""/>
    <x v="0"/>
    <x v="0"/>
  </r>
  <r>
    <d v="2014-12-02T00:00:00"/>
    <d v="2014-12-02T00:00:00"/>
    <n v="12"/>
    <s v="2014-Dec"/>
    <n v="12"/>
    <s v="LQA"/>
    <x v="0"/>
    <m/>
    <s v="WWFS"/>
    <s v="GUI"/>
    <x v="1"/>
    <s v="WWFSGUI_SLT_2.2.1.0.4 "/>
    <s v="CMTeam"/>
    <s v="Alok Bagwale"/>
    <m/>
    <m/>
    <s v="\\192.168.3.3\Share\Releases\Projects\SLT\Release_For_LQA\Test_Build_1.0.0.24\Server CD\GUI\Setup"/>
    <m/>
    <m/>
    <m/>
    <m/>
    <m/>
    <m/>
    <x v="1"/>
    <s v=""/>
    <x v="0"/>
    <x v="0"/>
  </r>
  <r>
    <d v="2014-12-02T00:00:00"/>
    <d v="2014-12-02T00:00:00"/>
    <n v="12"/>
    <s v="2014-Dec"/>
    <n v="12"/>
    <s v="LQA"/>
    <x v="10"/>
    <m/>
    <s v="WWFS"/>
    <s v="GUI"/>
    <x v="0"/>
    <s v="WWFSGUI_COM_2.1.34.0.1.9b1"/>
    <s v="CMTeam"/>
    <s v="Karamjeet kaur"/>
    <m/>
    <m/>
    <s v="\\192.168.3.3\Share\Releases\Projects\Comcast\Release_for_Test\Test_Build_4.6.6\Server CD\GUI\Setup "/>
    <m/>
    <m/>
    <m/>
    <m/>
    <m/>
    <m/>
    <x v="1"/>
    <s v=""/>
    <x v="0"/>
    <x v="0"/>
  </r>
  <r>
    <d v="2014-12-02T00:00:00"/>
    <d v="2014-12-02T00:00:00"/>
    <n v="12"/>
    <s v="2014-Dec"/>
    <n v="12"/>
    <s v="IT-LQA-FAT"/>
    <x v="1"/>
    <m/>
    <s v="DM"/>
    <s v="DBS"/>
    <x v="0"/>
    <s v="DMDBS_2.0.0.26b1"/>
    <s v="CMTeam"/>
    <s v="Anand Kumar Ojha"/>
    <s v="\\192.168.3.3\Share\Releases\Product\DataMind_2.0\Build&amp;Release\Release for IT\TestBuild_2.0.0\Server CD\DBS\Setup"/>
    <m/>
    <s v="\\192.168.3.3\Share\Releases\Product\DataMind_2.0\Build&amp;Release\Release for LQA\TestBuild_2.0.0\Server CD\DBS\Setup"/>
    <s v="Pass"/>
    <m/>
    <m/>
    <m/>
    <m/>
    <s v="K.V. Krishnan"/>
    <x v="0"/>
    <s v=""/>
    <x v="0"/>
    <x v="0"/>
  </r>
  <r>
    <d v="2014-12-02T00:00:00"/>
    <d v="2014-12-02T00:00:00"/>
    <n v="12"/>
    <s v="2014-Dec"/>
    <n v="12"/>
    <s v="IT-LQA-FAT"/>
    <x v="0"/>
    <m/>
    <s v="RE"/>
    <s v="DBS"/>
    <x v="0"/>
    <s v="REDBS_SLT_1.0.1.27.1.13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2-02T00:00:00"/>
    <d v="2014-12-02T00:00:00"/>
    <n v="12"/>
    <s v="2014-Dec"/>
    <n v="12"/>
    <s v="LQA-FAT"/>
    <x v="0"/>
    <m/>
    <s v="MPE"/>
    <s v="MPE"/>
    <x v="0"/>
    <s v="MPE_SLT-1B_3.0.1.1.1.104b1"/>
    <s v="CMTeam"/>
    <s v="Muktesh Mukul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12-02T00:00:00"/>
    <d v="2014-12-02T00:00:00"/>
    <n v="12"/>
    <s v="2014-Dec"/>
    <n v="12"/>
    <s v="IT-LQA"/>
    <x v="3"/>
    <m/>
    <s v="NM"/>
    <s v="DBS"/>
    <x v="0"/>
    <s v="NMDBS_OBT_4.6.1.27.1.42b1"/>
    <s v="CMTeam"/>
    <s v="Anjani Kumar"/>
    <s v="\\192.168.3.3\Share\Releases\Projects\OBT\Release_For_IT\TestBuild_1.0.0.2\Server CD\DBS\Setup"/>
    <m/>
    <s v="\\192.168.3.3\Share\Releases\Projects\OBT\Release_For_LQA\TestBuild_1.0.0.7\Server CD\DBS\Setup"/>
    <m/>
    <m/>
    <m/>
    <m/>
    <m/>
    <m/>
    <x v="1"/>
    <s v=""/>
    <x v="0"/>
    <x v="0"/>
  </r>
  <r>
    <d v="2014-12-03T00:00:00"/>
    <d v="2014-12-03T00:00:00"/>
    <n v="12"/>
    <s v="2014-Dec"/>
    <n v="12"/>
    <s v="LQA"/>
    <x v="1"/>
    <m/>
    <s v="RT"/>
    <s v="GUI"/>
    <x v="1"/>
    <s v="RTGUI_4.0.31b1"/>
    <s v="CMTeam"/>
    <s v="Dheeraj Kant"/>
    <m/>
    <m/>
    <s v="\\192.168.3.3\Share\Releases\Product\RT_4.0\ReleaseForLQA\TestBuild_4.0.24\GUI\Build1\Setup"/>
    <m/>
    <m/>
    <m/>
    <m/>
    <m/>
    <m/>
    <x v="1"/>
    <s v=""/>
    <x v="0"/>
    <x v="0"/>
  </r>
  <r>
    <d v="2014-12-03T00:00:00"/>
    <d v="2014-12-03T00:00:00"/>
    <n v="12"/>
    <s v="2014-Dec"/>
    <n v="12"/>
    <s v="LQA"/>
    <x v="0"/>
    <m/>
    <s v="RT"/>
    <s v="GUI"/>
    <x v="1"/>
    <s v="RTGUI_SLT_4.0.31.0.1"/>
    <s v="CMTeam"/>
    <s v="Dheeraj Kant"/>
    <m/>
    <s v="Obsolete-LQA"/>
    <s v="\\192.168.3.3\Share\Releases\Projects\SLT\Release_For_LQA\Test_Build_1.0.0.24\Server CD\GUI\Setup"/>
    <m/>
    <m/>
    <m/>
    <m/>
    <m/>
    <m/>
    <x v="2"/>
    <d v="2014-12-03T00:00:00"/>
    <x v="49"/>
    <x v="1"/>
  </r>
  <r>
    <d v="2014-12-03T00:00:00"/>
    <d v="2014-12-03T00:00:00"/>
    <n v="12"/>
    <s v="2014-Dec"/>
    <n v="12"/>
    <s v="IT-LQA-UAT"/>
    <x v="6"/>
    <m/>
    <s v="NM"/>
    <s v="DBS"/>
    <x v="0"/>
    <s v="NMDBS_ANTEL_4.6.1.26.2.48b2"/>
    <s v="CMTeam"/>
    <s v="Rohit Kanwar"/>
    <s v="\\192.168.3.3\Share\Releases\Projects\ANTEL\Release_For_IT\TestBuild_1.0.0.4\Server CD\DBS\Setup"/>
    <m/>
    <s v="\\192.168.3.3\Share\Releases\Projects\ANTEL\Release_For_Test\Test_Build_1.0.0.7\Server CD\DBS\Setup"/>
    <s v="Pass"/>
    <m/>
    <m/>
    <m/>
    <m/>
    <s v="Pradeep Raghav"/>
    <x v="0"/>
    <s v=""/>
    <x v="0"/>
    <x v="0"/>
  </r>
  <r>
    <d v="2014-12-03T00:00:00"/>
    <d v="2014-12-03T00:00:00"/>
    <n v="12"/>
    <s v="2014-Dec"/>
    <n v="12"/>
    <s v="LQA"/>
    <x v="0"/>
    <m/>
    <s v="RT"/>
    <s v="GUI"/>
    <x v="1"/>
    <s v="RTGUI_SLT_4.0.31.0.2"/>
    <s v="CMTeam"/>
    <s v="Dheeraj Kant"/>
    <m/>
    <m/>
    <s v="\\192.168.3.3\Share\Releases\Projects\SLT\Release_For_LQA\Test_Build_1.0.0.24\Server CD\GUI\Setup"/>
    <m/>
    <m/>
    <m/>
    <m/>
    <m/>
    <m/>
    <x v="1"/>
    <s v=""/>
    <x v="0"/>
    <x v="0"/>
  </r>
  <r>
    <d v="2014-12-03T00:00:00"/>
    <d v="2014-12-03T00:00:00"/>
    <n v="12"/>
    <s v="2014-Dec"/>
    <n v="12"/>
    <s v="LQA"/>
    <x v="1"/>
    <m/>
    <s v="WWFS"/>
    <s v="GUI"/>
    <x v="1"/>
    <s v="WWFSGUI_2.1.35b3"/>
    <s v="CMTeam"/>
    <s v="Rajeev Kumar"/>
    <m/>
    <s v="Obsolete-LQA"/>
    <s v="\\192.168.3.3\Share\Releases\Product\WEB_WFS\Build&amp;Release\Release For Test\TestBuild_2.1.35\ServerCD\GUI\Setup"/>
    <m/>
    <s v="Readme Re-Released"/>
    <m/>
    <m/>
    <m/>
    <m/>
    <x v="2"/>
    <d v="2014-12-03T00:00:00"/>
    <x v="49"/>
    <x v="1"/>
  </r>
  <r>
    <d v="2014-12-04T00:00:00"/>
    <d v="2014-12-04T00:00:00"/>
    <n v="12"/>
    <s v="2014-Dec"/>
    <n v="12"/>
    <s v="LQA-UAT"/>
    <x v="20"/>
    <m/>
    <s v="MPE"/>
    <s v="MPE"/>
    <x v="0"/>
    <s v="MPE_FNB_3.2.4.34.1.1b1"/>
    <s v="CMTeam"/>
    <s v="Neelam Jawla"/>
    <m/>
    <m/>
    <s v="\\192.168.3.3\Share\Releases\Projects\FNB\Release_For_Test\Test_Build_1.0.1\Server CD\MPE\Setup"/>
    <s v="Pass"/>
    <s v="Readme Re-Released"/>
    <m/>
    <m/>
    <m/>
    <s v="Manas Ranjan Barik"/>
    <x v="0"/>
    <s v=""/>
    <x v="0"/>
    <x v="0"/>
  </r>
  <r>
    <d v="2014-12-04T00:00:00"/>
    <d v="2014-12-04T00:00:00"/>
    <n v="12"/>
    <s v="2014-Dec"/>
    <n v="12"/>
    <s v="IT-LQA-UAT"/>
    <x v="0"/>
    <m/>
    <s v="DM"/>
    <s v="DBS"/>
    <x v="0"/>
    <s v="DMDBS_SLT_2.0.0.25.1.209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Paritosh Ghildyal"/>
    <x v="0"/>
    <s v=""/>
    <x v="0"/>
    <x v="0"/>
  </r>
  <r>
    <d v="2014-12-05T00:00:00"/>
    <d v="2014-12-05T00:00:00"/>
    <n v="12"/>
    <s v="2014-Dec"/>
    <n v="12"/>
    <s v="IT-LQA"/>
    <x v="21"/>
    <s v="phase 1"/>
    <s v="DM"/>
    <s v="DBS"/>
    <x v="0"/>
    <s v="DMDBS_TLSTR-ST_2.1.1.8.1.8b1"/>
    <s v="CMTeam"/>
    <s v="Sanjeev Pathak"/>
    <s v="\\192.168.3.3\Share\Releases\Projects\TLSTR-ST\Release_For_IT\TestBuild_1.0.1\Server CD\DBS\Setup"/>
    <s v="Obsolete-LQA"/>
    <s v="\\192.168.3.3\Share\Releases\Projects\TLSTR-ST\Release_For_Test\Test_Build_1.0.1\Server CD\DBS\Setup"/>
    <m/>
    <m/>
    <m/>
    <m/>
    <m/>
    <m/>
    <x v="2"/>
    <d v="2014-12-05T00:00:00"/>
    <x v="49"/>
    <x v="1"/>
  </r>
  <r>
    <d v="2014-12-05T00:00:00"/>
    <d v="2014-12-05T00:00:00"/>
    <n v="12"/>
    <s v="2014-Dec"/>
    <n v="12"/>
    <s v="LQA"/>
    <x v="20"/>
    <m/>
    <s v="RA"/>
    <s v="DBS"/>
    <x v="1"/>
    <s v="RADBS_FNB_2.2.1.2"/>
    <s v="CMTeam"/>
    <s v="Anjani Kumar"/>
    <m/>
    <m/>
    <s v="\\192.168.3.3\Share\Releases\Projects\FNB\Release_For_Test\Test_Build_1.0.1\Server CD\DBS\Setup"/>
    <s v="Pass"/>
    <s v="Readme Re-Released"/>
    <m/>
    <m/>
    <m/>
    <m/>
    <x v="0"/>
    <s v=""/>
    <x v="0"/>
    <x v="0"/>
  </r>
  <r>
    <d v="2014-12-05T00:00:00"/>
    <d v="2014-12-05T00:00:00"/>
    <n v="12"/>
    <s v="2014-Dec"/>
    <n v="12"/>
    <s v="IT-LQA"/>
    <x v="1"/>
    <m/>
    <s v="RT"/>
    <s v="DBS"/>
    <x v="0"/>
    <s v="RTDBS_4.0.1.26b1"/>
    <s v="CMTeam"/>
    <s v="Ratnesh Singh"/>
    <m/>
    <m/>
    <s v="\\192.168.3.3\Share\Releases\Product\RT_4.0\ReleaseForLQA\TestBuild_4.0.24\DBS\Setup"/>
    <s v="Pass"/>
    <m/>
    <m/>
    <m/>
    <m/>
    <s v="K.V. Krishnan"/>
    <x v="0"/>
    <s v=""/>
    <x v="0"/>
    <x v="0"/>
  </r>
  <r>
    <d v="2014-12-06T00:00:00"/>
    <d v="2014-12-06T00:00:00"/>
    <n v="12"/>
    <s v="2014-Dec"/>
    <n v="12"/>
    <s v="LQA"/>
    <x v="1"/>
    <m/>
    <s v="RT"/>
    <s v="GUI"/>
    <x v="1"/>
    <s v="RTGUI_4.0.32b1"/>
    <s v="CMTeam"/>
    <s v="Dheeraj Kant"/>
    <m/>
    <m/>
    <s v="\\192.168.3.3\Share\Releases\Product\RT_4.0\ReleaseForLQA\TestBuild_4.0.24\GUI\Build1\Setup "/>
    <m/>
    <m/>
    <m/>
    <m/>
    <m/>
    <m/>
    <x v="1"/>
    <s v=""/>
    <x v="0"/>
    <x v="0"/>
  </r>
  <r>
    <d v="2014-12-06T00:00:00"/>
    <d v="2014-12-06T00:00:00"/>
    <n v="12"/>
    <s v="2014-Dec"/>
    <n v="12"/>
    <s v="IT-LQA"/>
    <x v="1"/>
    <m/>
    <s v="RT"/>
    <s v="DBS"/>
    <x v="0"/>
    <s v="RTDBS_4.0.1.27b1"/>
    <s v="CMTeam"/>
    <s v="Ratnesh Singh"/>
    <s v="\\192.168.3.3\Share\Releases\Product\RT_4.0\ReleaseForIT\TestBuild_4.0.3\DBS\Setup"/>
    <m/>
    <s v="\\192.168.3.3\Share\Releases\Product\RT_4.0\ReleaseForLQA\TestBuild_4.0.24\DBS\Setup"/>
    <m/>
    <m/>
    <m/>
    <m/>
    <m/>
    <m/>
    <x v="1"/>
    <s v=""/>
    <x v="0"/>
    <x v="0"/>
  </r>
  <r>
    <d v="2014-12-06T00:00:00"/>
    <d v="2014-12-06T00:00:00"/>
    <n v="12"/>
    <s v="2014-Dec"/>
    <n v="12"/>
    <s v="LQA"/>
    <x v="1"/>
    <m/>
    <s v="RT"/>
    <s v="GUI"/>
    <x v="1"/>
    <s v="RTGUI_SLT_4.0.32.0.1 "/>
    <s v="CMTeam"/>
    <s v="Dheeraj Kant"/>
    <m/>
    <m/>
    <s v="\\192.168.3.3\Share\Releases\Projects\SLT\Release_For_LQA\Test_Build_1.0.0.24\Server CD\GUI\Setup"/>
    <s v="Pass"/>
    <s v="Readme Re-Released"/>
    <m/>
    <m/>
    <m/>
    <s v="K.V. Krishnan"/>
    <x v="0"/>
    <s v=""/>
    <x v="0"/>
    <x v="0"/>
  </r>
  <r>
    <d v="2014-12-08T00:00:00"/>
    <d v="2014-12-08T00:00:00"/>
    <n v="12"/>
    <s v="2014-Dec"/>
    <n v="12"/>
    <s v="IT-LQA"/>
    <x v="8"/>
    <m/>
    <s v="NM"/>
    <s v="DBS"/>
    <x v="0"/>
    <s v="NMDBS_TWC_4.6.1.11.3.53b1"/>
    <s v="CMTeam"/>
    <s v="Sachin Srivastva"/>
    <s v="\\192.168.3.3\Share\Releases\Projects\TWC\Release_For_IT\Test_Build_1.0.0.3\Server CD\DBS\Setup"/>
    <s v="Obsolete-LQA"/>
    <s v="\\192.168.3.3\Share\Releases\Projects\TWC\Release_For_Test\Test_Build_1.0.0.4\Server CD\DBS\Setup"/>
    <m/>
    <m/>
    <m/>
    <m/>
    <m/>
    <m/>
    <x v="2"/>
    <d v="2014-12-08T00:00:00"/>
    <x v="50"/>
    <x v="1"/>
  </r>
  <r>
    <d v="2014-12-08T00:00:00"/>
    <d v="2014-12-09T00:00:00"/>
    <n v="12"/>
    <s v="2014-Dec"/>
    <n v="12"/>
    <s v="IT-LQA"/>
    <x v="21"/>
    <s v="phase 1"/>
    <s v="DM"/>
    <s v="DBS"/>
    <x v="0"/>
    <s v="DMDBS_TLSTR-ST_2.1.1.8.1.9b1"/>
    <s v="CMTeam"/>
    <s v="Sanjeev Pathak"/>
    <s v="\\192.168.3.3\Share\Releases\Projects\TLSTR-ST\Release_For_IT\TestBuild_1.0.1\Server CD\DBS\Setup"/>
    <m/>
    <s v="\\192.168.3.3\Share\Releases\Projects\TLSTR-ST\Release_For_Test\Test_Build_1.0.1\Server CD\DBS\Setup"/>
    <m/>
    <s v="Readme Re-Released"/>
    <m/>
    <m/>
    <m/>
    <m/>
    <x v="1"/>
    <s v=""/>
    <x v="0"/>
    <x v="0"/>
  </r>
  <r>
    <d v="2014-12-09T00:00:00"/>
    <d v="2014-12-09T00:00:00"/>
    <n v="12"/>
    <s v="2014-Dec"/>
    <n v="12"/>
    <s v="LQA-UAT"/>
    <x v="6"/>
    <m/>
    <s v="RT"/>
    <s v="GUI"/>
    <x v="1"/>
    <s v="RTGUI_ANTEL_4.0.19.0.2"/>
    <s v="CMTeam"/>
    <s v="Dheeraj Kant"/>
    <m/>
    <m/>
    <s v="\\192.168.3.3\Share\Releases\Projects\ANTEL\Release_For_Test\Test_Build_1.0.0.7\Server CD\GUI\Setup"/>
    <s v="Pass"/>
    <s v="Readme Re-Released"/>
    <m/>
    <m/>
    <m/>
    <s v="Pradeep Raghav"/>
    <x v="0"/>
    <s v=""/>
    <x v="0"/>
    <x v="0"/>
  </r>
  <r>
    <d v="2014-12-09T00:00:00"/>
    <d v="2014-12-09T00:00:00"/>
    <n v="12"/>
    <s v="2014-Dec"/>
    <n v="12"/>
    <s v="LQA-UAT"/>
    <x v="20"/>
    <m/>
    <s v="NM"/>
    <s v="DBS"/>
    <x v="1"/>
    <s v="NMDBS_FNB_4.7.1.2"/>
    <s v="CMTeam"/>
    <s v="Anjani Kumar"/>
    <m/>
    <m/>
    <s v="\\192.168.3.3\Share\Releases\Projects\FNB\Release_For_Test\Test_Build_1.0.1\Server CD\DBS\Setup"/>
    <s v="Pass"/>
    <s v="Readme Re-Released"/>
    <m/>
    <m/>
    <m/>
    <s v="Pradeep Raghav"/>
    <x v="0"/>
    <s v=""/>
    <x v="0"/>
    <x v="0"/>
  </r>
  <r>
    <d v="2014-12-10T00:00:00"/>
    <d v="2014-12-10T00:00:00"/>
    <n v="12"/>
    <s v="2014-Dec"/>
    <n v="12"/>
    <s v="IT-LQA"/>
    <x v="0"/>
    <m/>
    <s v="DM"/>
    <s v="DBS"/>
    <x v="0"/>
    <s v="DMDBS_SLT_2.0.0.25.1.210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2-10T00:00:00"/>
    <d v="2014-12-10T00:00:00"/>
    <n v="12"/>
    <s v="2014-Dec"/>
    <n v="12"/>
    <s v="LQA-UAT"/>
    <x v="20"/>
    <m/>
    <s v="MPE"/>
    <s v="MPE"/>
    <x v="0"/>
    <s v="MPE_FNB_3.2.4.34.1.2b1"/>
    <s v="CMTeam"/>
    <s v="Sandeep Aggarwal"/>
    <m/>
    <m/>
    <s v="\\192.168.3.3\Share\Releases\Projects\FNB\Release_For_Test\Test_Build_1.0.1\Server CD\MPE\Setup"/>
    <s v="Pass"/>
    <m/>
    <m/>
    <m/>
    <m/>
    <s v="Manas Ranjan Barik"/>
    <x v="0"/>
    <s v=""/>
    <x v="0"/>
    <x v="0"/>
  </r>
  <r>
    <d v="2014-12-10T00:00:00"/>
    <d v="2014-12-10T00:00:00"/>
    <n v="12"/>
    <s v="2014-Dec"/>
    <n v="12"/>
    <s v="LQA"/>
    <x v="21"/>
    <m/>
    <s v="MPE"/>
    <s v="MPE"/>
    <x v="0"/>
    <s v="MPE_TLSTR-ST_3.2.6.0.1.9b1"/>
    <s v="CMTeam"/>
    <s v="Anshul Kumar"/>
    <m/>
    <m/>
    <s v="\\192.168.3.3\Share\Releases\Projects\TLSTR-ST\Release_For_Test\Test_Build_1.0.1\Server CD\MPE\Setup"/>
    <m/>
    <s v="Readme Re-Released"/>
    <m/>
    <m/>
    <m/>
    <m/>
    <x v="1"/>
    <s v=""/>
    <x v="0"/>
    <x v="0"/>
  </r>
  <r>
    <d v="2014-12-15T00:00:00"/>
    <d v="2014-12-15T00:00:00"/>
    <n v="12"/>
    <s v="2014-Dec"/>
    <n v="12"/>
    <s v="LQA"/>
    <x v="1"/>
    <m/>
    <s v="WWFS"/>
    <s v="GUI"/>
    <x v="1"/>
    <s v="WWFSGUI_2.1.35b4"/>
    <s v="CMTeam"/>
    <s v="Rajeev Kumar"/>
    <m/>
    <s v="Obsolete-LQA"/>
    <s v="\\192.168.3.3\Share\Releases\Product\WEB_WFS\Build&amp;Release\Release For Test\TestBuild_2.1.35\ServerCD\GUI\Setup"/>
    <m/>
    <s v="Readme Re-Released"/>
    <m/>
    <m/>
    <m/>
    <m/>
    <x v="2"/>
    <d v="2014-12-15T00:00:00"/>
    <x v="51"/>
    <x v="1"/>
  </r>
  <r>
    <d v="2014-12-12T00:00:00"/>
    <d v="2014-12-12T00:00:00"/>
    <n v="12"/>
    <s v="2014-Dec"/>
    <n v="12"/>
    <s v="LQA-FAT"/>
    <x v="0"/>
    <m/>
    <s v="MPE"/>
    <s v="MPE"/>
    <x v="0"/>
    <s v="MPE_SLT-1B_3.0.1.1.1.105b1"/>
    <s v="CMTeam"/>
    <s v="Muktesh Mukul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4-12-12T00:00:00"/>
    <d v="2014-12-12T00:00:00"/>
    <n v="12"/>
    <s v="2014-Dec"/>
    <n v="12"/>
    <s v="IT-LQA"/>
    <x v="0"/>
    <m/>
    <s v="DM"/>
    <s v="DBS"/>
    <x v="0"/>
    <s v="DMDBS_SLT_2.0.0.25.1.211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.V. Krishnan"/>
    <x v="0"/>
    <s v=""/>
    <x v="0"/>
    <x v="0"/>
  </r>
  <r>
    <d v="2014-12-12T00:00:00"/>
    <d v="2014-12-12T00:00:00"/>
    <n v="12"/>
    <s v="2014-Dec"/>
    <n v="12"/>
    <s v="IT-LQA-UAT"/>
    <x v="3"/>
    <m/>
    <s v="NM"/>
    <s v="DBS"/>
    <x v="0"/>
    <s v="NMDBS_OBT_4.6.1.27.1.43b1"/>
    <s v="CMTeam"/>
    <s v="Anjani Kumar"/>
    <s v="\\192.168.3.3\Share\Releases\Projects\OBT\Release_For_IT\TestBuild_1.0.0.2\Server CD\DBS\Setup"/>
    <m/>
    <s v="\\192.168.3.3\Share\Releases\Projects\OBT\Release_For_LQA\TestBuild_1.0.0.7\Server CD\DBS\Setup"/>
    <s v="Pass"/>
    <m/>
    <m/>
    <m/>
    <m/>
    <s v="Ajay Kumar Pandey"/>
    <x v="0"/>
    <s v=""/>
    <x v="0"/>
    <x v="0"/>
  </r>
  <r>
    <d v="2014-12-15T00:00:00"/>
    <d v="2014-12-15T00:00:00"/>
    <n v="12"/>
    <s v="2014-Dec"/>
    <n v="12"/>
    <s v="LQA"/>
    <x v="1"/>
    <m/>
    <s v="WWFS"/>
    <s v="GUI"/>
    <x v="1"/>
    <s v="WWFSGUI_2.1.35b4"/>
    <s v="CMTeam"/>
    <s v="Rajeev Kumar"/>
    <m/>
    <m/>
    <s v="\\192.168.3.3\Share\Releases\Product\WEB_WFS\Build&amp;Release\Release For Test\TestBuild_2.1.35\ServerCD\GUI\Setup"/>
    <m/>
    <m/>
    <m/>
    <m/>
    <m/>
    <m/>
    <x v="1"/>
    <s v=""/>
    <x v="0"/>
    <x v="0"/>
  </r>
  <r>
    <d v="2014-12-15T00:00:00"/>
    <d v="2014-12-15T00:00:00"/>
    <n v="12"/>
    <s v="2014-Dec"/>
    <n v="12"/>
    <s v="LQA"/>
    <x v="1"/>
    <m/>
    <s v="NM"/>
    <s v="DBS"/>
    <x v="1"/>
    <s v="NMDBS_4.7.1b17"/>
    <s v="CMTeam"/>
    <s v="Rajat Gupta"/>
    <m/>
    <m/>
    <s v="\\192.168.3.3\Share\Releases\Product\Netmind_4.7\Build&amp;Release\Release_For_LQA\Test_Build_1.0.1\Server CD\DBS\Setup"/>
    <m/>
    <m/>
    <m/>
    <m/>
    <m/>
    <m/>
    <x v="1"/>
    <s v=""/>
    <x v="0"/>
    <x v="0"/>
  </r>
  <r>
    <d v="2014-12-15T00:00:00"/>
    <d v="2014-12-15T00:00:00"/>
    <n v="12"/>
    <s v="2014-Dec"/>
    <n v="12"/>
    <s v="LQA"/>
    <x v="23"/>
    <m/>
    <s v="NP"/>
    <s v="DBS"/>
    <x v="1"/>
    <s v="NPDBS_MCC_1.3.2.1"/>
    <s v="CMTeam"/>
    <s v="Sumita Yadav"/>
    <m/>
    <m/>
    <s v="\\192.168.3.3\Share\Releases\Projects\MCC\Release_For_Test\Test_Build_1.0.1\Server CD\DBS\Setup"/>
    <m/>
    <m/>
    <m/>
    <m/>
    <m/>
    <m/>
    <x v="1"/>
    <s v=""/>
    <x v="0"/>
    <x v="0"/>
  </r>
  <r>
    <d v="2014-12-15T00:00:00"/>
    <d v="2014-12-15T00:00:00"/>
    <n v="12"/>
    <s v="2014-Dec"/>
    <n v="12"/>
    <s v="LQA"/>
    <x v="23"/>
    <m/>
    <s v="NM"/>
    <s v="DBS"/>
    <x v="1"/>
    <s v="NMDBS_MCC_4.7.1.1"/>
    <s v="CMTeam"/>
    <s v="Sudip Ghosh"/>
    <m/>
    <m/>
    <s v="\\192.168.3.3\Share\Releases\Projects\MCC\Release_For_Test\Test_Build_1.0.1\Server CD\DBS\Setup"/>
    <m/>
    <m/>
    <m/>
    <m/>
    <m/>
    <m/>
    <x v="1"/>
    <s v=""/>
    <x v="0"/>
    <x v="0"/>
  </r>
  <r>
    <d v="2014-12-15T00:00:00"/>
    <d v="2014-12-15T00:00:00"/>
    <n v="12"/>
    <s v="2014-Dec"/>
    <n v="12"/>
    <s v="IT-LQA"/>
    <x v="1"/>
    <m/>
    <s v="NM"/>
    <s v="DBS"/>
    <x v="0"/>
    <s v="NMDBS_4.6.1.31b1"/>
    <s v="CMTeam"/>
    <s v="Rajat Gupta"/>
    <s v="\\192.168.3.3\Share\Releases\Product\Netmind_4.6\Build&amp;Release\ReleaseForIT\TestBuild_4.6.1\Build4\ServerCD\DBS\Setup"/>
    <m/>
    <s v="\\192.168.3.3\Share\Releases\Product\Netmind_4.6\Build&amp;Release\ReleaseForTest\TestBuild_4.6.1\Build4\ServerCD\DBS\Setup"/>
    <s v="Pass"/>
    <m/>
    <m/>
    <m/>
    <m/>
    <s v="Rudra Narayan"/>
    <x v="0"/>
    <s v=""/>
    <x v="0"/>
    <x v="0"/>
  </r>
  <r>
    <d v="2014-12-15T00:00:00"/>
    <m/>
    <n v="12"/>
    <s v="2014-Dec"/>
    <s v="False"/>
    <s v="IT-LQA"/>
    <x v="21"/>
    <s v="phase 1"/>
    <s v="DM"/>
    <s v="DBS"/>
    <x v="0"/>
    <s v="DMDBS_TLSTR-ST_2.1.1.8.1.10b1"/>
    <s v="CMTeam"/>
    <s v="Sanjeev Pathak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4-12-15T00:00:00"/>
    <d v="2014-12-18T00:00:00"/>
    <n v="12"/>
    <s v="2014-Dec"/>
    <n v="12"/>
    <s v="IT-LQA-UAT"/>
    <x v="1"/>
    <m/>
    <s v="NM"/>
    <s v="DBS"/>
    <x v="0"/>
    <s v="NMDBS_4.6.1.32b1"/>
    <s v="CMTeam"/>
    <s v="Rajat Gupta"/>
    <s v="\\192.168.3.3\Share\Releases\Product\Netmind_4.6\Build&amp;Release\ReleaseForIT\TestBuild_4.6.1\Build4\ServerCD\DBS\Setup"/>
    <m/>
    <m/>
    <s v="Pass"/>
    <m/>
    <m/>
    <m/>
    <m/>
    <s v="Pradeep Raghav"/>
    <x v="0"/>
    <s v=""/>
    <x v="0"/>
    <x v="0"/>
  </r>
  <r>
    <d v="2014-12-16T00:00:00"/>
    <d v="2014-12-16T00:00:00"/>
    <n v="12"/>
    <s v="2014-Dec"/>
    <n v="12"/>
    <s v="LQA"/>
    <x v="21"/>
    <m/>
    <s v="MPE"/>
    <s v="MPE"/>
    <x v="0"/>
    <s v="MPE_TLSTR-ST_3.2.6.0.1.10b1"/>
    <s v="CMTeam"/>
    <s v="Sandeep Aggarwal"/>
    <m/>
    <m/>
    <s v="\\192.168.3.3\Share\Releases\Projects\TLSTR-ST\Release_For_Test\Test_Build_1.0.1\Server CD\MPE\Setup"/>
    <m/>
    <m/>
    <m/>
    <m/>
    <m/>
    <m/>
    <x v="1"/>
    <s v=""/>
    <x v="0"/>
    <x v="0"/>
  </r>
  <r>
    <d v="2014-12-16T00:00:00"/>
    <d v="2014-12-16T00:00:00"/>
    <n v="12"/>
    <s v="2014-Dec"/>
    <n v="12"/>
    <s v="LQA"/>
    <x v="5"/>
    <m/>
    <s v="NM"/>
    <s v="DBS"/>
    <x v="1"/>
    <s v="NMDBS_BHN_4.7.1.10"/>
    <s v="CMTeam"/>
    <s v="Sachin Srivastva"/>
    <m/>
    <m/>
    <s v="\\192.168.3.3\Share\Releases\Projects\BHN\Release_For_Test\Test_Build_1.0.3\Server CD\DBS\Setup"/>
    <m/>
    <s v="Readme Re-Released"/>
    <m/>
    <m/>
    <m/>
    <m/>
    <x v="1"/>
    <s v=""/>
    <x v="0"/>
    <x v="0"/>
  </r>
  <r>
    <d v="2014-12-17T00:00:00"/>
    <d v="2014-12-17T00:00:00"/>
    <n v="12"/>
    <s v="2014-Dec"/>
    <n v="12"/>
    <s v="LQA"/>
    <x v="23"/>
    <m/>
    <s v="WWCS"/>
    <s v="GUI"/>
    <x v="1"/>
    <s v="WWCSGUI_MCC_2.1.21.0.1"/>
    <s v="CMTeam"/>
    <s v="Deepak Dhiman"/>
    <m/>
    <m/>
    <s v="\\192.168.3.3\Share\Releases\Projects\MCC\Release_For_Test\Test_Build_1.0.1\Server CD\GUI\Setup"/>
    <m/>
    <m/>
    <m/>
    <m/>
    <m/>
    <m/>
    <x v="1"/>
    <s v=""/>
    <x v="0"/>
    <x v="0"/>
  </r>
  <r>
    <d v="2014-12-17T00:00:00"/>
    <d v="2014-12-17T00:00:00"/>
    <n v="12"/>
    <s v="2014-Dec"/>
    <n v="12"/>
    <s v="LQA"/>
    <x v="23"/>
    <m/>
    <s v="RT"/>
    <s v="GUI"/>
    <x v="1"/>
    <s v="RTGUI_MCC_4.0.25.0.1"/>
    <s v="CMTeam"/>
    <s v="Dheeraj Kant"/>
    <m/>
    <s v="Obsolete-LQA"/>
    <s v="\\192.168.3.3\Share\Releases\Projects\MCC\Release_For_Test\Test_Build_1.0.1\Server CD\GUI\Setup"/>
    <m/>
    <m/>
    <m/>
    <m/>
    <m/>
    <m/>
    <x v="2"/>
    <d v="2014-12-17T00:00:00"/>
    <x v="51"/>
    <x v="1"/>
  </r>
  <r>
    <d v="2014-12-17T00:00:00"/>
    <d v="2014-12-17T00:00:00"/>
    <n v="12"/>
    <s v="2014-Dec"/>
    <n v="12"/>
    <s v="LQA"/>
    <x v="1"/>
    <m/>
    <s v="IM"/>
    <s v="IM"/>
    <x v="1"/>
    <s v="IM_1.0.4b1"/>
    <s v="CMTeam"/>
    <s v="Ratnesh Singh"/>
    <m/>
    <m/>
    <s v="\\192.168.3.3\Share\Releases\Product\IM_1.0\Build&amp;Release\Release_For_LQA\Test_Build_1.0.3\Server CD\IM\Setup"/>
    <m/>
    <m/>
    <m/>
    <m/>
    <m/>
    <m/>
    <x v="1"/>
    <s v=""/>
    <x v="0"/>
    <x v="0"/>
  </r>
  <r>
    <d v="2014-12-17T00:00:00"/>
    <d v="2014-12-17T00:00:00"/>
    <n v="12"/>
    <s v="2014-Dec"/>
    <n v="12"/>
    <s v="LQA-UAT"/>
    <x v="20"/>
    <m/>
    <s v="MPE"/>
    <s v="MPE"/>
    <x v="0"/>
    <s v="MPE_FNB_3.2.4.34.1.3b1"/>
    <s v="CMTeam"/>
    <s v="Neelam Jawla"/>
    <m/>
    <m/>
    <s v="\\192.168.3.3\Share\Releases\Projects\FNB\Release_For_Test\Test_Build_1.0.1\Server CD\MPE\Setup"/>
    <s v="Pass"/>
    <m/>
    <m/>
    <m/>
    <m/>
    <s v="Manas Ranjan Barik"/>
    <x v="0"/>
    <s v=""/>
    <x v="0"/>
    <x v="0"/>
  </r>
  <r>
    <d v="2014-12-17T00:00:00"/>
    <d v="2014-12-17T00:00:00"/>
    <n v="12"/>
    <s v="2014-Dec"/>
    <n v="12"/>
    <s v="LQA"/>
    <x v="5"/>
    <m/>
    <s v="IM"/>
    <s v="IM"/>
    <x v="1"/>
    <s v="IM_BHN_1.0.4.0.1"/>
    <s v="CMTeam"/>
    <s v="Ratnesh Singh"/>
    <m/>
    <m/>
    <s v="\\192.168.3.3\Share\Releases\Projects\BHN\Release_For_Test\Test_Build_1.0.4\Server CD\IM\Setup"/>
    <m/>
    <m/>
    <m/>
    <m/>
    <m/>
    <m/>
    <x v="1"/>
    <s v=""/>
    <x v="0"/>
    <x v="0"/>
  </r>
  <r>
    <d v="2014-12-18T00:00:00"/>
    <d v="2014-12-18T00:00:00"/>
    <n v="12"/>
    <s v="2014-Dec"/>
    <n v="12"/>
    <s v="IT-LQA"/>
    <x v="20"/>
    <m/>
    <s v="DM"/>
    <s v="DBS"/>
    <x v="0"/>
    <s v="DMDBS_FNB_2.1.1.11.1.2b1"/>
    <s v="CMTeam"/>
    <s v="Anjani Kumar"/>
    <s v="\\192.168.3.3\Share\Releases\Projects\FNB\Release_For_IT\TestBuild_1.0.1\Server CD\DBS\Setup"/>
    <m/>
    <s v="\\192.168.3.3\Share\Releases\Projects\FNB\Release_For_Test\Test_Build_1.0.1\Server CD\DBS\Setup"/>
    <s v="Pass"/>
    <m/>
    <m/>
    <m/>
    <m/>
    <m/>
    <x v="0"/>
    <s v=""/>
    <x v="0"/>
    <x v="0"/>
  </r>
  <r>
    <d v="2014-12-18T00:00:00"/>
    <d v="2014-12-18T00:00:00"/>
    <n v="12"/>
    <s v="2014-Dec"/>
    <n v="12"/>
    <s v="LQA"/>
    <x v="10"/>
    <m/>
    <s v="WWFS"/>
    <s v="GUI"/>
    <x v="1"/>
    <s v="WWFSGUI_COM_2.1.35.0.1"/>
    <s v="CMTeam"/>
    <s v="Rajeev Kumar"/>
    <m/>
    <s v="Obsolete-LQA"/>
    <s v="\\192.168.3.3\Share\Releases\Projects\Comcast\Release_for_Test\Test_Build_4.6.7\Server CD\GUI\Setup"/>
    <m/>
    <s v="Readme Re-Released"/>
    <m/>
    <m/>
    <m/>
    <m/>
    <x v="2"/>
    <d v="2014-12-18T00:00:00"/>
    <x v="51"/>
    <x v="1"/>
  </r>
  <r>
    <d v="2014-12-18T00:00:00"/>
    <d v="2014-12-18T00:00:00"/>
    <n v="12"/>
    <s v="2014-Dec"/>
    <n v="12"/>
    <s v="LQA-UAT"/>
    <x v="1"/>
    <m/>
    <s v="MPE"/>
    <s v="MPE"/>
    <x v="0"/>
    <s v="MPE_3.2.4.35b1"/>
    <s v="CMTeam"/>
    <s v="Harish Singh"/>
    <m/>
    <m/>
    <s v="\\192.168.3.3\Share\Releases\Product\MPE_GUI\ReleaseForLQA\TestBuild_1.0.0.2\Server CD\MPE\Setup"/>
    <s v="Pass"/>
    <m/>
    <m/>
    <m/>
    <m/>
    <s v="Pradeep Raghav"/>
    <x v="0"/>
    <s v=""/>
    <x v="0"/>
    <x v="0"/>
  </r>
  <r>
    <d v="2014-12-18T00:00:00"/>
    <d v="2014-12-18T00:00:00"/>
    <n v="12"/>
    <s v="2014-Dec"/>
    <n v="12"/>
    <s v="LQA-UAT"/>
    <x v="5"/>
    <m/>
    <s v="NM"/>
    <s v="DBS"/>
    <x v="1"/>
    <s v="NMDBS_BHN_4.7.1.11"/>
    <s v="CMTeam"/>
    <s v="surender Kumar"/>
    <m/>
    <m/>
    <s v="\\192.168.3.3\Share\Releases\Projects\BHN\Release_For_Test\Test_Build_1.0.4\Server CD\DBS\Setup"/>
    <s v="Pass"/>
    <s v="Readme Re-Released"/>
    <m/>
    <m/>
    <m/>
    <s v="Rudra Narayan"/>
    <x v="0"/>
    <s v=""/>
    <x v="0"/>
    <x v="0"/>
  </r>
  <r>
    <d v="2014-12-19T00:00:00"/>
    <d v="2014-12-19T00:00:00"/>
    <n v="12"/>
    <s v="2014-Dec"/>
    <n v="12"/>
    <s v="LQA"/>
    <x v="1"/>
    <m/>
    <s v="CS"/>
    <s v="GUI"/>
    <x v="1"/>
    <s v="CSGUI_2.6.2b2"/>
    <s v="CMTeam"/>
    <s v="Alok Bagwale"/>
    <m/>
    <m/>
    <s v="\\192.168.3.3\Share\Releases\Product\CSGUI_2.6\Build&amp;Release\Release_For_LQA\Test_Build_1.0.3\Server CD\GUI\Setup"/>
    <m/>
    <m/>
    <m/>
    <m/>
    <m/>
    <m/>
    <x v="1"/>
    <s v=""/>
    <x v="0"/>
    <x v="0"/>
  </r>
  <r>
    <d v="2014-12-19T00:00:00"/>
    <d v="2014-12-19T00:00:00"/>
    <n v="12"/>
    <s v="2014-Dec"/>
    <n v="12"/>
    <s v="LQA"/>
    <x v="1"/>
    <m/>
    <s v="WWFS"/>
    <s v="GUI"/>
    <x v="0"/>
    <s v="WWFSGUI_2.2.1.3b1"/>
    <s v="CMTeam"/>
    <s v="Alok Bagwale"/>
    <m/>
    <m/>
    <s v="\\192.168.3.3\Share\Releases\Product\WEB_WFS\Build&amp;Release\Release For Test\TestBuild_2.2.1\Build4\ServerCD\GUI\Setup"/>
    <m/>
    <m/>
    <m/>
    <m/>
    <m/>
    <m/>
    <x v="1"/>
    <s v=""/>
    <x v="0"/>
    <x v="0"/>
  </r>
  <r>
    <d v="2014-12-19T00:00:00"/>
    <d v="2014-12-19T00:00:00"/>
    <n v="12"/>
    <s v="2014-Dec"/>
    <n v="12"/>
    <s v="IT-LQA"/>
    <x v="10"/>
    <m/>
    <s v="NM"/>
    <s v="DBS"/>
    <x v="0"/>
    <s v="NMDBS_COM_4.6.1.31.1.87b1"/>
    <s v="CMTeam"/>
    <s v="Sumita Yadav"/>
    <s v="\\192.168.3.3\Share\Releases\Projects\Comcast\Release_For_IT\Test_Build_4.6.1\Server CD\Database\Setup"/>
    <s v="Obsolete-LQA"/>
    <s v="\\192.168.3.3\Share\Releases\Projects\Comcast\Release_for_Test\Test_Build_4.6.7\Server CD\Database\Setup"/>
    <m/>
    <m/>
    <m/>
    <m/>
    <m/>
    <m/>
    <x v="2"/>
    <d v="2014-12-19T00:00:00"/>
    <x v="51"/>
    <x v="1"/>
  </r>
  <r>
    <d v="2014-12-19T00:00:00"/>
    <d v="2014-12-19T00:00:00"/>
    <n v="12"/>
    <s v="2014-Dec"/>
    <n v="12"/>
    <s v="IT-LQA"/>
    <x v="20"/>
    <m/>
    <s v="RA"/>
    <s v="DBS"/>
    <x v="1"/>
    <s v="RADBS_FNB_2.2.1.3"/>
    <s v="CMTeam"/>
    <s v="Anjani Kumar"/>
    <m/>
    <m/>
    <s v="\\192.168.3.3\Share\Releases\Projects\FNB\Release_For_Test\Test_Build_1.0.1\Server CD\DBS\Setup"/>
    <s v="Pass"/>
    <s v="Readme Re-Released"/>
    <m/>
    <m/>
    <m/>
    <m/>
    <x v="0"/>
    <s v=""/>
    <x v="0"/>
    <x v="0"/>
  </r>
  <r>
    <d v="2014-12-22T00:00:00"/>
    <d v="2014-12-22T00:00:00"/>
    <n v="12"/>
    <s v="2014-Dec"/>
    <n v="12"/>
    <s v="LQA"/>
    <x v="1"/>
    <m/>
    <s v="RA"/>
    <s v="CS"/>
    <x v="0"/>
    <s v="RACS_2.5.6.2b1"/>
    <s v="CMTeam"/>
    <s v="Abdul Khalik"/>
    <m/>
    <m/>
    <s v="\\192.168.3.3\Share\Releases\Product\RevMind_2.1\Build&amp;Release\Release_For_LQA\Test_Build_1.0.2\Server CD\GUI\CS\Setup"/>
    <m/>
    <s v="Readme Re-Released"/>
    <m/>
    <m/>
    <m/>
    <m/>
    <x v="1"/>
    <s v=""/>
    <x v="0"/>
    <x v="0"/>
  </r>
  <r>
    <d v="2014-12-22T00:00:00"/>
    <d v="2014-12-22T00:00:00"/>
    <n v="12"/>
    <s v="2014-Dec"/>
    <n v="12"/>
    <s v="LQA"/>
    <x v="23"/>
    <m/>
    <s v="RT"/>
    <s v="GUI"/>
    <x v="1"/>
    <s v="RTGUI_MCC_4.0.25.0.2"/>
    <s v="CMTeam"/>
    <s v="Dheeraj Kant"/>
    <m/>
    <m/>
    <s v="\\192.168.3.3\Share\Releases\Projects\MCC\Release_For_Test\Test_Build_1.0.1\Server CD\GUI\Setup"/>
    <m/>
    <m/>
    <m/>
    <m/>
    <m/>
    <m/>
    <x v="1"/>
    <s v=""/>
    <x v="0"/>
    <x v="0"/>
  </r>
  <r>
    <d v="2014-12-22T00:00:00"/>
    <d v="2014-12-23T00:00:00"/>
    <n v="12"/>
    <s v="2014-Dec"/>
    <n v="12"/>
    <s v="IT-LQA-UAT"/>
    <x v="1"/>
    <m/>
    <s v="RT"/>
    <s v="DBS"/>
    <x v="0"/>
    <s v="RTDBS_4.0.1.28b1"/>
    <s v="CMTeam"/>
    <s v="Rohit Kanwar"/>
    <s v="\\192.168.3.3\Share\Releases\Product\RT_4.0\ReleaseForIT\TestBuild_4.0.3\DBS\Setup"/>
    <m/>
    <s v="\\192.168.3.3\Share\Releases\Product\RT_4.0\ReleaseForLQA\TestBuild_4.0.24\DBS\Setup"/>
    <s v="Pass"/>
    <m/>
    <m/>
    <m/>
    <m/>
    <s v="Paritosh Ghildiyal"/>
    <x v="0"/>
    <s v=""/>
    <x v="0"/>
    <x v="0"/>
  </r>
  <r>
    <d v="2014-12-22T00:00:00"/>
    <d v="2014-12-22T00:00:00"/>
    <n v="12"/>
    <s v="2014-Dec"/>
    <n v="12"/>
    <s v="LQA"/>
    <x v="1"/>
    <m/>
    <s v="RT"/>
    <s v="GUI"/>
    <x v="0"/>
    <s v="RTGUI_4.0.33b1"/>
    <s v="CMTeam"/>
    <s v="Ratnesh Singh"/>
    <m/>
    <m/>
    <s v="\\192.168.3.3\Share\Releases\Product\RT_4.0\ReleaseForLQA\TestBuild_4.0.24\GUI\Build1\Setup "/>
    <m/>
    <m/>
    <m/>
    <m/>
    <m/>
    <m/>
    <x v="1"/>
    <s v=""/>
    <x v="0"/>
    <x v="0"/>
  </r>
  <r>
    <d v="2014-12-23T00:00:00"/>
    <d v="2014-12-23T00:00:00"/>
    <n v="12"/>
    <s v="2014-Dec"/>
    <n v="12"/>
    <s v="LQA"/>
    <x v="0"/>
    <m/>
    <s v="RT"/>
    <s v="GUI"/>
    <x v="1"/>
    <s v="RTGUI_SLT_4.0.33.0.1"/>
    <s v="CMTeam"/>
    <s v="Dheeraj Kant"/>
    <m/>
    <m/>
    <s v="\\192.168.3.3\Share\Releases\Projects\SLT\Release_For_LQA\Test_Build_1.0.0.24\Server CD\GUI\Setup"/>
    <m/>
    <m/>
    <m/>
    <m/>
    <m/>
    <m/>
    <x v="1"/>
    <s v=""/>
    <x v="0"/>
    <x v="0"/>
  </r>
  <r>
    <d v="2014-12-23T00:00:00"/>
    <d v="2014-12-23T00:00:00"/>
    <n v="12"/>
    <s v="2014-Dec"/>
    <n v="12"/>
    <s v="IT-LQA-UAT"/>
    <x v="0"/>
    <m/>
    <s v="DM"/>
    <s v="DBS"/>
    <x v="0"/>
    <s v="DMDBS_SLT_2.0.0.25.1.206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Paritosh Ghildiyal"/>
    <x v="0"/>
    <s v=""/>
    <x v="0"/>
    <x v="0"/>
  </r>
  <r>
    <d v="2014-12-23T00:00:00"/>
    <d v="2014-12-23T00:00:00"/>
    <n v="12"/>
    <s v="2014-Dec"/>
    <n v="12"/>
    <s v="LQA-UAT"/>
    <x v="1"/>
    <m/>
    <s v="RA"/>
    <s v="DBS"/>
    <x v="1"/>
    <s v=" RADBS_3.0.1b2"/>
    <s v="CMTeam"/>
    <s v="Anand Kumar Ojha"/>
    <m/>
    <m/>
    <s v="\\192.168.3.3\Share\Releases\Product\RevMind_3.0.1\Build&amp;Release\Release_For_LQA\Test_Build_1.0.1\Server CD\DBS\Setup"/>
    <s v="Pass"/>
    <m/>
    <m/>
    <m/>
    <m/>
    <s v="Ekansh Arora"/>
    <x v="0"/>
    <s v=""/>
    <x v="0"/>
    <x v="0"/>
  </r>
  <r>
    <d v="2014-12-23T00:00:00"/>
    <d v="2014-12-23T00:00:00"/>
    <n v="12"/>
    <s v="2014-Dec"/>
    <n v="12"/>
    <s v="IT-LQA-FAT"/>
    <x v="10"/>
    <m/>
    <s v="NM"/>
    <s v="DBS"/>
    <x v="0"/>
    <s v="NMDBS_COM_4.6.1.32.1.88b1"/>
    <s v="CMTeam"/>
    <s v="Sumita Yadav"/>
    <s v="\\192.168.3.3\Share\Releases\Projects\Comcast\Release_for_Test\Test_Build_4.6.7\Server CD\Database\Setup"/>
    <m/>
    <s v="\\192.168.3.3\Share\Releases\Projects\Comcast\Release_For_IT\Test_Build_4.6.1\Server CD\Database\Setup"/>
    <s v="Pass"/>
    <m/>
    <m/>
    <m/>
    <m/>
    <s v="Mayank Sharma"/>
    <x v="0"/>
    <s v=""/>
    <x v="0"/>
    <x v="0"/>
  </r>
  <r>
    <d v="2014-12-24T00:00:00"/>
    <d v="2014-12-24T00:00:00"/>
    <n v="12"/>
    <s v="2014-Dec"/>
    <n v="12"/>
    <s v="IT-LQA-FAT"/>
    <x v="10"/>
    <m/>
    <s v="NM"/>
    <s v="DBS"/>
    <x v="0"/>
    <s v="NMDBS_COM_4.6.1.31.1.87b2"/>
    <s v="CMTeam"/>
    <s v="Sumita Yadav"/>
    <s v="\\192.168.3.3\Share\Releases\Projects\Comcast\Release_for_Test\Test_Build_4.6.7\Server CD\Database\Setup"/>
    <m/>
    <s v="\\192.168.3.3\Share\Releases\Projects\Comcast\Release_For_IT\Test_Build_4.6.1\Server CD\Database\Setup"/>
    <s v="Pass"/>
    <m/>
    <m/>
    <m/>
    <m/>
    <s v="Mayank Sharma"/>
    <x v="0"/>
    <s v=""/>
    <x v="0"/>
    <x v="0"/>
  </r>
  <r>
    <d v="2014-12-25T00:00:00"/>
    <d v="2014-12-25T00:00:00"/>
    <n v="12"/>
    <s v="2014-Dec"/>
    <n v="12"/>
    <s v="LQA"/>
    <x v="1"/>
    <m/>
    <s v="RT"/>
    <s v="GUI"/>
    <x v="1"/>
    <s v="RTGUI_4.0.34b1"/>
    <s v="CMTeam"/>
    <s v="Ratnesh Singh"/>
    <m/>
    <m/>
    <s v="\\192.168.3.3\Share\Releases\Product\RT_4.0\ReleaseForLQA\TestBuild_4.0.24\GUI\Build1\Setup "/>
    <m/>
    <m/>
    <m/>
    <m/>
    <m/>
    <m/>
    <x v="1"/>
    <s v=""/>
    <x v="0"/>
    <x v="0"/>
  </r>
  <r>
    <d v="2014-12-26T00:00:00"/>
    <d v="2014-12-26T00:00:00"/>
    <n v="12"/>
    <s v="2014-Dec"/>
    <n v="12"/>
    <s v="LQA-UAT"/>
    <x v="0"/>
    <m/>
    <s v="RT"/>
    <s v="GUI"/>
    <x v="1"/>
    <s v="RTGUI_SLT_4.0.34.0.1"/>
    <s v="CMTeam"/>
    <s v="Dheeraj Kant"/>
    <m/>
    <m/>
    <s v="\\192.168.3.3\Share\Releases\Projects\SLT\Release_For_LQA\Test_Build_1.0.0.24\Server CD\GUI\Setup"/>
    <s v="Pass"/>
    <m/>
    <m/>
    <m/>
    <m/>
    <s v="Paritosh Ghildiyal"/>
    <x v="0"/>
    <s v=""/>
    <x v="0"/>
    <x v="0"/>
  </r>
  <r>
    <d v="2014-12-26T00:00:00"/>
    <d v="2014-12-26T00:00:00"/>
    <n v="12"/>
    <s v="2014-Dec"/>
    <n v="12"/>
    <s v="IT-LQA"/>
    <x v="1"/>
    <m/>
    <s v="NM"/>
    <s v="DBS"/>
    <x v="0"/>
    <s v="NMDBS_4.6.1.33b1"/>
    <s v="CMTeam"/>
    <s v="Sudip Ghosh"/>
    <s v="\\192.168.3.3\Share\Releases\Product\Netmind_4.6\Build&amp;Release\ReleaseForIT\TestBuild_4.6.1\Build4\ServerCD\DBS\Setup"/>
    <m/>
    <s v="\\192.168.3.3\Share\Releases\Product\Netmind_4.6\Build&amp;Release\ReleaseForTest\TestBuild_4.6.1\Build4\ServerCD\DBS\Setup"/>
    <s v="Pass"/>
    <s v="Readme Re-Released"/>
    <m/>
    <m/>
    <m/>
    <s v="Rudra Narayan"/>
    <x v="0"/>
    <s v=""/>
    <x v="0"/>
    <x v="0"/>
  </r>
  <r>
    <d v="2014-12-30T00:00:00"/>
    <d v="2014-12-30T00:00:00"/>
    <n v="12"/>
    <s v="2014-Dec"/>
    <n v="12"/>
    <s v="IT-LQA"/>
    <x v="4"/>
    <m/>
    <s v="NM"/>
    <s v="DBS"/>
    <x v="0"/>
    <s v=" NMDBS_TLSTR_4.0.1.0.4.320b1"/>
    <s v="CMTeam"/>
    <s v="Deepak Yadav"/>
    <s v="\\192.168.3.3\Share\Releases\Projects\Telstra\Release_For_IT\Test_Build_1.0.0.18\Server CD\DBS\Setup"/>
    <s v="Obsolete-LQA"/>
    <s v="\\192.168.3.3\Share\Releases\Projects\Telstra\Release_For_LQA\Test_Build_1.0.0.18\Server CD\DBS\Setup"/>
    <m/>
    <m/>
    <m/>
    <m/>
    <m/>
    <m/>
    <x v="2"/>
    <d v="2014-12-30T00:00:00"/>
    <x v="52"/>
    <x v="1"/>
  </r>
  <r>
    <d v="2014-12-30T00:00:00"/>
    <d v="2014-12-30T00:00:00"/>
    <n v="12"/>
    <s v="2014-Dec"/>
    <n v="12"/>
    <s v="LQA"/>
    <x v="22"/>
    <m/>
    <s v="MPE"/>
    <s v="MPE"/>
    <x v="0"/>
    <s v="MPE_MOBSA_3.0.1.1.1.8b1"/>
    <s v="CMTeam"/>
    <s v="Neelam Jawla"/>
    <m/>
    <m/>
    <s v="\\192.168.3.3\Share\Releases\Projects\MOBSA\Release_For_LQA\Test_Build_1.0.0.3\Server CD\MPE\Setup"/>
    <m/>
    <m/>
    <m/>
    <m/>
    <m/>
    <m/>
    <x v="1"/>
    <s v=""/>
    <x v="0"/>
    <x v="0"/>
  </r>
  <r>
    <d v="2014-12-31T00:00:00"/>
    <d v="2014-12-31T00:00:00"/>
    <n v="12"/>
    <s v="2014-Dec"/>
    <n v="12"/>
    <s v="IT-LQA-UAT"/>
    <x v="6"/>
    <m/>
    <s v="MPE"/>
    <s v="MPE"/>
    <x v="0"/>
    <s v="MPEDBS_ANTEL_1.0.1.9.1.13b1"/>
    <s v="CMTeam"/>
    <s v="Rohit Kanwar"/>
    <s v="\\192.168.3.3\Share\Releases\Projects\ANTEL\Release_For_IT\TestBuild_1.0.0.4\Server CD\DBS\Setup"/>
    <m/>
    <s v="\\192.168.3.3\Share\Releases\Projects\ANTEL\Release_For_Test\Test_Build_1.0.0.7\Server CD\DBS\Setup"/>
    <s v="Pass"/>
    <m/>
    <m/>
    <m/>
    <m/>
    <s v="Manas Ranjan Barik"/>
    <x v="0"/>
    <s v=""/>
    <x v="0"/>
    <x v="0"/>
  </r>
  <r>
    <d v="2014-12-31T00:00:00"/>
    <d v="2014-12-31T00:00:00"/>
    <n v="12"/>
    <s v="2014-Dec"/>
    <n v="12"/>
    <s v="IT-LQA"/>
    <x v="6"/>
    <m/>
    <s v="NM"/>
    <s v="DBS"/>
    <x v="0"/>
    <s v="NMDBS_ANTEL_4.6.1.32.2.51b1"/>
    <s v="CMTeam"/>
    <s v="Rohit Kanwar"/>
    <s v="\\192.168.3.3\Share\Releases\Projects\ANTEL\Release_For_IT\TestBuild_1.0.0.4\Server CD\DBS\Setup"/>
    <s v="Obsolete-LQA"/>
    <s v="\\192.168.3.3\Share\Releases\Projects\ANTEL\Release_For_Test\Test_Build_1.0.0.7\Server CD\DBS\Setup"/>
    <m/>
    <m/>
    <m/>
    <m/>
    <m/>
    <m/>
    <x v="2"/>
    <d v="2014-12-31T00:00:00"/>
    <x v="52"/>
    <x v="1"/>
  </r>
  <r>
    <d v="2014-12-31T00:00:00"/>
    <d v="2014-12-31T00:00:00"/>
    <n v="12"/>
    <s v="2014-Dec"/>
    <n v="12"/>
    <s v="IT-LQA-UAT"/>
    <x v="6"/>
    <m/>
    <s v="NM"/>
    <s v="DBS"/>
    <x v="0"/>
    <s v="NMDBS_ANTEL_4.6.1.32.2.52b1"/>
    <s v="CMTeam"/>
    <s v="Rohit Kanwar"/>
    <s v="\\192.168.3.3\Share\Releases\Projects\ANTEL\Release_For_IT\TestBuild_1.0.0.4\Server CD\DBS\Setup"/>
    <m/>
    <s v="\\192.168.3.3\Share\Releases\Projects\ANTEL\Release_For_Test\Test_Build_1.0.0.7\Server CD\DBS\Setup"/>
    <s v="Pass"/>
    <m/>
    <m/>
    <m/>
    <m/>
    <s v="Pradeep Raghav"/>
    <x v="0"/>
    <s v=""/>
    <x v="0"/>
    <x v="0"/>
  </r>
  <r>
    <d v="2014-12-31T00:00:00"/>
    <d v="2014-12-31T00:00:00"/>
    <n v="12"/>
    <s v="2014-Dec"/>
    <n v="12"/>
    <s v="LQA"/>
    <x v="1"/>
    <m/>
    <s v="WWFS"/>
    <s v="GUI"/>
    <x v="1"/>
    <s v="WWFSGUI_2.1.35b5"/>
    <s v="CMTeam"/>
    <s v="Rajeev Kumar"/>
    <m/>
    <m/>
    <s v="\\192.168.3.3\Share\Releases\Product\WEB_WFS\Build&amp;Release\Release For Test\TestBuild_2.1.35\ServerCD\GUI\Setup"/>
    <m/>
    <s v="Readme Re-Released"/>
    <m/>
    <m/>
    <m/>
    <m/>
    <x v="1"/>
    <s v=""/>
    <x v="0"/>
    <x v="0"/>
  </r>
  <r>
    <d v="2014-12-31T00:00:00"/>
    <d v="2014-12-31T00:00:00"/>
    <n v="12"/>
    <s v="2014-Dec"/>
    <n v="12"/>
    <s v="IT-LQA-UAT"/>
    <x v="6"/>
    <m/>
    <s v="DM"/>
    <s v="DBS"/>
    <x v="0"/>
    <s v="DMDBS_ANTEL_2.1.1.2.1.6b1"/>
    <s v="CMTeam"/>
    <s v="Rohit Kanwar"/>
    <s v="\\192.168.3.3\Share\Releases\Projects\ANTEL\Release_For_Test\Test_Build_1.0.0.7\Server CD\DBS\Setup"/>
    <m/>
    <s v="\\192.168.3.3\Share\Releases\Projects\ANTEL\Release_For_IT\TestBuild_1.0.0.4\Server CD\DBS\Setup"/>
    <s v="Pass"/>
    <s v="Readme Re-Released"/>
    <m/>
    <m/>
    <m/>
    <s v="Pradeep Raghav"/>
    <x v="0"/>
    <s v=""/>
    <x v="0"/>
    <x v="0"/>
  </r>
  <r>
    <d v="2014-12-31T00:00:00"/>
    <d v="2014-12-31T00:00:00"/>
    <n v="12"/>
    <s v="2014-Dec"/>
    <n v="12"/>
    <s v="LQA"/>
    <x v="6"/>
    <m/>
    <s v="WWFS"/>
    <s v="GUI"/>
    <x v="1"/>
    <s v="WWFSGUI_ANTEL_2.1.35.0.1"/>
    <s v="CMTeam"/>
    <s v="Rajeev Kumar"/>
    <m/>
    <s v="Obsolete-LQA"/>
    <s v="\\192.168.3.3\Share\Releases\Projects\ANTEL\Release_For_Test\Test_Build_1.0.0.7\Server CD\GUI\Setup"/>
    <m/>
    <s v="Readme Re-Released"/>
    <m/>
    <m/>
    <m/>
    <m/>
    <x v="2"/>
    <d v="2014-12-31T00:00:00"/>
    <x v="52"/>
    <x v="1"/>
  </r>
  <r>
    <d v="2015-01-02T00:00:00"/>
    <d v="2015-01-02T00:00:00"/>
    <n v="1"/>
    <s v="2015-Jan"/>
    <n v="1"/>
    <s v="LQA"/>
    <x v="6"/>
    <m/>
    <s v="MPE"/>
    <s v="MPE"/>
    <x v="0"/>
    <s v="MPE_ANTEL_3.2.4.35.1.17b1"/>
    <s v="CMTeam"/>
    <s v="Harish Singh"/>
    <m/>
    <s v="Obsolete-LQA"/>
    <s v="\\192.168.3.3\Share\Releases\Projects\ANTEL\Release_For_Test\Test_Build_1.0.0.7\Server CD\MPE\Setup"/>
    <m/>
    <m/>
    <m/>
    <m/>
    <m/>
    <m/>
    <x v="2"/>
    <d v="2015-01-02T00:00:00"/>
    <x v="53"/>
    <x v="4"/>
  </r>
  <r>
    <d v="2015-01-02T00:00:00"/>
    <d v="2015-01-02T00:00:00"/>
    <n v="1"/>
    <s v="2015-Jan"/>
    <n v="1"/>
    <s v="IT-LQA"/>
    <x v="6"/>
    <m/>
    <s v="MPE"/>
    <s v="MPE"/>
    <x v="0"/>
    <s v="MPE_ANTEL_3.2.4.35.1.17b1"/>
    <s v="CMTeam"/>
    <s v="Harish Singh"/>
    <m/>
    <s v="Obsolete-LQA"/>
    <s v="\\192.168.3.3\Share\Releases\Projects\ANTEL\Release_For_Test\Test_Build_1.0.0.7\Server CD\MPE\Setup"/>
    <m/>
    <m/>
    <m/>
    <m/>
    <m/>
    <m/>
    <x v="2"/>
    <d v="2015-01-02T00:00:00"/>
    <x v="53"/>
    <x v="4"/>
  </r>
  <r>
    <d v="2015-01-05T00:00:00"/>
    <d v="2015-01-05T00:00:00"/>
    <n v="1"/>
    <s v="2015-Jan"/>
    <n v="1"/>
    <s v="IT-LQA"/>
    <x v="1"/>
    <m/>
    <s v="IM"/>
    <s v="IM"/>
    <x v="1"/>
    <s v="IM_1.0.5b1"/>
    <s v="CMTeam"/>
    <s v="Ratnesh Singh"/>
    <m/>
    <m/>
    <s v="\\192.168.3.3\Share\Releases\Product\IM_1.0\Build&amp;Release\Release_For_LQA\Test_Build_1.0.4\Server CD\IM\Setup"/>
    <m/>
    <m/>
    <m/>
    <m/>
    <m/>
    <m/>
    <x v="1"/>
    <s v=""/>
    <x v="0"/>
    <x v="0"/>
  </r>
  <r>
    <d v="2015-01-05T00:00:00"/>
    <d v="2015-01-05T00:00:00"/>
    <n v="1"/>
    <s v="2015-Jan"/>
    <n v="1"/>
    <s v="IT-LQA-UAT"/>
    <x v="5"/>
    <m/>
    <s v="IM"/>
    <s v="IM"/>
    <x v="1"/>
    <s v="IM_BHN_1.0.5.0.1"/>
    <s v="CMTeam"/>
    <s v="Ratnesh Singh"/>
    <m/>
    <m/>
    <s v="\\192.168.3.3\share\Releases\Projects\BHN\Release_For_Test\Test_Build_1.0.5\Server CD\IM\Setup"/>
    <s v="Pass"/>
    <m/>
    <m/>
    <m/>
    <m/>
    <s v="Rudra Narayan"/>
    <x v="0"/>
    <s v=""/>
    <x v="0"/>
    <x v="0"/>
  </r>
  <r>
    <d v="2015-01-05T00:00:00"/>
    <d v="2015-01-05T00:00:00"/>
    <n v="1"/>
    <s v="2015-Jan"/>
    <n v="1"/>
    <s v="IT-LQA-UAT"/>
    <x v="0"/>
    <m/>
    <s v="DM"/>
    <s v="DBS"/>
    <x v="0"/>
    <s v="DMDBS_SLT_2.0.0.25.1.212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Paritosh Ghildiyal"/>
    <x v="0"/>
    <s v=""/>
    <x v="0"/>
    <x v="0"/>
  </r>
  <r>
    <d v="2015-01-06T00:00:00"/>
    <d v="2015-01-06T00:00:00"/>
    <n v="1"/>
    <s v="2015-Jan"/>
    <n v="1"/>
    <s v="IT-LQA"/>
    <x v="4"/>
    <m/>
    <s v="NM"/>
    <s v="DBS"/>
    <x v="0"/>
    <s v="NMDBS_TLSTR_4.0.1.0.4.320b2"/>
    <s v="CMTeam"/>
    <s v="Deepak Yadav"/>
    <s v="\\192.168.3.3\Share\Releases\Projects\Telstra\Release_For_IT\Test_Build_1.0.0.18\Server CD\DBS\Setup"/>
    <s v="Obsolete-LQA"/>
    <s v="\\192.168.3.3\Share\Releases\Projects\Telstra\Release_For_LQA\Test_Build_1.0.0.18\Server CD\DBS\Setup"/>
    <m/>
    <m/>
    <m/>
    <m/>
    <m/>
    <m/>
    <x v="2"/>
    <d v="2015-01-06T00:00:00"/>
    <x v="54"/>
    <x v="4"/>
  </r>
  <r>
    <d v="2015-01-07T00:00:00"/>
    <d v="2015-01-07T00:00:00"/>
    <n v="1"/>
    <s v="2015-Jan"/>
    <n v="1"/>
    <s v="IT-LQA"/>
    <x v="21"/>
    <s v="phase 1"/>
    <s v="DM"/>
    <s v="DBS"/>
    <x v="0"/>
    <s v="DMDBS_TLSTR-ST_2.1.1.8.1.11b1"/>
    <s v="CMTeam"/>
    <s v="Sanjeev Pathak"/>
    <s v="\\192.168.3.3\Share\Releases\Projects\TLSTR-ST\Release_For_Test\Test_Build_1.0.1\Server CD\DBS\Setup"/>
    <m/>
    <s v="\\192.168.3.3\Share\Releases\Projects\TLSTR-ST\Release_For_IT\TestBuild_1.0.1\Server CD\DBS\Setup"/>
    <m/>
    <s v="Readme Re-Released"/>
    <m/>
    <m/>
    <m/>
    <m/>
    <x v="1"/>
    <s v=""/>
    <x v="0"/>
    <x v="0"/>
  </r>
  <r>
    <d v="2015-01-07T00:00:00"/>
    <d v="2015-01-07T00:00:00"/>
    <n v="1"/>
    <s v="2015-Jan"/>
    <n v="1"/>
    <s v="IT-LQA-UAT"/>
    <x v="5"/>
    <m/>
    <s v="NM"/>
    <s v="DBS"/>
    <x v="1"/>
    <s v="NMDBS_BHN_4.7.1.12"/>
    <s v="CMTeam"/>
    <s v="surender Kumar"/>
    <m/>
    <m/>
    <s v="\\192.168.3.3\Share\Releases\Projects\BHN\Release_For_Test\Test_Build_1.0.5\Server CD\DBS\Setup"/>
    <s v="Pass"/>
    <m/>
    <m/>
    <m/>
    <m/>
    <s v="Abhishek Leekha"/>
    <x v="0"/>
    <s v=""/>
    <x v="0"/>
    <x v="0"/>
  </r>
  <r>
    <d v="2015-01-07T00:00:00"/>
    <d v="2015-01-07T00:00:00"/>
    <n v="1"/>
    <s v="2015-Jan"/>
    <n v="1"/>
    <s v="LQA-UAT"/>
    <x v="1"/>
    <m/>
    <s v="RA"/>
    <s v="CS"/>
    <x v="0"/>
    <s v="RACS_2.5.6.2b2"/>
    <s v="CMTeam"/>
    <s v="Abdul Khalik"/>
    <m/>
    <m/>
    <s v="\\192.168.3.3\Share\Releases\Product\RevMind_2.1\Build&amp;Release\Release_For_LQA\Test_Build_1.0.2\Server CD\GUI\CS\Setup"/>
    <s v="Pass"/>
    <m/>
    <m/>
    <m/>
    <m/>
    <s v="K.V. Krishnan"/>
    <x v="0"/>
    <s v=""/>
    <x v="0"/>
    <x v="0"/>
  </r>
  <r>
    <d v="2015-01-07T00:00:00"/>
    <d v="2015-01-07T00:00:00"/>
    <n v="1"/>
    <s v="2015-Jan"/>
    <n v="1"/>
    <s v="LQA-UAT"/>
    <x v="1"/>
    <m/>
    <s v="MPE"/>
    <s v="MPE"/>
    <x v="0"/>
    <s v="MPE_3.2.1.9b1"/>
    <s v="CMTeam"/>
    <s v="Ankit Jain"/>
    <s v="\\192.168.3.3\Share\Releases\Product\MPE_3.2\ReleaseForLQA\TestBuild_3.2.1\Build2\ServerCD\Setup\Oracle_Linux_6.2"/>
    <m/>
    <s v="\\192.168.3.3\Share\Releases\Product\MPE_3.2\ReleaseForLQA\TestBuild_3.2.1\Build2\ServerCD\Setup\RHEL_6.3"/>
    <s v="Pass"/>
    <m/>
    <m/>
    <m/>
    <m/>
    <s v="Manas Ranjan Barik"/>
    <x v="0"/>
    <s v=""/>
    <x v="0"/>
    <x v="0"/>
  </r>
  <r>
    <d v="2015-01-07T00:00:00"/>
    <d v="2015-01-07T00:00:00"/>
    <n v="1"/>
    <s v="2015-Jan"/>
    <n v="1"/>
    <s v="LQA"/>
    <x v="21"/>
    <m/>
    <s v="MPE"/>
    <s v="MPE"/>
    <x v="0"/>
    <s v="MPE_TLSTR-ST_3.2.6.0.1.11b1"/>
    <s v="CMTeam"/>
    <s v="Sandeep Aggarwal"/>
    <m/>
    <m/>
    <s v="\\192.168.3.3\Share\Releases\Projects\TLSTR-ST\Release_For_Test\Test_Build_1.0.1\Server CD\MPE\Setup"/>
    <m/>
    <m/>
    <m/>
    <m/>
    <m/>
    <m/>
    <x v="1"/>
    <s v=""/>
    <x v="0"/>
    <x v="0"/>
  </r>
  <r>
    <d v="2015-01-08T00:00:00"/>
    <d v="2015-01-08T00:00:00"/>
    <n v="1"/>
    <s v="2015-Jan"/>
    <n v="1"/>
    <s v="IT-LQA-UAT"/>
    <x v="4"/>
    <m/>
    <s v="NM"/>
    <s v="DBS"/>
    <x v="0"/>
    <s v="NMDBS_TLSTR_4.0.1.0.4.320b3"/>
    <s v="CMTeam"/>
    <s v="Deepak Yadav"/>
    <s v="\\192.168.3.3\Share\Releases\Projects\Telstra\Release_For_IT\Test_Build_1.0.0.18\Server CD\DBS\Setup"/>
    <m/>
    <s v="\\192.168.3.3\Share\Releases\Projects\Telstra\Release_For_LQA\Test_Build_1.0.0.18\Server CD\DBS\Setup"/>
    <s v="Pass"/>
    <s v="Readme Re-Released"/>
    <m/>
    <m/>
    <m/>
    <s v="Abrar Khan"/>
    <x v="0"/>
    <s v=""/>
    <x v="0"/>
    <x v="0"/>
  </r>
  <r>
    <d v="2015-01-09T00:00:00"/>
    <d v="2015-01-09T00:00:00"/>
    <n v="1"/>
    <s v="2015-Jan"/>
    <n v="1"/>
    <s v="IT-LQA"/>
    <x v="6"/>
    <m/>
    <s v="NM"/>
    <s v="DBS"/>
    <x v="0"/>
    <s v="NMDBS_ANTEL_4.6.1.32.2.53b1"/>
    <s v="CMTeam"/>
    <s v="Rohit Kanwar"/>
    <s v="\\192.168.3.3\Share\Releases\Projects\ANTEL\Release_For_IT\TestBuild_1.0.0.4\Server CD\DBS\Setup"/>
    <m/>
    <s v="\\192.168.3.3\Share\Releases\Projects\ANTEL\Release_For_Test\Test_Build_1.0.0.7\Server CD\DBS\Setup"/>
    <s v="Pass"/>
    <m/>
    <m/>
    <m/>
    <m/>
    <s v="Ajay Kumar Pandey"/>
    <x v="0"/>
    <s v=""/>
    <x v="0"/>
    <x v="0"/>
  </r>
  <r>
    <d v="2015-01-09T00:00:00"/>
    <d v="2015-01-09T00:00:00"/>
    <n v="1"/>
    <s v="2015-Jan"/>
    <n v="1"/>
    <s v="LQA-FAT"/>
    <x v="10"/>
    <m/>
    <s v="WWFS"/>
    <s v="GUI"/>
    <x v="0"/>
    <s v="WWFSGUI_COM_2.1.35.0.2"/>
    <s v="CMTeam"/>
    <s v="Rajeev Kumar"/>
    <m/>
    <m/>
    <s v="\\192.168.3.3\Share\Releases\Projects\Comcast\Release_for_Test\Test_Build_4.6.7\Server CD\GUI\Setup"/>
    <s v="Pass"/>
    <m/>
    <m/>
    <m/>
    <m/>
    <s v="Mayank Sharma"/>
    <x v="0"/>
    <s v=""/>
    <x v="0"/>
    <x v="0"/>
  </r>
  <r>
    <d v="2015-01-09T00:00:00"/>
    <d v="2015-01-09T00:00:00"/>
    <n v="1"/>
    <s v="2015-Jan"/>
    <n v="1"/>
    <s v="IT-LQA"/>
    <x v="21"/>
    <s v="phase 1"/>
    <s v="DM"/>
    <s v="DBS"/>
    <x v="0"/>
    <s v="DMDBS_TLSTR-ST_2.1.1.8.1.12b1"/>
    <s v="CMTeam"/>
    <s v="Abhishek Sharma"/>
    <s v="\\192.168.3.3\Share\Releases\Projects\TLSTR-ST\Release_For_IT\TestBuild_1.0.1\Server CD\DBS\Setup"/>
    <m/>
    <s v="\\192.168.3.3\Share\Releases\Projects\TLSTR-ST\Release_For_Test\Test_Build_1.0.1\Server CD\DBS\Setup"/>
    <m/>
    <s v="Readme Re-Released"/>
    <m/>
    <m/>
    <m/>
    <m/>
    <x v="1"/>
    <s v=""/>
    <x v="0"/>
    <x v="0"/>
  </r>
  <r>
    <d v="2015-01-09T00:00:00"/>
    <d v="2015-01-09T00:00:00"/>
    <n v="1"/>
    <s v="2015-Jan"/>
    <n v="1"/>
    <s v="LQA"/>
    <x v="1"/>
    <m/>
    <s v="MPE"/>
    <s v="MPE"/>
    <x v="0"/>
    <s v="MPE_3.2.6.1b1"/>
    <s v="CMTeam"/>
    <s v="Sandeep Aggarwal"/>
    <m/>
    <m/>
    <s v="\\192.168.3.3\Share\Releases\Product\MPE_3.2\ReleaseForLQA\TestBuild_3.2.6\Server CD\MPE\Setup"/>
    <m/>
    <m/>
    <m/>
    <m/>
    <m/>
    <m/>
    <x v="1"/>
    <s v=""/>
    <x v="0"/>
    <x v="0"/>
  </r>
  <r>
    <d v="2015-01-09T00:00:00"/>
    <d v="2015-01-09T00:00:00"/>
    <n v="1"/>
    <s v="2015-Jan"/>
    <n v="1"/>
    <s v="LQA"/>
    <x v="23"/>
    <m/>
    <s v="WWFS"/>
    <s v="GUI"/>
    <x v="1"/>
    <s v="WWFSGUI_MCC_2.1.35.0.1"/>
    <s v="CMTeam"/>
    <s v="Rajeev Kumar"/>
    <m/>
    <m/>
    <s v="\\192.168.3.3\Share\Releases\Projects\MCC\Release_For_Test\Test_Build_1.0.1\Server CD\GUI\Setup"/>
    <m/>
    <m/>
    <m/>
    <m/>
    <m/>
    <m/>
    <x v="1"/>
    <s v=""/>
    <x v="0"/>
    <x v="0"/>
  </r>
  <r>
    <d v="2015-01-09T00:00:00"/>
    <d v="2015-01-09T00:00:00"/>
    <n v="1"/>
    <s v="2015-Jan"/>
    <n v="1"/>
    <s v="LQA"/>
    <x v="21"/>
    <m/>
    <s v="MPE"/>
    <s v="MPE"/>
    <x v="0"/>
    <s v="MPE_TLSTR-ST_3.2.6.1.1.12b1"/>
    <s v="CMTeam"/>
    <s v="Anshul Kumar"/>
    <m/>
    <m/>
    <s v="\\192.168.3.3\Share\Releases\Projects\TLSTR-ST\Release_For_Test\Test_Build_1.0.1\Server CD\MPE\Setup"/>
    <m/>
    <m/>
    <m/>
    <m/>
    <m/>
    <m/>
    <x v="1"/>
    <s v=""/>
    <x v="0"/>
    <x v="0"/>
  </r>
  <r>
    <d v="2015-01-09T00:00:00"/>
    <d v="2015-01-09T00:00:00"/>
    <n v="1"/>
    <s v="2015-Jan"/>
    <n v="1"/>
    <s v="IT-LQA-UAT"/>
    <x v="3"/>
    <m/>
    <s v="NM"/>
    <s v="DBS"/>
    <x v="0"/>
    <s v="NMDBS_OBT_4.6.1.27.1.44b1"/>
    <s v="CMTeam"/>
    <s v="Anjani Kumar"/>
    <s v="\\192.168.3.3\Share\Releases\Projects\OBT\Release_For_IT\TestBuild_1.0.0.2\Server CD\DBS\Setup"/>
    <m/>
    <s v="\\192.168.3.3\Share\Releases\Projects\OBT\Release_For_LQA\TestBuild_1.0.0.7\Server CD\DBS\Setup"/>
    <s v="Pass"/>
    <s v="Readme Re-Released"/>
    <m/>
    <m/>
    <m/>
    <s v="Manas Ranjan Barik"/>
    <x v="0"/>
    <s v=""/>
    <x v="0"/>
    <x v="0"/>
  </r>
  <r>
    <d v="2015-01-12T00:00:00"/>
    <d v="2015-01-12T00:00:00"/>
    <n v="1"/>
    <s v="2015-Jan"/>
    <n v="1"/>
    <s v="LQA-UAT"/>
    <x v="6"/>
    <m/>
    <s v="MPE"/>
    <s v="MPE"/>
    <x v="0"/>
    <s v="MPE_ANTEL_3.2.4.35.1.17b2"/>
    <s v="CMTeam"/>
    <s v="Harish Singh"/>
    <m/>
    <m/>
    <s v="\\192.168.3.3\Share\Releases\Projects\ANTEL\Release_For_Test\Test_Build_1.0.0.7\Server CD\MPE\Setup"/>
    <s v="Pass"/>
    <m/>
    <m/>
    <m/>
    <m/>
    <s v="Manas Ranjan Barik"/>
    <x v="0"/>
    <s v=""/>
    <x v="0"/>
    <x v="0"/>
  </r>
  <r>
    <d v="2015-01-12T00:00:00"/>
    <d v="2015-01-12T00:00:00"/>
    <n v="1"/>
    <s v="2015-Jan"/>
    <n v="1"/>
    <s v="IT-LQA"/>
    <x v="21"/>
    <s v="phase 1"/>
    <s v="DM"/>
    <s v="DBS"/>
    <x v="0"/>
    <s v="DMDBS_TLSTR-ST_2.1.1.8.1.13b1"/>
    <s v="CMTeam"/>
    <s v="Aditya Garg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5-01-13T00:00:00"/>
    <d v="2015-01-13T00:00:00"/>
    <n v="1"/>
    <s v="2015-Jan"/>
    <n v="1"/>
    <s v="LQA"/>
    <x v="23"/>
    <m/>
    <s v="MPE"/>
    <s v="MPE"/>
    <x v="0"/>
    <s v="MPE_MCC_3.2.5.0.1.1b1"/>
    <s v="CMTeam"/>
    <s v="Ankit Jain"/>
    <m/>
    <m/>
    <s v="\\192.168.3.3\Share\Releases\Projects\MCC\Release_For_Test\Test_Build_1.0.1\Server CD\MPE\Setup"/>
    <m/>
    <m/>
    <m/>
    <m/>
    <m/>
    <m/>
    <x v="1"/>
    <s v=""/>
    <x v="0"/>
    <x v="0"/>
  </r>
  <r>
    <d v="2015-01-13T00:00:00"/>
    <d v="2015-01-13T00:00:00"/>
    <n v="1"/>
    <s v="2015-Jan"/>
    <n v="1"/>
    <s v="IT-LQA"/>
    <x v="21"/>
    <s v="phase 3"/>
    <s v="DM"/>
    <s v="DBS"/>
    <x v="0"/>
    <s v="DMDBS_TLSTR-ST_2.1.1.8.1.14b1"/>
    <s v="CMTeam"/>
    <s v="Aditya Garg"/>
    <s v="\\192.168.3.3\Share\Releases\Projects\TLSTR-ST\Release_For_IT\TestBuild_1.0.1\Server CD\DBS\Setup"/>
    <m/>
    <s v="\\192.168.3.3\Share\Releases\Projects\TLSTR-ST\Release_For_Test\Test_Build_1.0.1\Server CD\DBS\Setup"/>
    <m/>
    <s v="Readme Re-Released"/>
    <m/>
    <m/>
    <m/>
    <m/>
    <x v="1"/>
    <s v=""/>
    <x v="0"/>
    <x v="0"/>
  </r>
  <r>
    <d v="2015-01-15T00:00:00"/>
    <d v="2015-01-15T00:00:00"/>
    <n v="1"/>
    <s v="2015-Jan"/>
    <n v="1"/>
    <s v="LQA-UAT"/>
    <x v="1"/>
    <m/>
    <s v="RA"/>
    <s v="DBS"/>
    <x v="1"/>
    <s v="RADBS_3.0.1b3"/>
    <s v="CMTeam"/>
    <s v="Anand Kumar Ojha"/>
    <m/>
    <m/>
    <s v="\\192.168.3.3\Share\Releases\Product\RevMind_3.0.1\Build&amp;Release\Release_For_LQA\Test_Build_1.0.1\Server CD\DBS\Setup"/>
    <s v="Pass"/>
    <m/>
    <m/>
    <m/>
    <m/>
    <s v="Ekansh Arora"/>
    <x v="0"/>
    <s v=""/>
    <x v="0"/>
    <x v="0"/>
  </r>
  <r>
    <d v="2015-01-15T00:00:00"/>
    <d v="2015-01-15T00:00:00"/>
    <n v="1"/>
    <s v="2015-Jan"/>
    <n v="1"/>
    <s v="IT-LQA-UAT"/>
    <x v="8"/>
    <m/>
    <s v="NM"/>
    <s v="DBS"/>
    <x v="0"/>
    <s v="NMDBS_TWC_4.6.1.11.3.53b2"/>
    <s v="CMTeam"/>
    <s v="Sachin Srivastva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Ajay Kumar Pandey"/>
    <x v="0"/>
    <s v=""/>
    <x v="0"/>
    <x v="0"/>
  </r>
  <r>
    <d v="2015-01-15T00:00:00"/>
    <d v="2015-01-15T00:00:00"/>
    <n v="1"/>
    <s v="2015-Jan"/>
    <n v="1"/>
    <s v="IT-LQA"/>
    <x v="21"/>
    <s v="phase 3"/>
    <s v="DM"/>
    <s v="DBS"/>
    <x v="0"/>
    <s v="DMDBS_TLSTR-ST_2.1.1.8.1.15b1"/>
    <s v="CMTeam"/>
    <s v="Aditya Garg"/>
    <s v="\\192.168.3.3\Share\Releases\Projects\TLSTR-ST\Release_For_IT\TestBuild_1.0.1\Server CD\DBS\Setup"/>
    <s v="Obsolete-LQA"/>
    <s v="\\192.168.3.3\Share\Releases\Projects\TLSTR-ST\Release_For_Test\Test_Build_1.0.1\Server CD\DBS\Setup"/>
    <m/>
    <m/>
    <m/>
    <m/>
    <m/>
    <m/>
    <x v="2"/>
    <d v="2015-01-15T00:00:00"/>
    <x v="55"/>
    <x v="4"/>
  </r>
  <r>
    <d v="2015-01-15T00:00:00"/>
    <d v="2015-01-15T00:00:00"/>
    <n v="1"/>
    <s v="2015-Jan"/>
    <n v="1"/>
    <s v="LQA"/>
    <x v="1"/>
    <m/>
    <s v="CS"/>
    <s v="GUI"/>
    <x v="0"/>
    <s v="CSGUI_2.6.2.1b1"/>
    <s v="CMTeam"/>
    <s v="Alok Bagwale"/>
    <m/>
    <m/>
    <s v="\\192.168.3.3\Share\Releases\Product\CSGUI_2.6\Build&amp;Release\Release_For_LQA\Test_Build_1.0.3\Server CD\GUI\Setup"/>
    <m/>
    <m/>
    <m/>
    <m/>
    <m/>
    <m/>
    <x v="1"/>
    <s v=""/>
    <x v="0"/>
    <x v="0"/>
  </r>
  <r>
    <d v="2015-01-15T00:00:00"/>
    <d v="2015-01-15T00:00:00"/>
    <n v="1"/>
    <s v="2015-Jan"/>
    <n v="1"/>
    <s v="LQA"/>
    <x v="1"/>
    <m/>
    <s v="WWFS"/>
    <s v="GUI"/>
    <x v="0"/>
    <s v="WWFSGUI_2.2.1.4b1"/>
    <s v="CMTeam"/>
    <s v="Alok Bagwale"/>
    <m/>
    <m/>
    <s v="\\192.168.3.3\Share\Releases\Product\WEB_WFS\Build&amp;Release\Release For Test\TestBuild_2.2.1\Build4\ServerCD\GUI\Setup"/>
    <m/>
    <s v="Readme Re-Released"/>
    <m/>
    <m/>
    <m/>
    <m/>
    <x v="1"/>
    <s v=""/>
    <x v="0"/>
    <x v="0"/>
  </r>
  <r>
    <d v="2015-01-16T00:00:00"/>
    <d v="2015-01-16T00:00:00"/>
    <n v="1"/>
    <s v="2015-Jan"/>
    <n v="1"/>
    <s v="IT-LQA"/>
    <x v="16"/>
    <m/>
    <s v="NM"/>
    <s v="DBS"/>
    <x v="0"/>
    <s v="NMDBS_TLN_4.0.1.82.1"/>
    <s v="CMTeam"/>
    <s v="Anjani Kumar"/>
    <s v="\\192.168.3.3\Share\Releases\Projects\Telenet\Build&amp;Release\Release For IT\Test_Build_4.0.41\Server CD\Database\Setup"/>
    <s v="Obsolete-LQA"/>
    <s v="\\192.168.3.3\Share\Releases\Projects\Telenet\Build&amp;Release\Release For Test\Test_Build_4.0.41\Server CD\Database\Setup"/>
    <m/>
    <m/>
    <m/>
    <m/>
    <m/>
    <m/>
    <x v="2"/>
    <d v="2015-01-16T00:00:00"/>
    <x v="55"/>
    <x v="4"/>
  </r>
  <r>
    <d v="2015-01-16T00:00:00"/>
    <d v="2015-01-16T00:00:00"/>
    <n v="1"/>
    <s v="2015-Jan"/>
    <n v="1"/>
    <s v="LQA"/>
    <x v="1"/>
    <m/>
    <s v="MPE"/>
    <s v="DBS"/>
    <x v="1"/>
    <s v="MPEDBS_1.1.1b1"/>
    <s v="CMTeam"/>
    <s v="Puneet Gupta"/>
    <m/>
    <s v="Obsolete-LQA"/>
    <s v="\\192.168.3.3\Share\Releases\Product\MEDGUI_1.1\Build&amp;Release\Release_For_LQA\Test_Build_1.0.1\Server CD\DBS\Setup"/>
    <m/>
    <m/>
    <m/>
    <m/>
    <m/>
    <m/>
    <x v="2"/>
    <d v="2015-01-16T00:00:00"/>
    <x v="55"/>
    <x v="4"/>
  </r>
  <r>
    <d v="2015-01-16T00:00:00"/>
    <d v="2015-01-16T00:00:00"/>
    <n v="1"/>
    <s v="2015-Jan"/>
    <n v="1"/>
    <s v="LQA"/>
    <x v="23"/>
    <m/>
    <s v="NM"/>
    <s v="DBS"/>
    <x v="1"/>
    <s v="NMDBS_MCC_4.7.1.2"/>
    <s v="CMTeam"/>
    <s v="Sumita Yadav"/>
    <m/>
    <m/>
    <s v="\\192.168.3.3\Share\Releases\Projects\MCC\Release_For_Test\Test_Build_1.0.1\Server CD\DBS\Setup"/>
    <m/>
    <m/>
    <m/>
    <m/>
    <m/>
    <m/>
    <x v="1"/>
    <s v=""/>
    <x v="0"/>
    <x v="0"/>
  </r>
  <r>
    <d v="2015-01-18T00:00:00"/>
    <d v="2015-01-18T00:00:00"/>
    <n v="1"/>
    <s v="2015-Jan"/>
    <n v="1"/>
    <s v="LQA"/>
    <x v="1"/>
    <m/>
    <s v="MPE"/>
    <s v="MPE"/>
    <x v="1"/>
    <s v="MPE_3.2.7b1"/>
    <s v="CMTeam"/>
    <s v="Ajay Awasthi"/>
    <m/>
    <s v="Obsolete-LQA"/>
    <s v="\\192.168.3.3\Share\Releases\Product\MEDGUI_1.1\Build&amp;Release\Release_For_LQA\Test_Build_1.0.1\Server CD\MPE\Setup\RHEL_6.3"/>
    <m/>
    <m/>
    <m/>
    <m/>
    <m/>
    <m/>
    <x v="2"/>
    <d v="2015-01-18T00:00:00"/>
    <x v="56"/>
    <x v="4"/>
  </r>
  <r>
    <d v="2015-01-18T00:00:00"/>
    <d v="2015-01-18T00:00:00"/>
    <n v="1"/>
    <s v="2015-Jan"/>
    <n v="1"/>
    <s v="LQA"/>
    <x v="1"/>
    <m/>
    <s v="MPE"/>
    <s v="GUI"/>
    <x v="1"/>
    <s v="MPEGUI_1.1.1b1"/>
    <s v="CMTeam"/>
    <s v="Ajay Sharma"/>
    <m/>
    <m/>
    <s v="\\192.168.3.3\Share\Releases\Product\MEDGUI_1.1\Build&amp;Release\Release_For_LQA\Test_Build_1.0.1\Server CD\GUI\Setup"/>
    <m/>
    <m/>
    <m/>
    <m/>
    <m/>
    <m/>
    <x v="1"/>
    <s v=""/>
    <x v="0"/>
    <x v="0"/>
  </r>
  <r>
    <d v="2015-01-19T00:00:00"/>
    <d v="2015-01-19T00:00:00"/>
    <n v="1"/>
    <s v="2015-Jan"/>
    <n v="1"/>
    <s v="IT-LQA"/>
    <x v="20"/>
    <m/>
    <s v="RT"/>
    <s v="DBS"/>
    <x v="1"/>
    <s v="RTDBS_FNB_4.0.1.11.1"/>
    <s v="CMTeam"/>
    <s v="Anjani Kumar"/>
    <s v="\\192.168.3.3\Share\Releases\Projects\FNB\Release_For_IT\TestBuild_1.0.1\Server CD\DBS\Setup"/>
    <m/>
    <s v="\\192.168.3.3\Share\Releases\Projects\FNB\Release_For_Test\Test_Build_1.0.1\Server CD\DBS\Setup"/>
    <m/>
    <s v="Readme Re-Released"/>
    <m/>
    <m/>
    <m/>
    <m/>
    <x v="1"/>
    <s v=""/>
    <x v="0"/>
    <x v="0"/>
  </r>
  <r>
    <d v="2015-01-19T00:00:00"/>
    <d v="2015-01-19T00:00:00"/>
    <n v="1"/>
    <s v="2015-Jan"/>
    <n v="1"/>
    <s v="LQA"/>
    <x v="1"/>
    <m/>
    <s v="NP"/>
    <s v="DBS"/>
    <x v="1"/>
    <s v="NPDBS_MCC_1.3.2.2"/>
    <s v="CMTeam"/>
    <s v="Sumita Yadav"/>
    <m/>
    <m/>
    <s v="\\192.168.3.3\Share\Releases\Projects\MCC\Release_For_Test\Test_Build_1.0.1\Server CD\DBS\Setup"/>
    <m/>
    <m/>
    <m/>
    <m/>
    <m/>
    <m/>
    <x v="1"/>
    <s v=""/>
    <x v="0"/>
    <x v="0"/>
  </r>
  <r>
    <d v="2015-01-19T00:00:00"/>
    <d v="2015-01-19T00:00:00"/>
    <n v="1"/>
    <s v="2015-Jan"/>
    <n v="1"/>
    <s v="LQA"/>
    <x v="21"/>
    <m/>
    <s v="MPE"/>
    <s v="MPE"/>
    <x v="0"/>
    <s v="MPE_TLSTR-ST_3.2.6.1.1.13b1"/>
    <s v="CMTeam"/>
    <s v="Sandeep Aggarwal"/>
    <m/>
    <m/>
    <s v="\\192.168.3.3\Share\Releases\Projects\TLSTR-ST\Release_For_Test\Test_Build_1.0.1\Server CD\MPE\Setup"/>
    <m/>
    <s v="Readme Re-Released"/>
    <m/>
    <m/>
    <m/>
    <m/>
    <x v="1"/>
    <s v=""/>
    <x v="0"/>
    <x v="0"/>
  </r>
  <r>
    <d v="2015-01-19T00:00:00"/>
    <d v="2015-01-19T00:00:00"/>
    <n v="1"/>
    <s v="2015-Jan"/>
    <n v="1"/>
    <s v="IT-LQA-UAT"/>
    <x v="16"/>
    <m/>
    <s v="NM"/>
    <s v="DBS"/>
    <x v="0"/>
    <s v="NMDBS_TLN_4.0.1.82.2"/>
    <s v="CMTeam"/>
    <s v="Anjani Kumar"/>
    <s v="\\192.168.3.3\Share\Releases\Projects\Telenet\Build&amp;Release\Release For IT\Test_Build_4.0.41\Server CD\Database\Setup"/>
    <m/>
    <s v="\\192.168.3.3\Share\Releases\Projects\Telenet\Build&amp;Release\Release For Test\Test_Build_4.0.41\Server CD\Database\Setup"/>
    <s v="Pass"/>
    <m/>
    <m/>
    <m/>
    <m/>
    <s v="Pradeep Raghav"/>
    <x v="0"/>
    <s v=""/>
    <x v="0"/>
    <x v="0"/>
  </r>
  <r>
    <d v="2015-01-19T00:00:00"/>
    <d v="2015-01-19T00:00:00"/>
    <n v="1"/>
    <s v="2015-Jan"/>
    <n v="1"/>
    <s v="IT-LQA-UAT"/>
    <x v="16"/>
    <m/>
    <s v="NP"/>
    <s v="DBS"/>
    <x v="0"/>
    <s v="NPDBS_TLN_1.0.4.96.1"/>
    <s v="CMTeam"/>
    <s v="Anjani Kumar"/>
    <s v="\\192.168.3.3\Share\Releases\Projects\Telenet\Build&amp;Release\Release For IT\Test_Build_4.0.41\Server CD\Database\Setup"/>
    <m/>
    <s v="\\192.168.3.3\Share\Releases\Projects\Telenet\Build&amp;Release\Release For Test\Test_Build_4.0.41\Server CD\Database\Setup"/>
    <s v="Pass"/>
    <m/>
    <m/>
    <m/>
    <m/>
    <s v="Pradeep Raghav"/>
    <x v="0"/>
    <s v=""/>
    <x v="0"/>
    <x v="0"/>
  </r>
  <r>
    <d v="2015-01-20T00:00:00"/>
    <d v="2015-01-20T00:00:00"/>
    <n v="1"/>
    <s v="2015-Jan"/>
    <n v="1"/>
    <s v="IT-LQA"/>
    <x v="1"/>
    <m/>
    <s v="NM"/>
    <s v="DBS"/>
    <x v="0"/>
    <s v="NMDBS_4.6.1.34b1"/>
    <s v="CMTeam"/>
    <s v="Rajat Gupta"/>
    <s v="\\192.168.3.3\Share\Releases\Product\Netmind_4.6\Build&amp;Release\ReleaseForIT\TestBuild_4.6.1\Build4\ServerCD\DBS\Setup"/>
    <s v="Obsolete-LQA"/>
    <s v="\\192.168.3.3\Share\Releases\Product\Netmind_4.6\Build&amp;Release\ReleaseForTest\TestBuild_4.6.1\Build4\ServerCD\DBS\Setup"/>
    <m/>
    <m/>
    <m/>
    <m/>
    <m/>
    <m/>
    <x v="2"/>
    <d v="2015-01-20T00:00:00"/>
    <x v="56"/>
    <x v="4"/>
  </r>
  <r>
    <d v="2015-01-21T00:00:00"/>
    <d v="2015-01-21T00:00:00"/>
    <n v="1"/>
    <s v="2015-Jan"/>
    <n v="1"/>
    <s v="IT-LQA"/>
    <x v="21"/>
    <m/>
    <s v="DM"/>
    <s v="DBS"/>
    <x v="0"/>
    <s v="DMDBS_TLSTR-ST_2.1.1.8.1.17b1"/>
    <s v="CMTeam"/>
    <s v="Sanjeev Pathak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5-01-21T00:00:00"/>
    <d v="2015-01-21T00:00:00"/>
    <n v="1"/>
    <s v="2015-Jan"/>
    <n v="1"/>
    <s v="LQA-UAT"/>
    <x v="1"/>
    <m/>
    <s v="MPE"/>
    <s v="MPE"/>
    <x v="0"/>
    <s v="MPE_3.2.4.36b1 "/>
    <s v="CMTeam"/>
    <s v="Harish Singh"/>
    <m/>
    <m/>
    <s v="\\192.168.3.3\Share\Releases\Product\MPE_GUI\ReleaseForLQA\TestBuild_1.0.0.2\Server CD\MPE\Setup"/>
    <s v="Pass"/>
    <m/>
    <m/>
    <m/>
    <m/>
    <s v="Pradeep Raghav"/>
    <x v="0"/>
    <s v=""/>
    <x v="0"/>
    <x v="0"/>
  </r>
  <r>
    <d v="2015-01-21T00:00:00"/>
    <d v="2015-01-21T00:00:00"/>
    <n v="1"/>
    <s v="2015-Jan"/>
    <n v="1"/>
    <s v="LQA"/>
    <x v="1"/>
    <m/>
    <s v="IM"/>
    <s v="IM"/>
    <x v="0"/>
    <s v="IM_1.0.1.1b1"/>
    <s v="CMTeam"/>
    <s v="Ratnesh Singh"/>
    <m/>
    <m/>
    <s v="\\192.168.3.3\Share\Releases\Product\IM_1.0\Build&amp;Release\Release_For_LQA\Test_Build_1.0.4\Server CD\IM\Setup"/>
    <m/>
    <m/>
    <m/>
    <m/>
    <m/>
    <m/>
    <x v="1"/>
    <s v=""/>
    <x v="0"/>
    <x v="0"/>
  </r>
  <r>
    <d v="2015-01-21T00:00:00"/>
    <d v="2015-01-21T00:00:00"/>
    <n v="1"/>
    <s v="2015-Jan"/>
    <n v="1"/>
    <s v="LQA"/>
    <x v="4"/>
    <m/>
    <s v="IM"/>
    <s v="IM"/>
    <x v="1"/>
    <s v="IM_TLSTR_1.0.1.1.71"/>
    <s v="CMTeam"/>
    <s v="Ratnesh Singh"/>
    <m/>
    <s v="Obsolete-LQA"/>
    <s v="\\192.168.3.3\share\Releases\Projects\Telstra\Release_For_LQA\Test_Build_1.0.0.18\Server CD\IM\Setup"/>
    <m/>
    <m/>
    <m/>
    <m/>
    <m/>
    <m/>
    <x v="2"/>
    <d v="2015-01-21T00:00:00"/>
    <x v="56"/>
    <x v="4"/>
  </r>
  <r>
    <d v="2015-01-22T00:00:00"/>
    <d v="2015-01-22T00:00:00"/>
    <n v="1"/>
    <s v="2015-Jan"/>
    <n v="1"/>
    <s v="IT-LQA"/>
    <x v="21"/>
    <m/>
    <s v="DM"/>
    <s v="DBS"/>
    <x v="0"/>
    <s v="DMDBS_TLSTR-ST_2.1.1.8.1.16b1"/>
    <s v="CMTeam"/>
    <s v="Aditya Garg"/>
    <s v="\\192.168.3.3\Share\Releases\Projects\TLSTR-ST\Release_For_IT\TestBuild_1.0.1\Server CD\DBS\Setup"/>
    <s v="Obsolete-LQA"/>
    <s v="\\192.168.3.3\Share\Releases\Projects\TLSTR-ST\Release_For_Test\Test_Build_1.0.1\Server CD\DBS\Setu"/>
    <m/>
    <m/>
    <m/>
    <m/>
    <m/>
    <m/>
    <x v="2"/>
    <d v="2015-01-22T00:00:00"/>
    <x v="56"/>
    <x v="4"/>
  </r>
  <r>
    <d v="2015-01-22T00:00:00"/>
    <d v="2015-01-22T00:00:00"/>
    <n v="1"/>
    <s v="2015-Jan"/>
    <n v="1"/>
    <s v="IT-LQA"/>
    <x v="21"/>
    <m/>
    <s v="DM"/>
    <s v="DBS"/>
    <x v="0"/>
    <s v="DMDBS_TLSTR-ST_2.1.1.8.1.18b1"/>
    <s v="CMTeam"/>
    <s v="Aditya Garg"/>
    <s v="\\192.168.3.3\Share\Releases\Projects\TLSTR-ST\Release_For_IT\TestBuild_1.0.1\Server CD\DBS\Setup"/>
    <s v="Obsolete-LQA"/>
    <s v="\\192.168.3.3\Share\Releases\Projects\TLSTR-ST\Release_For_Test\Test_Build_1.0.1\Server CD\DBS\Setu"/>
    <m/>
    <m/>
    <m/>
    <m/>
    <m/>
    <m/>
    <x v="2"/>
    <d v="2015-01-22T00:00:00"/>
    <x v="56"/>
    <x v="4"/>
  </r>
  <r>
    <d v="2015-01-22T00:00:00"/>
    <d v="2015-01-22T00:00:00"/>
    <n v="1"/>
    <s v="2015-Jan"/>
    <n v="1"/>
    <s v="LQA"/>
    <x v="20"/>
    <m/>
    <s v="MPE"/>
    <s v="MPE"/>
    <x v="0"/>
    <s v="MPE_FNB_3.2.4.36.1.4b1"/>
    <s v="CMTeam"/>
    <s v="Neelam Jawla"/>
    <m/>
    <s v="Obsolete-LQA"/>
    <s v="\\192.168.3.3\Share\Releases\Projects\FNB\Release_For_Test\Test_Build_1.0.1\Server CD\MPE\Setup"/>
    <m/>
    <m/>
    <m/>
    <m/>
    <m/>
    <m/>
    <x v="2"/>
    <d v="2015-01-22T00:00:00"/>
    <x v="56"/>
    <x v="4"/>
  </r>
  <r>
    <d v="2015-01-22T00:00:00"/>
    <d v="2015-01-22T00:00:00"/>
    <n v="1"/>
    <s v="2015-Jan"/>
    <n v="1"/>
    <s v="IT-LQA-UAT"/>
    <x v="8"/>
    <m/>
    <s v="NM"/>
    <s v="DBS"/>
    <x v="0"/>
    <s v="NMDBS_TWC_4.6.1.11.3.54b1"/>
    <s v="CMTeam"/>
    <s v="Sachin Srivastva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Ajay Kumar Pandey"/>
    <x v="0"/>
    <s v=""/>
    <x v="0"/>
    <x v="0"/>
  </r>
  <r>
    <d v="2015-01-22T00:00:00"/>
    <d v="2015-01-22T00:00:00"/>
    <n v="1"/>
    <s v="2015-Jan"/>
    <n v="1"/>
    <s v="LQA"/>
    <x v="20"/>
    <m/>
    <s v="CS"/>
    <s v="GUI"/>
    <x v="0"/>
    <s v="CSGUI_FNB_2.6.2.1.1"/>
    <s v="CMTeam"/>
    <s v="Alok Bagwale"/>
    <m/>
    <m/>
    <s v="\\192.168.3.3\Share\Releases\Projects\FNB\Release_For_Test\Test_Build_1.0.1\Server CD\GUI\Setup"/>
    <m/>
    <m/>
    <m/>
    <m/>
    <m/>
    <m/>
    <x v="1"/>
    <s v=""/>
    <x v="0"/>
    <x v="0"/>
  </r>
  <r>
    <d v="2015-01-22T00:00:00"/>
    <d v="2015-01-22T00:00:00"/>
    <n v="1"/>
    <s v="2015-Jan"/>
    <n v="1"/>
    <s v="LQA"/>
    <x v="20"/>
    <m/>
    <s v="WWFS"/>
    <s v="GUI"/>
    <x v="0"/>
    <s v="WWFSGUI_FNB_2.2.1.4.1"/>
    <s v="CMTeam"/>
    <s v="Alok Bagwale"/>
    <m/>
    <m/>
    <s v="\\192.168.3.3\Share\Releases\Projects\FNB\Release_For_Test\Test_Build_1.0.1\Server CD\GUI\Setup"/>
    <m/>
    <m/>
    <m/>
    <m/>
    <m/>
    <m/>
    <x v="1"/>
    <s v=""/>
    <x v="0"/>
    <x v="0"/>
  </r>
  <r>
    <d v="2015-01-23T00:00:00"/>
    <d v="2015-01-23T00:00:00"/>
    <n v="1"/>
    <s v="2015-Jan"/>
    <n v="1"/>
    <s v="LQA"/>
    <x v="6"/>
    <m/>
    <s v="WWFS"/>
    <s v="GUI"/>
    <x v="1"/>
    <s v="WWFSGUI_ANTEL_2.1.35.0.2"/>
    <s v="CMTeam"/>
    <s v="Rajeev Kumar"/>
    <m/>
    <m/>
    <s v="\\192.168.3.3\Share\Releases\Projects\ANTEL\Release_For_Test\Test_Build_1.0.0.7\Server CD\GUI\Setup"/>
    <s v="Pass"/>
    <m/>
    <m/>
    <m/>
    <m/>
    <s v="Ajay Kumar Pandey"/>
    <x v="0"/>
    <s v=""/>
    <x v="0"/>
    <x v="0"/>
  </r>
  <r>
    <d v="2015-01-23T00:00:00"/>
    <d v="2015-01-23T00:00:00"/>
    <n v="1"/>
    <s v="2015-Jan"/>
    <n v="1"/>
    <s v="IT-LQA"/>
    <x v="20"/>
    <m/>
    <s v="DM"/>
    <s v="DBS"/>
    <x v="0"/>
    <s v="DMDBS_FNB_2.1.1.11.1.3b1"/>
    <s v="CMTeam"/>
    <s v="Anjani Kumar"/>
    <s v="\\192.168.3.3\Share\Releases\Projects\FNB\Release_For_IT\TestBuild_1.0.1\Server CD\DBS\Setup"/>
    <m/>
    <s v="\\192.168.3.3\Share\Releases\Projects\FNB\Release_For_Test\Test_Build_1.0.1\Server CD\DBS\Setup"/>
    <s v="Pass"/>
    <m/>
    <m/>
    <m/>
    <m/>
    <m/>
    <x v="0"/>
    <s v=""/>
    <x v="0"/>
    <x v="0"/>
  </r>
  <r>
    <d v="2015-01-23T00:00:00"/>
    <d v="2015-01-23T00:00:00"/>
    <n v="1"/>
    <s v="2015-Jan"/>
    <n v="1"/>
    <s v="IT-LQA"/>
    <x v="21"/>
    <m/>
    <s v="DM"/>
    <s v="DBS"/>
    <x v="0"/>
    <s v="DMDBS_TLSTR-ST_2.1.1.8.1.15b2"/>
    <s v="CMTeam"/>
    <s v="Sanjeev Pathak"/>
    <s v="\\192.168.3.3\Share\Releases\Projects\TLSTR-ST\Release_For_IT\TestBuild_1.0.1\Server CD\DBS\Setup"/>
    <m/>
    <s v="\\192.168.3.3\Share\Releases\Projects\TLSTR-ST\Release_For_Test\Test_Build_1.0.1\Server CD\DBS\Setup"/>
    <m/>
    <s v="Readme Re-Released"/>
    <m/>
    <m/>
    <m/>
    <m/>
    <x v="1"/>
    <s v=""/>
    <x v="0"/>
    <x v="0"/>
  </r>
  <r>
    <d v="2015-01-25T00:00:00"/>
    <d v="2015-01-25T00:00:00"/>
    <n v="1"/>
    <s v="2015-Jan"/>
    <n v="1"/>
    <s v="IT-LQA"/>
    <x v="21"/>
    <m/>
    <s v="DM"/>
    <s v="DBS"/>
    <x v="0"/>
    <s v="DMDBS_TLSTR-ST_2.1.1.8.1.19b1"/>
    <s v="CMTeam"/>
    <s v="Sanjeev Pathak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5-01-27T00:00:00"/>
    <d v="2015-01-27T00:00:00"/>
    <n v="1"/>
    <s v="2015-Jan"/>
    <n v="1"/>
    <s v="IT-LQA-UAT"/>
    <x v="1"/>
    <m/>
    <s v="RT"/>
    <s v="DBS"/>
    <x v="0"/>
    <s v="RTDBS_4.0.1.29b1"/>
    <s v="CMTeam"/>
    <s v="Rohit Kanwar"/>
    <s v="\\192.168.3.3\Share\Releases\Product\RT_4.0\ReleaseForIT\TestBuild_4.0.3\DBS\Setup"/>
    <m/>
    <s v="\\192.168.3.3\Share\Releases\Product\RT_4.0\ReleaseForLQA\TestBuild_4.0.24\DBS\Setup"/>
    <s v="Pass"/>
    <m/>
    <m/>
    <m/>
    <m/>
    <s v="Paritosh Ghildiyal"/>
    <x v="0"/>
    <s v=""/>
    <x v="0"/>
    <x v="0"/>
  </r>
  <r>
    <d v="2015-01-28T00:00:00"/>
    <d v="2015-01-28T00:00:00"/>
    <n v="1"/>
    <s v="2015-Jan"/>
    <n v="1"/>
    <s v="IT-LQA-UAT"/>
    <x v="0"/>
    <m/>
    <s v="DM"/>
    <s v="DBS"/>
    <x v="0"/>
    <s v="DMDBS_SLT_2.0.0.25.1.213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Paritosh Ghildiyal"/>
    <x v="0"/>
    <s v=""/>
    <x v="0"/>
    <x v="0"/>
  </r>
  <r>
    <d v="2015-01-29T00:00:00"/>
    <d v="2015-01-29T00:00:00"/>
    <n v="1"/>
    <s v="2015-Jan"/>
    <n v="1"/>
    <s v="IT-LQA"/>
    <x v="21"/>
    <m/>
    <s v="DM"/>
    <s v="DBS"/>
    <x v="0"/>
    <s v="DMDBS_TLSTR-ST_2.1.1.8.1.20b1"/>
    <s v="CMTeam"/>
    <s v="Sanjeev Pathak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5-01-29T00:00:00"/>
    <d v="2015-01-29T00:00:00"/>
    <n v="1"/>
    <s v="2015-Jan"/>
    <n v="1"/>
    <s v="IT-LQA-UAT"/>
    <x v="8"/>
    <m/>
    <s v="NM"/>
    <s v="DBS"/>
    <x v="0"/>
    <s v="NMDBS_TWC_4.6.1.11.3.55b1"/>
    <s v="CMTeam"/>
    <s v="Sudip Ghosh"/>
    <s v="\\192.168.3.3\Share\Releases\Projects\TWC\Release_For_Test\Test_Build_1.0.0.4\Server CD\DBS\Setup"/>
    <m/>
    <s v="\\192.168.3.3\Share\Releases\Projects\TWC\Release_For_IT\Test_Build_1.0.0.3\Server CD\DBS\Setup"/>
    <s v="Pass"/>
    <m/>
    <m/>
    <m/>
    <m/>
    <s v="Ajay Kumar Pandey"/>
    <x v="0"/>
    <s v=""/>
    <x v="0"/>
    <x v="0"/>
  </r>
  <r>
    <d v="2015-01-29T00:00:00"/>
    <d v="2015-01-29T00:00:00"/>
    <n v="1"/>
    <s v="2015-Jan"/>
    <n v="1"/>
    <s v="LQA-UAT"/>
    <x v="20"/>
    <m/>
    <s v="MPE"/>
    <s v="MPE"/>
    <x v="0"/>
    <s v="MPE_FNB_3.2.4.36.1.4b2"/>
    <s v="CMTeam"/>
    <s v="Neelam Jawla"/>
    <m/>
    <m/>
    <s v="\\192.168.3.3\Share\Releases\Projects\FNB\Release_For_Test\Test_Build_1.0.1\Server CD\MPE\Setup"/>
    <s v="Pass"/>
    <m/>
    <m/>
    <m/>
    <m/>
    <s v="Manas Ranjan Barik"/>
    <x v="0"/>
    <s v=""/>
    <x v="0"/>
    <x v="0"/>
  </r>
  <r>
    <d v="2015-01-29T00:00:00"/>
    <d v="2015-01-29T00:00:00"/>
    <n v="1"/>
    <s v="2015-Jan"/>
    <n v="1"/>
    <s v="IT-LQA-FAT"/>
    <x v="0"/>
    <m/>
    <s v="RT"/>
    <s v="DBS"/>
    <x v="0"/>
    <s v="RTDBS_SLT_3.0.0.20.1.8b1"/>
    <s v="CMTeam"/>
    <s v="Shiv Mangal"/>
    <s v="\\192.168.3.3\Share\Releases\Projects\SLT\Release_For_IT\Test_Build_1.0.0.4\Server CD\DBS\Setup "/>
    <m/>
    <s v="\\192.168.3.3\Share\Releases\Projects\SLT\Release_For_LQA\Test_Build_1.0.0.24\Server CD\DBS\Setup "/>
    <s v="Pass"/>
    <m/>
    <m/>
    <m/>
    <m/>
    <s v="Paritosh Ghildiyal"/>
    <x v="0"/>
    <s v=""/>
    <x v="0"/>
    <x v="0"/>
  </r>
  <r>
    <d v="2015-01-29T00:00:00"/>
    <d v="2015-01-29T00:00:00"/>
    <n v="1"/>
    <s v="2015-Jan"/>
    <n v="1"/>
    <s v="LQA"/>
    <x v="1"/>
    <m/>
    <s v="RT"/>
    <s v="GUI"/>
    <x v="1"/>
    <s v="RTGUI_4.0.35b1"/>
    <s v="CMTeam"/>
    <s v="Ratnesh Singh"/>
    <m/>
    <s v="Obsolete-LQA"/>
    <s v="\\192.168.3.3\Share\Releases\Product\RT_4.0\ReleaseForLQA\TestBuild_4.0.24\GUI\Build1\Setup "/>
    <m/>
    <m/>
    <m/>
    <m/>
    <m/>
    <m/>
    <x v="2"/>
    <d v="2015-01-29T00:00:00"/>
    <x v="57"/>
    <x v="4"/>
  </r>
  <r>
    <d v="2015-01-30T00:00:00"/>
    <d v="2015-01-30T00:00:00"/>
    <n v="1"/>
    <s v="2015-Jan"/>
    <n v="1"/>
    <s v="IT-LQA"/>
    <x v="20"/>
    <m/>
    <s v="MPE"/>
    <s v="DBS"/>
    <x v="0"/>
    <s v="MPEDBS_FNB_1.0.1.13.1.3b1"/>
    <s v="CMTeam"/>
    <s v="Anjani Kumar"/>
    <s v="\\192.168.3.3\Share\Releases\Projects\FNB\Release_For_IT\TestBuild_1.0.1\Server CD\DBS\Setup"/>
    <m/>
    <s v="\\192.168.3.3\Share\Releases\Projects\FNB\Release_For_Test\Test_Build_1.0.1\Server CD\DBS\Setup"/>
    <m/>
    <m/>
    <m/>
    <m/>
    <m/>
    <m/>
    <x v="1"/>
    <s v=""/>
    <x v="0"/>
    <x v="0"/>
  </r>
  <r>
    <d v="2015-01-30T00:00:00"/>
    <d v="2015-01-30T00:00:00"/>
    <n v="1"/>
    <s v="2015-Jan"/>
    <n v="1"/>
    <s v="LQA"/>
    <x v="10"/>
    <m/>
    <s v="WWFS"/>
    <s v="GUI"/>
    <x v="1"/>
    <s v="WWFSGUI_COM_2.1.35.0.3"/>
    <s v="CMTeam"/>
    <s v="Rajeev Kumar"/>
    <m/>
    <m/>
    <s v="\\192.168.3.3\Share\Releases\Projects\Comcast\Release_for_Test\Test_Build_4.6.7\Server CD\GUI\Setup"/>
    <s v="Pass"/>
    <m/>
    <m/>
    <m/>
    <m/>
    <s v="Rudra Narayan"/>
    <x v="0"/>
    <s v=""/>
    <x v="0"/>
    <x v="0"/>
  </r>
  <r>
    <d v="2015-01-30T00:00:00"/>
    <d v="2015-01-30T00:00:00"/>
    <n v="1"/>
    <s v="2015-Jan"/>
    <n v="1"/>
    <s v="LQA"/>
    <x v="1"/>
    <m/>
    <s v="RT"/>
    <s v="GUI"/>
    <x v="1"/>
    <s v="RTGUI_4.0.35b2 "/>
    <s v="CMTeam"/>
    <s v="Ratnesh Singh"/>
    <m/>
    <m/>
    <s v="\\192.168.3.3\Share\Releases\Product\RT_4.0\ReleaseForLQA\TestBuild_4.0.24\GUI\Build1\Setup "/>
    <m/>
    <m/>
    <m/>
    <m/>
    <m/>
    <m/>
    <x v="1"/>
    <s v=""/>
    <x v="0"/>
    <x v="0"/>
  </r>
  <r>
    <d v="2015-01-30T00:00:00"/>
    <d v="2015-01-30T00:00:00"/>
    <n v="1"/>
    <s v="2015-Jan"/>
    <n v="1"/>
    <s v="LQA"/>
    <x v="5"/>
    <m/>
    <s v="RT"/>
    <s v="GUI"/>
    <x v="1"/>
    <s v="RTGUI_BHN_4.0.27.0.2"/>
    <s v="CMTeam"/>
    <s v="Ratnesh Singh"/>
    <m/>
    <s v="Obsolete-LQA"/>
    <s v="\\192.168.3.3\Share\Releases\Projects\BHN\Release_For_Test\Test_Build_1.0.5\Server CD\GUI\Setup"/>
    <m/>
    <m/>
    <m/>
    <m/>
    <m/>
    <m/>
    <x v="2"/>
    <d v="2015-01-30T00:00:00"/>
    <x v="57"/>
    <x v="4"/>
  </r>
  <r>
    <d v="2015-02-02T00:00:00"/>
    <d v="2015-02-02T00:00:00"/>
    <n v="2"/>
    <s v="2015-Feb"/>
    <n v="2"/>
    <s v="LQA"/>
    <x v="0"/>
    <m/>
    <s v="RT"/>
    <s v="GUI"/>
    <x v="1"/>
    <s v="RTGUI_SLT_4.0.35.0.1"/>
    <s v="CMTeam"/>
    <s v="Dheeraj Kant"/>
    <m/>
    <m/>
    <s v="\\192.168.3.3\Share\Releases\Projects\SLT\Release_For_LQA\Test_Build_1.0.0.24\Server CD\GUI\Setup"/>
    <m/>
    <m/>
    <m/>
    <m/>
    <m/>
    <m/>
    <x v="1"/>
    <s v=""/>
    <x v="0"/>
    <x v="0"/>
  </r>
  <r>
    <d v="2015-02-02T00:00:00"/>
    <d v="2015-02-02T00:00:00"/>
    <n v="2"/>
    <s v="2015-Feb"/>
    <n v="2"/>
    <s v="LQA-UAT"/>
    <x v="4"/>
    <m/>
    <s v="MPE"/>
    <s v="MPE"/>
    <x v="0"/>
    <s v="MPE_TLSTR-2b_3.0.0.3.1.109b1"/>
    <s v="CMTeam"/>
    <s v="Sandeep Aggarwal"/>
    <m/>
    <m/>
    <s v="\\192.168.3.3\Share\Releases\Projects\Telstra-2b\Release_For_Test\Test_Build_1.0.0.1\Server CD\MPE\Setup"/>
    <s v="Pass"/>
    <m/>
    <m/>
    <m/>
    <m/>
    <s v="Ashwani Kumar Sharma"/>
    <x v="0"/>
    <s v=""/>
    <x v="0"/>
    <x v="0"/>
  </r>
  <r>
    <d v="2015-02-02T00:00:00"/>
    <d v="2015-02-02T00:00:00"/>
    <n v="2"/>
    <s v="2015-Feb"/>
    <n v="2"/>
    <s v="IT-LQA-UAT"/>
    <x v="6"/>
    <m/>
    <s v="NM"/>
    <s v="DBS"/>
    <x v="0"/>
    <s v="NMDBS_ANTEL_4.6.1.32.2.51b2"/>
    <s v="CMTeam"/>
    <s v="Rohit Kanwar"/>
    <s v="\\192.168.3.3\Share\Releases\Projects\ANTEL\Release_For_IT\TestBuild_1.0.0.4\Server CD\DBS\Setup"/>
    <m/>
    <s v="\\192.168.3.3\Share\Releases\Projects\ANTEL\Release_For_Test\Test_Build_1.0.0.7\Server CD\DBS\Setup"/>
    <s v="Pass"/>
    <m/>
    <m/>
    <m/>
    <m/>
    <s v="Pradeep Raghav"/>
    <x v="0"/>
    <s v=""/>
    <x v="0"/>
    <x v="0"/>
  </r>
  <r>
    <d v="2015-02-02T00:00:00"/>
    <d v="2015-02-02T00:00:00"/>
    <n v="2"/>
    <s v="2015-Feb"/>
    <n v="2"/>
    <s v="IT-LQA-UAT"/>
    <x v="0"/>
    <m/>
    <s v="DM"/>
    <s v="DBS"/>
    <x v="0"/>
    <s v="DMDBS_SLT_2.0.0.25.1.214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Paritosh Ghildiyal"/>
    <x v="0"/>
    <s v=""/>
    <x v="0"/>
    <x v="0"/>
  </r>
  <r>
    <d v="2015-02-02T00:00:00"/>
    <d v="2015-02-02T00:00:00"/>
    <n v="2"/>
    <s v="2015-Feb"/>
    <n v="2"/>
    <s v="LQA-UAT"/>
    <x v="5"/>
    <m/>
    <s v="RT"/>
    <s v="GUI"/>
    <x v="1"/>
    <s v="RTGUI_BHN_4.0.27.0.3"/>
    <s v="CMTeam"/>
    <s v="Ratnesh Singh"/>
    <m/>
    <m/>
    <s v="\\192.168.3.3\Share\Releases\Projects\BHN\Release_For_Test\Test_Build_1.0.5\Server CD\GUI\Setup"/>
    <s v="Pass"/>
    <m/>
    <m/>
    <m/>
    <m/>
    <s v="Swapnil Garg"/>
    <x v="0"/>
    <s v=""/>
    <x v="0"/>
    <x v="0"/>
  </r>
  <r>
    <d v="2015-02-02T00:00:00"/>
    <d v="2015-02-02T00:00:00"/>
    <n v="2"/>
    <s v="2015-Feb"/>
    <n v="2"/>
    <s v="LQA-UAT"/>
    <x v="15"/>
    <m/>
    <s v="MPE"/>
    <s v="MPE"/>
    <x v="0"/>
    <s v="MPE_CBD_3.2.1.3.2.13b1"/>
    <s v="CMTeam"/>
    <s v="Neelam Jawla"/>
    <m/>
    <m/>
    <s v="\\192.168.3.3\share\Releases\Projects\CBD\Release_For_Test\Test_Build_1.0.0.4\Server CD\MPE\RHEL_6.3\Setup"/>
    <s v="Pass"/>
    <m/>
    <m/>
    <m/>
    <m/>
    <s v="Jitender Aggarwal"/>
    <x v="0"/>
    <s v=""/>
    <x v="0"/>
    <x v="0"/>
  </r>
  <r>
    <d v="2015-02-03T00:00:00"/>
    <d v="2015-02-03T00:00:00"/>
    <n v="2"/>
    <s v="2015-Feb"/>
    <n v="2"/>
    <s v="IT-LQA"/>
    <x v="21"/>
    <m/>
    <s v="DM"/>
    <s v="DBS"/>
    <x v="0"/>
    <s v="DMDBS_TLSTR-ST_2.1.1.8.1.21b1"/>
    <s v="CMTeam"/>
    <s v="Sanjeev Pathak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5-02-03T00:00:00"/>
    <d v="2015-02-03T00:00:00"/>
    <n v="2"/>
    <s v="2015-Feb"/>
    <n v="2"/>
    <s v="IT-LQA"/>
    <x v="21"/>
    <m/>
    <s v="DM"/>
    <s v="DBS"/>
    <x v="0"/>
    <s v="DMDBS_TLSTR-ST_2.1.1.8.1.16b2"/>
    <s v="CMTeam"/>
    <s v="Aditya Garg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5-02-03T00:00:00"/>
    <d v="2015-02-03T00:00:00"/>
    <n v="2"/>
    <s v="2015-Feb"/>
    <n v="2"/>
    <s v="IT-LQA"/>
    <x v="21"/>
    <m/>
    <s v="DM"/>
    <s v="DBS"/>
    <x v="0"/>
    <s v="DMDBS_TLSTR-ST_2.1.1.8.1.22b1"/>
    <s v="CMTeam"/>
    <s v="Sanjeev Pathak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5-02-03T00:00:00"/>
    <d v="2015-02-03T00:00:00"/>
    <n v="2"/>
    <s v="2015-Feb"/>
    <n v="2"/>
    <s v="LQA"/>
    <x v="1"/>
    <m/>
    <s v="LA"/>
    <s v="GUI"/>
    <x v="1"/>
    <s v="LAGUI_1.0.1b6"/>
    <s v="CMTeam"/>
    <s v="Pawan Kumar"/>
    <m/>
    <m/>
    <s v="\\192.168.3.3\Share\Releases\Product\LA_1.1\Build&amp;Release\Release_For_LQA\Test_Build_1.0.1\Server CD\GUI\Setup"/>
    <m/>
    <m/>
    <m/>
    <m/>
    <m/>
    <m/>
    <x v="1"/>
    <s v=""/>
    <x v="0"/>
    <x v="0"/>
  </r>
  <r>
    <d v="2015-02-03T00:00:00"/>
    <d v="2015-02-03T00:00:00"/>
    <n v="2"/>
    <s v="2015-Feb"/>
    <n v="2"/>
    <s v="LQA"/>
    <x v="1"/>
    <m/>
    <s v="LA"/>
    <s v="DBS"/>
    <x v="1"/>
    <s v="LADBS_1.0.1b1"/>
    <s v="CMTeam"/>
    <s v="Nitin Kumar"/>
    <m/>
    <s v="Obsolete-LQA"/>
    <s v="\\192.168.3.3\Share\Releases\Product\LA_1.1\Build&amp;Release\Release_For_LQA\Test_Build_1.0.1\Server CD\DBS\Setup"/>
    <m/>
    <m/>
    <m/>
    <m/>
    <m/>
    <m/>
    <x v="2"/>
    <d v="2015-02-03T00:00:00"/>
    <x v="58"/>
    <x v="4"/>
  </r>
  <r>
    <d v="2015-02-03T00:00:00"/>
    <d v="2015-02-03T00:00:00"/>
    <n v="2"/>
    <s v="2015-Feb"/>
    <n v="2"/>
    <s v="LQA"/>
    <x v="21"/>
    <m/>
    <s v="MPE"/>
    <s v="MPE"/>
    <x v="0"/>
    <s v="MPE_TLSTR-ST_3.2.6.1.1.14b1"/>
    <s v="CMTeam"/>
    <s v="Sandeep Aggarwal"/>
    <m/>
    <m/>
    <s v="\\192.168.3.3\Share\Releases\Projects\TLSTR-ST\Release_For_Test\Test_Build_1.0.1\Server CD\MPE\Setup"/>
    <m/>
    <m/>
    <m/>
    <m/>
    <m/>
    <m/>
    <x v="1"/>
    <s v=""/>
    <x v="0"/>
    <x v="0"/>
  </r>
  <r>
    <d v="2015-02-04T00:00:00"/>
    <d v="2015-02-04T00:00:00"/>
    <n v="2"/>
    <s v="2015-Feb"/>
    <n v="2"/>
    <s v="IT-LQA-UAT"/>
    <x v="1"/>
    <m/>
    <s v="RT"/>
    <s v="DBS"/>
    <x v="0"/>
    <s v="RTDBS_4.0.1.30b1"/>
    <s v="CMTeam"/>
    <s v="Rohit Kanwar"/>
    <s v="\\192.168.3.3\Share\Releases\Product\RT_4.0\ReleaseForIT\TestBuild_4.0.3\DBS\Setup"/>
    <m/>
    <s v="\\192.168.3.3\Share\Releases\Product\RT_4.0\ReleaseForLQA\TestBuild_4.0.24\DBS\Setup"/>
    <s v="Pass"/>
    <m/>
    <m/>
    <m/>
    <m/>
    <s v="Paritosh Ghildiyal"/>
    <x v="0"/>
    <s v=""/>
    <x v="0"/>
    <x v="0"/>
  </r>
  <r>
    <d v="2015-02-05T00:00:00"/>
    <d v="2015-02-05T00:00:00"/>
    <n v="2"/>
    <s v="2015-Feb"/>
    <n v="2"/>
    <s v="LQA-FAT"/>
    <x v="0"/>
    <m/>
    <s v="RT"/>
    <s v="GUI"/>
    <x v="1"/>
    <s v="RTGUI_SLT_4.0.35.0.2"/>
    <s v="CMTeam"/>
    <s v="Dheeraj Kant"/>
    <m/>
    <m/>
    <s v="\\192.168.3.3\Share\Releases\Projects\SLT\Release_For_LQA\Test_Build_1.0.0.24\Server CD\GUI\Setup"/>
    <s v="Pass"/>
    <m/>
    <m/>
    <m/>
    <m/>
    <s v="Paritosh Ghildiyal"/>
    <x v="0"/>
    <s v=""/>
    <x v="0"/>
    <x v="0"/>
  </r>
  <r>
    <d v="2015-02-05T00:00:00"/>
    <d v="2015-02-05T00:00:00"/>
    <n v="2"/>
    <s v="2015-Feb"/>
    <n v="2"/>
    <s v="IT-LQA"/>
    <x v="21"/>
    <m/>
    <s v="DM"/>
    <s v="DBS"/>
    <x v="0"/>
    <s v=" DMDBS_TLSTR-ST_2.1.1.8.1.8b2"/>
    <s v="CMTeam"/>
    <s v="Sanjeev Pathak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5-02-05T00:00:00"/>
    <d v="2015-02-05T00:00:00"/>
    <n v="2"/>
    <s v="2015-Feb"/>
    <n v="2"/>
    <s v="IT-LQA-UAT"/>
    <x v="6"/>
    <m/>
    <s v="NM"/>
    <s v="DBS"/>
    <x v="0"/>
    <s v="NMDBS_ANTEL_4.6.1.34.2.55b1"/>
    <s v="CMTeam"/>
    <s v="Rohit Kanwar"/>
    <s v="\\192.168.3.3\Share\Releases\Projects\ANTEL\Release_For_IT\TestBuild_1.0.0.4\Server CD\DBS\Setup"/>
    <m/>
    <s v="\\192.168.3.3\Share\Releases\Projects\ANTEL\Release_For_Test\Test_Build_1.0.0.7\Server CD\DBS\Setup"/>
    <s v="Pass"/>
    <s v="Readme Re-Released"/>
    <m/>
    <m/>
    <m/>
    <s v="Pradeep Raghav"/>
    <x v="0"/>
    <s v=""/>
    <x v="0"/>
    <x v="0"/>
  </r>
  <r>
    <d v="2015-02-05T00:00:00"/>
    <d v="2015-02-05T00:00:00"/>
    <n v="2"/>
    <s v="2015-Feb"/>
    <n v="2"/>
    <s v="LQA-UAT"/>
    <x v="3"/>
    <m/>
    <s v="MPE"/>
    <s v="MPE"/>
    <x v="0"/>
    <s v="MPE_OBT_3.2.1.8.1.26b1"/>
    <s v="CMTeam"/>
    <s v="Neelam Jawla"/>
    <m/>
    <m/>
    <s v="\\192.168.3.3\share\Releases\Projects\OBT\Release_For_LQA\TestBuild_1.0.0.7\Server CD\MPE\Setup"/>
    <s v="Pass"/>
    <s v="Readme Re-Released"/>
    <m/>
    <m/>
    <m/>
    <s v="Ajay Kumar Pandey"/>
    <x v="0"/>
    <s v=""/>
    <x v="0"/>
    <x v="0"/>
  </r>
  <r>
    <d v="2015-02-06T00:00:00"/>
    <d v="2015-02-06T00:00:00"/>
    <n v="2"/>
    <s v="2015-Feb"/>
    <n v="2"/>
    <s v="IT-LQA"/>
    <x v="6"/>
    <m/>
    <s v="NM"/>
    <s v="DBS"/>
    <x v="0"/>
    <s v="NMDBS_ANTEL_4.6.1.34.2.54b1"/>
    <s v="CMTeam"/>
    <s v="Rohit Kanwar"/>
    <s v="\\192.168.3.3\Share\Releases\Projects\ANTEL\Release_For_IT\TestBuild_1.0.0.4\Server CD\DBS\Setup"/>
    <s v="Obsolete-LQA"/>
    <s v="\\192.168.3.3\Share\Releases\Projects\ANTEL\Release_For_Test\Test_Build_1.0.0.7\Server CD\DBS\Setup"/>
    <m/>
    <m/>
    <m/>
    <m/>
    <m/>
    <m/>
    <x v="2"/>
    <d v="2015-02-06T00:00:00"/>
    <x v="58"/>
    <x v="4"/>
  </r>
  <r>
    <d v="2015-02-06T00:00:00"/>
    <d v="2015-02-06T00:00:00"/>
    <n v="2"/>
    <s v="2015-Feb"/>
    <n v="2"/>
    <s v="IT-LQA-UAT"/>
    <x v="1"/>
    <m/>
    <s v="NM"/>
    <s v="DBS"/>
    <x v="0"/>
    <s v="NMDBS_4.6.1.34b2"/>
    <s v="CMTeam"/>
    <s v="Rajat Gupta"/>
    <s v="\\192.168.3.3\Share\Releases\Product\Netmind_4.6\Build&amp;Release\ReleaseForIT\TestBuild_4.6.1\Build4\ServerCD\DBS\Setup"/>
    <m/>
    <s v="\\192.168.3.3\Share\Releases\Product\Netmind_4.6\Build&amp;Release\ReleaseForTest\TestBuild_4.6.1\Build4\ServerCD\DBS\Setup"/>
    <s v="Pass"/>
    <m/>
    <m/>
    <m/>
    <m/>
    <s v="Pradeep Raghav"/>
    <x v="0"/>
    <s v=""/>
    <x v="0"/>
    <x v="0"/>
  </r>
  <r>
    <d v="2015-02-09T00:00:00"/>
    <d v="2015-02-09T00:00:00"/>
    <n v="2"/>
    <s v="2015-Feb"/>
    <n v="2"/>
    <s v="IT-LQA"/>
    <x v="0"/>
    <m/>
    <s v="DM"/>
    <s v="DBS"/>
    <x v="0"/>
    <s v="DMDBS_SLT_2.0.0.25.1.215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m/>
    <m/>
    <m/>
    <m/>
    <m/>
    <m/>
    <x v="1"/>
    <s v=""/>
    <x v="0"/>
    <x v="0"/>
  </r>
  <r>
    <d v="2015-02-09T00:00:00"/>
    <d v="2015-02-09T00:00:00"/>
    <n v="2"/>
    <s v="2015-Feb"/>
    <n v="2"/>
    <s v="IT-LQA"/>
    <x v="0"/>
    <m/>
    <s v="RA"/>
    <s v="DBS"/>
    <x v="0"/>
    <s v="RADBS_SLT_2.1.1.15.1.98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m/>
    <m/>
    <m/>
    <m/>
    <m/>
    <m/>
    <x v="1"/>
    <s v=""/>
    <x v="0"/>
    <x v="0"/>
  </r>
  <r>
    <d v="2015-02-09T00:00:00"/>
    <d v="2015-02-12T00:00:00"/>
    <n v="2"/>
    <s v="2015-Feb"/>
    <n v="2"/>
    <s v="IT-LQA"/>
    <x v="21"/>
    <m/>
    <s v="DM"/>
    <s v="DBS"/>
    <x v="0"/>
    <s v="DMDBS_TLSTR-ST_2.1.1.8.1.23b1"/>
    <s v="CMTeam"/>
    <s v="Aditya Garg"/>
    <s v="\\192.168.3.3\Share\Releases\Projects\TLSTR-ST\Release_For_Test\Test_Build_1.0.1\Server CD\DBS\Setup"/>
    <m/>
    <s v="\\192.168.3.3\Share\Releases\Projects\TLSTR-ST\Release_For_Test\Test_Build_1.0.1\Server CD\DBS\Setup"/>
    <m/>
    <s v="Readme Re-Released"/>
    <m/>
    <m/>
    <m/>
    <m/>
    <x v="1"/>
    <s v=""/>
    <x v="0"/>
    <x v="0"/>
  </r>
  <r>
    <d v="2015-02-09T00:00:00"/>
    <d v="2015-02-09T00:00:00"/>
    <n v="2"/>
    <s v="2015-Feb"/>
    <n v="2"/>
    <s v="LQA"/>
    <x v="0"/>
    <m/>
    <s v="MPE"/>
    <s v="MPE"/>
    <x v="0"/>
    <s v="MPE_SLT-1B_3.0.1.1.1.106b1"/>
    <s v="CMTeam"/>
    <s v="Ajay Awasthi"/>
    <m/>
    <m/>
    <s v="\\192.168.3.3\Share\Releases\Projects\SLT-1B\Release_For_Test\Test_Build_1.0.0.1\Server CD\MPE\Setup"/>
    <m/>
    <m/>
    <m/>
    <m/>
    <m/>
    <m/>
    <x v="1"/>
    <s v=""/>
    <x v="0"/>
    <x v="0"/>
  </r>
  <r>
    <d v="2015-02-10T00:00:00"/>
    <d v="2015-02-10T00:00:00"/>
    <n v="2"/>
    <s v="2015-Feb"/>
    <n v="2"/>
    <s v="LQA"/>
    <x v="23"/>
    <m/>
    <s v="NM"/>
    <s v="DBS"/>
    <x v="1"/>
    <s v="NMDBS_MCC_4.7.1.3"/>
    <s v="CMTeam"/>
    <s v="Sumita Yadav"/>
    <m/>
    <m/>
    <s v="\\192.168.3.3\Share\Releases\Projects\MCC\Release_For_Test\Test_Build_1.0.1\Server CD\DBS\Setup"/>
    <m/>
    <m/>
    <m/>
    <m/>
    <m/>
    <m/>
    <x v="1"/>
    <s v=""/>
    <x v="0"/>
    <x v="0"/>
  </r>
  <r>
    <d v="2015-02-10T00:00:00"/>
    <d v="2015-02-10T00:00:00"/>
    <n v="2"/>
    <s v="2015-Feb"/>
    <n v="2"/>
    <s v="LQA"/>
    <x v="23"/>
    <m/>
    <s v="WWCS"/>
    <s v="GUI"/>
    <x v="1"/>
    <s v="WWCSGUI_MCC_2.1.21.0.2"/>
    <s v="CMTeam"/>
    <s v="Rajeev Kumar"/>
    <m/>
    <m/>
    <s v="\\192.168.3.3\Share\Releases\Projects\MCC\Release_For_Test\Test_Build_1.0.1\Server CD\GUI\Setup"/>
    <m/>
    <m/>
    <m/>
    <m/>
    <m/>
    <m/>
    <x v="1"/>
    <s v=""/>
    <x v="0"/>
    <x v="0"/>
  </r>
  <r>
    <d v="2015-02-10T00:00:00"/>
    <d v="2015-02-23T00:00:00"/>
    <n v="2"/>
    <s v="2015-Feb"/>
    <n v="2"/>
    <s v="IT-LQA"/>
    <x v="5"/>
    <m/>
    <s v="NM"/>
    <s v="Utility"/>
    <x v="0"/>
    <s v="NMUTLMIG4_BHN_1.0.0.0.1"/>
    <s v="CMTeam"/>
    <s v="Sachin Srivastva"/>
    <s v="\\192.168.3.3\Share\Releases\Projects\BHN\Release_For_IT\TestBuild_1.0.0.1\Server CD\Utility\Setup"/>
    <s v="Obsolete-LQA"/>
    <m/>
    <m/>
    <m/>
    <m/>
    <m/>
    <m/>
    <m/>
    <x v="2"/>
    <d v="2015-02-23T00:00:00"/>
    <x v="59"/>
    <x v="4"/>
  </r>
  <r>
    <d v="2015-02-10T00:00:00"/>
    <d v="2015-02-23T00:00:00"/>
    <n v="2"/>
    <s v="2015-Feb"/>
    <n v="2"/>
    <s v="IT-LQA"/>
    <x v="5"/>
    <m/>
    <s v="NM"/>
    <s v="Utility"/>
    <x v="0"/>
    <s v="NMUTLMIG5_BHN_1.0.0.0.1"/>
    <s v="CMTeam"/>
    <s v="Sachin Srivastva"/>
    <s v="\\192.168.3.3\Share\Releases\Projects\BHN\Release_For_IT\TestBuild_1.0.0.1\Server CD\Utility\Setup"/>
    <s v="Obsolete-LQA"/>
    <m/>
    <m/>
    <m/>
    <m/>
    <m/>
    <m/>
    <m/>
    <x v="2"/>
    <d v="2015-02-23T00:00:00"/>
    <x v="59"/>
    <x v="4"/>
  </r>
  <r>
    <d v="2015-02-10T00:00:00"/>
    <d v="2015-02-10T00:00:00"/>
    <n v="2"/>
    <s v="2015-Feb"/>
    <n v="2"/>
    <s v="IT-LQA"/>
    <x v="0"/>
    <m/>
    <s v="RA"/>
    <s v="DBS"/>
    <x v="0"/>
    <s v="RADBS_SLT_2.1.1.15.1.99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m/>
    <m/>
    <m/>
    <m/>
    <m/>
    <m/>
    <x v="1"/>
    <s v=""/>
    <x v="0"/>
    <x v="0"/>
  </r>
  <r>
    <d v="2015-02-11T00:00:00"/>
    <d v="2015-02-11T00:00:00"/>
    <n v="2"/>
    <s v="2015-Feb"/>
    <n v="2"/>
    <s v="IT-LQA"/>
    <x v="21"/>
    <m/>
    <s v="DM"/>
    <s v="DBS"/>
    <x v="0"/>
    <s v="DMDBS_TLSTR-ST_2.1.1.8.1.24b1"/>
    <s v="CMTeam"/>
    <s v="Sanjeev Pathak"/>
    <s v="\\192.168.3.3\Share\Releases\Projects\TLSTR-ST\Release_For_Test\Test_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5-02-11T00:00:00"/>
    <d v="2015-02-11T00:00:00"/>
    <n v="2"/>
    <s v="2015-Feb"/>
    <n v="2"/>
    <s v="LQA"/>
    <x v="0"/>
    <m/>
    <s v="MPE"/>
    <s v="MPE"/>
    <x v="0"/>
    <s v="MPE_SLT-1B_3.0.1.1.1.107b1"/>
    <s v="CMTeam"/>
    <s v="Anshul Kumar"/>
    <m/>
    <m/>
    <s v="\\192.168.3.3\Share\Releases\Projects\SLT-1B\Release_For_Test\Test_Build_1.0.0.1\Server CD\MPE\Setup"/>
    <m/>
    <m/>
    <m/>
    <m/>
    <m/>
    <m/>
    <x v="1"/>
    <s v=""/>
    <x v="0"/>
    <x v="0"/>
  </r>
  <r>
    <d v="2015-02-12T00:00:00"/>
    <d v="2015-02-12T00:00:00"/>
    <n v="2"/>
    <s v="2015-Feb"/>
    <n v="2"/>
    <s v="IT-LQA"/>
    <x v="6"/>
    <m/>
    <s v="NM"/>
    <s v="DBS"/>
    <x v="0"/>
    <s v="NMDBS_ANTEL_4.6.1.34.2.54b2"/>
    <s v="CMTeam"/>
    <s v="Rohit Kanwar"/>
    <s v="\\192.168.3.3\Share\Releases\Projects\ANTEL\Release_For_IT\TestBuild_1.0.0.4\Server CD\DBS\Setup"/>
    <s v="Obsolete-LQA"/>
    <s v="\\192.168.3.3\Share\Releases\Projects\ANTEL\Release_For_Test\Test_Build_1.0.0.7\Server CD\DBS\Setup"/>
    <m/>
    <s v="Readme Re-Released"/>
    <m/>
    <m/>
    <m/>
    <m/>
    <x v="2"/>
    <d v="2015-02-12T00:00:00"/>
    <x v="60"/>
    <x v="4"/>
  </r>
  <r>
    <d v="2015-02-12T00:00:00"/>
    <d v="2015-02-12T00:00:00"/>
    <n v="2"/>
    <s v="2015-Feb"/>
    <n v="2"/>
    <s v="IT-LQA"/>
    <x v="0"/>
    <m/>
    <s v="RA"/>
    <s v="DBS"/>
    <x v="0"/>
    <s v="RADBS_SLT_2.1.1.15.1.100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m/>
    <m/>
    <m/>
    <m/>
    <m/>
    <m/>
    <x v="1"/>
    <s v=""/>
    <x v="0"/>
    <x v="0"/>
  </r>
  <r>
    <d v="2015-02-12T00:00:00"/>
    <d v="2015-02-12T00:00:00"/>
    <n v="2"/>
    <s v="2015-Feb"/>
    <n v="2"/>
    <s v="IT-LQA"/>
    <x v="0"/>
    <m/>
    <s v="RA"/>
    <s v="DBS"/>
    <x v="0"/>
    <s v="RADBS_SLT_2.1.1.15.1.101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m/>
    <m/>
    <m/>
    <m/>
    <m/>
    <m/>
    <x v="1"/>
    <s v=""/>
    <x v="0"/>
    <x v="0"/>
  </r>
  <r>
    <d v="2015-02-12T00:00:00"/>
    <d v="2015-02-12T00:00:00"/>
    <n v="2"/>
    <s v="2015-Feb"/>
    <n v="2"/>
    <s v="IT-LQA"/>
    <x v="0"/>
    <m/>
    <s v="DM"/>
    <s v="DBS"/>
    <x v="0"/>
    <s v="DMDBS_SLT_2.0.0.25.1.216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m/>
    <m/>
    <m/>
    <m/>
    <m/>
    <m/>
    <x v="1"/>
    <s v=""/>
    <x v="0"/>
    <x v="0"/>
  </r>
  <r>
    <d v="2015-02-12T00:00:00"/>
    <d v="2015-02-12T00:00:00"/>
    <n v="2"/>
    <s v="2015-Feb"/>
    <n v="2"/>
    <s v="LQA"/>
    <x v="0"/>
    <m/>
    <s v="MPE"/>
    <s v="MPE"/>
    <x v="0"/>
    <s v="MPE_SLT-1B_3.0.1.1.1.108b1"/>
    <s v="CMTeam"/>
    <s v="Anshul Kumar"/>
    <m/>
    <m/>
    <s v="\\192.168.3.3\Share\Releases\Projects\SLT-1B\Release_For_Test\Test_Build_1.0.0.1\Server CD\MPE\Setup"/>
    <m/>
    <m/>
    <m/>
    <m/>
    <m/>
    <m/>
    <x v="1"/>
    <s v=""/>
    <x v="0"/>
    <x v="0"/>
  </r>
  <r>
    <d v="2015-02-12T00:00:00"/>
    <d v="2015-02-12T00:00:00"/>
    <n v="2"/>
    <s v="2015-Feb"/>
    <n v="2"/>
    <s v="IT-LQA-UAT"/>
    <x v="10"/>
    <m/>
    <s v="NM"/>
    <s v="DBS"/>
    <x v="0"/>
    <s v="NMDBS_COM_4.6.1.32.1.90b1"/>
    <s v="CMTeam"/>
    <s v="Sachin Srivastva"/>
    <s v="\\192.168.3.3\Share\Releases\Projects\Comcast\Release_For_IT\Test_Build_4.6.1\Server CD\Database\Setup"/>
    <m/>
    <s v="\\192.168.3.3\Share\Releases\Projects\Comcast\Release_for_Test\Test_Build_4.6.7\Server CD\Database\Setup"/>
    <s v="Pass"/>
    <m/>
    <m/>
    <m/>
    <m/>
    <s v="Rudra Narayan"/>
    <x v="0"/>
    <s v=""/>
    <x v="0"/>
    <x v="0"/>
  </r>
  <r>
    <d v="2015-02-13T00:00:00"/>
    <d v="2015-02-13T00:00:00"/>
    <n v="2"/>
    <s v="2015-Feb"/>
    <n v="2"/>
    <s v="LQA-UAT"/>
    <x v="3"/>
    <m/>
    <s v="MPE"/>
    <s v="MPE"/>
    <x v="0"/>
    <s v="MPE_OBT_3.2.1.8.1.27b1"/>
    <s v="CMTeam"/>
    <s v="Neelam Jawla"/>
    <m/>
    <m/>
    <s v="\\192.168.3.3\share\Releases\Projects\OBT\Release_For_LQA\TestBuild_1.0.0.7\Server CD\MPE\Setup"/>
    <s v="Pass"/>
    <m/>
    <m/>
    <m/>
    <m/>
    <s v="Ajay Kumar Pandey"/>
    <x v="0"/>
    <s v=""/>
    <x v="0"/>
    <x v="0"/>
  </r>
  <r>
    <d v="2015-02-13T00:00:00"/>
    <d v="2015-02-13T00:00:00"/>
    <n v="2"/>
    <s v="2015-Feb"/>
    <n v="2"/>
    <s v="LQA"/>
    <x v="0"/>
    <m/>
    <s v="MPE"/>
    <s v="MPE"/>
    <x v="0"/>
    <s v="MPE_SLT-1B_3.0.1.1.1.109b1"/>
    <s v="CMTeam"/>
    <s v="Ajay Awasthi"/>
    <m/>
    <m/>
    <s v="\\192.168.3.3\Share\Releases\Projects\SLT-1B\Release_For_Test\Test_Build_1.0.0.1\Server CD\MPE\Setup"/>
    <m/>
    <m/>
    <m/>
    <m/>
    <m/>
    <m/>
    <x v="1"/>
    <s v=""/>
    <x v="0"/>
    <x v="0"/>
  </r>
  <r>
    <d v="2015-02-13T00:00:00"/>
    <d v="2015-02-13T00:00:00"/>
    <n v="2"/>
    <s v="2015-Feb"/>
    <n v="2"/>
    <s v="LQA"/>
    <x v="0"/>
    <m/>
    <s v="Utility"/>
    <s v="Utility"/>
    <x v="0"/>
    <s v="UTLFDUP_SLT-1B_1.0.0.0.5.3b1"/>
    <s v="CMTeam"/>
    <s v="Anshul Kumar"/>
    <m/>
    <s v="Obsolete-LQA"/>
    <s v="\\192.168.3.3\Share\Releases\Projects\SLT-1B\Release_For_Test\Test_Build_1.0.0.1\Utility\MPE\Setup"/>
    <m/>
    <m/>
    <m/>
    <m/>
    <m/>
    <m/>
    <x v="2"/>
    <d v="2015-02-13T00:00:00"/>
    <x v="60"/>
    <x v="4"/>
  </r>
  <r>
    <d v="2015-02-16T00:00:00"/>
    <d v="2015-02-16T00:00:00"/>
    <n v="2"/>
    <s v="2015-Feb"/>
    <n v="2"/>
    <s v="IT-LQA-UAT"/>
    <x v="10"/>
    <m/>
    <s v="NM"/>
    <s v="DBS"/>
    <x v="0"/>
    <s v="NMDBS_COM_4.6.1.32.1.89b1"/>
    <s v="CMTeam"/>
    <s v="Sumita Yadav"/>
    <s v="\\192.168.3.3\Share\Releases\Projects\Comcast\Release_For_IT\Test_Build_4.6.1\Server CD\Database\Setup"/>
    <m/>
    <s v="\\192.168.3.3\Share\Releases\Projects\Comcast\Release_for_Test\Test_Build_4.6.7\Server CD\Database\Setup"/>
    <s v="Pass"/>
    <m/>
    <m/>
    <m/>
    <m/>
    <s v="Rudra Narayan"/>
    <x v="0"/>
    <s v=""/>
    <x v="0"/>
    <x v="0"/>
  </r>
  <r>
    <d v="2015-02-16T00:00:00"/>
    <d v="2015-02-16T00:00:00"/>
    <n v="2"/>
    <s v="2015-Feb"/>
    <n v="2"/>
    <s v="IT-LQA"/>
    <x v="3"/>
    <m/>
    <s v="NM"/>
    <s v="DBS"/>
    <x v="0"/>
    <s v="NMDBS_OBT_4.6.1.27.1.45b1"/>
    <s v="CMTeam"/>
    <s v="Anjani Kumar"/>
    <s v="\\192.168.3.3\Share\Releases\Projects\OBT\Release_For_IT\TestBuild_1.0.0.2\Server CD\DBS\Setup"/>
    <s v="Obsolete-LQA"/>
    <s v="\\192.168.3.3\Share\Releases\Projects\OBT\Release_For_LQA\TestBuild_1.0.0.7\Server CD\DBS\Setup"/>
    <m/>
    <m/>
    <m/>
    <m/>
    <m/>
    <m/>
    <x v="2"/>
    <d v="2015-02-16T00:00:00"/>
    <x v="61"/>
    <x v="4"/>
  </r>
  <r>
    <d v="2015-02-16T00:00:00"/>
    <d v="2015-02-16T00:00:00"/>
    <n v="2"/>
    <s v="2015-Feb"/>
    <n v="2"/>
    <s v="LQA"/>
    <x v="0"/>
    <m/>
    <s v="Utility"/>
    <s v="Utility"/>
    <x v="0"/>
    <s v="UTLSEQM_SLT-1B_1.0.0.0.5.10b1"/>
    <s v="CMTeam"/>
    <s v="Ajay Awasthi"/>
    <m/>
    <m/>
    <s v="\\192.168.3.3\Share\Releases\Projects\SLT-1B\Release_For_Test\Test_Build_1.0.0.1\Utility\MPE\Setup"/>
    <m/>
    <m/>
    <m/>
    <m/>
    <m/>
    <m/>
    <x v="1"/>
    <s v=""/>
    <x v="0"/>
    <x v="0"/>
  </r>
  <r>
    <d v="2015-02-16T00:00:00"/>
    <d v="2015-02-16T00:00:00"/>
    <n v="2"/>
    <s v="2015-Feb"/>
    <n v="2"/>
    <s v="IT-LQA"/>
    <x v="21"/>
    <m/>
    <s v="DM"/>
    <s v="DBS"/>
    <x v="0"/>
    <s v="DMDBS_TLSTR-ST_2.1.1.8.1.25b1"/>
    <s v="CMTeam"/>
    <s v="Sanjeev Pathak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5-02-17T00:00:00"/>
    <d v="2015-02-18T00:00:00"/>
    <n v="2"/>
    <s v="2015-Feb"/>
    <n v="2"/>
    <s v="IT-LQA"/>
    <x v="21"/>
    <m/>
    <s v="DM"/>
    <s v="DBS"/>
    <x v="0"/>
    <s v="DMDBS_TLSTR-ST_2.1.1.8.1.18b2"/>
    <s v="CMTeam"/>
    <s v="Aditya Garg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5-02-18T00:00:00"/>
    <d v="2015-02-18T00:00:00"/>
    <n v="2"/>
    <s v="2015-Feb"/>
    <n v="2"/>
    <s v="IT-LQA"/>
    <x v="6"/>
    <m/>
    <s v="NM"/>
    <s v="DBS"/>
    <x v="0"/>
    <s v="NMDBS_ANTEL_4.6.1.34.2.56b1"/>
    <s v="CMTeam"/>
    <s v="Rohit Kanwar"/>
    <s v="\\192.168.3.3\Share\Releases\Projects\ANTEL\Release_For_IT\TestBuild_1.0.0.4\Server CD\DBS\Setup"/>
    <s v="Obsolete-LQA"/>
    <s v="\\192.168.3.3\Share\Releases\Projects\ANTEL\Release_For_Test\Test_Build_1.0.0.7\Server CD\DBS\Setup"/>
    <m/>
    <m/>
    <m/>
    <m/>
    <m/>
    <m/>
    <x v="2"/>
    <d v="2015-02-18T00:00:00"/>
    <x v="61"/>
    <x v="4"/>
  </r>
  <r>
    <d v="2015-02-18T00:00:00"/>
    <d v="2015-02-18T00:00:00"/>
    <n v="2"/>
    <s v="2015-Feb"/>
    <n v="2"/>
    <s v="IT-LQA"/>
    <x v="21"/>
    <m/>
    <s v="DM"/>
    <s v="DBS"/>
    <x v="0"/>
    <s v="DMDBS_TLSTR-ST_2.1.1.8.1.26b1"/>
    <s v="CMTeam"/>
    <s v="Aditya Garg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5-02-19T00:00:00"/>
    <d v="2015-02-19T00:00:00"/>
    <n v="2"/>
    <s v="2015-Feb"/>
    <n v="2"/>
    <s v="IT-LQA-UAT"/>
    <x v="6"/>
    <m/>
    <s v="NM"/>
    <s v="DBS"/>
    <x v="0"/>
    <s v="NMDBS_ANTEL_4.6.1.34.2.54b3"/>
    <s v="CMTeam"/>
    <s v="Rohit Kanwar"/>
    <s v="\\192.168.3.3\Share\Releases\Projects\ANTEL\Release_For_IT\TestBuild_1.0.0.4\Server CD\DBS\Setup"/>
    <m/>
    <s v="\\192.168.3.3\Share\Releases\Projects\ANTEL\Release_For_Test\Test_Build_1.0.0.7\Server CD\DBS\Setup"/>
    <s v="Pass"/>
    <m/>
    <m/>
    <m/>
    <m/>
    <s v="Pradeep Raghav"/>
    <x v="0"/>
    <s v=""/>
    <x v="0"/>
    <x v="0"/>
  </r>
  <r>
    <d v="2015-02-19T00:00:00"/>
    <d v="2015-02-19T00:00:00"/>
    <n v="2"/>
    <s v="2015-Feb"/>
    <n v="2"/>
    <s v="IT-LQA-UAT"/>
    <x v="4"/>
    <m/>
    <s v="NM"/>
    <s v="DBS"/>
    <x v="0"/>
    <s v="NMDBS_TLSTR_4.0.1.0.4.321b1"/>
    <s v="CMTeam"/>
    <s v="Deepak Yadav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Vijay Singh Daagar"/>
    <x v="0"/>
    <s v=""/>
    <x v="0"/>
    <x v="0"/>
  </r>
  <r>
    <d v="2015-02-20T00:00:00"/>
    <d v="2015-02-20T00:00:00"/>
    <n v="2"/>
    <s v="2015-Feb"/>
    <n v="2"/>
    <s v="LQA"/>
    <x v="6"/>
    <m/>
    <s v="WWFS"/>
    <s v="GUI"/>
    <x v="0"/>
    <s v="WWFSGUI_ANTEL_2.1.35.0.2.1b1"/>
    <s v="CMTeam"/>
    <s v="Rajeev Kumar"/>
    <m/>
    <m/>
    <s v="\\192.168.3.3\Share\Releases\Projects\ANTEL\Release_For_Test\Test_Build_1.0.0.7\Server CD\GUI\Setup"/>
    <s v="Pass"/>
    <m/>
    <m/>
    <m/>
    <m/>
    <s v="Ajay Kumar Pandey"/>
    <x v="0"/>
    <s v=""/>
    <x v="0"/>
    <x v="0"/>
  </r>
  <r>
    <d v="2015-02-20T00:00:00"/>
    <d v="2015-02-20T00:00:00"/>
    <n v="2"/>
    <s v="2015-Feb"/>
    <n v="2"/>
    <s v="IT-LQA"/>
    <x v="1"/>
    <m/>
    <s v="RE"/>
    <s v="DBS"/>
    <x v="1"/>
    <s v="REDBS_2.0.1b1"/>
    <s v="CMTeam"/>
    <s v="Anand Kumar Ojha"/>
    <m/>
    <m/>
    <s v="\\192.168.3.3\Share\Releases\Product\RE_2.0\Build&amp;Release\Release_For_LQA\Test_Build_1.0.1\Server CD\DBS\Setup"/>
    <m/>
    <m/>
    <m/>
    <m/>
    <m/>
    <m/>
    <x v="1"/>
    <s v=""/>
    <x v="0"/>
    <x v="0"/>
  </r>
  <r>
    <d v="2015-02-23T00:00:00"/>
    <d v="2015-02-23T00:00:00"/>
    <n v="2"/>
    <s v="2015-Feb"/>
    <n v="2"/>
    <s v="LQA"/>
    <x v="23"/>
    <m/>
    <s v="WWFS"/>
    <s v="GUI"/>
    <x v="1"/>
    <s v="WWFSGUI_MCC_2.1.35.0.2"/>
    <s v="CMTeam"/>
    <s v="Rajeev Kumar"/>
    <m/>
    <m/>
    <s v="\\192.168.3.3\Share\Releases\Projects\MCC\Release_For_Test\Test_Build_1.0.1\Server CD\GUI\Setup"/>
    <m/>
    <m/>
    <m/>
    <m/>
    <m/>
    <m/>
    <x v="1"/>
    <s v=""/>
    <x v="0"/>
    <x v="0"/>
  </r>
  <r>
    <d v="2015-02-23T00:00:00"/>
    <d v="2015-02-23T00:00:00"/>
    <n v="2"/>
    <s v="2015-Feb"/>
    <n v="2"/>
    <s v="LQA-UAT"/>
    <x v="5"/>
    <m/>
    <s v="NM"/>
    <s v="DBS"/>
    <x v="1"/>
    <s v="NMDBS_BHN_4.7.1.13"/>
    <s v="CMTeam"/>
    <s v="surender Kumar"/>
    <m/>
    <m/>
    <s v="\\192.168.3.3\Share\Releases\Projects\BHN\Release_For_Test\Test_Build_1.0.5\Server CD\DBS\Setup"/>
    <s v="Pass"/>
    <s v="Readme Re-Released"/>
    <m/>
    <m/>
    <m/>
    <s v="Swapnil Garg"/>
    <x v="0"/>
    <s v=""/>
    <x v="0"/>
    <x v="0"/>
  </r>
  <r>
    <d v="2015-02-23T00:00:00"/>
    <d v="2015-02-23T00:00:00"/>
    <n v="2"/>
    <s v="2015-Feb"/>
    <n v="2"/>
    <s v="IT-LQA-UAT"/>
    <x v="3"/>
    <m/>
    <s v="NM"/>
    <s v="DBS"/>
    <x v="0"/>
    <s v="NMDBS_OBT_4.6.1.27.1.45b2"/>
    <s v="CMTeam"/>
    <s v="Anjani Kumar"/>
    <s v="\\192.168.3.3\Share\Releases\Projects\OBT\Release_For_IT\TestBuild_1.0.0.2\Server CD\DBS\Setup"/>
    <m/>
    <s v="\\192.168.3.3\Share\Releases\Projects\OBT\Release_For_LQA\TestBuild_1.0.0.7\Server CD\DBS\Setup"/>
    <s v="Pass"/>
    <m/>
    <m/>
    <m/>
    <m/>
    <s v="Ajay Kumar Pandey"/>
    <x v="0"/>
    <s v=""/>
    <x v="0"/>
    <x v="0"/>
  </r>
  <r>
    <d v="2015-02-23T00:00:00"/>
    <d v="2015-02-23T00:00:00"/>
    <n v="2"/>
    <s v="2015-Feb"/>
    <n v="2"/>
    <s v="LQA"/>
    <x v="0"/>
    <m/>
    <s v="Utility"/>
    <s v="Utility"/>
    <x v="0"/>
    <s v="UTLFDUP_SLT-1B_1.0.0.0.5.3b2 "/>
    <s v="CMTeam"/>
    <s v="Anshul Kumar"/>
    <m/>
    <m/>
    <s v="\\192.168.3.3\Share\Releases\Projects\SLT-1B\Release_For_Test\Test_Build_1.0.0.1\Utility\MPE\Setup"/>
    <m/>
    <m/>
    <m/>
    <m/>
    <m/>
    <m/>
    <x v="1"/>
    <s v=""/>
    <x v="0"/>
    <x v="0"/>
  </r>
  <r>
    <d v="2015-02-23T00:00:00"/>
    <d v="2015-02-23T00:00:00"/>
    <n v="2"/>
    <s v="2015-Feb"/>
    <n v="2"/>
    <s v="LQA-FAT"/>
    <x v="0"/>
    <m/>
    <s v="MPE"/>
    <s v="MPE"/>
    <x v="0"/>
    <s v="MPE_SLT-1B_3.0.1.1.1.110b1"/>
    <s v="CMTeam"/>
    <s v="Anshul Kumar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5-02-23T00:00:00"/>
    <d v="2015-02-23T00:00:00"/>
    <n v="2"/>
    <s v="2015-Feb"/>
    <n v="2"/>
    <s v="LQA-UAT"/>
    <x v="0"/>
    <m/>
    <s v="MPE"/>
    <s v="MPE"/>
    <x v="0"/>
    <s v="MPE_SLT-1B_3.0.1.1.1.111b1"/>
    <s v="CMTeam"/>
    <s v="Anshul Kumar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5-02-24T00:00:00"/>
    <d v="2015-02-24T00:00:00"/>
    <n v="2"/>
    <s v="2015-Feb"/>
    <n v="2"/>
    <s v="LQA"/>
    <x v="0"/>
    <m/>
    <s v="MPE"/>
    <s v="MPE"/>
    <x v="0"/>
    <s v="MPE_SLT-1B_3.0.1.1.1.112b1"/>
    <s v="CMTeam"/>
    <s v="Anshul Kumar"/>
    <m/>
    <m/>
    <s v="\\192.168.3.3\Share\Releases\Projects\SLT-1B\Release_For_Test\Test_Build_1.0.0.1\Server CD\MPE\Setup"/>
    <m/>
    <m/>
    <m/>
    <m/>
    <m/>
    <m/>
    <x v="1"/>
    <s v=""/>
    <x v="0"/>
    <x v="0"/>
  </r>
  <r>
    <d v="2015-02-24T00:00:00"/>
    <d v="2015-02-24T00:00:00"/>
    <n v="2"/>
    <s v="2015-Feb"/>
    <n v="2"/>
    <s v="IT-LQA"/>
    <x v="5"/>
    <m/>
    <s v="Utility"/>
    <s v="Utility"/>
    <x v="0"/>
    <s v="NMUTLMIG5_BHN_1.0.0.0.2"/>
    <s v="CMTeam"/>
    <s v="surender Kumar"/>
    <s v="\\192.168.3.3\Share\Releases\Projects\BHN\Release_For_Test\Test_Build_1.0.5\Server CD\Utility\Setup"/>
    <s v="Obsolete-LQA"/>
    <s v="\\192.168.3.3\Share\Releases\Projects\BHN\Release_For_IT\TestBuild_1.0.0.1\Server CD\Utility\Setup"/>
    <m/>
    <m/>
    <m/>
    <m/>
    <m/>
    <m/>
    <x v="2"/>
    <d v="2015-02-24T00:00:00"/>
    <x v="59"/>
    <x v="4"/>
  </r>
  <r>
    <d v="2015-02-24T00:00:00"/>
    <d v="2015-02-24T00:00:00"/>
    <n v="2"/>
    <s v="2015-Feb"/>
    <n v="2"/>
    <s v="IT-LQA"/>
    <x v="5"/>
    <m/>
    <s v="Utility"/>
    <s v="Utility"/>
    <x v="0"/>
    <s v="NMUTLMIG4_BHN_1.0.0.0.2"/>
    <s v="CMTeam"/>
    <s v="surender Kumar"/>
    <s v="\\192.168.3.3\Share\Releases\Projects\BHN\Release_For_Test\Test_Build_1.0.5\Server CD\Utility\Setup"/>
    <s v="Obsolete-LQA"/>
    <s v="\\192.168.3.3\Share\Releases\Projects\BHN\Release_For_IT\TestBuild_1.0.0.1\Server CD\Utility\Setup"/>
    <m/>
    <m/>
    <m/>
    <m/>
    <m/>
    <m/>
    <x v="2"/>
    <d v="2015-02-24T00:00:00"/>
    <x v="59"/>
    <x v="4"/>
  </r>
  <r>
    <d v="2015-02-25T00:00:00"/>
    <d v="2015-02-25T00:00:00"/>
    <n v="2"/>
    <s v="2015-Feb"/>
    <n v="2"/>
    <s v="LQA-UAT"/>
    <x v="1"/>
    <m/>
    <s v="MPE"/>
    <s v="MPE"/>
    <x v="0"/>
    <s v="MPE_3.2.4.37b1 "/>
    <s v="CMTeam"/>
    <s v="Harish Singh"/>
    <m/>
    <m/>
    <s v="\\192.168.3.3\Share\Releases\Product\MPE_GUI\ReleaseForLQA\TestBuild_1.0.0.2\Server CD\MPE\Setup"/>
    <s v="Pass"/>
    <m/>
    <m/>
    <m/>
    <m/>
    <s v="Pradeep Raghav"/>
    <x v="0"/>
    <s v=""/>
    <x v="0"/>
    <x v="0"/>
  </r>
  <r>
    <d v="2015-02-26T00:00:00"/>
    <d v="2015-02-26T00:00:00"/>
    <n v="2"/>
    <s v="2015-Feb"/>
    <n v="2"/>
    <s v="LQA-UAT"/>
    <x v="20"/>
    <m/>
    <s v="MPE"/>
    <s v="MPE"/>
    <x v="0"/>
    <s v="MPE_FNB_3.2.4.37.1.5b1"/>
    <s v="CMTeam"/>
    <s v="Harish Singh"/>
    <m/>
    <m/>
    <s v="\\192.168.3.3\Share\Releases\Projects\FNB\Release_For_Test\Test_Build_1.0.1\Server CD\MPE\Setup"/>
    <s v="Pass"/>
    <m/>
    <m/>
    <m/>
    <m/>
    <s v="Manas Ranjan Barik"/>
    <x v="0"/>
    <s v=""/>
    <x v="0"/>
    <x v="0"/>
  </r>
  <r>
    <d v="2015-02-26T00:00:00"/>
    <d v="2015-02-26T00:00:00"/>
    <n v="2"/>
    <s v="2015-Feb"/>
    <n v="2"/>
    <s v="LQA"/>
    <x v="1"/>
    <m/>
    <s v="WWCS"/>
    <s v="GUI"/>
    <x v="1"/>
    <s v="WWCSGUI_2.1.22b1"/>
    <s v="CMTeam"/>
    <s v="Rajeev Kumar"/>
    <m/>
    <m/>
    <s v="\\192.168.3.3\Share\Releases\Product\WEB_CS\Build&amp;Release\Release For Test\TestBuild_2.1.22\ServerCD\GUI\Setup"/>
    <m/>
    <s v="Readme Re-Released"/>
    <m/>
    <m/>
    <m/>
    <m/>
    <x v="1"/>
    <s v=""/>
    <x v="0"/>
    <x v="0"/>
  </r>
  <r>
    <d v="2015-02-26T00:00:00"/>
    <d v="2015-02-26T00:00:00"/>
    <n v="2"/>
    <s v="2015-Feb"/>
    <n v="2"/>
    <s v="LQA"/>
    <x v="1"/>
    <m/>
    <s v="Utility"/>
    <s v="Utility"/>
    <x v="1"/>
    <s v="AWF_2.0.1b32"/>
    <s v="CMTeam"/>
    <s v="Rajesh Maithani"/>
    <m/>
    <m/>
    <s v="\\192.168.3.3\Share\Releases\Product\AWF\Build&amp;Release\Release For Test\TestBuild_2.0.1\Setup"/>
    <m/>
    <m/>
    <m/>
    <m/>
    <m/>
    <m/>
    <x v="1"/>
    <s v=""/>
    <x v="0"/>
    <x v="0"/>
  </r>
  <r>
    <d v="2015-02-26T00:00:00"/>
    <d v="2015-02-26T00:00:00"/>
    <n v="2"/>
    <s v="2015-Feb"/>
    <n v="2"/>
    <s v="IT-LQA"/>
    <x v="21"/>
    <m/>
    <s v="DM"/>
    <s v="DBS"/>
    <x v="0"/>
    <s v="DMDBS_TLSTR-ST_2.1.1.8.1.27b1 "/>
    <s v="CMTeam"/>
    <s v="Aditya Garg"/>
    <s v="\\192.168.3.3\Share\Releases\Projects\TLSTR-ST\Release_For_Test\Test_Build_1.0.1\Server CD\DBS\Setup"/>
    <m/>
    <s v="\\192.168.3.3\Share\Releases\Projects\TLSTR-ST\Release_For_IT\TestBuild_1.0.1\Server CD\DBS\Setup"/>
    <m/>
    <m/>
    <m/>
    <m/>
    <m/>
    <m/>
    <x v="1"/>
    <s v=""/>
    <x v="0"/>
    <x v="0"/>
  </r>
  <r>
    <d v="2015-02-27T00:00:00"/>
    <d v="2015-02-27T00:00:00"/>
    <n v="2"/>
    <s v="2015-Feb"/>
    <n v="2"/>
    <s v="IT-LQA-UAT"/>
    <x v="5"/>
    <m/>
    <s v="Utility"/>
    <s v="Utility"/>
    <x v="0"/>
    <s v="NMUTLMIG4_BHN_1.0.0.0.3"/>
    <s v="CMTeam"/>
    <s v="surender Kumar"/>
    <s v="\\192.168.3.3\Share\Releases\Projects\BHN\Release_For_IT\TestBuild_1.0.0.1\Server CD\Utility\Setup"/>
    <m/>
    <s v="\\192.168.3.3\Share\Releases\Projects\BHN\Release_For_Test\Test_Build_1.0.5\Server CD\Utility\Setup"/>
    <s v="Pass"/>
    <s v="Readme Re-Released"/>
    <m/>
    <m/>
    <m/>
    <s v="Swapnil Garg"/>
    <x v="0"/>
    <s v=""/>
    <x v="0"/>
    <x v="0"/>
  </r>
  <r>
    <d v="2015-02-27T00:00:00"/>
    <d v="2015-02-27T00:00:00"/>
    <n v="2"/>
    <s v="2015-Feb"/>
    <n v="2"/>
    <s v="IT-LQA-UAT"/>
    <x v="5"/>
    <m/>
    <s v="Utility"/>
    <s v="Utility"/>
    <x v="0"/>
    <s v="NMUTLMIG5_BHN_1.0.0.0.3"/>
    <s v="CMTeam"/>
    <s v="surender Kumar"/>
    <s v="\\192.168.3.3\Share\Releases\Projects\BHN\Release_For_IT\TestBuild_1.0.0.1\Server CD\Utility\Setup"/>
    <m/>
    <s v="\\192.168.3.3\Share\Releases\Projects\BHN\Release_For_Test\Test_Build_1.0.5\Server CD\Utility\Setup"/>
    <s v="Pass"/>
    <s v="Readme Re-Released"/>
    <m/>
    <m/>
    <m/>
    <s v="Swapnil Garg"/>
    <x v="0"/>
    <s v=""/>
    <x v="0"/>
    <x v="0"/>
  </r>
  <r>
    <d v="2015-02-27T00:00:00"/>
    <d v="2015-02-27T00:00:00"/>
    <n v="2"/>
    <s v="2015-Feb"/>
    <n v="2"/>
    <s v="LQA"/>
    <x v="21"/>
    <m/>
    <s v="MPE"/>
    <s v="MPE"/>
    <x v="0"/>
    <s v="MPE_TLSTR-ST_3.2.6.1.1.15b1"/>
    <s v="CMTeam"/>
    <s v="Sandeep Aggarwal"/>
    <m/>
    <m/>
    <s v="\\192.168.3.3\Share\Releases\Projects\TLSTR-ST\Release_For_Test\Test_Build_1.0.1\Server CD\MPE\Setup"/>
    <m/>
    <m/>
    <m/>
    <m/>
    <m/>
    <m/>
    <x v="1"/>
    <s v=""/>
    <x v="0"/>
    <x v="0"/>
  </r>
  <r>
    <d v="2015-02-27T00:00:00"/>
    <d v="2015-02-27T00:00:00"/>
    <n v="2"/>
    <s v="2015-Feb"/>
    <n v="2"/>
    <s v="IT-LQA"/>
    <x v="21"/>
    <s v="phase1 (A+B)"/>
    <s v="DM"/>
    <s v="DBS"/>
    <x v="0"/>
    <s v="DMDBS_TLSTR-ST_2.1.1.8.1.28b1"/>
    <s v="CMTeam"/>
    <s v="Sanjeev Pathak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5-03-02T00:00:00"/>
    <d v="2015-03-02T00:00:00"/>
    <n v="3"/>
    <s v="2015-Mar"/>
    <n v="3"/>
    <s v="IT-LQA"/>
    <x v="6"/>
    <m/>
    <s v="NM"/>
    <s v="DBS"/>
    <x v="0"/>
    <s v="NMDBS_ANTEL_4.6.1.34.2.57b1"/>
    <s v="CMTeam"/>
    <s v="Rohit Kanwar"/>
    <s v="\\192.168.3.3\Share\Releases\Projects\ANTEL\Release_For_IT\TestBuild_1.0.0.4\Server CD\DBS\Setup"/>
    <s v="Obsolete-LQA"/>
    <s v="\\192.168.3.3\Share\Releases\Projects\ANTEL\Release_For_Test\Test_Build_1.0.0.7\Server CD\DBS\Setup"/>
    <m/>
    <m/>
    <m/>
    <m/>
    <m/>
    <m/>
    <x v="2"/>
    <d v="2015-03-02T00:00:00"/>
    <x v="62"/>
    <x v="4"/>
  </r>
  <r>
    <d v="2015-03-02T00:00:00"/>
    <d v="2015-03-02T00:00:00"/>
    <n v="3"/>
    <s v="2015-Mar"/>
    <n v="3"/>
    <s v="IT-LQA-UAT"/>
    <x v="6"/>
    <m/>
    <s v="NM"/>
    <s v="DBS"/>
    <x v="0"/>
    <s v="NMDBS_ANTEL_4.6.1.34.2.56b2"/>
    <s v="CMTeam"/>
    <s v="Rohit Kanwar"/>
    <s v="\\192.168.3.3\Share\Releases\Projects\ANTEL\Release_For_IT\TestBuild_1.0.0.4\Server CD\DBS\Setup"/>
    <m/>
    <s v="\\192.168.3.3\Share\Releases\Projects\ANTEL\Release_For_Test\Test_Build_1.0.0.7\Server CD\DBS\Setup"/>
    <s v="Pass"/>
    <m/>
    <m/>
    <m/>
    <m/>
    <s v="Pradeep Raghav"/>
    <x v="0"/>
    <s v=""/>
    <x v="0"/>
    <x v="0"/>
  </r>
  <r>
    <d v="2015-03-02T00:00:00"/>
    <d v="2015-03-02T00:00:00"/>
    <n v="3"/>
    <s v="2015-Mar"/>
    <n v="3"/>
    <s v="LQA-UAT"/>
    <x v="0"/>
    <m/>
    <s v="MPE"/>
    <s v="MPE"/>
    <x v="0"/>
    <s v="MPE_SLT-1B_3.0.1.1.1.113b1"/>
    <s v="CMTeam"/>
    <s v="Ajay Awasthi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5-03-03T00:00:00"/>
    <d v="2015-03-03T00:00:00"/>
    <n v="3"/>
    <s v="2015-Mar"/>
    <n v="3"/>
    <s v="IT-LQA"/>
    <x v="21"/>
    <s v="phase 3"/>
    <s v="DM"/>
    <s v="DBS"/>
    <x v="0"/>
    <s v="DMDBS_TLSTR-ST_2.1.1.8.1.29b1"/>
    <s v="CMTeam"/>
    <s v="Sanjeev Pathak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5-03-04T00:00:00"/>
    <d v="2015-03-04T00:00:00"/>
    <n v="3"/>
    <s v="2015-Mar"/>
    <n v="3"/>
    <s v="LQA-UAT"/>
    <x v="4"/>
    <m/>
    <s v="MPE"/>
    <s v="MPE"/>
    <x v="0"/>
    <s v="MPE_TLSTR-2b_3.0.0.3.1.110b1"/>
    <s v="CMTeam"/>
    <s v="Sandeep Aggarwal"/>
    <m/>
    <m/>
    <s v="\\192.168.3.3\Share\Releases\Projects\Telstra-2b\Release_For_Test\Test_Build_1.0.0.1\Server CD\MPE\Setup"/>
    <s v="Pass"/>
    <m/>
    <m/>
    <m/>
    <m/>
    <s v="Gaurav Shukla"/>
    <x v="0"/>
    <s v=""/>
    <x v="0"/>
    <x v="0"/>
  </r>
  <r>
    <d v="2015-03-04T00:00:00"/>
    <d v="2015-03-04T00:00:00"/>
    <n v="3"/>
    <s v="2015-Mar"/>
    <n v="3"/>
    <s v="LQA"/>
    <x v="1"/>
    <m/>
    <s v="RE"/>
    <s v="GUI"/>
    <x v="1"/>
    <s v="REGUI_2.0.1b1"/>
    <s v="CMTeam"/>
    <s v="Alok Bagwale"/>
    <m/>
    <m/>
    <s v="\\192.168.3.3\Share\Releases\Product\RE_2.0\Build&amp;Release\Release_For_LQA\Test_Build_1.0.1\Server CD\GUI\Setup"/>
    <m/>
    <m/>
    <m/>
    <m/>
    <m/>
    <m/>
    <x v="1"/>
    <s v=""/>
    <x v="0"/>
    <x v="0"/>
  </r>
  <r>
    <d v="2015-03-04T00:00:00"/>
    <d v="2015-03-04T00:00:00"/>
    <n v="3"/>
    <s v="2015-Mar"/>
    <n v="3"/>
    <s v="LQA"/>
    <x v="1"/>
    <m/>
    <s v="RE"/>
    <s v="DBS"/>
    <x v="1"/>
    <s v="REDBS_2.0.1b2"/>
    <s v="CMTeam"/>
    <s v="Anand Kumar Ojha"/>
    <m/>
    <m/>
    <s v="\\192.168.3.3\Share\Releases\Product\RE_2.0\Build&amp;Release\Release_For_LQA\Test_Build_1.0.1\Server CD\DBS\Setup"/>
    <m/>
    <m/>
    <m/>
    <m/>
    <m/>
    <m/>
    <x v="1"/>
    <s v=""/>
    <x v="0"/>
    <x v="0"/>
  </r>
  <r>
    <d v="2015-03-05T00:00:00"/>
    <d v="2015-03-05T00:00:00"/>
    <n v="3"/>
    <s v="2015-Mar"/>
    <n v="3"/>
    <s v="IT-LQA-UAT"/>
    <x v="0"/>
    <m/>
    <s v="DM"/>
    <s v="DBS"/>
    <x v="0"/>
    <s v="DMDBS_SLT_2.0.0.25.1.217b1"/>
    <s v="CMTeam"/>
    <s v="Shiv Mangal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Paritosh Ghildiyal"/>
    <x v="0"/>
    <s v=""/>
    <x v="0"/>
    <x v="0"/>
  </r>
  <r>
    <d v="2015-03-05T00:00:00"/>
    <d v="2015-03-05T00:00:00"/>
    <n v="3"/>
    <s v="2015-Mar"/>
    <n v="3"/>
    <s v="LQA"/>
    <x v="20"/>
    <m/>
    <s v="MPE"/>
    <s v="MPE"/>
    <x v="0"/>
    <s v="MPE_FNB_3.2.4.37.1.6b1"/>
    <s v="CMTeam"/>
    <s v="Harish Singh"/>
    <m/>
    <s v="Obsolete-LQA"/>
    <s v="\\192.168.3.3\Share\Releases\Projects\FNB\Release_For_Test\Test_Build_1.0.1\Server CD\MPE\Setup"/>
    <m/>
    <m/>
    <m/>
    <m/>
    <m/>
    <m/>
    <x v="2"/>
    <d v="2015-03-05T00:00:00"/>
    <x v="62"/>
    <x v="4"/>
  </r>
  <r>
    <d v="2015-03-05T00:00:00"/>
    <d v="2015-03-05T00:00:00"/>
    <n v="3"/>
    <s v="2015-Mar"/>
    <n v="3"/>
    <s v="LQA-UAT"/>
    <x v="23"/>
    <m/>
    <s v="MPE"/>
    <s v="MPE"/>
    <x v="0"/>
    <s v="MPE_MCC_3.2.5.0.1.2b1 "/>
    <s v="CMTeam"/>
    <s v="Ankit Jain"/>
    <m/>
    <m/>
    <s v="\\192.168.3.3\Share\Releases\Projects\MCC\Release_For_Test\Test_Build_1.0.1\Server CD\MPE\Setup"/>
    <s v="Pass"/>
    <m/>
    <m/>
    <m/>
    <m/>
    <s v="Rudra Narayan"/>
    <x v="0"/>
    <s v=""/>
    <x v="0"/>
    <x v="0"/>
  </r>
  <r>
    <d v="2015-03-05T00:00:00"/>
    <d v="2015-03-05T00:00:00"/>
    <n v="3"/>
    <s v="2015-Mar"/>
    <n v="3"/>
    <s v="IT-LQA"/>
    <x v="21"/>
    <s v="phase 3"/>
    <s v="DM"/>
    <s v="DBS"/>
    <x v="0"/>
    <s v="DMDBS_TLSTR-ST_2.1.1.8.1.31b1"/>
    <s v="CMTeam"/>
    <s v="Abhishek Sharma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5-03-05T00:00:00"/>
    <d v="2015-03-05T00:00:00"/>
    <n v="3"/>
    <s v="2015-Mar"/>
    <n v="3"/>
    <s v="IT-LQA"/>
    <x v="21"/>
    <s v="phase 3"/>
    <s v="DM"/>
    <s v="DBS"/>
    <x v="0"/>
    <s v="DMDBS_TLSTR-ST_2.1.1.8.1.33b1"/>
    <s v="CMTeam"/>
    <s v="Sanjeev Pathak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5-03-10T00:00:00"/>
    <d v="2015-03-10T00:00:00"/>
    <n v="3"/>
    <s v="2015-Mar"/>
    <n v="3"/>
    <s v="IT-LQA"/>
    <x v="21"/>
    <s v="phase1 (A+B)"/>
    <s v="DM"/>
    <s v="DBS"/>
    <x v="0"/>
    <s v="DMDBS_TLSTR-ST_2.1.1.8.1.30b1"/>
    <s v="CMTeam"/>
    <s v="Sanjeev Pathak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5-03-10T00:00:00"/>
    <d v="2015-03-10T00:00:00"/>
    <n v="3"/>
    <s v="2015-Mar"/>
    <n v="3"/>
    <s v="LQA-UAT"/>
    <x v="23"/>
    <m/>
    <s v="NM"/>
    <s v="DBS"/>
    <x v="1"/>
    <s v="NMDBS_MCC_4.7.1.4"/>
    <s v="CMTeam"/>
    <s v="Sumita Yadav"/>
    <m/>
    <m/>
    <s v="\\192.168.3.3\Share\Releases\Projects\MCC\Release_For_Test\Test_Build_1.0.1\Server CD\DBS\Setup"/>
    <s v="Pass"/>
    <m/>
    <m/>
    <m/>
    <m/>
    <s v="Rudra Narayan"/>
    <x v="0"/>
    <s v=""/>
    <x v="0"/>
    <x v="0"/>
  </r>
  <r>
    <d v="2015-03-11T00:00:00"/>
    <d v="2015-03-11T00:00:00"/>
    <n v="3"/>
    <s v="2015-Mar"/>
    <n v="3"/>
    <s v="LQA-UAT"/>
    <x v="8"/>
    <m/>
    <s v="MPE"/>
    <s v="MPE"/>
    <x v="0"/>
    <s v="MPE_TWC_3.2.1.5.2.25b1 "/>
    <s v="CMTeam"/>
    <s v="Ankit Jain"/>
    <m/>
    <m/>
    <s v="\\192.168.3.3\Share\Releases\Projects\TWC\Release_For_Test\Test_Build_1.0.0.4\Server CD\MPE\Setup"/>
    <s v="Pass"/>
    <m/>
    <m/>
    <m/>
    <m/>
    <s v="Mayank Sharma"/>
    <x v="0"/>
    <s v=""/>
    <x v="0"/>
    <x v="0"/>
  </r>
  <r>
    <d v="2015-03-11T00:00:00"/>
    <d v="2015-03-11T00:00:00"/>
    <n v="3"/>
    <s v="2015-Mar"/>
    <n v="3"/>
    <s v="IT-LQA-UAT"/>
    <x v="8"/>
    <m/>
    <s v="NM"/>
    <s v="DBS"/>
    <x v="0"/>
    <s v="MPE_TWC_3.2.1.5.2.25b1 "/>
    <s v="CMTeam"/>
    <s v="Sachin Srivastva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Mayank Sharma"/>
    <x v="0"/>
    <s v=""/>
    <x v="0"/>
    <x v="0"/>
  </r>
  <r>
    <d v="2015-03-11T00:00:00"/>
    <d v="2015-03-11T00:00:00"/>
    <n v="3"/>
    <s v="2015-Mar"/>
    <n v="3"/>
    <s v="LQA-UAT"/>
    <x v="20"/>
    <m/>
    <s v="MPE"/>
    <s v="MPE"/>
    <x v="0"/>
    <s v="MPE_FNB_3.2.4.37.1.6b2"/>
    <s v="CMTeam"/>
    <s v="Harish Singh"/>
    <m/>
    <m/>
    <s v="\\192.168.3.3\Share\Releases\Projects\FNB\Release_For_Test\Test_Build_1.0.1\Server CD\MPE\Setup"/>
    <s v="Pass"/>
    <m/>
    <m/>
    <m/>
    <m/>
    <s v="Manas Ranjan Barik"/>
    <x v="0"/>
    <s v=""/>
    <x v="0"/>
    <x v="0"/>
  </r>
  <r>
    <d v="2015-03-11T00:00:00"/>
    <d v="2015-03-11T00:00:00"/>
    <n v="3"/>
    <s v="2015-Mar"/>
    <n v="3"/>
    <s v="IT-LQA-UAT"/>
    <x v="3"/>
    <m/>
    <s v="NM"/>
    <s v="DBS"/>
    <x v="0"/>
    <s v="NMDBS_OBT_4.6.1.27.1.46b1"/>
    <s v="CMTeam"/>
    <s v="Anjani Kumar"/>
    <s v="\\192.168.3.3\Share\Releases\Projects\OBT\Release_For_IT\TestBuild_1.0.0.2\Server CD\DBS\Setup"/>
    <m/>
    <s v="\\192.168.3.3\Share\Releases\Projects\OBT\Release_For_LQA\TestBuild_1.0.0.7\Server CD\DBS\Setup"/>
    <s v="Pass"/>
    <m/>
    <m/>
    <m/>
    <m/>
    <s v="Mamta Bora"/>
    <x v="0"/>
    <s v=""/>
    <x v="0"/>
    <x v="0"/>
  </r>
  <r>
    <d v="2015-03-11T00:00:00"/>
    <d v="2015-03-11T00:00:00"/>
    <n v="3"/>
    <s v="2015-Mar"/>
    <n v="3"/>
    <s v="IT-LQA-UAT"/>
    <x v="8"/>
    <m/>
    <s v="NM"/>
    <s v="DBS"/>
    <x v="0"/>
    <s v="NMDBS_TWC_4.6.1.11.3.57b1 "/>
    <s v="CMTeam"/>
    <s v="Sachin Srivastva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Ajay Kumar Pandey"/>
    <x v="0"/>
    <s v=""/>
    <x v="0"/>
    <x v="0"/>
  </r>
  <r>
    <d v="2015-03-12T00:00:00"/>
    <d v="2015-03-12T00:00:00"/>
    <n v="3"/>
    <s v="2015-Mar"/>
    <n v="3"/>
    <s v="LQA"/>
    <x v="23"/>
    <m/>
    <s v="RT"/>
    <s v="GUI"/>
    <x v="0"/>
    <s v="RTGUI_MCC_4.0.25.1.2.1b1"/>
    <s v="CMTeam"/>
    <s v="Dheeraj Kant"/>
    <m/>
    <m/>
    <s v="\\192.168.3.3\Share\Releases\Projects\MCC\Release_For_Test\Test_Build_1.0.1\Server CD\GUI\Setup"/>
    <m/>
    <m/>
    <m/>
    <m/>
    <m/>
    <m/>
    <x v="1"/>
    <s v=""/>
    <x v="0"/>
    <x v="0"/>
  </r>
  <r>
    <d v="2015-03-12T00:00:00"/>
    <d v="2015-03-12T00:00:00"/>
    <n v="3"/>
    <s v="2015-Mar"/>
    <n v="3"/>
    <s v="IT-LQA"/>
    <x v="1"/>
    <s v="PROMOTED FOR SLT ONLY"/>
    <s v="DM"/>
    <s v="DBS"/>
    <x v="0"/>
    <s v="DMDBS_2.0.0.27b1 "/>
    <s v="CMTeam"/>
    <s v="Anand Kumar Ojha"/>
    <s v="\\192.168.3.3\Share\Releases\Product\DataMind_2.0\Build&amp;Release\Release for IT\TestBuild_2.0.0\Server CD\DBS\Setup"/>
    <m/>
    <s v="\\192.168.3.3\Share\Releases\Product\DataMind_2.0\Build&amp;Release\Release for LQA\TestBuild_2.0.0\Server CD\DBS\Setup"/>
    <s v="Pass"/>
    <s v="Readme Re-Released"/>
    <m/>
    <m/>
    <m/>
    <m/>
    <x v="0"/>
    <s v=""/>
    <x v="0"/>
    <x v="0"/>
  </r>
  <r>
    <d v="2015-03-12T00:00:00"/>
    <d v="2015-03-12T00:00:00"/>
    <n v="3"/>
    <s v="2015-Mar"/>
    <n v="3"/>
    <s v="LQA-UAT"/>
    <x v="20"/>
    <m/>
    <s v="MPE"/>
    <s v="MPE"/>
    <x v="0"/>
    <s v="MPE_FNB_3.2.4.37.1.7b1"/>
    <s v="CMTeam"/>
    <s v="Harish Singh"/>
    <m/>
    <m/>
    <s v="\\192.168.3.3\Share\Releases\Projects\FNB\Release_For_Test\Test_Build_1.0.1\Server CD\MPE\Setup"/>
    <s v="Pass"/>
    <m/>
    <m/>
    <m/>
    <m/>
    <s v="Manas Ranjan Barik"/>
    <x v="0"/>
    <s v=""/>
    <x v="0"/>
    <x v="0"/>
  </r>
  <r>
    <d v="2015-03-13T00:00:00"/>
    <d v="2015-03-13T00:00:00"/>
    <n v="3"/>
    <s v="2015-Mar"/>
    <n v="3"/>
    <s v="LQA-UAT"/>
    <x v="8"/>
    <m/>
    <s v="MPE"/>
    <s v="MPE"/>
    <x v="0"/>
    <s v="MPE_TWC_3.2.1.5.2.26b1"/>
    <s v="CMTeam"/>
    <s v="Ankit Jain"/>
    <m/>
    <m/>
    <s v="\\192.168.3.3\Share\Releases\Projects\TWC\Release_For_Test\Test_Build_1.0.0.4\Server CD\MPE\Setup"/>
    <s v="Pass"/>
    <m/>
    <m/>
    <m/>
    <m/>
    <s v="Mayank Sharma"/>
    <x v="0"/>
    <s v=""/>
    <x v="0"/>
    <x v="0"/>
  </r>
  <r>
    <d v="2015-03-16T00:00:00"/>
    <d v="2015-03-16T00:00:00"/>
    <n v="3"/>
    <s v="2015-Mar"/>
    <n v="3"/>
    <s v="IT-LQA-UAT"/>
    <x v="6"/>
    <m/>
    <s v="NM"/>
    <s v="DBS"/>
    <x v="0"/>
    <s v="NMDBS_ANTEL_4.6.1.34.2.57b2"/>
    <s v="CMTeam"/>
    <s v="Rohit Kanwar"/>
    <s v="\\192.168.3.3\Share\Releases\Projects\ANTEL\Release_For_IT\TestBuild_1.0.0.4\Server CD\DBS\Setup"/>
    <m/>
    <s v="\\192.168.3.3\Share\Releases\Projects\ANTEL\Release_For_Test\Test_Build_1.0.0.7\Server CD\DBS\Setup"/>
    <s v="Pass"/>
    <s v="Readme Re-Released"/>
    <m/>
    <m/>
    <m/>
    <s v="Pradeep Raghav"/>
    <x v="0"/>
    <s v=""/>
    <x v="0"/>
    <x v="0"/>
  </r>
  <r>
    <d v="2015-03-16T00:00:00"/>
    <d v="2015-03-16T00:00:00"/>
    <n v="3"/>
    <s v="2015-Mar"/>
    <n v="3"/>
    <s v="LQA"/>
    <x v="1"/>
    <m/>
    <s v="RT"/>
    <s v="GUI"/>
    <x v="0"/>
    <s v="RTGUI_4.0.36b1"/>
    <s v="CMTeam"/>
    <s v="Dheeraj Kant"/>
    <m/>
    <m/>
    <s v="\\192.168.3.3\Share\Releases\Product\RT_4.0\ReleaseForLQA\TestBuild_4.0.24\GUI\Build1\Setup"/>
    <m/>
    <m/>
    <m/>
    <m/>
    <m/>
    <m/>
    <x v="1"/>
    <s v=""/>
    <x v="0"/>
    <x v="0"/>
  </r>
  <r>
    <d v="2015-03-16T00:00:00"/>
    <d v="2015-03-16T00:00:00"/>
    <n v="3"/>
    <s v="2015-Mar"/>
    <n v="3"/>
    <s v="IT-LQA"/>
    <x v="8"/>
    <m/>
    <s v="NM"/>
    <s v="DBS"/>
    <x v="0"/>
    <s v="NMDBS_TWC_4.6.1.11.3.58b1"/>
    <s v="CMTeam"/>
    <s v="Sachin Srivastva"/>
    <s v="\\192.168.3.3\Share\Releases\Projects\TWC\Release_For_IT\Test_Build_1.0.0.3\Server CD\DBS\Setup"/>
    <m/>
    <s v="\\192.168.3.3\Share\Releases\Projects\TWC\Release_For_Test\Test_Build_1.0.0.4\Server CD\DBS\Setup"/>
    <m/>
    <m/>
    <m/>
    <m/>
    <m/>
    <m/>
    <x v="1"/>
    <s v=""/>
    <x v="0"/>
    <x v="0"/>
  </r>
  <r>
    <d v="2015-03-16T00:00:00"/>
    <d v="2015-03-16T00:00:00"/>
    <n v="3"/>
    <s v="2015-Mar"/>
    <n v="3"/>
    <s v="IT-LQA"/>
    <x v="21"/>
    <s v="phase1 (A+B)"/>
    <s v="DM"/>
    <s v="DBS"/>
    <x v="0"/>
    <s v="DMDBS_TLSTR-ST_2.1.1.8.1.32b1"/>
    <s v="CMTeam"/>
    <s v="Aditya Garg"/>
    <s v="\\192.168.3.3\Share\Releases\Projects\TLSTR-ST\Release_For_Test\Test_Build_1.0.1\Server CD\DBS\Setup"/>
    <m/>
    <s v="\\192.168.3.3\Share\Releases\Projects\TLSTR-ST\Release_For_IT\TestBuild_1.0.1\Server CD\DBS\Setup"/>
    <m/>
    <m/>
    <m/>
    <m/>
    <m/>
    <m/>
    <x v="1"/>
    <s v=""/>
    <x v="0"/>
    <x v="0"/>
  </r>
  <r>
    <d v="2015-03-16T00:00:00"/>
    <d v="2015-03-16T00:00:00"/>
    <n v="3"/>
    <s v="2015-Mar"/>
    <n v="3"/>
    <s v="LQA"/>
    <x v="1"/>
    <m/>
    <s v="MPE"/>
    <s v="DBS"/>
    <x v="1"/>
    <s v="MPEDBS_1.1.1b2"/>
    <s v="CMTeam"/>
    <s v="Puneet Gupta"/>
    <m/>
    <m/>
    <s v="\\192.168.3.3\Share\Releases\Product\MEDGUI_1.1\Build&amp;Release\Release_For_LQA\Test_Build_1.0.1\Server CD\DBS\Setup"/>
    <m/>
    <m/>
    <m/>
    <m/>
    <m/>
    <m/>
    <x v="1"/>
    <s v=""/>
    <x v="0"/>
    <x v="0"/>
  </r>
  <r>
    <d v="2015-03-16T00:00:00"/>
    <d v="2015-03-16T00:00:00"/>
    <n v="3"/>
    <s v="2015-Mar"/>
    <n v="3"/>
    <s v="LQA"/>
    <x v="1"/>
    <m/>
    <s v="MPE"/>
    <s v="GUI"/>
    <x v="1"/>
    <s v="MPEGUI_1.1.2b6"/>
    <s v="CMTeam"/>
    <s v="Ajay Sharma"/>
    <m/>
    <m/>
    <s v="\\192.168.3.3\Share\Releases\Product\MEDGUI_1.1\Build&amp;Release\Release_For_LQA\Test_Build_1.0.1\Server CD\GUI\Setup"/>
    <m/>
    <m/>
    <m/>
    <m/>
    <m/>
    <m/>
    <x v="1"/>
    <s v=""/>
    <x v="0"/>
    <x v="0"/>
  </r>
  <r>
    <d v="2015-03-16T00:00:00"/>
    <d v="2015-03-16T00:00:00"/>
    <n v="3"/>
    <s v="2015-Mar"/>
    <n v="3"/>
    <s v="LQA-UAT"/>
    <x v="20"/>
    <m/>
    <s v="NM"/>
    <s v="DBS"/>
    <x v="1"/>
    <s v="NMDBS_FNB_4.7.1.3"/>
    <s v="CMTeam"/>
    <s v="surender Kumar"/>
    <m/>
    <m/>
    <s v="\\192.168.3.3\Share\Releases\Projects\FNB\Release_For_Test\Test_Build_1.0.1\Server CD\DBS\Setup"/>
    <s v="Pass"/>
    <s v="Readme Re-Released"/>
    <m/>
    <m/>
    <m/>
    <s v="Pradeep Raghav"/>
    <x v="0"/>
    <s v=""/>
    <x v="0"/>
    <x v="0"/>
  </r>
  <r>
    <d v="2015-03-17T00:00:00"/>
    <d v="2015-03-17T00:00:00"/>
    <n v="3"/>
    <s v="2015-Mar"/>
    <n v="3"/>
    <s v="LQA"/>
    <x v="1"/>
    <m/>
    <s v="MPE"/>
    <s v="MPE"/>
    <x v="1"/>
    <s v="MPE_3.2.7b2"/>
    <s v="CMTeam"/>
    <s v="Harish Singh"/>
    <m/>
    <s v="Obsolete-LQA"/>
    <s v="\\192.168.3.3\Share\Releases\Product\MEDGUI_1.1\Build&amp;Release\Release_For_LQA\Test_Build_1.0.1\Server CD\MPE\Setup\RHEL_6.3"/>
    <m/>
    <m/>
    <m/>
    <m/>
    <m/>
    <m/>
    <x v="2"/>
    <d v="2015-03-17T00:00:00"/>
    <x v="63"/>
    <x v="4"/>
  </r>
  <r>
    <d v="2015-03-17T00:00:00"/>
    <d v="2015-03-17T00:00:00"/>
    <n v="3"/>
    <s v="2015-Mar"/>
    <n v="3"/>
    <s v="LQA-UAT"/>
    <x v="5"/>
    <m/>
    <s v="NM"/>
    <s v="DBS"/>
    <x v="1"/>
    <s v="NMDBS_BHN_4.7.1.14"/>
    <s v="CMTeam"/>
    <s v="surender Kumar"/>
    <m/>
    <m/>
    <s v="\\192.168.3.3\Share\Releases\Projects\BHN\Release_For_Test\Test_Build_1.0.5\Server CD\DBS\Setup"/>
    <s v="Pass"/>
    <m/>
    <m/>
    <m/>
    <m/>
    <s v="Swapnil Garg"/>
    <x v="0"/>
    <s v=""/>
    <x v="0"/>
    <x v="0"/>
  </r>
  <r>
    <d v="2015-03-17T00:00:00"/>
    <d v="2015-03-17T00:00:00"/>
    <n v="3"/>
    <s v="2015-Mar"/>
    <n v="3"/>
    <s v="LQA-UAT"/>
    <x v="0"/>
    <m/>
    <s v="MPE"/>
    <s v="MPE"/>
    <x v="0"/>
    <s v="MPE_SLT-1B_3.0.1.1.1.114b1"/>
    <s v="CMTeam"/>
    <s v="Anshul Kumar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5-03-17T00:00:00"/>
    <d v="2015-03-17T00:00:00"/>
    <n v="3"/>
    <s v="2015-Mar"/>
    <n v="3"/>
    <s v="LQA-UAT"/>
    <x v="16"/>
    <m/>
    <s v="NM"/>
    <s v="MPE"/>
    <x v="0"/>
    <s v="NMMPE_TLN_2.0.3.51.1"/>
    <s v="CMTeam"/>
    <s v="Harish Singh"/>
    <m/>
    <m/>
    <s v="\\192.168.3.3\Share\Releases\Projects\Telenet\Build&amp;Release\Release For Test\Test_Build_4.0.41\Server CD\MPE\Setup"/>
    <s v="Pass"/>
    <m/>
    <m/>
    <m/>
    <m/>
    <s v="Pradeep Raghav"/>
    <x v="0"/>
    <s v=""/>
    <x v="0"/>
    <x v="0"/>
  </r>
  <r>
    <d v="2015-03-17T00:00:00"/>
    <d v="2015-03-17T00:00:00"/>
    <n v="3"/>
    <s v="2015-Mar"/>
    <n v="3"/>
    <s v="LQA"/>
    <x v="1"/>
    <m/>
    <s v="RE"/>
    <s v="DBS"/>
    <x v="1"/>
    <s v="REDBS_2.0.1b3"/>
    <s v="CMTeam"/>
    <s v="Deepender Singh"/>
    <m/>
    <s v="Obsolete-LQA"/>
    <s v="\\192.168.3.3\Share\Releases\Product\RE_2.0\Build&amp;Release\Release_For_LQA\Test_Build_1.0.1\Server CD\DBS\Setup"/>
    <m/>
    <m/>
    <m/>
    <m/>
    <m/>
    <m/>
    <x v="2"/>
    <d v="2015-03-17T00:00:00"/>
    <x v="63"/>
    <x v="4"/>
  </r>
  <r>
    <d v="2015-03-17T00:00:00"/>
    <d v="2015-03-17T00:00:00"/>
    <n v="3"/>
    <s v="2015-Mar"/>
    <n v="3"/>
    <s v="LQA-UAT"/>
    <x v="0"/>
    <m/>
    <s v="MPE"/>
    <s v="MPE"/>
    <x v="0"/>
    <s v="MPE_SLT-1B_3.0.1.1.1.115b1"/>
    <s v="CMTeam"/>
    <s v="Anshul Kumar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5-03-18T00:00:00"/>
    <d v="2015-03-18T00:00:00"/>
    <n v="3"/>
    <s v="2015-Mar"/>
    <n v="3"/>
    <s v="IT-LQA-UAT"/>
    <x v="0"/>
    <m/>
    <s v="DM"/>
    <s v="DBS"/>
    <x v="0"/>
    <s v="DMDBS_SLT_2.0.0.25.1.218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Paritosh Ghildiyal"/>
    <x v="0"/>
    <s v=""/>
    <x v="0"/>
    <x v="0"/>
  </r>
  <r>
    <d v="2015-03-18T00:00:00"/>
    <d v="2015-03-18T00:00:00"/>
    <n v="3"/>
    <s v="2015-Mar"/>
    <n v="3"/>
    <s v="LQA-UAT"/>
    <x v="8"/>
    <m/>
    <s v="MPE"/>
    <s v="MPE"/>
    <x v="0"/>
    <s v="MPE_TWC_3.2.1.5.2.27b1"/>
    <s v="CMTeam"/>
    <s v="Ankit Jain"/>
    <m/>
    <m/>
    <s v="\\192.168.3.3\Share\Releases\Projects\TWC\Release_For_Test\Test_Build_1.0.0.4\Server CD\MPE\Setup"/>
    <s v="Pass"/>
    <m/>
    <m/>
    <m/>
    <m/>
    <s v="Mayank Sharma"/>
    <x v="0"/>
    <s v=""/>
    <x v="0"/>
    <x v="0"/>
  </r>
  <r>
    <d v="2015-03-18T00:00:00"/>
    <d v="2015-03-18T00:00:00"/>
    <n v="3"/>
    <s v="2015-Mar"/>
    <n v="3"/>
    <s v="IT-LQA-UAT"/>
    <x v="8"/>
    <m/>
    <s v="NM"/>
    <s v="DBS"/>
    <x v="0"/>
    <s v="NMDBS_TWC_4.6.1.11.3.58b2"/>
    <s v="CMTeam"/>
    <s v="Sachin Srivastva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Mayank Sharma"/>
    <x v="0"/>
    <s v=""/>
    <x v="0"/>
    <x v="0"/>
  </r>
  <r>
    <d v="2015-03-19T00:00:00"/>
    <d v="2015-03-19T00:00:00"/>
    <n v="3"/>
    <s v="2015-Mar"/>
    <n v="3"/>
    <s v="LQA-UAT"/>
    <x v="20"/>
    <m/>
    <s v="MPE"/>
    <s v="MPE"/>
    <x v="0"/>
    <s v="MPE_FNB_3.2.4.37.1.8b1"/>
    <s v="CMTeam"/>
    <s v="Harish Singh"/>
    <m/>
    <m/>
    <s v="\\192.168.3.3\Share\Releases\Projects\FNB\Release_For_Test\Test_Build_1.0.1\Server CD\MPE\Setup"/>
    <s v="Pass"/>
    <m/>
    <m/>
    <m/>
    <m/>
    <s v="Manas Ranjan Barik"/>
    <x v="0"/>
    <s v=""/>
    <x v="0"/>
    <x v="0"/>
  </r>
  <r>
    <d v="2015-03-19T00:00:00"/>
    <d v="2015-03-19T00:00:00"/>
    <n v="3"/>
    <s v="2015-Mar"/>
    <n v="3"/>
    <s v="LQA"/>
    <x v="21"/>
    <m/>
    <s v="MPE"/>
    <s v="MPE"/>
    <x v="0"/>
    <s v="MPE_TLSTR-ST_3.2.6.1.1.16b1"/>
    <s v="CMTeam"/>
    <s v="Sandeep Aggarwal"/>
    <m/>
    <m/>
    <s v="\\192.168.3.3\Share\Releases\Projects\TLSTR-ST\Release_For_Test\Test_Build_1.0.1\Server CD\MPE\Setup"/>
    <m/>
    <m/>
    <m/>
    <m/>
    <m/>
    <m/>
    <x v="1"/>
    <s v=""/>
    <x v="0"/>
    <x v="0"/>
  </r>
  <r>
    <d v="2015-03-19T00:00:00"/>
    <d v="2015-03-19T00:00:00"/>
    <n v="3"/>
    <s v="2015-Mar"/>
    <n v="3"/>
    <s v="IT-LQA-UAT"/>
    <x v="0"/>
    <m/>
    <s v="RA"/>
    <s v="DBS"/>
    <x v="0"/>
    <s v="RADBS_SLT_2.1.1.15.1.102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Rohit Arora"/>
    <x v="0"/>
    <s v=""/>
    <x v="0"/>
    <x v="0"/>
  </r>
  <r>
    <d v="2015-03-20T00:00:00"/>
    <d v="2015-03-20T00:00:00"/>
    <n v="3"/>
    <s v="2015-Mar"/>
    <n v="3"/>
    <s v="LQA"/>
    <x v="1"/>
    <m/>
    <s v="MPE"/>
    <s v="MPE"/>
    <x v="0"/>
    <s v="MPE_3.2.4.38b1"/>
    <s v="CMTeam"/>
    <s v="Harish Singh"/>
    <m/>
    <m/>
    <s v="\\192.168.3.3\Share\Releases\Product\MPE_GUI\ReleaseForLQA\TestBuild_1.0.0.2\Server CD\MPE\Setup"/>
    <m/>
    <m/>
    <m/>
    <m/>
    <m/>
    <m/>
    <x v="1"/>
    <s v=""/>
    <x v="0"/>
    <x v="0"/>
  </r>
  <r>
    <d v="2015-03-23T00:00:00"/>
    <d v="2015-03-23T00:00:00"/>
    <n v="3"/>
    <s v="2015-Mar"/>
    <n v="3"/>
    <s v="IT-LQA"/>
    <x v="1"/>
    <m/>
    <s v="NP"/>
    <s v="DBS"/>
    <x v="0"/>
    <s v="NPDBS_1.2.3.18b1"/>
    <s v="CMTeam"/>
    <s v="Nitin Kumar"/>
    <s v="\\192.168.3.3\share\Releases\Product\NetMindPOS_1.1\Build&amp;Release\Release for IT\TestBuild_1.2.3\Server CD\DBS\Setup"/>
    <m/>
    <s v="\\192.168.3.3\share\Releases\Product\NetMindPOS_1.1\Build&amp;Release\Release for LQA\TestBuild_1.2.3\Server CD\DBS\Setup"/>
    <m/>
    <m/>
    <m/>
    <m/>
    <m/>
    <m/>
    <x v="1"/>
    <s v=""/>
    <x v="0"/>
    <x v="0"/>
  </r>
  <r>
    <d v="2015-03-23T00:00:00"/>
    <d v="2015-03-23T00:00:00"/>
    <n v="3"/>
    <s v="2015-Mar"/>
    <n v="3"/>
    <s v="LQA-FAT"/>
    <x v="0"/>
    <m/>
    <s v="MPE"/>
    <s v="MPE"/>
    <x v="0"/>
    <s v="MPE_SLT-1B_3.0.1.1.1.116b1"/>
    <s v="CMTeam"/>
    <s v="Anshul Kumar"/>
    <m/>
    <m/>
    <s v="\\192.168.3.3\Share\Releases\Projects\SLT-1B\Release_For_Test\Test_Build_1.0.0.1\Server CD\MPE\Setup"/>
    <s v="Pass"/>
    <s v="Readme Re-Released"/>
    <m/>
    <m/>
    <m/>
    <s v="Rohit Arora"/>
    <x v="0"/>
    <s v=""/>
    <x v="0"/>
    <x v="0"/>
  </r>
  <r>
    <d v="2015-03-24T00:00:00"/>
    <d v="2015-03-24T00:00:00"/>
    <n v="3"/>
    <s v="2015-Mar"/>
    <n v="3"/>
    <s v="IT-LQA-UAT"/>
    <x v="7"/>
    <m/>
    <s v="NM"/>
    <s v="CS"/>
    <x v="0"/>
    <s v="NMCS_VON_4.0.9"/>
    <s v="CMTeam"/>
    <s v="Lokeshna Virdi"/>
    <s v="\\192.168.3.3\Share\Releases\Projects\Vonage\Release_For_IT\Test_Build_4.0.17\Client CD\GUI\CS\Setup"/>
    <m/>
    <s v="\\192.168.3.3\Share\Releases\Projects\Vonage\Release_For_LQA\Test_Build_4.0.17\Client CD\GUI\CS\Setup"/>
    <s v="Pass"/>
    <m/>
    <m/>
    <m/>
    <m/>
    <s v="Rajan Sharma"/>
    <x v="0"/>
    <s v=""/>
    <x v="0"/>
    <x v="0"/>
  </r>
  <r>
    <d v="2015-03-24T00:00:00"/>
    <d v="2015-03-24T00:00:00"/>
    <n v="3"/>
    <s v="2015-Mar"/>
    <n v="3"/>
    <s v="IT-LQA-UAT"/>
    <x v="7"/>
    <m/>
    <s v="NM"/>
    <s v="HM"/>
    <x v="0"/>
    <s v="NMHM_VON_4.0.5"/>
    <s v="CMTeam"/>
    <s v="Lokeshna Virdi"/>
    <s v="\\192.168.3.3\Share\Releases\Projects\Vonage\Release_For_IT\Test_Build_4.0.17\Client CD\GUI\CS\Setup"/>
    <m/>
    <s v="\\192.168.3.3\Share\Releases\Projects\Vonage\Release_For_LQA\Test_Build_4.0.17\Client CD\GUI\HM\Setup"/>
    <s v="Pass"/>
    <m/>
    <m/>
    <m/>
    <m/>
    <s v="Rajan Sharma"/>
    <x v="0"/>
    <s v=""/>
    <x v="0"/>
    <x v="0"/>
  </r>
  <r>
    <d v="2015-03-24T00:00:00"/>
    <d v="2015-03-24T00:00:00"/>
    <n v="3"/>
    <s v="2015-Mar"/>
    <n v="3"/>
    <s v="IT-LQA-UAT"/>
    <x v="7"/>
    <m/>
    <s v="NM"/>
    <s v="PM"/>
    <x v="0"/>
    <s v="NMPM_VON_4.0.7"/>
    <s v="CMTeam"/>
    <s v="Lokeshna Virdi"/>
    <s v="\\192.168.3.3\Share\Releases\Projects\Vonage\Release_For_IT\Test_Build_4.0.17\Client CD\GUI\CS\Setup"/>
    <m/>
    <s v="\\192.168.3.3\Share\Releases\Projects\Vonage\Release_For_LQA\Test_Build_4.0.17\Client CD\GUI\PM\Setup"/>
    <s v="Pass"/>
    <m/>
    <m/>
    <m/>
    <m/>
    <s v="Rajan Sharma"/>
    <x v="0"/>
    <s v=""/>
    <x v="0"/>
    <x v="0"/>
  </r>
  <r>
    <d v="2015-03-24T00:00:00"/>
    <d v="2015-03-24T00:00:00"/>
    <n v="3"/>
    <s v="2015-Mar"/>
    <n v="3"/>
    <s v="IT-LQA"/>
    <x v="7"/>
    <m/>
    <s v="NM"/>
    <s v="WFS"/>
    <x v="0"/>
    <s v="NMWFS_VON_4.0.12"/>
    <s v="CMTeam"/>
    <s v="Lokeshna Virdi"/>
    <s v="\\192.168.3.3\Share\Releases\Projects\Vonage\Release_For_IT\Test_Build_4.0.17\Client CD\GUI\CS\Setup"/>
    <m/>
    <s v="\\192.168.3.3\Share\Releases\Projects\Vonage\Release_For_LQA\Test_Build_4.0.17\Client CD\GUI\WFS\Setup"/>
    <m/>
    <m/>
    <m/>
    <m/>
    <m/>
    <m/>
    <x v="1"/>
    <s v=""/>
    <x v="0"/>
    <x v="0"/>
  </r>
  <r>
    <d v="2015-03-24T00:00:00"/>
    <d v="2015-03-24T00:00:00"/>
    <n v="3"/>
    <s v="2015-Mar"/>
    <n v="3"/>
    <s v="IT-LQA"/>
    <x v="21"/>
    <s v="phase 3"/>
    <s v="DM"/>
    <s v="DBS"/>
    <x v="0"/>
    <s v="DMDBS_TLSTR-ST_2.1.1.8.1.35b1"/>
    <s v="CMTeam"/>
    <s v="Sanjeev Pathak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5-03-24T00:00:00"/>
    <d v="2015-03-24T00:00:00"/>
    <n v="3"/>
    <s v="2015-Mar"/>
    <n v="3"/>
    <s v="IT-LQA"/>
    <x v="8"/>
    <m/>
    <s v="NM"/>
    <s v="DBS"/>
    <x v="0"/>
    <s v="NMDBS_TWC_4.6.1.11.3.59b1"/>
    <s v="CMTeam"/>
    <s v="Sachin Srivastva"/>
    <s v="\\192.168.3.3\Share\Releases\Projects\TWC\Release_For_Test\Test_Build_1.0.0.4\Server CD\DBS\Setup"/>
    <m/>
    <s v="\\192.168.3.3\Share\Releases\Projects\TWC\Release_For_IT\Test_Build_1.0.0.3\Server CD\DBS\Setup"/>
    <m/>
    <m/>
    <m/>
    <m/>
    <m/>
    <m/>
    <x v="1"/>
    <s v=""/>
    <x v="0"/>
    <x v="0"/>
  </r>
  <r>
    <d v="2015-03-24T00:00:00"/>
    <d v="2015-03-24T00:00:00"/>
    <n v="3"/>
    <s v="2015-Mar"/>
    <n v="3"/>
    <s v="LQA-UAT"/>
    <x v="15"/>
    <m/>
    <s v="MPE"/>
    <s v="MPE"/>
    <x v="0"/>
    <s v="MPE_CBD_3.2.1.3.2.14b1"/>
    <s v="CMTeam"/>
    <s v="Ankit Jain"/>
    <m/>
    <m/>
    <s v="\\192.168.3.3\share\Releases\Projects\CBD\Release_For_Test\Test_Build_1.0.0.4\Server CD\MPE\RHEL_6.3\Setup"/>
    <s v="Pass"/>
    <m/>
    <m/>
    <m/>
    <m/>
    <s v="Jitender Aggarwal"/>
    <x v="0"/>
    <s v=""/>
    <x v="0"/>
    <x v="0"/>
  </r>
  <r>
    <d v="2015-03-24T00:00:00"/>
    <d v="2015-03-24T00:00:00"/>
    <n v="3"/>
    <s v="2015-Mar"/>
    <n v="3"/>
    <s v="IT-LQA"/>
    <x v="21"/>
    <s v="phase1 (A+B)"/>
    <s v="DM"/>
    <s v="DBS"/>
    <x v="0"/>
    <s v="DMDBS_TLSTR-ST_2.1.1.8.1.34b1"/>
    <s v="CMTeam"/>
    <s v="Aditya Garg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5-03-24T00:00:00"/>
    <d v="2015-03-24T00:00:00"/>
    <n v="3"/>
    <s v="2015-Mar"/>
    <n v="3"/>
    <s v="IT-LQA"/>
    <x v="0"/>
    <m/>
    <s v="RA"/>
    <s v="DBS"/>
    <x v="0"/>
    <s v="RADBS_SLT_2.1.1.15.1.103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m/>
    <m/>
    <m/>
    <m/>
    <m/>
    <m/>
    <x v="1"/>
    <s v=""/>
    <x v="0"/>
    <x v="0"/>
  </r>
  <r>
    <d v="2015-03-25T00:00:00"/>
    <d v="2015-03-25T00:00:00"/>
    <n v="3"/>
    <s v="2015-Mar"/>
    <n v="3"/>
    <s v="LQA"/>
    <x v="0"/>
    <m/>
    <s v="MPE"/>
    <s v="MPE"/>
    <x v="0"/>
    <s v="MPE_SLT-1B_3.0.1.1.1.117b1"/>
    <s v="CMTeam"/>
    <s v="Anshul Kumar"/>
    <m/>
    <m/>
    <s v="\\192.168.3.3\Share\Releases\Projects\SLT-1B\Release_For_Test\Test_Build_1.0.0.1\Server CD\MPE\Setup"/>
    <m/>
    <m/>
    <m/>
    <m/>
    <m/>
    <m/>
    <x v="1"/>
    <s v=""/>
    <x v="0"/>
    <x v="0"/>
  </r>
  <r>
    <d v="2015-03-25T00:00:00"/>
    <d v="2015-03-25T00:00:00"/>
    <n v="3"/>
    <s v="2015-Mar"/>
    <n v="3"/>
    <s v="LQA-UAT"/>
    <x v="20"/>
    <m/>
    <s v="MPE"/>
    <s v="MPE"/>
    <x v="0"/>
    <s v="MPE_FNB_3.2.4.38.1.9b1"/>
    <s v="CMTeam"/>
    <s v="Harish Singh"/>
    <m/>
    <m/>
    <s v="\\192.168.3.3\Share\Releases\Projects\FNB\Release_For_Test\Test_Build_1.0.1\Server CD\MPE\Setup"/>
    <s v="Pass"/>
    <s v="Readme Re-Released"/>
    <m/>
    <m/>
    <m/>
    <s v="Manas Ranjan Barik"/>
    <x v="0"/>
    <s v=""/>
    <x v="0"/>
    <x v="0"/>
  </r>
  <r>
    <d v="2015-03-26T00:00:00"/>
    <d v="2015-03-26T00:00:00"/>
    <n v="3"/>
    <s v="2015-Mar"/>
    <n v="3"/>
    <s v="IT-LQA"/>
    <x v="20"/>
    <m/>
    <s v="DM"/>
    <s v="DBS"/>
    <x v="0"/>
    <s v="DMDBS_FNB_2.1.1.11.1.4b1"/>
    <s v="CMTeam"/>
    <s v="surender Kumar"/>
    <s v="\\192.168.3.3\Share\Releases\Projects\FNB\Release_For_IT\TestBuild_1.0.1\Server CD\DBS\Setup"/>
    <m/>
    <s v="\\192.168.3.3\Share\Releases\Projects\FNB\Release_For_Test\Test_Build_1.0.1\Server CD\DBS\Setup"/>
    <s v="Pass"/>
    <m/>
    <m/>
    <m/>
    <m/>
    <m/>
    <x v="0"/>
    <s v=""/>
    <x v="0"/>
    <x v="0"/>
  </r>
  <r>
    <d v="2015-03-26T00:00:00"/>
    <d v="2015-03-26T00:00:00"/>
    <n v="3"/>
    <s v="2015-Mar"/>
    <n v="3"/>
    <s v="IT-LQA-UAT"/>
    <x v="0"/>
    <m/>
    <s v="DM"/>
    <s v="DBS"/>
    <x v="0"/>
    <s v="DMDBS_SLT_2.0.0.25.1.219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Paritosh Ghildiyal"/>
    <x v="0"/>
    <s v=""/>
    <x v="0"/>
    <x v="0"/>
  </r>
  <r>
    <d v="2015-03-27T00:00:00"/>
    <d v="2015-03-27T00:00:00"/>
    <n v="3"/>
    <s v="2015-Mar"/>
    <n v="3"/>
    <s v="LQA"/>
    <x v="20"/>
    <m/>
    <s v="RA"/>
    <s v="DBS"/>
    <x v="0"/>
    <s v="RADBS_FNB_2.2.1.4"/>
    <s v="CMTeam"/>
    <s v="surender Kumar"/>
    <m/>
    <m/>
    <s v="\\192.168.3.3\Share\Releases\Projects\FNB\Release_For_Test\Test_Build_1.0.1\Server CD\DBS\Setup"/>
    <m/>
    <m/>
    <m/>
    <m/>
    <m/>
    <m/>
    <x v="1"/>
    <s v=""/>
    <x v="0"/>
    <x v="0"/>
  </r>
  <r>
    <d v="2015-03-27T00:00:00"/>
    <d v="2015-03-27T00:00:00"/>
    <n v="3"/>
    <s v="2015-Mar"/>
    <n v="3"/>
    <s v="IT-LQA"/>
    <x v="1"/>
    <m/>
    <s v="NM"/>
    <s v="DBS"/>
    <x v="0"/>
    <s v="NMDBS_4.6.1.35b1"/>
    <s v="CMTeam"/>
    <s v="Deepak Yadav"/>
    <s v="\\192.168.3.3\Share\Releases\Product\Netmind_4.6\Build&amp;Release\ReleaseForIT\TestBuild_4.6.1\Build4\ServerCD\DBS\Setup"/>
    <s v="Obsolete-LQA"/>
    <s v="\\192.168.3.3\Share\Releases\Product\Netmind_4.6\Build&amp;Release\ReleaseForTest\TestBuild_4.6.1\Build4\ServerCD\DBS\Setup"/>
    <m/>
    <m/>
    <m/>
    <m/>
    <m/>
    <m/>
    <x v="2"/>
    <d v="2015-03-27T00:00:00"/>
    <x v="64"/>
    <x v="4"/>
  </r>
  <r>
    <d v="2015-03-27T00:00:00"/>
    <d v="2015-03-27T00:00:00"/>
    <n v="3"/>
    <s v="2015-Mar"/>
    <n v="3"/>
    <s v="LQA-UAT"/>
    <x v="0"/>
    <m/>
    <s v="MPE"/>
    <s v="MPE"/>
    <x v="0"/>
    <s v="MPE_SLT-1B_3.0.1.1.1.119b1"/>
    <s v="CMTeam"/>
    <s v="Anshul Kumar"/>
    <m/>
    <m/>
    <s v="\\192.168.3.3\Share\Releases\Projects\SLT-1B\Release_For_Test\Test_Build_1.0.0.1\Server CD\MPE\Setup"/>
    <s v="Pass"/>
    <m/>
    <m/>
    <m/>
    <m/>
    <s v="K.V. Krishnan"/>
    <x v="0"/>
    <s v=""/>
    <x v="0"/>
    <x v="0"/>
  </r>
  <r>
    <d v="2015-03-27T00:00:00"/>
    <d v="2015-03-27T00:00:00"/>
    <n v="3"/>
    <s v="2015-Mar"/>
    <n v="3"/>
    <s v="LQA-FAT"/>
    <x v="0"/>
    <m/>
    <s v="MPE"/>
    <s v="MPE"/>
    <x v="0"/>
    <s v="MPE_SLT-1B_3.0.1.1.1.118b1"/>
    <s v="CMTeam"/>
    <s v="Anshul Kumar"/>
    <m/>
    <m/>
    <s v="\\192.168.3.3\Share\Releases\Projects\SLT-1B\Release_For_Test\Test_Build_1.0.0.1\Server CD\MPE\Setup"/>
    <s v="Pass"/>
    <m/>
    <m/>
    <m/>
    <m/>
    <s v="Rohit Arora"/>
    <x v="0"/>
    <s v=""/>
    <x v="0"/>
    <x v="0"/>
  </r>
  <r>
    <d v="2015-03-30T00:00:00"/>
    <d v="2015-03-30T00:00:00"/>
    <n v="3"/>
    <s v="2015-Mar"/>
    <n v="3"/>
    <s v="IT-LQA"/>
    <x v="10"/>
    <m/>
    <s v="NP"/>
    <s v="DBS"/>
    <x v="0"/>
    <s v="NPDBS_COM_1.2.3.17.1.26b1"/>
    <s v="CMTeam"/>
    <s v="Anjani Kumar"/>
    <s v="\\192.168.3.3\Share\Releases\Projects\Comcast\Release_For_IT\Test_Build_4.6.1\Server CD\Database\Setup"/>
    <s v="Obsolete-LQA"/>
    <s v="\\192.168.3.3\Share\Releases\Projects\Comcast\Release_for_Test\Test_Build_4.6.6\Server CD\Database\Setup"/>
    <m/>
    <m/>
    <m/>
    <m/>
    <m/>
    <m/>
    <x v="2"/>
    <d v="2015-03-30T00:00:00"/>
    <x v="65"/>
    <x v="4"/>
  </r>
  <r>
    <d v="2015-03-30T00:00:00"/>
    <d v="2015-03-30T00:00:00"/>
    <n v="3"/>
    <s v="2015-Mar"/>
    <n v="3"/>
    <s v="IT-LQA"/>
    <x v="10"/>
    <m/>
    <s v="NM"/>
    <s v="DBS"/>
    <x v="0"/>
    <s v="NMDBS_COM_4.6.1.34.1.91b1"/>
    <s v="CMTeam"/>
    <s v="Anjani Kumar"/>
    <s v="\\192.168.3.3\Share\Releases\Projects\Comcast\Release_For_IT\Test_Build_4.6.1\Server CD\Database\Setup"/>
    <s v="Obsolete-LQA"/>
    <s v="\\192.168.3.3\Share\Releases\Projects\Comcast\Release_for_Test\Test_Build_4.6.6\Server CD\Database\Setup"/>
    <m/>
    <m/>
    <m/>
    <m/>
    <m/>
    <m/>
    <x v="2"/>
    <d v="2015-03-30T00:00:00"/>
    <x v="65"/>
    <x v="4"/>
  </r>
  <r>
    <d v="2015-03-30T00:00:00"/>
    <d v="2015-03-30T00:00:00"/>
    <n v="3"/>
    <s v="2015-Mar"/>
    <n v="3"/>
    <s v="LQA-UAT"/>
    <x v="15"/>
    <m/>
    <s v="MPE"/>
    <s v="MPE"/>
    <x v="0"/>
    <s v="MPE_CBD_3.2.1.3.2.15b1"/>
    <s v="CMTeam"/>
    <s v="Ankit Jain"/>
    <m/>
    <m/>
    <s v="\\192.168.3.3\share\Releases\Projects\CBD\Release_For_Test\Test_Build_1.0.0.4\Server CD\MPE\RHEL_6.3\Setup"/>
    <s v="Pass"/>
    <m/>
    <m/>
    <m/>
    <m/>
    <s v="Jitender Aggarwal"/>
    <x v="0"/>
    <s v=""/>
    <x v="0"/>
    <x v="0"/>
  </r>
  <r>
    <d v="2015-03-30T00:00:00"/>
    <d v="2015-03-30T00:00:00"/>
    <n v="3"/>
    <s v="2015-Mar"/>
    <n v="3"/>
    <s v="LQA-UAT"/>
    <x v="20"/>
    <m/>
    <s v="NM"/>
    <s v="DBS"/>
    <x v="1"/>
    <s v="NMDBS_FNB_4.7.1.4"/>
    <s v="CMTeam"/>
    <s v="Sachin Srivastva"/>
    <m/>
    <m/>
    <s v="\\192.168.3.3\Share\Releases\Projects\FNB\Release_For_Test\Test_Build_1.0.1\Server CD\DBS\Setup"/>
    <s v="Pass"/>
    <m/>
    <m/>
    <m/>
    <m/>
    <s v="Pradeep Raghav"/>
    <x v="0"/>
    <s v=""/>
    <x v="0"/>
    <x v="0"/>
  </r>
  <r>
    <d v="2015-03-31T00:00:00"/>
    <d v="2015-03-31T00:00:00"/>
    <n v="3"/>
    <s v="2015-Mar"/>
    <n v="3"/>
    <s v="LQA"/>
    <x v="20"/>
    <m/>
    <s v="RA"/>
    <s v="DBS"/>
    <x v="1"/>
    <s v="RADBS_FNB_3.0.1.1"/>
    <s v="CMTeam"/>
    <s v="surender Kumar"/>
    <m/>
    <m/>
    <s v="\\192.168.3.3\Share\Releases\Projects\FNB\Release_For_Test\Test_Build_1.0.2\Server CD\DBS\Setup"/>
    <s v="Pass"/>
    <m/>
    <m/>
    <m/>
    <m/>
    <m/>
    <x v="0"/>
    <s v=""/>
    <x v="0"/>
    <x v="0"/>
  </r>
  <r>
    <d v="2015-04-01T00:00:00"/>
    <d v="2015-04-01T00:00:00"/>
    <n v="4"/>
    <s v="2015-Apr"/>
    <n v="4"/>
    <s v="LQA-FAT"/>
    <x v="0"/>
    <m/>
    <s v="MPE"/>
    <s v="MPE"/>
    <x v="0"/>
    <s v="MPE_SLT-1B_3.0.1.1.1.120b1"/>
    <s v="CMTeam"/>
    <s v="Anshul Kumar"/>
    <m/>
    <m/>
    <s v="\\192.168.3.3\Share\Releases\Projects\SLT-1B\Release_For_Test\Test_Build_1.0.0.1\Server CD\MPE\Setup"/>
    <s v="Pass"/>
    <m/>
    <m/>
    <m/>
    <m/>
    <s v="Rohit Arora"/>
    <x v="0"/>
    <s v=""/>
    <x v="0"/>
    <x v="0"/>
  </r>
  <r>
    <d v="2015-04-02T00:00:00"/>
    <d v="2015-04-02T00:00:00"/>
    <n v="4"/>
    <s v="2015-Apr"/>
    <n v="4"/>
    <s v="IT-LQA"/>
    <x v="10"/>
    <m/>
    <s v="NM"/>
    <s v="DBS"/>
    <x v="0"/>
    <s v="NMDBS_COM_4.6.1.34.1.92b1"/>
    <s v="CMTeam"/>
    <s v="Sumita Yadav"/>
    <s v="\\192.168.3.3\Share\Releases\Projects\Comcast\Release_For_IT\Test_Build_4.6.1\Server CD\Database\Setup"/>
    <s v="Obsolete-LQA"/>
    <s v="\\192.168.3.3\Share\Releases\Projects\Comcast\Release_for_Test\Test_Build_4.6.7\Server CD\Database\Setup"/>
    <m/>
    <m/>
    <m/>
    <m/>
    <m/>
    <m/>
    <x v="2"/>
    <d v="2015-04-02T00:00:00"/>
    <x v="65"/>
    <x v="4"/>
  </r>
  <r>
    <d v="2015-04-02T00:00:00"/>
    <d v="2015-04-02T00:00:00"/>
    <n v="4"/>
    <s v="2015-Apr"/>
    <n v="4"/>
    <s v="IT-LQA-UAT"/>
    <x v="17"/>
    <m/>
    <s v="MPE"/>
    <s v="MPE"/>
    <x v="0"/>
    <s v="PATCH_MPE_3.0.4.01_CPMTS.04_44.1"/>
    <s v="CMTeam"/>
    <s v="Ankit Jain"/>
    <s v="\\192.168.3.3\share\Releases\Projects\MTS\Release For IT\Test_Build_3.0.5.25\Server CD\MPE\Setup"/>
    <m/>
    <s v="\\192.168.3.3\Share\Releases\Projects\MTS\Release For Test\Test_Build_3.0.5.25\Server CD\MPE\Setup"/>
    <s v="Pass"/>
    <m/>
    <m/>
    <m/>
    <m/>
    <s v="Surya N Behera"/>
    <x v="0"/>
    <s v=""/>
    <x v="0"/>
    <x v="0"/>
  </r>
  <r>
    <d v="2015-04-02T00:00:00"/>
    <d v="2015-04-02T00:00:00"/>
    <n v="4"/>
    <s v="2015-Apr"/>
    <n v="4"/>
    <s v="IT-LQA"/>
    <x v="21"/>
    <s v="phase1 (A+B)"/>
    <s v="DM"/>
    <s v="DBS"/>
    <x v="0"/>
    <s v="DMDBS_TLSTR-ST_2.1.1.8.1.36b1"/>
    <s v="CMTeam"/>
    <s v="Aditya Garg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5-04-02T00:00:00"/>
    <d v="2015-04-02T00:00:00"/>
    <n v="4"/>
    <s v="2015-Apr"/>
    <n v="4"/>
    <s v="IT-LQA-UAT"/>
    <x v="0"/>
    <m/>
    <s v="DM"/>
    <s v="DBS"/>
    <x v="0"/>
    <s v="DMDBS_SLT_2.0.0.25.1.220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Paritosh Ghildiyal"/>
    <x v="0"/>
    <s v=""/>
    <x v="0"/>
    <x v="0"/>
  </r>
  <r>
    <d v="2015-04-06T00:00:00"/>
    <d v="2015-04-06T00:00:00"/>
    <n v="4"/>
    <s v="2015-Apr"/>
    <n v="4"/>
    <s v="IT-LQA"/>
    <x v="21"/>
    <s v="phase 3"/>
    <s v="DM"/>
    <s v="DBS"/>
    <x v="0"/>
    <s v="DMDBS_TLSTR-ST_2.1.1.8.1.38b1"/>
    <s v="CMTeam"/>
    <s v="Sanjeev Pathak"/>
    <s v="\\192.168.3.3\Share\Releases\Projects\TLSTR-ST\Release_For_Test\Test_Build_1.0.1\Server CD\DBS\Setup"/>
    <m/>
    <s v="\\192.168.3.3\Share\Releases\Projects\TLSTR-ST\Release_For_IT\TestBuild_1.0.1\Server CD\DBS\Setup"/>
    <m/>
    <m/>
    <m/>
    <m/>
    <m/>
    <m/>
    <x v="1"/>
    <s v=""/>
    <x v="0"/>
    <x v="0"/>
  </r>
  <r>
    <d v="2015-04-06T00:00:00"/>
    <d v="2015-04-06T00:00:00"/>
    <n v="4"/>
    <s v="2015-Apr"/>
    <n v="4"/>
    <s v="IT-LQA"/>
    <x v="21"/>
    <s v="phase1 (A+B)"/>
    <s v="DM"/>
    <s v="DBS"/>
    <x v="0"/>
    <s v="DMDBS_TLSTR-ST_2.1.1.8.1.37b1"/>
    <s v="CMTeam"/>
    <s v="Aditya Garg"/>
    <s v="\\192.168.3.3\Share\Releases\Projects\TLSTR-ST\Release_For_Test\Test_Build_1.0.1\Server CD\DBS\Setup"/>
    <m/>
    <s v="\\192.168.3.3\Share\Releases\Projects\TLSTR-ST\Release_For_IT\TestBuild_1.0.1\Server CD\DBS\Setup"/>
    <m/>
    <s v="Readme Re-Released"/>
    <m/>
    <m/>
    <m/>
    <m/>
    <x v="1"/>
    <s v=""/>
    <x v="0"/>
    <x v="0"/>
  </r>
  <r>
    <d v="2015-04-06T00:00:00"/>
    <d v="2015-04-06T00:00:00"/>
    <n v="4"/>
    <s v="2015-Apr"/>
    <n v="4"/>
    <s v="LQA"/>
    <x v="1"/>
    <m/>
    <s v="RE"/>
    <s v="GUI"/>
    <x v="0"/>
    <s v="REGUI_1.0.11.1b1"/>
    <s v="CMTeam"/>
    <s v="Sumit Dalal"/>
    <m/>
    <s v="Obsolete-LQA"/>
    <s v="\\192.168.3.3\Share\Releases\Product\RE_1.0\ReleaseForLQA\TestBuild_1.0.1\GUI\Setup"/>
    <m/>
    <m/>
    <m/>
    <m/>
    <m/>
    <m/>
    <x v="2"/>
    <d v="2015-04-06T00:00:00"/>
    <x v="66"/>
    <x v="4"/>
  </r>
  <r>
    <d v="2015-04-06T00:00:00"/>
    <d v="2015-04-06T00:00:00"/>
    <n v="4"/>
    <s v="2015-Apr"/>
    <n v="4"/>
    <s v="LQA"/>
    <x v="0"/>
    <m/>
    <s v="Utility"/>
    <s v="Utility"/>
    <x v="0"/>
    <s v="UTLFDUP_SLT-1B_1.0.0.0.5.4b1"/>
    <s v="CMTeam"/>
    <s v="Anshul Kumar"/>
    <m/>
    <m/>
    <s v="\\192.168.3.3\Share\Releases\Projects\SLT-1B\Release_For_Test\Test_Build_1.0.0.1\Utility\MPE\Setup"/>
    <m/>
    <m/>
    <m/>
    <m/>
    <m/>
    <m/>
    <x v="1"/>
    <s v=""/>
    <x v="0"/>
    <x v="0"/>
  </r>
  <r>
    <d v="2015-04-06T00:00:00"/>
    <d v="2015-04-06T00:00:00"/>
    <n v="4"/>
    <s v="2015-Apr"/>
    <n v="4"/>
    <s v="LQA"/>
    <x v="0"/>
    <m/>
    <s v="Utility"/>
    <s v="Utility"/>
    <x v="0"/>
    <s v="UTLSEQM_SLT-1B_1.0.0.0.5.11b1"/>
    <s v="CMTeam"/>
    <s v="Anshul Kumar"/>
    <m/>
    <m/>
    <s v="\\192.168.3.3\Share\Releases\Projects\SLT-1B\Release_For_Test\Test_Build_1.0.0.1\Utility\MPE\Setup"/>
    <m/>
    <m/>
    <m/>
    <m/>
    <m/>
    <m/>
    <x v="1"/>
    <s v=""/>
    <x v="0"/>
    <x v="0"/>
  </r>
  <r>
    <d v="2015-04-07T00:00:00"/>
    <d v="2015-04-07T00:00:00"/>
    <n v="4"/>
    <s v="2015-Apr"/>
    <n v="4"/>
    <s v="IT-LQA-UAT"/>
    <x v="3"/>
    <m/>
    <s v="NM"/>
    <s v="DBS"/>
    <x v="0"/>
    <s v="NMDBS_OBT_4.6.1.27.1.47b1"/>
    <s v="CMTeam"/>
    <s v="surender Kumar"/>
    <s v="\\192.168.3.3\Share\Releases\Projects\OBT\Release_For_IT\TestBuild_1.0.0.2\Server CD\DBS\Setup"/>
    <m/>
    <s v="\\192.168.3.3\Share\Releases\Projects\OBT\Release_For_LQA\TestBuild_1.0.0.7\Server CD\DBS\Setup"/>
    <s v="Pass"/>
    <s v="Readme Re-Released"/>
    <m/>
    <m/>
    <m/>
    <s v="Mamta Bora"/>
    <x v="0"/>
    <s v=""/>
    <x v="0"/>
    <x v="0"/>
  </r>
  <r>
    <d v="2015-04-07T00:00:00"/>
    <d v="2015-04-07T00:00:00"/>
    <n v="4"/>
    <s v="2015-Apr"/>
    <n v="4"/>
    <s v="IT-LQA-UAT"/>
    <x v="0"/>
    <m/>
    <s v="DM"/>
    <s v="DBS"/>
    <x v="0"/>
    <s v="DMDBS_SLT_2.0.0.26.1.221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Paritosh Ghildiyal"/>
    <x v="0"/>
    <s v=""/>
    <x v="0"/>
    <x v="0"/>
  </r>
  <r>
    <d v="2015-04-07T00:00:00"/>
    <d v="2015-04-07T00:00:00"/>
    <n v="4"/>
    <s v="2015-Apr"/>
    <n v="4"/>
    <s v="LQA-UAT"/>
    <x v="16"/>
    <m/>
    <s v="NM"/>
    <s v="MPE"/>
    <x v="0"/>
    <s v="NMMPE_TLN_2.0.3.52.1"/>
    <s v="CMTeam"/>
    <s v="Harish Singh"/>
    <m/>
    <m/>
    <s v="\\192.168.3.3\Share\Releases\Projects\Telenet\Build&amp;Release\Release For Test\Test_Build_4.0.41\Server CD\MPE\Setup"/>
    <s v="Pass"/>
    <m/>
    <m/>
    <m/>
    <m/>
    <s v="Pradeep Raghav"/>
    <x v="0"/>
    <s v=""/>
    <x v="0"/>
    <x v="0"/>
  </r>
  <r>
    <d v="2015-04-07T00:00:00"/>
    <d v="2015-04-07T00:00:00"/>
    <n v="4"/>
    <s v="2015-Apr"/>
    <n v="4"/>
    <s v="LQA"/>
    <x v="0"/>
    <m/>
    <s v="RE"/>
    <s v="GUI"/>
    <x v="0"/>
    <s v="REGUI_SLT_1.0.11.1.2"/>
    <s v="CMTeam"/>
    <s v="Sumit Dalal"/>
    <m/>
    <s v="Obsolete-LQA"/>
    <s v="\\192.168.3.3\Share\Releases\Projects\SLT\Release_For_LQA\Test_Build_1.0.0.24\Server CD\GUI\Setup"/>
    <m/>
    <m/>
    <m/>
    <m/>
    <m/>
    <m/>
    <x v="2"/>
    <d v="2015-04-07T00:00:00"/>
    <x v="66"/>
    <x v="4"/>
  </r>
  <r>
    <d v="2015-04-08T00:00:00"/>
    <d v="2015-04-08T00:00:00"/>
    <n v="4"/>
    <s v="2015-Apr"/>
    <n v="4"/>
    <s v="IT-LQA"/>
    <x v="1"/>
    <m/>
    <s v="NM"/>
    <s v="DBS"/>
    <x v="0"/>
    <s v="NMDBS_4.6.1.35b2"/>
    <s v="CMTeam"/>
    <s v="Deepak Yadav"/>
    <s v="\\192.168.3.3\Share\Releases\Product\Netmind_4.6\Build&amp;Release\ReleaseForIT\TestBuild_4.6.1\Build4\ServerCD\DBS\Setup"/>
    <m/>
    <s v="\\192.168.3.3\Share\Releases\Product\Netmind_4.6\Build&amp;Release\ReleaseForTest\TestBuild_4.6.1\Build4\ServerCD\DBS\Setup"/>
    <m/>
    <m/>
    <m/>
    <m/>
    <m/>
    <m/>
    <x v="1"/>
    <s v=""/>
    <x v="0"/>
    <x v="0"/>
  </r>
  <r>
    <d v="2015-04-09T00:00:00"/>
    <d v="2015-04-09T00:00:00"/>
    <n v="4"/>
    <s v="2015-Apr"/>
    <n v="4"/>
    <s v="LQA-UAT"/>
    <x v="20"/>
    <m/>
    <s v="MPE"/>
    <s v="MPE"/>
    <x v="0"/>
    <s v="MPE_FNB_3.2.4.38.1.10b1"/>
    <s v="CMTeam"/>
    <s v="Harish Singh"/>
    <m/>
    <m/>
    <s v="\\192.168.3.3\Share\Releases\Projects\FNB\Release_For_Test\Test_Build_1.0.1\Server CD\MPE\Setup"/>
    <s v="Pass"/>
    <m/>
    <m/>
    <m/>
    <m/>
    <s v="Manas Ranjan Barik"/>
    <x v="0"/>
    <s v=""/>
    <x v="0"/>
    <x v="0"/>
  </r>
  <r>
    <d v="2015-04-09T00:00:00"/>
    <d v="2015-04-09T00:00:00"/>
    <n v="4"/>
    <s v="2015-Apr"/>
    <n v="4"/>
    <s v="LQA-UAT"/>
    <x v="20"/>
    <m/>
    <s v="NM"/>
    <s v="DBS"/>
    <x v="1"/>
    <s v="NMDBS_FNB_4.7.1.5"/>
    <s v="CMTeam"/>
    <s v="Puneet Gupta"/>
    <m/>
    <m/>
    <s v="\\192.168.3.3\Share\Releases\Projects\FNB\Release_For_Test\Test_Build_1.0.1\Server CD\DBS\Setup"/>
    <s v="Pass"/>
    <m/>
    <m/>
    <m/>
    <m/>
    <s v="Pradeep Raghav"/>
    <x v="0"/>
    <s v=""/>
    <x v="0"/>
    <x v="0"/>
  </r>
  <r>
    <d v="2015-04-10T00:00:00"/>
    <d v="2015-04-10T00:00:00"/>
    <n v="4"/>
    <s v="2015-Apr"/>
    <n v="4"/>
    <s v="IT-LQA-UAT"/>
    <x v="8"/>
    <m/>
    <s v="NM"/>
    <s v="DBS"/>
    <x v="0"/>
    <s v="NMDBS_TWC_4.6.1.11.3.60b1"/>
    <s v="CMTeam"/>
    <s v="Sachin Srivastva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Ajay Kumar Pandey"/>
    <x v="0"/>
    <s v=""/>
    <x v="0"/>
    <x v="0"/>
  </r>
  <r>
    <d v="2015-04-10T00:00:00"/>
    <d v="2015-04-10T00:00:00"/>
    <n v="4"/>
    <s v="2015-Apr"/>
    <n v="4"/>
    <s v="IT-LQA-UAT"/>
    <x v="17"/>
    <m/>
    <s v="NM"/>
    <s v="DBS"/>
    <x v="0"/>
    <s v="PATCH_DBS_3.0.5.03_CPMTS.02_88.1"/>
    <s v="CMTeam"/>
    <s v="surender Kumar"/>
    <s v="\\192.168.3.3\Share\Releases\Projects\MTS\Release For IT\Test_Build_3.0.5.25\Server CD\Database\Setup"/>
    <m/>
    <s v="\\192.168.3.3\Share\Releases\Projects\MTS\Release For Test\Test_Build_3.0.5.25\Server CD\Database\Setup"/>
    <s v="Pass"/>
    <m/>
    <m/>
    <m/>
    <m/>
    <s v="Surya N Behera"/>
    <x v="0"/>
    <s v=""/>
    <x v="0"/>
    <x v="0"/>
  </r>
  <r>
    <d v="2015-04-10T00:00:00"/>
    <d v="2015-04-10T00:00:00"/>
    <n v="4"/>
    <s v="2015-Apr"/>
    <n v="4"/>
    <s v="IT-LQA-UAT"/>
    <x v="17"/>
    <m/>
    <s v="MPE"/>
    <s v="MPE"/>
    <x v="0"/>
    <s v="PATCH_MPE_3.0.4.01_CPMTS.04_45.1"/>
    <s v="CMTeam"/>
    <s v="Ankit Jain"/>
    <s v="\\192.168.3.3\share\Releases\Projects\MTS\Release For IT\Test_Build_3.0.5.25\Server CD\MPE\Setup"/>
    <m/>
    <s v="\\192.168.3.3\share\Releases\Projects\MTS\Release For IT\Test_Build_3.0.5.25\Server CD\MPE\Setup"/>
    <s v="Pass"/>
    <m/>
    <m/>
    <m/>
    <m/>
    <s v="Surya N Behera"/>
    <x v="0"/>
    <s v=""/>
    <x v="0"/>
    <x v="0"/>
  </r>
  <r>
    <d v="2015-04-10T00:00:00"/>
    <d v="2015-04-10T00:00:00"/>
    <n v="4"/>
    <s v="2015-Apr"/>
    <n v="4"/>
    <s v="IT-LQA-UAT"/>
    <x v="1"/>
    <m/>
    <s v="RT"/>
    <s v="DBS"/>
    <x v="0"/>
    <s v="RTDBS_4.0.1.31b1"/>
    <s v="CMTeam"/>
    <s v="surender Kumar"/>
    <s v="\\192.168.3.3\Share\Releases\Product\RT_4.0\ReleaseForIT\TestBuild_4.0.3\DBS\Setup"/>
    <m/>
    <s v="\\192.168.3.3\Share\Releases\Product\RT_4.0\ReleaseForLQA\TestBuild_4.0.24\DBS\Setup"/>
    <s v="Pass"/>
    <m/>
    <m/>
    <m/>
    <m/>
    <s v="Rajan Sharma"/>
    <x v="0"/>
    <s v=""/>
    <x v="0"/>
    <x v="0"/>
  </r>
  <r>
    <d v="2015-04-10T00:00:00"/>
    <d v="2015-04-10T00:00:00"/>
    <n v="4"/>
    <s v="2015-Apr"/>
    <n v="4"/>
    <s v="LQA"/>
    <x v="1"/>
    <m/>
    <s v="Utility"/>
    <s v="Utility"/>
    <x v="0"/>
    <s v="AWF_2.0.1b33"/>
    <s v="CMTeam"/>
    <s v="Ratnesh Singh"/>
    <m/>
    <m/>
    <s v="\\192.168.3.3\Share\Releases\Product\AWF\Build&amp;Release\Release For Test\TestBuild_2.0.1\Setup"/>
    <m/>
    <m/>
    <m/>
    <m/>
    <m/>
    <m/>
    <x v="1"/>
    <s v=""/>
    <x v="0"/>
    <x v="0"/>
  </r>
  <r>
    <d v="2015-04-10T00:00:00"/>
    <d v="2015-04-10T00:00:00"/>
    <n v="4"/>
    <s v="2015-Apr"/>
    <n v="4"/>
    <s v="LQA"/>
    <x v="1"/>
    <m/>
    <s v="NP"/>
    <s v="DBS"/>
    <x v="1"/>
    <s v="NPDBS_1.3.2b4"/>
    <s v="CMTeam"/>
    <s v="Nitin Kumar"/>
    <m/>
    <s v="Obsolete-LQA"/>
    <s v="\\192.168.3.3\Share\Releases\Product\NetMindPOS_1.3\Build&amp;Release\Release_For_LQA\Test_Build_1.0.3\Server CD\DBS\Setup"/>
    <m/>
    <m/>
    <m/>
    <m/>
    <m/>
    <m/>
    <x v="2"/>
    <d v="2015-04-10T00:00:00"/>
    <x v="66"/>
    <x v="4"/>
  </r>
  <r>
    <d v="2015-04-10T00:00:00"/>
    <d v="2015-04-10T00:00:00"/>
    <n v="4"/>
    <s v="2015-Apr"/>
    <n v="4"/>
    <s v="IT-LQA-UAT"/>
    <x v="7"/>
    <m/>
    <s v="NM"/>
    <s v="WFS"/>
    <x v="0"/>
    <s v="NMWFS_VON_4.0.13"/>
    <s v="CMTeam"/>
    <s v="Lokeshna Virdi"/>
    <s v="\\192.168.3.3\Share\Releases\Projects\Vonage\Release_For_IT\Test_Build_4.0.18\Client CD\GUI\WFS\Setup"/>
    <m/>
    <s v="\\192.168.3.3\Share\Releases\Projects\Vonage\Release_For_LQA\Test_Build_4.0.18\Client CD\GUI\WFS\Setup"/>
    <s v="Pass"/>
    <m/>
    <m/>
    <m/>
    <m/>
    <s v="Rajan Sharma"/>
    <x v="0"/>
    <s v=""/>
    <x v="0"/>
    <x v="0"/>
  </r>
  <r>
    <d v="2015-04-10T00:00:00"/>
    <d v="2015-04-10T00:00:00"/>
    <n v="4"/>
    <s v="2015-Apr"/>
    <n v="4"/>
    <s v="IT-LQA-UAT"/>
    <x v="0"/>
    <m/>
    <s v="DM"/>
    <s v="DBS"/>
    <x v="0"/>
    <s v="DMDBS_SLT_2.0.0.26.1.222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Paritosh Ghildiyal"/>
    <x v="0"/>
    <s v=""/>
    <x v="0"/>
    <x v="0"/>
  </r>
  <r>
    <d v="2015-04-10T00:00:00"/>
    <d v="2015-04-10T00:00:00"/>
    <n v="4"/>
    <s v="2015-Apr"/>
    <n v="4"/>
    <s v="LQA"/>
    <x v="1"/>
    <m/>
    <s v="IM"/>
    <s v="IM"/>
    <x v="1"/>
    <s v="IM_1.0.6b1"/>
    <s v="CMTeam"/>
    <s v="Ratnesh Singh"/>
    <m/>
    <m/>
    <s v="\\192.168.3.3\Share\Releases\Product\IM_1.0\Build&amp;Release\Release_For_LQA\Test_Build_1.0.5\Server CD\IM\Setup"/>
    <m/>
    <m/>
    <m/>
    <m/>
    <m/>
    <m/>
    <x v="1"/>
    <s v=""/>
    <x v="0"/>
    <x v="0"/>
  </r>
  <r>
    <d v="2015-04-10T00:00:00"/>
    <d v="2015-04-10T00:00:00"/>
    <n v="4"/>
    <s v="2015-Apr"/>
    <n v="4"/>
    <s v="LQA-UAT"/>
    <x v="1"/>
    <m/>
    <s v="RT"/>
    <s v="GUI"/>
    <x v="1"/>
    <s v="RTGUI_4.0.37b1"/>
    <s v="CMTeam"/>
    <s v="Dheeraj Kant"/>
    <m/>
    <m/>
    <s v="\\192.168.3.3\Share\Releases\Product\RT_4.0\ReleaseForLQA\TestBuild_4.0.24\GUI\Build1\Setup "/>
    <s v="Pass"/>
    <s v="Readme Re-Released"/>
    <m/>
    <m/>
    <m/>
    <s v="Rajan Sharma"/>
    <x v="0"/>
    <s v=""/>
    <x v="0"/>
    <x v="0"/>
  </r>
  <r>
    <d v="2015-04-10T00:00:00"/>
    <d v="2015-04-10T00:00:00"/>
    <n v="4"/>
    <s v="2015-Apr"/>
    <n v="4"/>
    <s v="IT-LQA-UAT"/>
    <x v="0"/>
    <m/>
    <s v="DM"/>
    <s v="DBS"/>
    <x v="0"/>
    <s v="DMDBS_SLT_2.0.0.26.1.223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Paritosh Ghildiyal"/>
    <x v="0"/>
    <s v=""/>
    <x v="0"/>
    <x v="0"/>
  </r>
  <r>
    <d v="2015-04-10T00:00:00"/>
    <d v="2015-04-10T00:00:00"/>
    <n v="4"/>
    <s v="2015-Apr"/>
    <n v="4"/>
    <s v="LQA-UAT"/>
    <x v="5"/>
    <m/>
    <s v="IM"/>
    <s v="IM"/>
    <x v="1"/>
    <s v="IM_BHN_1.0.6.0.1"/>
    <s v="CMTeam"/>
    <s v="Ratnesh Singh"/>
    <m/>
    <m/>
    <s v="\\192.168.3.3\share\Releases\Projects\BHN\Release_For_Test\Test_Build_1.0.6\Server CD\IM\Setup"/>
    <s v="Pass"/>
    <m/>
    <m/>
    <m/>
    <m/>
    <s v="Abhishek Leekha"/>
    <x v="0"/>
    <s v=""/>
    <x v="0"/>
    <x v="0"/>
  </r>
  <r>
    <d v="2015-04-13T00:00:00"/>
    <d v="2015-04-13T00:00:00"/>
    <n v="4"/>
    <s v="2015-Apr"/>
    <n v="4"/>
    <s v="LQA"/>
    <x v="0"/>
    <m/>
    <s v="MPE"/>
    <s v="MPE"/>
    <x v="0"/>
    <s v="MPE_SLT-1B_3.0.1.1.1.121b1"/>
    <s v="CMTeam"/>
    <s v="Anshul Kumar"/>
    <m/>
    <m/>
    <s v="\\192.168.3.3\Share\Releases\Projects\SLT-1B\Release_For_Test\Test_Build_1.0.0.1\Server CD\MPE\Setup"/>
    <m/>
    <m/>
    <m/>
    <m/>
    <m/>
    <m/>
    <x v="1"/>
    <s v=""/>
    <x v="0"/>
    <x v="0"/>
  </r>
  <r>
    <d v="2015-04-13T00:00:00"/>
    <d v="2015-04-13T00:00:00"/>
    <n v="4"/>
    <s v="2015-Apr"/>
    <n v="4"/>
    <s v="LQA"/>
    <x v="1"/>
    <m/>
    <s v="MPE"/>
    <s v="GUI"/>
    <x v="1"/>
    <s v="MPEGUI_1.1.3b2"/>
    <s v="CMTeam"/>
    <s v="Ratnesh Singh"/>
    <m/>
    <m/>
    <s v="\\192.168.3.3\Share\Releases\Product\MEDGUI_1.1\Build&amp;Release\Release_For_LQA\Test_Build_1.0.2\Server CD\GUI\Setup"/>
    <m/>
    <s v="Readme Re-Released"/>
    <m/>
    <m/>
    <m/>
    <m/>
    <x v="1"/>
    <s v=""/>
    <x v="0"/>
    <x v="0"/>
  </r>
  <r>
    <d v="2015-04-13T00:00:00"/>
    <d v="2015-04-13T00:00:00"/>
    <n v="4"/>
    <s v="2015-Apr"/>
    <n v="4"/>
    <s v="LQA"/>
    <x v="1"/>
    <m/>
    <s v="MPE"/>
    <s v="DBS"/>
    <x v="1"/>
    <s v="MPEDBS_1.1.1b3"/>
    <s v="CMTeam"/>
    <s v="Puneet Gupta"/>
    <m/>
    <s v="Obsolete-LQA"/>
    <s v="\\192.168.3.3\Share\Releases\Product\MEDGUI_1.1\Build&amp;Release\Release_For_LQA\Test_Build_1.0.2\Server CD\DBS\Setup"/>
    <m/>
    <m/>
    <m/>
    <m/>
    <m/>
    <m/>
    <x v="2"/>
    <d v="2015-04-13T00:00:00"/>
    <x v="67"/>
    <x v="4"/>
  </r>
  <r>
    <d v="2015-04-14T00:00:00"/>
    <d v="2015-04-14T00:00:00"/>
    <n v="4"/>
    <s v="2015-Apr"/>
    <n v="4"/>
    <s v="LQA"/>
    <x v="1"/>
    <m/>
    <s v="MPE"/>
    <s v="MPE"/>
    <x v="1"/>
    <s v="MPE_3.2.7b3"/>
    <s v="CMTeam"/>
    <s v="Daljit Singh Maan"/>
    <m/>
    <s v="Obsolete-LQA"/>
    <s v="\\192.168.3.3\Share\Releases\Product\MEDGUI_1.1\Build&amp;Release\Release_For_LQA\Test_Build_1.0.2\Server CD\MPE\Setup\RHEL_6.3"/>
    <m/>
    <m/>
    <m/>
    <m/>
    <m/>
    <m/>
    <x v="2"/>
    <d v="2015-04-14T00:00:00"/>
    <x v="67"/>
    <x v="4"/>
  </r>
  <r>
    <d v="2015-04-15T00:00:00"/>
    <d v="2015-04-15T00:00:00"/>
    <n v="4"/>
    <s v="2015-Apr"/>
    <n v="4"/>
    <s v="LQA"/>
    <x v="1"/>
    <m/>
    <s v="MPE"/>
    <s v="DBS"/>
    <x v="1"/>
    <s v="MPEDBS_1.1.1b4-"/>
    <s v="CMTeam"/>
    <s v="Puneet Gupta"/>
    <m/>
    <m/>
    <s v="\\192.168.3.3\Share\Releases\Product\MEDGUI_1.1\Build&amp;Release\Release_For_LQA\Test_Build_1.0.2\Server CD\DBS\Setup"/>
    <m/>
    <s v="Readme Re-Released"/>
    <m/>
    <m/>
    <m/>
    <m/>
    <x v="1"/>
    <s v=""/>
    <x v="0"/>
    <x v="0"/>
  </r>
  <r>
    <d v="2015-04-16T00:00:00"/>
    <d v="2015-04-16T00:00:00"/>
    <n v="4"/>
    <s v="2015-Apr"/>
    <n v="4"/>
    <s v="IT-LQA-UAT"/>
    <x v="8"/>
    <m/>
    <s v="NM"/>
    <s v="DBS"/>
    <x v="0"/>
    <s v="NMDBS_TWC_4.6.1.11.3.61b1"/>
    <s v="CMTeam"/>
    <s v="Sachin Srivastva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Ajay Kumar Pandey"/>
    <x v="0"/>
    <s v=""/>
    <x v="0"/>
    <x v="0"/>
  </r>
  <r>
    <d v="2015-04-16T00:00:00"/>
    <d v="2015-04-16T00:00:00"/>
    <n v="4"/>
    <s v="2015-Apr"/>
    <n v="4"/>
    <s v="IT-LQA"/>
    <x v="21"/>
    <s v="phase 3"/>
    <s v="DM"/>
    <s v="DBS"/>
    <x v="0"/>
    <s v="DMDBS_TLSTR-ST_2.1.1.8.1.39b1"/>
    <s v="CMTeam"/>
    <s v="Sanjeev Pathak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5-04-16T00:00:00"/>
    <d v="2015-04-16T00:00:00"/>
    <n v="4"/>
    <s v="2015-Apr"/>
    <n v="4"/>
    <s v="IT-LQA"/>
    <x v="21"/>
    <s v="phase1 (A+B)"/>
    <s v="DM"/>
    <s v="DBS"/>
    <x v="0"/>
    <s v="DMDBS_TLSTR-ST_2.1.1.8.1.39b1"/>
    <s v="CMTeam"/>
    <s v="Aditya Garg"/>
    <s v="\\192.168.3.3\Share\Releases\Projects\TLSTR-ST\Release_For_IT\TestBuild_1.0.1\Server CD\DBS\Setup"/>
    <m/>
    <s v="\\192.168.3.3\Share\Releases\Projects\TLSTR-ST\Release_For_Test\Test_Build_1.0.1\Server CD\DBS\Setup"/>
    <m/>
    <s v="Readme Re-Released"/>
    <m/>
    <m/>
    <m/>
    <m/>
    <x v="1"/>
    <s v=""/>
    <x v="0"/>
    <x v="0"/>
  </r>
  <r>
    <d v="2015-04-16T00:00:00"/>
    <d v="2015-04-16T00:00:00"/>
    <n v="4"/>
    <s v="2015-Apr"/>
    <n v="4"/>
    <s v="LQA-UAT"/>
    <x v="4"/>
    <m/>
    <s v="MPE"/>
    <s v="MPE"/>
    <x v="0"/>
    <s v="MPE_TLSTR-2b_3.0.0.3.1.111b1"/>
    <s v="CMTeam"/>
    <s v="Sandeep Aggarwal"/>
    <m/>
    <m/>
    <s v="\\192.168.3.3\Share\Releases\Projects\Telstra-2b\Release_For_Test\Test_Build_1.0.0.1\Server CD\MPE\Setup"/>
    <s v="Pass"/>
    <m/>
    <m/>
    <m/>
    <m/>
    <s v="Gaurav Shukla"/>
    <x v="0"/>
    <s v=""/>
    <x v="0"/>
    <x v="0"/>
  </r>
  <r>
    <d v="2015-04-17T00:00:00"/>
    <d v="2015-04-17T00:00:00"/>
    <n v="4"/>
    <s v="2015-Apr"/>
    <n v="4"/>
    <s v="IT-LQA"/>
    <x v="10"/>
    <m/>
    <s v="NM"/>
    <s v="DBS"/>
    <x v="0"/>
    <s v="NMDBS_COM_4.6.1.34.1.92b2"/>
    <s v="CMTeam"/>
    <s v="Sumita Yadav"/>
    <s v="\\192.168.3.3\Share\Releases\Projects\Comcast\Release_For_IT\Test_Build_4.6.1\Server CD\Database\Setup"/>
    <s v="Obsolete-LQA"/>
    <s v="\\192.168.3.3\Share\Releases\Projects\Comcast\Release_for_Test\Test_Build_4.6.7\Server CD\Database\Setup"/>
    <m/>
    <m/>
    <m/>
    <m/>
    <m/>
    <m/>
    <x v="2"/>
    <d v="2015-04-17T00:00:00"/>
    <x v="67"/>
    <x v="4"/>
  </r>
  <r>
    <d v="2015-04-17T00:00:00"/>
    <d v="2015-04-17T00:00:00"/>
    <n v="4"/>
    <s v="2015-Apr"/>
    <n v="4"/>
    <s v="IT-LQA-UAT"/>
    <x v="0"/>
    <m/>
    <s v="DM"/>
    <s v="DBS"/>
    <x v="0"/>
    <s v="DMDBS_SLT_2.0.0.26.1.224b1"/>
    <s v="CMTeam"/>
    <s v="Raja Sarkar"/>
    <s v="\\192.168.3.3\Share\Releases\Projects\SLT\Release_For_LQA\Test_Build_1.0.0.24\Server CD\DBS\Setup"/>
    <m/>
    <s v="\\192.168.3.3\Share\Releases\Projects\SLT\Release_For_IT\Test_Build_1.0.0.4\Server CD\DBS\Setup"/>
    <s v="Pass"/>
    <m/>
    <m/>
    <m/>
    <m/>
    <s v="Paritosh Ghildiyal"/>
    <x v="0"/>
    <s v=""/>
    <x v="0"/>
    <x v="0"/>
  </r>
  <r>
    <d v="2015-04-17T00:00:00"/>
    <d v="2015-04-17T00:00:00"/>
    <n v="4"/>
    <s v="2015-Apr"/>
    <n v="4"/>
    <s v="IT-LQA"/>
    <x v="0"/>
    <m/>
    <s v="DM"/>
    <s v="DBS"/>
    <x v="0"/>
    <s v="DMDBS_SLT_2.0.0.26.1.225b1"/>
    <s v="CMTeam"/>
    <s v="Raja Sarkar"/>
    <s v="\\192.168.3.3\Share\Releases\Projects\SLT\Release_For_LQA\Test_Build_1.0.0.24\Server CD\DBS\Setup"/>
    <m/>
    <s v="\\192.168.3.3\Share\Releases\Projects\SLT\Release_For_IT\Test_Build_1.0.0.4\Server CD\DBS\Setup"/>
    <m/>
    <m/>
    <m/>
    <m/>
    <m/>
    <m/>
    <x v="1"/>
    <s v=""/>
    <x v="0"/>
    <x v="0"/>
  </r>
  <r>
    <d v="2015-04-17T00:00:00"/>
    <d v="2015-04-17T00:00:00"/>
    <n v="4"/>
    <s v="2015-Apr"/>
    <n v="4"/>
    <s v="LQA-UAT"/>
    <x v="4"/>
    <m/>
    <s v="MPE"/>
    <s v="MPE"/>
    <x v="0"/>
    <s v="MPE_TWC_3.2.1.5.2.28b1"/>
    <s v="CMTeam"/>
    <s v="Ankit Jain"/>
    <m/>
    <m/>
    <s v="\\192.168.3.3\Share\Releases\Projects\TWC\Release_For_Test\Test_Build_1.0.0.4\Server CD\MPE\Setup"/>
    <s v="Pass"/>
    <m/>
    <m/>
    <m/>
    <m/>
    <s v="Surya N Behera"/>
    <x v="0"/>
    <s v=""/>
    <x v="0"/>
    <x v="0"/>
  </r>
  <r>
    <d v="2015-04-17T00:00:00"/>
    <d v="2015-04-17T00:00:00"/>
    <n v="4"/>
    <s v="2015-Apr"/>
    <n v="4"/>
    <s v="IT-LQA"/>
    <x v="21"/>
    <s v="phase1 (A+B)"/>
    <s v="DM"/>
    <s v="DBS"/>
    <x v="0"/>
    <s v="DMDBS_TLSTR-ST_2.1.1.8.1.41b1"/>
    <s v="CMTeam"/>
    <s v="Aditya Garg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5-04-17T00:00:00"/>
    <d v="2015-04-17T00:00:00"/>
    <n v="4"/>
    <s v="2015-Apr"/>
    <n v="4"/>
    <s v="LQA"/>
    <x v="0"/>
    <m/>
    <s v="MPE"/>
    <s v="MPE"/>
    <x v="0"/>
    <s v="MPE_SLT-1B_3.0.1.1.1.122b1"/>
    <s v="CMTeam"/>
    <s v="Anshul Kumar"/>
    <m/>
    <m/>
    <s v="\\192.168.3.3\Share\Releases\Projects\SLT-1B\Release_For_Test\Test_Build_1.0.0.1\Server CD\MPE\Setup"/>
    <m/>
    <m/>
    <m/>
    <m/>
    <m/>
    <m/>
    <x v="1"/>
    <s v=""/>
    <x v="0"/>
    <x v="0"/>
  </r>
  <r>
    <d v="2015-04-21T00:00:00"/>
    <d v="2015-04-21T00:00:00"/>
    <n v="4"/>
    <s v="2015-Apr"/>
    <n v="4"/>
    <s v="LQA"/>
    <x v="1"/>
    <m/>
    <s v="RE"/>
    <s v="GUI"/>
    <x v="1"/>
    <s v="REGUI_1.0.11.1b2"/>
    <s v="CMTeam"/>
    <s v="Sumit Dalal"/>
    <m/>
    <m/>
    <s v="\\192.168.3.3\Share\Releases\Product\RE_1.0\ReleaseForLQA\TestBuild_1.0.1\GUI\Setup"/>
    <m/>
    <m/>
    <m/>
    <m/>
    <m/>
    <m/>
    <x v="1"/>
    <s v=""/>
    <x v="0"/>
    <x v="0"/>
  </r>
  <r>
    <d v="2015-04-21T00:00:00"/>
    <d v="2015-04-21T00:00:00"/>
    <n v="4"/>
    <s v="2015-Apr"/>
    <n v="4"/>
    <s v="LQA"/>
    <x v="1"/>
    <m/>
    <s v="NM"/>
    <s v="DBS"/>
    <x v="1"/>
    <s v="NMDBS_4.8.1b1"/>
    <s v="CMTeam"/>
    <s v="Deepak Yadav"/>
    <m/>
    <s v="Obsolete-LQA"/>
    <s v="\\192.168.3.3\Share\Releases\Product\Netmind_4.8\Build&amp;Release\Release_For_LQA\Test_Build_1.0.1\Server CD\DBS\Setup"/>
    <m/>
    <m/>
    <m/>
    <m/>
    <m/>
    <m/>
    <x v="2"/>
    <d v="2015-04-21T00:00:00"/>
    <x v="68"/>
    <x v="4"/>
  </r>
  <r>
    <d v="2015-04-22T00:00:00"/>
    <d v="2015-04-22T00:00:00"/>
    <n v="4"/>
    <s v="2015-Apr"/>
    <n v="4"/>
    <s v="LQA-UAT"/>
    <x v="0"/>
    <m/>
    <s v="RE"/>
    <s v="GUI"/>
    <x v="1"/>
    <s v="REGUI_SLT_1.0.11.1.3"/>
    <s v="CMTeam"/>
    <s v="Sumit Dalal"/>
    <m/>
    <m/>
    <s v="\\192.168.3.3\Share\Releases\Projects\SLT\Release_For_LQA\Test_Build_1.0.0.24\Server CD\GUI\Setup"/>
    <s v="Pass"/>
    <m/>
    <m/>
    <m/>
    <m/>
    <s v="KV krishna"/>
    <x v="0"/>
    <s v=""/>
    <x v="0"/>
    <x v="0"/>
  </r>
  <r>
    <d v="2015-04-23T00:00:00"/>
    <d v="2015-04-23T00:00:00"/>
    <n v="4"/>
    <s v="2015-Apr"/>
    <n v="4"/>
    <s v="LQA"/>
    <x v="1"/>
    <m/>
    <s v="RE"/>
    <s v="DBS"/>
    <x v="1"/>
    <s v="REDBS_2.0.1b5"/>
    <s v="CMTeam"/>
    <s v="Deepinder Singh"/>
    <m/>
    <m/>
    <s v="\\192.168.3.3\Share\Releases\Product\RE_2.0\Build&amp;Release\Release_For_LQA\Test_Build_1.0.1\Server CD\DBS\Setup"/>
    <m/>
    <m/>
    <m/>
    <m/>
    <m/>
    <m/>
    <x v="1"/>
    <s v=""/>
    <x v="0"/>
    <x v="0"/>
  </r>
  <r>
    <d v="2015-04-23T00:00:00"/>
    <d v="2015-04-23T00:00:00"/>
    <n v="4"/>
    <s v="2015-Apr"/>
    <n v="4"/>
    <s v="LQA"/>
    <x v="0"/>
    <m/>
    <s v="MPE"/>
    <s v="MPE"/>
    <x v="0"/>
    <s v="MPE_SLT-1B_3.0.1.1.1.123b1"/>
    <s v="CMTeam"/>
    <s v="Anshul Kumar"/>
    <m/>
    <m/>
    <s v="\\192.168.3.3\Share\Releases\Projects\SLT-1B\Release_For_Test\Test_Build_1.0.0.1\Server CD\MPE\Setup"/>
    <m/>
    <m/>
    <m/>
    <m/>
    <m/>
    <m/>
    <x v="1"/>
    <s v=""/>
    <x v="0"/>
    <x v="0"/>
  </r>
  <r>
    <d v="2015-04-23T00:00:00"/>
    <d v="2015-04-23T00:00:00"/>
    <n v="4"/>
    <s v="2015-Apr"/>
    <n v="4"/>
    <s v="IT-LQA-UAT"/>
    <x v="0"/>
    <m/>
    <s v="RA"/>
    <s v="DBS"/>
    <x v="0"/>
    <s v="RADBS_SLT_2.1.1.15.1.104b1"/>
    <s v="CMTeam"/>
    <s v="Raja Sarkar"/>
    <s v="\\192.168.3.3\Share\Releases\Projects\SLT\Release_For_LQA\Test_Build_1.0.0.24\Server CD\DBS\Setup"/>
    <m/>
    <s v="\\192.168.3.3\Share\Releases\Projects\SLT\Release_For_IT\Test_Build_1.0.0.4\Server CD\DBS\Setup"/>
    <s v="Pass"/>
    <m/>
    <m/>
    <m/>
    <m/>
    <s v="Rohit Arora"/>
    <x v="0"/>
    <s v=""/>
    <x v="0"/>
    <x v="0"/>
  </r>
  <r>
    <d v="2015-04-23T00:00:00"/>
    <d v="2015-04-23T00:00:00"/>
    <n v="4"/>
    <s v="2015-Apr"/>
    <n v="4"/>
    <s v="IT-LQA"/>
    <x v="0"/>
    <m/>
    <s v="DM"/>
    <s v="DBS"/>
    <x v="0"/>
    <s v="DMDBS_SLT_2.0.0.26.1.226b1"/>
    <s v="CMTeam"/>
    <s v="Raja Sarkar"/>
    <s v="\\192.168.3.3\Share\Releases\Projects\SLT\Release_For_IT\Test_Build_1.0.0.4\Server CD\DBS\Setup"/>
    <s v="Obsolete-LQA"/>
    <s v="\\192.168.3.3\Share\Releases\Projects\SLT\Release_For_LQA\Test_Build_1.0.0.24\Server CD\DBS\Setup"/>
    <m/>
    <m/>
    <m/>
    <m/>
    <m/>
    <m/>
    <x v="2"/>
    <d v="2015-04-23T00:00:00"/>
    <x v="68"/>
    <x v="4"/>
  </r>
  <r>
    <d v="2015-04-23T00:00:00"/>
    <d v="2015-04-23T00:00:00"/>
    <n v="4"/>
    <s v="2015-Apr"/>
    <n v="4"/>
    <s v="LQA-UAT"/>
    <x v="20"/>
    <m/>
    <s v="NM"/>
    <s v="DBS"/>
    <x v="1"/>
    <s v="NMDBS_FNB_4.7.1.6"/>
    <s v="CMTeam"/>
    <s v="surender Kumar"/>
    <m/>
    <m/>
    <s v="\\192.168.3.3\Share\Releases\Projects\FNB\Release_For_Test\Test_Build_1.0.1\Server CD\DBS\Setup"/>
    <s v="Pass"/>
    <m/>
    <m/>
    <m/>
    <m/>
    <s v="Pradeep Raghav"/>
    <x v="0"/>
    <s v=""/>
    <x v="0"/>
    <x v="0"/>
  </r>
  <r>
    <d v="2015-04-23T00:00:00"/>
    <d v="2015-04-23T00:00:00"/>
    <n v="4"/>
    <s v="2015-Apr"/>
    <n v="4"/>
    <s v="IT-LQA"/>
    <x v="21"/>
    <s v="phase1 (A+B)"/>
    <s v="DM"/>
    <s v="DBS"/>
    <x v="0"/>
    <s v="DMDBS_TLSTR-ST_2.1.1.8.1.43b1"/>
    <s v="CMTeam"/>
    <s v="Abhishek Sharma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5-04-24T00:00:00"/>
    <d v="2015-04-24T00:00:00"/>
    <n v="4"/>
    <s v="2015-Apr"/>
    <n v="4"/>
    <s v="IT-LQA"/>
    <x v="0"/>
    <m/>
    <s v="RA"/>
    <s v="DBS"/>
    <x v="0"/>
    <s v="RADBS_SLT_2.1.1.15.1.105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m/>
    <m/>
    <m/>
    <m/>
    <m/>
    <m/>
    <x v="1"/>
    <s v=""/>
    <x v="0"/>
    <x v="0"/>
  </r>
  <r>
    <d v="2015-04-24T00:00:00"/>
    <d v="2015-04-24T00:00:00"/>
    <n v="4"/>
    <s v="2015-Apr"/>
    <n v="4"/>
    <s v="IT-LQA"/>
    <x v="0"/>
    <m/>
    <s v="DM"/>
    <s v="DBS"/>
    <x v="0"/>
    <s v="DMDBS_SLT_2.0.0.26.1.227b1"/>
    <s v="CMTeam"/>
    <s v="Raja Sarkar"/>
    <s v="\\192.168.3.3\Share\Releases\Projects\SLT\Release_For_LQA\Test_Build_1.0.0.24\Server CD\DBS\Setup"/>
    <m/>
    <s v="\\192.168.3.3\Share\Releases\Projects\SLT\Release_For_IT\Test_Build_1.0.0.4\Server CD\DBS\Setup"/>
    <m/>
    <m/>
    <m/>
    <m/>
    <m/>
    <m/>
    <x v="1"/>
    <s v=""/>
    <x v="0"/>
    <x v="0"/>
  </r>
  <r>
    <d v="2015-04-24T00:00:00"/>
    <d v="2015-04-24T00:00:00"/>
    <n v="4"/>
    <s v="2015-Apr"/>
    <n v="4"/>
    <s v="LQA"/>
    <x v="0"/>
    <m/>
    <s v="MPE"/>
    <s v="MPE"/>
    <x v="0"/>
    <s v="MPE_SLT-1B_3.0.1.1.1.124b1"/>
    <s v="CMTeam"/>
    <s v="Anshul Kumar"/>
    <m/>
    <m/>
    <s v="\\192.168.3.3\Share\Releases\Projects\SLT-1B\Release_For_Test\Test_Build_1.0.0.1\Server CD\MPE\Setup"/>
    <m/>
    <m/>
    <m/>
    <m/>
    <m/>
    <m/>
    <x v="1"/>
    <s v=""/>
    <x v="0"/>
    <x v="0"/>
  </r>
  <r>
    <d v="2015-04-24T00:00:00"/>
    <d v="2015-04-24T00:00:00"/>
    <n v="4"/>
    <s v="2015-Apr"/>
    <n v="4"/>
    <s v="LQA"/>
    <x v="1"/>
    <m/>
    <s v="WWFS"/>
    <s v="GUI"/>
    <x v="1"/>
    <s v="WWFSGUI_2.1.36b1"/>
    <s v="CMTeam"/>
    <s v="Rajeev Kumar"/>
    <m/>
    <s v="Obsolete-LQA"/>
    <s v="\\192.168.3.3\Share\Releases\Product\WEB_WFS\Build&amp;Release\Release For Test\TestBuild_2.1.36\ServerCD\GUI\Setup"/>
    <m/>
    <m/>
    <m/>
    <m/>
    <m/>
    <m/>
    <x v="2"/>
    <d v="2015-04-24T00:00:00"/>
    <x v="68"/>
    <x v="4"/>
  </r>
  <r>
    <d v="2015-04-24T00:00:00"/>
    <d v="2015-04-24T00:00:00"/>
    <n v="4"/>
    <s v="2015-Apr"/>
    <n v="4"/>
    <s v="IT-LQA"/>
    <x v="0"/>
    <m/>
    <s v="DM"/>
    <s v="DBS"/>
    <x v="0"/>
    <s v="DMDBS_SLT_2.0.0.26.1.226b2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m/>
    <m/>
    <m/>
    <m/>
    <m/>
    <m/>
    <x v="1"/>
    <s v=""/>
    <x v="0"/>
    <x v="0"/>
  </r>
  <r>
    <d v="2015-04-24T00:00:00"/>
    <d v="2015-04-24T00:00:00"/>
    <n v="4"/>
    <s v="2015-Apr"/>
    <n v="4"/>
    <s v="IT-LQA"/>
    <x v="0"/>
    <m/>
    <s v="DM"/>
    <s v="DBS"/>
    <x v="0"/>
    <s v="DMDBS_SLT_2.0.0.26.1.228b1 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m/>
    <m/>
    <m/>
    <m/>
    <m/>
    <m/>
    <x v="1"/>
    <s v=""/>
    <x v="0"/>
    <x v="0"/>
  </r>
  <r>
    <d v="2015-04-24T00:00:00"/>
    <d v="2015-04-24T00:00:00"/>
    <n v="4"/>
    <s v="2015-Apr"/>
    <n v="4"/>
    <s v="LQA"/>
    <x v="23"/>
    <m/>
    <s v="NM"/>
    <s v="DBS"/>
    <x v="0"/>
    <s v="NMDBS_MCC_4.7.1.5"/>
    <s v="CMTeam"/>
    <s v="Sumita Yadav"/>
    <m/>
    <s v="Obsolete-LQA"/>
    <s v="\\192.168.3.3\Share\Releases\Projects\MCC\Release_For_Test\Test_Build_1.0.1\Server CD\DBS\Setup"/>
    <m/>
    <m/>
    <m/>
    <m/>
    <m/>
    <m/>
    <x v="2"/>
    <d v="2015-04-24T00:00:00"/>
    <x v="68"/>
    <x v="4"/>
  </r>
  <r>
    <d v="2015-04-27T00:00:00"/>
    <d v="2015-04-27T00:00:00"/>
    <n v="4"/>
    <s v="2015-Apr"/>
    <n v="4"/>
    <s v="LQA"/>
    <x v="0"/>
    <m/>
    <s v="MPE"/>
    <s v="MPE"/>
    <x v="0"/>
    <s v="MPE_SLT-1B_3.0.1.1.1.125b1"/>
    <s v="CMTeam"/>
    <s v="Anshul Kumar"/>
    <m/>
    <m/>
    <s v="\\192.168.3.3\Share\Releases\Projects\SLT-1B\Release_For_Test\Test_Build_1.0.0.1\Server CD\MPE\Setup"/>
    <m/>
    <m/>
    <m/>
    <m/>
    <m/>
    <m/>
    <x v="1"/>
    <s v=""/>
    <x v="0"/>
    <x v="0"/>
  </r>
  <r>
    <d v="2015-04-28T00:00:00"/>
    <m/>
    <n v="4"/>
    <s v="2015-Apr"/>
    <s v="False"/>
    <s v="IT"/>
    <x v="21"/>
    <s v="phase 3"/>
    <s v="DM"/>
    <s v="DBS"/>
    <x v="0"/>
    <s v="DMDBS_TLSTR-ST_2.1.1.8.1.42b1"/>
    <s v="CMTeam"/>
    <s v="Abhishek Sharma"/>
    <s v="\\192.168.3.3\Share\Releases\Projects\TLSTR-ST\Release_For_IT\TestBuild_1.0.1\Server CD\DBS\Setup"/>
    <m/>
    <m/>
    <m/>
    <m/>
    <m/>
    <m/>
    <m/>
    <m/>
    <x v="1"/>
    <s v=""/>
    <x v="0"/>
    <x v="0"/>
  </r>
  <r>
    <d v="2015-04-28T00:00:00"/>
    <d v="2015-04-28T00:00:00"/>
    <n v="4"/>
    <s v="2015-Apr"/>
    <n v="4"/>
    <s v="LQA"/>
    <x v="1"/>
    <m/>
    <s v="CS"/>
    <s v="GUI"/>
    <x v="0"/>
    <s v="CSGUI_2.6.2.2b1"/>
    <s v="CMTeam"/>
    <s v="Alok Bagwale"/>
    <m/>
    <m/>
    <s v="\\192.168.3.3\Share\Releases\Product\CSGUI_2.6\Build&amp;Release\Release_For_LQA\Test_Build_1.0.3\Server CD\GUI\Setup"/>
    <m/>
    <m/>
    <m/>
    <m/>
    <m/>
    <m/>
    <x v="1"/>
    <s v=""/>
    <x v="0"/>
    <x v="0"/>
  </r>
  <r>
    <d v="2015-04-29T00:00:00"/>
    <d v="2015-04-29T00:00:00"/>
    <n v="4"/>
    <s v="2015-Apr"/>
    <n v="4"/>
    <s v="LQA"/>
    <x v="1"/>
    <m/>
    <s v="MPE"/>
    <s v="MPE"/>
    <x v="1"/>
    <s v="MPE_3.2.7b4"/>
    <s v="CMTeam"/>
    <s v="Daljit Singh Maan"/>
    <m/>
    <m/>
    <s v="\\192.168.3.3\Share\Releases\Product\MEDGUI_1.1\Build&amp;Release\Release_For_LQA\Test_Build_1.0.2\Server CD\MPE\Setup\RHEL_6.3"/>
    <m/>
    <s v="Readme Re-Released"/>
    <m/>
    <m/>
    <m/>
    <m/>
    <x v="1"/>
    <s v=""/>
    <x v="0"/>
    <x v="0"/>
  </r>
  <r>
    <d v="2015-04-29T00:00:00"/>
    <d v="2015-04-29T00:00:00"/>
    <n v="4"/>
    <s v="2015-Apr"/>
    <n v="4"/>
    <s v="LQA"/>
    <x v="24"/>
    <m/>
    <s v="RT"/>
    <s v="GUI"/>
    <x v="1"/>
    <s v="RTGUI_MAC_4.0.37.0.1"/>
    <s v="CMTeam"/>
    <s v="Dheeraj Kant"/>
    <m/>
    <m/>
    <s v="\\192.168.3.3\Share\Releases\Projects\MAC\Release_For_Test\Test_Build_1.0.1\Server CD\GUI\Setup"/>
    <m/>
    <m/>
    <m/>
    <m/>
    <m/>
    <m/>
    <x v="1"/>
    <s v=""/>
    <x v="0"/>
    <x v="0"/>
  </r>
  <r>
    <d v="2015-04-29T00:00:00"/>
    <d v="2015-04-29T00:00:00"/>
    <n v="4"/>
    <s v="2015-Apr"/>
    <n v="4"/>
    <s v="LQA"/>
    <x v="20"/>
    <m/>
    <s v="CS"/>
    <s v="GUI"/>
    <x v="1"/>
    <s v="CSGUI_FNB_2.6.2.2.2"/>
    <s v="CMTeam"/>
    <s v="Alok Bagwale"/>
    <m/>
    <m/>
    <s v="\\192.168.3.3\Share\Releases\Projects\FNB\Release_For_Test\Test_Build_1.0.1\Server CD\GUI\Setup"/>
    <m/>
    <m/>
    <m/>
    <m/>
    <m/>
    <m/>
    <x v="1"/>
    <s v=""/>
    <x v="0"/>
    <x v="0"/>
  </r>
  <r>
    <d v="2015-04-29T00:00:00"/>
    <m/>
    <n v="4"/>
    <s v="2015-Apr"/>
    <s v="False"/>
    <s v="IT"/>
    <x v="21"/>
    <s v="phase 3"/>
    <s v="DM"/>
    <s v="DBS"/>
    <x v="0"/>
    <s v="DMDBS_TLSTR-ST_2.1.1.8.1.44b1"/>
    <s v="CMTeam"/>
    <s v="Sanjeev Pathak"/>
    <s v="\\192.168.3.3\Share\Releases\Projects\TLSTR-ST\Release_For_IT\TestBuild_1.0.1\Server CD\DBS\Setup"/>
    <m/>
    <m/>
    <m/>
    <m/>
    <m/>
    <m/>
    <m/>
    <m/>
    <x v="1"/>
    <s v=""/>
    <x v="0"/>
    <x v="0"/>
  </r>
  <r>
    <d v="2015-04-30T00:00:00"/>
    <d v="2015-04-30T00:00:00"/>
    <n v="4"/>
    <s v="2015-Apr"/>
    <n v="4"/>
    <s v="LQA"/>
    <x v="24"/>
    <m/>
    <s v="WWFS"/>
    <s v="GUI"/>
    <x v="1"/>
    <s v="WWFSGUI_MAC_2.2.1.4.1"/>
    <s v="CMTeam"/>
    <s v="Alok Bagwale"/>
    <m/>
    <m/>
    <s v="\\192.168.3.3\Share\Releases\Projects\MAC\Release_For_Test\Test_Build_1.0.1\Server CD\GUI\Setup"/>
    <m/>
    <m/>
    <m/>
    <m/>
    <m/>
    <m/>
    <x v="1"/>
    <s v=""/>
    <x v="0"/>
    <x v="0"/>
  </r>
  <r>
    <d v="2015-04-30T00:00:00"/>
    <d v="2015-04-30T00:00:00"/>
    <n v="4"/>
    <s v="2015-Apr"/>
    <n v="4"/>
    <s v="LQA"/>
    <x v="24"/>
    <m/>
    <s v="CS"/>
    <s v="GUI"/>
    <x v="1"/>
    <s v="CSGUI_MAC_2.6.2.2.1"/>
    <s v="CMTeam"/>
    <s v="Alok Bagwale"/>
    <m/>
    <m/>
    <s v="\\192.168.3.3\Share\Releases\Projects\MAC\Release_For_Test\Test_Build_1.0.1\Server CD\GUI\Setup"/>
    <m/>
    <m/>
    <m/>
    <m/>
    <m/>
    <m/>
    <x v="1"/>
    <s v=""/>
    <x v="0"/>
    <x v="0"/>
  </r>
  <r>
    <d v="2015-04-30T00:00:00"/>
    <d v="2015-04-30T00:00:00"/>
    <n v="4"/>
    <s v="2015-Apr"/>
    <n v="4"/>
    <s v="LQA"/>
    <x v="24"/>
    <m/>
    <s v="RE"/>
    <s v="GUI"/>
    <x v="1"/>
    <s v="REGUI_MAC_1.0.11.1.1"/>
    <s v="CMTeam"/>
    <s v="Alok Bagwale"/>
    <m/>
    <m/>
    <s v="\\192.168.3.3\Share\Releases\Projects\MAC\Release_For_Test\Test_Build_1.0.1\Server CD\GUI\Setup"/>
    <m/>
    <m/>
    <m/>
    <m/>
    <m/>
    <m/>
    <x v="1"/>
    <s v=""/>
    <x v="0"/>
    <x v="0"/>
  </r>
  <r>
    <d v="2015-04-30T00:00:00"/>
    <d v="2015-04-30T00:00:00"/>
    <n v="4"/>
    <s v="2015-Apr"/>
    <n v="4"/>
    <s v="LQA"/>
    <x v="24"/>
    <m/>
    <s v="WWCS"/>
    <s v="GUI"/>
    <x v="1"/>
    <s v="WWCSGUI_MAC_2.1.21.0.1"/>
    <s v="CMTeam"/>
    <s v="Dheeraj Kant"/>
    <m/>
    <m/>
    <s v="\\192.168.3.3\Share\Releases\Projects\MAC\Release_For_Test\Test_Build_1.0.1\Server CD\GUI\Setup"/>
    <m/>
    <m/>
    <m/>
    <m/>
    <m/>
    <m/>
    <x v="1"/>
    <s v=""/>
    <x v="0"/>
    <x v="0"/>
  </r>
  <r>
    <d v="2015-04-30T00:00:00"/>
    <d v="2015-04-30T00:00:00"/>
    <n v="4"/>
    <s v="2015-Apr"/>
    <n v="4"/>
    <s v="LQA"/>
    <x v="24"/>
    <m/>
    <s v="WWFS"/>
    <s v="GUI"/>
    <x v="1"/>
    <s v="WWFSGUI_MAC_2.1.35.0.1 "/>
    <s v="CMTeam"/>
    <s v="Alok Bagwale"/>
    <m/>
    <m/>
    <s v="\\192.168.3.3\Share\Releases\Projects\MAC\Release_For_Test\Test_Build_1.0.1\Server CD\GUI\Setup"/>
    <m/>
    <m/>
    <m/>
    <m/>
    <m/>
    <m/>
    <x v="1"/>
    <s v=""/>
    <x v="0"/>
    <x v="0"/>
  </r>
  <r>
    <d v="2015-04-30T00:00:00"/>
    <d v="2015-04-30T00:00:00"/>
    <n v="4"/>
    <s v="2015-Apr"/>
    <n v="4"/>
    <s v="LQA"/>
    <x v="0"/>
    <m/>
    <s v="MPE"/>
    <s v="MPE"/>
    <x v="0"/>
    <s v="MPE_SLT-1B_3.0.1.1.1.126b1"/>
    <s v="CMTeam"/>
    <s v="Anshul Kumar"/>
    <m/>
    <m/>
    <s v="\\192.168.3.3\Share\Releases\Projects\SLT-1B\Release_For_Test\Test_Build_1.0.0.1\Server CD\MPE\Setup"/>
    <m/>
    <s v="Readme Re-Released"/>
    <m/>
    <m/>
    <m/>
    <m/>
    <x v="1"/>
    <s v=""/>
    <x v="0"/>
    <x v="0"/>
  </r>
  <r>
    <d v="2015-05-01T00:00:00"/>
    <m/>
    <n v="5"/>
    <s v="2015-May"/>
    <s v="False"/>
    <s v="IT"/>
    <x v="21"/>
    <s v="phase 4"/>
    <s v="DM"/>
    <s v="DBS"/>
    <x v="0"/>
    <s v="DMDBS_TLSTR-ST_2.1.1.8.1.45b1"/>
    <s v="CMTeam"/>
    <s v="Sudip Ghosh"/>
    <s v="\\192.168.3.3\Share\Releases\Projects\TLSTR-ST\Release_For_IT\TestBuild_1.0.1\Server CD\DBS\Setup"/>
    <m/>
    <m/>
    <m/>
    <m/>
    <m/>
    <m/>
    <m/>
    <m/>
    <x v="1"/>
    <s v=""/>
    <x v="0"/>
    <x v="0"/>
  </r>
  <r>
    <d v="2015-05-01T00:00:00"/>
    <d v="2015-05-01T00:00:00"/>
    <n v="5"/>
    <s v="2015-May"/>
    <n v="5"/>
    <s v="LQA"/>
    <x v="24"/>
    <m/>
    <s v="MPE"/>
    <s v="GUI"/>
    <x v="1"/>
    <s v="MPEGUI_MAC_1.0.8.0.1"/>
    <s v="CMTeam"/>
    <s v="Ajay Sharma"/>
    <m/>
    <m/>
    <s v="\\192.168.3.3\Share\Releases\Projects\MAC\Release_For_Test\Test_Build_1.0.1\Server CD\GUI\Setup"/>
    <m/>
    <m/>
    <m/>
    <m/>
    <m/>
    <m/>
    <x v="1"/>
    <s v=""/>
    <x v="0"/>
    <x v="0"/>
  </r>
  <r>
    <d v="2015-05-01T00:00:00"/>
    <d v="2015-05-01T00:00:00"/>
    <n v="5"/>
    <s v="2015-May"/>
    <n v="5"/>
    <s v="IT-LQA-UAT"/>
    <x v="6"/>
    <m/>
    <s v="NM"/>
    <s v="DBS"/>
    <x v="0"/>
    <s v="NMDBS_ANTEL_4.6.1.34.2.58b1 "/>
    <s v="CMTeam"/>
    <s v="surender Kumar"/>
    <s v="\\192.168.3.3\Share\Releases\Projects\ANTEL\Release_For_IT\TestBuild_1.0.0.4\Server CD\DBS\Setup"/>
    <m/>
    <s v="\\192.168.3.3\Share\Releases\Projects\ANTEL\Release_For_Test\Test_Build_1.0.0.7\Server CD\DBS\Setup"/>
    <s v="Pass"/>
    <m/>
    <m/>
    <m/>
    <m/>
    <s v="Pradeep Raghav"/>
    <x v="0"/>
    <s v=""/>
    <x v="0"/>
    <x v="0"/>
  </r>
  <r>
    <d v="2015-05-01T00:00:00"/>
    <d v="2015-05-01T00:00:00"/>
    <n v="5"/>
    <s v="2015-May"/>
    <n v="5"/>
    <s v="LQA"/>
    <x v="15"/>
    <m/>
    <s v="MPE"/>
    <s v="MPE"/>
    <x v="0"/>
    <s v="MPE_CBD_3.2.1.3.2.16b1"/>
    <s v="CMTeam"/>
    <s v="Sandeep Aggarwal"/>
    <m/>
    <m/>
    <s v="\\192.168.3.3\share\Releases\Projects\CBD\Release_For_Test\Test_Build_1.0.0.4\Server CD\MPE\RHEL_6.3\Setup"/>
    <m/>
    <m/>
    <m/>
    <m/>
    <m/>
    <m/>
    <x v="1"/>
    <s v=""/>
    <x v="0"/>
    <x v="0"/>
  </r>
  <r>
    <d v="2015-05-01T00:00:00"/>
    <d v="2015-05-01T00:00:00"/>
    <n v="5"/>
    <s v="2015-May"/>
    <n v="5"/>
    <s v="IT-LQA"/>
    <x v="10"/>
    <m/>
    <s v="NM"/>
    <s v="DBS"/>
    <x v="0"/>
    <s v="NMDBS_COM_4.6.1.34.1.91b2"/>
    <s v="CMTeam"/>
    <s v="Anjani Kumar"/>
    <s v="\\192.168.3.3\Share\Releases\Projects\Comcast\Release_for_Test\Test_Build_4.6.7\Server CD\Database\Setup"/>
    <m/>
    <s v="\\192.168.3.3\Share\Releases\Projects\Comcast\Release_For_IT\Test_Build_4.6.1\Server CD\Database\Setup"/>
    <s v="Pass"/>
    <m/>
    <m/>
    <m/>
    <m/>
    <s v="Rudra Narayan"/>
    <x v="0"/>
    <s v=""/>
    <x v="0"/>
    <x v="0"/>
  </r>
  <r>
    <d v="2015-05-01T00:00:00"/>
    <d v="2015-05-01T00:00:00"/>
    <n v="5"/>
    <s v="2015-May"/>
    <n v="5"/>
    <s v="IT-LQA"/>
    <x v="10"/>
    <m/>
    <s v="NP"/>
    <s v="DBS"/>
    <x v="0"/>
    <s v="NPDBS_COM_1.2.3.17.1.26b2"/>
    <s v="CMTeam"/>
    <s v="Anjani Kumar"/>
    <s v="\\192.168.3.3\Share\Releases\Projects\Comcast\Release_for_Test\Test_Build_4.6.7\Server CD\Database\Setup"/>
    <m/>
    <s v="\\192.168.3.3\Share\Releases\Projects\Comcast\Release_For_IT\Test_Build_4.6.1\Server CD\Database\Setup"/>
    <s v="Pass"/>
    <m/>
    <m/>
    <m/>
    <m/>
    <s v="Rudra Narayan"/>
    <x v="0"/>
    <s v=""/>
    <x v="0"/>
    <x v="0"/>
  </r>
  <r>
    <d v="2015-05-01T00:00:00"/>
    <d v="2015-05-01T00:00:00"/>
    <n v="5"/>
    <s v="2015-May"/>
    <n v="5"/>
    <s v="IT-LQA"/>
    <x v="10"/>
    <m/>
    <s v="NM"/>
    <s v="DBS"/>
    <x v="0"/>
    <s v="NMDBS_COM_4.6.1.34.1.92b3"/>
    <s v="CMTeam"/>
    <s v="Sachin Srivastva"/>
    <s v="\\192.168.3.3\Share\Releases\Projects\Comcast\Release_for_Test\Test_Build_4.6.7\Server CD\Database\Setup"/>
    <m/>
    <s v="\\192.168.3.3\Share\Releases\Projects\Comcast\Release_For_IT\Test_Build_4.6.1\Server CD\Database\Setup"/>
    <s v="Pass"/>
    <m/>
    <m/>
    <m/>
    <m/>
    <s v="Rudra Narayan"/>
    <x v="0"/>
    <s v=""/>
    <x v="0"/>
    <x v="0"/>
  </r>
  <r>
    <d v="2015-05-02T00:00:00"/>
    <d v="2015-05-02T00:00:00"/>
    <n v="5"/>
    <s v="2015-May"/>
    <n v="5"/>
    <s v="LQA"/>
    <x v="4"/>
    <m/>
    <s v="IM"/>
    <s v="IM"/>
    <x v="1"/>
    <s v="IM_TLSTR_1.0.1.1.72"/>
    <s v="CMTeam"/>
    <s v="Ratnesh Singh"/>
    <m/>
    <m/>
    <s v="\\192.168.3.3\share\Releases\Projects\Telstra\Release_For_LQA\Test_Build_1.0.0.18\Server CD\IM\Setup"/>
    <m/>
    <m/>
    <m/>
    <m/>
    <m/>
    <m/>
    <x v="1"/>
    <s v=""/>
    <x v="0"/>
    <x v="0"/>
  </r>
  <r>
    <d v="2015-05-03T00:00:00"/>
    <d v="2015-05-03T00:00:00"/>
    <n v="5"/>
    <s v="2015-May"/>
    <n v="5"/>
    <s v="LQA"/>
    <x v="0"/>
    <m/>
    <s v="MPE"/>
    <s v="MPE"/>
    <x v="0"/>
    <s v="MPE_SLT-1B_3.0.1.1.1.127b1"/>
    <s v="CMTeam"/>
    <s v="Anshul Kumar"/>
    <m/>
    <m/>
    <s v="\\192.168.3.3\Share\Releases\Projects\SLT-1B\Release_For_Test\Test_Build_1.0.0.1\Server CD\MPE\Setup"/>
    <m/>
    <m/>
    <m/>
    <m/>
    <m/>
    <m/>
    <x v="1"/>
    <s v=""/>
    <x v="0"/>
    <x v="0"/>
  </r>
  <r>
    <d v="2015-05-06T00:00:00"/>
    <d v="2015-05-06T00:00:00"/>
    <n v="5"/>
    <s v="2015-May"/>
    <n v="5"/>
    <s v="IT-LQA"/>
    <x v="21"/>
    <s v="PHASAE -I (B-CDMA) "/>
    <s v="DM"/>
    <s v="DBS"/>
    <x v="0"/>
    <s v="DMDBS_TLSTR-ST_2.1.1.8.1.46b1"/>
    <s v="CMTeam"/>
    <s v="Abhishek Sharma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5-05-06T00:00:00"/>
    <d v="2015-05-06T00:00:00"/>
    <n v="5"/>
    <s v="2015-May"/>
    <n v="5"/>
    <s v="LQA"/>
    <x v="24"/>
    <m/>
    <s v="MPE"/>
    <s v="MPE"/>
    <x v="1"/>
    <s v="MPE_MAC_3.2.4.37.1"/>
    <s v="CMTeam"/>
    <s v="Ankit Jain"/>
    <m/>
    <m/>
    <s v="\\192.168.3.3\Share\Releases\Projects\MAC\Release_For_Test\Test_Build_1.0.1\Server CD\MPE\Setup"/>
    <m/>
    <m/>
    <m/>
    <m/>
    <m/>
    <m/>
    <x v="1"/>
    <s v=""/>
    <x v="0"/>
    <x v="0"/>
  </r>
  <r>
    <d v="2015-05-06T00:00:00"/>
    <d v="2015-05-06T00:00:00"/>
    <n v="5"/>
    <s v="2015-May"/>
    <n v="5"/>
    <s v="LQA"/>
    <x v="1"/>
    <m/>
    <s v="RE"/>
    <s v="DBS"/>
    <x v="1"/>
    <s v="REDBS_2.0.1b6"/>
    <s v="CMTeam"/>
    <s v="Anand Kumar Ojha"/>
    <m/>
    <m/>
    <s v="\\192.168.3.3\Share\Releases\Product\RE_2.0\Build&amp;Release\Release_For_LQA\Test_Build_1.0.1\Server CD\DBS\Setup"/>
    <m/>
    <m/>
    <m/>
    <m/>
    <m/>
    <m/>
    <x v="1"/>
    <s v=""/>
    <x v="0"/>
    <x v="0"/>
  </r>
  <r>
    <d v="2015-05-06T00:00:00"/>
    <d v="2015-05-06T00:00:00"/>
    <n v="5"/>
    <s v="2015-May"/>
    <n v="5"/>
    <s v="LQA"/>
    <x v="1"/>
    <m/>
    <s v="RE"/>
    <s v="GUI"/>
    <x v="1"/>
    <s v="REGUI_2.0.2b1"/>
    <s v="CMTeam"/>
    <s v="Sumit Dalal"/>
    <m/>
    <m/>
    <s v="\\192.168.3.3\Share\Releases\Product\RE_2.0\Build&amp;Release\Release_For_LQA\Test_Build_1.0.2\Server CD\GUI\Setup"/>
    <m/>
    <m/>
    <m/>
    <m/>
    <m/>
    <m/>
    <x v="1"/>
    <s v=""/>
    <x v="0"/>
    <x v="0"/>
  </r>
  <r>
    <d v="2015-05-07T00:00:00"/>
    <d v="2015-05-07T00:00:00"/>
    <n v="5"/>
    <s v="2015-May"/>
    <n v="5"/>
    <s v="IT-LQA-UAT"/>
    <x v="8"/>
    <m/>
    <s v="NM"/>
    <s v="DBS"/>
    <x v="0"/>
    <s v="NMDBS_TWC_4.6.1.11.3.62b1"/>
    <s v="CMTeam"/>
    <s v="Sachin Srivastva"/>
    <s v="\\192.168.3.3\Share\Releases\Projects\TWC\Release_For_Test\Test_Build_1.0.0.4\Server CD\DBS\Setup"/>
    <m/>
    <s v="\\192.168.3.3\Share\Releases\Projects\TWC\Release_For_IT\Test_Build_1.0.0.3\Server CD\DBS\Setup"/>
    <s v="Pass"/>
    <m/>
    <m/>
    <m/>
    <m/>
    <s v="Mayank Sharma"/>
    <x v="0"/>
    <s v=""/>
    <x v="0"/>
    <x v="0"/>
  </r>
  <r>
    <d v="2015-05-11T00:00:00"/>
    <d v="2015-05-11T00:00:00"/>
    <n v="5"/>
    <s v="2015-May"/>
    <n v="5"/>
    <s v="LQA-UAT"/>
    <x v="16"/>
    <m/>
    <s v="NM"/>
    <s v="MPE"/>
    <x v="1"/>
    <s v="NMMPE_TLN_2.0.3.53.1"/>
    <s v="CMTeam"/>
    <s v="Harish Singh"/>
    <m/>
    <m/>
    <s v="\\192.168.3.3\Share\Releases\Projects\Telenet\Build&amp;Release\Release For Test\Test_Build_4.0.41\Server CD\MPE\Setup"/>
    <s v="Pass"/>
    <m/>
    <m/>
    <m/>
    <m/>
    <s v="Ajay Kumar Pandey"/>
    <x v="0"/>
    <s v=""/>
    <x v="0"/>
    <x v="0"/>
  </r>
  <r>
    <d v="2015-05-11T00:00:00"/>
    <d v="2015-05-11T00:00:00"/>
    <n v="5"/>
    <s v="2015-May"/>
    <n v="5"/>
    <s v="LQA-UAT"/>
    <x v="10"/>
    <m/>
    <s v="WWFS"/>
    <s v="GUI"/>
    <x v="0"/>
    <s v="WWFSGUI_COM_2.1.35.0.3.1b1"/>
    <s v="CMTeam"/>
    <s v="Rajeev Kumar"/>
    <m/>
    <m/>
    <s v="\\192.168.3.3\Share\Releases\Projects\Comcast\Release_for_Test\Test_Build_4.6.7\Server CD\GUI\Setup"/>
    <s v="Pass"/>
    <s v="Readme Re-Released"/>
    <m/>
    <m/>
    <m/>
    <s v="Mayank Sharma"/>
    <x v="0"/>
    <s v=""/>
    <x v="0"/>
    <x v="0"/>
  </r>
  <r>
    <d v="2015-05-11T00:00:00"/>
    <d v="2015-05-11T00:00:00"/>
    <n v="5"/>
    <s v="2015-May"/>
    <n v="5"/>
    <s v="IT-LQA-UAT"/>
    <x v="16"/>
    <m/>
    <s v="NM"/>
    <s v="DBS"/>
    <x v="0"/>
    <s v="NMDBS_TLN_4.0.1.83.1"/>
    <s v="CMTeam"/>
    <s v="surender Kumar"/>
    <s v="\\192.168.3.3\Share\Releases\Projects\Telenet\Build&amp;Release\Release For IT\Test_Build_4.0.41\Server CD\Database\Setup"/>
    <m/>
    <s v="\\192.168.3.3\Share\Releases\Projects\Telenet\Build&amp;Release\Release For Test\Test_Build_4.0.41\Server CD\Database\Setup"/>
    <s v="Pass"/>
    <m/>
    <m/>
    <m/>
    <m/>
    <s v="Manas Ranjan Barik"/>
    <x v="0"/>
    <s v=""/>
    <x v="0"/>
    <x v="0"/>
  </r>
  <r>
    <d v="2015-05-11T00:00:00"/>
    <d v="2015-05-11T00:00:00"/>
    <n v="5"/>
    <s v="2015-May"/>
    <n v="5"/>
    <s v="IT-LQA-UAT"/>
    <x v="16"/>
    <m/>
    <s v="DM"/>
    <s v="DBS"/>
    <x v="1"/>
    <s v="DMDBS_TLN_1.0.1.11.1"/>
    <s v="CMTeam"/>
    <s v="surender Kumar"/>
    <s v="\\192.168.3.3\Share\Releases\Projects\Telenet\Build&amp;Release\Release For IT\Test_Build_4.0.41\Server CD\Database\Setup"/>
    <m/>
    <s v="\\192.168.3.3\Share\Releases\Projects\Telenet\Build&amp;Release\Release For Test\Test_Build_4.0.41\Server CD\Database\Setup"/>
    <s v="Pass"/>
    <m/>
    <m/>
    <m/>
    <m/>
    <s v="Manas Ranjan Barik"/>
    <x v="0"/>
    <s v=""/>
    <x v="0"/>
    <x v="0"/>
  </r>
  <r>
    <d v="2015-05-12T00:00:00"/>
    <d v="2015-05-12T00:00:00"/>
    <n v="5"/>
    <s v="2015-May"/>
    <n v="5"/>
    <s v="LQA"/>
    <x v="1"/>
    <m/>
    <s v="WWCS"/>
    <s v="GUI"/>
    <x v="1"/>
    <s v="WWCSGUI_2.1.23b1"/>
    <s v="CMTeam"/>
    <s v="Rajeev Kumar"/>
    <m/>
    <s v="Obsolete-LQA"/>
    <s v="\\192.168.3.3\Share\Releases\Product\WEB_CS\Build&amp;Release\Release For Test\TestBuild_2.1.23\ServerCD\GUI"/>
    <m/>
    <m/>
    <m/>
    <m/>
    <m/>
    <m/>
    <x v="2"/>
    <d v="2015-05-12T00:00:00"/>
    <x v="69"/>
    <x v="4"/>
  </r>
  <r>
    <d v="2015-05-13T00:00:00"/>
    <d v="2015-05-13T00:00:00"/>
    <n v="5"/>
    <s v="2015-May"/>
    <n v="5"/>
    <s v="LQA"/>
    <x v="1"/>
    <m/>
    <s v="MPE"/>
    <s v="MPE"/>
    <x v="0"/>
    <s v="MPE_3.2.7.1b1"/>
    <s v="CMTeam"/>
    <s v="Daljit Singh Maan"/>
    <m/>
    <m/>
    <s v="\\192.168.3.3\Share\Releases\Product\MEDGUI_1.1\Build&amp;Release\Release_For_LQA\Test_Build_1.0.2\Server CD\MPE\Setup\RHEL_6.3"/>
    <m/>
    <m/>
    <m/>
    <m/>
    <m/>
    <m/>
    <x v="1"/>
    <s v=""/>
    <x v="0"/>
    <x v="0"/>
  </r>
  <r>
    <d v="2015-05-13T00:00:00"/>
    <d v="2015-05-13T00:00:00"/>
    <n v="5"/>
    <s v="2015-May"/>
    <n v="5"/>
    <s v="IT-LQA-UAT"/>
    <x v="20"/>
    <m/>
    <s v="DM"/>
    <s v="DBS"/>
    <x v="0"/>
    <s v="DMDBS_FNB_2.1.1.11.1.5b1"/>
    <s v="CMTeam"/>
    <s v="surender Kumar"/>
    <s v="\\192.168.3.3\Share\Releases\Projects\FNB\Release_For_IT\TestBuild_1.0.1\Server CD\DBS\Setup"/>
    <m/>
    <s v="\\192.168.3.3\Share\Releases\Projects\FNB\Release_For_Test\Test_Build_1.0.2\Server CD\DBS\Setup"/>
    <s v="Pass"/>
    <m/>
    <m/>
    <m/>
    <m/>
    <s v="Pradeep Raghav"/>
    <x v="0"/>
    <s v=""/>
    <x v="0"/>
    <x v="0"/>
  </r>
  <r>
    <d v="2015-05-13T00:00:00"/>
    <d v="2015-05-13T00:00:00"/>
    <n v="5"/>
    <s v="2015-May"/>
    <n v="5"/>
    <s v="LQA-UAT"/>
    <x v="23"/>
    <m/>
    <s v="NM"/>
    <s v="DBS"/>
    <x v="1"/>
    <s v="NMDBS_MCC_4.7.1.6"/>
    <s v="CMTeam"/>
    <s v="Sumita Yadav"/>
    <m/>
    <m/>
    <s v="\\192.168.3.3\Share\Releases\Projects\MCC\Release_For_Test\Test_Build_1.0.1\Server CD\DBS\Setup"/>
    <s v="Pass"/>
    <m/>
    <m/>
    <m/>
    <m/>
    <s v="Abhishek Leekha"/>
    <x v="0"/>
    <s v=""/>
    <x v="0"/>
    <x v="0"/>
  </r>
  <r>
    <d v="2015-05-14T00:00:00"/>
    <d v="2015-05-14T00:00:00"/>
    <n v="5"/>
    <s v="2015-May"/>
    <n v="5"/>
    <s v="IT-LQA-UAT"/>
    <x v="10"/>
    <m/>
    <s v="NM"/>
    <s v="DBS"/>
    <x v="0"/>
    <s v="NMDBS_COM_4.6.1.34.1.94b1"/>
    <s v="CMTeam"/>
    <s v="Sachin Srivastva"/>
    <s v="\\192.168.3.3\Share\Releases\Projects\Comcast\Release_For_IT\Test_Build_4.6.1\Server CD\Database\Setup"/>
    <m/>
    <s v="\\192.168.3.3\Share\Releases\Projects\Comcast\Release_for_Test\Test_Build_4.6.7\Server CD\Database\Setup"/>
    <s v="Pass"/>
    <m/>
    <m/>
    <m/>
    <m/>
    <s v="Mayank Sharma"/>
    <x v="0"/>
    <s v=""/>
    <x v="0"/>
    <x v="0"/>
  </r>
  <r>
    <d v="2015-05-14T00:00:00"/>
    <d v="2015-05-14T00:00:00"/>
    <n v="5"/>
    <s v="2015-May"/>
    <n v="5"/>
    <s v="LQA"/>
    <x v="21"/>
    <m/>
    <s v="RE"/>
    <s v="DBS"/>
    <x v="0"/>
    <s v="REDBS_TLSTR-ST_2.0.1.1"/>
    <s v="CMTeam"/>
    <s v="Anand Kumar Ojha"/>
    <m/>
    <m/>
    <s v="\\192.168.3.3\Share\Releases\Projects\TLSTR-ST\Release_For_Test\Test_Build_1.0.1\Server CD\DBS\Setup"/>
    <m/>
    <m/>
    <m/>
    <m/>
    <m/>
    <m/>
    <x v="1"/>
    <s v=""/>
    <x v="0"/>
    <x v="0"/>
  </r>
  <r>
    <d v="2015-05-18T00:00:00"/>
    <d v="2015-05-18T00:00:00"/>
    <n v="5"/>
    <s v="2015-May"/>
    <n v="5"/>
    <s v="LQA-UAT"/>
    <x v="8"/>
    <m/>
    <s v="MPE"/>
    <s v="MPE"/>
    <x v="0"/>
    <s v="MPE_TWC_3.2.1.5.2.29b1"/>
    <s v="CMTeam"/>
    <s v="Ankit Jain"/>
    <m/>
    <m/>
    <s v="\\192.168.3.3\Share\Releases\Projects\TWC\Release_For_Test\Test_Build_1.0.0.4\Server CD\MPE\Setup"/>
    <s v="Pass"/>
    <m/>
    <m/>
    <m/>
    <m/>
    <s v="SUNIL KATIYAR"/>
    <x v="0"/>
    <s v=""/>
    <x v="0"/>
    <x v="0"/>
  </r>
  <r>
    <d v="2015-05-20T00:00:00"/>
    <d v="2015-05-20T00:00:00"/>
    <n v="5"/>
    <s v="2015-May"/>
    <n v="5"/>
    <s v="LQA-UAT"/>
    <x v="20"/>
    <m/>
    <s v="NM"/>
    <s v="DBS"/>
    <x v="0"/>
    <s v="NMDBS_FNB_4.7.1.7"/>
    <s v="CMTeam"/>
    <s v="surender Kumar"/>
    <m/>
    <m/>
    <s v="\\192.168.3.3\Share\Releases\Projects\FNB\Release_For_Test\Test_Build_1.0.2\Server CD\DBS\Setup"/>
    <s v="Pass"/>
    <m/>
    <m/>
    <m/>
    <m/>
    <s v="Pradeep Raghav"/>
    <x v="0"/>
    <s v=""/>
    <x v="0"/>
    <x v="0"/>
  </r>
  <r>
    <d v="2015-05-20T00:00:00"/>
    <d v="2015-05-20T00:00:00"/>
    <n v="5"/>
    <s v="2015-May"/>
    <n v="5"/>
    <s v="IT-LQA-UAT"/>
    <x v="16"/>
    <m/>
    <s v="NM"/>
    <s v="DBS"/>
    <x v="0"/>
    <s v="NMDBS_TLN_4.0.1.84.1"/>
    <s v="CMTeam"/>
    <s v="surender Kumar"/>
    <s v="\\192.168.3.3\Share\Releases\Projects\Telenet\Build&amp;Release\Release For IT\Test_Build_4.0.41\Server CD\Database\Setup"/>
    <m/>
    <s v="\\192.168.3.3\Share\Releases\Projects\Telenet\Build&amp;Release\Release For Test\Test_Build_4.0.41\Server CD\Database\Setup"/>
    <s v="Pass"/>
    <m/>
    <m/>
    <m/>
    <m/>
    <s v="Manas Ranjan Barik"/>
    <x v="0"/>
    <s v=""/>
    <x v="0"/>
    <x v="0"/>
  </r>
  <r>
    <d v="2015-05-20T00:00:00"/>
    <d v="2015-05-20T00:00:00"/>
    <n v="5"/>
    <s v="2015-May"/>
    <n v="5"/>
    <s v="LQA"/>
    <x v="10"/>
    <m/>
    <s v="RT"/>
    <s v="GUI"/>
    <x v="0"/>
    <s v="RTGUI_COM_4.0.25.1.1.4b1"/>
    <s v="CMTeam"/>
    <s v="Ajay Sharma"/>
    <m/>
    <m/>
    <s v="\\192.168.3.3\share\Releases\Projects\Comcast\Release_for_Test\Test_Build_4.6.7\Server CD\GUI\Setup"/>
    <m/>
    <s v="Readme Re-Released"/>
    <m/>
    <m/>
    <m/>
    <m/>
    <x v="1"/>
    <s v=""/>
    <x v="0"/>
    <x v="0"/>
  </r>
  <r>
    <d v="2015-05-22T00:00:00"/>
    <d v="2015-05-22T00:00:00"/>
    <n v="5"/>
    <s v="2015-May"/>
    <n v="5"/>
    <s v="LQA"/>
    <x v="1"/>
    <m/>
    <s v="NM"/>
    <s v="DBS"/>
    <x v="1"/>
    <s v="NMDBS_4.8.1b2"/>
    <s v="CMTeam"/>
    <s v="Deepak Yadav"/>
    <m/>
    <s v="Obsolete-LQA"/>
    <s v="\\192.168.3.3\Share\Releases\Product\Netmind_4.8\Build&amp;Release\Release_For_LQA\Test_Build_1.0.1\Server CD\DBS\Setup"/>
    <m/>
    <m/>
    <m/>
    <m/>
    <m/>
    <m/>
    <x v="2"/>
    <d v="2015-05-22T00:00:00"/>
    <x v="70"/>
    <x v="4"/>
  </r>
  <r>
    <d v="2015-05-22T00:00:00"/>
    <d v="2015-05-22T00:00:00"/>
    <n v="5"/>
    <s v="2015-May"/>
    <n v="5"/>
    <s v="LQA"/>
    <x v="1"/>
    <m/>
    <s v="WWFS"/>
    <s v="GUI"/>
    <x v="1"/>
    <s v="WWFSGUI_2.1.36b2"/>
    <s v="CMTeam"/>
    <s v="Rajeev Kumar"/>
    <m/>
    <s v="Obsolete-LQA"/>
    <s v="\\192.168.3.3\Share\Releases\Product\WEB_WFS\Build&amp;Release\Release For Test\TestBuild_2.1.36\ServerCD\GUI\Setup"/>
    <m/>
    <s v="Readme Re-Released"/>
    <m/>
    <m/>
    <m/>
    <m/>
    <x v="2"/>
    <d v="2015-05-22T00:00:00"/>
    <x v="70"/>
    <x v="4"/>
  </r>
  <r>
    <d v="2015-05-22T00:00:00"/>
    <d v="2015-05-22T00:00:00"/>
    <n v="5"/>
    <s v="2015-May"/>
    <n v="5"/>
    <s v="IT-LQA-UAT"/>
    <x v="7"/>
    <m/>
    <s v="NM"/>
    <s v="DBS"/>
    <x v="0"/>
    <s v="NMDBS_VON_4.0.1.71.1"/>
    <s v="CMTeam"/>
    <s v="Sachin Srivastva"/>
    <s v="\\192.168.3.3\Share\Releases\Projects\Vonage\Release_For_LQA\Test_Build_4.0.18\Server CD\DBS\Setup"/>
    <m/>
    <s v="\\192.168.3.3\Share\Releases\Projects\Vonage\Release_For_IT\Test_Build_4.0.18\Server CD\DBS\Setup"/>
    <s v="Pass"/>
    <m/>
    <m/>
    <m/>
    <m/>
    <s v="Abhishek Leekha"/>
    <x v="0"/>
    <s v=""/>
    <x v="0"/>
    <x v="0"/>
  </r>
  <r>
    <d v="2015-05-22T00:00:00"/>
    <d v="2015-05-22T00:00:00"/>
    <n v="5"/>
    <s v="2015-May"/>
    <n v="5"/>
    <s v="LQA-UAT"/>
    <x v="1"/>
    <m/>
    <s v="NP"/>
    <s v="DBS"/>
    <x v="1"/>
    <s v="NPDBS_1.3.2b5"/>
    <s v="CMTeam"/>
    <s v="Nitin Kumar"/>
    <m/>
    <s v="Obsolete-LQA"/>
    <s v="\\192.168.3.3\Share\Releases\Product\NetMindPOS_1.3\Build&amp;Release\Release_For_LQA\Test_Build_1.0.3\Server CD\DBS\Setup"/>
    <s v="Pass"/>
    <s v="Readme Re-Released"/>
    <m/>
    <m/>
    <m/>
    <s v="rahul kumar"/>
    <x v="2"/>
    <d v="2015-05-22T00:00:00"/>
    <x v="70"/>
    <x v="4"/>
  </r>
  <r>
    <d v="2015-05-25T00:00:00"/>
    <d v="2015-05-25T00:00:00"/>
    <n v="5"/>
    <s v="2015-May"/>
    <n v="5"/>
    <s v="IT-LQA-UAT"/>
    <x v="4"/>
    <m/>
    <s v="NM"/>
    <s v="DBS"/>
    <x v="0"/>
    <s v="NMDBS_TLSTR_4.0.1.0.4.322b1"/>
    <s v="CMTeam"/>
    <s v="Deepak Yadav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ashwani "/>
    <x v="0"/>
    <s v=""/>
    <x v="0"/>
    <x v="0"/>
  </r>
  <r>
    <d v="2015-05-25T00:00:00"/>
    <d v="2015-05-25T00:00:00"/>
    <n v="5"/>
    <s v="2015-May"/>
    <n v="5"/>
    <s v="LQA-UAT"/>
    <x v="4"/>
    <m/>
    <s v="MPE"/>
    <s v="MPE"/>
    <x v="0"/>
    <s v="MPE_TLSTR-2b_3.0.0.3.1.112b1"/>
    <s v="CMTeam"/>
    <s v="Sandeep Aggarwal"/>
    <m/>
    <m/>
    <s v="\\192.168.3.3\Share\Releases\Projects\Telstra-2b\Release_For_Test\Test_Build_1.0.0.1\Server CD\MPE\Setup"/>
    <s v="Pass"/>
    <s v="Readme Re-Released"/>
    <m/>
    <m/>
    <m/>
    <s v="ashwani "/>
    <x v="0"/>
    <s v=""/>
    <x v="0"/>
    <x v="0"/>
  </r>
  <r>
    <d v="2015-05-25T00:00:00"/>
    <d v="2015-05-25T00:00:00"/>
    <n v="5"/>
    <s v="2015-May"/>
    <n v="5"/>
    <s v="LQA"/>
    <x v="1"/>
    <m/>
    <s v="MPE"/>
    <s v="MPE"/>
    <x v="0"/>
    <s v="MPE_3.2.4.39b1 "/>
    <s v="CMTeam"/>
    <s v="Harish Singh"/>
    <m/>
    <m/>
    <s v="\\192.168.3.3\Share\Releases\Product\MPE_GUI\ReleaseForLQA\TestBuild_1.0.0.2\Server CD\MPE\Setup"/>
    <m/>
    <m/>
    <m/>
    <m/>
    <m/>
    <m/>
    <x v="1"/>
    <s v=""/>
    <x v="0"/>
    <x v="0"/>
  </r>
  <r>
    <d v="2015-05-25T00:00:00"/>
    <d v="2015-05-25T00:00:00"/>
    <n v="5"/>
    <s v="2015-May"/>
    <n v="5"/>
    <s v="LQA"/>
    <x v="1"/>
    <m/>
    <s v="RE"/>
    <s v="GUI"/>
    <x v="1"/>
    <s v=" REGUI_2.0.3b1"/>
    <s v="CMTeam"/>
    <s v="Alok Bagwale"/>
    <m/>
    <m/>
    <s v="\\192.168.3.3\Share\Releases\Product\RE_2.0\Build&amp;Release\Release_For_LQA\Test_Build_1.0.2\Server CD\GUI\Setup"/>
    <m/>
    <m/>
    <m/>
    <m/>
    <m/>
    <m/>
    <x v="1"/>
    <s v=""/>
    <x v="0"/>
    <x v="0"/>
  </r>
  <r>
    <d v="2015-05-25T00:00:00"/>
    <d v="2015-05-25T00:00:00"/>
    <n v="5"/>
    <s v="2015-May"/>
    <n v="5"/>
    <s v="LQA"/>
    <x v="1"/>
    <m/>
    <s v="RE"/>
    <s v="DBS"/>
    <x v="1"/>
    <s v="REDBS_2.0.1b7"/>
    <s v="CMTeam"/>
    <s v="Deepender Singh"/>
    <m/>
    <m/>
    <s v="\\192.168.3.3\Share\Releases\Product\RE_2.0\Build&amp;Release\Release_For_LQA\Test_Build_1.0.2\Server CD\DBS\Setup"/>
    <m/>
    <s v="Readme Re-Released"/>
    <m/>
    <m/>
    <m/>
    <m/>
    <x v="1"/>
    <s v=""/>
    <x v="0"/>
    <x v="0"/>
  </r>
  <r>
    <d v="2015-05-26T00:00:00"/>
    <d v="2015-05-26T00:00:00"/>
    <n v="5"/>
    <s v="2015-May"/>
    <n v="5"/>
    <s v="IT-LQA"/>
    <x v="21"/>
    <s v="phase 1"/>
    <s v="DM"/>
    <s v="DBS"/>
    <x v="0"/>
    <s v="DMDBS_TLSTR-ST_2.1.1.8.1.47b1"/>
    <s v="CMTeam"/>
    <s v="Abhishek Sharma"/>
    <s v="\\192.168.3.3\Share\Releases\Projects\TLSTR-ST\Release_For_IT\TestBuild_1.0.1\Server CD\DBS\Setup"/>
    <m/>
    <s v="\\192.168.3.3\Share\Releases\Projects\TLSTR-ST\Release_For_Test\Test_Build_1.0.1\Server CD\DBS\Setup"/>
    <m/>
    <m/>
    <m/>
    <m/>
    <m/>
    <m/>
    <x v="1"/>
    <s v=""/>
    <x v="0"/>
    <x v="0"/>
  </r>
  <r>
    <d v="2015-05-26T00:00:00"/>
    <d v="2015-05-26T00:00:00"/>
    <n v="5"/>
    <s v="2015-May"/>
    <n v="5"/>
    <s v="LQA-UAT"/>
    <x v="23"/>
    <m/>
    <s v="WWFS"/>
    <s v="GUI"/>
    <x v="0"/>
    <s v="WWFSGUI_MCC_2.1.35.0.2.1b1"/>
    <s v="CMTeam"/>
    <s v="Rajeev Kumar"/>
    <m/>
    <m/>
    <s v="\\192.168.3.3\Share\Releases\Projects\MCC\Release_For_Test\Test_Build_1.0.1\Server CD\GUI\Setup"/>
    <s v="Pass"/>
    <m/>
    <m/>
    <m/>
    <m/>
    <s v="Shivang"/>
    <x v="0"/>
    <s v=""/>
    <x v="0"/>
    <x v="0"/>
  </r>
  <r>
    <d v="2015-05-27T00:00:00"/>
    <d v="2015-05-27T00:00:00"/>
    <n v="5"/>
    <s v="2015-May"/>
    <n v="5"/>
    <s v="LQA"/>
    <x v="1"/>
    <m/>
    <s v="IM"/>
    <s v="IM"/>
    <x v="1"/>
    <s v="IM_1.0.7b1"/>
    <s v="CMTeam"/>
    <s v="Ratnesh Singh"/>
    <m/>
    <m/>
    <s v="\\192.168.3.3\Share\Releases\Product\IM_1.0\Build&amp;Release\Release_For_LQA\Test_Build_1.0.6\Server CD\IM\Setup"/>
    <m/>
    <m/>
    <m/>
    <m/>
    <m/>
    <m/>
    <x v="1"/>
    <s v=""/>
    <x v="0"/>
    <x v="0"/>
  </r>
  <r>
    <d v="2015-05-28T00:00:00"/>
    <d v="2015-05-28T00:00:00"/>
    <n v="5"/>
    <s v="2015-May"/>
    <n v="5"/>
    <s v="LQA-UAT"/>
    <x v="0"/>
    <m/>
    <s v="MPE"/>
    <s v="MPE"/>
    <x v="0"/>
    <s v="MPE_SLT-1B_3.0.1.1.1.128b1"/>
    <s v="CMTeam"/>
    <s v="Anshul Kumar"/>
    <m/>
    <m/>
    <s v="\\192.168.3.3\Share\Releases\Projects\SLT-1B\Release_For_Test\Test_Build_1.0.0.1\Server CD\MPE\Setup"/>
    <s v="Pass"/>
    <m/>
    <m/>
    <m/>
    <m/>
    <s v="KV krishna"/>
    <x v="0"/>
    <s v=""/>
    <x v="0"/>
    <x v="0"/>
  </r>
  <r>
    <d v="2015-05-28T00:00:00"/>
    <d v="2015-05-28T00:00:00"/>
    <n v="5"/>
    <s v="2015-May"/>
    <n v="5"/>
    <s v="IT-LQA-UAT"/>
    <x v="20"/>
    <m/>
    <s v="DM"/>
    <s v="DBS"/>
    <x v="0"/>
    <s v="DMDBS_FNB_2.1.1.11.1.6b1"/>
    <s v="CMTeam"/>
    <s v="surender Kumar"/>
    <s v="\\192.168.3.3\Share\Releases\Projects\FNB\Release_For_IT\TestBuild_1.0.1\Server CD\DBS\Setup"/>
    <m/>
    <s v="\\192.168.3.3\Share\Releases\Projects\FNB\Release_For_Test\Test_Build_1.0.2\Server CD\DBS\Setup"/>
    <s v="Pass"/>
    <m/>
    <m/>
    <m/>
    <m/>
    <s v="Pradeep Raghav"/>
    <x v="0"/>
    <s v=""/>
    <x v="0"/>
    <x v="0"/>
  </r>
  <r>
    <d v="2015-05-28T00:00:00"/>
    <d v="2015-05-28T00:00:00"/>
    <n v="5"/>
    <s v="2015-May"/>
    <n v="5"/>
    <s v="IT-LQA"/>
    <x v="8"/>
    <m/>
    <s v="NM"/>
    <s v="DBS"/>
    <x v="0"/>
    <s v="NMDBS_TWC_4.6.1.11.3.63b1"/>
    <s v="CMTeam"/>
    <s v="Sachin Srivastva"/>
    <s v="\\192.168.3.3\Share\Releases\Projects\TWC\Release_For_IT\Test_Build_1.0.0.3\Server CD\DBS\Setup"/>
    <s v="Obsolete-LQA"/>
    <s v="\\192.168.3.3\Share\Releases\Projects\TWC\Release_For_Test\Test_Build_1.0.0.4\Server CD\DBS\Setup"/>
    <m/>
    <m/>
    <m/>
    <m/>
    <m/>
    <m/>
    <x v="2"/>
    <d v="2015-05-28T00:00:00"/>
    <x v="71"/>
    <x v="4"/>
  </r>
  <r>
    <d v="2015-05-29T00:00:00"/>
    <d v="2015-05-29T00:00:00"/>
    <n v="5"/>
    <s v="2015-May"/>
    <n v="5"/>
    <s v="LQA"/>
    <x v="20"/>
    <m/>
    <s v="RA"/>
    <s v="DBS"/>
    <x v="1"/>
    <s v="RADBS_FNB_3.0.1.2"/>
    <s v="CMTeam"/>
    <s v="surender Kumar"/>
    <m/>
    <m/>
    <s v="\\192.168.3.3\Share\Releases\Projects\FNB\Release_For_Test\Test_Build_1.0.2\Server CD\DBS\Setup"/>
    <m/>
    <m/>
    <m/>
    <m/>
    <m/>
    <m/>
    <x v="1"/>
    <s v=""/>
    <x v="0"/>
    <x v="0"/>
  </r>
  <r>
    <d v="2015-05-29T00:00:00"/>
    <d v="2015-05-29T00:00:00"/>
    <n v="5"/>
    <s v="2015-May"/>
    <n v="5"/>
    <s v="LQA"/>
    <x v="1"/>
    <m/>
    <s v="MPE"/>
    <s v="GUI"/>
    <x v="1"/>
    <s v="MPEGUI_1.1.4b1"/>
    <s v="CMTeam"/>
    <s v="Ajay Sharma"/>
    <m/>
    <m/>
    <s v="\\192.168.3.3\Share\Releases\Product\MEDGUI_1.1\Build&amp;Release\Release_For_LQA\Test_Build_1.0.2\Server CD\GUI\Setup"/>
    <m/>
    <m/>
    <m/>
    <m/>
    <m/>
    <m/>
    <x v="1"/>
    <s v=""/>
    <x v="0"/>
    <x v="0"/>
  </r>
  <r>
    <d v="2015-05-29T00:00:00"/>
    <d v="2015-05-29T00:00:00"/>
    <n v="5"/>
    <s v="2015-May"/>
    <n v="5"/>
    <s v="LQA-UAT"/>
    <x v="20"/>
    <m/>
    <s v="MPE"/>
    <s v="MPE"/>
    <x v="0"/>
    <s v="MPE_FNB_3.2.4.39.1.11b1"/>
    <s v="CMTeam"/>
    <s v="Harish Singh"/>
    <m/>
    <m/>
    <s v="\\192.168.3.3\Share\Releases\Projects\FNB\Release_For_Test\Test_Build_1.0.2\Server CD\MPE\Setup"/>
    <s v="Pass"/>
    <m/>
    <m/>
    <m/>
    <m/>
    <s v="Manas Ranjan Barik"/>
    <x v="0"/>
    <s v=""/>
    <x v="0"/>
    <x v="0"/>
  </r>
  <r>
    <d v="2015-05-29T00:00:00"/>
    <d v="2015-05-29T00:00:00"/>
    <n v="5"/>
    <s v="2015-May"/>
    <n v="5"/>
    <s v="LQA"/>
    <x v="1"/>
    <m/>
    <s v="MPE"/>
    <s v="DBS"/>
    <x v="1"/>
    <s v="MPEDBS_1.1.1b5"/>
    <s v="CMTeam"/>
    <s v="Puneet Gupta"/>
    <m/>
    <m/>
    <s v="\\192.168.3.3\Share\Releases\Product\MEDGUI_1.1\Build&amp;Release\Release_For_LQA\Test_Build_1.0.2\Server CD\DBS\Setup"/>
    <m/>
    <m/>
    <m/>
    <m/>
    <m/>
    <m/>
    <x v="1"/>
    <s v=""/>
    <x v="0"/>
    <x v="0"/>
  </r>
  <r>
    <d v="2015-06-01T00:00:00"/>
    <d v="2015-06-01T00:00:00"/>
    <n v="6"/>
    <s v="2015-Jun"/>
    <n v="6"/>
    <s v="LQA"/>
    <x v="4"/>
    <m/>
    <s v="MPE"/>
    <s v="MPE"/>
    <x v="0"/>
    <s v="MPE_TLSTR-2b_3.0.0.3.1.113b1"/>
    <s v="CMTeam"/>
    <s v="Sandeep Aggarwal"/>
    <m/>
    <s v="Obsolete-LQA"/>
    <s v="\\192.168.3.3\Share\Releases\Projects\Telstra-2b\Release_For_Test\Test_Build_1.0.0.1\Server CD\MPE\Setup"/>
    <m/>
    <m/>
    <m/>
    <m/>
    <m/>
    <m/>
    <x v="2"/>
    <d v="2015-06-01T00:00:00"/>
    <x v="72"/>
    <x v="4"/>
  </r>
  <r>
    <d v="2015-06-01T00:00:00"/>
    <d v="2015-06-01T00:00:00"/>
    <n v="6"/>
    <s v="2015-Jun"/>
    <n v="6"/>
    <s v="LQA-UAT"/>
    <x v="4"/>
    <m/>
    <s v="MPE"/>
    <s v="MPE"/>
    <x v="0"/>
    <s v="MPE_TLSTR-2b_3.0.0.3.1.113b2"/>
    <s v="CMTeam"/>
    <s v="Sandeep Aggarwal"/>
    <m/>
    <m/>
    <s v="\\192.168.3.3\Share\Releases\Projects\Telstra-2b\Release_For_Test\Test_Build_1.0.0.1\Server CD\MPE\Setup"/>
    <s v="Pass"/>
    <m/>
    <m/>
    <m/>
    <m/>
    <s v="ashwani "/>
    <x v="0"/>
    <s v=""/>
    <x v="0"/>
    <x v="0"/>
  </r>
  <r>
    <d v="2015-06-01T00:00:00"/>
    <d v="2015-06-01T00:00:00"/>
    <n v="6"/>
    <s v="2015-Jun"/>
    <n v="6"/>
    <s v="IT-LQA-UAT"/>
    <x v="4"/>
    <m/>
    <s v="DBS"/>
    <s v="DBS"/>
    <x v="0"/>
    <s v="NMDBS_TLSTR_4.0.1.0.4.323b1"/>
    <s v="CMTeam"/>
    <s v="Deepak Yadav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Gaurav Shukla"/>
    <x v="0"/>
    <s v=""/>
    <x v="0"/>
    <x v="0"/>
  </r>
  <r>
    <d v="2015-06-02T00:00:00"/>
    <d v="2015-06-02T00:00:00"/>
    <n v="6"/>
    <s v="2015-Jun"/>
    <n v="6"/>
    <s v="IT-LQA-UAT"/>
    <x v="0"/>
    <m/>
    <s v="DM"/>
    <s v="DBS"/>
    <x v="0"/>
    <s v="DMDBS_SLT_2.0.0.26.1.229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Paritosh Ghildiyal"/>
    <x v="0"/>
    <s v=""/>
    <x v="0"/>
    <x v="0"/>
  </r>
  <r>
    <d v="2015-06-02T00:00:00"/>
    <d v="2015-06-02T00:00:00"/>
    <n v="6"/>
    <s v="2015-Jun"/>
    <n v="6"/>
    <s v="IT-LQA-UAT"/>
    <x v="0"/>
    <m/>
    <s v="RA"/>
    <s v="DBS"/>
    <x v="0"/>
    <s v="RADBS_SLT_2.1.1.15.1.106b1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Paritosh Ghildiyal"/>
    <x v="0"/>
    <s v=""/>
    <x v="0"/>
    <x v="0"/>
  </r>
  <r>
    <d v="2015-06-02T00:00:00"/>
    <d v="2015-06-02T00:00:00"/>
    <n v="6"/>
    <s v="2015-Jun"/>
    <n v="6"/>
    <s v="LQA-UAT"/>
    <x v="20"/>
    <m/>
    <s v="NM"/>
    <s v="DBS"/>
    <x v="1"/>
    <s v="NMDBS_FNB_4.7.1.8"/>
    <s v="CMTeam"/>
    <s v="surender Kumar"/>
    <m/>
    <m/>
    <s v="\\192.168.3.3\Share\Releases\Projects\FNB\Release_For_Test\Test_Build_1.0.2\Server CD\DBS\Setup"/>
    <s v="Pass"/>
    <m/>
    <m/>
    <m/>
    <m/>
    <s v="Pradeep Raghav"/>
    <x v="0"/>
    <s v=""/>
    <x v="0"/>
    <x v="0"/>
  </r>
  <r>
    <d v="2015-06-02T00:00:00"/>
    <d v="2015-06-02T00:00:00"/>
    <n v="6"/>
    <s v="2015-Jun"/>
    <n v="6"/>
    <s v="LQA-UAT"/>
    <x v="4"/>
    <m/>
    <s v="MPE"/>
    <s v="MPE"/>
    <x v="0"/>
    <s v="MPE_TLSTR-2b_3.0.0.3.1.114b1"/>
    <s v="CMTeam"/>
    <s v="Sandeep Aggarwal"/>
    <m/>
    <m/>
    <s v="\\192.168.3.3\Share\Releases\Projects\Telstra-2b\Release_For_Test\Test_Build_1.0.0.1\Server CD\MPE\Setup"/>
    <s v="Pass"/>
    <s v="Readme Re-Released"/>
    <m/>
    <m/>
    <m/>
    <s v="Gaurav Shukla"/>
    <x v="0"/>
    <s v=""/>
    <x v="0"/>
    <x v="0"/>
  </r>
  <r>
    <d v="2015-06-03T00:00:00"/>
    <d v="2015-06-03T00:00:00"/>
    <n v="6"/>
    <s v="2015-Jun"/>
    <n v="6"/>
    <s v="IT-LQA"/>
    <x v="0"/>
    <m/>
    <s v="RA"/>
    <s v="DBS"/>
    <x v="0"/>
    <s v="RADBS_SLT_2.1.1.15.1.107b1"/>
    <s v="CMTeam"/>
    <s v="Raja Sarkar"/>
    <s v="\\192.168.3.3\Share\Releases\Projects\SLT\Release_For_IT\Test_Build_1.0.0.4\Server CD\DBS\Setup"/>
    <s v="Obsolete-LQA"/>
    <s v="\\192.168.3.3\Share\Releases\Projects\SLT\Release_For_LQA\Test_Build_1.0.0.24\Server CD\DBS\Setup"/>
    <m/>
    <m/>
    <m/>
    <m/>
    <m/>
    <m/>
    <x v="2"/>
    <d v="2015-06-03T00:00:00"/>
    <x v="72"/>
    <x v="4"/>
  </r>
  <r>
    <d v="2015-06-03T00:00:00"/>
    <d v="2015-06-03T00:00:00"/>
    <n v="6"/>
    <s v="2015-Jun"/>
    <n v="6"/>
    <s v="IT-LQA"/>
    <x v="0"/>
    <m/>
    <s v="DM"/>
    <s v="DBS"/>
    <x v="0"/>
    <s v="DMDBS_SLT_2.0.0.26.1.230b1"/>
    <s v="CMTeam"/>
    <s v="Raja Sarkar"/>
    <s v="\\192.168.3.3\Share\Releases\Projects\SLT\Release_For_IT\Test_Build_1.0.0.4\Server CD\DBS\Setup"/>
    <s v="Obsolete-LQA"/>
    <s v="\\192.168.3.3\Share\Releases\Projects\SLT\Release_For_LQA\Test_Build_1.0.0.24\Server CD\DBS\Setup"/>
    <m/>
    <m/>
    <m/>
    <m/>
    <m/>
    <m/>
    <x v="2"/>
    <d v="2015-06-03T00:00:00"/>
    <x v="72"/>
    <x v="4"/>
  </r>
  <r>
    <d v="2015-06-03T00:00:00"/>
    <d v="2015-06-03T00:00:00"/>
    <n v="6"/>
    <s v="2015-Jun"/>
    <n v="6"/>
    <s v="LQA-UAT"/>
    <x v="0"/>
    <m/>
    <s v="MPE"/>
    <s v="MPE"/>
    <x v="0"/>
    <s v="MPE_SLT-1B_3.0.1.1.1.129b1"/>
    <s v="CMTeam"/>
    <s v="Anshul Kumar"/>
    <m/>
    <m/>
    <s v="\\192.168.3.3\Share\Releases\Projects\SLT-1B\Release_For_Test\Test_Build_1.0.0.1\Server CD\MPE\Setup"/>
    <s v="Pass"/>
    <m/>
    <m/>
    <m/>
    <m/>
    <s v="KV krishna"/>
    <x v="0"/>
    <s v=""/>
    <x v="0"/>
    <x v="0"/>
  </r>
  <r>
    <d v="2015-06-03T00:00:00"/>
    <d v="2015-06-03T00:00:00"/>
    <n v="6"/>
    <s v="2015-Jun"/>
    <n v="6"/>
    <s v="IT-LQA-UAT"/>
    <x v="0"/>
    <m/>
    <s v="RA"/>
    <s v="DBS"/>
    <x v="0"/>
    <s v="RADBS_SLT_2.1.1.15.1.107b2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s v="Readme Re-Released"/>
    <m/>
    <m/>
    <m/>
    <s v="KV krishna"/>
    <x v="0"/>
    <s v=""/>
    <x v="0"/>
    <x v="0"/>
  </r>
  <r>
    <d v="2015-06-03T00:00:00"/>
    <d v="2015-06-03T00:00:00"/>
    <n v="6"/>
    <s v="2015-Jun"/>
    <n v="6"/>
    <s v="IT-LQA-UAT"/>
    <x v="0"/>
    <m/>
    <s v="DM"/>
    <s v="DBS"/>
    <x v="0"/>
    <s v="DMDBS_SLT_2.0.0.26.1.230b2"/>
    <s v="CMTeam"/>
    <s v="Raja Sarkar"/>
    <s v="\\192.168.3.3\Share\Releases\Projects\SLT\Release_For_IT\Test_Build_1.0.0.4\Server CD\DBS\Setup"/>
    <m/>
    <s v="\\192.168.3.3\Share\Releases\Projects\SLT\Release_For_LQA\Test_Build_1.0.0.24\Server CD\DBS\Setup"/>
    <s v="Pass"/>
    <s v="Readme Re-Released"/>
    <m/>
    <m/>
    <m/>
    <s v="KV krishna"/>
    <x v="0"/>
    <s v=""/>
    <x v="0"/>
    <x v="0"/>
  </r>
  <r>
    <d v="2015-06-03T00:00:00"/>
    <d v="2015-06-03T00:00:00"/>
    <n v="6"/>
    <s v="2015-Jun"/>
    <n v="6"/>
    <s v="IT-LQA-UAT"/>
    <x v="20"/>
    <m/>
    <s v="DM"/>
    <s v="DBS"/>
    <x v="0"/>
    <s v="DMDBS_FNB_2.1.1.11.1.7b1"/>
    <s v="CMTeam"/>
    <s v="surender Kumar"/>
    <s v="\\192.168.3.3\Share\Releases\Projects\FNB\Release_For_IT\TestBuild_1.0.1\Server CD\DBS\Setup"/>
    <m/>
    <s v="\\192.168.3.3\Share\Releases\Projects\FNB\Release_For_Test\Test_Build_1.0.2\Server CD\DBS\Setup"/>
    <s v="Pass"/>
    <m/>
    <m/>
    <m/>
    <m/>
    <s v="Pradeep Raghav"/>
    <x v="0"/>
    <s v=""/>
    <x v="0"/>
    <x v="0"/>
  </r>
  <r>
    <d v="2015-06-03T00:00:00"/>
    <d v="2015-06-03T00:00:00"/>
    <n v="6"/>
    <s v="2015-Jun"/>
    <n v="6"/>
    <s v="LQA"/>
    <x v="8"/>
    <m/>
    <s v="MPE"/>
    <s v="MPE"/>
    <x v="0"/>
    <s v="MPE_TWC_3.2.1.5.2.30b1"/>
    <s v="CMTeam"/>
    <s v="Ankit Jain"/>
    <m/>
    <m/>
    <s v="\\192.168.3.3\Share\Releases\Projects\TWC\Release_For_Test\Test_Build_1.0.0.4\Server CD\MPE\Setup"/>
    <m/>
    <m/>
    <m/>
    <m/>
    <m/>
    <m/>
    <x v="1"/>
    <s v=""/>
    <x v="0"/>
    <x v="0"/>
  </r>
  <r>
    <d v="2015-06-04T00:00:00"/>
    <d v="2015-06-04T00:00:00"/>
    <n v="6"/>
    <s v="2015-Jun"/>
    <n v="6"/>
    <s v="LQA"/>
    <x v="0"/>
    <m/>
    <s v="MPE"/>
    <s v="MPE"/>
    <x v="0"/>
    <s v="MPE_SLT-1B_3.0.1.1.1.120b1_E1"/>
    <s v="CMTeam"/>
    <s v="Anshul Kumar"/>
    <m/>
    <s v="Obsolete-LQA"/>
    <s v="\\192.168.3.3\Share\Releases\Projects\SLT-1B\Release_For_Test\Test_Build_1.0.0.1\Server CD\MPE\Setup"/>
    <m/>
    <m/>
    <m/>
    <m/>
    <m/>
    <m/>
    <x v="2"/>
    <d v="2015-06-04T00:00:00"/>
    <x v="72"/>
    <x v="4"/>
  </r>
  <r>
    <d v="2015-06-05T00:00:00"/>
    <d v="2015-06-05T00:00:00"/>
    <n v="6"/>
    <s v="2015-Jun"/>
    <n v="6"/>
    <s v="IT-LQA-UAT"/>
    <x v="8"/>
    <m/>
    <s v="NM"/>
    <s v="DBS"/>
    <x v="0"/>
    <s v="NMDBS_TWC_4.6.1.11.3.63b2"/>
    <s v="CMTeam"/>
    <s v="Sachin Srivastva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Abhishek Leekha"/>
    <x v="0"/>
    <s v=""/>
    <x v="0"/>
    <x v="0"/>
  </r>
  <r>
    <d v="2015-06-05T00:00:00"/>
    <d v="2015-06-05T00:00:00"/>
    <n v="6"/>
    <s v="2015-Jun"/>
    <n v="6"/>
    <s v="LQA"/>
    <x v="5"/>
    <m/>
    <s v="NM"/>
    <s v="DBS"/>
    <x v="1"/>
    <s v="NMDBS_BHN_4.7.1.15"/>
    <s v="CMTeam"/>
    <s v="surender Kumar"/>
    <m/>
    <m/>
    <s v="\\192.168.3.3\Share\Releases\Projects\BHN\Release_For_Test\Test_Build_1.0.6\Server CD\DBS\Setup"/>
    <m/>
    <s v="Readme Re-Released"/>
    <m/>
    <m/>
    <m/>
    <m/>
    <x v="1"/>
    <s v=""/>
    <x v="0"/>
    <x v="0"/>
  </r>
  <r>
    <d v="2015-06-08T00:00:00"/>
    <d v="2015-06-08T00:00:00"/>
    <n v="6"/>
    <s v="2015-Jun"/>
    <n v="6"/>
    <s v="IT-LQA"/>
    <x v="10"/>
    <m/>
    <s v="NM"/>
    <s v="DBS"/>
    <x v="0"/>
    <s v=" NMDBS_COM_4.6.1.35.1.95b1"/>
    <s v="CMTeam"/>
    <s v="Sumita Yadav"/>
    <s v="\\192.168.3.3\Share\Releases\Projects\Comcast\Release_For_IT\Test_Build_4.6.1\Server CD\Database\Setup"/>
    <s v="Obsolete-LQA"/>
    <s v="\\192.168.3.3\Share\Releases\Projects\Comcast\Release_for_Test\Test_Build_4.6.7\Server CD\Database\Setup"/>
    <m/>
    <m/>
    <m/>
    <m/>
    <m/>
    <m/>
    <x v="2"/>
    <d v="2015-06-08T00:00:00"/>
    <x v="73"/>
    <x v="4"/>
  </r>
  <r>
    <d v="2015-06-08T00:00:00"/>
    <d v="2015-06-08T00:00:00"/>
    <n v="6"/>
    <s v="2015-Jun"/>
    <n v="6"/>
    <s v="LQA"/>
    <x v="1"/>
    <m/>
    <s v="RE"/>
    <s v="DBS"/>
    <x v="1"/>
    <s v="REDBS_2.0.1b8"/>
    <s v="CMTeam"/>
    <s v="Deepender Singh"/>
    <m/>
    <m/>
    <s v="\\192.168.3.3\Share\Releases\Product\RE_2.0\Build&amp;Release\Release_For_LQA\Test_Build_1.0.2\Server CD\DBS\Setup"/>
    <m/>
    <s v="Readme Re-Released"/>
    <m/>
    <m/>
    <m/>
    <m/>
    <x v="1"/>
    <s v=""/>
    <x v="0"/>
    <x v="0"/>
  </r>
  <r>
    <d v="2015-06-08T00:00:00"/>
    <d v="2015-06-08T00:00:00"/>
    <n v="6"/>
    <s v="2015-Jun"/>
    <n v="6"/>
    <s v="LQA"/>
    <x v="1"/>
    <m/>
    <s v="MPE"/>
    <s v="MPE"/>
    <x v="1"/>
    <s v="MPE_3.2.8b1_CentOS_7.0 "/>
    <s v="CMTeam"/>
    <s v="Daljit Singh Maan"/>
    <m/>
    <s v="Obsolete-LQA"/>
    <s v="\\192.168.3.3\Share\Releases\Product\MPE_3.2.8\Build&amp;Release\Release_For_LQA\Test_Build_1.0.1\Server CD\MPE\Setup"/>
    <m/>
    <m/>
    <m/>
    <m/>
    <m/>
    <m/>
    <x v="2"/>
    <d v="2015-06-08T00:00:00"/>
    <x v="73"/>
    <x v="4"/>
  </r>
  <r>
    <d v="2015-06-09T00:00:00"/>
    <d v="2015-06-09T00:00:00"/>
    <n v="6"/>
    <s v="2015-Jun"/>
    <n v="6"/>
    <s v="LQA"/>
    <x v="1"/>
    <m/>
    <s v="AWF"/>
    <s v="AWF"/>
    <x v="1"/>
    <s v="AWF_2.0.1b34"/>
    <s v="CMTeam"/>
    <s v="Ratnesh Singh"/>
    <m/>
    <m/>
    <s v="\\192.168.3.3\Share\Releases\Product\AWF\Build&amp;Release\Release For Test\TestBuild_2.0.1\Setup"/>
    <m/>
    <m/>
    <m/>
    <m/>
    <m/>
    <m/>
    <x v="1"/>
    <s v=""/>
    <x v="0"/>
    <x v="0"/>
  </r>
  <r>
    <d v="2015-06-09T00:00:00"/>
    <d v="2015-06-09T00:00:00"/>
    <n v="6"/>
    <s v="2015-Jun"/>
    <n v="6"/>
    <s v="LQA"/>
    <x v="1"/>
    <m/>
    <s v="WWCS"/>
    <s v="GUI"/>
    <x v="1"/>
    <s v="WWCSGUI_2.1.23b2"/>
    <s v="CMTeam"/>
    <s v="Rajeev Kumar"/>
    <m/>
    <s v="Obsolete-LQA"/>
    <s v="\\192.168.3.3\Share\Releases\Product\WEB_CS\Build&amp;Release\Release For Test\TestBuild_2.1.23\ServerCD\GUI"/>
    <m/>
    <m/>
    <m/>
    <m/>
    <m/>
    <m/>
    <x v="2"/>
    <d v="2015-06-09T00:00:00"/>
    <x v="73"/>
    <x v="4"/>
  </r>
  <r>
    <d v="2015-06-09T00:00:00"/>
    <d v="2015-06-09T00:00:00"/>
    <n v="6"/>
    <s v="2015-Jun"/>
    <n v="6"/>
    <s v="LQA-UAT"/>
    <x v="4"/>
    <m/>
    <s v="MPE"/>
    <s v="MPE"/>
    <x v="0"/>
    <s v="MPE_TLSTR-2b_3.0.0.3.1.115b1"/>
    <s v="CMTeam"/>
    <s v="Sandeep Aggarwal"/>
    <m/>
    <m/>
    <s v="\\192.168.3.3\Share\Releases\Projects\Telstra-2b\Release_For_Test\Test_Build_1.0.0.1\Server CD\MPE\Setup"/>
    <s v="Pass"/>
    <m/>
    <m/>
    <m/>
    <m/>
    <s v="Ashwani "/>
    <x v="0"/>
    <s v=""/>
    <x v="0"/>
    <x v="0"/>
  </r>
  <r>
    <d v="2015-06-09T00:00:00"/>
    <d v="2015-06-09T00:00:00"/>
    <n v="6"/>
    <s v="2015-Jun"/>
    <n v="6"/>
    <s v="LQA-UAT"/>
    <x v="1"/>
    <m/>
    <s v="MPE"/>
    <s v="MPE"/>
    <x v="1"/>
    <s v="MPE_3.2.8b2_CentOS_7.0 "/>
    <s v="CMTeam"/>
    <s v="Ajay Awasthi"/>
    <m/>
    <m/>
    <s v="\\192.168.3.3\Share\Releases\Product\MPE_3.2.8\Build&amp;Release\Release_For_LQA\Test_Build_1.0.1\Server CD\MPE\Setup"/>
    <s v="Pass"/>
    <s v="Readme Re-Released"/>
    <m/>
    <m/>
    <m/>
    <s v="Manas Ranjan Barik"/>
    <x v="0"/>
    <s v=""/>
    <x v="0"/>
    <x v="0"/>
  </r>
  <r>
    <d v="2015-06-10T00:00:00"/>
    <d v="2015-06-10T00:00:00"/>
    <n v="6"/>
    <s v="2015-Jun"/>
    <n v="6"/>
    <s v="IT-LQA"/>
    <x v="10"/>
    <m/>
    <s v="NM"/>
    <s v="DBS"/>
    <x v="0"/>
    <s v="NMDBS_COM_4.6.1.35.1.95b2"/>
    <s v="CMTeam"/>
    <s v="Sumita Yadav"/>
    <s v="\\192.168.3.3\Share\Releases\Projects\Comcast\Release_For_IT\Test_Build_4.6.1\Server CD\Database\Setup"/>
    <m/>
    <s v="\\192.168.3.3\Share\Releases\Projects\Comcast\Release_for_Test\Test_Build_4.6.7\Server CD\Database\Setup"/>
    <m/>
    <m/>
    <m/>
    <m/>
    <m/>
    <m/>
    <x v="1"/>
    <s v=""/>
    <x v="0"/>
    <x v="0"/>
  </r>
  <r>
    <d v="2015-06-11T00:00:00"/>
    <d v="2015-06-11T00:00:00"/>
    <n v="6"/>
    <s v="2015-Jun"/>
    <n v="6"/>
    <s v="LQA"/>
    <x v="1"/>
    <m/>
    <s v="WWCS"/>
    <s v="GUI"/>
    <x v="1"/>
    <s v="WWFSGUI_2.1.36b3"/>
    <s v="CMTeam"/>
    <s v="rajeev Kumar"/>
    <m/>
    <m/>
    <s v="\\192.168.3.3\Share\Releases\Product\WEB_WFS\Build&amp;Release\Release For Test\TestBuild_2.1.36\ServerCD\GUI\Setup"/>
    <m/>
    <s v="Readme Re-Released"/>
    <m/>
    <m/>
    <m/>
    <m/>
    <x v="1"/>
    <s v=""/>
    <x v="0"/>
    <x v="0"/>
  </r>
  <r>
    <d v="2015-06-11T00:00:00"/>
    <d v="2015-06-11T00:00:00"/>
    <n v="6"/>
    <s v="2015-Jun"/>
    <n v="6"/>
    <s v="IT-LQA"/>
    <x v="4"/>
    <m/>
    <s v="NM"/>
    <s v="DBS"/>
    <x v="0"/>
    <s v="NMDBS_TLSTR_4.0.1.0.4.324b1"/>
    <s v="CMTeam"/>
    <s v="Deepak Yadav"/>
    <s v="\\192.168.3.3\Share\Releases\Projects\Telstra\Release_For_IT\Test_Build_1.0.0.18\Server CD\DBS\Setup"/>
    <s v="Obsolete-LQA"/>
    <s v="\\192.168.3.3\Share\Releases\Projects\Telstra\Release_For_LQA\Test_Build_1.0.0.18\Server CD\DBS\Setup"/>
    <m/>
    <m/>
    <m/>
    <m/>
    <m/>
    <m/>
    <x v="2"/>
    <d v="2015-06-11T00:00:00"/>
    <x v="73"/>
    <x v="4"/>
  </r>
  <r>
    <d v="2015-06-11T00:00:00"/>
    <d v="2015-06-11T00:00:00"/>
    <n v="6"/>
    <s v="2015-Jun"/>
    <n v="6"/>
    <s v="LQA"/>
    <x v="1"/>
    <m/>
    <s v="NM"/>
    <s v="DBS"/>
    <x v="1"/>
    <s v="NMDBS_4.8.1b3"/>
    <s v="CMTeam"/>
    <s v="Rajat Gupta"/>
    <m/>
    <s v="Obsolete-LQA"/>
    <s v="\\192.168.3.3\Share\Releases\Product\Netmind_4.8\Build&amp;Release\Release_For_LQA\Test_Build_1.0.1\Server CD\DBS\Setup"/>
    <m/>
    <s v="Readme Re-Released"/>
    <m/>
    <m/>
    <m/>
    <m/>
    <x v="2"/>
    <d v="2015-06-11T00:00:00"/>
    <x v="73"/>
    <x v="4"/>
  </r>
  <r>
    <d v="2015-06-11T00:00:00"/>
    <d v="2015-06-11T00:00:00"/>
    <n v="6"/>
    <s v="2015-Jun"/>
    <n v="6"/>
    <s v="IT-LQA"/>
    <x v="8"/>
    <m/>
    <s v="NM"/>
    <s v="DBS"/>
    <x v="0"/>
    <s v="NMDBS_TWC_4.6.1.11.3.64b1"/>
    <s v="CMTeam"/>
    <s v="Sachin Srivastva"/>
    <s v="\\192.168.3.3\Share\Releases\Projects\TWC\Release_For_IT\Test_Build_1.0.0.3\Server CD\DBS\Setup"/>
    <s v="Obsolete-LQA"/>
    <s v="\\192.168.3.3\Share\Releases\Projects\TWC\Release_For_Test\Test_Build_1.0.0.4\Server CD\DBS\Setup"/>
    <m/>
    <m/>
    <m/>
    <m/>
    <m/>
    <m/>
    <x v="2"/>
    <d v="2015-06-11T00:00:00"/>
    <x v="73"/>
    <x v="4"/>
  </r>
  <r>
    <d v="2015-06-11T00:00:00"/>
    <d v="2015-06-11T00:00:00"/>
    <n v="6"/>
    <s v="2015-Jun"/>
    <n v="6"/>
    <s v="LQA"/>
    <x v="1"/>
    <m/>
    <s v="LA"/>
    <s v="DBS"/>
    <x v="1"/>
    <s v="LADBS_1.0.1b2"/>
    <s v="CMTeam"/>
    <s v="Nitin Kumar"/>
    <m/>
    <s v="Obsolete-LQA"/>
    <s v="\\192.168.3.3\Share\Releases\Product\LA_1.1\Build&amp;Release\Release_For_LQA\Test_Build_1.0.1\Server CD\DBS\Setup"/>
    <s v="Fail"/>
    <m/>
    <m/>
    <m/>
    <m/>
    <m/>
    <x v="2"/>
    <d v="2015-06-11T00:00:00"/>
    <x v="73"/>
    <x v="4"/>
  </r>
  <r>
    <d v="2015-06-12T00:00:00"/>
    <d v="2015-06-12T00:00:00"/>
    <n v="6"/>
    <s v="2015-Jun"/>
    <n v="6"/>
    <s v="LQA"/>
    <x v="1"/>
    <m/>
    <s v="LA"/>
    <s v="GUI"/>
    <x v="1"/>
    <s v="LAGUI_1.0.1b18"/>
    <s v="CMTeam"/>
    <s v="Pawan Kumar"/>
    <m/>
    <m/>
    <s v="\\192.168.3.3\Share\Releases\Product\LA_1.1\Build&amp;Release\Release_For_LQA\Test_Build_1.0.2\Server CD\GUI\Setup"/>
    <s v="Fail"/>
    <m/>
    <m/>
    <m/>
    <m/>
    <m/>
    <x v="4"/>
    <s v=""/>
    <x v="0"/>
    <x v="0"/>
  </r>
  <r>
    <d v="2015-06-12T00:00:00"/>
    <d v="2015-06-12T00:00:00"/>
    <n v="6"/>
    <s v="2015-Jun"/>
    <n v="6"/>
    <s v="IT-LQA"/>
    <x v="1"/>
    <s v="PROMOTED FOR SLT ONLY"/>
    <s v="DM"/>
    <s v="DBS"/>
    <x v="0"/>
    <s v="DMDBS_2.0.0.28b1"/>
    <s v="CMTeam"/>
    <s v="Anand Kumar Ojha"/>
    <s v="\\192.168.3.3\Share\Releases\Product\DataMind_2.0\Build&amp;Release\Release for IT\TestBuild_2.0.0\Server CD\DBS\Setup"/>
    <m/>
    <s v="\\192.168.3.3\Share\Releases\Product\DataMind_2.0\Build&amp;Release\Release for LQA\TestBuild_2.0.0\Server CD\DBS\Setup"/>
    <s v="Pass"/>
    <m/>
    <m/>
    <m/>
    <m/>
    <m/>
    <x v="0"/>
    <s v=""/>
    <x v="0"/>
    <x v="0"/>
  </r>
  <r>
    <d v="2015-06-15T00:00:00"/>
    <d v="2015-06-15T00:00:00"/>
    <n v="6"/>
    <s v="2015-Jun"/>
    <n v="6"/>
    <s v="LQA-UAT"/>
    <x v="0"/>
    <m/>
    <s v="MPE"/>
    <s v="MPE"/>
    <x v="0"/>
    <s v="MPE_SLT-1B_3.0.1.1.1.130b1"/>
    <s v="CMTeam"/>
    <s v="Anshul Kumar"/>
    <m/>
    <m/>
    <s v="\\192.168.3.3\Share\Releases\Projects\SLT-1B\Release_For_Test\Test_Build_1.0.0.1\Server CD\MPE\Setup"/>
    <s v="Pass"/>
    <s v="Readme Re-Released"/>
    <m/>
    <m/>
    <m/>
    <s v="KV krishna"/>
    <x v="0"/>
    <s v=""/>
    <x v="0"/>
    <x v="0"/>
  </r>
  <r>
    <d v="2015-06-18T00:00:00"/>
    <d v="2015-06-18T00:00:00"/>
    <n v="6"/>
    <s v="2015-Jun"/>
    <n v="6"/>
    <s v="IT-LQA-UAT"/>
    <x v="4"/>
    <m/>
    <s v="NM"/>
    <s v="DBS"/>
    <x v="0"/>
    <s v="NMDBS_TLSTR_4.0.1.0.4.324b2"/>
    <s v="CMTeam"/>
    <s v="Deepak Yadav"/>
    <s v="\\192.168.3.3\Share\Releases\Projects\Telstra\Release_For_IT\Test_Build_1.0.0.18\Server CD\DBS\Setup"/>
    <m/>
    <s v="\\192.168.3.3\Share\Releases\Projects\Telstra\Release_For_LQA\Test_Build_1.0.0.18\Server CD\DBS\Setup"/>
    <s v="Pass"/>
    <m/>
    <m/>
    <m/>
    <m/>
    <s v="Gaurav Shukla"/>
    <x v="0"/>
    <s v=""/>
    <x v="0"/>
    <x v="0"/>
  </r>
  <r>
    <d v="2015-06-18T00:00:00"/>
    <d v="2015-06-18T00:00:00"/>
    <n v="6"/>
    <s v="2015-Jun"/>
    <n v="6"/>
    <s v="LQA"/>
    <x v="1"/>
    <m/>
    <s v="RE"/>
    <s v="DBS"/>
    <x v="1"/>
    <s v="REDBS_2.0.1b9"/>
    <s v="CMTeam"/>
    <s v="Deepender Singh"/>
    <m/>
    <m/>
    <s v="\\192.168.3.3\Share\Releases\Product\RE_2.0\Build&amp;Release\Release_For_LQA\Test_Build_1.0.2\Server CD\DBS\Setup"/>
    <s v="Pass"/>
    <m/>
    <m/>
    <m/>
    <m/>
    <m/>
    <x v="0"/>
    <s v=""/>
    <x v="0"/>
    <x v="0"/>
  </r>
  <r>
    <d v="2015-06-18T00:00:00"/>
    <d v="2015-06-18T00:00:00"/>
    <n v="6"/>
    <s v="2015-Jun"/>
    <n v="6"/>
    <s v="LQA-UAT"/>
    <x v="5"/>
    <m/>
    <s v="NM"/>
    <s v="DBS"/>
    <x v="1"/>
    <s v="NMDBS_BHN_4.7.1.16"/>
    <s v="CMTeam"/>
    <s v="Sachin Srivastva"/>
    <m/>
    <m/>
    <s v="\\192.168.3.3\Share\Releases\Projects\BHN\Release_For_Test\Test_Build_1.0.6\Server CD\DBS\Setup"/>
    <s v="Pass"/>
    <m/>
    <m/>
    <m/>
    <m/>
    <s v="Abhishek Leekha"/>
    <x v="0"/>
    <s v=""/>
    <x v="0"/>
    <x v="0"/>
  </r>
  <r>
    <d v="2015-06-19T00:00:00"/>
    <d v="2015-06-19T00:00:00"/>
    <n v="6"/>
    <s v="2015-Jun"/>
    <n v="6"/>
    <s v="IT-LQA-UAT"/>
    <x v="0"/>
    <m/>
    <s v="DM"/>
    <s v="DBS"/>
    <x v="0"/>
    <s v="DMDBS_SLT_2.0.0.26.1.231b1"/>
    <s v="CMTeam"/>
    <s v="Raja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Paritosh Ghildiyal"/>
    <x v="0"/>
    <s v=""/>
    <x v="0"/>
    <x v="0"/>
  </r>
  <r>
    <d v="2015-06-22T00:00:00"/>
    <d v="2015-06-22T00:00:00"/>
    <n v="6"/>
    <s v="2015-Jun"/>
    <n v="6"/>
    <s v="LQA-UAT"/>
    <x v="1"/>
    <m/>
    <s v="MPE"/>
    <s v="MPE"/>
    <x v="0"/>
    <s v="MPE_3.2.8.1b1"/>
    <s v="CMTeam"/>
    <s v="ajayawasthi"/>
    <m/>
    <m/>
    <s v="\\192.168.3.3\Share\Releases\Product\MPE_3.2.8\Build&amp;Release\Release_For_LQA\Test_Build_1.0.1\Server CD\MPE\Setup"/>
    <s v="Pass"/>
    <s v="Readme Re-Released"/>
    <m/>
    <m/>
    <m/>
    <s v="Manas Ranjan Barik"/>
    <x v="0"/>
    <s v=""/>
    <x v="0"/>
    <x v="0"/>
  </r>
  <r>
    <d v="2015-06-22T00:00:00"/>
    <d v="2015-06-22T00:00:00"/>
    <n v="6"/>
    <s v="2015-Jun"/>
    <n v="6"/>
    <s v="LQA-UAT"/>
    <x v="1"/>
    <m/>
    <s v="WWCS"/>
    <s v="GUI"/>
    <x v="1"/>
    <s v="WWCSGUI_2.1.23b3"/>
    <s v="CMTeam"/>
    <s v="sumitdalal"/>
    <m/>
    <m/>
    <s v="\\192.168.3.3\Share\Releases\Product\WEB_CS\Build&amp;Release\Release For Test\TestBuild_2.1.23\ServerCD\GUI"/>
    <s v="Pass"/>
    <m/>
    <m/>
    <m/>
    <m/>
    <s v="Paritosh Ghildiyal"/>
    <x v="0"/>
    <s v=""/>
    <x v="0"/>
    <x v="0"/>
  </r>
  <r>
    <d v="2015-06-22T00:00:00"/>
    <d v="2015-06-22T00:00:00"/>
    <n v="6"/>
    <s v="2015-Jun"/>
    <n v="6"/>
    <s v="IT-LQA-UAT"/>
    <x v="8"/>
    <m/>
    <s v="NM"/>
    <s v="DBS"/>
    <x v="0"/>
    <s v="NMDBS_TWC_4.6.1.11.3.64b2"/>
    <s v="CMTeam"/>
    <s v="Sachin Srivastva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Gunjan"/>
    <x v="0"/>
    <s v=""/>
    <x v="0"/>
    <x v="0"/>
  </r>
  <r>
    <d v="2015-06-22T00:00:00"/>
    <d v="2015-06-22T00:00:00"/>
    <n v="6"/>
    <s v="2015-Jun"/>
    <n v="6"/>
    <s v="IT-LQA-UAT"/>
    <x v="0"/>
    <m/>
    <s v="DM"/>
    <s v="DBS"/>
    <x v="0"/>
    <s v="DMDBS_SLT_2.0.0.26.1.232b1"/>
    <s v="CMTeam"/>
    <s v="Raja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Paritosh Ghildiyal"/>
    <x v="0"/>
    <s v=""/>
    <x v="0"/>
    <x v="0"/>
  </r>
  <r>
    <d v="2015-06-23T00:00:00"/>
    <d v="2015-06-23T00:00:00"/>
    <n v="6"/>
    <s v="2015-Jun"/>
    <n v="6"/>
    <s v="LQA"/>
    <x v="1"/>
    <s v="PROMOTED ONLY FOR BHN"/>
    <s v="IM"/>
    <s v="IM"/>
    <x v="1"/>
    <s v="IM_1.0.8b1"/>
    <s v="CMTeam"/>
    <s v="Ratnesh Singh"/>
    <m/>
    <m/>
    <s v="\\192.168.3.3\Share\Releases\Product\IM_1.0\Build&amp;Release\Release_For_LQA\Test_Build_1.0.7\Server CD\IM\Setup"/>
    <m/>
    <m/>
    <m/>
    <m/>
    <m/>
    <m/>
    <x v="1"/>
    <s v=""/>
    <x v="0"/>
    <x v="0"/>
  </r>
  <r>
    <d v="2015-06-23T00:00:00"/>
    <d v="2015-06-23T00:00:00"/>
    <n v="6"/>
    <s v="2015-Jun"/>
    <n v="6"/>
    <s v="LQA"/>
    <x v="0"/>
    <m/>
    <s v="MPE"/>
    <s v="MPE"/>
    <x v="0"/>
    <s v="MPE_SLT-1B_3.0.1.1.1.120b1_E2"/>
    <s v="CMTeam"/>
    <s v="Anshul Kumar"/>
    <m/>
    <s v="Obsolete-LQA"/>
    <s v="\\192.168.3.3\Share\Releases\Projects\SLT-1B\Release_For_Test\Test_Build_1.0.0.1\Server CD\MPE\Setup"/>
    <m/>
    <m/>
    <m/>
    <m/>
    <m/>
    <m/>
    <x v="2"/>
    <d v="2015-06-23T00:00:00"/>
    <x v="74"/>
    <x v="4"/>
  </r>
  <r>
    <d v="2015-06-23T00:00:00"/>
    <d v="2015-06-23T00:00:00"/>
    <n v="6"/>
    <s v="2015-Jun"/>
    <n v="6"/>
    <s v="LQA-UAT"/>
    <x v="1"/>
    <m/>
    <s v="RE"/>
    <s v="GUI"/>
    <x v="1"/>
    <s v="REGUI_2.0.3b2"/>
    <s v="CMTeam"/>
    <s v="Alok Bagwale"/>
    <m/>
    <m/>
    <s v="\\192.168.3.3\Share\Releases\Product\RE_2.0\Build&amp;Release\Release_For_LQA\Test_Build_1.0.2\Server CD\GUI\Setup"/>
    <s v="Pass"/>
    <m/>
    <m/>
    <m/>
    <m/>
    <s v="ajay -Gera"/>
    <x v="0"/>
    <s v=""/>
    <x v="0"/>
    <x v="0"/>
  </r>
  <r>
    <d v="2015-06-23T00:00:00"/>
    <d v="2015-06-23T00:00:00"/>
    <n v="6"/>
    <s v="2015-Jun"/>
    <n v="6"/>
    <s v="LQA-UAT"/>
    <x v="0"/>
    <m/>
    <s v="MPE"/>
    <s v="MPE"/>
    <x v="0"/>
    <s v="MPE_SLT-1B_3.0.1.1.1.131b1"/>
    <s v="CMTeam"/>
    <s v="Anshul Kumar"/>
    <m/>
    <m/>
    <s v="\\192.168.3.3\Share\Releases\Projects\SLT-1B\Release_For_Test\Test_Build_1.0.0.1\Server CD\MPE\Setup"/>
    <s v="Pass"/>
    <m/>
    <m/>
    <m/>
    <m/>
    <s v="KV krishna"/>
    <x v="0"/>
    <s v=""/>
    <x v="0"/>
    <x v="0"/>
  </r>
  <r>
    <d v="2015-06-24T00:00:00"/>
    <d v="2015-06-24T00:00:00"/>
    <n v="6"/>
    <s v="2015-Jun"/>
    <n v="6"/>
    <s v="LQA-UAT"/>
    <x v="1"/>
    <m/>
    <s v="WWCS"/>
    <s v="GUI"/>
    <x v="1"/>
    <s v="WWFSGUI_2.1.36b4"/>
    <s v="CMTeam"/>
    <s v="Rajeev Kumar"/>
    <m/>
    <m/>
    <s v="\\192.168.3.3\Share\Releases\Product\WEB_WFS\Build&amp;Release\Release For Test\TestBuild_2.1.36\ServerCD\GUI\Setup"/>
    <s v="Pass"/>
    <m/>
    <m/>
    <m/>
    <m/>
    <s v="Paritosh Ghildiyal"/>
    <x v="0"/>
    <s v=""/>
    <x v="0"/>
    <x v="0"/>
  </r>
  <r>
    <d v="2015-06-24T00:00:00"/>
    <d v="2015-06-24T00:00:00"/>
    <n v="6"/>
    <s v="2015-Jun"/>
    <n v="6"/>
    <s v="LQA-UAT"/>
    <x v="1"/>
    <m/>
    <s v="NM"/>
    <s v="DBS"/>
    <x v="1"/>
    <s v="NMDBS_4.8.1b4"/>
    <s v="CMTeam"/>
    <s v="Deepak Yadav"/>
    <m/>
    <m/>
    <s v="\\192.168.3.3\Share\Releases\Product\Netmind_4.8\Build&amp;Release\Release_For_LQA\Test_Build_1.0.1\Server CD\DBS\Setup"/>
    <s v="Pass"/>
    <m/>
    <m/>
    <m/>
    <m/>
    <s v="Paritosh Ghildiyal"/>
    <x v="0"/>
    <s v=""/>
    <x v="0"/>
    <x v="0"/>
  </r>
  <r>
    <d v="2015-06-24T00:00:00"/>
    <d v="2015-06-24T00:00:00"/>
    <n v="6"/>
    <s v="2015-Jun"/>
    <n v="6"/>
    <s v="LQA-UAT"/>
    <x v="0"/>
    <m/>
    <s v="MPE"/>
    <s v="MPE"/>
    <x v="0"/>
    <s v="MPE_SLT-1B_3.0.1.1.1.132b1"/>
    <s v="CMTeam"/>
    <s v="Anshul Kumar"/>
    <m/>
    <m/>
    <s v="\\192.168.3.3\Share\Releases\Projects\SLT-1B\Release_For_Test\Test_Build_1.0.0.1\Server CD\MPE\Setup"/>
    <s v="Pass"/>
    <m/>
    <m/>
    <m/>
    <m/>
    <s v="KV krishna"/>
    <x v="0"/>
    <s v=""/>
    <x v="0"/>
    <x v="0"/>
  </r>
  <r>
    <d v="2015-06-24T00:00:00"/>
    <d v="2015-06-24T00:00:00"/>
    <n v="6"/>
    <s v="2015-Jun"/>
    <n v="6"/>
    <s v="IT-LQA-UAT"/>
    <x v="0"/>
    <m/>
    <s v="DM"/>
    <s v="DBS"/>
    <x v="0"/>
    <s v="DMDBS_SLT_2.0.0.26.1.233b1"/>
    <s v="CMTeam"/>
    <s v="Raja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V krishna"/>
    <x v="0"/>
    <s v=""/>
    <x v="0"/>
    <x v="0"/>
  </r>
  <r>
    <d v="2015-06-24T00:00:00"/>
    <d v="2015-06-24T00:00:00"/>
    <n v="6"/>
    <s v="2015-Jun"/>
    <n v="6"/>
    <s v="LQA"/>
    <x v="0"/>
    <m/>
    <s v="MPE"/>
    <s v="MPE"/>
    <x v="0"/>
    <s v="MPE_SLT-1B_3.0.1.1.1.133b1"/>
    <s v="CMTeam"/>
    <s v="Anshul Kumar"/>
    <m/>
    <m/>
    <s v="\\192.168.3.3\Share\Releases\Projects\SLT-1B\Release_For_Test\Test_Build_1.0.0.1\Server CD\MPE\Setup"/>
    <m/>
    <m/>
    <m/>
    <m/>
    <m/>
    <m/>
    <x v="1"/>
    <s v=""/>
    <x v="0"/>
    <x v="0"/>
  </r>
  <r>
    <d v="2015-06-25T00:00:00"/>
    <d v="2015-06-25T00:00:00"/>
    <n v="6"/>
    <s v="2015-Jun"/>
    <n v="6"/>
    <s v="LQA-UAT"/>
    <x v="5"/>
    <m/>
    <s v="NM"/>
    <s v="DBS"/>
    <x v="1"/>
    <s v="NMDBS_BHN_4.7.1.17"/>
    <s v="CMTeam"/>
    <s v="Sachin Srivastva"/>
    <m/>
    <m/>
    <s v="\\192.168.3.3\Share\Releases\Projects\BHN\Release_For_Test\Test_Build_1.0.6\Server CD\DBS\Setup"/>
    <s v="Pass"/>
    <m/>
    <m/>
    <m/>
    <m/>
    <s v="Abhishek Leekha"/>
    <x v="0"/>
    <s v=""/>
    <x v="0"/>
    <x v="0"/>
  </r>
  <r>
    <d v="2015-06-25T00:00:00"/>
    <d v="2015-06-25T00:00:00"/>
    <n v="6"/>
    <s v="2015-Jun"/>
    <n v="6"/>
    <s v="LQA-UAT"/>
    <x v="20"/>
    <m/>
    <s v="MPE"/>
    <s v="MPE"/>
    <x v="0"/>
    <s v="MPE_FNB_3.2.4.39.1.12b1"/>
    <s v="CMTeam"/>
    <s v="Harish Singh"/>
    <m/>
    <m/>
    <s v="\\192.168.3.3\Share\Releases\Projects\FNB\Release_For_Test\Test_Build_1.0.2\Server CD\MPE\Setup"/>
    <s v="Pass"/>
    <m/>
    <m/>
    <m/>
    <m/>
    <s v="Pradeep Raghav"/>
    <x v="0"/>
    <s v=""/>
    <x v="0"/>
    <x v="0"/>
  </r>
  <r>
    <d v="2015-06-29T00:00:00"/>
    <d v="2015-06-29T00:00:00"/>
    <n v="6"/>
    <s v="2015-Jun"/>
    <n v="6"/>
    <s v="LQA"/>
    <x v="10"/>
    <m/>
    <s v="WWCS"/>
    <s v="GUI"/>
    <x v="1"/>
    <s v="WWCSGUI_COM_2.1.23.0.1"/>
    <s v="CMTeam"/>
    <s v="Rajeev Kumar"/>
    <m/>
    <m/>
    <s v="\\192.168.3.3\Share\Releases\Projects\Comcast\Release_for_Test\Test_Build_4.6.8\Server CD\GUI\Setup"/>
    <m/>
    <m/>
    <m/>
    <m/>
    <m/>
    <m/>
    <x v="1"/>
    <s v=""/>
    <x v="0"/>
    <x v="0"/>
  </r>
  <r>
    <d v="2015-06-29T00:00:00"/>
    <d v="2015-06-29T00:00:00"/>
    <n v="6"/>
    <s v="2015-Jun"/>
    <n v="6"/>
    <s v="IT-LQA-UAT"/>
    <x v="0"/>
    <m/>
    <s v="RA"/>
    <s v="DBS"/>
    <x v="0"/>
    <s v="RADBS_SLT_2.1.1.15.1.108b1"/>
    <s v="CMTeam"/>
    <s v="Raja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V krishna"/>
    <x v="0"/>
    <s v=""/>
    <x v="0"/>
    <x v="0"/>
  </r>
  <r>
    <d v="2015-06-29T00:00:00"/>
    <d v="2015-06-29T00:00:00"/>
    <n v="6"/>
    <s v="2015-Jun"/>
    <n v="6"/>
    <s v="IT-LQA-UAT"/>
    <x v="0"/>
    <m/>
    <s v="DM"/>
    <s v="DBS"/>
    <x v="0"/>
    <s v="DMDBS_SLT_2.0.0.28.1.234b1"/>
    <s v="CMTeam"/>
    <s v="Raja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V krishna"/>
    <x v="0"/>
    <s v=""/>
    <x v="0"/>
    <x v="0"/>
  </r>
  <r>
    <d v="2015-06-29T00:00:00"/>
    <d v="2015-06-29T00:00:00"/>
    <n v="6"/>
    <s v="2015-Jun"/>
    <n v="6"/>
    <s v="IT-LQA-UAT"/>
    <x v="0"/>
    <m/>
    <s v="RA"/>
    <s v="DBS"/>
    <x v="0"/>
    <s v="RADBS_SLT_2.1.1.15.1.109b1"/>
    <s v="CMTeam"/>
    <s v="Raja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V krishna"/>
    <x v="0"/>
    <s v=""/>
    <x v="0"/>
    <x v="0"/>
  </r>
  <r>
    <d v="2015-06-29T00:00:00"/>
    <d v="2015-06-29T00:00:00"/>
    <n v="6"/>
    <s v="2015-Jun"/>
    <n v="6"/>
    <s v="LQA"/>
    <x v="10"/>
    <m/>
    <s v="WWFS"/>
    <s v="GUI"/>
    <x v="1"/>
    <s v="WWFSGUI_COM_2.1.36.0.1"/>
    <s v="CMTeam"/>
    <s v="Rajeev Kumar"/>
    <m/>
    <s v="Obsolete-LQA"/>
    <s v="\\192.168.3.3\Share\Releases\Projects\Comcast\Release_for_Test\Test_Build_4.6.8\Server CD\GUI\Setup"/>
    <m/>
    <m/>
    <m/>
    <m/>
    <m/>
    <m/>
    <x v="2"/>
    <d v="2015-06-29T00:00:00"/>
    <x v="75"/>
    <x v="4"/>
  </r>
  <r>
    <d v="2015-06-30T00:00:00"/>
    <d v="2015-06-30T00:00:00"/>
    <n v="6"/>
    <s v="2015-Jun"/>
    <n v="6"/>
    <s v="IT-LQA-UAT"/>
    <x v="0"/>
    <m/>
    <s v="DM"/>
    <s v="DBS"/>
    <x v="0"/>
    <s v="DMDBS_SLT_2.0.0.28.1.235b1"/>
    <s v="CMTeam"/>
    <s v="Raja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V krishna"/>
    <x v="0"/>
    <s v=""/>
    <x v="0"/>
    <x v="0"/>
  </r>
  <r>
    <d v="2015-06-30T00:00:00"/>
    <d v="2015-06-30T00:00:00"/>
    <n v="6"/>
    <s v="2015-Jun"/>
    <n v="6"/>
    <s v="LQA"/>
    <x v="10"/>
    <m/>
    <s v="NM"/>
    <s v="DBS"/>
    <x v="0"/>
    <s v="NMDBS_COM_4.8.1.1"/>
    <s v="CMTeam"/>
    <s v="Sumita Yadav"/>
    <m/>
    <m/>
    <s v="\\192.168.3.3\Share\Releases\Projects\Comcast\Release_for_Test\Test_Build_4.6.8\Server CD\Database\Setup"/>
    <m/>
    <m/>
    <m/>
    <m/>
    <m/>
    <m/>
    <x v="1"/>
    <s v=""/>
    <x v="0"/>
    <x v="0"/>
  </r>
  <r>
    <d v="2015-07-01T00:00:00"/>
    <d v="2015-07-01T00:00:00"/>
    <n v="7"/>
    <s v="2015-Jul"/>
    <n v="7"/>
    <s v="LQA"/>
    <x v="0"/>
    <m/>
    <s v="MPE"/>
    <s v="MPE"/>
    <x v="0"/>
    <s v="MPE_SLT-1B_3.0.1.1.1.120b1_E3"/>
    <s v="CMTeam"/>
    <s v="Anshul Kumar"/>
    <m/>
    <s v="Obsolete-LQA"/>
    <s v="\\192.168.3.3\Share\Releases\Projects\SLT-1B\Release_For_Test\Test_Build_1.0.0.1\Server CD\MPE\Setup"/>
    <s v="Fail"/>
    <m/>
    <m/>
    <m/>
    <m/>
    <m/>
    <x v="2"/>
    <d v="2015-07-01T00:00:00"/>
    <x v="75"/>
    <x v="4"/>
  </r>
  <r>
    <d v="2015-07-01T00:00:00"/>
    <d v="2015-07-01T00:00:00"/>
    <n v="7"/>
    <s v="2015-Jul"/>
    <n v="7"/>
    <s v="LQA-UAT"/>
    <x v="4"/>
    <m/>
    <s v="MPE"/>
    <s v="MPE"/>
    <x v="0"/>
    <s v="MPE_TLSTR-2b_3.0.0.3.1.116b1"/>
    <s v="CMTeam"/>
    <s v="Sandeep Aggarwal"/>
    <m/>
    <m/>
    <s v="\\192.168.3.3\Share\Releases\Projects\Telstra-2b\Release_For_Test\Test_Build_1.0.0.1\Server CD\MPE\Setup"/>
    <s v="Pass"/>
    <m/>
    <m/>
    <m/>
    <m/>
    <s v="ashwani "/>
    <x v="0"/>
    <s v=""/>
    <x v="0"/>
    <x v="0"/>
  </r>
  <r>
    <d v="2015-07-01T00:00:00"/>
    <d v="2015-07-01T00:00:00"/>
    <n v="7"/>
    <s v="2015-Jul"/>
    <n v="7"/>
    <s v="LQA-UAT"/>
    <x v="6"/>
    <m/>
    <s v="MPE"/>
    <s v="MPE"/>
    <x v="0"/>
    <s v="MPE_ANTEL_3.2.4.37.1.18b1"/>
    <s v="CMTeam"/>
    <s v="Harish Singh"/>
    <m/>
    <m/>
    <s v="\\192.168.3.3\Share\Releases\Projects\ANTEL\Release_For_Test\Test_Build_1.0.0.7\Server CD\MPE\Setup"/>
    <s v="Pass"/>
    <m/>
    <m/>
    <m/>
    <m/>
    <s v="Rajesh bihari Mishra"/>
    <x v="0"/>
    <s v=""/>
    <x v="0"/>
    <x v="0"/>
  </r>
  <r>
    <d v="2015-07-01T00:00:00"/>
    <d v="2015-07-01T00:00:00"/>
    <n v="7"/>
    <s v="2015-Jul"/>
    <n v="7"/>
    <s v="IT-LQA"/>
    <x v="1"/>
    <m/>
    <s v="RT"/>
    <s v="DBS"/>
    <x v="0"/>
    <s v="RTDBS_4.0.1.32b1"/>
    <s v="CMTeam"/>
    <s v="Sanjeev Pathak"/>
    <s v="\\192.168.3.3\Share\Releases\Product\RT_4.0\ReleaseForIT\TestBuild_4.0.3\DBS\Setup"/>
    <s v="Obsolete-LQA"/>
    <s v="\\192.168.3.3\Share\Releases\Product\RT_4.0\ReleaseForLQA\TestBuild_4.0.24\DBS\Setup"/>
    <m/>
    <m/>
    <m/>
    <m/>
    <m/>
    <m/>
    <x v="2"/>
    <d v="2015-07-01T00:00:00"/>
    <x v="75"/>
    <x v="4"/>
  </r>
  <r>
    <d v="2015-07-02T00:00:00"/>
    <d v="2015-07-02T00:00:00"/>
    <n v="7"/>
    <s v="2015-Jul"/>
    <n v="7"/>
    <s v="LQA"/>
    <x v="4"/>
    <m/>
    <s v="MPE"/>
    <s v="MPE"/>
    <x v="0"/>
    <s v="MPE_TLSTR-2b_3.0.0.3.1.117b1"/>
    <s v="CMTeam"/>
    <s v="Sandeep Aggarwal"/>
    <m/>
    <m/>
    <s v="\\192.168.3.3\Share\Releases\Projects\Telstra-2b\Release_For_Test\Test_Build_1.0.0.1\Server CD\MPE\Setup"/>
    <m/>
    <s v="Readme Re-Released"/>
    <m/>
    <m/>
    <m/>
    <m/>
    <x v="1"/>
    <s v=""/>
    <x v="0"/>
    <x v="0"/>
  </r>
  <r>
    <d v="2015-07-03T00:00:00"/>
    <d v="2015-07-03T00:00:00"/>
    <n v="7"/>
    <s v="2015-Jul"/>
    <n v="7"/>
    <s v="IT-LQA-UAT"/>
    <x v="0"/>
    <m/>
    <s v="RA"/>
    <s v="DBS"/>
    <x v="0"/>
    <s v="RADBS_SLT_2.1.1.15.1.110b1"/>
    <s v="CMTeam"/>
    <s v="Raja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V krishna"/>
    <x v="0"/>
    <s v=""/>
    <x v="0"/>
    <x v="0"/>
  </r>
  <r>
    <d v="2015-07-03T00:00:00"/>
    <d v="2015-07-03T00:00:00"/>
    <n v="7"/>
    <s v="2015-Jul"/>
    <n v="7"/>
    <s v="IT-LQA-UAT"/>
    <x v="0"/>
    <m/>
    <s v="DM"/>
    <s v="DBS"/>
    <x v="0"/>
    <s v="DMDBS_SLT_2.0.0.28.1.236b1"/>
    <s v="CMTeam"/>
    <s v="Rajasarkar"/>
    <s v="\\192.168.3.3\Share\Releases\Projects\SLT\Release_For_IT\Test_Build_1.0.0.4\Server CD\DBS\Setup"/>
    <m/>
    <s v="\\192.168.3.3\Share\Releases\Projects\SLT\Release_For_LQA\Test_Build_1.0.0.24\Server CD\DBS\Setup"/>
    <s v="Pass"/>
    <m/>
    <m/>
    <m/>
    <m/>
    <s v="KV krishna"/>
    <x v="0"/>
    <s v=""/>
    <x v="0"/>
    <x v="0"/>
  </r>
  <r>
    <d v="2015-07-03T00:00:00"/>
    <d v="2015-07-03T00:00:00"/>
    <n v="7"/>
    <s v="2015-Jul"/>
    <n v="7"/>
    <s v="LQA"/>
    <x v="1"/>
    <m/>
    <s v="IM"/>
    <s v="IM"/>
    <x v="1"/>
    <s v="IM_1.0.9b1"/>
    <s v="CMTeam"/>
    <s v="Ratnesh Singh"/>
    <m/>
    <m/>
    <s v="\\192.168.3.3\Share\Releases\Product\IM_1.0\Build&amp;Release\Release_For_LQA\Test_Build_1.0.8\Server CD\IM\Setupp"/>
    <m/>
    <m/>
    <m/>
    <m/>
    <m/>
    <m/>
    <x v="1"/>
    <s v=""/>
    <x v="0"/>
    <x v="0"/>
  </r>
  <r>
    <d v="2015-07-06T00:00:00"/>
    <d v="2015-07-06T00:00:00"/>
    <n v="7"/>
    <s v="2015-Jul"/>
    <n v="7"/>
    <s v="LQA-UAT"/>
    <x v="5"/>
    <m/>
    <s v="IM"/>
    <s v="IM"/>
    <x v="1"/>
    <s v="IM_BHN_1.0.9.0.1             "/>
    <s v="CMTeam"/>
    <s v="Ratnesh Singh"/>
    <m/>
    <m/>
    <s v="\\192.168.3.3\share\Releases\Projects\BHN\Release_For_Test\Test_Build_1.0.8\Server CD\IM\Setup"/>
    <s v="Pass"/>
    <m/>
    <m/>
    <m/>
    <m/>
    <s v="Abhishek Leekha"/>
    <x v="0"/>
    <s v=""/>
    <x v="0"/>
    <x v="0"/>
  </r>
  <r>
    <d v="2015-07-06T00:00:00"/>
    <d v="2015-07-06T00:00:00"/>
    <n v="7"/>
    <s v="2015-Jul"/>
    <n v="7"/>
    <s v="LQA"/>
    <x v="0"/>
    <m/>
    <s v="MPE"/>
    <s v="MPE"/>
    <x v="0"/>
    <s v="MPE_SLT-1B_3.0.1.1.1.120b1_E4"/>
    <s v="CMTeam"/>
    <s v="Anshul Kumar"/>
    <m/>
    <s v="Obsolete-LQA"/>
    <s v="\\192.168.3.3\Share\Releases\Projects\SLT-1B\Release_For_Test\Test_Build_1.0.0.1\Server CD\MPE\Setup"/>
    <s v="Fail"/>
    <m/>
    <m/>
    <m/>
    <m/>
    <m/>
    <x v="2"/>
    <d v="2015-07-06T00:00:00"/>
    <x v="76"/>
    <x v="4"/>
  </r>
  <r>
    <d v="2015-07-07T00:00:00"/>
    <d v="2015-07-07T00:00:00"/>
    <n v="7"/>
    <s v="2015-Jul"/>
    <n v="7"/>
    <s v="IT"/>
    <x v="1"/>
    <m/>
    <s v="RT"/>
    <s v="DBS"/>
    <x v="0"/>
    <s v="RTDBS_ 4.0.1.32b2"/>
    <s v="CMTeam"/>
    <s v="Sanjeev Pathak"/>
    <s v="\\192.168.3.3\Share\Releases\Product\RT_4.0\ReleaseForIT\TestBuild_4.0.3\DBS\Setup"/>
    <m/>
    <m/>
    <m/>
    <s v="Readme Re-Released"/>
    <m/>
    <m/>
    <m/>
    <m/>
    <x v="1"/>
    <s v=""/>
    <x v="0"/>
    <x v="0"/>
  </r>
  <r>
    <d v="2015-07-07T00:00:00"/>
    <d v="2015-07-07T00:00:00"/>
    <n v="7"/>
    <s v="2015-Jul"/>
    <n v="7"/>
    <s v="IT"/>
    <x v="1"/>
    <m/>
    <s v="RT"/>
    <s v="DBS"/>
    <x v="1"/>
    <s v="RTDBS_ 4.0.2b1"/>
    <s v="CMTeam"/>
    <s v="Sanjeev Pathak"/>
    <s v="\\192.168.3.3\Share\Releases\Product\RT_4.0\ReleaseForIT\TestBuild_4.0.4\DBS\Setup"/>
    <m/>
    <m/>
    <m/>
    <m/>
    <m/>
    <m/>
    <m/>
    <m/>
    <x v="1"/>
    <s v=""/>
    <x v="0"/>
    <x v="0"/>
  </r>
  <r>
    <d v="2015-07-08T00:00:00"/>
    <d v="2015-07-08T00:00:00"/>
    <n v="7"/>
    <s v="2015-Jul"/>
    <n v="7"/>
    <s v="LQA"/>
    <x v="1"/>
    <m/>
    <s v="Utility"/>
    <s v="Utility"/>
    <x v="1"/>
    <s v="AWF_2.0.2b1"/>
    <s v="CMTeam"/>
    <s v="Rajesh Maithani"/>
    <m/>
    <s v="Obsolete-LQA"/>
    <s v="\\192.168.3.3\Share\Releases\Product\AWF\Build&amp;Release\Release For Test\TestBuild_2.0.2\Setup"/>
    <m/>
    <m/>
    <m/>
    <m/>
    <m/>
    <m/>
    <x v="2"/>
    <d v="2015-07-08T00:00:00"/>
    <x v="76"/>
    <x v="4"/>
  </r>
  <r>
    <d v="2015-07-09T00:00:00"/>
    <d v="2015-07-09T00:00:00"/>
    <n v="7"/>
    <s v="2015-Jul"/>
    <n v="7"/>
    <s v="LQA-UAT"/>
    <x v="1"/>
    <m/>
    <s v="WWFS"/>
    <s v="GUI"/>
    <x v="0"/>
    <s v="WWCSGUI_2.1.23.1b1"/>
    <s v="CMTeam"/>
    <s v="Rajeev Kumar"/>
    <m/>
    <m/>
    <s v="\\192.168.3.3\Share\Releases\Product\WEB_CS\Build&amp;Release\Release For Test\TestBuild_2.1.23\ServerCD\GUI"/>
    <s v="Pass"/>
    <m/>
    <m/>
    <m/>
    <m/>
    <m/>
    <x v="0"/>
    <s v=""/>
    <x v="0"/>
    <x v="0"/>
  </r>
  <r>
    <d v="2015-07-09T00:00:00"/>
    <d v="2015-07-09T00:00:00"/>
    <n v="7"/>
    <s v="2015-Jul"/>
    <n v="7"/>
    <s v="LQA"/>
    <x v="1"/>
    <m/>
    <s v="RT"/>
    <s v="DBS"/>
    <x v="0"/>
    <s v="RTDBS_4.0.1.32b2"/>
    <s v="CMTeam"/>
    <s v="Sanjeev Pathak"/>
    <m/>
    <m/>
    <s v="\\192.168.3.3\Share\Releases\Product\RT_4.0\ReleaseForLQA\TestBuild_4.0.24\DBS\Setup"/>
    <s v="Fail"/>
    <m/>
    <m/>
    <m/>
    <m/>
    <m/>
    <x v="4"/>
    <s v=""/>
    <x v="0"/>
    <x v="0"/>
  </r>
  <r>
    <d v="2015-07-09T00:00:00"/>
    <d v="2015-07-09T00:00:00"/>
    <n v="7"/>
    <s v="2015-Jul"/>
    <n v="7"/>
    <s v="LQA"/>
    <x v="10"/>
    <m/>
    <s v="NM"/>
    <s v="DBS"/>
    <x v="0"/>
    <s v="NMDBS_COM_4.8.1.2"/>
    <s v="CMTeam"/>
    <s v="Anjani Kumar"/>
    <m/>
    <m/>
    <s v="\\192.168.3.3\Share\Releases\Projects\Comcast\Release_for_Test\Test_Build_4.6.8\Server CD\Database\Setup"/>
    <m/>
    <m/>
    <m/>
    <m/>
    <m/>
    <m/>
    <x v="1"/>
    <s v=""/>
    <x v="0"/>
    <x v="0"/>
  </r>
  <r>
    <d v="2015-07-09T00:00:00"/>
    <d v="2015-07-09T00:00:00"/>
    <n v="7"/>
    <s v="2015-Jul"/>
    <n v="7"/>
    <s v="LQA"/>
    <x v="1"/>
    <m/>
    <s v="Utility"/>
    <s v="Utility"/>
    <x v="1"/>
    <s v="AWF_2.0.2b2"/>
    <s v="CMTeam"/>
    <s v="Rajesh Maithani"/>
    <m/>
    <m/>
    <s v="\\192.168.3.3\Share\Releases\Product\AWF\Build&amp;Release\Release For Test\TestBuild_2.0.2\Setup"/>
    <m/>
    <m/>
    <m/>
    <m/>
    <m/>
    <m/>
    <x v="1"/>
    <s v=""/>
    <x v="0"/>
    <x v="0"/>
  </r>
  <r>
    <d v="2015-07-09T00:00:00"/>
    <d v="2015-07-09T00:00:00"/>
    <n v="7"/>
    <s v="2015-Jul"/>
    <n v="7"/>
    <s v="LQA"/>
    <x v="1"/>
    <m/>
    <s v="RT"/>
    <s v="GUI"/>
    <x v="1"/>
    <s v="RTGUI_4.0.38b1"/>
    <s v="CMTeam"/>
    <s v="karamjeet"/>
    <m/>
    <m/>
    <s v="\\192.168.3.3\Share\Releases\Product\RT_4.0\ReleaseForLQA\TestBuild_4.0.24\GUI\Build1\Setup"/>
    <s v="Fail"/>
    <m/>
    <m/>
    <m/>
    <m/>
    <m/>
    <x v="4"/>
    <s v=""/>
    <x v="0"/>
    <x v="0"/>
  </r>
  <r>
    <d v="2015-07-10T00:00:00"/>
    <d v="2015-07-10T00:00:00"/>
    <n v="7"/>
    <s v="2015-Jul"/>
    <n v="7"/>
    <s v="LQA"/>
    <x v="10"/>
    <m/>
    <s v="WWCS"/>
    <s v="GUI"/>
    <x v="1"/>
    <s v="WWCSGUI_COM_2.1.23.0.2"/>
    <s v="CMTeam"/>
    <s v="Rajeev Kumar"/>
    <m/>
    <m/>
    <s v="\\192.168.3.3\Share\Releases\Projects\Comcast\Release_for_Test\Test_Build_4.6.9\Server CD\GUI\Setup"/>
    <m/>
    <m/>
    <m/>
    <m/>
    <m/>
    <m/>
    <x v="1"/>
    <s v=""/>
    <x v="0"/>
    <x v="0"/>
  </r>
  <r>
    <d v="2015-07-13T00:00:00"/>
    <d v="2015-07-13T00:00:00"/>
    <n v="7"/>
    <s v="2015-Jul"/>
    <n v="7"/>
    <s v="LQA"/>
    <x v="1"/>
    <m/>
    <s v="MPE"/>
    <s v="GUI"/>
    <x v="1"/>
    <s v="MPEGUI_1.1.5b1"/>
    <s v="CMTeam"/>
    <s v="Ajay Sharma"/>
    <m/>
    <m/>
    <s v="\\192.168.3.3\Share\Releases\Product\MEDGUI_1.1\Build&amp;Release\Release_For_LQA\Test_Build_1.0.1\Server CD\GUI\Setup"/>
    <m/>
    <m/>
    <m/>
    <m/>
    <m/>
    <m/>
    <x v="1"/>
    <s v=""/>
    <x v="0"/>
    <x v="0"/>
  </r>
  <r>
    <d v="2015-07-13T00:00:00"/>
    <d v="2015-07-13T00:00:00"/>
    <n v="7"/>
    <s v="2015-Jul"/>
    <n v="7"/>
    <s v="LQA-UAT"/>
    <x v="20"/>
    <m/>
    <s v="MPE"/>
    <s v="MPE"/>
    <x v="0"/>
    <s v="MPE_FNB_3.2.4.39.1.13b1"/>
    <s v="CMTeam"/>
    <s v="Harish Singh"/>
    <m/>
    <m/>
    <s v="\\192.168.3.3\Share\Releases\Projects\FNB\Release_For_Test\Test_Build_1.0.2\Server CD\MPE\Setup"/>
    <s v="Pass"/>
    <s v="Readme Re-Released"/>
    <m/>
    <m/>
    <m/>
    <s v="Pradeep Raghav"/>
    <x v="0"/>
    <s v=""/>
    <x v="0"/>
    <x v="0"/>
  </r>
  <r>
    <d v="2015-07-13T00:00:00"/>
    <d v="2015-07-13T00:00:00"/>
    <n v="7"/>
    <s v="2015-Jul"/>
    <n v="7"/>
    <s v="LQA-UAT"/>
    <x v="1"/>
    <m/>
    <s v="RE"/>
    <s v="GUI"/>
    <x v="1"/>
    <s v="REGUI_2.0.4b1"/>
    <s v="CMTeam"/>
    <s v="Alok Bagwale"/>
    <m/>
    <m/>
    <s v="\\192.168.3.3\Share\Releases\Product\RE_2.0\Build&amp;Release\Release_For_LQA\Test_Build_1.0.3\Server CD\GUI\Setup"/>
    <s v="Pass"/>
    <m/>
    <m/>
    <m/>
    <m/>
    <s v="aditya mani sharma"/>
    <x v="0"/>
    <s v=""/>
    <x v="0"/>
    <x v="0"/>
  </r>
  <r>
    <d v="2015-07-13T00:00:00"/>
    <d v="2015-07-13T00:00:00"/>
    <n v="7"/>
    <s v="2015-Jul"/>
    <n v="7"/>
    <s v="LQA-UAT"/>
    <x v="20"/>
    <m/>
    <s v="NM"/>
    <s v="DBS"/>
    <x v="1"/>
    <s v="NMDBS_FNB_4.7.1.9"/>
    <s v="CMTeam"/>
    <s v="Anjani Kumar"/>
    <m/>
    <m/>
    <s v="\\192.168.3.3\Share\Releases\Projects\FNB\Release_For_Test\Test_Build_1.0.2\Server CD\DBS\Setup"/>
    <s v="Pass"/>
    <s v="Readme Re-Released"/>
    <m/>
    <m/>
    <m/>
    <s v="ajay pandey"/>
    <x v="0"/>
    <s v=""/>
    <x v="0"/>
    <x v="0"/>
  </r>
  <r>
    <d v="2015-07-13T00:00:00"/>
    <d v="2015-07-13T00:00:00"/>
    <n v="7"/>
    <s v="2015-Jul"/>
    <n v="7"/>
    <s v="LQA"/>
    <x v="10"/>
    <m/>
    <s v="WWFS"/>
    <s v="GUI"/>
    <x v="1"/>
    <s v="WWFSGUI_COM_2.1.36.0.2"/>
    <s v="CMTeam"/>
    <s v="Sumit Dalal"/>
    <m/>
    <m/>
    <s v="\\192.168.3.3\Share\Releases\Projects\Comcast\Release_for_Test\Test_Build_4.6.10\Server CD\GUI\Setup"/>
    <m/>
    <s v="Readme Re-Released"/>
    <m/>
    <m/>
    <m/>
    <m/>
    <x v="1"/>
    <s v=""/>
    <x v="0"/>
    <x v="0"/>
  </r>
  <r>
    <d v="2015-07-14T00:00:00"/>
    <d v="2015-07-14T00:00:00"/>
    <n v="7"/>
    <s v="2015-Jul"/>
    <n v="7"/>
    <s v="LQA"/>
    <x v="1"/>
    <m/>
    <s v="WWCS"/>
    <s v="GUI"/>
    <x v="1"/>
    <s v="WWCSGUI_2.1.24b1"/>
    <s v="CMTeam"/>
    <s v="rahul sharma"/>
    <m/>
    <s v="Obsolete-LQA"/>
    <s v="\\192.168.3.3\Share\Releases\Product\WEB_CS\Build&amp;Release\Release For Test\TestBuild_2.1.24\ServerCD\GUI\Setup"/>
    <s v="Fail"/>
    <m/>
    <m/>
    <m/>
    <m/>
    <m/>
    <x v="2"/>
    <d v="2015-07-14T00:00:00"/>
    <x v="77"/>
    <x v="4"/>
  </r>
  <r>
    <d v="2015-07-15T00:00:00"/>
    <d v="2015-07-15T00:00:00"/>
    <n v="7"/>
    <s v="2015-Jul"/>
    <n v="7"/>
    <s v="LQA-UAT"/>
    <x v="16"/>
    <m/>
    <s v="NM"/>
    <s v="MPE"/>
    <x v="0"/>
    <s v="NMMPE_TLN_2.0.3.54.1"/>
    <s v="CMTeam"/>
    <s v="Harish Singh"/>
    <m/>
    <m/>
    <s v="\\192.168.3.3\Share\Releases\Projects\Telenet\Build&amp;Release\Release For Test\Test_Build_4.0.41\Server CD\MPE\Setup"/>
    <s v="Pass"/>
    <m/>
    <m/>
    <m/>
    <m/>
    <s v="Pradeep Raghav"/>
    <x v="0"/>
    <s v=""/>
    <x v="0"/>
    <x v="0"/>
  </r>
  <r>
    <d v="2015-07-15T00:00:00"/>
    <d v="2015-07-15T00:00:00"/>
    <n v="7"/>
    <s v="2015-Jul"/>
    <n v="7"/>
    <s v="LQA"/>
    <x v="1"/>
    <m/>
    <s v="WWFS"/>
    <s v="GUI"/>
    <x v="1"/>
    <s v="WWFSGUI_2.1.37b1"/>
    <s v="CMTeam"/>
    <s v="rahul sharma"/>
    <m/>
    <s v="Obsolete-LQA"/>
    <s v="\\192.168.3.3\Share\Releases\Product\WEB_WFS\Build&amp;Release\Release For Test\TestBuild_2.1.37\ServerCD\GUI\Setup"/>
    <s v="Fail"/>
    <m/>
    <m/>
    <m/>
    <m/>
    <m/>
    <x v="2"/>
    <d v="2015-07-15T00:00:00"/>
    <x v="77"/>
    <x v="4"/>
  </r>
  <r>
    <d v="2015-07-15T00:00:00"/>
    <d v="2015-07-15T00:00:00"/>
    <n v="7"/>
    <s v="2015-Jul"/>
    <n v="7"/>
    <s v="LQA"/>
    <x v="1"/>
    <s v="Revmind"/>
    <s v="WWFS"/>
    <s v="GUI"/>
    <x v="0"/>
    <s v="WWFSGUI_2.2.1.5b1"/>
    <s v="CMTeam"/>
    <s v="Alok Bagwale"/>
    <m/>
    <m/>
    <s v="\\192.168.3.3\Share\Releases\Product\WEB_WFS\Build&amp;Release\Release For Test\TestBuild_2.2.1\Build4\ServerCD\GUI\Setup"/>
    <m/>
    <s v="Readme Re-Released"/>
    <m/>
    <m/>
    <m/>
    <m/>
    <x v="1"/>
    <s v=""/>
    <x v="0"/>
    <x v="0"/>
  </r>
  <r>
    <d v="2015-07-15T00:00:00"/>
    <d v="2015-07-15T00:00:00"/>
    <n v="7"/>
    <s v="2015-Jul"/>
    <n v="7"/>
    <s v="LQA"/>
    <x v="1"/>
    <s v="Revmind"/>
    <s v="WWCS"/>
    <s v="GUI"/>
    <x v="1"/>
    <s v="CSGUI_2.6.3b1"/>
    <s v="CMTeam"/>
    <s v="Alok Bagwale"/>
    <m/>
    <m/>
    <s v="\\192.168.3.3\Share\Releases\Product\CSGUI_2.6\Build&amp;Release\Release_For_LQA\Test_Build_1.0.4\Server CD\GUI\Setup"/>
    <m/>
    <s v="Readme Re-Released"/>
    <m/>
    <m/>
    <m/>
    <m/>
    <x v="1"/>
    <s v=""/>
    <x v="0"/>
    <x v="0"/>
  </r>
  <r>
    <d v="2015-07-16T00:00:00"/>
    <d v="2015-07-16T00:00:00"/>
    <n v="7"/>
    <s v="2015-Jul"/>
    <n v="7"/>
    <s v="LQA"/>
    <x v="1"/>
    <m/>
    <s v="LA"/>
    <s v="DBS"/>
    <x v="1"/>
    <s v="LADBS_1.0.1b3"/>
    <s v="CMTeam"/>
    <s v="Nitin Kumar"/>
    <m/>
    <m/>
    <s v="\\192.168.3.3\Share\Releases\Product\LA_1.1\Build&amp;Release\Release_For_LQA\Test_Build_1.0.3\Server CD\DBS\Setup"/>
    <s v="Fail"/>
    <m/>
    <m/>
    <m/>
    <m/>
    <m/>
    <x v="4"/>
    <s v=""/>
    <x v="0"/>
    <x v="0"/>
  </r>
  <r>
    <d v="2015-07-16T00:00:00"/>
    <d v="2015-07-16T00:00:00"/>
    <n v="7"/>
    <s v="2015-Jul"/>
    <n v="7"/>
    <s v="IT-LQA"/>
    <x v="17"/>
    <m/>
    <s v="NM"/>
    <s v="DBS"/>
    <x v="0"/>
    <s v=" PATCH_DBS_3.0.5.03_CPMTS.02_89.1"/>
    <s v="CMTeam"/>
    <s v="Anjani Kumar"/>
    <s v="\\192.168.3.3\Share\Releases\Projects\MTS\Release For IT\Test_Build_3.0.5.25\Server CD\Database\Setup"/>
    <m/>
    <s v="\\192.168.3.3\Share\Releases\Projects\MTS\Release For Test\Test_Build_3.0.5.25\Server CD\Database\Setup"/>
    <s v="Pass"/>
    <m/>
    <m/>
    <m/>
    <m/>
    <s v="Surya N Behera"/>
    <x v="0"/>
    <s v=""/>
    <x v="0"/>
    <x v="0"/>
  </r>
  <r>
    <d v="2015-07-16T00:00:00"/>
    <d v="2015-07-16T00:00:00"/>
    <n v="7"/>
    <s v="2015-Jul"/>
    <n v="7"/>
    <s v="LQA"/>
    <x v="1"/>
    <m/>
    <s v="LA"/>
    <s v="GUI"/>
    <x v="1"/>
    <s v="LAGUI_1.0.1b20"/>
    <s v="CMTeam"/>
    <s v="Pawan Kumar"/>
    <m/>
    <m/>
    <s v="\\192.168.3.3\Share\Releases\Product\LA_1.1\Build&amp;Release\Release_For_LQA\Test_Build_1.0.3\Server CD\GUI\Setup"/>
    <s v="Fail"/>
    <m/>
    <m/>
    <m/>
    <m/>
    <m/>
    <x v="4"/>
    <s v=""/>
    <x v="0"/>
    <x v="0"/>
  </r>
  <r>
    <d v="2015-07-17T00:00:00"/>
    <d v="2015-07-17T00:00:00"/>
    <n v="7"/>
    <s v="2015-Jul"/>
    <n v="7"/>
    <s v="IT"/>
    <x v="20"/>
    <m/>
    <s v="DM"/>
    <s v="DBS"/>
    <x v="0"/>
    <s v="DMDBS_FNB_2.1.1.11.1.8b1"/>
    <s v="CMTeam"/>
    <s v="Anjani Kumar"/>
    <s v="\\192.168.3.3\Share\Releases\Projects\FNB\Release_For_IT\TestBuild_1.0.1\Server CD\DBS\Setup"/>
    <m/>
    <s v="\\192.168.3.3\Share\Releases\Projects\FNB\Release_For_Test\Test_Build_1.0.2\Server CD\DBS\Setup"/>
    <m/>
    <m/>
    <m/>
    <m/>
    <m/>
    <m/>
    <x v="1"/>
    <s v=""/>
    <x v="0"/>
    <x v="0"/>
  </r>
  <r>
    <d v="2015-07-17T00:00:00"/>
    <d v="2015-07-17T00:00:00"/>
    <n v="7"/>
    <s v="2015-Jul"/>
    <n v="7"/>
    <s v="LQA"/>
    <x v="5"/>
    <m/>
    <s v="NM"/>
    <s v="DBS"/>
    <x v="1"/>
    <s v="NMDBS_BHN_4.8.1.1"/>
    <s v="CMTeam"/>
    <s v="surender Kumar"/>
    <m/>
    <m/>
    <s v="\\192.168.3.3\Share\Releases\Projects\BHN\Release_For_Test\Test_Build_1.0.8\Server CD\DBS\Setup"/>
    <m/>
    <m/>
    <m/>
    <m/>
    <m/>
    <m/>
    <x v="1"/>
    <s v=""/>
    <x v="0"/>
    <x v="0"/>
  </r>
  <r>
    <d v="2015-07-17T00:00:00"/>
    <d v="2015-07-17T00:00:00"/>
    <n v="7"/>
    <s v="2015-Jul"/>
    <n v="7"/>
    <s v="LQA"/>
    <x v="5"/>
    <m/>
    <s v="WWFS"/>
    <s v="GUI"/>
    <x v="1"/>
    <s v="WWFSGUI_BHN_2.1.36.0.1"/>
    <s v="CMTeam"/>
    <s v="sumit dalal"/>
    <m/>
    <m/>
    <s v="\\192.168.3.3\Share\Releases\Projects\BHN\Release_For_Test\Test_Build_1.0.8\Server CD\GUI\Setup"/>
    <m/>
    <m/>
    <m/>
    <m/>
    <m/>
    <m/>
    <x v="1"/>
    <s v=""/>
    <x v="0"/>
    <x v="0"/>
  </r>
  <r>
    <d v="2015-07-17T00:00:00"/>
    <d v="2015-07-17T00:00:00"/>
    <n v="7"/>
    <s v="2015-Jul"/>
    <n v="7"/>
    <s v="LQA"/>
    <x v="5"/>
    <m/>
    <s v="WWCS"/>
    <s v="GUI"/>
    <x v="1"/>
    <s v="WWCSGUI_BHN_2.1.23.0.1"/>
    <s v="CMTeam"/>
    <s v="sumitdalal"/>
    <m/>
    <m/>
    <s v="\\192.168.3.3\Share\Releases\Projects\BHN\Release_For_Test\Test_Build_1.0.8\Server CD\GUI\Setup"/>
    <m/>
    <m/>
    <m/>
    <m/>
    <m/>
    <m/>
    <x v="1"/>
    <s v=""/>
    <x v="0"/>
    <x v="0"/>
  </r>
  <r>
    <d v="2015-07-21T00:00:00"/>
    <d v="2015-07-21T00:00:00"/>
    <n v="7"/>
    <s v="2015-Jul"/>
    <n v="7"/>
    <s v="IT-LQA-UAT"/>
    <x v="3"/>
    <m/>
    <s v="NM"/>
    <s v="DBS"/>
    <x v="0"/>
    <s v="NMDBS_OBT_4.6.1.27.1.48b1"/>
    <s v="CMTeam"/>
    <s v="Anjani Kumar"/>
    <s v="\\192.168.3.3\Share\Releases\Projects\OBT\Release_For_IT\TestBuild_1.0.0.2\Server CD\DBS\Setup"/>
    <m/>
    <s v="\\192.168.3.3\Share\Releases\Projects\OBT\Release_For_LQA\TestBuild_1.0.0.7\Server CD\DBS\Setup"/>
    <s v="Pass"/>
    <m/>
    <m/>
    <m/>
    <m/>
    <s v="Pradeep Raghav"/>
    <x v="0"/>
    <s v=""/>
    <x v="0"/>
    <x v="0"/>
  </r>
  <r>
    <d v="2015-07-22T00:00:00"/>
    <d v="2015-07-22T00:00:00"/>
    <n v="7"/>
    <s v="2015-Jul"/>
    <n v="7"/>
    <s v="LQA-UAT"/>
    <x v="0"/>
    <m/>
    <s v="MPE"/>
    <s v="MPE"/>
    <x v="0"/>
    <s v="MPE_SLT-1B_3.0.1.1.1.120b1_E5"/>
    <s v="CMTeam"/>
    <s v="ajayawasthi"/>
    <m/>
    <m/>
    <s v="\\192.168.3.3\Share\Releases\Projects\SLT-1B\Release_For_Test\Test_Build_1.0.0.1\Server CD\MPE\Setup"/>
    <s v="Pass"/>
    <m/>
    <m/>
    <m/>
    <m/>
    <s v="KV krishna"/>
    <x v="0"/>
    <s v=""/>
    <x v="0"/>
    <x v="0"/>
  </r>
  <r>
    <d v="2015-07-23T00:00:00"/>
    <d v="2015-07-23T00:00:00"/>
    <n v="7"/>
    <s v="2015-Jul"/>
    <n v="7"/>
    <s v="LQA-UAT"/>
    <x v="8"/>
    <m/>
    <s v="MPE"/>
    <s v="MPE"/>
    <x v="0"/>
    <s v="MPE_TWC_3.2.1.5.2.31b1"/>
    <s v="CMTeam"/>
    <s v="Ankit Jain"/>
    <m/>
    <m/>
    <s v="\\192.168.3.3\Share\Releases\Projects\TWC\Release_For_Test\Test_Build_1.0.0.4\Server CD\MPE\Setup"/>
    <s v="Pass"/>
    <m/>
    <m/>
    <m/>
    <m/>
    <s v="Gunjan"/>
    <x v="0"/>
    <s v=""/>
    <x v="0"/>
    <x v="0"/>
  </r>
  <r>
    <d v="2015-07-23T00:00:00"/>
    <d v="2015-07-23T00:00:00"/>
    <n v="7"/>
    <s v="2015-Jul"/>
    <n v="7"/>
    <s v="LQA"/>
    <x v="4"/>
    <m/>
    <s v="MPE"/>
    <s v="MPE"/>
    <x v="0"/>
    <s v="MPE_TLSTR-2b_3.0.0.3.1.118b1"/>
    <s v="CMTeam"/>
    <s v="Sandeep Aggarwal"/>
    <m/>
    <m/>
    <s v="\\192.168.3.3\Share\Releases\Projects\Telstra-2b\Release_For_Test\Test_Build_1.0.0.1\Server CD\MPE\Setup"/>
    <m/>
    <m/>
    <m/>
    <m/>
    <m/>
    <m/>
    <x v="1"/>
    <s v=""/>
    <x v="0"/>
    <x v="0"/>
  </r>
  <r>
    <d v="2015-07-23T00:00:00"/>
    <d v="2015-07-23T00:00:00"/>
    <n v="7"/>
    <s v="2015-Jul"/>
    <n v="7"/>
    <s v="IT-LQA-UAT"/>
    <x v="8"/>
    <m/>
    <s v="NM"/>
    <s v="DBS"/>
    <x v="0"/>
    <s v="NMDBS_TWC_4.6.1.11.3.65b1"/>
    <s v="CMTeam"/>
    <s v="Sachin Srivastva"/>
    <s v="\\192.168.3.3\Share\Releases\Projects\TWC\Release_For_IT\Test_Build_1.0.0.3\Server CD\DBS\Setup"/>
    <m/>
    <s v="\\192.168.3.3\Share\Releases\Projects\TWC\Release_For_Test\Test_Build_1.0.0.4\Server CD\DBS\Setup"/>
    <s v="Pass"/>
    <m/>
    <m/>
    <m/>
    <m/>
    <s v="Gunjan"/>
    <x v="0"/>
    <s v=""/>
    <x v="0"/>
    <x v="0"/>
  </r>
  <r>
    <d v="2015-07-24T00:00:00"/>
    <d v="2015-07-24T00:00:00"/>
    <n v="7"/>
    <s v="2015-Jul"/>
    <n v="7"/>
    <s v="IT-LQA-UAT"/>
    <x v="1"/>
    <m/>
    <s v="RT"/>
    <s v="DBS"/>
    <x v="0"/>
    <s v="RTDBS_4.0.1.33b1  "/>
    <s v="CMTeam"/>
    <s v="Sanjeev Pathak"/>
    <s v="\\192.168.3.3\Share\Releases\Product\RT_4.0\ReleaseForIT\TestBuild_4.0.3\DBS\Setup"/>
    <m/>
    <s v="\\192.168.3.3\Share\Releases\Product\RT_4.0\ReleaseForLQA\TestBuild_4.0.24\DBS\Setup"/>
    <s v="Pass"/>
    <m/>
    <m/>
    <m/>
    <m/>
    <s v="Rajan"/>
    <x v="0"/>
    <s v=""/>
    <x v="0"/>
    <x v="0"/>
  </r>
  <r>
    <d v="2015-07-24T00:00:00"/>
    <d v="2015-07-24T00:00:00"/>
    <n v="7"/>
    <s v="2015-Jul"/>
    <n v="7"/>
    <s v="LQA"/>
    <x v="1"/>
    <m/>
    <s v="WWCS"/>
    <s v="GUI"/>
    <x v="1"/>
    <s v="CSGUI_2.6.4b1"/>
    <s v="CMTeam"/>
    <s v="Alok Bagwale"/>
    <m/>
    <m/>
    <s v="\\192.168.3.3\Share\Releases\Product\CSGUI_2.6\Build&amp;Release\Release_For_LQA\Test_Build_1.0.5\Server CD\GUI\Setup"/>
    <m/>
    <s v="Readme Re-Released"/>
    <m/>
    <m/>
    <m/>
    <m/>
    <x v="1"/>
    <s v=""/>
    <x v="0"/>
    <x v="0"/>
  </r>
  <r>
    <d v="2015-07-24T00:00:00"/>
    <d v="2015-07-24T00:00:00"/>
    <n v="7"/>
    <s v="2015-Jul"/>
    <n v="7"/>
    <s v="LQA"/>
    <x v="10"/>
    <m/>
    <s v="WWFS"/>
    <s v="GUI"/>
    <x v="1"/>
    <s v="WWFSGUI_COM_2.1.36.0.2.1b1"/>
    <s v="CMTeam"/>
    <s v="sumitdalal"/>
    <m/>
    <m/>
    <s v="\\192.168.3.3\Share\Releases\Projects\Comcast\Release_for_Test\Test_Build_4.6.10\Server CD\GUI\Setup"/>
    <m/>
    <m/>
    <m/>
    <m/>
    <m/>
    <m/>
    <x v="1"/>
    <s v=""/>
    <x v="0"/>
    <x v="0"/>
  </r>
  <r>
    <d v="2015-07-24T00:00:00"/>
    <d v="2015-07-24T00:00:00"/>
    <n v="7"/>
    <s v="2015-Jul"/>
    <n v="7"/>
    <s v="LQA"/>
    <x v="1"/>
    <m/>
    <s v="WWFS"/>
    <s v="GUI"/>
    <x v="0"/>
    <s v="WWFSGUI_2.2.1.6b1"/>
    <s v="CMTeam"/>
    <s v="Alok Bagwale"/>
    <m/>
    <m/>
    <s v="\\192.168.3.3\Share\Releases\Product\WEB_WFS\Build&amp;Release\Release For Test\TestBuild_2.2.1\Build4\ServerCD\GUI\Setup"/>
    <m/>
    <m/>
    <m/>
    <m/>
    <m/>
    <m/>
    <x v="1"/>
    <s v=""/>
    <x v="0"/>
    <x v="0"/>
  </r>
  <r>
    <d v="2015-07-27T00:00:00"/>
    <d v="2015-07-27T00:00:00"/>
    <n v="7"/>
    <s v="2015-Jul"/>
    <n v="7"/>
    <s v="LQA-UAT"/>
    <x v="1"/>
    <m/>
    <s v="WWFS"/>
    <s v="GUI"/>
    <x v="1"/>
    <s v="WWFSGUI_2.1.37b2"/>
    <s v="CMTeam"/>
    <s v="rahul sharma"/>
    <m/>
    <m/>
    <s v="\\192.168.3.3\Share\Releases\Product\WEB_WFS\Build&amp;Release\Release For Test\TestBuild_2.1.37\ServerCD\GUI\Setup"/>
    <s v="Pass"/>
    <m/>
    <m/>
    <m/>
    <m/>
    <s v="Jitender Aggarwal"/>
    <x v="0"/>
    <s v=""/>
    <x v="0"/>
    <x v="0"/>
  </r>
  <r>
    <d v="2015-07-27T00:00:00"/>
    <d v="2015-07-27T00:00:00"/>
    <n v="7"/>
    <s v="2015-Jul"/>
    <n v="7"/>
    <s v="LQA-UAT"/>
    <x v="1"/>
    <m/>
    <s v="RT"/>
    <s v="GUI"/>
    <x v="1"/>
    <s v="RTGUI_4.0.39b1"/>
    <s v="CMTeam"/>
    <s v="Dheeraj Kant"/>
    <m/>
    <s v="Obsolete-LQA"/>
    <s v="\\192.168.3.3\Share\Releases\Product\RT_4.0\ReleaseForLQA\TestBuild_4.0.24\GUI\Build1\Setup "/>
    <s v="Fail"/>
    <s v="Readme Re-Released"/>
    <m/>
    <m/>
    <m/>
    <m/>
    <x v="2"/>
    <d v="2015-07-27T00:00:00"/>
    <x v="78"/>
    <x v="4"/>
  </r>
  <r>
    <d v="2015-07-27T00:00:00"/>
    <d v="2015-07-27T00:00:00"/>
    <n v="7"/>
    <s v="2015-Jul"/>
    <n v="7"/>
    <s v="LQA"/>
    <x v="10"/>
    <m/>
    <s v="NM"/>
    <s v="DBS"/>
    <x v="0"/>
    <s v="NMDBS_COM_4.8.1.3"/>
    <s v="CMTeam"/>
    <s v="Sumita Yadav"/>
    <m/>
    <m/>
    <s v="\\192.168.3.3\Share\Releases\Projects\Comcast\Release_for_Test\Test_Build_4.6.10\Server CD\Database\Setup"/>
    <m/>
    <m/>
    <m/>
    <m/>
    <m/>
    <m/>
    <x v="1"/>
    <s v=""/>
    <x v="0"/>
    <x v="0"/>
  </r>
  <r>
    <d v="2015-07-27T00:00:00"/>
    <d v="2015-07-27T00:00:00"/>
    <n v="7"/>
    <s v="2015-Jul"/>
    <n v="7"/>
    <s v="LQA-UAT"/>
    <x v="6"/>
    <m/>
    <s v="MPE"/>
    <s v="MPE"/>
    <x v="0"/>
    <s v="MPE_ANTEL_3.2.4.37.1.19b1"/>
    <s v="CMTeam"/>
    <s v="Harish Singh"/>
    <m/>
    <m/>
    <s v="\\192.168.3.3\Share\Releases\Projects\ANTEL\Release_For_Test\Test_Build_1.0.0.7\Server CD\MPE\Setup"/>
    <s v="Pass"/>
    <m/>
    <m/>
    <m/>
    <m/>
    <m/>
    <x v="0"/>
    <s v=""/>
    <x v="0"/>
    <x v="0"/>
  </r>
  <r>
    <d v="2015-07-27T00:00:00"/>
    <d v="2015-07-27T00:00:00"/>
    <n v="7"/>
    <s v="2015-Jul"/>
    <n v="7"/>
    <s v="LQA-UAT"/>
    <x v="1"/>
    <m/>
    <s v="WWCS"/>
    <s v="GUI"/>
    <x v="1"/>
    <s v="WWCSGUI_2.1.24b2"/>
    <s v="CMTeam"/>
    <s v="sumitdalal"/>
    <m/>
    <m/>
    <s v="\\192.168.3.3\Share\Releases\Product\WEB_CS\Build&amp;Release\Release For Test\TestBuild_2.1.24\ServerCD\GUI\Setup"/>
    <s v="Pass"/>
    <m/>
    <m/>
    <m/>
    <m/>
    <s v="Jitender Aggarwal"/>
    <x v="0"/>
    <s v=""/>
    <x v="0"/>
    <x v="0"/>
  </r>
  <r>
    <d v="2015-07-30T00:00:00"/>
    <d v="2015-07-30T00:00:00"/>
    <n v="7"/>
    <s v="2015-Jul"/>
    <n v="7"/>
    <s v="LQA"/>
    <x v="5"/>
    <m/>
    <s v="WWFS"/>
    <s v="GUI"/>
    <x v="0"/>
    <s v="WWFSGUI_BHN_2.1.36.0.1.1b1"/>
    <s v="CMTeam"/>
    <s v="sumitdalal"/>
    <m/>
    <m/>
    <s v="\\192.168.3.3\Share\Releases\Projects\BHN\Release_For_Test\Test_Build_1.0.8\Server CD\GUI\Setup"/>
    <m/>
    <m/>
    <m/>
    <m/>
    <m/>
    <m/>
    <x v="1"/>
    <s v=""/>
    <x v="0"/>
    <x v="0"/>
  </r>
  <r>
    <d v="2015-07-30T00:00:00"/>
    <d v="2015-07-30T00:00:00"/>
    <n v="7"/>
    <s v="2015-Jul"/>
    <n v="7"/>
    <s v="LQA"/>
    <x v="5"/>
    <m/>
    <s v="NM"/>
    <s v="DBS"/>
    <x v="1"/>
    <s v="NMDBS_BHN_4.8.1.2"/>
    <s v="CMTeam"/>
    <s v="surender Kumar"/>
    <m/>
    <m/>
    <s v="\\192.168.3.3\Share\Releases\Projects\BHN\Release_For_Test\Test_Build_1.0.8\Server CD\DBS\Setup"/>
    <m/>
    <s v="Readme Re-Released"/>
    <m/>
    <m/>
    <m/>
    <m/>
    <x v="1"/>
    <s v=""/>
    <x v="0"/>
    <x v="0"/>
  </r>
  <r>
    <d v="2015-07-30T00:00:00"/>
    <d v="2015-07-30T00:00:00"/>
    <n v="7"/>
    <s v="2015-Jul"/>
    <n v="7"/>
    <s v="LQA-UAT"/>
    <x v="1"/>
    <m/>
    <s v="RT"/>
    <s v="GUI"/>
    <x v="0"/>
    <s v="RTGUI_4.0.39.1b1"/>
    <s v="CMTeam"/>
    <s v="Dheeraj Kant"/>
    <m/>
    <m/>
    <s v="\\192.168.3.3\Share\Releases\Product\RT_4.0\ReleaseForLQA\TestBuild_4.0.24\GUI\Build1\Setup "/>
    <s v="Pass"/>
    <m/>
    <m/>
    <m/>
    <m/>
    <s v="Rajan"/>
    <x v="0"/>
    <s v=""/>
    <x v="0"/>
    <x v="0"/>
  </r>
  <r>
    <d v="2015-07-31T00:00:00"/>
    <d v="2015-07-31T00:00:00"/>
    <n v="7"/>
    <s v="2015-Jul"/>
    <n v="7"/>
    <s v="IT-LQA"/>
    <x v="0"/>
    <m/>
    <s v="RA"/>
    <s v="DBS"/>
    <x v="0"/>
    <s v="RADBS_SLT_2.1.1.15.1.111b1"/>
    <s v="CMTeam"/>
    <s v="Rajasarkar"/>
    <s v="\\192.168.3.3\Share\Releases\Projects\SLT\Release_For_IT\Test_Build_1.0.0.4\Server CD\DBS\Setup"/>
    <m/>
    <s v="\\192.168.3.3\Share\Releases\Projects\SLT\Release_For_LQA\Test_Build_1.0.0.24\Server CD\DBS\Setup"/>
    <m/>
    <m/>
    <m/>
    <m/>
    <m/>
    <m/>
    <x v="1"/>
    <s v=""/>
    <x v="0"/>
    <x v="0"/>
  </r>
  <r>
    <d v="2015-07-31T00:00:00"/>
    <d v="2015-07-31T00:00:00"/>
    <n v="7"/>
    <s v="2015-Jul"/>
    <n v="7"/>
    <s v="IT-LQA"/>
    <x v="0"/>
    <m/>
    <s v="DM"/>
    <s v="DBS"/>
    <x v="0"/>
    <s v="DMDBS_SLT_2.0.0.28.1.237b1"/>
    <s v="CMTeam"/>
    <s v="Rajasarkar"/>
    <s v="\\192.168.3.3\Share\Releases\Projects\SLT\Release_For_IT\Test_Build_1.0.0.4\Server CD\DBS\Setup"/>
    <m/>
    <s v="\\192.168.3.3\Share\Releases\Projects\SLT\Release_For_LQA\Test_Build_1.0.0.24\Server CD\DBS\Setup"/>
    <m/>
    <m/>
    <m/>
    <m/>
    <m/>
    <m/>
    <x v="1"/>
    <s v=""/>
    <x v="0"/>
    <x v="0"/>
  </r>
  <r>
    <d v="2015-08-04T00:00:00"/>
    <d v="2015-08-04T00:00:00"/>
    <n v="8"/>
    <s v="2015-Aug"/>
    <n v="8"/>
    <s v="LQA"/>
    <x v="0"/>
    <m/>
    <s v="RT"/>
    <s v="GUI"/>
    <x v="1"/>
    <s v="RTGUI_SLT_ 4.0.39.1.1"/>
    <s v="CMTeam"/>
    <s v="Dheeraj Kant"/>
    <m/>
    <m/>
    <s v="\\192.168.3.3\Share\Releases\Projects\SLT\Release_For_LQA\Test_Build_1.0.0.25\Server CD\GUI\Setup"/>
    <m/>
    <m/>
    <m/>
    <m/>
    <m/>
    <m/>
    <x v="1"/>
    <s v=""/>
    <x v="0"/>
    <x v="0"/>
  </r>
  <r>
    <d v="2015-08-04T00:00:00"/>
    <d v="2015-08-04T00:00:00"/>
    <n v="8"/>
    <s v="2015-Aug"/>
    <n v="8"/>
    <s v="LQA"/>
    <x v="0"/>
    <m/>
    <s v="MPE"/>
    <s v="MPE"/>
    <x v="0"/>
    <s v="MPE_SLT-1B_3.0.1.1.1.134b1"/>
    <s v="CMTeam"/>
    <s v="Ajay Awasthi"/>
    <m/>
    <m/>
    <s v="\\192.168.3.3\Share\Releases\Projects\SLT-1B\Release_For_Test\Test_Build_1.0.0.1\Server CD\MPE\Setup"/>
    <m/>
    <m/>
    <m/>
    <m/>
    <m/>
    <m/>
    <x v="1"/>
    <s v=""/>
    <x v="0"/>
    <x v="0"/>
  </r>
  <r>
    <d v="2015-08-05T00:00:00"/>
    <d v="2015-08-05T00:00:00"/>
    <n v="8"/>
    <s v="2015-Aug"/>
    <n v="8"/>
    <s v="LQA"/>
    <x v="1"/>
    <m/>
    <s v="MPE"/>
    <s v="MPE"/>
    <x v="0"/>
    <s v="MPE_3.2.4.40b1"/>
    <s v="CMTeam"/>
    <s v="Harish Singh"/>
    <m/>
    <m/>
    <s v="\\192.168.3.3\Share\Releases\Product\MPE_GUI\ReleaseForLQA\TestBuild_1.0.0.2\Server CD\MPE\Setup"/>
    <m/>
    <m/>
    <m/>
    <m/>
    <m/>
    <m/>
    <x v="1"/>
    <s v=""/>
    <x v="0"/>
    <x v="0"/>
  </r>
  <r>
    <d v="2015-08-06T00:00:00"/>
    <d v="2015-08-06T00:00:00"/>
    <n v="8"/>
    <s v="2015-Aug"/>
    <n v="8"/>
    <s v="LQA"/>
    <x v="20"/>
    <m/>
    <s v="MPE"/>
    <s v="MPE"/>
    <x v="0"/>
    <s v="MPE_FNB_3.2.4.40.1.14b1"/>
    <s v="CMTeam"/>
    <s v="Harish Singh"/>
    <m/>
    <m/>
    <s v="\\192.168.3.3\Share\Releases\Projects\FNB\Release_For_Test\Test_Build_1.0.2\Server CD\MPE\Setup"/>
    <m/>
    <s v="Readme Re-Released"/>
    <m/>
    <m/>
    <m/>
    <m/>
    <x v="1"/>
    <s v=""/>
    <x v="0"/>
    <x v="0"/>
  </r>
  <r>
    <d v="2015-08-06T00:00:00"/>
    <d v="2015-08-06T00:00:00"/>
    <n v="8"/>
    <s v="2015-Aug"/>
    <n v="8"/>
    <s v="LQA"/>
    <x v="10"/>
    <m/>
    <s v="NM"/>
    <s v="DBS"/>
    <x v="0"/>
    <s v="NMDBS_COM_4.8.1.4"/>
    <s v="CMTeam"/>
    <s v="Sumita Yadav"/>
    <m/>
    <m/>
    <s v="\\192.168.3.3\Share\Releases\Projects\Comcast\Release_for_Test\Test_Build_4.6.10\Server CD\Database\Setup"/>
    <m/>
    <m/>
    <m/>
    <m/>
    <m/>
    <m/>
    <x v="1"/>
    <s v=""/>
    <x v="0"/>
    <x v="0"/>
  </r>
  <r>
    <d v="2015-08-06T00:00:00"/>
    <d v="2015-08-06T00:00:00"/>
    <n v="8"/>
    <s v="2015-Aug"/>
    <n v="8"/>
    <s v="IT-LQA"/>
    <x v="20"/>
    <m/>
    <s v="DM"/>
    <s v="DBS"/>
    <x v="0"/>
    <s v="DMDBS_FNB_2.1.1.11.1.9b1"/>
    <s v="CMTeam"/>
    <s v="surender Kumar"/>
    <s v="\\192.168.3.3\Share\Releases\Projects\FNB\Release_For_IT\TestBuild_1.0.1\Server CD\DBS\Setup"/>
    <m/>
    <s v="\\192.168.3.3\Share\Releases\Projects\FNB\Release_For_Test\Test_Build_1.0.2\Server CD\DBS\Setup"/>
    <m/>
    <m/>
    <m/>
    <m/>
    <m/>
    <m/>
    <x v="1"/>
    <s v=""/>
    <x v="0"/>
    <x v="0"/>
  </r>
  <r>
    <d v="2015-08-06T00:00:00"/>
    <d v="2015-08-06T00:00:00"/>
    <n v="8"/>
    <s v="2015-Aug"/>
    <n v="8"/>
    <s v="LQA"/>
    <x v="5"/>
    <m/>
    <s v="MPE"/>
    <s v="MPE"/>
    <x v="0"/>
    <s v="MPE_BHN_3.2.5.0.1.6b1"/>
    <s v="CMTeam"/>
    <s v="Ankit Jain"/>
    <m/>
    <m/>
    <s v="\\192.168.3.3\Share\Releases\Projects\BHN\Release_For_Test\Test_Build_1.0.8\Server CD\MPE\Setup"/>
    <m/>
    <m/>
    <m/>
    <m/>
    <m/>
    <m/>
    <x v="1"/>
    <s v=""/>
    <x v="0"/>
    <x v="0"/>
  </r>
  <r>
    <d v="2015-08-06T00:00:00"/>
    <d v="2015-08-06T00:00:00"/>
    <n v="8"/>
    <s v="2015-Aug"/>
    <n v="8"/>
    <s v="LQA"/>
    <x v="20"/>
    <m/>
    <s v="RA"/>
    <s v="DBS"/>
    <x v="1"/>
    <s v="RADBS_FNB_3.0.1.3"/>
    <s v="CMTeam"/>
    <s v="surender Kumar"/>
    <m/>
    <m/>
    <s v="\\192.168.3.3\Share\Releases\Projects\FNB\Release_For_Test\Test_Build_1.0.2\Server CD\DBS\Setup"/>
    <m/>
    <m/>
    <m/>
    <m/>
    <m/>
    <m/>
    <x v="1"/>
    <s v=""/>
    <x v="0"/>
    <x v="0"/>
  </r>
  <r>
    <d v="2015-08-07T00:00:00"/>
    <d v="2015-08-07T00:00:00"/>
    <n v="8"/>
    <s v="2015-Aug"/>
    <n v="8"/>
    <s v="LQA"/>
    <x v="1"/>
    <m/>
    <s v="MPE"/>
    <s v="GUI"/>
    <x v="0"/>
    <s v="MPEGUI_1.1.5.1b1"/>
    <s v="CMTeam"/>
    <s v="Ajay Sharma"/>
    <m/>
    <m/>
    <s v="\\192.168.3.3\Share\Releases\Product\MEDGUI_1.1\Build&amp;Release\Release_For_LQA\Test_Build_1.0.2\Server CD\GUI\Setup"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1"/>
    <s v=""/>
    <x v="0"/>
    <x v="0"/>
  </r>
  <r>
    <m/>
    <m/>
    <m/>
    <m/>
    <m/>
    <m/>
    <x v="19"/>
    <m/>
    <m/>
    <m/>
    <x v="2"/>
    <m/>
    <m/>
    <m/>
    <m/>
    <m/>
    <m/>
    <m/>
    <m/>
    <m/>
    <m/>
    <m/>
    <m/>
    <x v="3"/>
    <m/>
    <x v="4"/>
    <x v="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867">
  <r>
    <x v="0"/>
    <x v="0"/>
    <n v="1"/>
    <x v="0"/>
    <s v="False"/>
    <s v="LQA-UAT"/>
    <x v="0"/>
    <m/>
    <x v="0"/>
    <x v="0"/>
    <x v="0"/>
    <s v="REDBS_SLT_1.0.1.16.1.7b1"/>
    <x v="0"/>
    <x v="0"/>
    <s v="\\192.168.3.3\Share\Releases\Projects\SLT\Release_For_IT\Test_Build_1.0.0.4\Server CD\DBS\Setup"/>
    <x v="0"/>
    <s v="\\192.168.3.3\Share\Releases\Projects\SLT\Release_For_LQA\Test_Build_1.0.0.16\Server CD\DBS\Setup"/>
    <s v="Pass"/>
    <x v="0"/>
    <m/>
    <m/>
    <m/>
    <s v="Ravi Gautam"/>
    <x v="0"/>
  </r>
  <r>
    <x v="0"/>
    <x v="1"/>
    <n v="1"/>
    <x v="0"/>
    <n v="1"/>
    <s v="LQA-FAT"/>
    <x v="0"/>
    <m/>
    <x v="1"/>
    <x v="1"/>
    <x v="0"/>
    <s v="MPE_SLT-1B_3.0.1.1.1.38b1"/>
    <x v="0"/>
    <x v="1"/>
    <m/>
    <x v="0"/>
    <s v="\\192.168.3.3\Share\Releases\Projects\SLT-1B\Release_For_Test\Test_Build_1.0.0.1\Server CD\MPE\Setup"/>
    <s v="Pass"/>
    <x v="0"/>
    <m/>
    <m/>
    <m/>
    <s v="K.V. Krishnan"/>
    <x v="0"/>
  </r>
  <r>
    <x v="1"/>
    <x v="2"/>
    <n v="1"/>
    <x v="0"/>
    <n v="1"/>
    <s v="IT-LQA"/>
    <x v="1"/>
    <m/>
    <x v="2"/>
    <x v="0"/>
    <x v="0"/>
    <s v="DMDBS_2.0.0.19b1"/>
    <x v="0"/>
    <x v="2"/>
    <s v="\\192.168.3.3\Share\Releases\Product\DataMind_2.0\Build&amp;Release\Release for IT\TestBuild_2.0.0\Server CD\DBS\Setup"/>
    <x v="0"/>
    <s v="\\192.168.3.3\Share\Releases\Product\DataMind_2.0\Build&amp;Release\Release for LQA\TestBuild_2.0.0\Server CD\DBS\Setup"/>
    <m/>
    <x v="1"/>
    <m/>
    <m/>
    <m/>
    <m/>
    <x v="1"/>
  </r>
  <r>
    <x v="1"/>
    <x v="2"/>
    <n v="1"/>
    <x v="0"/>
    <n v="1"/>
    <s v="IT-LQA-UAT"/>
    <x v="2"/>
    <m/>
    <x v="3"/>
    <x v="2"/>
    <x v="1"/>
    <s v="RMGUI_SHAW_2.0.22"/>
    <x v="0"/>
    <x v="3"/>
    <s v="\\192.168.3.3\Share\Releases\Projects\SHAW\Release_For_IT\Test_Build_1.0.0.26\Client CD\RM\Setup"/>
    <x v="0"/>
    <s v="\\192.168.3.3\Share\Releases\Projects\SHAW\Release_For_LQA\Test_Build_1.0.0.28\Client CD\RM\Setup "/>
    <s v="Pass"/>
    <x v="1"/>
    <m/>
    <m/>
    <m/>
    <s v="parul rajput"/>
    <x v="0"/>
  </r>
  <r>
    <x v="1"/>
    <x v="2"/>
    <n v="1"/>
    <x v="0"/>
    <n v="1"/>
    <s v="IT-LQA"/>
    <x v="0"/>
    <m/>
    <x v="4"/>
    <x v="0"/>
    <x v="0"/>
    <s v="RADBS_SLT_2.0.0.23.1.50b3"/>
    <x v="0"/>
    <x v="4"/>
    <s v="\\192.168.3.3\Share\Releases\Projects\SLT\Release_For_IT\Test_Build_1.0.0.4\Server CD\DBS\Setup"/>
    <x v="0"/>
    <s v="\\192.168.3.3\Share\Releases\Projects\SLT\Release_For_LQA\Test_Build_1.0.0.15\Server CD\DBS\Setup"/>
    <s v="Pass"/>
    <x v="1"/>
    <m/>
    <m/>
    <m/>
    <m/>
    <x v="0"/>
  </r>
  <r>
    <x v="1"/>
    <x v="0"/>
    <n v="1"/>
    <x v="0"/>
    <s v="False"/>
    <s v="IT"/>
    <x v="3"/>
    <m/>
    <x v="5"/>
    <x v="0"/>
    <x v="0"/>
    <s v="NMDBS_OBT_4.6.1.13.1.12b1"/>
    <x v="0"/>
    <x v="5"/>
    <s v="\\192.168.3.3\Share\Releases\Projects\OBT\Release_For_IT\TestBuild_1.0.0.2\Server CD\DBS\Setup"/>
    <x v="1"/>
    <m/>
    <m/>
    <x v="1"/>
    <m/>
    <m/>
    <m/>
    <m/>
    <x v="2"/>
  </r>
  <r>
    <x v="1"/>
    <x v="3"/>
    <n v="1"/>
    <x v="0"/>
    <n v="1"/>
    <s v="IT-LQA-UAT"/>
    <x v="3"/>
    <m/>
    <x v="5"/>
    <x v="0"/>
    <x v="0"/>
    <s v="NMDBS_OBT_4.6.1.13.1.13b1"/>
    <x v="0"/>
    <x v="5"/>
    <s v="\\192.168.3.3\Share\Releases\Projects\OBT\Release_For_IT\TestBuild_1.0.0.2\Server CD\DBS\Setup"/>
    <x v="0"/>
    <s v="\\192.168.3.3\Share\Releases\Projects\OBT\Release_For_LQA\TestBuild_1.0.0.3\Server CD\DBS\Setup"/>
    <s v="Pass"/>
    <x v="1"/>
    <m/>
    <m/>
    <m/>
    <s v="Swapnil Garg"/>
    <x v="0"/>
  </r>
  <r>
    <x v="1"/>
    <x v="0"/>
    <n v="1"/>
    <x v="0"/>
    <s v="False"/>
    <s v="IT"/>
    <x v="3"/>
    <m/>
    <x v="5"/>
    <x v="0"/>
    <x v="0"/>
    <s v="NMDBS_OBT_4.6.1.13.1.14b1"/>
    <x v="0"/>
    <x v="5"/>
    <s v="\\192.168.3.3\Share\Releases\Projects\OBT\Release_For_IT\TestBuild_1.0.0.2\Server CD\DBS\Setup"/>
    <x v="1"/>
    <m/>
    <m/>
    <x v="1"/>
    <m/>
    <m/>
    <m/>
    <m/>
    <x v="2"/>
  </r>
  <r>
    <x v="1"/>
    <x v="0"/>
    <n v="1"/>
    <x v="0"/>
    <s v="False"/>
    <s v="IT"/>
    <x v="3"/>
    <m/>
    <x v="5"/>
    <x v="0"/>
    <x v="0"/>
    <s v="NMDBS_OBT_4.6.1.13.1.15b1"/>
    <x v="0"/>
    <x v="5"/>
    <s v="\\192.168.3.3\Share\Releases\Projects\OBT\Release_For_IT\TestBuild_1.0.0.2\Server CD\DBS\Setup"/>
    <x v="1"/>
    <m/>
    <m/>
    <x v="1"/>
    <m/>
    <m/>
    <m/>
    <m/>
    <x v="2"/>
  </r>
  <r>
    <x v="1"/>
    <x v="0"/>
    <n v="1"/>
    <x v="0"/>
    <s v="False"/>
    <s v="IT"/>
    <x v="3"/>
    <m/>
    <x v="5"/>
    <x v="0"/>
    <x v="0"/>
    <s v="NMDBS_OBT_4.6.1.13.1.16b1"/>
    <x v="0"/>
    <x v="5"/>
    <s v="\\192.168.3.3\Share\Releases\Projects\OBT\Release_For_IT\TestBuild_1.0.0.2\Server CD\DBS\Setup"/>
    <x v="1"/>
    <m/>
    <m/>
    <x v="1"/>
    <m/>
    <m/>
    <m/>
    <m/>
    <x v="2"/>
  </r>
  <r>
    <x v="2"/>
    <x v="4"/>
    <n v="1"/>
    <x v="0"/>
    <n v="1"/>
    <s v="IT-LQA-AT"/>
    <x v="4"/>
    <m/>
    <x v="5"/>
    <x v="0"/>
    <x v="0"/>
    <s v="NMDBS_TLSTR_4.0.1.0.4.279b1"/>
    <x v="0"/>
    <x v="6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Abhijeet Chaterjee"/>
    <x v="0"/>
  </r>
  <r>
    <x v="3"/>
    <x v="5"/>
    <n v="1"/>
    <x v="0"/>
    <n v="1"/>
    <s v="IT-LQA-UAT"/>
    <x v="5"/>
    <m/>
    <x v="5"/>
    <x v="0"/>
    <x v="0"/>
    <s v="NMDBS_BHN_3.5.1.52.1"/>
    <x v="1"/>
    <x v="7"/>
    <s v="\\192.168.3.3\Share\Projects\Neustar\BHN\Build&amp;Release\Release For IT\Test_Build_3.5.37\Server CD\Database\Setup"/>
    <x v="0"/>
    <s v="\\192.168.3.3\Share\Projects\Neustar\BHN\Build&amp;Release\Release For Test\Test_Build_3.5.37\Server CD\Database\Setup"/>
    <s v="Pass"/>
    <x v="1"/>
    <m/>
    <m/>
    <m/>
    <s v="Rudra Narayan"/>
    <x v="0"/>
  </r>
  <r>
    <x v="4"/>
    <x v="6"/>
    <n v="1"/>
    <x v="0"/>
    <n v="1"/>
    <s v="IT-LQA-UAT"/>
    <x v="1"/>
    <m/>
    <x v="5"/>
    <x v="0"/>
    <x v="0"/>
    <s v="NMDBS_4.6.1.14b1"/>
    <x v="0"/>
    <x v="8"/>
    <s v="\\192.168.3.3\Share\Releases\Product\Netmind_4.6\Build&amp;Release\ReleaseForIT\TestBuild_4.6.1\Build4\ServerCD\DBS\Setup"/>
    <x v="0"/>
    <s v="\\192.168.3.3\Share\Releases\Product\Netmind_4.6\Build&amp;Release\ReleaseForTest\TestBuild_4.6.1\Build4\ServerCD\DBS\Setup"/>
    <s v="Pass"/>
    <x v="1"/>
    <m/>
    <m/>
    <m/>
    <s v="Swapnil Garg"/>
    <x v="0"/>
  </r>
  <r>
    <x v="4"/>
    <x v="7"/>
    <n v="1"/>
    <x v="0"/>
    <n v="1"/>
    <s v="IT-LQA-AT"/>
    <x v="4"/>
    <m/>
    <x v="5"/>
    <x v="0"/>
    <x v="0"/>
    <s v="NMDBS_TLSTR_4.0.1.0.4.280b1"/>
    <x v="0"/>
    <x v="9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Abhijeet Chaterjee"/>
    <x v="0"/>
  </r>
  <r>
    <x v="5"/>
    <x v="7"/>
    <n v="1"/>
    <x v="0"/>
    <n v="1"/>
    <s v="LQA-FAT"/>
    <x v="0"/>
    <m/>
    <x v="1"/>
    <x v="1"/>
    <x v="0"/>
    <s v="MPE_SLT-1B_3.0.1.1.1.39b1"/>
    <x v="0"/>
    <x v="10"/>
    <m/>
    <x v="0"/>
    <s v="\\192.168.3.3\Share\Releases\Projects\SLT-1B\Release_For_Test\Test_Build_1.0.0.1\Server CD\MPE\Setup"/>
    <s v="Pass"/>
    <x v="1"/>
    <m/>
    <m/>
    <m/>
    <s v="Dinesh Kumar Yadav"/>
    <x v="0"/>
  </r>
  <r>
    <x v="5"/>
    <x v="7"/>
    <n v="1"/>
    <x v="0"/>
    <n v="1"/>
    <s v="LQA"/>
    <x v="4"/>
    <m/>
    <x v="1"/>
    <x v="1"/>
    <x v="0"/>
    <s v="MPE_TLSTR-2b_3.0.0.3.1.81b1"/>
    <x v="0"/>
    <x v="11"/>
    <m/>
    <x v="2"/>
    <s v="\\192.168.3.3\Share\Releases\Projects\Telstra-2b\Release_For_Test\Test_Build_1.0.0.1\Server CD\MPE\Setup"/>
    <m/>
    <x v="1"/>
    <m/>
    <m/>
    <m/>
    <m/>
    <x v="2"/>
  </r>
  <r>
    <x v="5"/>
    <x v="7"/>
    <n v="1"/>
    <x v="0"/>
    <n v="1"/>
    <s v="LQA"/>
    <x v="0"/>
    <m/>
    <x v="1"/>
    <x v="1"/>
    <x v="0"/>
    <s v="MPE_SLT-1B_3.0.1.1.1.40b1"/>
    <x v="0"/>
    <x v="10"/>
    <m/>
    <x v="0"/>
    <s v="\\192.168.3.3\Share\Releases\Projects\SLT-1B\Release_For_Test\Test_Build_1.0.0.1\Server CD\MPE\Setup"/>
    <s v="Pass"/>
    <x v="1"/>
    <m/>
    <m/>
    <m/>
    <m/>
    <x v="0"/>
  </r>
  <r>
    <x v="5"/>
    <x v="7"/>
    <n v="1"/>
    <x v="0"/>
    <n v="1"/>
    <s v="LQA"/>
    <x v="1"/>
    <m/>
    <x v="1"/>
    <x v="1"/>
    <x v="0"/>
    <s v="MPE_3.2.4.26b1"/>
    <x v="0"/>
    <x v="12"/>
    <m/>
    <x v="0"/>
    <s v="\\192.168.3.3\Share\Releases\Product\MPE_GUI\ReleaseForLQA\TestBuild_1.0.0.2\Server CD\MPE\Setup"/>
    <m/>
    <x v="1"/>
    <m/>
    <m/>
    <m/>
    <m/>
    <x v="1"/>
  </r>
  <r>
    <x v="5"/>
    <x v="7"/>
    <n v="1"/>
    <x v="0"/>
    <n v="1"/>
    <s v="LQA"/>
    <x v="1"/>
    <m/>
    <x v="6"/>
    <x v="3"/>
    <x v="1"/>
    <s v="IM_1.0.1b2"/>
    <x v="0"/>
    <x v="13"/>
    <m/>
    <x v="0"/>
    <s v="\\192.168.3.3\Share\Releases\Product\IM_1.0\Build&amp;Release\Release_For_LQA\Test_Build_1.0.1\Server CD\IM\Setup"/>
    <m/>
    <x v="0"/>
    <m/>
    <m/>
    <m/>
    <m/>
    <x v="1"/>
  </r>
  <r>
    <x v="5"/>
    <x v="7"/>
    <n v="1"/>
    <x v="0"/>
    <n v="1"/>
    <s v="LQA-UAT"/>
    <x v="6"/>
    <m/>
    <x v="1"/>
    <x v="1"/>
    <x v="0"/>
    <s v="MPE_ANTEL_3.2.4.26.1.12b1"/>
    <x v="0"/>
    <x v="14"/>
    <m/>
    <x v="0"/>
    <s v="\\192.168.3.3\Share\Releases\Projects\ANTEL\Release_For_Test\Test_Build_1.0.0.6\Server CD\MPE\Setup"/>
    <s v="Pass"/>
    <x v="1"/>
    <m/>
    <m/>
    <m/>
    <s v="Hemant Kumar Sharma"/>
    <x v="0"/>
  </r>
  <r>
    <x v="5"/>
    <x v="7"/>
    <n v="1"/>
    <x v="0"/>
    <n v="1"/>
    <s v="LQA-UAT"/>
    <x v="1"/>
    <m/>
    <x v="1"/>
    <x v="1"/>
    <x v="0"/>
    <s v="MPE_3.2.4.26b1"/>
    <x v="0"/>
    <x v="5"/>
    <m/>
    <x v="0"/>
    <s v="\\192.168.3.3\Share\Releases\Product\MPE_GUI\ReleaseForLQA\TestBuild_1.0.0.2\Server CD\MPE\Setup"/>
    <s v="Pass"/>
    <x v="1"/>
    <m/>
    <m/>
    <m/>
    <s v="Hemant Kumar Sharma"/>
    <x v="3"/>
  </r>
  <r>
    <x v="5"/>
    <x v="7"/>
    <n v="1"/>
    <x v="0"/>
    <n v="1"/>
    <s v="IT-LQA-UAT"/>
    <x v="5"/>
    <m/>
    <x v="5"/>
    <x v="0"/>
    <x v="0"/>
    <s v="NMDBS_BHN_3.5.1.52.2"/>
    <x v="1"/>
    <x v="7"/>
    <s v="\\192.168.3.3\Share\Projects\Neustar\BHN\Build&amp;Release\Release For IT\Test_Build_3.5.37\Server CD\Database\Setup"/>
    <x v="0"/>
    <s v="\\192.168.3.3\Share\Projects\Neustar\BHN\Build&amp;Release\Release For Test\Test_Build_3.5.37\Server CD\Database\Setup"/>
    <s v="Pass"/>
    <x v="1"/>
    <m/>
    <m/>
    <m/>
    <s v="Rudra Narayan"/>
    <x v="0"/>
  </r>
  <r>
    <x v="6"/>
    <x v="8"/>
    <n v="1"/>
    <x v="0"/>
    <n v="1"/>
    <s v="LQA-FAT"/>
    <x v="0"/>
    <m/>
    <x v="1"/>
    <x v="1"/>
    <x v="0"/>
    <s v="MPE_SLT-1B_3.0.1.1.1.41b1"/>
    <x v="0"/>
    <x v="10"/>
    <m/>
    <x v="0"/>
    <s v="\\192.168.3.3\Share\Releases\Projects\SLT-1B\Release_For_Test\Test_Build_1.0.0.1\Server CD\MPE\Setup"/>
    <s v="Pass"/>
    <x v="1"/>
    <m/>
    <m/>
    <m/>
    <s v="K.V. Krishnan"/>
    <x v="0"/>
  </r>
  <r>
    <x v="6"/>
    <x v="8"/>
    <n v="1"/>
    <x v="0"/>
    <n v="1"/>
    <s v="LQA"/>
    <x v="4"/>
    <m/>
    <x v="6"/>
    <x v="3"/>
    <x v="1"/>
    <s v=" IM_TLSTR_1.0.1.0.70"/>
    <x v="0"/>
    <x v="15"/>
    <m/>
    <x v="0"/>
    <s v="\\192.168.3.3\share\Releases\Projects\Telstra\Release_For_LQA\Test_Build_1.0.0.18\Server CD\IM\Setup"/>
    <m/>
    <x v="1"/>
    <m/>
    <m/>
    <m/>
    <m/>
    <x v="1"/>
  </r>
  <r>
    <x v="6"/>
    <x v="8"/>
    <n v="1"/>
    <x v="0"/>
    <n v="1"/>
    <s v="IT-LQA-AT"/>
    <x v="4"/>
    <m/>
    <x v="5"/>
    <x v="0"/>
    <x v="0"/>
    <s v="NMDBS_TLSTR_4.0.1.0.4.281b1"/>
    <x v="0"/>
    <x v="9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Abhijeet Chaterjee"/>
    <x v="0"/>
  </r>
  <r>
    <x v="6"/>
    <x v="8"/>
    <n v="1"/>
    <x v="0"/>
    <n v="1"/>
    <s v="LQA-FAT"/>
    <x v="0"/>
    <m/>
    <x v="1"/>
    <x v="1"/>
    <x v="0"/>
    <s v="MPE_SLT-1B_3.0.1.1.1.42b1"/>
    <x v="0"/>
    <x v="10"/>
    <m/>
    <x v="0"/>
    <s v="\\192.168.3.3\Share\Releases\Projects\SLT-1B\Release_For_Test\Test_Build_1.0.0.1\Server CD\MPE\Setup"/>
    <s v="Pass"/>
    <x v="1"/>
    <m/>
    <m/>
    <m/>
    <s v="K.V. Krishnan"/>
    <x v="0"/>
  </r>
  <r>
    <x v="6"/>
    <x v="8"/>
    <n v="1"/>
    <x v="0"/>
    <n v="1"/>
    <s v="LQA"/>
    <x v="3"/>
    <m/>
    <x v="7"/>
    <x v="2"/>
    <x v="0"/>
    <s v="RTGUI_OBT_4.0.10.0.2.1b1"/>
    <x v="0"/>
    <x v="16"/>
    <m/>
    <x v="0"/>
    <s v="\\192.168.3.3\share\Releases\Projects\OBT\Release_For_LQA\TestBuild_1.0.0.3\Server CD\GUI\Setup"/>
    <m/>
    <x v="1"/>
    <m/>
    <m/>
    <m/>
    <m/>
    <x v="1"/>
  </r>
  <r>
    <x v="6"/>
    <x v="6"/>
    <n v="1"/>
    <x v="0"/>
    <n v="1"/>
    <s v="IT-LQA"/>
    <x v="0"/>
    <m/>
    <x v="4"/>
    <x v="0"/>
    <x v="0"/>
    <s v="RADBS_SLT_2.0.0.23.1.51b1"/>
    <x v="0"/>
    <x v="17"/>
    <s v="\\192.168.3.3\Share\Releases\Projects\SLT\Release_For_IT\Test_Build_1.0.0.4\Server CD\DBS\Setup"/>
    <x v="2"/>
    <s v="\\192.168.3.3\Share\Releases\Projects\SLT\Release_For_LQA\Test_Build_1.0.0.16\Server CD\DBS\Setup"/>
    <m/>
    <x v="1"/>
    <m/>
    <m/>
    <m/>
    <m/>
    <x v="2"/>
  </r>
  <r>
    <x v="6"/>
    <x v="6"/>
    <n v="1"/>
    <x v="0"/>
    <n v="1"/>
    <s v="IT-LQA"/>
    <x v="0"/>
    <m/>
    <x v="2"/>
    <x v="0"/>
    <x v="0"/>
    <s v="DMDBS_SLT_2.0.0.18.1.87b1"/>
    <x v="0"/>
    <x v="17"/>
    <s v="\\192.168.3.3\Share\Releases\Projects\SLT\Release_For_IT\Test_Build_1.0.0.4\Server CD\DBS\Setup"/>
    <x v="2"/>
    <s v="\\192.168.3.3\Share\Releases\Projects\SLT\Release_For_LQA\Test_Build_1.0.0.16\Server CD\DBS\Setup"/>
    <m/>
    <x v="1"/>
    <m/>
    <m/>
    <m/>
    <m/>
    <x v="2"/>
  </r>
  <r>
    <x v="6"/>
    <x v="8"/>
    <n v="1"/>
    <x v="0"/>
    <n v="1"/>
    <s v="LQA-UAT"/>
    <x v="1"/>
    <m/>
    <x v="8"/>
    <x v="2"/>
    <x v="0"/>
    <s v="WWFSGUI_2.0.4.8b6 -"/>
    <x v="0"/>
    <x v="18"/>
    <m/>
    <x v="0"/>
    <s v="\\192.168.3.3\Share\Releases\Product\WEB_WFS\Build&amp;Release\Release For Test\TestBuild_2.0.4\Build4\ServerCD\GUI\Setup"/>
    <s v="Pass"/>
    <x v="1"/>
    <m/>
    <m/>
    <m/>
    <s v="Abhijeet Chaterjee"/>
    <x v="0"/>
  </r>
  <r>
    <x v="7"/>
    <x v="6"/>
    <n v="1"/>
    <x v="0"/>
    <n v="1"/>
    <s v="LQA"/>
    <x v="7"/>
    <m/>
    <x v="5"/>
    <x v="1"/>
    <x v="0"/>
    <s v="NMMPE_VON_2.0.2.17.1"/>
    <x v="0"/>
    <x v="6"/>
    <m/>
    <x v="0"/>
    <s v="\\192.168.3.3\Share\Releases\Projects\Vonage\Release_For_LQA\Test_Build_4.0.16\Server CD\MPE\Setup"/>
    <m/>
    <x v="0"/>
    <m/>
    <m/>
    <m/>
    <m/>
    <x v="1"/>
  </r>
  <r>
    <x v="7"/>
    <x v="6"/>
    <n v="1"/>
    <x v="0"/>
    <n v="1"/>
    <s v="LQA-AT"/>
    <x v="4"/>
    <m/>
    <x v="1"/>
    <x v="1"/>
    <x v="0"/>
    <s v="MPE_TLSTR-2b_3.0.0.3.1.82b1"/>
    <x v="0"/>
    <x v="11"/>
    <m/>
    <x v="0"/>
    <s v="\\192.168.3.3\Share\Releases\Projects\Telstra-2b\Release_For_Test\Test_Build_1.0.0.1\Server CD\MPE\Setup"/>
    <s v="Pass"/>
    <x v="1"/>
    <m/>
    <m/>
    <m/>
    <s v="Abhijeet Chaterjee"/>
    <x v="0"/>
  </r>
  <r>
    <x v="7"/>
    <x v="6"/>
    <n v="1"/>
    <x v="0"/>
    <n v="1"/>
    <s v="IT-LQA-UAT"/>
    <x v="8"/>
    <m/>
    <x v="9"/>
    <x v="0"/>
    <x v="0"/>
    <s v="NPDBS_TWC_1.2.1.0.1.19b1"/>
    <x v="0"/>
    <x v="19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Sumit Gomber"/>
    <x v="0"/>
  </r>
  <r>
    <x v="7"/>
    <x v="6"/>
    <n v="1"/>
    <x v="0"/>
    <n v="1"/>
    <s v="IT-LQA-UAT"/>
    <x v="0"/>
    <m/>
    <x v="2"/>
    <x v="0"/>
    <x v="0"/>
    <s v="DMDBS_SLT_2.0.0.18.1.88b1"/>
    <x v="0"/>
    <x v="17"/>
    <s v="\\192.168.3.3\Share\Releases\Projects\SLT\Release_For_IT\Test_Build_1.0.0.4\Server CD\DBS\Setup"/>
    <x v="0"/>
    <s v="\\192.168.3.3\Share\Releases\Projects\SLT\Release_For_LQA\Test_Build_1.0.0.16\Server CD\DBS\Setup"/>
    <s v="Pass"/>
    <x v="1"/>
    <m/>
    <m/>
    <m/>
    <s v="K.V. Krishnan"/>
    <x v="0"/>
  </r>
  <r>
    <x v="7"/>
    <x v="6"/>
    <n v="1"/>
    <x v="0"/>
    <n v="1"/>
    <s v="IT-LQA"/>
    <x v="8"/>
    <m/>
    <x v="5"/>
    <x v="0"/>
    <x v="0"/>
    <s v="NMDBS_TWC_4.6.1.11.3.29b1"/>
    <x v="0"/>
    <x v="19"/>
    <s v="\\192.168.3.3\Share\Releases\Projects\TWC\Release_For_IT\Test_Build_1.0.0.3\Server CD\DBS\Setup"/>
    <x v="2"/>
    <s v="\\192.168.3.3\Share\Releases\Projects\TWC\Release_For_Test\Test_Build_1.0.0.4\Server CD\DBS\Setup"/>
    <s v="Pass"/>
    <x v="1"/>
    <m/>
    <m/>
    <m/>
    <m/>
    <x v="2"/>
  </r>
  <r>
    <x v="7"/>
    <x v="6"/>
    <n v="1"/>
    <x v="0"/>
    <n v="1"/>
    <s v="LQA-UAT"/>
    <x v="3"/>
    <m/>
    <x v="1"/>
    <x v="1"/>
    <x v="0"/>
    <s v="MPE_OBT_3.2.1.3.1.9b2"/>
    <x v="0"/>
    <x v="20"/>
    <m/>
    <x v="0"/>
    <s v="\\192.168.3.3\share\Releases\Projects\OBT\Release_For_LQA\TestBuild_1.0.0.3\Server CD\MPE\Setup"/>
    <s v="Pass"/>
    <x v="0"/>
    <m/>
    <m/>
    <m/>
    <s v="Swapnil Garg"/>
    <x v="0"/>
  </r>
  <r>
    <x v="8"/>
    <x v="3"/>
    <n v="1"/>
    <x v="0"/>
    <n v="1"/>
    <s v="IT-LQA"/>
    <x v="3"/>
    <m/>
    <x v="5"/>
    <x v="0"/>
    <x v="0"/>
    <s v="NMDBS_OBT_4.6.1.13.1.12b2"/>
    <x v="0"/>
    <x v="4"/>
    <s v="\\192.168.3.3\Share\Releases\Projects\OBT\Release_For_IT\TestBuild_1.0.0.2\Server CD\DBS\Setup"/>
    <x v="2"/>
    <s v="\\192.168.3.3\Share\Releases\Projects\OBT\Release_For_LQA\TestBuild_1.0.0.3\Server CD\DBS\Setup"/>
    <m/>
    <x v="1"/>
    <m/>
    <m/>
    <m/>
    <m/>
    <x v="2"/>
  </r>
  <r>
    <x v="8"/>
    <x v="3"/>
    <n v="1"/>
    <x v="0"/>
    <n v="1"/>
    <s v="IT-LQA-UAT"/>
    <x v="3"/>
    <m/>
    <x v="5"/>
    <x v="0"/>
    <x v="0"/>
    <s v="NMDBS_OBT_4.6.1.13.1.14b2"/>
    <x v="0"/>
    <x v="4"/>
    <s v="\\192.168.3.3\Share\Releases\Projects\OBT\Release_For_IT\TestBuild_1.0.0.2\Server CD\DBS\Setup"/>
    <x v="0"/>
    <s v="\\192.168.3.3\Share\Releases\Projects\OBT\Release_For_LQA\TestBuild_1.0.0.3\Server CD\DBS\Setup"/>
    <s v="Pass"/>
    <x v="1"/>
    <m/>
    <m/>
    <m/>
    <s v="Swapnil Garg"/>
    <x v="0"/>
  </r>
  <r>
    <x v="8"/>
    <x v="3"/>
    <n v="1"/>
    <x v="0"/>
    <n v="1"/>
    <s v="IT-LQA-UAT"/>
    <x v="3"/>
    <m/>
    <x v="5"/>
    <x v="0"/>
    <x v="0"/>
    <s v="NMDBS_OBT_4.6.1.13.1.15b2"/>
    <x v="0"/>
    <x v="4"/>
    <s v="\\192.168.3.3\Share\Releases\Projects\OBT\Release_For_IT\TestBuild_1.0.0.2\Server CD\DBS\Setup"/>
    <x v="0"/>
    <s v="\\192.168.3.3\Share\Releases\Projects\OBT\Release_For_LQA\TestBuild_1.0.0.3\Server CD\DBS\Setup"/>
    <s v="Pass"/>
    <x v="1"/>
    <m/>
    <m/>
    <m/>
    <s v="Swapnil Garg"/>
    <x v="0"/>
  </r>
  <r>
    <x v="8"/>
    <x v="3"/>
    <n v="1"/>
    <x v="0"/>
    <n v="1"/>
    <s v="IT-LQA-UAT"/>
    <x v="3"/>
    <m/>
    <x v="5"/>
    <x v="0"/>
    <x v="0"/>
    <s v="NMDBS_OBT_4.6.1.13.1.16b2"/>
    <x v="0"/>
    <x v="4"/>
    <s v="\\192.168.3.3\Share\Releases\Projects\OBT\Release_For_IT\TestBuild_1.0.0.2\Server CD\DBS\Setup"/>
    <x v="2"/>
    <s v="\\192.168.3.3\Share\Releases\Projects\OBT\Release_For_LQA\TestBuild_1.0.0.3\Server CD\DBS\Setup"/>
    <s v="Pass"/>
    <x v="1"/>
    <m/>
    <m/>
    <m/>
    <s v="Swapnil Garg"/>
    <x v="2"/>
  </r>
  <r>
    <x v="8"/>
    <x v="3"/>
    <n v="1"/>
    <x v="0"/>
    <n v="1"/>
    <s v="LQA"/>
    <x v="1"/>
    <m/>
    <x v="8"/>
    <x v="2"/>
    <x v="0"/>
    <s v="WWFSGUI_2.1.21.1b1"/>
    <x v="0"/>
    <x v="21"/>
    <m/>
    <x v="0"/>
    <s v="\\192.168.3.3\Share\Releases\Product\WEB_WFS\Build&amp;Release\Release For Test\TestBuild_2.1.21\Build1\ServerCD\GUI\Setup"/>
    <m/>
    <x v="1"/>
    <m/>
    <m/>
    <m/>
    <m/>
    <x v="1"/>
  </r>
  <r>
    <x v="8"/>
    <x v="3"/>
    <n v="1"/>
    <x v="0"/>
    <n v="1"/>
    <s v="LQA"/>
    <x v="1"/>
    <m/>
    <x v="8"/>
    <x v="2"/>
    <x v="0"/>
    <s v="WWFSGUI_2.1.21.2b1"/>
    <x v="0"/>
    <x v="21"/>
    <m/>
    <x v="0"/>
    <s v="\\192.168.3.3\Share\Releases\Product\WEB_WFS\Build&amp;Release\Release For Test\TestBuild_2.1.21\Build1\ServerCD\GUI\Setup"/>
    <m/>
    <x v="1"/>
    <m/>
    <m/>
    <m/>
    <m/>
    <x v="1"/>
  </r>
  <r>
    <x v="9"/>
    <x v="9"/>
    <n v="1"/>
    <x v="0"/>
    <n v="1"/>
    <s v="LQA-UAT"/>
    <x v="3"/>
    <m/>
    <x v="8"/>
    <x v="2"/>
    <x v="0"/>
    <s v="WWFSGUI_OBT_2.1.21.1.2.1b1"/>
    <x v="0"/>
    <x v="21"/>
    <m/>
    <x v="0"/>
    <s v="\\192.168.3.3\share\Releases\Projects\OBT\Release_For_LQA\TestBuild_1.0.0.3\Server CD\GUI\Setup"/>
    <s v="Pass"/>
    <x v="0"/>
    <m/>
    <m/>
    <m/>
    <s v="Swapnil Garg"/>
    <x v="0"/>
  </r>
  <r>
    <x v="9"/>
    <x v="9"/>
    <n v="1"/>
    <x v="0"/>
    <n v="1"/>
    <s v="LQA-UAT"/>
    <x v="3"/>
    <m/>
    <x v="8"/>
    <x v="2"/>
    <x v="0"/>
    <s v="WWFSGUI_OBT_2.1.21.2.2.2b1"/>
    <x v="0"/>
    <x v="21"/>
    <m/>
    <x v="0"/>
    <s v="\\192.168.3.3\share\Releases\Projects\OBT\Release_For_LQA\TestBuild_1.0.0.3\Server CD\GUI\Setup"/>
    <s v="Pass"/>
    <x v="0"/>
    <m/>
    <m/>
    <m/>
    <s v="Swapnil Garg"/>
    <x v="0"/>
  </r>
  <r>
    <x v="9"/>
    <x v="9"/>
    <n v="1"/>
    <x v="0"/>
    <n v="1"/>
    <s v="IT-LQA-UAT"/>
    <x v="2"/>
    <m/>
    <x v="3"/>
    <x v="0"/>
    <x v="0"/>
    <s v="RMDBS_SHAW_2.0.1.0.1.38b1"/>
    <x v="0"/>
    <x v="22"/>
    <s v="\\192.168.3.3\Share\Releases\Projects\SHAW\Release_For_IT\Test_Build_1.0.0.26\Server CD\DBS\Setup"/>
    <x v="0"/>
    <s v="\\192.168.3.3\Share\Releases\Projects\SHAW\Release_For_LQA\Test_Build_1.0.0.28\Server CD\DBS\Setup"/>
    <s v="Pass"/>
    <x v="1"/>
    <m/>
    <m/>
    <m/>
    <s v="parul rajput"/>
    <x v="0"/>
  </r>
  <r>
    <x v="10"/>
    <x v="10"/>
    <n v="1"/>
    <x v="0"/>
    <n v="1"/>
    <s v="IT-LQA"/>
    <x v="0"/>
    <m/>
    <x v="2"/>
    <x v="0"/>
    <x v="0"/>
    <s v="DMDBS_SLT_2.0.0.18.1.89b1"/>
    <x v="0"/>
    <x v="17"/>
    <s v="\\192.168.3.3\Share\Releases\Projects\SLT\Release_For_IT\Test_Build_1.0.0.4\Server CD\DBS\Setup"/>
    <x v="2"/>
    <s v="\\192.168.3.3\Share\Releases\Projects\SLT\Release_For_LQA\Test_Build_1.0.0.17\Server CD\DBS\Setup"/>
    <m/>
    <x v="1"/>
    <m/>
    <m/>
    <m/>
    <m/>
    <x v="2"/>
  </r>
  <r>
    <x v="10"/>
    <x v="11"/>
    <n v="1"/>
    <x v="0"/>
    <n v="1"/>
    <s v="IT-LQA"/>
    <x v="0"/>
    <m/>
    <x v="2"/>
    <x v="0"/>
    <x v="0"/>
    <s v="DMDBS_SLT_2.0.0.18.1.90b1"/>
    <x v="0"/>
    <x v="17"/>
    <s v="\\192.168.3.3\Share\Releases\Projects\SLT\Release_For_IT\Test_Build_1.0.0.4\Server CD\DBS\Setup"/>
    <x v="0"/>
    <s v="\\192.168.3.3\Share\Releases\Projects\SLT\Release_For_LQA\Test_Build_1.0.0.17\Server CD\DBS\Setup"/>
    <s v="Pass"/>
    <x v="1"/>
    <m/>
    <m/>
    <m/>
    <m/>
    <x v="0"/>
  </r>
  <r>
    <x v="10"/>
    <x v="12"/>
    <n v="1"/>
    <x v="0"/>
    <n v="1"/>
    <s v="IT-LQA-UAT"/>
    <x v="0"/>
    <m/>
    <x v="2"/>
    <x v="0"/>
    <x v="0"/>
    <s v="DMDBS_SLT_2.0.0.18.1.91b1"/>
    <x v="0"/>
    <x v="17"/>
    <s v="\\192.168.3.3\Share\Releases\Projects\SLT\Release_For_IT\Test_Build_1.0.0.4\Server CD\DBS\Setup"/>
    <x v="0"/>
    <s v="\\192.168.3.3\Share\Releases\Projects\SLT\Release_For_LQA\Test_Build_1.0.0.17\Server CD\DBS\Setup"/>
    <s v="Pass"/>
    <x v="1"/>
    <m/>
    <m/>
    <m/>
    <s v="K.V. Krishnan"/>
    <x v="0"/>
  </r>
  <r>
    <x v="10"/>
    <x v="13"/>
    <n v="1"/>
    <x v="0"/>
    <n v="1"/>
    <s v="IT-LQA-AT"/>
    <x v="4"/>
    <m/>
    <x v="5"/>
    <x v="0"/>
    <x v="0"/>
    <s v="NMDBS_TLSTR_4.0.1.0.4.282b1"/>
    <x v="0"/>
    <x v="6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Abhijeet Chaterjee"/>
    <x v="0"/>
  </r>
  <r>
    <x v="10"/>
    <x v="14"/>
    <n v="1"/>
    <x v="0"/>
    <n v="1"/>
    <s v="IT-LQA-UAT"/>
    <x v="2"/>
    <m/>
    <x v="3"/>
    <x v="0"/>
    <x v="0"/>
    <s v="RMDBS_SHAW_2.0.1.0.1.39b1"/>
    <x v="0"/>
    <x v="22"/>
    <s v="\\192.168.3.3\Share\Releases\Projects\SHAW\Release_For_IT\Test_Build_1.0.0.26\Server CD\DBS\Setup"/>
    <x v="0"/>
    <s v="\\192.168.3.3\Share\Releases\Projects\SHAW\Release_For_LQA\Test_Build_1.0.0.28\Server CD\DBS\Setup"/>
    <s v="Pass"/>
    <x v="1"/>
    <m/>
    <m/>
    <m/>
    <s v="parul rajput"/>
    <x v="0"/>
  </r>
  <r>
    <x v="10"/>
    <x v="13"/>
    <n v="1"/>
    <x v="0"/>
    <n v="1"/>
    <s v="IT-LQA-UAT"/>
    <x v="3"/>
    <m/>
    <x v="5"/>
    <x v="0"/>
    <x v="0"/>
    <s v="NMDBS_OBT_4.6.1.13.1.12b3-"/>
    <x v="0"/>
    <x v="5"/>
    <s v="\\192.168.3.3\Share\Releases\Projects\OBT\Release_For_IT\TestBuild_1.0.0.2\Server CD\DBS\Setup"/>
    <x v="0"/>
    <s v="\\192.168.3.3\Share\Releases\Projects\OBT\Release_For_LQA\TestBuild_1.0.0.3\Server CD\DBS\Setup"/>
    <s v="Pass"/>
    <x v="1"/>
    <m/>
    <m/>
    <m/>
    <s v="Swapnil Garg"/>
    <x v="0"/>
  </r>
  <r>
    <x v="10"/>
    <x v="13"/>
    <n v="1"/>
    <x v="0"/>
    <n v="1"/>
    <s v="LQA-UAT"/>
    <x v="0"/>
    <m/>
    <x v="1"/>
    <x v="1"/>
    <x v="0"/>
    <s v="MPE_SLT-1B_3.0.1.1.1.43b1"/>
    <x v="0"/>
    <x v="6"/>
    <m/>
    <x v="0"/>
    <s v="\\192.168.3.3\Share\Releases\Projects\SLT-1B\Release_For_Test\Test_Build_1.0.0.1\Server CD\MPE\Setup"/>
    <s v="Pass"/>
    <x v="1"/>
    <m/>
    <m/>
    <m/>
    <s v="K.V. Krishnan"/>
    <x v="0"/>
  </r>
  <r>
    <x v="11"/>
    <x v="0"/>
    <n v="1"/>
    <x v="0"/>
    <s v="False"/>
    <s v="IT"/>
    <x v="1"/>
    <m/>
    <x v="9"/>
    <x v="0"/>
    <x v="0"/>
    <s v="NPDBS_1.2.3.1b1"/>
    <x v="0"/>
    <x v="23"/>
    <s v="\\192.168.3.3\share\Releases\Product\NetMindPOS_1.1\Build&amp;Release\Release for IT\TestBuild_1.2.3\Server CD\DBS\Setup"/>
    <x v="1"/>
    <m/>
    <m/>
    <x v="1"/>
    <m/>
    <m/>
    <m/>
    <m/>
    <x v="2"/>
  </r>
  <r>
    <x v="11"/>
    <x v="14"/>
    <n v="1"/>
    <x v="0"/>
    <n v="1"/>
    <s v="IT-LQA-UAT"/>
    <x v="1"/>
    <m/>
    <x v="5"/>
    <x v="0"/>
    <x v="0"/>
    <s v="NMDBS_4.6.1.15b1"/>
    <x v="0"/>
    <x v="24"/>
    <s v="\\192.168.3.3\Share\Releases\Product\Netmind_4.6\Build&amp;Release\ReleaseForIT\TestBuild_4.6.1\Build4\ServerCD\DBS\Setup"/>
    <x v="0"/>
    <s v="\\192.168.3.3\Share\Releases\Product\Netmind_4.6\Build&amp;Release\ReleaseForTest\TestBuild_4.6.1\Build4\ServerCD\DBS\Setup"/>
    <s v="Pass"/>
    <x v="0"/>
    <m/>
    <m/>
    <m/>
    <s v="Swapnil Garg"/>
    <x v="0"/>
  </r>
  <r>
    <x v="12"/>
    <x v="14"/>
    <n v="1"/>
    <x v="0"/>
    <n v="1"/>
    <s v="IT-LQA-UAT"/>
    <x v="6"/>
    <m/>
    <x v="5"/>
    <x v="0"/>
    <x v="0"/>
    <s v="NMDBS_ANTEL_4.6.1.0.2.30b1"/>
    <x v="0"/>
    <x v="25"/>
    <s v="\\192.168.3.3\Share\Releases\Projects\ANTEL\Release_For_IT\TestBuild_1.0.0.4\Server CD\DBS\Setup"/>
    <x v="0"/>
    <s v="\\192.168.3.3\Share\Releases\Projects\ANTEL\Release_For_Test\Test_Build_1.0.0.6\Server CD\DBS\Setup"/>
    <s v="Pass"/>
    <x v="0"/>
    <m/>
    <m/>
    <m/>
    <s v="Pradeep Raghav"/>
    <x v="0"/>
  </r>
  <r>
    <x v="12"/>
    <x v="14"/>
    <n v="1"/>
    <x v="0"/>
    <n v="1"/>
    <s v="IT-LQA-UAT"/>
    <x v="8"/>
    <m/>
    <x v="5"/>
    <x v="0"/>
    <x v="0"/>
    <s v="NMDBS_TWC_4.6.1.11.3.29b2"/>
    <x v="0"/>
    <x v="19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Jitender Aggarwal"/>
    <x v="0"/>
  </r>
  <r>
    <x v="12"/>
    <x v="14"/>
    <n v="1"/>
    <x v="0"/>
    <n v="1"/>
    <s v="LQA-UAT"/>
    <x v="0"/>
    <m/>
    <x v="1"/>
    <x v="1"/>
    <x v="0"/>
    <s v="MPE_SLT-1B_3.0.1.1.1.44b1"/>
    <x v="0"/>
    <x v="26"/>
    <m/>
    <x v="0"/>
    <s v="\\192.168.3.3\Share\Releases\Projects\SLT-1B\Release_For_Test\Test_Build_1.0.0.1\Server CD\MPE\Setup"/>
    <s v="Pass"/>
    <x v="0"/>
    <m/>
    <m/>
    <m/>
    <s v="K.V. Krishnan"/>
    <x v="0"/>
  </r>
  <r>
    <x v="12"/>
    <x v="14"/>
    <n v="1"/>
    <x v="0"/>
    <n v="1"/>
    <s v="IT-LQA"/>
    <x v="2"/>
    <m/>
    <x v="3"/>
    <x v="2"/>
    <x v="1"/>
    <s v="RMGUI_SHAW_2.0.23"/>
    <x v="0"/>
    <x v="22"/>
    <s v="\\192.168.3.3\Share\Releases\Projects\SHAW\Release_For_IT\Test_Build_1.0.0.27\Client CD\RM\Setup"/>
    <x v="0"/>
    <s v="\\192.168.3.3\Share\Releases\Projects\SHAW\Release_For_LQA\Test_Build_1.0.0.28\Client CD\RM"/>
    <m/>
    <x v="1"/>
    <m/>
    <m/>
    <m/>
    <m/>
    <x v="1"/>
  </r>
  <r>
    <x v="12"/>
    <x v="14"/>
    <n v="1"/>
    <x v="0"/>
    <n v="1"/>
    <s v="LQA-UAT"/>
    <x v="1"/>
    <m/>
    <x v="1"/>
    <x v="1"/>
    <x v="0"/>
    <s v="MPE_3.2.4.27b1"/>
    <x v="0"/>
    <x v="5"/>
    <m/>
    <x v="0"/>
    <s v="\\192.168.3.3\Share\Releases\Product\MPE_GUI\ReleaseForLQA\TestBuild_1.0.0.2\Server CD\MPE\Setup"/>
    <s v="Pass"/>
    <x v="1"/>
    <m/>
    <m/>
    <m/>
    <s v="Hemant Kumar Sharma"/>
    <x v="0"/>
  </r>
  <r>
    <x v="12"/>
    <x v="14"/>
    <n v="1"/>
    <x v="0"/>
    <n v="1"/>
    <s v="LQA-UAT"/>
    <x v="6"/>
    <m/>
    <x v="1"/>
    <x v="1"/>
    <x v="0"/>
    <s v="MPE_ANTEL_3.2.4.27.1.13b1 "/>
    <x v="0"/>
    <x v="5"/>
    <m/>
    <x v="0"/>
    <s v="\\192.168.3.3\Share\Releases\Projects\ANTEL\Release_For_Test\Test_Build_1.0.0.6\Server CD\MPE\Setup"/>
    <s v="Pass"/>
    <x v="1"/>
    <m/>
    <m/>
    <m/>
    <s v="Hemant Kumar Sharma"/>
    <x v="0"/>
  </r>
  <r>
    <x v="12"/>
    <x v="14"/>
    <n v="1"/>
    <x v="0"/>
    <n v="1"/>
    <s v="IT-LQA"/>
    <x v="1"/>
    <m/>
    <x v="4"/>
    <x v="0"/>
    <x v="0"/>
    <s v="RADBS_2.1.1.1b1"/>
    <x v="0"/>
    <x v="27"/>
    <s v="\\192.168.3.3\Share\Releases\Product\RevMind_2.1\Build&amp;Release\Release_For_IT\TestBuild_1.0.1\Server CD\DBS\Setup"/>
    <x v="0"/>
    <s v="\\192.168.3.3\Share\Releases\Product\RevMind_2.1\Build&amp;Release\Release_For_LQA\Test_Build_1.0.0\Server CD\DBS\Setup"/>
    <s v="Pass"/>
    <x v="1"/>
    <m/>
    <m/>
    <m/>
    <m/>
    <x v="0"/>
  </r>
  <r>
    <x v="12"/>
    <x v="14"/>
    <n v="1"/>
    <x v="0"/>
    <n v="1"/>
    <s v="LQA"/>
    <x v="1"/>
    <m/>
    <x v="4"/>
    <x v="4"/>
    <x v="1"/>
    <s v="RACS_2.5.4b1"/>
    <x v="0"/>
    <x v="27"/>
    <m/>
    <x v="0"/>
    <s v="\\192.168.3.3\Share\Releases\Product\RevMind_2.1\Build&amp;Release\Release_For_LQA\Test_Build_1.0.1\Server CD\GUI\CS\Setup"/>
    <s v="Pass"/>
    <x v="1"/>
    <m/>
    <m/>
    <m/>
    <m/>
    <x v="0"/>
  </r>
  <r>
    <x v="12"/>
    <x v="14"/>
    <n v="1"/>
    <x v="0"/>
    <n v="1"/>
    <s v="LQA-UAT"/>
    <x v="7"/>
    <m/>
    <x v="5"/>
    <x v="1"/>
    <x v="0"/>
    <s v="NMMPE_VON_2.0.2.18.1"/>
    <x v="0"/>
    <x v="6"/>
    <m/>
    <x v="0"/>
    <s v="\\192.168.3.3\Share\Releases\Projects\Vonage\Release_For_LQA\Test_Build_4.0.16\Server CD\MPE\Setup"/>
    <s v="Pass"/>
    <x v="1"/>
    <m/>
    <m/>
    <m/>
    <s v="Shubhadeep Banerjee"/>
    <x v="0"/>
  </r>
  <r>
    <x v="12"/>
    <x v="14"/>
    <n v="1"/>
    <x v="0"/>
    <n v="1"/>
    <s v="LQA"/>
    <x v="9"/>
    <m/>
    <x v="1"/>
    <x v="1"/>
    <x v="0"/>
    <s v="MPE_MAX_3.2.5.0.1.1b1"/>
    <x v="0"/>
    <x v="28"/>
    <m/>
    <x v="0"/>
    <s v="\\192.168.3.3\Share\Releases\Projects\MAX\Release_For_Test\Test_Build_1.0.0.1\Server CD\MPE"/>
    <m/>
    <x v="0"/>
    <m/>
    <m/>
    <m/>
    <m/>
    <x v="1"/>
  </r>
  <r>
    <x v="12"/>
    <x v="14"/>
    <n v="1"/>
    <x v="0"/>
    <n v="1"/>
    <s v="IT-LQA-UAT"/>
    <x v="3"/>
    <m/>
    <x v="5"/>
    <x v="0"/>
    <x v="0"/>
    <s v="NMDBS_OBT_4.6.1.13.1.17b1"/>
    <x v="0"/>
    <x v="5"/>
    <s v="\\192.168.3.3\Share\Releases\Projects\OBT\Release_For_IT\TestBuild_1.0.0.2\Server CD\DBS\Setup"/>
    <x v="0"/>
    <s v="\\192.168.3.3\Share\Releases\Projects\OBT\Release_For_LQA\TestBuild_1.0.0.3\Server CD\DBS\Setup"/>
    <s v="Pass"/>
    <x v="1"/>
    <m/>
    <m/>
    <m/>
    <s v="Swapnil Garg"/>
    <x v="0"/>
  </r>
  <r>
    <x v="13"/>
    <x v="15"/>
    <n v="1"/>
    <x v="0"/>
    <n v="1"/>
    <s v="LQA"/>
    <x v="1"/>
    <m/>
    <x v="0"/>
    <x v="2"/>
    <x v="1"/>
    <s v="REGUI_1.0.6b1"/>
    <x v="0"/>
    <x v="29"/>
    <m/>
    <x v="0"/>
    <s v="\\192.168.3.3\Share\Releases\Product\RE_1.0\ReleaseForLQA\TestBuild_1.0.1\GUI\Setup"/>
    <m/>
    <x v="1"/>
    <m/>
    <m/>
    <m/>
    <m/>
    <x v="1"/>
  </r>
  <r>
    <x v="13"/>
    <x v="11"/>
    <n v="1"/>
    <x v="0"/>
    <n v="1"/>
    <s v="IT-LQA"/>
    <x v="0"/>
    <m/>
    <x v="4"/>
    <x v="0"/>
    <x v="0"/>
    <s v="RADBS_SLT_2.0.0.23.1.52b1"/>
    <x v="0"/>
    <x v="17"/>
    <s v="\\192.168.3.3\Share\Releases\Projects\SLT\Release_For_IT\Test_Build_1.0.0.4\Server CD\DBS\Setup"/>
    <x v="0"/>
    <m/>
    <s v="Pass"/>
    <x v="1"/>
    <m/>
    <m/>
    <m/>
    <m/>
    <x v="0"/>
  </r>
  <r>
    <x v="13"/>
    <x v="16"/>
    <n v="1"/>
    <x v="0"/>
    <n v="1"/>
    <s v="IT-LQA"/>
    <x v="2"/>
    <m/>
    <x v="3"/>
    <x v="2"/>
    <x v="1"/>
    <s v="RMGUI_SHAW_2.0.24"/>
    <x v="0"/>
    <x v="22"/>
    <s v="\\192.168.3.3\Share\Releases\Projects\SHAW\Release_For_IT\Test_Build_1.0.0.27\Client CD\RM\Setup"/>
    <x v="0"/>
    <s v="\\192.168.3.3\Share\Releases\Projects\SHAW\Release_For_LQA\Test_Build_1.0.0.28\Client CD\RM\Setup"/>
    <m/>
    <x v="1"/>
    <m/>
    <m/>
    <m/>
    <m/>
    <x v="1"/>
  </r>
  <r>
    <x v="13"/>
    <x v="15"/>
    <n v="1"/>
    <x v="0"/>
    <n v="1"/>
    <s v="IT-LQA"/>
    <x v="0"/>
    <m/>
    <x v="4"/>
    <x v="0"/>
    <x v="0"/>
    <s v="RADBS_SLT_2.0.0.23.1.53b1"/>
    <x v="0"/>
    <x v="27"/>
    <s v="\\192.168.3.3\Share\Releases\Projects\SLT\Release_For_IT\Test_Build_1.0.0.4\Server CD\DBS\Setup"/>
    <x v="0"/>
    <s v="\\192.168.3.3\Share\Releases\Projects\SLT\Release_For_LQA\Test_Build_1.0.0.16\Server CD\DBS\Setup"/>
    <m/>
    <x v="1"/>
    <m/>
    <m/>
    <m/>
    <m/>
    <x v="1"/>
  </r>
  <r>
    <x v="13"/>
    <x v="15"/>
    <n v="1"/>
    <x v="0"/>
    <n v="1"/>
    <s v="LQA"/>
    <x v="0"/>
    <m/>
    <x v="1"/>
    <x v="1"/>
    <x v="0"/>
    <s v="MPE_SLT-1B_3.0.1.1.1.45b1"/>
    <x v="0"/>
    <x v="10"/>
    <m/>
    <x v="0"/>
    <s v="\\192.168.3.3\Share\Releases\Projects\SLT-1B\Release_For_Test\Test_Build_1.0.0.1\Server CD\MPE\Setup"/>
    <s v="Pass"/>
    <x v="1"/>
    <m/>
    <m/>
    <m/>
    <m/>
    <x v="0"/>
  </r>
  <r>
    <x v="14"/>
    <x v="17"/>
    <n v="1"/>
    <x v="0"/>
    <n v="1"/>
    <s v="LQA-UAT"/>
    <x v="0"/>
    <m/>
    <x v="0"/>
    <x v="2"/>
    <x v="1"/>
    <s v="REGUI_SLT_1.0.6.0.1"/>
    <x v="0"/>
    <x v="29"/>
    <m/>
    <x v="0"/>
    <s v="\\192.168.3.3\Share\Releases\Projects\SLT\Release_For_LQA\Test_Build_1.0.0.17\Server CD\GUI\Setup"/>
    <s v="Pass"/>
    <x v="0"/>
    <m/>
    <m/>
    <m/>
    <s v="Ravi Gautam"/>
    <x v="0"/>
  </r>
  <r>
    <x v="14"/>
    <x v="17"/>
    <n v="1"/>
    <x v="0"/>
    <n v="1"/>
    <s v="IT-LQA"/>
    <x v="0"/>
    <m/>
    <x v="4"/>
    <x v="0"/>
    <x v="0"/>
    <s v="RADBS_SLT_2.0.0.23.1.54b1-"/>
    <x v="0"/>
    <x v="27"/>
    <s v="\\192.168.3.3\Share\Releases\Projects\SLT\Release_For_IT\Test_Build_1.0.0.4\Server CD\DBS\Setup"/>
    <x v="0"/>
    <s v="\\192.168.3.3\Share\Releases\Projects\SLT\Release_For_LQA\Test_Build_1.0.0.16\Server CD\DBS\Setup"/>
    <s v="Pass"/>
    <x v="1"/>
    <m/>
    <m/>
    <m/>
    <m/>
    <x v="0"/>
  </r>
  <r>
    <x v="14"/>
    <x v="17"/>
    <n v="1"/>
    <x v="0"/>
    <n v="1"/>
    <s v="LQA"/>
    <x v="1"/>
    <m/>
    <x v="10"/>
    <x v="5"/>
    <x v="1"/>
    <s v="SACAGENT_1.3.1b1_RHEL_4.8_x86_64"/>
    <x v="0"/>
    <x v="30"/>
    <m/>
    <x v="0"/>
    <s v="\\192.168.3.3\Share\Releases\Product\SAC\Build&amp;Release\ReleaseforLQA\TestBuild_1.3.0\Build1\ServerCD\AGENT\Setup\RHEL_4.8_x86_64"/>
    <m/>
    <x v="1"/>
    <m/>
    <m/>
    <m/>
    <m/>
    <x v="1"/>
  </r>
  <r>
    <x v="14"/>
    <x v="16"/>
    <n v="1"/>
    <x v="0"/>
    <n v="1"/>
    <s v="IT-LQA-UAT"/>
    <x v="1"/>
    <m/>
    <x v="9"/>
    <x v="0"/>
    <x v="0"/>
    <s v="NPDBS_1.2.3.1b2"/>
    <x v="0"/>
    <x v="23"/>
    <s v="\\192.168.3.3\share\Releases\Product\NetMindPOS_1.1\Build&amp;Release\Release for IT\TestBuild_1.2.3\Server CD\DBS\Setup"/>
    <x v="0"/>
    <s v="\\192.168.3.3\share\Releases\Product\NetMindPOS_1.1\Build&amp;Release\Release for LQA\TestBuild_1.2.3\Server CD\DBS\Setup"/>
    <s v="Pass"/>
    <x v="0"/>
    <m/>
    <m/>
    <m/>
    <s v="Abhishek Leekha"/>
    <x v="0"/>
  </r>
  <r>
    <x v="15"/>
    <x v="0"/>
    <n v="1"/>
    <x v="0"/>
    <s v="False"/>
    <s v="IT"/>
    <x v="1"/>
    <m/>
    <x v="5"/>
    <x v="0"/>
    <x v="0"/>
    <s v="NMDBS_4.6.1.16b1"/>
    <x v="0"/>
    <x v="24"/>
    <s v="\\192.168.3.3\Share\Releases\Product\Netmind_4.6\Build&amp;Release\ReleaseForIT\TestBuild_4.6.1\Build4\ServerCD\DBS\Setup"/>
    <x v="2"/>
    <m/>
    <m/>
    <x v="1"/>
    <m/>
    <m/>
    <m/>
    <m/>
    <x v="2"/>
  </r>
  <r>
    <x v="16"/>
    <x v="16"/>
    <n v="1"/>
    <x v="0"/>
    <n v="1"/>
    <s v="IT-LQA-UAT"/>
    <x v="6"/>
    <m/>
    <x v="5"/>
    <x v="0"/>
    <x v="0"/>
    <s v="NMDBS_ANTEL_4.6.1.0.2.31b1"/>
    <x v="0"/>
    <x v="25"/>
    <s v="\\192.168.3.3\Share\Releases\Projects\ANTEL\Release_For_IT\TestBuild_1.0.0.4\Server CD\DBS\Setup"/>
    <x v="0"/>
    <s v="\\192.168.3.3\Share\Releases\Projects\ANTEL\Release_For_Test\Test_Build_1.0.0.6\Server CD\DBS\Setup"/>
    <s v="Pass"/>
    <x v="1"/>
    <m/>
    <m/>
    <m/>
    <s v="Pradeep Raghav"/>
    <x v="0"/>
  </r>
  <r>
    <x v="16"/>
    <x v="16"/>
    <n v="1"/>
    <x v="0"/>
    <n v="1"/>
    <s v="IT-LQA"/>
    <x v="1"/>
    <m/>
    <x v="7"/>
    <x v="0"/>
    <x v="0"/>
    <s v="RTDBS_4.0.1.11b1"/>
    <x v="0"/>
    <x v="4"/>
    <s v="\\192.168.3.3\Share\Releases\Product\RT_4.0\ReleaseForIT\TestBuild_4.0.3\DBS\Setup"/>
    <x v="0"/>
    <s v="\\192.168.3.3\Share\Releases\Product\RT_4.0\ReleaseForLQA\TestBuild_4.0.18\DBS\Setup "/>
    <m/>
    <x v="0"/>
    <m/>
    <m/>
    <m/>
    <m/>
    <x v="1"/>
  </r>
  <r>
    <x v="16"/>
    <x v="16"/>
    <n v="1"/>
    <x v="0"/>
    <n v="1"/>
    <s v="LQA"/>
    <x v="1"/>
    <m/>
    <x v="11"/>
    <x v="6"/>
    <x v="1"/>
    <s v="AWF_2.0.1b25"/>
    <x v="0"/>
    <x v="31"/>
    <m/>
    <x v="0"/>
    <s v="\\192.168.3.3\Share\Releases\Product\AWF\Build&amp;Release\Release For Test\TestBuild_2.0.1\Setup"/>
    <m/>
    <x v="1"/>
    <m/>
    <m/>
    <m/>
    <m/>
    <x v="1"/>
  </r>
  <r>
    <x v="16"/>
    <x v="11"/>
    <n v="1"/>
    <x v="0"/>
    <n v="1"/>
    <s v="IT-LQA"/>
    <x v="9"/>
    <m/>
    <x v="2"/>
    <x v="0"/>
    <x v="0"/>
    <s v="DMDBS_MAX_2.1.1.11.1.1b1"/>
    <x v="0"/>
    <x v="32"/>
    <s v="\\192.168.3.3\share\Releases\Projects\MAX\Release_For_IT\TestBuild_1.0.0.1\Server CD\DBS\Setup"/>
    <x v="0"/>
    <s v="\\192.168.3.3\Share\Releases\Projects\MAX\Release_For_Test\Test_Build_1.0.0.1\Server CD\DBS\Setup"/>
    <m/>
    <x v="1"/>
    <m/>
    <m/>
    <m/>
    <m/>
    <x v="1"/>
  </r>
  <r>
    <x v="16"/>
    <x v="16"/>
    <n v="1"/>
    <x v="0"/>
    <n v="1"/>
    <s v="LQA-AT"/>
    <x v="4"/>
    <m/>
    <x v="1"/>
    <x v="1"/>
    <x v="0"/>
    <s v="MPE_TLSTR-2b_3.0.0.3.1.83b1"/>
    <x v="0"/>
    <x v="11"/>
    <m/>
    <x v="0"/>
    <s v="\\192.168.3.3\Share\Releases\Projects\Telstra-2b\Release_For_Test\Test_Build_1.0.0.1\Server CD\MPE\Setup"/>
    <s v="Pass"/>
    <x v="1"/>
    <m/>
    <m/>
    <m/>
    <s v="Abhijeet Chaterjee"/>
    <x v="0"/>
  </r>
  <r>
    <x v="16"/>
    <x v="16"/>
    <n v="1"/>
    <x v="0"/>
    <n v="1"/>
    <s v="LQA-UAT"/>
    <x v="1"/>
    <m/>
    <x v="7"/>
    <x v="2"/>
    <x v="0"/>
    <s v="RTGUI_4.0.19b2"/>
    <x v="0"/>
    <x v="16"/>
    <m/>
    <x v="0"/>
    <s v="\\192.168.3.3\Share\Releases\Product\RT_4.0\ReleaseForLQA\TestBuild_4.0.19\GUI\Build1\Setup"/>
    <s v="Pass"/>
    <x v="1"/>
    <m/>
    <m/>
    <m/>
    <s v="Swapnil Garg"/>
    <x v="0"/>
  </r>
  <r>
    <x v="16"/>
    <x v="18"/>
    <n v="1"/>
    <x v="0"/>
    <n v="1"/>
    <s v="IT-LQA"/>
    <x v="9"/>
    <m/>
    <x v="4"/>
    <x v="0"/>
    <x v="1"/>
    <s v="RADBS_MAX_2.1.1.0.1"/>
    <x v="0"/>
    <x v="27"/>
    <s v="\\192.168.3.3\share\Releases\Projects\MAX\Release_For_IT\TestBuild_1.0.0.1\Server CD\DBS\Setup"/>
    <x v="0"/>
    <s v="\\192.168.3.3\Share\Releases\Projects\MAX\Release_For_Test\Test_Build_1.0.0.1\Server CD\DBS\Setup"/>
    <m/>
    <x v="1"/>
    <m/>
    <m/>
    <m/>
    <m/>
    <x v="1"/>
  </r>
  <r>
    <x v="17"/>
    <x v="12"/>
    <n v="1"/>
    <x v="0"/>
    <n v="1"/>
    <s v="LQA"/>
    <x v="1"/>
    <m/>
    <x v="12"/>
    <x v="2"/>
    <x v="1"/>
    <s v="WWCSGUI_2.1.15b2"/>
    <x v="0"/>
    <x v="33"/>
    <m/>
    <x v="0"/>
    <s v="\\192.168.3.3\Share\Releases\Product\WEB_CS\Build&amp;Release\Release For Test\TestBuild_2.1.15\Build4\ServerCD\GUI\Setup"/>
    <m/>
    <x v="0"/>
    <m/>
    <m/>
    <m/>
    <m/>
    <x v="1"/>
  </r>
  <r>
    <x v="17"/>
    <x v="12"/>
    <n v="1"/>
    <x v="0"/>
    <n v="1"/>
    <s v="IT-LQA-UAT"/>
    <x v="2"/>
    <m/>
    <x v="3"/>
    <x v="0"/>
    <x v="0"/>
    <s v="RMDBS_SHAW_2.0.1.0.1.40b1"/>
    <x v="0"/>
    <x v="22"/>
    <s v="\\192.168.3.3\Share\Releases\Projects\SHAW\Release_For_IT\Test_Build_1.0.0.27\Server CD\DBS\Setup"/>
    <x v="0"/>
    <s v="\\192.168.3.3\Share\Releases\Projects\SHAW\Release_For_LQA\Test_Build_1.0.0.28\Server CD\DBS\Setup"/>
    <s v="Pass"/>
    <x v="1"/>
    <m/>
    <m/>
    <m/>
    <s v="parul rajput"/>
    <x v="0"/>
  </r>
  <r>
    <x v="17"/>
    <x v="12"/>
    <n v="1"/>
    <x v="0"/>
    <n v="1"/>
    <s v="IT-LQA-UAT"/>
    <x v="2"/>
    <m/>
    <x v="3"/>
    <x v="0"/>
    <x v="0"/>
    <s v="RMDBS_SHAW_2.0.1.0.1.41b1"/>
    <x v="0"/>
    <x v="22"/>
    <s v="\\192.168.3.3\Share\Releases\Projects\SHAW\Release_For_IT\Test_Build_1.0.0.27\Server CD\DBS\Setup"/>
    <x v="0"/>
    <s v="\\192.168.3.3\Share\Releases\Projects\SHAW\Release_For_LQA\Test_Build_1.0.0.28\Server CD\DBS\Setup"/>
    <s v="Pass"/>
    <x v="1"/>
    <m/>
    <m/>
    <m/>
    <s v="parul rajput"/>
    <x v="0"/>
  </r>
  <r>
    <x v="17"/>
    <x v="12"/>
    <n v="1"/>
    <x v="0"/>
    <n v="1"/>
    <s v="LQA"/>
    <x v="1"/>
    <m/>
    <x v="1"/>
    <x v="1"/>
    <x v="0"/>
    <s v="MPE_3.2.5.1b1"/>
    <x v="0"/>
    <x v="20"/>
    <m/>
    <x v="2"/>
    <s v="\\192.168.3.3\Share\Releases\Product\MPE_GUI\ReleaseForLQA\TestBuild_1.0.0.2\Server CD\MPE\Setup"/>
    <m/>
    <x v="1"/>
    <m/>
    <m/>
    <m/>
    <m/>
    <x v="2"/>
  </r>
  <r>
    <x v="17"/>
    <x v="12"/>
    <n v="1"/>
    <x v="0"/>
    <n v="1"/>
    <s v="LQA-UAT"/>
    <x v="6"/>
    <m/>
    <x v="7"/>
    <x v="2"/>
    <x v="1"/>
    <s v="RTGUI_ANTEL_4.0.19.0.1"/>
    <x v="0"/>
    <x v="16"/>
    <m/>
    <x v="0"/>
    <s v="\\192.168.3.3\Share\Releases\Projects\ANTEL\Release_For_Test\Test_Build_1.0.0.7\Server CD\GUI\Setup"/>
    <s v="Pass"/>
    <x v="1"/>
    <m/>
    <m/>
    <m/>
    <s v="Pradeep Raghav"/>
    <x v="0"/>
  </r>
  <r>
    <x v="17"/>
    <x v="12"/>
    <n v="1"/>
    <x v="0"/>
    <n v="1"/>
    <s v="LQA-UAT"/>
    <x v="3"/>
    <m/>
    <x v="7"/>
    <x v="2"/>
    <x v="1"/>
    <s v="RTGUI_OBT_4.0.19.0.1"/>
    <x v="0"/>
    <x v="16"/>
    <m/>
    <x v="0"/>
    <s v="\\192.168.3.3\share\Releases\Projects\OBT\Release_For_LQA\TestBuild_1.0.0.4\Server CD\GUI\Setup"/>
    <s v="Pass"/>
    <x v="1"/>
    <m/>
    <m/>
    <m/>
    <s v="Swapnil Garg"/>
    <x v="0"/>
  </r>
  <r>
    <x v="17"/>
    <x v="12"/>
    <n v="1"/>
    <x v="0"/>
    <n v="1"/>
    <s v="IT-LQA"/>
    <x v="1"/>
    <m/>
    <x v="0"/>
    <x v="0"/>
    <x v="0"/>
    <s v="REGUI_OBT_4.0.19.0.1"/>
    <x v="0"/>
    <x v="17"/>
    <s v="\\192.168.3.3\Share\Releases\Product\RE_1.0\ReleaseForIT\TestBuild_1.0.1\DBS\Build4\Setup"/>
    <x v="0"/>
    <s v="\\192.168.3.3\Share\Releases\Product\RE_1.0\ReleaseForLQA\TestBuild_1.0.1\DBS\Build4\Setup"/>
    <m/>
    <x v="1"/>
    <m/>
    <m/>
    <m/>
    <m/>
    <x v="1"/>
  </r>
  <r>
    <x v="17"/>
    <x v="12"/>
    <n v="1"/>
    <x v="0"/>
    <n v="1"/>
    <s v="LQA-AT"/>
    <x v="4"/>
    <m/>
    <x v="11"/>
    <x v="6"/>
    <x v="1"/>
    <s v="UTLIM_TLSTR_1.0.0.66.1b1"/>
    <x v="0"/>
    <x v="34"/>
    <m/>
    <x v="0"/>
    <s v="\\192.168.3.3\Share\Releases\Projects\Telstra\Release_For_LQA\Test_Build_1.0.0.18\Utility\Setup"/>
    <s v="Pass"/>
    <x v="1"/>
    <m/>
    <m/>
    <m/>
    <s v="Abhijeet Chaterjee"/>
    <x v="0"/>
  </r>
  <r>
    <x v="17"/>
    <x v="12"/>
    <n v="1"/>
    <x v="0"/>
    <n v="1"/>
    <s v="IT-LQA"/>
    <x v="8"/>
    <m/>
    <x v="5"/>
    <x v="0"/>
    <x v="0"/>
    <s v="NMDBS_TWC_4.6.1.11.3.30b1"/>
    <x v="0"/>
    <x v="19"/>
    <s v="\\192.168.3.3\Share\Releases\Projects\TWC\Release_For_IT\Test_Build_1.0.0.3\Server CD\DBS\Setup"/>
    <x v="2"/>
    <s v="\\192.168.3.3\Share\Releases\Projects\TWC\Release_For_Test\Test_Build_1.0.0.4\Server CD\DBS\Setup"/>
    <m/>
    <x v="0"/>
    <m/>
    <m/>
    <m/>
    <m/>
    <x v="2"/>
  </r>
  <r>
    <x v="17"/>
    <x v="12"/>
    <n v="1"/>
    <x v="0"/>
    <n v="1"/>
    <s v="IT-LQA-UAT"/>
    <x v="8"/>
    <m/>
    <x v="9"/>
    <x v="0"/>
    <x v="0"/>
    <s v="NPDBS_TWC_1.2.1.0.1.20b1"/>
    <x v="0"/>
    <x v="19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Sumit Gomber"/>
    <x v="0"/>
  </r>
  <r>
    <x v="17"/>
    <x v="12"/>
    <n v="1"/>
    <x v="0"/>
    <n v="1"/>
    <s v="IT-LQA-UAT"/>
    <x v="1"/>
    <m/>
    <x v="0"/>
    <x v="0"/>
    <x v="0"/>
    <s v="REDBS_1.0.1.17b1"/>
    <x v="0"/>
    <x v="0"/>
    <s v="\\192.168.3.3\Share\Releases\Product\RE_1.0\ReleaseForIT\TestBuild_1.0.1\DBS\Build4\Setup"/>
    <x v="0"/>
    <s v="\\192.168.3.3\Share\Releases\Product\RE_1.0\ReleaseForLQA\TestBuild_1.0.1\DBS\Build4\Setup"/>
    <m/>
    <x v="1"/>
    <m/>
    <m/>
    <m/>
    <m/>
    <x v="3"/>
  </r>
  <r>
    <x v="17"/>
    <x v="12"/>
    <n v="1"/>
    <x v="0"/>
    <n v="1"/>
    <s v="LQA"/>
    <x v="1"/>
    <m/>
    <x v="8"/>
    <x v="2"/>
    <x v="1"/>
    <s v="WWFSGUI_2.1.22b2"/>
    <x v="0"/>
    <x v="35"/>
    <m/>
    <x v="0"/>
    <s v="\\192.168.3.3\Share\Releases\Product\WEB_WFS\Build&amp;Release\Release For Test\TestBuild_2.1.22\Build1\ServerCD\GUI\Setup"/>
    <m/>
    <x v="0"/>
    <m/>
    <m/>
    <m/>
    <m/>
    <x v="1"/>
  </r>
  <r>
    <x v="18"/>
    <x v="11"/>
    <n v="1"/>
    <x v="0"/>
    <n v="1"/>
    <s v="IT-LQA-FAT"/>
    <x v="0"/>
    <m/>
    <x v="2"/>
    <x v="0"/>
    <x v="0"/>
    <s v="DMDBS_SLT_2.0.0.18.1.87b2"/>
    <x v="0"/>
    <x v="17"/>
    <s v="\\192.168.3.3\Share\Releases\Projects\SLT\Release_For_IT\Test_Build_1.0.0.4\Server CD\DBS\Setup"/>
    <x v="0"/>
    <m/>
    <s v="Pass"/>
    <x v="0"/>
    <m/>
    <m/>
    <m/>
    <s v="K.V. Krishnan"/>
    <x v="0"/>
  </r>
  <r>
    <x v="18"/>
    <x v="11"/>
    <n v="1"/>
    <x v="0"/>
    <n v="1"/>
    <s v="IT-LQA"/>
    <x v="0"/>
    <m/>
    <x v="4"/>
    <x v="0"/>
    <x v="0"/>
    <s v="RADBS_SLT_2.0.0.23.1.51b2"/>
    <x v="0"/>
    <x v="17"/>
    <s v="\\192.168.3.3\Share\Releases\Projects\SLT\Release_For_IT\Test_Build_1.0.0.4\Server CD\DBS\Setup"/>
    <x v="0"/>
    <s v="\\192.168.3.3\Share\Releases\Projects\SLT\Release_For_LQA\Test_Build_1.0.0.17\Server CD\DBS\Setup"/>
    <s v="Pass"/>
    <x v="1"/>
    <m/>
    <m/>
    <m/>
    <m/>
    <x v="0"/>
  </r>
  <r>
    <x v="18"/>
    <x v="19"/>
    <n v="1"/>
    <x v="0"/>
    <n v="1"/>
    <s v="IT-LQA-UAT"/>
    <x v="1"/>
    <m/>
    <x v="5"/>
    <x v="0"/>
    <x v="0"/>
    <s v="NMDBS_4.6.1.16b2"/>
    <x v="0"/>
    <x v="24"/>
    <s v="\\192.168.3.3\Share\Releases\Product\Netmind_4.6\Build&amp;Release\ReleaseForIT\TestBuild_4.6.1\Build4\ServerCD\DBS\Setup"/>
    <x v="0"/>
    <s v="\\192.168.3.3\Share\Releases\Product\Netmind_4.6\Build&amp;Release\ReleaseForTest\TestBuild_4.6.1\Build4\ServerCD\DBS\Setup"/>
    <s v="Pass"/>
    <x v="0"/>
    <m/>
    <m/>
    <m/>
    <s v="Swapnil Garg"/>
    <x v="0"/>
  </r>
  <r>
    <x v="18"/>
    <x v="19"/>
    <n v="1"/>
    <x v="0"/>
    <n v="1"/>
    <s v="IT-LQA"/>
    <x v="10"/>
    <m/>
    <x v="5"/>
    <x v="0"/>
    <x v="1"/>
    <s v="NMDBS_COM_4.6.1.15.1"/>
    <x v="0"/>
    <x v="7"/>
    <s v="\\192.168.3.3\Share\Releases\Projects\Comcast\Release_For_IT\Test_Build_3.5.50\Server CD\Database\Setup"/>
    <x v="0"/>
    <s v="\\192.168.3.3\Share\Releases\Projects\Comcast\Release_for_Test\Test_Build_3.5.50\Server CD\Database\Setup"/>
    <m/>
    <x v="1"/>
    <m/>
    <m/>
    <m/>
    <m/>
    <x v="1"/>
  </r>
  <r>
    <x v="18"/>
    <x v="19"/>
    <n v="1"/>
    <x v="0"/>
    <n v="1"/>
    <s v="IT-LQA"/>
    <x v="10"/>
    <m/>
    <x v="5"/>
    <x v="0"/>
    <x v="0"/>
    <s v="NMDBS_COM_4.6.1.15.1.1b1"/>
    <x v="0"/>
    <x v="7"/>
    <s v="\\192.168.3.3\Share\Releases\Projects\Comcast\Release_For_IT\Test_Build_3.5.50\Server CD\Database\Setup"/>
    <x v="2"/>
    <s v="\\192.168.3.3\Share\Releases\Projects\Comcast\Release_for_Test\Test_Build_3.5.50\Server CD\Database\Setup"/>
    <m/>
    <x v="1"/>
    <m/>
    <m/>
    <m/>
    <m/>
    <x v="2"/>
  </r>
  <r>
    <x v="18"/>
    <x v="19"/>
    <n v="1"/>
    <x v="0"/>
    <n v="1"/>
    <s v="IT-LQA"/>
    <x v="10"/>
    <m/>
    <x v="5"/>
    <x v="0"/>
    <x v="0"/>
    <s v="NMDBS_COM_4.6.1.15.1.2b1"/>
    <x v="0"/>
    <x v="7"/>
    <s v="\\192.168.3.3\Share\Releases\Projects\Comcast\Release_For_IT\Test_Build_3.5.50\Server CD\Database\Setup"/>
    <x v="2"/>
    <s v="\\192.168.3.3\Share\Releases\Projects\Comcast\Release_for_Test\Test_Build_3.5.50\Server CD\Database\Setup"/>
    <m/>
    <x v="1"/>
    <m/>
    <m/>
    <m/>
    <m/>
    <x v="2"/>
  </r>
  <r>
    <x v="18"/>
    <x v="19"/>
    <n v="1"/>
    <x v="0"/>
    <n v="1"/>
    <s v="IT-LQA-AT"/>
    <x v="4"/>
    <m/>
    <x v="5"/>
    <x v="0"/>
    <x v="0"/>
    <s v="NMDBS_TLSTR_4.0.1.0.4.283b1"/>
    <x v="0"/>
    <x v="36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Abhijeet Chaterjee"/>
    <x v="0"/>
  </r>
  <r>
    <x v="18"/>
    <x v="19"/>
    <n v="1"/>
    <x v="0"/>
    <n v="1"/>
    <s v="IT-LQA-FAT"/>
    <x v="11"/>
    <m/>
    <x v="5"/>
    <x v="0"/>
    <x v="0"/>
    <s v="20140122_3.0.2_BMB_COMMON_P1"/>
    <x v="0"/>
    <x v="37"/>
    <s v="\\192.168.3.3\share\Releases\Projects\BMB\Release_For_IT\Test_Build_3.0.2.35\Server CD\Database\Setup"/>
    <x v="0"/>
    <s v="\\192.168.3.3\share\Releases\Projects\BMB\Release_For_Test\Test_Build_3.0.2.35\Server CD\Database\Setup"/>
    <s v="Pass"/>
    <x v="1"/>
    <m/>
    <m/>
    <m/>
    <s v="Manas Ranjan Barik"/>
    <x v="0"/>
  </r>
  <r>
    <x v="18"/>
    <x v="19"/>
    <n v="1"/>
    <x v="0"/>
    <n v="1"/>
    <s v="IT-LQA-UAT"/>
    <x v="3"/>
    <m/>
    <x v="5"/>
    <x v="0"/>
    <x v="0"/>
    <s v="NMDBS_OBT_4.6.1.15.1.18b1"/>
    <x v="0"/>
    <x v="5"/>
    <s v="\\192.168.3.3\Share\Releases\Projects\OBT\Release_For_IT\TestBuild_1.0.0.2\Server CD\DBS\Setup"/>
    <x v="2"/>
    <s v="\\192.168.3.3\Share\Releases\Projects\OBT\Release_For_LQA\TestBuild_1.0.0.4\Server CD\DBS\Setup"/>
    <s v="Pass"/>
    <x v="1"/>
    <m/>
    <m/>
    <m/>
    <s v="Swapnil Garg"/>
    <x v="2"/>
  </r>
  <r>
    <x v="18"/>
    <x v="11"/>
    <n v="1"/>
    <x v="0"/>
    <n v="1"/>
    <s v="LQA"/>
    <x v="9"/>
    <m/>
    <x v="2"/>
    <x v="0"/>
    <x v="0"/>
    <s v="DMDBS_MAX_2.1.1.11.1.2b1"/>
    <x v="0"/>
    <x v="32"/>
    <s v="\\192.168.3.3\share\Releases\Projects\MAX\Release_For_IT\TestBuild_1.0.0.1\Server CD\DBS\Setup"/>
    <x v="0"/>
    <s v="\\192.168.3.3\Share\Releases\Projects\MAX\Release_For_Test\Test_Build_1.0.0.1\Server CD\DBS\Setup"/>
    <m/>
    <x v="1"/>
    <m/>
    <m/>
    <m/>
    <m/>
    <x v="1"/>
  </r>
  <r>
    <x v="19"/>
    <x v="11"/>
    <n v="1"/>
    <x v="0"/>
    <n v="1"/>
    <s v="LQA-UAT"/>
    <x v="1"/>
    <m/>
    <x v="1"/>
    <x v="1"/>
    <x v="0"/>
    <s v="MPE_3.2.4.28b1"/>
    <x v="0"/>
    <x v="14"/>
    <m/>
    <x v="0"/>
    <s v="\\192.168.3.3\Share\Releases\Product\MPE_GUI\ReleaseForLQA\TestBuild_1.0.0.2\Server CD\MPE\Setup"/>
    <s v="Pass"/>
    <x v="0"/>
    <m/>
    <m/>
    <m/>
    <s v="Hemant Kumar Sharma"/>
    <x v="0"/>
  </r>
  <r>
    <x v="19"/>
    <x v="11"/>
    <n v="1"/>
    <x v="0"/>
    <n v="1"/>
    <s v="LQA"/>
    <x v="0"/>
    <m/>
    <x v="1"/>
    <x v="1"/>
    <x v="0"/>
    <s v="MPE_SLT-1B_3.0.1.1.1.46b1"/>
    <x v="0"/>
    <x v="10"/>
    <m/>
    <x v="2"/>
    <s v="\\192.168.3.3\Share\Releases\Projects\SLT-1B\Release_For_Test\Test_Build_1.0.0.1\Server CD\MPE\Setup"/>
    <m/>
    <x v="1"/>
    <m/>
    <m/>
    <m/>
    <m/>
    <x v="2"/>
  </r>
  <r>
    <x v="19"/>
    <x v="11"/>
    <n v="1"/>
    <x v="0"/>
    <n v="1"/>
    <s v="IT-LQA-UAT"/>
    <x v="8"/>
    <m/>
    <x v="5"/>
    <x v="0"/>
    <x v="0"/>
    <s v="NMDBS_TWC_4.6.1.11.3.30b2 "/>
    <x v="0"/>
    <x v="19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Sumit Gomber"/>
    <x v="0"/>
  </r>
  <r>
    <x v="19"/>
    <x v="11"/>
    <n v="1"/>
    <x v="0"/>
    <n v="1"/>
    <s v="IT-LQA-AT"/>
    <x v="4"/>
    <m/>
    <x v="5"/>
    <x v="0"/>
    <x v="0"/>
    <s v="NMDBS_TLSTR_4.0.1.0.4.284b1"/>
    <x v="0"/>
    <x v="36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Abhijeet Chaterjee"/>
    <x v="0"/>
  </r>
  <r>
    <x v="19"/>
    <x v="11"/>
    <n v="1"/>
    <x v="0"/>
    <n v="1"/>
    <s v="IT-LQA"/>
    <x v="0"/>
    <m/>
    <x v="2"/>
    <x v="0"/>
    <x v="0"/>
    <s v="DMDBS_SLT_2.0.0.18.1.92b1"/>
    <x v="0"/>
    <x v="17"/>
    <s v="\\192.168.3.3\Share\Releases\Projects\SLT\Release_For_IT\Test_Build_1.0.0.4\Server CD\DBS\Setup"/>
    <x v="2"/>
    <s v="\\192.168.3.3\Share\Releases\Projects\SLT\Release_For_LQA\Test_Build_1.0.0.17\Server CD\DBS\Setup"/>
    <m/>
    <x v="1"/>
    <m/>
    <m/>
    <m/>
    <m/>
    <x v="2"/>
  </r>
  <r>
    <x v="19"/>
    <x v="11"/>
    <n v="1"/>
    <x v="0"/>
    <n v="1"/>
    <s v="IT-LQA"/>
    <x v="1"/>
    <m/>
    <x v="10"/>
    <x v="0"/>
    <x v="0"/>
    <s v="SACDBS_1.1.0.7b1"/>
    <x v="0"/>
    <x v="38"/>
    <s v="\\192.168.3.3\Share\Releases\Product\SAC\Build&amp;Release\ReleaseforIT\TestBuild_1.2.0\Build1\ServerCD\DBS\Setup"/>
    <x v="0"/>
    <s v="\\192.168.3.3\Share\Releases\Product\SAC\Build&amp;Release\ReleaseforLQA\TestBuild_1.3.0\Build1\ServerCD\DBS\Setup"/>
    <m/>
    <x v="1"/>
    <m/>
    <m/>
    <m/>
    <m/>
    <x v="1"/>
  </r>
  <r>
    <x v="19"/>
    <x v="11"/>
    <n v="1"/>
    <x v="0"/>
    <n v="1"/>
    <s v="IT-LQA"/>
    <x v="0"/>
    <m/>
    <x v="2"/>
    <x v="0"/>
    <x v="0"/>
    <s v="DMDBS_SLT_2.0.0.18.1.89b2"/>
    <x v="0"/>
    <x v="17"/>
    <s v="\\192.168.3.3\Share\Releases\Projects\SLT\Release_For_IT\Test_Build_1.0.0.4\Server CD\DBS\Setup"/>
    <x v="0"/>
    <s v="\\192.168.3.3\Share\Releases\Projects\SLT\Release_For_LQA\Test_Build_1.0.0.17\Server CD\DBS\Setup"/>
    <s v="Pass"/>
    <x v="1"/>
    <m/>
    <m/>
    <m/>
    <m/>
    <x v="0"/>
  </r>
  <r>
    <x v="19"/>
    <x v="11"/>
    <n v="1"/>
    <x v="0"/>
    <n v="1"/>
    <s v="LQA"/>
    <x v="5"/>
    <m/>
    <x v="5"/>
    <x v="0"/>
    <x v="0"/>
    <s v="NMDBS_BHN_3.5.1.53.1"/>
    <x v="2"/>
    <x v="39"/>
    <m/>
    <x v="0"/>
    <s v="\\192.168.3.3\Share\Projects\Neustar\BHN\Build&amp;Release\Release For Test\Test_Build_3.5.37\Server CD\Database\Setup"/>
    <m/>
    <x v="1"/>
    <m/>
    <m/>
    <m/>
    <m/>
    <x v="1"/>
  </r>
  <r>
    <x v="20"/>
    <x v="20"/>
    <n v="1"/>
    <x v="0"/>
    <n v="1"/>
    <s v="IT-LQA-UAT"/>
    <x v="2"/>
    <m/>
    <x v="3"/>
    <x v="2"/>
    <x v="1"/>
    <s v="RMGUI_SHAW_2.0.25"/>
    <x v="0"/>
    <x v="22"/>
    <s v="\\192.168.3.3\Share\Releases\Projects\SHAW\Release_For_IT\Test_Build_1.0.0.27\Client CD\RM\Setup"/>
    <x v="0"/>
    <s v="\\192.168.3.3\Share\Releases\Projects\SHAW\Release_For_LQA\Test_Build_1.0.0.28\Client CD\RM\Setup"/>
    <s v="Pass"/>
    <x v="1"/>
    <m/>
    <m/>
    <m/>
    <s v="parul rajput"/>
    <x v="0"/>
  </r>
  <r>
    <x v="20"/>
    <x v="20"/>
    <n v="1"/>
    <x v="0"/>
    <n v="1"/>
    <s v="IT-LQA-AT"/>
    <x v="4"/>
    <m/>
    <x v="5"/>
    <x v="0"/>
    <x v="0"/>
    <s v="NMDBS_TLSTR_4.0.1.0.4.285b1"/>
    <x v="0"/>
    <x v="36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Abhijeet Chaterjee"/>
    <x v="0"/>
  </r>
  <r>
    <x v="20"/>
    <x v="20"/>
    <n v="1"/>
    <x v="0"/>
    <n v="1"/>
    <s v="IT-LQA"/>
    <x v="0"/>
    <m/>
    <x v="2"/>
    <x v="0"/>
    <x v="0"/>
    <s v="DMDBS_SLT_2.0.0.18.1.93b1"/>
    <x v="0"/>
    <x v="4"/>
    <s v="\\192.168.3.3\Share\Releases\Projects\SLT\Release_For_IT\Test_Build_1.0.0.4\Server CD\DBS\Setup"/>
    <x v="0"/>
    <s v="\\192.168.3.3\Share\Releases\Projects\SLT\Release_For_LQA\Test_Build_1.0.0.17\Server CD\DBS\Setup"/>
    <m/>
    <x v="1"/>
    <m/>
    <m/>
    <m/>
    <m/>
    <x v="1"/>
  </r>
  <r>
    <x v="20"/>
    <x v="20"/>
    <n v="1"/>
    <x v="0"/>
    <n v="1"/>
    <s v="LQA"/>
    <x v="9"/>
    <m/>
    <x v="4"/>
    <x v="4"/>
    <x v="1"/>
    <s v="RACS_MAX_2.5.4.0.1"/>
    <x v="0"/>
    <x v="40"/>
    <m/>
    <x v="0"/>
    <s v="\\192.168.3.3\Share\Releases\Projects\MAX\Release_For_Test\Test_Build_1.0.0.1\Server CD\GUI\Setup"/>
    <m/>
    <x v="1"/>
    <m/>
    <m/>
    <m/>
    <m/>
    <x v="1"/>
  </r>
  <r>
    <x v="20"/>
    <x v="20"/>
    <n v="1"/>
    <x v="0"/>
    <n v="1"/>
    <s v="IT-LQA"/>
    <x v="0"/>
    <m/>
    <x v="7"/>
    <x v="0"/>
    <x v="0"/>
    <s v="RTDBS_SLT_3.0.0.20.1.3b1"/>
    <x v="0"/>
    <x v="4"/>
    <s v="\\192.168.3.3\Share\Releases\Projects\SLT\Release_For_IT\Test_Build_1.0.0.4\Server CD\DBS\Setup "/>
    <x v="2"/>
    <s v="\\192.168.3.3\Share\Releases\Projects\SLT\Release_For_LQA\Test_Build_1.0.0.17\Server CD\DBS\Setup "/>
    <m/>
    <x v="0"/>
    <m/>
    <m/>
    <m/>
    <m/>
    <x v="2"/>
  </r>
  <r>
    <x v="21"/>
    <x v="21"/>
    <n v="1"/>
    <x v="0"/>
    <n v="1"/>
    <s v="LQA"/>
    <x v="9"/>
    <m/>
    <x v="7"/>
    <x v="2"/>
    <x v="1"/>
    <s v="RTGUI_MAX_4.0.19.0.1"/>
    <x v="0"/>
    <x v="16"/>
    <m/>
    <x v="0"/>
    <s v="\\192.168.3.3\share\Releases\Projects\MAX\Release_For_Test\Test_Build_1.0.0.1\Server CD\GUI\Setup"/>
    <m/>
    <x v="1"/>
    <m/>
    <m/>
    <m/>
    <m/>
    <x v="1"/>
  </r>
  <r>
    <x v="21"/>
    <x v="21"/>
    <n v="1"/>
    <x v="0"/>
    <n v="1"/>
    <s v="LQA"/>
    <x v="0"/>
    <m/>
    <x v="1"/>
    <x v="1"/>
    <x v="0"/>
    <s v="MPE_SLT-1B_3.0.1.1.1.47b1"/>
    <x v="0"/>
    <x v="10"/>
    <m/>
    <x v="0"/>
    <s v="\\192.168.3.3\Share\Releases\Projects\SLT-1B\Release_For_Test\Test_Build_1.0.0.1\Server CD\MPE\Setup"/>
    <s v="Pass"/>
    <x v="0"/>
    <m/>
    <m/>
    <m/>
    <m/>
    <x v="0"/>
  </r>
  <r>
    <x v="21"/>
    <x v="21"/>
    <n v="1"/>
    <x v="0"/>
    <n v="1"/>
    <s v="LQA-UAT"/>
    <x v="5"/>
    <m/>
    <x v="5"/>
    <x v="0"/>
    <x v="0"/>
    <s v="NMDBS_BHN_3.5.1.53.2"/>
    <x v="1"/>
    <x v="7"/>
    <s v="\\192.168.3.3\Share\Projects\Neustar\BHN\Build&amp;Release\Release For Test\Test_Build_3.5.37\Server CD\Database\Setup"/>
    <x v="0"/>
    <m/>
    <s v="Pass"/>
    <x v="1"/>
    <m/>
    <m/>
    <m/>
    <s v="Rudra Narayan"/>
    <x v="0"/>
  </r>
  <r>
    <x v="21"/>
    <x v="21"/>
    <n v="1"/>
    <x v="0"/>
    <n v="1"/>
    <s v="LQA"/>
    <x v="9"/>
    <m/>
    <x v="1"/>
    <x v="1"/>
    <x v="0"/>
    <s v="MPE_MAX_3.2.5.0.1.2b1"/>
    <x v="0"/>
    <x v="41"/>
    <s v="\\192.168.3.3\Share\Releases\Projects\MAX\Release_For_Test\Test_Build_1.0.0.1\Server CD\MPE\Setup"/>
    <x v="0"/>
    <m/>
    <m/>
    <x v="1"/>
    <m/>
    <m/>
    <m/>
    <m/>
    <x v="1"/>
  </r>
  <r>
    <x v="21"/>
    <x v="21"/>
    <n v="1"/>
    <x v="0"/>
    <n v="1"/>
    <s v="IT-LQA"/>
    <x v="0"/>
    <m/>
    <x v="2"/>
    <x v="0"/>
    <x v="0"/>
    <s v="DMDBS_SLT_2.0.0.18.1.95b1"/>
    <x v="0"/>
    <x v="4"/>
    <s v="\\192.168.3.3\Share\Releases\Projects\SLT\Release_For_IT\Test_Build_1.0.0.4\Server CD\DBS\Setup"/>
    <x v="2"/>
    <s v="\\192.168.3.3\Share\Releases\Projects\SLT\Release_For_LQA\Test_Build_1.0.0.17\Server CD\DBS\Setup"/>
    <m/>
    <x v="1"/>
    <m/>
    <m/>
    <m/>
    <m/>
    <x v="2"/>
  </r>
  <r>
    <x v="21"/>
    <x v="21"/>
    <n v="1"/>
    <x v="0"/>
    <n v="1"/>
    <s v="IT-LQA-FAT"/>
    <x v="0"/>
    <m/>
    <x v="2"/>
    <x v="0"/>
    <x v="0"/>
    <s v="DMDBS_SLT_2.0.0.18.1.94b1"/>
    <x v="0"/>
    <x v="17"/>
    <s v="\\192.168.3.3\Share\Releases\Projects\SLT\Release_For_IT\Test_Build_1.0.0.4\Server CD\DBS\Setup"/>
    <x v="0"/>
    <s v="\\192.168.3.3\Share\Releases\Projects\SLT\Release_For_LQA\Test_Build_1.0.0.17\Server CD\DBS\Setup"/>
    <s v="Pass"/>
    <x v="1"/>
    <m/>
    <m/>
    <m/>
    <s v="Surya N Behra"/>
    <x v="0"/>
  </r>
  <r>
    <x v="22"/>
    <x v="22"/>
    <n v="1"/>
    <x v="0"/>
    <n v="1"/>
    <s v="IT-LQA"/>
    <x v="0"/>
    <m/>
    <x v="2"/>
    <x v="0"/>
    <x v="0"/>
    <s v="DMDBS_SLT_2.0.0.18.1.95b2"/>
    <x v="0"/>
    <x v="4"/>
    <s v="\\192.168.3.3\Share\Releases\Projects\SLT\Release_For_IT\Test_Build_1.0.0.4\Server CD\DBS\Setup"/>
    <x v="0"/>
    <s v="\\192.168.3.3\Share\Releases\Projects\SLT\Release_For_LQA\Test_Build_1.0.0.17\Server CD\DBS\Setup"/>
    <s v="Pass"/>
    <x v="1"/>
    <m/>
    <m/>
    <m/>
    <m/>
    <x v="0"/>
  </r>
  <r>
    <x v="22"/>
    <x v="22"/>
    <n v="1"/>
    <x v="0"/>
    <n v="1"/>
    <s v="IT-LQA-UAT"/>
    <x v="2"/>
    <m/>
    <x v="3"/>
    <x v="0"/>
    <x v="0"/>
    <s v="RMDBS_SHAW_2.0.1.0.1.42b1"/>
    <x v="0"/>
    <x v="3"/>
    <s v="\\192.168.3.3\Share\Releases\Projects\SHAW\Release_For_IT\Test_Build_1.0.0.27\Server CD\DBS\Setup"/>
    <x v="0"/>
    <s v="\\192.168.3.3\Share\Releases\Projects\SHAW\Release_For_LQA\Test_Build_1.0.0.28\Server CD\DBS\Setup"/>
    <s v="Pass"/>
    <x v="1"/>
    <m/>
    <m/>
    <m/>
    <s v="parul rajput"/>
    <x v="0"/>
  </r>
  <r>
    <x v="22"/>
    <x v="22"/>
    <n v="1"/>
    <x v="0"/>
    <n v="1"/>
    <s v="IT-LQA"/>
    <x v="0"/>
    <m/>
    <x v="2"/>
    <x v="0"/>
    <x v="0"/>
    <s v="DMDBS_SLT_2.0.0.18.1.92b2"/>
    <x v="0"/>
    <x v="4"/>
    <s v="\\192.168.3.3\Share\Releases\Projects\SLT\Release_For_IT\Test_Build_1.0.0.4\Server CD\DBS\Setup"/>
    <x v="0"/>
    <s v="\\192.168.3.3\Share\Releases\Projects\SLT\Release_For_LQA\Test_Build_1.0.0.17\Server CD\DBS\Setup"/>
    <m/>
    <x v="1"/>
    <m/>
    <m/>
    <m/>
    <m/>
    <x v="1"/>
  </r>
  <r>
    <x v="22"/>
    <x v="22"/>
    <n v="1"/>
    <x v="0"/>
    <n v="1"/>
    <s v="IT-LQA"/>
    <x v="0"/>
    <m/>
    <x v="2"/>
    <x v="0"/>
    <x v="0"/>
    <s v="DMDBS_SLT_2.0.0.18.1.96b1"/>
    <x v="0"/>
    <x v="4"/>
    <s v="\\192.168.3.3\Share\Releases\Projects\SLT\Release_For_IT\Test_Build_1.0.0.4\Server CD\DBS\Setup"/>
    <x v="0"/>
    <s v="\\192.168.3.3\Share\Releases\Projects\SLT\Release_For_LQA\Test_Build_1.0.0.17\Server CD\DBS\Setup"/>
    <s v="Pass"/>
    <x v="1"/>
    <m/>
    <m/>
    <m/>
    <m/>
    <x v="0"/>
  </r>
  <r>
    <x v="22"/>
    <x v="22"/>
    <n v="1"/>
    <x v="0"/>
    <n v="1"/>
    <s v="IT-LQA-UAT"/>
    <x v="1"/>
    <m/>
    <x v="2"/>
    <x v="0"/>
    <x v="0"/>
    <s v="DMDBS_2.0.0.20b1"/>
    <x v="0"/>
    <x v="32"/>
    <s v="\\192.168.3.3\Share\Releases\Product\DataMind_2.0\Build&amp;Release\Release for IT\TestBuild_2.0.0\Server CD\DBS\Setup"/>
    <x v="0"/>
    <s v="\\192.168.3.3\Share\Releases\Product\DataMind_2.0\Build&amp;Release\Release for LQA\TestBuild_2.0.0\Server CD\DBS\Setup"/>
    <s v="Pass"/>
    <x v="1"/>
    <m/>
    <m/>
    <m/>
    <s v="Surya N Behra"/>
    <x v="0"/>
  </r>
  <r>
    <x v="22"/>
    <x v="22"/>
    <n v="1"/>
    <x v="0"/>
    <n v="1"/>
    <s v="LQA"/>
    <x v="12"/>
    <m/>
    <x v="1"/>
    <x v="1"/>
    <x v="0"/>
    <s v="MPE_DRC_3.2.1.3.2.21b1"/>
    <x v="0"/>
    <x v="28"/>
    <m/>
    <x v="0"/>
    <s v="\\192.168.3.3\Share\Releases\Projects\DRC\Release_For_LQA\Test_Build_1.0.0.3\Server CD\MPE\Setup"/>
    <s v="Pass"/>
    <x v="1"/>
    <m/>
    <m/>
    <m/>
    <m/>
    <x v="0"/>
  </r>
  <r>
    <x v="22"/>
    <x v="18"/>
    <n v="1"/>
    <x v="0"/>
    <n v="1"/>
    <s v="IT-LQA"/>
    <x v="0"/>
    <m/>
    <x v="4"/>
    <x v="0"/>
    <x v="0"/>
    <s v="RADBS_SLT_2.0.0.23.1.55b1"/>
    <x v="0"/>
    <x v="4"/>
    <s v="\\192.168.3.3\Share\Releases\Projects\SLT\Release_For_IT\Test_Build_1.0.0.4\Server CD\DBS\Setup"/>
    <x v="0"/>
    <s v="\\192.168.3.3\Share\Releases\Projects\SLT\Release_For_LQA\Test_Build_1.0.0.16\Server CD\DBS\Setup"/>
    <s v="Pass"/>
    <x v="1"/>
    <m/>
    <m/>
    <m/>
    <m/>
    <x v="0"/>
  </r>
  <r>
    <x v="23"/>
    <x v="18"/>
    <n v="1"/>
    <x v="0"/>
    <n v="1"/>
    <s v="IT-LQA-UAT"/>
    <x v="2"/>
    <m/>
    <x v="3"/>
    <x v="0"/>
    <x v="0"/>
    <s v="RMDBS_SHAW_2.0.1.0.1.43b1"/>
    <x v="0"/>
    <x v="3"/>
    <s v="\\192.168.3.3\Share\Releases\Projects\SHAW\Release_For_IT\Test_Build_1.0.0.27\Server CD\DBS\Setup"/>
    <x v="0"/>
    <s v="\\192.168.3.3\Share\Releases\Projects\SHAW\Release_For_LQA\Test_Build_1.0.0.28\Server CD\DBS\Setup"/>
    <s v="Pass"/>
    <x v="1"/>
    <m/>
    <m/>
    <m/>
    <s v="parul rajput"/>
    <x v="0"/>
  </r>
  <r>
    <x v="23"/>
    <x v="18"/>
    <n v="1"/>
    <x v="0"/>
    <n v="1"/>
    <s v="IT-LQA-UAT"/>
    <x v="0"/>
    <m/>
    <x v="2"/>
    <x v="0"/>
    <x v="0"/>
    <s v="DMDBS_SLT_2.0.0.18.1.97b1"/>
    <x v="0"/>
    <x v="25"/>
    <s v="\\192.168.3.3\Share\Releases\Projects\SLT\Release_For_IT\Test_Build_1.0.0.4\Server CD\DBS\Setup"/>
    <x v="0"/>
    <s v="\\192.168.3.3\Share\Releases\Projects\SLT\Release_For_LQA\Test_Build_1.0.0.17\Server CD\DBS\Setup"/>
    <s v="Pass"/>
    <x v="1"/>
    <m/>
    <m/>
    <m/>
    <s v="Harsh Khanna"/>
    <x v="0"/>
  </r>
  <r>
    <x v="23"/>
    <x v="18"/>
    <n v="1"/>
    <x v="0"/>
    <n v="1"/>
    <s v="IT-LQA-UAT"/>
    <x v="3"/>
    <m/>
    <x v="5"/>
    <x v="0"/>
    <x v="0"/>
    <s v="NMDBS_OBT_4.6.1.16.1.19b1"/>
    <x v="0"/>
    <x v="5"/>
    <s v="\\192.168.3.3\Share\Releases\Projects\OBT\Release_For_IT\TestBuild_1.0.0.2\Server CD\DBS\Setup"/>
    <x v="0"/>
    <s v="\\192.168.3.3\Share\Releases\Projects\OBT\Release_For_LQA\TestBuild_1.0.0.4\Server CD\DBS\Setup"/>
    <s v="Pass"/>
    <x v="1"/>
    <m/>
    <m/>
    <m/>
    <s v="Swapnil Garg"/>
    <x v="0"/>
  </r>
  <r>
    <x v="23"/>
    <x v="18"/>
    <n v="1"/>
    <x v="0"/>
    <n v="1"/>
    <s v="LQA"/>
    <x v="0"/>
    <m/>
    <x v="1"/>
    <x v="1"/>
    <x v="0"/>
    <s v="MPE_SLT-1B_3.0.1.1.1.48b1"/>
    <x v="0"/>
    <x v="10"/>
    <m/>
    <x v="0"/>
    <s v="\\192.168.3.3\Share\Releases\Projects\SLT-1B\Release_For_Test\Test_Build_1.0.0.1\Server CD\MPE\Setup"/>
    <s v="Pass"/>
    <x v="1"/>
    <m/>
    <m/>
    <m/>
    <m/>
    <x v="0"/>
  </r>
  <r>
    <x v="23"/>
    <x v="18"/>
    <n v="1"/>
    <x v="0"/>
    <n v="1"/>
    <s v="LQA-UAT"/>
    <x v="8"/>
    <m/>
    <x v="8"/>
    <x v="2"/>
    <x v="0"/>
    <s v="WWFSGUI_TWC_2.1.20.0.4.10b1"/>
    <x v="0"/>
    <x v="21"/>
    <m/>
    <x v="0"/>
    <s v="\\192.168.3.3\Share\Releases\Projects\TWC\Release_For_Test\Test_Build_1.0.0.4\Server CD\GUI\Setup"/>
    <s v="Pass"/>
    <x v="1"/>
    <m/>
    <m/>
    <m/>
    <s v="Paritosh Ghildyal"/>
    <x v="0"/>
  </r>
  <r>
    <x v="23"/>
    <x v="18"/>
    <n v="1"/>
    <x v="0"/>
    <n v="1"/>
    <s v="IT-LQA"/>
    <x v="0"/>
    <m/>
    <x v="2"/>
    <x v="0"/>
    <x v="0"/>
    <s v="DMDBS_SLT_2.0.0.18.1.98b1"/>
    <x v="0"/>
    <x v="4"/>
    <s v="\\192.168.3.3\Share\Releases\Projects\SLT\Release_For_IT\Test_Build_1.0.0.4\Server CD\DBS\Setup"/>
    <x v="0"/>
    <s v="\\192.168.3.3\Share\Releases\Projects\SLT\Release_For_LQA\Test_Build_1.0.0.17\Server CD\DBS\Setup"/>
    <s v="Pass"/>
    <x v="1"/>
    <m/>
    <m/>
    <m/>
    <m/>
    <x v="0"/>
  </r>
  <r>
    <x v="23"/>
    <x v="18"/>
    <n v="1"/>
    <x v="0"/>
    <n v="1"/>
    <s v="IT-LQA"/>
    <x v="0"/>
    <m/>
    <x v="2"/>
    <x v="0"/>
    <x v="0"/>
    <s v="RADBS_SLT_2.0.0.23.1.56b1"/>
    <x v="0"/>
    <x v="4"/>
    <s v="\\192.168.3.3\Share\Releases\Projects\SLT\Release_For_IT\Test_Build_1.0.0.4\Server CD\DBS\Setup"/>
    <x v="0"/>
    <s v="\\192.168.3.3\Share\Releases\Projects\SLT\Release_For_LQA\Test_Build_1.0.0.17\Server CD\DBS\Setup"/>
    <s v="Pass"/>
    <x v="1"/>
    <m/>
    <m/>
    <m/>
    <m/>
    <x v="0"/>
  </r>
  <r>
    <x v="24"/>
    <x v="0"/>
    <n v="1"/>
    <x v="0"/>
    <s v="False"/>
    <s v="IT"/>
    <x v="6"/>
    <m/>
    <x v="5"/>
    <x v="0"/>
    <x v="0"/>
    <s v="NMDBS_ANTEL_4.6.1.0.2.32b1"/>
    <x v="0"/>
    <x v="25"/>
    <s v="\\192.168.3.3\Share\Releases\Projects\ANTEL\Release_For_IT\TestBuild_1.0.0.4\Server CD\DBS\Setup"/>
    <x v="2"/>
    <m/>
    <m/>
    <x v="1"/>
    <m/>
    <m/>
    <m/>
    <m/>
    <x v="2"/>
  </r>
  <r>
    <x v="24"/>
    <x v="23"/>
    <n v="1"/>
    <x v="0"/>
    <n v="1"/>
    <s v="IT-LQA"/>
    <x v="2"/>
    <m/>
    <x v="3"/>
    <x v="2"/>
    <x v="1"/>
    <s v="RMGUI_SHAW_2.0.26"/>
    <x v="0"/>
    <x v="22"/>
    <s v="\\192.168.3.3\Share\Releases\Projects\SHAW\Release_For_IT\Test_Build_1.0.0.27\Client CD\RM\Setup"/>
    <x v="0"/>
    <s v="\\192.168.3.3\Share\Releases\Projects\SHAW\Release_For_LQA\Test_Build_1.0.0.28\Client CD\RM\Setup"/>
    <m/>
    <x v="1"/>
    <m/>
    <m/>
    <m/>
    <m/>
    <x v="1"/>
  </r>
  <r>
    <x v="24"/>
    <x v="23"/>
    <n v="1"/>
    <x v="0"/>
    <n v="1"/>
    <s v="IT-LQA"/>
    <x v="0"/>
    <m/>
    <x v="2"/>
    <x v="0"/>
    <x v="0"/>
    <s v="DMDBS_SLT_2.0.0.18.1.99b1"/>
    <x v="0"/>
    <x v="4"/>
    <s v="\\192.168.3.3\Share\Releases\Projects\SLT\Release_For_IT\Test_Build_1.0.0.4\Server CD\DBS\Setup"/>
    <x v="2"/>
    <s v="\\192.168.3.3\Share\Releases\Projects\SLT\Release_For_LQA\Test_Build_1.0.0.17\Server CD\DBS\Setup"/>
    <m/>
    <x v="1"/>
    <m/>
    <m/>
    <m/>
    <m/>
    <x v="2"/>
  </r>
  <r>
    <x v="24"/>
    <x v="23"/>
    <n v="1"/>
    <x v="0"/>
    <n v="1"/>
    <s v="IT-LQA"/>
    <x v="0"/>
    <m/>
    <x v="2"/>
    <x v="0"/>
    <x v="0"/>
    <s v="RADBS_SLT_2.0.0.23.1.57b1"/>
    <x v="0"/>
    <x v="4"/>
    <s v="\\192.168.3.3\Share\Releases\Projects\SLT\Release_For_IT\Test_Build_1.0.0.4\Server CD\DBS\Setup"/>
    <x v="0"/>
    <s v="\\192.168.3.3\Share\Releases\Projects\SLT\Release_For_LQA\Test_Build_1.0.0.17\Server CD\DBS\Setup"/>
    <s v="Pass"/>
    <x v="1"/>
    <m/>
    <m/>
    <m/>
    <m/>
    <x v="0"/>
  </r>
  <r>
    <x v="24"/>
    <x v="23"/>
    <n v="1"/>
    <x v="0"/>
    <n v="1"/>
    <s v="IT-LQA"/>
    <x v="10"/>
    <m/>
    <x v="11"/>
    <x v="6"/>
    <x v="1"/>
    <s v="NMUTLMIG1_COM_1.0.0.0.1"/>
    <x v="0"/>
    <x v="7"/>
    <s v="\\192.168.3.3\Share\Releases\Projects\Comcast\Release_For_IT\Test_Build_3.5.50\Utility\Setup"/>
    <x v="2"/>
    <s v="\\192.168.3.3\Share\Releases\Projects\Comcast\Release_for_Test\Test_Build_3.5.50\Utility\Setup"/>
    <m/>
    <x v="1"/>
    <m/>
    <m/>
    <m/>
    <m/>
    <x v="2"/>
  </r>
  <r>
    <x v="24"/>
    <x v="23"/>
    <n v="1"/>
    <x v="0"/>
    <n v="1"/>
    <s v="IT-LQA"/>
    <x v="10"/>
    <m/>
    <x v="11"/>
    <x v="6"/>
    <x v="1"/>
    <s v="NMUTLMIG2_COM_1.0.0.0.1"/>
    <x v="0"/>
    <x v="7"/>
    <s v="\\192.168.3.3\Share\Releases\Projects\Comcast\Release_For_IT\Test_Build_3.5.50\Utility\Setup"/>
    <x v="2"/>
    <s v="\\192.168.3.3\Share\Releases\Projects\Comcast\Release_for_Test\Test_Build_3.5.50\Utility\Setup"/>
    <m/>
    <x v="1"/>
    <m/>
    <m/>
    <m/>
    <m/>
    <x v="2"/>
  </r>
  <r>
    <x v="24"/>
    <x v="23"/>
    <n v="1"/>
    <x v="0"/>
    <n v="1"/>
    <s v="IT-LQA"/>
    <x v="10"/>
    <m/>
    <x v="11"/>
    <x v="6"/>
    <x v="1"/>
    <s v="NMUTLMIG3_COM_1.0.0.0.1"/>
    <x v="0"/>
    <x v="7"/>
    <s v="\\192.168.3.3\Share\Releases\Projects\Comcast\Release_For_IT\Test_Build_3.5.50\Utility\Setup"/>
    <x v="2"/>
    <s v="\\192.168.3.3\Share\Releases\Projects\Comcast\Release_for_Test\Test_Build_3.5.50\Utility\Setup"/>
    <m/>
    <x v="1"/>
    <m/>
    <m/>
    <m/>
    <m/>
    <x v="2"/>
  </r>
  <r>
    <x v="24"/>
    <x v="23"/>
    <n v="1"/>
    <x v="0"/>
    <n v="1"/>
    <s v="LQA-FAT"/>
    <x v="0"/>
    <m/>
    <x v="1"/>
    <x v="1"/>
    <x v="0"/>
    <s v="MPE_SLT-1B_3.0.1.1.1.491"/>
    <x v="0"/>
    <x v="10"/>
    <m/>
    <x v="0"/>
    <s v="\\192.168.3.3\Share\Releases\Projects\SLT-1B\Release_For_Test\Test_Build_1.0.0.1\Server CD\MPE\Setup"/>
    <s v="Pass"/>
    <x v="0"/>
    <m/>
    <m/>
    <m/>
    <s v="K.V. Krishnan"/>
    <x v="0"/>
  </r>
  <r>
    <x v="24"/>
    <x v="23"/>
    <n v="1"/>
    <x v="0"/>
    <n v="1"/>
    <s v="LQA-UAT"/>
    <x v="3"/>
    <m/>
    <x v="8"/>
    <x v="2"/>
    <x v="0"/>
    <s v="WWFSGUI_OBT_2.1.21.2.2.3b1"/>
    <x v="0"/>
    <x v="42"/>
    <m/>
    <x v="0"/>
    <s v="\\192.168.3.3\Share\Releases\Projects\OBT\Release_For_LQA\TestBuild_1.0.0.4\Server CD\GUI\Setup"/>
    <s v="Pass"/>
    <x v="0"/>
    <m/>
    <m/>
    <m/>
    <s v="Swapnil Garg"/>
    <x v="0"/>
  </r>
  <r>
    <x v="25"/>
    <x v="24"/>
    <n v="1"/>
    <x v="0"/>
    <n v="1"/>
    <s v="IT-LQA-FAT"/>
    <x v="0"/>
    <m/>
    <x v="2"/>
    <x v="0"/>
    <x v="0"/>
    <s v="DMDBS_SLT_2.0.0.18.1.100b1"/>
    <x v="0"/>
    <x v="4"/>
    <s v="\\192.168.3.3\Share\Releases\Projects\SLT\Release_For_IT\Test_Build_1.0.0.4\Server CD\DBS\Setup"/>
    <x v="0"/>
    <s v="\\192.168.3.3\Share\Releases\Projects\SLT\Release_For_LQA\Test_Build_1.0.0.17\Server CD\DBS\Setup"/>
    <s v="Pass"/>
    <x v="1"/>
    <m/>
    <m/>
    <m/>
    <s v="K.V. Krishnan"/>
    <x v="0"/>
  </r>
  <r>
    <x v="25"/>
    <x v="24"/>
    <n v="1"/>
    <x v="0"/>
    <n v="1"/>
    <s v="LQA-FAT"/>
    <x v="0"/>
    <m/>
    <x v="1"/>
    <x v="1"/>
    <x v="0"/>
    <s v="MPE_SLT-1B_3.0.1.1.1.50b1"/>
    <x v="0"/>
    <x v="10"/>
    <m/>
    <x v="0"/>
    <s v="\\192.168.3.3\Share\Releases\Projects\SLT-1B\Release_For_Test\Test_Build_1.0.0.1\Server CD\MPE\Setup"/>
    <s v="Pass"/>
    <x v="1"/>
    <m/>
    <m/>
    <m/>
    <s v="K.V. Krishnan"/>
    <x v="0"/>
  </r>
  <r>
    <x v="25"/>
    <x v="24"/>
    <n v="1"/>
    <x v="0"/>
    <n v="1"/>
    <s v="IT-LQA-AT"/>
    <x v="4"/>
    <m/>
    <x v="5"/>
    <x v="0"/>
    <x v="0"/>
    <s v="NMDBS_TLSTR_4.0.1.0.4.286b1"/>
    <x v="0"/>
    <x v="36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Abrar Khan"/>
    <x v="0"/>
  </r>
  <r>
    <x v="25"/>
    <x v="24"/>
    <n v="1"/>
    <x v="0"/>
    <n v="1"/>
    <s v="LQA-FAT"/>
    <x v="0"/>
    <m/>
    <x v="1"/>
    <x v="1"/>
    <x v="0"/>
    <s v="MPE_SLT-1B_3.0.1.1.1.46b2"/>
    <x v="0"/>
    <x v="10"/>
    <m/>
    <x v="0"/>
    <s v="\\192.168.3.3\Share\Releases\Projects\SLT-1B\Release_For_Test\Test_Build_1.0.0.1\Server CD\MPE\Setup"/>
    <s v="Pass"/>
    <x v="1"/>
    <m/>
    <m/>
    <m/>
    <s v="K.V. Krishnan"/>
    <x v="0"/>
  </r>
  <r>
    <x v="25"/>
    <x v="24"/>
    <n v="1"/>
    <x v="0"/>
    <n v="1"/>
    <s v="IT-LQA"/>
    <x v="0"/>
    <m/>
    <x v="2"/>
    <x v="0"/>
    <x v="0"/>
    <s v="RADBS_SLT_2.0.0.23.1.58b1"/>
    <x v="0"/>
    <x v="4"/>
    <s v="\\192.168.3.3\Share\Releases\Projects\SLT\Release_For_IT\Test_Build_1.0.0.4\Server CD\DBS\Setup"/>
    <x v="0"/>
    <s v="\\192.168.3.3\Share\Releases\Projects\SLT\Release_For_LQA\Test_Build_1.0.0.17\Server CD\DBS\Setup"/>
    <s v="Pass"/>
    <x v="1"/>
    <m/>
    <m/>
    <m/>
    <m/>
    <x v="0"/>
  </r>
  <r>
    <x v="26"/>
    <x v="25"/>
    <n v="1"/>
    <x v="0"/>
    <n v="1"/>
    <s v="LQA"/>
    <x v="10"/>
    <m/>
    <x v="1"/>
    <x v="1"/>
    <x v="1"/>
    <s v="MPE_COM_3.2.5.0.1"/>
    <x v="0"/>
    <x v="43"/>
    <m/>
    <x v="2"/>
    <s v="\\192.168.3.3\share\Releases\Projects\Comcast\Release_for_Test\Test_Build_3.5.50\Server CD\MPE\Setup"/>
    <m/>
    <x v="1"/>
    <m/>
    <m/>
    <m/>
    <m/>
    <x v="2"/>
  </r>
  <r>
    <x v="26"/>
    <x v="26"/>
    <n v="1"/>
    <x v="0"/>
    <n v="2"/>
    <s v="IT-LQA"/>
    <x v="0"/>
    <m/>
    <x v="2"/>
    <x v="0"/>
    <x v="0"/>
    <s v="DMDBS_SLT_2.0.0.18.1.101b1"/>
    <x v="0"/>
    <x v="4"/>
    <s v="\\192.168.3.3\Share\Releases\Projects\SLT\Release_For_IT\Test_Build_1.0.0.4\Server CD\DBS\Setup"/>
    <x v="2"/>
    <s v="\\192.168.3.3\Share\Releases\Projects\SLT\Release_For_LQA\Test_Build_1.0.0.17\Server CD\DBS\Setup"/>
    <m/>
    <x v="1"/>
    <m/>
    <m/>
    <m/>
    <m/>
    <x v="2"/>
  </r>
  <r>
    <x v="27"/>
    <x v="27"/>
    <n v="2"/>
    <x v="1"/>
    <n v="2"/>
    <s v="IT-LQA-FAT"/>
    <x v="0"/>
    <m/>
    <x v="4"/>
    <x v="0"/>
    <x v="0"/>
    <s v="RADBS_SLT_2.0.0.25.1.59b1"/>
    <x v="0"/>
    <x v="4"/>
    <s v="\\192.168.3.3\Share\Releases\Projects\SLT\Release_For_IT\Test_Build_1.0.0.4\Server CD\DBS\Setup"/>
    <x v="0"/>
    <s v="\\192.168.3.3\Share\Releases\Projects\SLT\Release_For_LQA\Test_Build_1.0.0.17\Server CD\DBS\Setup"/>
    <s v="Pass"/>
    <x v="1"/>
    <m/>
    <m/>
    <m/>
    <s v="K.V. Krishnan"/>
    <x v="0"/>
  </r>
  <r>
    <x v="27"/>
    <x v="27"/>
    <n v="2"/>
    <x v="1"/>
    <n v="2"/>
    <s v="LQA"/>
    <x v="1"/>
    <m/>
    <x v="7"/>
    <x v="2"/>
    <x v="1"/>
    <s v="RTGUI_4.0.20b1 "/>
    <x v="0"/>
    <x v="16"/>
    <m/>
    <x v="0"/>
    <s v="\\192.168.3.3\Share\Releases\Product\RT_4.0\ReleaseForLQA\TestBuild_4.0.20\GUI\Build1\Setup"/>
    <m/>
    <x v="1"/>
    <m/>
    <m/>
    <m/>
    <m/>
    <x v="1"/>
  </r>
  <r>
    <x v="27"/>
    <x v="28"/>
    <n v="2"/>
    <x v="1"/>
    <n v="2"/>
    <s v="IT-LQA-FAT"/>
    <x v="1"/>
    <m/>
    <x v="4"/>
    <x v="0"/>
    <x v="0"/>
    <s v="RADBS_2.0.0.26b1"/>
    <x v="0"/>
    <x v="27"/>
    <s v="\\192.168.3.3\Share\Releases\Product\RevMind_2.0\Build&amp;Release\Release for IT\TestBuild_1.0.0\Server CD\DBS\Setup"/>
    <x v="0"/>
    <s v="\\192.168.3.3\Share\Releases\Product\RevMind_2.0\Build&amp;Release\Release for LQA\TestBuild_1.0.1\Server CD\DBS\Setup"/>
    <s v="Pass"/>
    <x v="1"/>
    <m/>
    <m/>
    <m/>
    <s v="K.V. Krishnan"/>
    <x v="0"/>
  </r>
  <r>
    <x v="28"/>
    <x v="29"/>
    <n v="2"/>
    <x v="1"/>
    <n v="2"/>
    <s v="LQA-UAT"/>
    <x v="3"/>
    <m/>
    <x v="7"/>
    <x v="2"/>
    <x v="1"/>
    <s v="RTGUI_OBT_4.0.20.0.1"/>
    <x v="0"/>
    <x v="16"/>
    <m/>
    <x v="0"/>
    <s v="\\192.168.3.3\share\Releases\Projects\OBT\Release_For_LQA\TestBuild_1.0.0.4\Server CD\GUI\Setup"/>
    <s v="Pass"/>
    <x v="1"/>
    <m/>
    <m/>
    <m/>
    <s v="Swapnil Garg"/>
    <x v="0"/>
  </r>
  <r>
    <x v="28"/>
    <x v="29"/>
    <n v="2"/>
    <x v="1"/>
    <n v="2"/>
    <s v="LQA"/>
    <x v="4"/>
    <m/>
    <x v="1"/>
    <x v="1"/>
    <x v="0"/>
    <s v="MPE_TLSTR-2b_3.0.0.3.1.84b1"/>
    <x v="0"/>
    <x v="11"/>
    <m/>
    <x v="2"/>
    <s v="\\192.168.3.3\Share\Releases\Projects\Telstra-2b\Release_For_Test\Test_Build_1.0.0.1\Server CD\MPE\Setup"/>
    <m/>
    <x v="1"/>
    <m/>
    <m/>
    <m/>
    <m/>
    <x v="2"/>
  </r>
  <r>
    <x v="28"/>
    <x v="26"/>
    <n v="2"/>
    <x v="1"/>
    <n v="2"/>
    <s v="IT-LQA-FAT"/>
    <x v="0"/>
    <m/>
    <x v="2"/>
    <x v="0"/>
    <x v="0"/>
    <s v="DMDBS_SLT_2.0.0.19.1.102b1"/>
    <x v="0"/>
    <x v="17"/>
    <s v="\\192.168.3.3\Share\Releases\Projects\SLT\Release_For_IT\Test_Build_1.0.0.4\Server CD\DBS\Setup"/>
    <x v="0"/>
    <s v="\\192.168.3.3\Share\Releases\Projects\SLT\Release_For_LQA\Test_Build_1.0.0.17\Server CD\DBS\Setup"/>
    <s v="Pass"/>
    <x v="1"/>
    <m/>
    <m/>
    <m/>
    <s v="K.V. Krishnan"/>
    <x v="0"/>
  </r>
  <r>
    <x v="29"/>
    <x v="28"/>
    <n v="2"/>
    <x v="1"/>
    <n v="2"/>
    <s v="IT-LQA-UAT"/>
    <x v="1"/>
    <m/>
    <x v="7"/>
    <x v="0"/>
    <x v="0"/>
    <s v="RTDBS_4.0.1.12b1"/>
    <x v="0"/>
    <x v="5"/>
    <s v="\\192.168.3.3\Share\Releases\Product\RT_4.0\ReleaseForIT\TestBuild_4.0.3\DBS\Setup"/>
    <x v="0"/>
    <s v="\\192.168.3.3\Share\Releases\Product\RT_4.0\ReleaseForLQA\TestBuild_4.0.20\DBS\Setup"/>
    <s v="Pass"/>
    <x v="0"/>
    <m/>
    <m/>
    <m/>
    <s v="Swapnil Garg"/>
    <x v="0"/>
  </r>
  <r>
    <x v="29"/>
    <x v="28"/>
    <n v="2"/>
    <x v="1"/>
    <n v="2"/>
    <s v="LQA-FAT"/>
    <x v="0"/>
    <m/>
    <x v="4"/>
    <x v="4"/>
    <x v="1"/>
    <s v="RACS_SLT_2.5.4.0.1"/>
    <x v="0"/>
    <x v="40"/>
    <m/>
    <x v="0"/>
    <s v="\\192.168.3.3\Share\Releases\Projects\SLT\Release_For_LQA\Test_Build_1.0.0.17\Server CD\GUI\Setup"/>
    <s v="Pass"/>
    <x v="1"/>
    <m/>
    <m/>
    <m/>
    <s v="K.V. Krishnan"/>
    <x v="0"/>
  </r>
  <r>
    <x v="29"/>
    <x v="28"/>
    <n v="2"/>
    <x v="1"/>
    <n v="2"/>
    <s v="LQA"/>
    <x v="6"/>
    <m/>
    <x v="8"/>
    <x v="2"/>
    <x v="1"/>
    <s v="WWFSGUI_ANTEL_2.1.22.0.3"/>
    <x v="0"/>
    <x v="33"/>
    <m/>
    <x v="0"/>
    <s v="\\192.168.3.3\Share\Releases\Projects\ANTEL\Release_For_Test\Test_Build_1.0.0.7\Server CD\GUI\Setup"/>
    <s v="Pass"/>
    <x v="0"/>
    <m/>
    <m/>
    <m/>
    <m/>
    <x v="0"/>
  </r>
  <r>
    <x v="29"/>
    <x v="28"/>
    <n v="2"/>
    <x v="1"/>
    <n v="2"/>
    <s v="IT-LQA"/>
    <x v="0"/>
    <m/>
    <x v="7"/>
    <x v="0"/>
    <x v="0"/>
    <s v="RTDBS_SLT_3.0.0.20.1.3b2"/>
    <x v="0"/>
    <x v="4"/>
    <s v="\\192.168.3.3\Share\Releases\Projects\SLT\Release_For_IT\Test_Build_1.0.0.4\Server CD\DBS\Setup "/>
    <x v="0"/>
    <s v="\\192.168.3.3\Share\Releases\Projects\SLT\Release_For_LQA\Test_Build_1.0.0.17\Server CD\DBS\Setup "/>
    <m/>
    <x v="1"/>
    <m/>
    <m/>
    <m/>
    <m/>
    <x v="1"/>
  </r>
  <r>
    <x v="29"/>
    <x v="28"/>
    <n v="2"/>
    <x v="1"/>
    <n v="2"/>
    <s v="LQA"/>
    <x v="6"/>
    <m/>
    <x v="12"/>
    <x v="2"/>
    <x v="1"/>
    <s v="WWCSGUI_ANTEL_2.1.15.0.3"/>
    <x v="0"/>
    <x v="33"/>
    <m/>
    <x v="0"/>
    <s v="\\192.168.3.3\Share\Releases\Projects\ANTEL\Release_For_Test\Test_Build_1.0.0.7\Server CD\GUI\Setup"/>
    <s v="Pass"/>
    <x v="0"/>
    <m/>
    <m/>
    <m/>
    <m/>
    <x v="0"/>
  </r>
  <r>
    <x v="30"/>
    <x v="30"/>
    <n v="2"/>
    <x v="1"/>
    <n v="2"/>
    <s v="IT-LQA-UAT"/>
    <x v="8"/>
    <m/>
    <x v="9"/>
    <x v="0"/>
    <x v="0"/>
    <s v="NPDBS_TWC_1.2.1.0.1.21b1"/>
    <x v="0"/>
    <x v="19"/>
    <s v="\\192.168.3.3\Share\Releases\Projects\TWC\Release_For_IT\Test_Build_1.0.0.3\Server CD\DBS\Setup"/>
    <x v="0"/>
    <s v="\\192.168.3.3\Share\Releases\Projects\TWC\Release_For_Test\Test_Build_1.0.0.4\Server CD\DBS\Setup"/>
    <m/>
    <x v="0"/>
    <m/>
    <m/>
    <m/>
    <s v="Sumit Gomber"/>
    <x v="1"/>
  </r>
  <r>
    <x v="30"/>
    <x v="30"/>
    <n v="2"/>
    <x v="1"/>
    <n v="2"/>
    <s v="IT-LQA"/>
    <x v="6"/>
    <m/>
    <x v="5"/>
    <x v="0"/>
    <x v="0"/>
    <s v="NMDBS_ANTEL_4.6.1.0.2.32b2"/>
    <x v="0"/>
    <x v="25"/>
    <s v="\\192.168.3.3\Share\Releases\Projects\ANTEL\Release_For_IT\TestBuild_1.0.0.4\Server CD\DBS\Setup"/>
    <x v="0"/>
    <s v="\\192.168.3.3\Share\Releases\Projects\ANTEL\Release_For_Test\Test_Build_1.0.0.7\Server CD\DBS\Setup"/>
    <s v="Pass"/>
    <x v="1"/>
    <m/>
    <m/>
    <m/>
    <m/>
    <x v="0"/>
  </r>
  <r>
    <x v="31"/>
    <x v="31"/>
    <n v="2"/>
    <x v="1"/>
    <n v="2"/>
    <s v="LQA"/>
    <x v="1"/>
    <m/>
    <x v="11"/>
    <x v="6"/>
    <x v="1"/>
    <s v="AWF_2.0.1b26"/>
    <x v="0"/>
    <x v="31"/>
    <m/>
    <x v="0"/>
    <s v="\\192.168.3.3\Share\Releases\Product\AWF\Build&amp;Release\Release For Test\TestBuild_2.0.1\Setup"/>
    <m/>
    <x v="1"/>
    <m/>
    <m/>
    <m/>
    <m/>
    <x v="1"/>
  </r>
  <r>
    <x v="31"/>
    <x v="31"/>
    <n v="2"/>
    <x v="1"/>
    <n v="2"/>
    <s v="LQA-UAT"/>
    <x v="3"/>
    <m/>
    <x v="1"/>
    <x v="1"/>
    <x v="0"/>
    <s v="MPE_OBT_3.2.1.3.1.10b1"/>
    <x v="0"/>
    <x v="10"/>
    <m/>
    <x v="0"/>
    <s v="\\192.168.3.3\share\Releases\Projects\OBT\Release_For_LQA\TestBuild_1.0.0.4\Server CD\MPE\Setup"/>
    <s v="Pass"/>
    <x v="1"/>
    <m/>
    <m/>
    <m/>
    <s v="Tushar Tyagi"/>
    <x v="0"/>
  </r>
  <r>
    <x v="32"/>
    <x v="26"/>
    <n v="2"/>
    <x v="1"/>
    <n v="2"/>
    <s v="LQA"/>
    <x v="1"/>
    <m/>
    <x v="7"/>
    <x v="2"/>
    <x v="1"/>
    <s v="RTGUI_4.0.21b1"/>
    <x v="0"/>
    <x v="16"/>
    <m/>
    <x v="0"/>
    <s v="\\192.168.3.3\Share\Releases\Product\RT_4.0\ReleaseForLQA\TestBuild_4.0.20\GUI\Build1\Setup"/>
    <m/>
    <x v="1"/>
    <m/>
    <m/>
    <m/>
    <m/>
    <x v="1"/>
  </r>
  <r>
    <x v="32"/>
    <x v="26"/>
    <n v="2"/>
    <x v="1"/>
    <n v="2"/>
    <s v="LQA"/>
    <x v="0"/>
    <m/>
    <x v="7"/>
    <x v="2"/>
    <x v="1"/>
    <s v="RTGUI_SLT_4.0.21.0.1"/>
    <x v="0"/>
    <x v="16"/>
    <m/>
    <x v="0"/>
    <s v="\\192.168.3.3\Share\Releases\Projects\SLT\Release_For_LQA\Test_Build_1.0.0.17\Server CD\GUI\Setup"/>
    <m/>
    <x v="1"/>
    <m/>
    <m/>
    <m/>
    <m/>
    <x v="1"/>
  </r>
  <r>
    <x v="32"/>
    <x v="26"/>
    <n v="2"/>
    <x v="1"/>
    <n v="2"/>
    <s v="IT-LQA"/>
    <x v="1"/>
    <m/>
    <x v="7"/>
    <x v="0"/>
    <x v="0"/>
    <s v="RTGUI_SLT_4.0.21.0.1"/>
    <x v="0"/>
    <x v="44"/>
    <s v="\\192.168.3.3\Share\Releases\Product\RT_4.0\ReleaseForIT\TestBuild_4.0.3\DBS\Setup"/>
    <x v="2"/>
    <s v="\\192.168.3.3\Share\Releases\Product\RT_4.0\ReleaseForLQA\TestBuild_4.0.21\DBS\Setup"/>
    <m/>
    <x v="1"/>
    <m/>
    <m/>
    <m/>
    <m/>
    <x v="2"/>
  </r>
  <r>
    <x v="32"/>
    <x v="26"/>
    <n v="2"/>
    <x v="1"/>
    <n v="2"/>
    <s v="IT-LQA-UAT"/>
    <x v="8"/>
    <m/>
    <x v="9"/>
    <x v="0"/>
    <x v="0"/>
    <s v="NPDBS_TWC_1.2.1.0.1.22b1"/>
    <x v="0"/>
    <x v="19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Sumit Gomber"/>
    <x v="0"/>
  </r>
  <r>
    <x v="32"/>
    <x v="26"/>
    <n v="2"/>
    <x v="1"/>
    <n v="2"/>
    <s v="IT-LQA-FAT"/>
    <x v="0"/>
    <m/>
    <x v="2"/>
    <x v="0"/>
    <x v="0"/>
    <s v="DMDBS_SLT_2.0.0.20.1.103b1"/>
    <x v="0"/>
    <x v="25"/>
    <s v="\\192.168.3.3\Share\Releases\Projects\SLT\Release_For_IT\Test_Build_1.0.0.4\Server CD\DBS\Setup"/>
    <x v="0"/>
    <s v="\\192.168.3.3\Share\Releases\Projects\SLT\Release_For_LQA\Test_Build_1.0.0.18\Server CD\DBS\Setup"/>
    <s v="Pass"/>
    <x v="1"/>
    <m/>
    <m/>
    <m/>
    <s v="Vijay Singh Daagar"/>
    <x v="0"/>
  </r>
  <r>
    <x v="32"/>
    <x v="26"/>
    <n v="2"/>
    <x v="1"/>
    <n v="2"/>
    <s v="IT-LQA-FAT"/>
    <x v="1"/>
    <m/>
    <x v="7"/>
    <x v="0"/>
    <x v="0"/>
    <s v="RTDBS_4.0.1.13b2"/>
    <x v="0"/>
    <x v="44"/>
    <s v="\\192.168.3.3\Share\Releases\Product\RT_4.0\ReleaseForIT\TestBuild_4.0.3\DBS\Setup"/>
    <x v="0"/>
    <s v="\\192.168.3.3\Share\Releases\Product\RT_4.0\ReleaseForLQA\TestBuild_4.0.21\DBS\Setup"/>
    <s v="Pass"/>
    <x v="1"/>
    <m/>
    <m/>
    <m/>
    <s v="Harsh Khanna"/>
    <x v="0"/>
  </r>
  <r>
    <x v="33"/>
    <x v="32"/>
    <n v="2"/>
    <x v="1"/>
    <n v="2"/>
    <s v="LQA"/>
    <x v="0"/>
    <m/>
    <x v="1"/>
    <x v="1"/>
    <x v="0"/>
    <s v="MPE_SLT-1B_3.0.1.1.1.51b1"/>
    <x v="0"/>
    <x v="10"/>
    <m/>
    <x v="2"/>
    <s v="\\192.168.3.3\Share\Releases\Projects\SLT-1B\Release_For_Test\Test_Build_1.0.0.1\Server CD\MPE\Setup"/>
    <m/>
    <x v="1"/>
    <m/>
    <m/>
    <m/>
    <m/>
    <x v="2"/>
  </r>
  <r>
    <x v="33"/>
    <x v="32"/>
    <n v="2"/>
    <x v="1"/>
    <n v="2"/>
    <s v="LQA-UAT"/>
    <x v="8"/>
    <m/>
    <x v="8"/>
    <x v="2"/>
    <x v="0"/>
    <s v="WWFSGUI_TWC_2.1.20.0.4.11b1"/>
    <x v="0"/>
    <x v="33"/>
    <m/>
    <x v="0"/>
    <s v="\\192.168.3.3\Share\Releases\Projects\TWC\Release_For_Test\Test_Build_1.0.0.4\Server CD\GUI\Setup"/>
    <s v="Pass"/>
    <x v="1"/>
    <m/>
    <m/>
    <m/>
    <s v="Upender Singh"/>
    <x v="0"/>
  </r>
  <r>
    <x v="33"/>
    <x v="32"/>
    <n v="2"/>
    <x v="1"/>
    <n v="2"/>
    <s v="IT-LQA-UAT"/>
    <x v="1"/>
    <m/>
    <x v="0"/>
    <x v="0"/>
    <x v="0"/>
    <s v="REDBS_1.0.1.18b1"/>
    <x v="0"/>
    <x v="0"/>
    <s v="\\192.168.3.3\Share\Releases\Product\RE_1.0\ReleaseForIT\TestBuild_1.0.1\DBS\Build4\Setup"/>
    <x v="0"/>
    <s v="\\192.168.3.3\Share\Releases\Product\RE_1.0\ReleaseForLQA\TestBuild_1.0.1\DBS\Build4\Setup"/>
    <s v="Pass"/>
    <x v="0"/>
    <m/>
    <m/>
    <m/>
    <s v="Ravi Gautam"/>
    <x v="0"/>
  </r>
  <r>
    <x v="33"/>
    <x v="32"/>
    <n v="2"/>
    <x v="1"/>
    <n v="2"/>
    <s v="IT-LQA"/>
    <x v="0"/>
    <m/>
    <x v="2"/>
    <x v="0"/>
    <x v="0"/>
    <s v="DMDBS_SLT_2.0.0.20.1.105b1"/>
    <x v="0"/>
    <x v="44"/>
    <s v="\\192.168.3.3\Share\Releases\Projects\SLT\Release_For_IT\Test_Build_1.0.0.4\Server CD\DBS\Setup"/>
    <x v="0"/>
    <s v="\\192.168.3.3\Share\Releases\Projects\SLT\Release_For_LQA\Test_Build_1.0.0.18\Server CD\DBS\Setup"/>
    <s v="Pass"/>
    <x v="1"/>
    <m/>
    <m/>
    <m/>
    <m/>
    <x v="0"/>
  </r>
  <r>
    <x v="33"/>
    <x v="32"/>
    <n v="2"/>
    <x v="1"/>
    <n v="2"/>
    <s v="LQA"/>
    <x v="1"/>
    <m/>
    <x v="1"/>
    <x v="1"/>
    <x v="0"/>
    <s v="MPE_3.2.5.1b2"/>
    <x v="0"/>
    <x v="14"/>
    <m/>
    <x v="0"/>
    <s v="\\192.168.3.3\Share\Releases\Product\MPE_GUI\ReleaseForLQA\TestBuild_1.0.0.2\Server CD\MPE\Setup"/>
    <m/>
    <x v="1"/>
    <m/>
    <m/>
    <m/>
    <m/>
    <x v="1"/>
  </r>
  <r>
    <x v="34"/>
    <x v="33"/>
    <n v="2"/>
    <x v="1"/>
    <n v="2"/>
    <s v="IT-LQA"/>
    <x v="3"/>
    <m/>
    <x v="5"/>
    <x v="0"/>
    <x v="0"/>
    <s v="NMDBS_OBT_4.6.1.15.1.18b2"/>
    <x v="0"/>
    <x v="5"/>
    <s v="\\192.168.3.3\Share\Releases\Projects\OBT\Release_For_IT\TestBuild_1.0.0.2\Server CD\DBS\Setup"/>
    <x v="2"/>
    <s v="\\192.168.3.3\Share\Releases\Projects\OBT\Release_For_LQA\TestBuild_1.0.0.4\Server CD\DBS\Setup"/>
    <m/>
    <x v="1"/>
    <m/>
    <m/>
    <m/>
    <m/>
    <x v="2"/>
  </r>
  <r>
    <x v="34"/>
    <x v="0"/>
    <n v="2"/>
    <x v="1"/>
    <s v="False"/>
    <s v="IT"/>
    <x v="1"/>
    <m/>
    <x v="3"/>
    <x v="2"/>
    <x v="1"/>
    <s v="RMGUI_2.0.28"/>
    <x v="0"/>
    <x v="22"/>
    <s v="\\192.168.3.3\Share\Releases\Product\RouteMind_2.0\Release for IT\TestBuild_2.0.4\Client CD\GUI\Setup"/>
    <x v="0"/>
    <m/>
    <m/>
    <x v="1"/>
    <m/>
    <m/>
    <m/>
    <m/>
    <x v="1"/>
  </r>
  <r>
    <x v="34"/>
    <x v="33"/>
    <n v="2"/>
    <x v="1"/>
    <n v="2"/>
    <s v="IT-LQA-FAT"/>
    <x v="1"/>
    <m/>
    <x v="7"/>
    <x v="0"/>
    <x v="0"/>
    <s v="RTDBS_4.0.1.14b1"/>
    <x v="0"/>
    <x v="44"/>
    <s v="\\192.168.3.3\Share\Releases\Product\RT_4.0\ReleaseForIT\TestBuild_4.0.3\DBS\Setup"/>
    <x v="0"/>
    <s v="\\192.168.3.3\Share\Releases\Product\RT_4.0\ReleaseForLQA\TestBuild_4.0.21\DBS\Setup"/>
    <s v="Pass"/>
    <x v="0"/>
    <m/>
    <m/>
    <m/>
    <s v="Harsh Khanna"/>
    <x v="0"/>
  </r>
  <r>
    <x v="35"/>
    <x v="34"/>
    <n v="2"/>
    <x v="1"/>
    <n v="2"/>
    <s v="LQA"/>
    <x v="13"/>
    <m/>
    <x v="1"/>
    <x v="1"/>
    <x v="1"/>
    <s v="MPE_NM46_3.2.5.1.1"/>
    <x v="0"/>
    <x v="6"/>
    <m/>
    <x v="0"/>
    <s v="\\192.168.3.3\Share\Releases\Projects\NM46\Release_For_Test\Test_Build_1.0.0.1\Server CD\MPE\Setup"/>
    <m/>
    <x v="0"/>
    <m/>
    <m/>
    <m/>
    <m/>
    <x v="1"/>
  </r>
  <r>
    <x v="35"/>
    <x v="34"/>
    <n v="2"/>
    <x v="1"/>
    <n v="2"/>
    <s v="IT-LQA"/>
    <x v="14"/>
    <m/>
    <x v="13"/>
    <x v="0"/>
    <x v="1"/>
    <s v="DBSNZ_VZB_1.0.1.31.1"/>
    <x v="0"/>
    <x v="32"/>
    <s v="\\192.168.3.3\Share\Releases\Projects\VzB\Release_For_IT\Test_Build_1.0.0.1\Server CD\DBS"/>
    <x v="2"/>
    <s v="\\192.168.3.3\Share\Releases\Projects\VzB\Release_For_LQA\Test_Build_1.0.0.1\Server CD\DBS\Setup"/>
    <m/>
    <x v="0"/>
    <m/>
    <m/>
    <m/>
    <m/>
    <x v="2"/>
  </r>
  <r>
    <x v="35"/>
    <x v="34"/>
    <n v="2"/>
    <x v="1"/>
    <n v="2"/>
    <s v="IT-LQA-UAT"/>
    <x v="1"/>
    <m/>
    <x v="9"/>
    <x v="0"/>
    <x v="0"/>
    <s v="NPDBS_1.2.3.2b1"/>
    <x v="0"/>
    <x v="23"/>
    <s v="\\192.168.3.3\share\Releases\Product\NetMindPOS_1.1\Build&amp;Release\Release for IT\TestBuild_1.2.3\Server CD\DBS\Setup"/>
    <x v="0"/>
    <s v="\\192.168.3.3\share\Releases\Product\NetMindPOS_1.1\Build&amp;Release\Release for LQA\TestBuild_1.2.3\Server CD\DBS\Setup"/>
    <s v="Pass"/>
    <x v="0"/>
    <m/>
    <m/>
    <m/>
    <s v="Abhishek Leekha"/>
    <x v="0"/>
  </r>
  <r>
    <x v="35"/>
    <x v="34"/>
    <n v="2"/>
    <x v="1"/>
    <n v="2"/>
    <s v="IT-LQA-FAT"/>
    <x v="0"/>
    <m/>
    <x v="0"/>
    <x v="0"/>
    <x v="0"/>
    <s v="REDBS_SLT_1.0.1.18.1.8b1"/>
    <x v="0"/>
    <x v="0"/>
    <s v="\\192.168.3.3\Share\Releases\Projects\SLT\Release_For_IT\Test_Build_1.0.0.4\Server CD\DBS\Setup"/>
    <x v="0"/>
    <s v="\\192.168.3.3\Share\Releases\Projects\SLT\Release_For_LQA\Test_Build_1.0.0.18\Server CD\DBS\Setup"/>
    <s v="Pass"/>
    <x v="1"/>
    <m/>
    <m/>
    <m/>
    <s v="Ravi Gautam"/>
    <x v="0"/>
  </r>
  <r>
    <x v="35"/>
    <x v="34"/>
    <n v="2"/>
    <x v="1"/>
    <n v="2"/>
    <s v="IT-LQA-FAT"/>
    <x v="1"/>
    <m/>
    <x v="7"/>
    <x v="0"/>
    <x v="0"/>
    <s v="RTDBS_4.0.1.15b1"/>
    <x v="0"/>
    <x v="44"/>
    <s v="\\192.168.3.3\Share\Releases\Product\RT_4.0\ReleaseForIT\TestBuild_4.0.3\DBS\Setup"/>
    <x v="0"/>
    <s v="\\192.168.3.3\Share\Releases\Product\RT_4.0\ReleaseForLQA\TestBuild_4.0.21\DBS\Setup"/>
    <s v="Pass"/>
    <x v="0"/>
    <m/>
    <m/>
    <m/>
    <s v="Harsh Khanna"/>
    <x v="0"/>
  </r>
  <r>
    <x v="36"/>
    <x v="35"/>
    <n v="2"/>
    <x v="1"/>
    <n v="2"/>
    <s v="IT-LQA-FAT"/>
    <x v="7"/>
    <m/>
    <x v="5"/>
    <x v="0"/>
    <x v="0"/>
    <s v="NMDBS_VON_4.0.1.70.1"/>
    <x v="0"/>
    <x v="25"/>
    <s v="\\192.168.3.3\Share\Releases\Projects\Vonage\Release_For_IT\Test_Build_4.0.16\Server CD\DBS\Setup"/>
    <x v="0"/>
    <s v="\\192.168.3.3\Share\Releases\Projects\Vonage\Release_For_LQA\Test_Build_4.0.16\Server CD\DBS\Setup"/>
    <s v="Pass"/>
    <x v="1"/>
    <m/>
    <m/>
    <m/>
    <s v="Gaurav Gupta"/>
    <x v="0"/>
  </r>
  <r>
    <x v="36"/>
    <x v="0"/>
    <n v="2"/>
    <x v="1"/>
    <s v="False"/>
    <s v="IT"/>
    <x v="1"/>
    <m/>
    <x v="7"/>
    <x v="2"/>
    <x v="1"/>
    <s v="RTGUI_4.0.22b1"/>
    <x v="0"/>
    <x v="16"/>
    <s v="\\192.168.3.3\Share\Releases\Product\RT_4.0\ReleaseForLQA\TestBuild_4.0.22\GUI\Build1\Setup"/>
    <x v="0"/>
    <m/>
    <m/>
    <x v="1"/>
    <m/>
    <m/>
    <m/>
    <m/>
    <x v="1"/>
  </r>
  <r>
    <x v="36"/>
    <x v="35"/>
    <n v="2"/>
    <x v="1"/>
    <n v="2"/>
    <s v="IT-LQA-UAT"/>
    <x v="6"/>
    <m/>
    <x v="2"/>
    <x v="0"/>
    <x v="0"/>
    <s v="DMDBS_ANTEL_2.1.1.2.1.4b1"/>
    <x v="0"/>
    <x v="24"/>
    <s v="\\192.168.3.3\Share\Releases\Projects\ANTEL\Release_For_IT\TestBuild_1.0.0.4\Server CD\DBS\Setup"/>
    <x v="0"/>
    <s v="\\192.168.3.3\Share\Releases\Projects\ANTEL\Release_For_Test\Test_Build_1.0.0.7\Server CD\DBS\Setup"/>
    <s v="Pass"/>
    <x v="1"/>
    <m/>
    <m/>
    <m/>
    <s v="Pradeep Raghav"/>
    <x v="0"/>
  </r>
  <r>
    <x v="36"/>
    <x v="35"/>
    <n v="2"/>
    <x v="1"/>
    <n v="2"/>
    <s v="IT-LQA-UAT"/>
    <x v="14"/>
    <m/>
    <x v="13"/>
    <x v="0"/>
    <x v="1"/>
    <s v="DBSNZ_VZB_1.0.1.31.2"/>
    <x v="0"/>
    <x v="32"/>
    <s v="\\192.168.3.3\Share\Releases\Projects\VzB\Release_For_IT\Test_Build_1.0.0.1\Server CD\DBS\Setup"/>
    <x v="0"/>
    <s v="\\192.168.3.3\Share\Releases\Projects\VzB\Release_For_LQA\Test_Build_1.0.0.1\Server CD\DBS\Setup"/>
    <s v="Pass"/>
    <x v="1"/>
    <m/>
    <m/>
    <m/>
    <s v="Ekansh Arora"/>
    <x v="0"/>
  </r>
  <r>
    <x v="36"/>
    <x v="35"/>
    <n v="2"/>
    <x v="1"/>
    <n v="2"/>
    <s v="LQA-FAT"/>
    <x v="0"/>
    <m/>
    <x v="7"/>
    <x v="2"/>
    <x v="1"/>
    <s v="RTGUI_SLT_4.0.22.0.1"/>
    <x v="0"/>
    <x v="16"/>
    <m/>
    <x v="0"/>
    <s v="\\192.168.3.3\Share\Releases\Projects\SLT\Release_For_LQA\Test_Build_1.0.0.19\Server CD\GUI\Setup"/>
    <s v="Pass"/>
    <x v="0"/>
    <m/>
    <m/>
    <m/>
    <s v="Harsh Khanna"/>
    <x v="0"/>
  </r>
  <r>
    <x v="36"/>
    <x v="35"/>
    <n v="2"/>
    <x v="1"/>
    <n v="2"/>
    <s v="LQA"/>
    <x v="1"/>
    <m/>
    <x v="1"/>
    <x v="1"/>
    <x v="0"/>
    <s v="MPE_3.2.4.29b1 "/>
    <x v="0"/>
    <x v="14"/>
    <m/>
    <x v="2"/>
    <s v="\\192.168.3.3\Share\Releases\Product\MPE_GUI\ReleaseForLQA\TestBuild_1.0.0.2\Server CD\MPE\Setup"/>
    <m/>
    <x v="1"/>
    <m/>
    <m/>
    <m/>
    <m/>
    <x v="2"/>
  </r>
  <r>
    <x v="36"/>
    <x v="35"/>
    <n v="2"/>
    <x v="1"/>
    <n v="2"/>
    <s v="IT-LQA-UAT"/>
    <x v="4"/>
    <m/>
    <x v="5"/>
    <x v="0"/>
    <x v="0"/>
    <s v="NMDBS_TLSTR_4.0.1.0.4.287b1"/>
    <x v="0"/>
    <x v="36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Abrar Khan"/>
    <x v="0"/>
  </r>
  <r>
    <x v="36"/>
    <x v="0"/>
    <n v="2"/>
    <x v="1"/>
    <s v="False"/>
    <s v="IT"/>
    <x v="10"/>
    <m/>
    <x v="11"/>
    <x v="6"/>
    <x v="1"/>
    <s v="NMUTLMIG3_COM_1.0.0.0.2"/>
    <x v="0"/>
    <x v="45"/>
    <s v="\\192.168.3.3\Share\Releases\Projects\Comcast\Release_For_IT\Test_Build_3.5.50\Utility\Setup"/>
    <x v="1"/>
    <m/>
    <m/>
    <x v="1"/>
    <m/>
    <m/>
    <m/>
    <m/>
    <x v="2"/>
  </r>
  <r>
    <x v="36"/>
    <x v="0"/>
    <n v="2"/>
    <x v="1"/>
    <s v="False"/>
    <s v="IT"/>
    <x v="10"/>
    <m/>
    <x v="11"/>
    <x v="6"/>
    <x v="1"/>
    <s v="NMUTLMIG1_COM_1.0.0.0.2"/>
    <x v="0"/>
    <x v="45"/>
    <s v="\\192.168.3.3\Share\Releases\Projects\Comcast\Release_For_IT\Test_Build_3.5.50\Utility\Setup"/>
    <x v="1"/>
    <m/>
    <m/>
    <x v="1"/>
    <m/>
    <m/>
    <m/>
    <m/>
    <x v="2"/>
  </r>
  <r>
    <x v="36"/>
    <x v="0"/>
    <n v="2"/>
    <x v="1"/>
    <s v="False"/>
    <s v="IT"/>
    <x v="10"/>
    <m/>
    <x v="11"/>
    <x v="6"/>
    <x v="1"/>
    <s v="NMUTLMIG2_COM_1.0.0.0.2"/>
    <x v="0"/>
    <x v="45"/>
    <s v="\\192.168.3.3\Share\Releases\Projects\Comcast\Release_For_IT\Test_Build_3.5.50\Utility\Setup"/>
    <x v="1"/>
    <m/>
    <m/>
    <x v="1"/>
    <m/>
    <m/>
    <m/>
    <m/>
    <x v="2"/>
  </r>
  <r>
    <x v="36"/>
    <x v="0"/>
    <n v="2"/>
    <x v="1"/>
    <s v="False"/>
    <s v="IT"/>
    <x v="10"/>
    <m/>
    <x v="5"/>
    <x v="0"/>
    <x v="0"/>
    <s v="NMDBS_COM_4.6.1.15.1.1b2"/>
    <x v="0"/>
    <x v="39"/>
    <s v="\\192.168.3.3\Share\Releases\Projects\Comcast\Release_For_IT\Test_Build_4.6.1\Server CD\Database\Setup"/>
    <x v="1"/>
    <m/>
    <m/>
    <x v="1"/>
    <m/>
    <m/>
    <m/>
    <m/>
    <x v="2"/>
  </r>
  <r>
    <x v="36"/>
    <x v="0"/>
    <n v="2"/>
    <x v="1"/>
    <s v="False"/>
    <s v="IT"/>
    <x v="10"/>
    <m/>
    <x v="5"/>
    <x v="0"/>
    <x v="0"/>
    <s v="NMDBS_COM_4.6.1.15.1.2b2"/>
    <x v="0"/>
    <x v="39"/>
    <s v="\\192.168.3.3\Share\Releases\Projects\Comcast\Release_For_IT\Test_Build_4.6.1\Server CD\Database\Setup"/>
    <x v="1"/>
    <m/>
    <m/>
    <x v="1"/>
    <m/>
    <m/>
    <m/>
    <m/>
    <x v="2"/>
  </r>
  <r>
    <x v="36"/>
    <x v="0"/>
    <n v="2"/>
    <x v="1"/>
    <s v="False"/>
    <s v="IT"/>
    <x v="10"/>
    <m/>
    <x v="5"/>
    <x v="0"/>
    <x v="0"/>
    <s v="NMDBS_COM_4.6.1.16.1.3b1"/>
    <x v="0"/>
    <x v="39"/>
    <s v="\\192.168.3.3\Share\Releases\Projects\Comcast\Release_For_IT\Test_Build_4.6.1\Server CD\Database\Setup"/>
    <x v="1"/>
    <m/>
    <m/>
    <x v="1"/>
    <m/>
    <m/>
    <m/>
    <m/>
    <x v="2"/>
  </r>
  <r>
    <x v="36"/>
    <x v="36"/>
    <n v="2"/>
    <x v="1"/>
    <n v="2"/>
    <s v="IT-LQA"/>
    <x v="10"/>
    <m/>
    <x v="9"/>
    <x v="0"/>
    <x v="1"/>
    <s v="NPDBS_COM_1.2.3.2.1"/>
    <x v="0"/>
    <x v="39"/>
    <s v="\\192.168.3.3\Share\Releases\Projects\Comcast\Release_For_IT\Test_Build_4.6.1\Server CD\Database\Setup"/>
    <x v="0"/>
    <s v="\\192.168.3.3\Share\Releases\Projects\Comcast\Release_for_Test\Test_Build_4.6.1\Server CD\Database\Setup"/>
    <s v="Pass"/>
    <x v="1"/>
    <m/>
    <m/>
    <m/>
    <m/>
    <x v="0"/>
  </r>
  <r>
    <x v="36"/>
    <x v="0"/>
    <n v="2"/>
    <x v="1"/>
    <s v="False"/>
    <s v="IT"/>
    <x v="10"/>
    <m/>
    <x v="9"/>
    <x v="0"/>
    <x v="0"/>
    <s v="NPDBS_COM_1.2.3.2.1.1b1"/>
    <x v="0"/>
    <x v="39"/>
    <s v="\\192.168.3.3\Share\Releases\Projects\Comcast\Release_For_IT\Test_Build_4.6.1\Server CD\Database\Setup"/>
    <x v="1"/>
    <m/>
    <m/>
    <x v="0"/>
    <m/>
    <m/>
    <m/>
    <m/>
    <x v="2"/>
  </r>
  <r>
    <x v="36"/>
    <x v="0"/>
    <n v="2"/>
    <x v="1"/>
    <s v="False"/>
    <s v="IT"/>
    <x v="10"/>
    <m/>
    <x v="9"/>
    <x v="0"/>
    <x v="0"/>
    <s v="NPDBS_COM_1.2.3.2.1.2b1         "/>
    <x v="0"/>
    <x v="39"/>
    <s v="\\192.168.3.3\Share\Releases\Projects\Comcast\Release_For_IT\Test_Build_4.6.1\Server CD\Database\Setup"/>
    <x v="2"/>
    <m/>
    <m/>
    <x v="1"/>
    <m/>
    <m/>
    <m/>
    <m/>
    <x v="2"/>
  </r>
  <r>
    <x v="36"/>
    <x v="0"/>
    <n v="2"/>
    <x v="1"/>
    <s v="False"/>
    <s v="IT"/>
    <x v="10"/>
    <m/>
    <x v="5"/>
    <x v="0"/>
    <x v="0"/>
    <s v="NMDBS_COM_4.6.1.16.1.4b1"/>
    <x v="0"/>
    <x v="45"/>
    <s v="\\192.168.3.3\Share\Releases\Projects\Comcast\Release_For_IT\Test_Build_4.6.1\Server CD\Database\Setup"/>
    <x v="1"/>
    <m/>
    <m/>
    <x v="1"/>
    <m/>
    <m/>
    <m/>
    <m/>
    <x v="2"/>
  </r>
  <r>
    <x v="37"/>
    <x v="37"/>
    <n v="2"/>
    <x v="1"/>
    <n v="2"/>
    <s v="LQA"/>
    <x v="13"/>
    <m/>
    <x v="1"/>
    <x v="1"/>
    <x v="0"/>
    <s v="MPE_NM46_3.2.5.1.1.1b1"/>
    <x v="0"/>
    <x v="6"/>
    <m/>
    <x v="0"/>
    <s v="\\192.168.3.3\Share\Releases\Projects\NM46\Release_For_Test\Test_Build_1.0.0.1\Server CD\MPE\Setup"/>
    <m/>
    <x v="1"/>
    <m/>
    <m/>
    <m/>
    <m/>
    <x v="1"/>
  </r>
  <r>
    <x v="37"/>
    <x v="37"/>
    <n v="2"/>
    <x v="1"/>
    <n v="2"/>
    <s v="LQA-AT"/>
    <x v="4"/>
    <m/>
    <x v="1"/>
    <x v="1"/>
    <x v="0"/>
    <s v="MPE_TLSTR-2b_3.0.0.3.1.84b2"/>
    <x v="0"/>
    <x v="11"/>
    <m/>
    <x v="0"/>
    <s v="\\192.168.3.3\Share\Releases\Projects\Telstra-2b\Release_For_Test\Test_Build_1.0.0.1\Server CD\MPE\Setup"/>
    <s v="Pass"/>
    <x v="1"/>
    <m/>
    <m/>
    <m/>
    <s v="Ashwani "/>
    <x v="0"/>
  </r>
  <r>
    <x v="37"/>
    <x v="37"/>
    <n v="2"/>
    <x v="1"/>
    <n v="2"/>
    <s v="LQA-FAT"/>
    <x v="0"/>
    <m/>
    <x v="1"/>
    <x v="1"/>
    <x v="0"/>
    <s v="MPE_SLT-1B_3.0.1.1.1.52b1"/>
    <x v="0"/>
    <x v="10"/>
    <m/>
    <x v="0"/>
    <s v="\\192.168.3.3\Share\Releases\Projects\SLT-1B\Release_For_Test\Test_Build_1.0.0.1\Server CD\MPE\Setup"/>
    <s v="Pass"/>
    <x v="1"/>
    <m/>
    <m/>
    <m/>
    <s v="K.V. Krishnan"/>
    <x v="0"/>
  </r>
  <r>
    <x v="37"/>
    <x v="37"/>
    <n v="2"/>
    <x v="1"/>
    <n v="2"/>
    <s v="IT-LQA-UAT"/>
    <x v="8"/>
    <m/>
    <x v="5"/>
    <x v="0"/>
    <x v="0"/>
    <s v="NMDBS_TWC_4.6.1.11.3.32b1"/>
    <x v="0"/>
    <x v="19"/>
    <s v="\\192.168.3.3\Share\Releases\Projects\TWC\Release_For_IT\Test_Build_1.0.0.3\Server CD\DBS\Setup"/>
    <x v="0"/>
    <s v="\\192.168.3.3\Share\Releases\Projects\TWC\Release_For_Test\Test_Build_1.0.0.4\Server CD\DBS\Setup"/>
    <s v="Pass"/>
    <x v="0"/>
    <m/>
    <m/>
    <m/>
    <s v="Sumit Gomber"/>
    <x v="0"/>
  </r>
  <r>
    <x v="37"/>
    <x v="37"/>
    <n v="2"/>
    <x v="1"/>
    <n v="2"/>
    <s v="IT-LQA-UAT"/>
    <x v="1"/>
    <m/>
    <x v="7"/>
    <x v="0"/>
    <x v="0"/>
    <s v="RTDBS_4.0.1.16b1"/>
    <x v="0"/>
    <x v="44"/>
    <s v="\\192.168.3.3\Share\Releases\Product\RT_4.0\ReleaseForIT\TestBuild_4.0.3\DBS\Setup"/>
    <x v="0"/>
    <s v="\\192.168.3.3\Share\Releases\Product\RT_4.0\ReleaseForLQA\TestBuild_4.0.22\DBS\Setup"/>
    <s v="Pass"/>
    <x v="0"/>
    <m/>
    <m/>
    <m/>
    <s v="Harsh Khanna"/>
    <x v="0"/>
  </r>
  <r>
    <x v="38"/>
    <x v="38"/>
    <n v="2"/>
    <x v="1"/>
    <n v="2"/>
    <s v="IT-LQA"/>
    <x v="0"/>
    <m/>
    <x v="2"/>
    <x v="0"/>
    <x v="0"/>
    <s v="DMDBS_SLT_2.0.0.20.1.106b1"/>
    <x v="0"/>
    <x v="44"/>
    <s v="\\192.168.3.3\Share\Releases\Projects\SLT\Release_For_IT\Test_Build_1.0.0.4\Server CD\DBS\Setup"/>
    <x v="0"/>
    <s v="\\192.168.3.3\Share\Releases\Projects\SLT\Release_For_IT\Test_Build_1.0.0.4\Server CD\DBS\Setup"/>
    <s v="Pass"/>
    <x v="0"/>
    <m/>
    <m/>
    <m/>
    <m/>
    <x v="0"/>
  </r>
  <r>
    <x v="38"/>
    <x v="38"/>
    <n v="2"/>
    <x v="1"/>
    <n v="2"/>
    <s v="IT-LQA"/>
    <x v="8"/>
    <m/>
    <x v="5"/>
    <x v="0"/>
    <x v="0"/>
    <s v="NMDBS_TWC_4.6.1.11.3.31b1"/>
    <x v="0"/>
    <x v="19"/>
    <s v="\\192.168.3.3\Share\Releases\Projects\TWC\Release_For_IT\Test_Build_1.0.0.3\Server CD\DBS\Setup"/>
    <x v="2"/>
    <s v="\\192.168.3.3\Share\Releases\Projects\TWC\Release_For_Test\Test_Build_1.0.0.4\Server CD\DBS\Setup"/>
    <m/>
    <x v="1"/>
    <m/>
    <m/>
    <m/>
    <m/>
    <x v="2"/>
  </r>
  <r>
    <x v="38"/>
    <x v="38"/>
    <n v="2"/>
    <x v="1"/>
    <n v="2"/>
    <s v="IT-LQA-UAT"/>
    <x v="8"/>
    <m/>
    <x v="5"/>
    <x v="0"/>
    <x v="0"/>
    <s v="NMDBS_TWC_4.6.1.11.3.33b1"/>
    <x v="0"/>
    <x v="19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Sumit Gomber"/>
    <x v="0"/>
  </r>
  <r>
    <x v="39"/>
    <x v="39"/>
    <n v="2"/>
    <x v="1"/>
    <n v="2"/>
    <s v="LQA-AT"/>
    <x v="4"/>
    <m/>
    <x v="1"/>
    <x v="1"/>
    <x v="0"/>
    <s v="MPE_TLSTR-2b_3.0.0.3.1.85b1"/>
    <x v="0"/>
    <x v="11"/>
    <m/>
    <x v="0"/>
    <s v="\\192.168.3.3\Share\Releases\Projects\Telstra-2b\Release_For_Test\Test_Build_1.0.0.1\Server CD\MPE\Setup"/>
    <s v="Pass"/>
    <x v="1"/>
    <m/>
    <m/>
    <m/>
    <s v="Ashwani "/>
    <x v="0"/>
  </r>
  <r>
    <x v="40"/>
    <x v="40"/>
    <n v="2"/>
    <x v="1"/>
    <n v="2"/>
    <s v="LQA"/>
    <x v="13"/>
    <m/>
    <x v="1"/>
    <x v="1"/>
    <x v="0"/>
    <s v="MPE_NM46_3.2.5.1.1.2b1"/>
    <x v="0"/>
    <x v="6"/>
    <m/>
    <x v="0"/>
    <s v="\\192.168.3.3\Share\Releases\Projects\NM46\Release_For_Test\Test_Build_1.0.0.1\Server CD\MPE\Setup"/>
    <m/>
    <x v="1"/>
    <m/>
    <m/>
    <m/>
    <m/>
    <x v="1"/>
  </r>
  <r>
    <x v="40"/>
    <x v="40"/>
    <n v="2"/>
    <x v="1"/>
    <n v="2"/>
    <s v="LQA"/>
    <x v="10"/>
    <m/>
    <x v="1"/>
    <x v="1"/>
    <x v="0"/>
    <s v="MPE_COM_3.2.5.0.1.1b1"/>
    <x v="0"/>
    <x v="43"/>
    <m/>
    <x v="2"/>
    <s v="\\192.168.3.3\Share\Releases\Projects\Comcast\Release_for_Test\Test_Build_4.6.1\Server CD\MPE\Setup"/>
    <m/>
    <x v="1"/>
    <m/>
    <m/>
    <m/>
    <m/>
    <x v="2"/>
  </r>
  <r>
    <x v="40"/>
    <x v="40"/>
    <n v="2"/>
    <x v="1"/>
    <n v="2"/>
    <s v="LQA-UAT"/>
    <x v="15"/>
    <m/>
    <x v="1"/>
    <x v="1"/>
    <x v="0"/>
    <s v="MPE_CBD_3.2.1.3.2.11b1"/>
    <x v="0"/>
    <x v="20"/>
    <m/>
    <x v="0"/>
    <s v="\\192.168.3.3\share\Releases\Projects\CBD\Release_For_Test\Test_Build_1.0.0.4\Server CD\MPE\RHEL_6.3\Setup"/>
    <s v="Pass"/>
    <x v="1"/>
    <m/>
    <m/>
    <m/>
    <s v="Surya N Behra"/>
    <x v="0"/>
  </r>
  <r>
    <x v="40"/>
    <x v="40"/>
    <n v="2"/>
    <x v="1"/>
    <n v="2"/>
    <s v="IT-LQA-UAT"/>
    <x v="3"/>
    <m/>
    <x v="5"/>
    <x v="0"/>
    <x v="0"/>
    <s v="NMDBS_OBT_4.6.1.15.1.18b3"/>
    <x v="0"/>
    <x v="5"/>
    <s v="\\192.168.3.3\Share\Releases\Projects\OBT\Release_For_IT\TestBuild_1.0.0.2\Server CD\DBS\Setup"/>
    <x v="0"/>
    <s v="\\192.168.3.3\Share\Releases\Projects\OBT\Release_For_LQA\TestBuild_1.0.0.4\Server CD\DBS\Setup"/>
    <s v="Pass"/>
    <x v="1"/>
    <m/>
    <m/>
    <m/>
    <s v="Tushar Tyagi"/>
    <x v="0"/>
  </r>
  <r>
    <x v="40"/>
    <x v="40"/>
    <n v="2"/>
    <x v="1"/>
    <n v="2"/>
    <s v="LQA-UAT"/>
    <x v="8"/>
    <m/>
    <x v="1"/>
    <x v="1"/>
    <x v="0"/>
    <s v="MPE_TWC_3.2.1.5.2.12b1"/>
    <x v="0"/>
    <x v="46"/>
    <m/>
    <x v="0"/>
    <s v="\\192.168.3.3\Share\Releases\Projects\TWC\Release_For_Test\Test_Build_1.0.0.4\Server CD\MPE\Setup"/>
    <s v="Pass"/>
    <x v="1"/>
    <m/>
    <m/>
    <m/>
    <s v="Jitender Aggarwal"/>
    <x v="0"/>
  </r>
  <r>
    <x v="40"/>
    <x v="40"/>
    <n v="2"/>
    <x v="1"/>
    <n v="2"/>
    <s v="IT-LQA-UAT"/>
    <x v="3"/>
    <m/>
    <x v="5"/>
    <x v="0"/>
    <x v="0"/>
    <s v="NMDBS_OBT_4.6.1.13.1.16b3"/>
    <x v="0"/>
    <x v="5"/>
    <s v="\\192.168.3.3\Share\Releases\Projects\OBT\Release_For_IT\TestBuild_1.0.0.2\Server CD\DBS\Setup"/>
    <x v="0"/>
    <s v="\\192.168.3.3\Share\Releases\Projects\OBT\Release_For_LQA\TestBuild_1.0.0.4\Server CD\DBS\Setup"/>
    <s v="Pass"/>
    <x v="1"/>
    <m/>
    <m/>
    <m/>
    <s v="Tushar Tyagi"/>
    <x v="0"/>
  </r>
  <r>
    <x v="40"/>
    <x v="40"/>
    <n v="2"/>
    <x v="1"/>
    <n v="2"/>
    <s v="LQA-FAT"/>
    <x v="0"/>
    <m/>
    <x v="1"/>
    <x v="1"/>
    <x v="0"/>
    <s v="MPE_SLT-1B_3.0.1.1.1.53b1"/>
    <x v="0"/>
    <x v="10"/>
    <m/>
    <x v="0"/>
    <s v="\\192.168.3.3\Share\Releases\Projects\SLT-1B\Release_For_Test\Test_Build_1.0.0.1\Server CD\MPE\Setup"/>
    <s v="Pass"/>
    <x v="1"/>
    <m/>
    <m/>
    <m/>
    <s v="K.V. Krishnan"/>
    <x v="0"/>
  </r>
  <r>
    <x v="41"/>
    <x v="41"/>
    <n v="2"/>
    <x v="1"/>
    <n v="2"/>
    <s v="IT-LQA-FAT"/>
    <x v="0"/>
    <m/>
    <x v="4"/>
    <x v="0"/>
    <x v="0"/>
    <s v="RADBS_SLT_2.0.0.23.1.60b1"/>
    <x v="0"/>
    <x v="17"/>
    <s v="\\192.168.3.3\Share\Releases\Projects\SLT\Release_For_IT\Test_Build_1.0.0.4\Server CD\DBS\Setup"/>
    <x v="0"/>
    <s v="\\192.168.3.3\Share\Releases\Projects\SLT\Release_For_LQA\Test_Build_1.0.0.19\Server CD\DBS\Setup"/>
    <s v="Pass"/>
    <x v="0"/>
    <m/>
    <m/>
    <m/>
    <s v="K.V. Krishnan"/>
    <x v="0"/>
  </r>
  <r>
    <x v="41"/>
    <x v="41"/>
    <n v="2"/>
    <x v="1"/>
    <n v="2"/>
    <s v="LQA-UAT"/>
    <x v="1"/>
    <m/>
    <x v="1"/>
    <x v="1"/>
    <x v="0"/>
    <s v="MPE_3.2.4.29b2"/>
    <x v="0"/>
    <x v="14"/>
    <m/>
    <x v="0"/>
    <s v="\\192.168.3.3\Share\Releases\Product\MPE_GUI\ReleaseForLQA\TestBuild_1.0.0.2\Server CD\MPE\Setup"/>
    <s v="Pass"/>
    <x v="1"/>
    <m/>
    <m/>
    <m/>
    <s v="Pradeep Raghav"/>
    <x v="0"/>
  </r>
  <r>
    <x v="41"/>
    <x v="41"/>
    <n v="2"/>
    <x v="1"/>
    <n v="2"/>
    <s v="LQA-UAT"/>
    <x v="3"/>
    <m/>
    <x v="1"/>
    <x v="1"/>
    <x v="0"/>
    <s v="MPE_OBT_3.2.1.3.1.11b1"/>
    <x v="0"/>
    <x v="20"/>
    <m/>
    <x v="0"/>
    <s v="\\192.168.3.3\share\Releases\Projects\OBT\Release_For_LQA\TestBuild_1.0.0.4\Server CD\MPE\Setup"/>
    <s v="Pass"/>
    <x v="1"/>
    <m/>
    <m/>
    <m/>
    <s v="Manas Ranjan Barik"/>
    <x v="0"/>
  </r>
  <r>
    <x v="41"/>
    <x v="41"/>
    <n v="2"/>
    <x v="1"/>
    <n v="2"/>
    <s v="LQA"/>
    <x v="0"/>
    <m/>
    <x v="1"/>
    <x v="1"/>
    <x v="0"/>
    <s v="MPE_SLT-1B_3.0.1.1.1.51b2"/>
    <x v="0"/>
    <x v="10"/>
    <m/>
    <x v="0"/>
    <s v="\\192.168.3.3\Share\Releases\Projects\SLT-1B\Release_For_Test\Test_Build_1.0.0.1\Server CD\MPE\Setup"/>
    <s v="Pass"/>
    <x v="0"/>
    <m/>
    <m/>
    <m/>
    <m/>
    <x v="0"/>
  </r>
  <r>
    <x v="42"/>
    <x v="42"/>
    <n v="2"/>
    <x v="1"/>
    <n v="2"/>
    <s v="IT-LQA"/>
    <x v="10"/>
    <m/>
    <x v="11"/>
    <x v="6"/>
    <x v="1"/>
    <s v="NMUTLMIG1_COM_1.0.0.0.3"/>
    <x v="0"/>
    <x v="45"/>
    <s v="\\192.168.3.3\Share\Releases\Projects\Comcast\Release_For_IT\Test_Build_4.6.1\Utility\Setup"/>
    <x v="2"/>
    <s v="\\192.168.3.3\Share\Releases\Projects\Comcast\Release_for_Test\Test_Build_4.6.1\Utility\Setup"/>
    <m/>
    <x v="0"/>
    <m/>
    <m/>
    <m/>
    <m/>
    <x v="2"/>
  </r>
  <r>
    <x v="42"/>
    <x v="42"/>
    <n v="2"/>
    <x v="1"/>
    <n v="2"/>
    <s v="IT-LQA-UAT"/>
    <x v="10"/>
    <m/>
    <x v="11"/>
    <x v="6"/>
    <x v="1"/>
    <s v="NMUTLMIG2_COM_1.0.0.0.3"/>
    <x v="0"/>
    <x v="45"/>
    <s v="\\192.168.3.3\Share\Releases\Projects\Comcast\Release_For_IT\Test_Build_4.6.1\Utility\Setup"/>
    <x v="0"/>
    <s v="\\192.168.3.3\Share\Releases\Projects\Comcast\Release_for_Test\Test_Build_4.6.1\Utility\Setup"/>
    <s v="Pass"/>
    <x v="0"/>
    <m/>
    <m/>
    <m/>
    <s v="Rudra Narayan"/>
    <x v="0"/>
  </r>
  <r>
    <x v="42"/>
    <x v="42"/>
    <n v="2"/>
    <x v="1"/>
    <n v="2"/>
    <s v="IT-LQA"/>
    <x v="10"/>
    <m/>
    <x v="11"/>
    <x v="6"/>
    <x v="1"/>
    <s v="NMUTLMIG3_COM_1.0.0.0.3"/>
    <x v="0"/>
    <x v="45"/>
    <s v="\\192.168.3.3\Share\Releases\Projects\Comcast\Release_For_IT\Test_Build_4.6.1\Utility\Setup"/>
    <x v="2"/>
    <s v="\\192.168.3.3\Share\Releases\Projects\Comcast\Release_for_Test\Test_Build_4.6.1\Utility\Setup"/>
    <m/>
    <x v="0"/>
    <m/>
    <m/>
    <m/>
    <m/>
    <x v="2"/>
  </r>
  <r>
    <x v="42"/>
    <x v="42"/>
    <n v="2"/>
    <x v="1"/>
    <n v="2"/>
    <s v="LQA-AT"/>
    <x v="4"/>
    <m/>
    <x v="1"/>
    <x v="1"/>
    <x v="0"/>
    <s v="MPE_TLSTR-2b_3.0.0.3.1.86b1"/>
    <x v="0"/>
    <x v="11"/>
    <m/>
    <x v="0"/>
    <s v="\\192.168.3.3\Share\Releases\Projects\Telstra-2b\Release_For_Test\Test_Build_1.0.0.1\Server CD\MPE\Setup"/>
    <s v="Pass"/>
    <x v="0"/>
    <m/>
    <m/>
    <m/>
    <s v="Ashwani "/>
    <x v="0"/>
  </r>
  <r>
    <x v="42"/>
    <x v="42"/>
    <n v="2"/>
    <x v="1"/>
    <n v="2"/>
    <s v="LQA-FAT"/>
    <x v="0"/>
    <m/>
    <x v="1"/>
    <x v="1"/>
    <x v="0"/>
    <s v="MPE_SLT-1B_3.0.1.1.1.54b1"/>
    <x v="0"/>
    <x v="10"/>
    <m/>
    <x v="0"/>
    <s v="\\192.168.3.3\Share\Releases\Projects\SLT-1B\Release_For_Test\Test_Build_1.0.0.1\Server CD\MPE\Setup"/>
    <s v="Pass"/>
    <x v="1"/>
    <m/>
    <m/>
    <m/>
    <s v="K.V. Krishnan"/>
    <x v="0"/>
  </r>
  <r>
    <x v="42"/>
    <x v="42"/>
    <n v="2"/>
    <x v="1"/>
    <n v="2"/>
    <s v="LQA"/>
    <x v="10"/>
    <m/>
    <x v="12"/>
    <x v="2"/>
    <x v="1"/>
    <s v="WWCSGUI_COM_2.1.15.0.3"/>
    <x v="0"/>
    <x v="42"/>
    <m/>
    <x v="0"/>
    <s v="\\192.168.3.3\Share\Releases\Projects\Comcast\Release_for_Test\Test_Build_4.6.1\Server CD\GUI\Setup"/>
    <m/>
    <x v="1"/>
    <m/>
    <m/>
    <m/>
    <m/>
    <x v="1"/>
  </r>
  <r>
    <x v="42"/>
    <x v="42"/>
    <n v="2"/>
    <x v="1"/>
    <n v="2"/>
    <s v="LQA"/>
    <x v="10"/>
    <m/>
    <x v="8"/>
    <x v="2"/>
    <x v="1"/>
    <s v="WWFSGUI_COM_2.1.22.0.3"/>
    <x v="0"/>
    <x v="42"/>
    <m/>
    <x v="0"/>
    <s v="\\192.168.3.3\Share\Releases\Projects\Comcast\Release_for_Test\Test_Build_4.6.1\Server CD\GUI\Setup"/>
    <m/>
    <x v="1"/>
    <m/>
    <m/>
    <m/>
    <m/>
    <x v="1"/>
  </r>
  <r>
    <x v="43"/>
    <x v="43"/>
    <n v="2"/>
    <x v="1"/>
    <n v="2"/>
    <s v="IT-LQA-FAT"/>
    <x v="1"/>
    <m/>
    <x v="0"/>
    <x v="0"/>
    <x v="0"/>
    <s v="REDBS_1.0.1.19b1"/>
    <x v="0"/>
    <x v="0"/>
    <s v="\\192.168.3.3\Share\Releases\Product\RE_1.0\ReleaseForIT\TestBuild_1.0.1\DBS\Build4\Setup"/>
    <x v="0"/>
    <s v="\\192.168.3.3\Share\Releases\Product\RE_1.0\ReleaseForLQA\TestBuild_1.0.1\DBS\Build4\Setup"/>
    <s v="Pass"/>
    <x v="1"/>
    <m/>
    <m/>
    <m/>
    <s v="Ravi Gautam"/>
    <x v="0"/>
  </r>
  <r>
    <x v="43"/>
    <x v="44"/>
    <n v="2"/>
    <x v="1"/>
    <n v="2"/>
    <s v="IT-LQA-UAT"/>
    <x v="4"/>
    <m/>
    <x v="5"/>
    <x v="0"/>
    <x v="0"/>
    <s v="NMDBS_TLSTR_4.0.1.0.4.288b1"/>
    <x v="0"/>
    <x v="36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Ravi Gautam"/>
    <x v="0"/>
  </r>
  <r>
    <x v="43"/>
    <x v="43"/>
    <n v="2"/>
    <x v="1"/>
    <n v="2"/>
    <s v="IT-LQA"/>
    <x v="10"/>
    <m/>
    <x v="5"/>
    <x v="0"/>
    <x v="0"/>
    <s v="NMDBS_COM_4.6.1.15.1.1b3"/>
    <x v="0"/>
    <x v="39"/>
    <s v="\\192.168.3.3\Share\Releases\Projects\Comcast\Release_For_IT\Test_Build_4.6.1\Server CD\Database\Setup"/>
    <x v="0"/>
    <s v="\\192.168.3.3\Share\Releases\Projects\Comcast\Release_for_Test\Test_Build_4.6.1\Server CD\Database\Setup"/>
    <s v="Pass"/>
    <x v="0"/>
    <m/>
    <m/>
    <m/>
    <m/>
    <x v="0"/>
  </r>
  <r>
    <x v="43"/>
    <x v="43"/>
    <n v="2"/>
    <x v="1"/>
    <n v="2"/>
    <s v="IT-LQA"/>
    <x v="10"/>
    <m/>
    <x v="5"/>
    <x v="0"/>
    <x v="0"/>
    <s v="NMDBS_COM_4.6.1.15.1.2b3"/>
    <x v="0"/>
    <x v="39"/>
    <s v="\\192.168.3.3\Share\Releases\Projects\Comcast\Release_For_IT\Test_Build_4.6.1\Server CD\Database\Setup"/>
    <x v="0"/>
    <s v="\\192.168.3.3\Share\Releases\Projects\Comcast\Release_for_Test\Test_Build_4.6.1\Server CD\Database\Setup"/>
    <m/>
    <x v="1"/>
    <m/>
    <m/>
    <m/>
    <m/>
    <x v="1"/>
  </r>
  <r>
    <x v="43"/>
    <x v="43"/>
    <n v="2"/>
    <x v="1"/>
    <n v="2"/>
    <s v="IT-LQA"/>
    <x v="10"/>
    <m/>
    <x v="5"/>
    <x v="0"/>
    <x v="0"/>
    <s v="NMDBS_COM_4.6.1.16.1.3b2"/>
    <x v="0"/>
    <x v="39"/>
    <s v="\\192.168.3.3\Share\Releases\Projects\Comcast\Release_For_IT\Test_Build_4.6.1\Server CD\Database\Setup"/>
    <x v="0"/>
    <s v="\\192.168.3.3\Share\Releases\Projects\Comcast\Release_for_Test\Test_Build_4.6.1\Server CD\Database\Setup"/>
    <m/>
    <x v="1"/>
    <m/>
    <m/>
    <m/>
    <m/>
    <x v="1"/>
  </r>
  <r>
    <x v="43"/>
    <x v="36"/>
    <n v="2"/>
    <x v="1"/>
    <n v="2"/>
    <s v="IT-LQA"/>
    <x v="10"/>
    <m/>
    <x v="9"/>
    <x v="0"/>
    <x v="0"/>
    <s v="NPDBS_COM_1.2.3.2.1.2b2       "/>
    <x v="0"/>
    <x v="39"/>
    <s v="\\192.168.3.3\Share\Releases\Projects\Comcast\Release_For_IT\Test_Build_4.6.1\Server CD\Database\Setup"/>
    <x v="0"/>
    <s v="\\192.168.3.3\Share\Releases\Projects\Comcast\Release_for_Test\Test_Build_4.6.1\Server CD\Database\Setup"/>
    <s v="Pass"/>
    <x v="1"/>
    <m/>
    <m/>
    <m/>
    <m/>
    <x v="0"/>
  </r>
  <r>
    <x v="44"/>
    <x v="36"/>
    <n v="2"/>
    <x v="1"/>
    <n v="2"/>
    <s v="LQA"/>
    <x v="12"/>
    <m/>
    <x v="1"/>
    <x v="1"/>
    <x v="0"/>
    <s v="MPE_DRC_3.2.1.3.2.22b1"/>
    <x v="0"/>
    <x v="41"/>
    <m/>
    <x v="0"/>
    <s v="\\192.168.3.3\Share\Releases\Projects\DRC\Release_For_LQA\Test_Build_1.0.0.3\Server CD\MPE\Setup"/>
    <s v="Pass"/>
    <x v="1"/>
    <m/>
    <m/>
    <m/>
    <m/>
    <x v="0"/>
  </r>
  <r>
    <x v="44"/>
    <x v="36"/>
    <n v="2"/>
    <x v="1"/>
    <n v="2"/>
    <s v="IT-LQA-UAT"/>
    <x v="1"/>
    <m/>
    <x v="9"/>
    <x v="0"/>
    <x v="0"/>
    <s v="NPDBS_1.2.3.3b1"/>
    <x v="0"/>
    <x v="23"/>
    <s v="\\192.168.3.3\share\Releases\Product\NetMindPOS_1.1\Build&amp;Release\Release for IT\TestBuild_1.2.3\Server CD\DBS\Setup"/>
    <x v="0"/>
    <s v="\\192.168.3.3\share\Releases\Product\NetMindPOS_1.1\Build&amp;Release\Release for LQA\TestBuild_1.2.3\Server CD\DBS\Setup"/>
    <s v="Pass"/>
    <x v="1"/>
    <m/>
    <m/>
    <m/>
    <s v="Abhishek Leekha"/>
    <x v="0"/>
  </r>
  <r>
    <x v="44"/>
    <x v="36"/>
    <n v="2"/>
    <x v="1"/>
    <n v="2"/>
    <s v="IT-LQA"/>
    <x v="10"/>
    <m/>
    <x v="9"/>
    <x v="0"/>
    <x v="0"/>
    <s v="NPDBS_COM_1.2.3.2.1.1b2       "/>
    <x v="0"/>
    <x v="23"/>
    <s v="\\192.168.3.3\Share\Releases\Projects\Comcast\Release_For_IT\Test_Build_4.6.1\Server CD\Database\Setup"/>
    <x v="0"/>
    <s v="\\192.168.3.3\Share\Releases\Projects\Comcast\Release_for_Test\Test_Build_4.6.1\Server CD\Database\Setup"/>
    <s v="Pass"/>
    <x v="1"/>
    <m/>
    <m/>
    <m/>
    <m/>
    <x v="0"/>
  </r>
  <r>
    <x v="45"/>
    <x v="44"/>
    <n v="2"/>
    <x v="1"/>
    <n v="2"/>
    <s v="IT-LQA"/>
    <x v="10"/>
    <m/>
    <x v="5"/>
    <x v="0"/>
    <x v="0"/>
    <s v="NMDBS_COM_4.6.1.16.1.4b2"/>
    <x v="0"/>
    <x v="7"/>
    <s v="\\192.168.3.3\Share\Releases\Projects\Comcast\Release_For_IT\Test_Build_4.6.1\Server CD\Database\Setup"/>
    <x v="0"/>
    <s v="\\192.168.3.3\Share\Releases\Projects\Comcast\Release_for_Test\Test_Build_4.6.1\Server CD\Database\Setup"/>
    <s v="Pass"/>
    <x v="1"/>
    <m/>
    <m/>
    <m/>
    <m/>
    <x v="0"/>
  </r>
  <r>
    <x v="45"/>
    <x v="44"/>
    <n v="2"/>
    <x v="1"/>
    <n v="2"/>
    <s v="LQA-AT"/>
    <x v="4"/>
    <m/>
    <x v="1"/>
    <x v="1"/>
    <x v="0"/>
    <s v="MPE_TLSTR-2b_3.0.0.3.1.87b1"/>
    <x v="0"/>
    <x v="11"/>
    <m/>
    <x v="0"/>
    <s v="\\192.168.3.3\Share\Releases\Projects\Telstra-2b\Release_For_Test\Test_Build_1.0.0.1\Server CD\MPE\Setup"/>
    <s v="Pass"/>
    <x v="1"/>
    <m/>
    <m/>
    <m/>
    <s v="Ashwani "/>
    <x v="0"/>
  </r>
  <r>
    <x v="46"/>
    <x v="45"/>
    <n v="3"/>
    <x v="2"/>
    <n v="3"/>
    <s v="LQA-UAT"/>
    <x v="1"/>
    <m/>
    <x v="8"/>
    <x v="2"/>
    <x v="0"/>
    <s v="WWFSGUI_2.0.4.9b1"/>
    <x v="0"/>
    <x v="35"/>
    <m/>
    <x v="0"/>
    <s v="\\192.168.3.3\Share\Releases\Product\WEB_WFS\Build&amp;Release\Release For Test\TestBuild_2.0.4\Build4\ServerCD\GUI\Setup"/>
    <s v="Pass"/>
    <x v="1"/>
    <m/>
    <m/>
    <m/>
    <s v="Gaurav Shukla"/>
    <x v="0"/>
  </r>
  <r>
    <x v="46"/>
    <x v="45"/>
    <n v="3"/>
    <x v="2"/>
    <n v="3"/>
    <s v="LQA"/>
    <x v="13"/>
    <m/>
    <x v="1"/>
    <x v="1"/>
    <x v="0"/>
    <s v="MPE_NM46_3.2.5.1.1.3b1"/>
    <x v="0"/>
    <x v="6"/>
    <m/>
    <x v="0"/>
    <s v="\\192.168.3.3\Share\Releases\Projects\NM46\Release_For_Test\Test_Build_1.0.0.1\Server CD\MPE\Setup"/>
    <m/>
    <x v="1"/>
    <m/>
    <m/>
    <m/>
    <m/>
    <x v="1"/>
  </r>
  <r>
    <x v="46"/>
    <x v="45"/>
    <n v="3"/>
    <x v="2"/>
    <n v="3"/>
    <s v="IT-LQA-UAT"/>
    <x v="4"/>
    <m/>
    <x v="5"/>
    <x v="0"/>
    <x v="0"/>
    <s v="NMDBS_TLSTR_4.0.1.0.4.289b1"/>
    <x v="0"/>
    <x v="36"/>
    <s v="\\192.168.3.3\Share\Releases\Projects\Telstra\Release_For_IT\Test_Build_1.0.0.18\Server CD\DBS\Setup"/>
    <x v="0"/>
    <s v="\\192.168.3.3\Share\Releases\Projects\Telstra\Release_For_LQA\Test_Build_1.0.0.18\Server CD\DBS\Setup"/>
    <s v="Pass"/>
    <x v="0"/>
    <m/>
    <m/>
    <m/>
    <s v="Ravi Gautam"/>
    <x v="0"/>
  </r>
  <r>
    <x v="47"/>
    <x v="46"/>
    <n v="3"/>
    <x v="2"/>
    <n v="3"/>
    <s v="IT-LQA-UAT"/>
    <x v="6"/>
    <m/>
    <x v="5"/>
    <x v="0"/>
    <x v="0"/>
    <s v="NMDBS_ANTEL_4.6.1.0.2.33b1"/>
    <x v="0"/>
    <x v="25"/>
    <s v="\\192.168.3.3\Share\Releases\Projects\ANTEL\Release_For_IT\TestBuild_1.0.0.4\Server CD\DBS\Setup"/>
    <x v="0"/>
    <s v="\\192.168.3.3\Share\Releases\Projects\ANTEL\Release_For_Test\Test_Build_1.0.0.7\Server CD\DBS\Setup"/>
    <s v="Pass"/>
    <x v="0"/>
    <m/>
    <m/>
    <m/>
    <s v="Pradeep Raghav"/>
    <x v="0"/>
  </r>
  <r>
    <x v="47"/>
    <x v="46"/>
    <n v="3"/>
    <x v="2"/>
    <n v="3"/>
    <s v="LQA"/>
    <x v="12"/>
    <m/>
    <x v="1"/>
    <x v="1"/>
    <x v="0"/>
    <s v="MPE_DRC_3.2.1.3.2.23b1"/>
    <x v="0"/>
    <x v="41"/>
    <m/>
    <x v="0"/>
    <s v="\\192.168.3.3\Share\Releases\Projects\DRC\Release_For_LQA\Test_Build_1.0.0.3\Server CD\MPE\Setup"/>
    <s v="Pass"/>
    <x v="1"/>
    <m/>
    <m/>
    <m/>
    <m/>
    <x v="0"/>
  </r>
  <r>
    <x v="47"/>
    <x v="46"/>
    <n v="3"/>
    <x v="2"/>
    <n v="3"/>
    <s v="LQA-UAT"/>
    <x v="3"/>
    <m/>
    <x v="1"/>
    <x v="1"/>
    <x v="0"/>
    <s v="MPE_OBT_3.2.1.3.1.12b1"/>
    <x v="0"/>
    <x v="20"/>
    <m/>
    <x v="0"/>
    <s v="\\192.168.3.3\share\Releases\Projects\OBT\Release_For_LQA\TestBuild_1.0.0.4\Server CD\MPE\Setup"/>
    <s v="Pass"/>
    <x v="1"/>
    <m/>
    <m/>
    <m/>
    <s v="Manas Ranjan Barik"/>
    <x v="0"/>
  </r>
  <r>
    <x v="47"/>
    <x v="46"/>
    <n v="3"/>
    <x v="2"/>
    <n v="3"/>
    <s v="IT-LQA-UAT"/>
    <x v="3"/>
    <m/>
    <x v="5"/>
    <x v="0"/>
    <x v="0"/>
    <s v="NMDBS_OBT_4.6.1.16.1.20b1"/>
    <x v="0"/>
    <x v="4"/>
    <s v="\\192.168.3.3\Share\Releases\Projects\OBT\Release_For_IT\TestBuild_1.0.0.2\Server CD\DBS\Setup"/>
    <x v="0"/>
    <s v="\\192.168.3.3\Share\Releases\Projects\OBT\Release_For_LQA\TestBuild_1.0.0.4\Server CD\DBS\Setup"/>
    <s v="Pass"/>
    <x v="0"/>
    <m/>
    <m/>
    <m/>
    <s v="Tushar Tyagi"/>
    <x v="0"/>
  </r>
  <r>
    <x v="47"/>
    <x v="46"/>
    <n v="3"/>
    <x v="2"/>
    <n v="3"/>
    <s v="LQA-UAT"/>
    <x v="15"/>
    <m/>
    <x v="1"/>
    <x v="1"/>
    <x v="0"/>
    <s v="MPE_CBD_3.2.1.3.2.12b1"/>
    <x v="0"/>
    <x v="1"/>
    <m/>
    <x v="0"/>
    <s v="\\192.168.3.3\share\Releases\Projects\CBD\Release_For_Test\Test_Build_1.0.0.4\Server CD\MPE\RHEL_6.3\Setup"/>
    <s v="Pass"/>
    <x v="1"/>
    <m/>
    <m/>
    <m/>
    <s v="Surya N Behra"/>
    <x v="0"/>
  </r>
  <r>
    <x v="47"/>
    <x v="46"/>
    <n v="3"/>
    <x v="2"/>
    <n v="3"/>
    <s v="LQA-FAT"/>
    <x v="4"/>
    <m/>
    <x v="1"/>
    <x v="1"/>
    <x v="0"/>
    <s v="MPE_TLSTR-2b_3.0.0.3.1.88b1"/>
    <x v="0"/>
    <x v="6"/>
    <m/>
    <x v="0"/>
    <s v="\\192.168.3.3\Share\Releases\Projects\Telstra-2b\Release_For_Test\Test_Build_1.0.0.1\Server CD\MPE\Setup"/>
    <s v="Pass"/>
    <x v="1"/>
    <m/>
    <m/>
    <m/>
    <s v="Ravi Gautam"/>
    <x v="0"/>
  </r>
  <r>
    <x v="48"/>
    <x v="47"/>
    <n v="3"/>
    <x v="2"/>
    <n v="3"/>
    <s v="LQA"/>
    <x v="0"/>
    <m/>
    <x v="1"/>
    <x v="1"/>
    <x v="0"/>
    <s v="MPE_SLT-1B_3.0.1.1.1.55b1"/>
    <x v="0"/>
    <x v="10"/>
    <m/>
    <x v="2"/>
    <s v="\\192.168.3.3\Share\Releases\Projects\SLT-1B\Release_For_Test\Test_Build_1.0.0.1\Server CD\MPE\Setup"/>
    <m/>
    <x v="1"/>
    <m/>
    <m/>
    <m/>
    <m/>
    <x v="2"/>
  </r>
  <r>
    <x v="48"/>
    <x v="47"/>
    <n v="3"/>
    <x v="2"/>
    <n v="3"/>
    <s v="IT-LQA"/>
    <x v="8"/>
    <m/>
    <x v="5"/>
    <x v="0"/>
    <x v="0"/>
    <s v="NMDBS_TWC_4.6.1.11.3.34b1"/>
    <x v="0"/>
    <x v="19"/>
    <s v="\\192.168.3.3\Share\Releases\Projects\TWC\Release_For_IT\Test_Build_1.0.0.3\Server CD\DBS\Setup"/>
    <x v="2"/>
    <s v="\\192.168.3.3\Share\Releases\Projects\TWC\Release_For_Test\Test_Build_1.0.0.4\Server CD\DBS\Setup"/>
    <m/>
    <x v="1"/>
    <m/>
    <m/>
    <m/>
    <m/>
    <x v="2"/>
  </r>
  <r>
    <x v="48"/>
    <x v="48"/>
    <n v="3"/>
    <x v="2"/>
    <n v="3"/>
    <s v="IT-LQA"/>
    <x v="12"/>
    <m/>
    <x v="2"/>
    <x v="0"/>
    <x v="0"/>
    <s v="DMDBS_DRC_2.1.1.7.2.16b1"/>
    <x v="0"/>
    <x v="32"/>
    <s v="\\192.168.3.3\Share\Releases\Projects\DRC\Release_For_IT\Test_Build_1.0.0.3\Server CD\DBS\Setup"/>
    <x v="0"/>
    <s v="\\192.168.3.3\Share\Releases\Projects\DRC\Release_For_LQA\Test_Build_1.0.0.3\Server CD\DBS\Setup"/>
    <s v="Pass"/>
    <x v="1"/>
    <m/>
    <m/>
    <m/>
    <m/>
    <x v="0"/>
  </r>
  <r>
    <x v="48"/>
    <x v="47"/>
    <n v="3"/>
    <x v="2"/>
    <n v="3"/>
    <s v="LQA"/>
    <x v="9"/>
    <m/>
    <x v="1"/>
    <x v="1"/>
    <x v="0"/>
    <s v="MPE_MAX_3.2.5.0.1.3b1"/>
    <x v="0"/>
    <x v="41"/>
    <m/>
    <x v="0"/>
    <s v="\\192.168.3.3\Share\Releases\Projects\MAX\Release_For_Test\Test_Build_1.0.0.1\Server CD\MPE\Setup"/>
    <m/>
    <x v="1"/>
    <m/>
    <m/>
    <m/>
    <m/>
    <x v="1"/>
  </r>
  <r>
    <x v="49"/>
    <x v="48"/>
    <n v="3"/>
    <x v="2"/>
    <n v="3"/>
    <s v="LQA-FAT"/>
    <x v="0"/>
    <m/>
    <x v="11"/>
    <x v="6"/>
    <x v="0"/>
    <s v="UTLSEQM_SLT-1B_1.0.0.0.5.3b1 "/>
    <x v="0"/>
    <x v="10"/>
    <m/>
    <x v="0"/>
    <s v="\\192.168.3.3\Share\Releases\Projects\SLT-1B\Release_For_Test\Test_Build_1.0.0.1\Utility\MPE\Setup"/>
    <s v="Pass"/>
    <x v="1"/>
    <m/>
    <m/>
    <m/>
    <s v="K.V. Krishnan"/>
    <x v="0"/>
  </r>
  <r>
    <x v="49"/>
    <x v="48"/>
    <n v="3"/>
    <x v="2"/>
    <n v="3"/>
    <s v="LQA-FAT"/>
    <x v="0"/>
    <m/>
    <x v="11"/>
    <x v="6"/>
    <x v="0"/>
    <s v="UTLFDUP_SLT-1B_1.0.0.0.5.1b1"/>
    <x v="0"/>
    <x v="10"/>
    <m/>
    <x v="0"/>
    <s v="\\192.168.3.3\Share\Releases\Projects\SLT-1B\Release_For_Test\Test_Build_1.0.0.1\Utility\MPE\Setup"/>
    <s v="Pass"/>
    <x v="1"/>
    <m/>
    <m/>
    <m/>
    <s v="K.V. Krishnan"/>
    <x v="0"/>
  </r>
  <r>
    <x v="50"/>
    <x v="49"/>
    <n v="3"/>
    <x v="2"/>
    <n v="3"/>
    <s v="IT-LQA"/>
    <x v="0"/>
    <m/>
    <x v="4"/>
    <x v="0"/>
    <x v="0"/>
    <s v="RADBS_SLT_2.0.0.26.1.61b1"/>
    <x v="0"/>
    <x v="44"/>
    <s v="\\192.168.3.3\Share\Releases\Projects\SLT\Release_For_IT\Test_Build_1.0.0.4\Server CD\DBS\Setup"/>
    <x v="2"/>
    <s v="\\192.168.3.3\Share\Releases\Projects\SLT\Release_For_LQA\Test_Build_1.0.0.19\Server CD\DBS\Setup"/>
    <m/>
    <x v="1"/>
    <m/>
    <m/>
    <m/>
    <m/>
    <x v="2"/>
  </r>
  <r>
    <x v="50"/>
    <x v="49"/>
    <n v="3"/>
    <x v="2"/>
    <n v="3"/>
    <s v="IT-LQA-UAT"/>
    <x v="1"/>
    <m/>
    <x v="9"/>
    <x v="0"/>
    <x v="0"/>
    <s v="NPDBS_1.2.3.4b1"/>
    <x v="0"/>
    <x v="23"/>
    <s v="\\192.168.3.3\share\Releases\Product\NetMindPOS_1.1\Build&amp;Release\Release for IT\TestBuild_1.2.3\Server CD\DBS\Setup"/>
    <x v="0"/>
    <s v="\\192.168.3.3\share\Releases\Product\NetMindPOS_1.1\Build&amp;Release\Release for LQA\TestBuild_1.2.3\Server CD\DBS\Setup"/>
    <s v="Pass"/>
    <x v="1"/>
    <m/>
    <m/>
    <m/>
    <s v="Abhishek Leekha"/>
    <x v="0"/>
  </r>
  <r>
    <x v="50"/>
    <x v="49"/>
    <n v="3"/>
    <x v="2"/>
    <n v="3"/>
    <s v="IT-LQA"/>
    <x v="10"/>
    <m/>
    <x v="9"/>
    <x v="0"/>
    <x v="0"/>
    <s v="NPDBS_COM_1.2.3.2.1.3b1"/>
    <x v="0"/>
    <x v="23"/>
    <s v="\\192.168.3.3\Share\Releases\Projects\Comcast\Release_For_IT\Test_Build_4.6.1\Server CD\Database\Setup"/>
    <x v="0"/>
    <s v="\\192.168.3.3\Share\Releases\Projects\Comcast\Release_for_Test\Test_Build_4.6.1\Server CD\Database\Setup"/>
    <s v="Pass"/>
    <x v="0"/>
    <m/>
    <m/>
    <m/>
    <m/>
    <x v="0"/>
  </r>
  <r>
    <x v="50"/>
    <x v="49"/>
    <n v="3"/>
    <x v="2"/>
    <n v="3"/>
    <s v="IT-LQA-FAT"/>
    <x v="0"/>
    <m/>
    <x v="2"/>
    <x v="0"/>
    <x v="0"/>
    <s v="DMDBS_SLT_2.0.0.20.1.104b1"/>
    <x v="0"/>
    <x v="44"/>
    <s v="\\192.168.3.3\Share\Releases\Projects\SLT\Release_For_IT\Test_Build_1.0.0.4\Server CD\DBS\Setup"/>
    <x v="0"/>
    <s v="\\192.168.3.3\Share\Releases\Projects\SLT\Release_For_LQA\Test_Build_1.0.0.19\Server CD\DBS\Setup"/>
    <s v="Pass"/>
    <x v="0"/>
    <m/>
    <m/>
    <m/>
    <s v="K.V. Krishnan"/>
    <x v="0"/>
  </r>
  <r>
    <x v="50"/>
    <x v="49"/>
    <n v="3"/>
    <x v="2"/>
    <n v="3"/>
    <s v="LQA"/>
    <x v="1"/>
    <m/>
    <x v="1"/>
    <x v="1"/>
    <x v="0"/>
    <s v="MPE_3.2.4.30b1"/>
    <x v="0"/>
    <x v="14"/>
    <m/>
    <x v="2"/>
    <s v="\\192.168.3.3\Share\Releases\Product\MPE_GUI\ReleaseForLQA\TestBuild_1.0.0.2\Server CD\MPE\Setup"/>
    <m/>
    <x v="1"/>
    <m/>
    <m/>
    <m/>
    <m/>
    <x v="2"/>
  </r>
  <r>
    <x v="50"/>
    <x v="49"/>
    <n v="3"/>
    <x v="2"/>
    <n v="3"/>
    <s v="IT-LQA-UAT"/>
    <x v="4"/>
    <m/>
    <x v="5"/>
    <x v="0"/>
    <x v="0"/>
    <s v="NMDBS_TLSTR_4.0.1.0.4.290b1"/>
    <x v="0"/>
    <x v="36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Abrar Khan"/>
    <x v="0"/>
  </r>
  <r>
    <x v="51"/>
    <x v="50"/>
    <n v="3"/>
    <x v="2"/>
    <n v="3"/>
    <s v="IT-LQA"/>
    <x v="8"/>
    <m/>
    <x v="5"/>
    <x v="0"/>
    <x v="0"/>
    <s v="NMDBS_TWC_4.6.1.11.3.34b2"/>
    <x v="0"/>
    <x v="19"/>
    <s v="\\192.168.3.3\Share\Releases\Projects\TWC\Release_For_IT\Test_Build_1.0.0.3\Server CD\DBS\Setup"/>
    <x v="2"/>
    <s v="\\192.168.3.3\Share\Releases\Projects\TWC\Release_For_Test\Test_Build_1.0.0.4\Server CD\DBS\Setup"/>
    <m/>
    <x v="1"/>
    <m/>
    <m/>
    <m/>
    <m/>
    <x v="2"/>
  </r>
  <r>
    <x v="51"/>
    <x v="50"/>
    <n v="3"/>
    <x v="2"/>
    <n v="3"/>
    <s v="IT-LQA"/>
    <x v="8"/>
    <m/>
    <x v="5"/>
    <x v="0"/>
    <x v="0"/>
    <s v="NMDBS_TWC_4.6.1.11.3.34b3"/>
    <x v="0"/>
    <x v="19"/>
    <s v="\\192.168.3.3\Share\Releases\Projects\TWC\Release_For_IT\Test_Build_1.0.0.3\Server CD\DBS\Setup"/>
    <x v="2"/>
    <s v="\\192.168.3.3\Share\Releases\Projects\TWC\Release_For_Test\Test_Build_1.0.0.4\Server CD\DBS\Setup"/>
    <m/>
    <x v="1"/>
    <m/>
    <m/>
    <m/>
    <m/>
    <x v="2"/>
  </r>
  <r>
    <x v="51"/>
    <x v="50"/>
    <n v="3"/>
    <x v="2"/>
    <n v="3"/>
    <s v="IT-LQA"/>
    <x v="5"/>
    <m/>
    <x v="5"/>
    <x v="0"/>
    <x v="0"/>
    <s v="NMDBS_BHN_3.5.1.54.1"/>
    <x v="0"/>
    <x v="45"/>
    <s v="\\192.168.3.3\Share\Projects\Neustar\BHN\Build&amp;Release\Release For IT\Test_Build_3.5.37\Server CD\Database\Setup"/>
    <x v="2"/>
    <s v="\\192.168.3.3\Share\Projects\Neustar\BHN\Build&amp;Release\Release For Test\Test_Build_3.5.37\Server CD\Database\Setup"/>
    <m/>
    <x v="1"/>
    <m/>
    <m/>
    <m/>
    <m/>
    <x v="2"/>
  </r>
  <r>
    <x v="51"/>
    <x v="50"/>
    <n v="3"/>
    <x v="2"/>
    <n v="3"/>
    <s v="IT-LQA"/>
    <x v="5"/>
    <m/>
    <x v="5"/>
    <x v="0"/>
    <x v="0"/>
    <s v="NMDBS_BHN_3.5.1.55.1"/>
    <x v="0"/>
    <x v="45"/>
    <s v="\\192.168.3.3\Share\Projects\Neustar\BHN\Build&amp;Release\Release For IT\Test_Build_3.5.37\Server CD\Database\Setup"/>
    <x v="2"/>
    <s v="\\192.168.3.3\Share\Projects\Neustar\BHN\Build&amp;Release\Release For Test\Test_Build_3.5.37\Server CD\Database\Setup"/>
    <m/>
    <x v="1"/>
    <m/>
    <m/>
    <m/>
    <m/>
    <x v="2"/>
  </r>
  <r>
    <x v="51"/>
    <x v="50"/>
    <n v="3"/>
    <x v="2"/>
    <n v="3"/>
    <s v="IT-LQA"/>
    <x v="5"/>
    <m/>
    <x v="5"/>
    <x v="0"/>
    <x v="0"/>
    <s v="NMDBS_BHN_3.5.1.56.1"/>
    <x v="0"/>
    <x v="45"/>
    <s v="\\192.168.3.3\Share\Projects\Neustar\BHN\Build&amp;Release\Release For IT\Test_Build_3.5.37\Server CD\Database\Setup"/>
    <x v="0"/>
    <s v="\\192.168.3.3\Share\Projects\Neustar\BHN\Build&amp;Release\Release For Test\Test_Build_3.5.37\Server CD\Database\Setup"/>
    <s v="Pass"/>
    <x v="1"/>
    <m/>
    <m/>
    <m/>
    <m/>
    <x v="0"/>
  </r>
  <r>
    <x v="51"/>
    <x v="50"/>
    <n v="3"/>
    <x v="2"/>
    <n v="3"/>
    <s v="IT-LQA"/>
    <x v="5"/>
    <m/>
    <x v="5"/>
    <x v="0"/>
    <x v="0"/>
    <s v="NMDBS_BHN_3.5.1.56.1"/>
    <x v="0"/>
    <x v="45"/>
    <s v="\\192.168.3.3\Share\Projects\Neustar\BHN\Build&amp;Release\Release For IT\Test_Build_3.5.37\Server CD\Database\Setup"/>
    <x v="0"/>
    <s v="\\192.168.3.3\Share\Projects\Neustar\BHN\Build&amp;Release\Release For Test\Test_Build_3.5.37\Server CD\Database\Setup"/>
    <m/>
    <x v="1"/>
    <m/>
    <m/>
    <m/>
    <m/>
    <x v="1"/>
  </r>
  <r>
    <x v="51"/>
    <x v="50"/>
    <n v="3"/>
    <x v="2"/>
    <n v="3"/>
    <s v="IT-LQA-UAT"/>
    <x v="8"/>
    <m/>
    <x v="5"/>
    <x v="0"/>
    <x v="0"/>
    <s v="NMDBS_TWC_4.6.1.11.3.34b4"/>
    <x v="0"/>
    <x v="19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Sumit Gomber"/>
    <x v="0"/>
  </r>
  <r>
    <x v="52"/>
    <x v="51"/>
    <n v="3"/>
    <x v="2"/>
    <n v="3"/>
    <s v="IT-LQA"/>
    <x v="10"/>
    <m/>
    <x v="5"/>
    <x v="0"/>
    <x v="0"/>
    <s v="NMDBS_COM_4.6.1.16.1.5b1"/>
    <x v="0"/>
    <x v="7"/>
    <s v="\\192.168.3.3\Share\Releases\Projects\Comcast\Release_For_IT\Test_Build_4.6.1\Server CD\Database\Setup"/>
    <x v="2"/>
    <s v="\\192.168.3.3\Share\Releases\Projects\Comcast\Release_for_Test\Test_Build_4.6.1\Server CD\Database\Setup"/>
    <m/>
    <x v="0"/>
    <m/>
    <m/>
    <m/>
    <m/>
    <x v="2"/>
  </r>
  <r>
    <x v="52"/>
    <x v="51"/>
    <n v="3"/>
    <x v="2"/>
    <n v="3"/>
    <s v="IT-LQA"/>
    <x v="10"/>
    <m/>
    <x v="5"/>
    <x v="0"/>
    <x v="0"/>
    <s v="NMDBS_COM_4.6.1.16.1.7b1"/>
    <x v="0"/>
    <x v="7"/>
    <s v="\\192.168.3.3\Share\Releases\Projects\Comcast\Release_For_IT\Test_Build_4.6.1\Server CD\Database\Setup"/>
    <x v="2"/>
    <s v="\\192.168.3.3\Share\Releases\Projects\Comcast\Release_for_Test\Test_Build_4.6.1\Server CD\Database\Setup"/>
    <m/>
    <x v="0"/>
    <m/>
    <m/>
    <m/>
    <m/>
    <x v="2"/>
  </r>
  <r>
    <x v="52"/>
    <x v="51"/>
    <n v="3"/>
    <x v="2"/>
    <n v="3"/>
    <s v="IT-LQA-FAT"/>
    <x v="0"/>
    <m/>
    <x v="4"/>
    <x v="0"/>
    <x v="0"/>
    <s v="RADBS_SLT_2.0.0.26.1.61b2"/>
    <x v="0"/>
    <x v="44"/>
    <s v="\\192.168.3.3\Share\Releases\Projects\SLT\Release_For_IT\Test_Build_1.0.0.4\Server CD\DBS\Setup"/>
    <x v="0"/>
    <s v="\\192.168.3.3\Share\Releases\Projects\SLT\Release_For_LQA\Test_Build_1.0.0.19\Server CD\DBS\Setup"/>
    <s v="Pass"/>
    <x v="1"/>
    <m/>
    <m/>
    <m/>
    <s v="K.V. Krishnan"/>
    <x v="0"/>
  </r>
  <r>
    <x v="53"/>
    <x v="52"/>
    <n v="3"/>
    <x v="2"/>
    <n v="4"/>
    <s v="IT-LQA"/>
    <x v="16"/>
    <m/>
    <x v="5"/>
    <x v="1"/>
    <x v="0"/>
    <s v="NMMPE_TLN_2.0.3.50.1"/>
    <x v="0"/>
    <x v="26"/>
    <s v="\\192.168.3.3\Share\Releases\Projects\Telenet\Build&amp;Release\Release For IT\Test_Build_4.0.39\Server CD\MPE\Setup"/>
    <x v="2"/>
    <s v="\\192.168.3.3\Share\Releases\Projects\Telenet\Build&amp;Release\Release For Test\Test_Build_4.0.41\Server CD\MPE\Setup"/>
    <m/>
    <x v="1"/>
    <m/>
    <m/>
    <m/>
    <m/>
    <x v="2"/>
  </r>
  <r>
    <x v="53"/>
    <x v="53"/>
    <n v="3"/>
    <x v="2"/>
    <n v="3"/>
    <s v="IT-LQA"/>
    <x v="4"/>
    <m/>
    <x v="5"/>
    <x v="0"/>
    <x v="0"/>
    <s v="NMDBS_TLSTR_4.0.1.0.4.291b1"/>
    <x v="0"/>
    <x v="36"/>
    <s v="\\192.168.3.3\Share\Releases\Projects\Telstra\Release_For_IT\Test_Build_1.0.0.18\Server CD\DBS\Setup"/>
    <x v="2"/>
    <s v="\\192.168.3.3\Share\Releases\Projects\Telstra\Release_For_LQA\Test_Build_1.0.0.18\Server CD\DBS\Setup"/>
    <m/>
    <x v="1"/>
    <m/>
    <m/>
    <m/>
    <m/>
    <x v="2"/>
  </r>
  <r>
    <x v="53"/>
    <x v="53"/>
    <n v="3"/>
    <x v="2"/>
    <n v="3"/>
    <s v="IT-LQA-UAT"/>
    <x v="1"/>
    <m/>
    <x v="9"/>
    <x v="0"/>
    <x v="0"/>
    <s v="NPDBS_1.2.3.5b1"/>
    <x v="0"/>
    <x v="23"/>
    <s v="\\192.168.3.3\share\Releases\Product\NetMindPOS_1.1\Build&amp;Release\Release for IT\TestBuild_1.2.3\Server CD\DBS\Setup"/>
    <x v="0"/>
    <s v="\\192.168.3.3\share\Releases\Product\NetMindPOS_1.1\Build&amp;Release\Release for LQA\TestBuild_1.2.3\Server CD\DBS\Setup"/>
    <s v="Pass"/>
    <x v="1"/>
    <m/>
    <m/>
    <m/>
    <s v="Abhishek Leekha"/>
    <x v="0"/>
  </r>
  <r>
    <x v="53"/>
    <x v="53"/>
    <n v="3"/>
    <x v="2"/>
    <n v="3"/>
    <s v="IT-LQA-UAT"/>
    <x v="17"/>
    <m/>
    <x v="5"/>
    <x v="0"/>
    <x v="0"/>
    <s v="PATCH_DBS_3.0.5.03_CPMTS.02_86.1"/>
    <x v="0"/>
    <x v="3"/>
    <s v="\\192.168.3.3\Share\Releases\Projects\MTS\Release For IT\Test_Build_3.0.5.25\Server CD\Database\Setup"/>
    <x v="0"/>
    <s v="\\192.168.3.3\Share\Releases\Projects\MTS\Release For Test\Test_Build_3.0.5.25\Server CD\Database\Setup"/>
    <s v="Pass"/>
    <x v="1"/>
    <m/>
    <m/>
    <m/>
    <s v="Ashish Bansal"/>
    <x v="0"/>
  </r>
  <r>
    <x v="53"/>
    <x v="53"/>
    <n v="3"/>
    <x v="2"/>
    <n v="3"/>
    <s v="IT-LQA-AT"/>
    <x v="4"/>
    <m/>
    <x v="5"/>
    <x v="0"/>
    <x v="0"/>
    <s v="NMDBS_TLSTR_4.0.1.0.4.291b2"/>
    <x v="0"/>
    <x v="36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Gaurav Shukla"/>
    <x v="0"/>
  </r>
  <r>
    <x v="53"/>
    <x v="53"/>
    <n v="3"/>
    <x v="2"/>
    <n v="3"/>
    <s v="IT-LQA-AT"/>
    <x v="4"/>
    <m/>
    <x v="5"/>
    <x v="0"/>
    <x v="0"/>
    <s v="NMDBS_TLSTR_4.0.1.0.4.292b1"/>
    <x v="0"/>
    <x v="36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Abrar Khan"/>
    <x v="0"/>
  </r>
  <r>
    <x v="54"/>
    <x v="54"/>
    <n v="3"/>
    <x v="2"/>
    <n v="3"/>
    <s v="LQA-UAT"/>
    <x v="0"/>
    <m/>
    <x v="1"/>
    <x v="1"/>
    <x v="0"/>
    <s v="MPE_SLT-1B_3.0.1.1.1.55b2"/>
    <x v="0"/>
    <x v="10"/>
    <m/>
    <x v="0"/>
    <s v="\\192.168.3.3\Share\Releases\Projects\SLT-1B\Release_For_Test\Test_Build_1.0.0.1\Server CD\MPE\Setup"/>
    <s v="Pass"/>
    <x v="1"/>
    <m/>
    <m/>
    <m/>
    <s v="K.V. Krishnan"/>
    <x v="0"/>
  </r>
  <r>
    <x v="54"/>
    <x v="54"/>
    <n v="3"/>
    <x v="2"/>
    <n v="3"/>
    <s v="LQA"/>
    <x v="1"/>
    <m/>
    <x v="12"/>
    <x v="2"/>
    <x v="1"/>
    <s v="WWCSGUI_2.1.16b3"/>
    <x v="0"/>
    <x v="33"/>
    <m/>
    <x v="2"/>
    <s v="\\192.168.3.3\Share\Releases\Product\WEB_CS\Build&amp;Release\Release For Test\TestBuild_2.1.16\Build3\ServerCD\GUI\Setup"/>
    <m/>
    <x v="0"/>
    <m/>
    <m/>
    <m/>
    <m/>
    <x v="2"/>
  </r>
  <r>
    <x v="54"/>
    <x v="0"/>
    <n v="3"/>
    <x v="2"/>
    <s v="False"/>
    <s v="IT"/>
    <x v="1"/>
    <m/>
    <x v="7"/>
    <x v="0"/>
    <x v="0"/>
    <s v="RTDBS_4.0.1.17b1"/>
    <x v="0"/>
    <x v="32"/>
    <s v="\\192.168.3.3\Share\Releases\Product\RT_4.0\ReleaseForIT\TestBuild_4.0.3\DBS\Setup"/>
    <x v="2"/>
    <s v="\\192.168.3.3\Share\Releases\Product\RT_4.0\ReleaseForLQA\TestBuild_4.0.22\DBS\Setup"/>
    <m/>
    <x v="1"/>
    <m/>
    <m/>
    <m/>
    <m/>
    <x v="2"/>
  </r>
  <r>
    <x v="54"/>
    <x v="54"/>
    <n v="3"/>
    <x v="2"/>
    <n v="3"/>
    <s v="IT-LQA-UAT"/>
    <x v="0"/>
    <m/>
    <x v="2"/>
    <x v="0"/>
    <x v="0"/>
    <s v="DMDBS_SLT_2.0.0.20.1.107b1"/>
    <x v="0"/>
    <x v="17"/>
    <s v="\\192.168.3.3\Share\Releases\Projects\SLT\Release_For_IT\Test_Build_1.0.0.4\Server CD\DBS\Setup"/>
    <x v="0"/>
    <s v="\\192.168.3.3\Share\Releases\Projects\SLT\Release_For_LQA\Test_Build_1.0.0.19\Server CD\DBS\Setup"/>
    <s v="Pass"/>
    <x v="1"/>
    <m/>
    <m/>
    <m/>
    <s v="K.V. Krishnan"/>
    <x v="0"/>
  </r>
  <r>
    <x v="54"/>
    <x v="54"/>
    <n v="3"/>
    <x v="2"/>
    <n v="3"/>
    <s v="LQA-AT"/>
    <x v="4"/>
    <m/>
    <x v="1"/>
    <x v="1"/>
    <x v="0"/>
    <s v="MPE_TLSTR-2b_3.0.0.3.1.89b1"/>
    <x v="0"/>
    <x v="6"/>
    <m/>
    <x v="0"/>
    <s v="\\192.168.3.3\Share\Releases\Projects\Telstra-2b\Release_For_Test\Test_Build_1.0.0.1\Server CD\MPE\Setup"/>
    <s v="Pass"/>
    <x v="1"/>
    <m/>
    <m/>
    <m/>
    <s v="Ashwani "/>
    <x v="0"/>
  </r>
  <r>
    <x v="54"/>
    <x v="54"/>
    <n v="3"/>
    <x v="2"/>
    <n v="3"/>
    <s v="LQA"/>
    <x v="1"/>
    <m/>
    <x v="8"/>
    <x v="2"/>
    <x v="0"/>
    <s v="WWFSGUI_2.1.23b1"/>
    <x v="0"/>
    <x v="33"/>
    <m/>
    <x v="2"/>
    <s v="\\192.168.3.3\Share\Releases\Product\WEB_WFS\Build&amp;Release\Release For Test\TestBuild_2.1.23\Build1\ServerCD\GUI\Setup"/>
    <m/>
    <x v="1"/>
    <m/>
    <m/>
    <m/>
    <m/>
    <x v="2"/>
  </r>
  <r>
    <x v="54"/>
    <x v="55"/>
    <n v="3"/>
    <x v="2"/>
    <n v="3"/>
    <s v="IT-LQA"/>
    <x v="1"/>
    <m/>
    <x v="4"/>
    <x v="0"/>
    <x v="0"/>
    <s v="RADBS_2.1.1.2b1"/>
    <x v="0"/>
    <x v="8"/>
    <s v="\\192.168.3.3\Share\Releases\Product\RevMind_2.1\Build&amp;Release\Release_For_IT\TestBuild_1.0.1\Server CD\DBS\Setup"/>
    <x v="2"/>
    <s v="\\192.168.3.3\Share\Releases\Product\RevMind_2.1\Build&amp;Release\Release_For_LQA\Test_Build_1.0.2\Server CD\DBS\Setup"/>
    <m/>
    <x v="0"/>
    <m/>
    <m/>
    <m/>
    <m/>
    <x v="2"/>
  </r>
  <r>
    <x v="54"/>
    <x v="54"/>
    <n v="3"/>
    <x v="2"/>
    <n v="3"/>
    <s v="LQA"/>
    <x v="1"/>
    <m/>
    <x v="5"/>
    <x v="0"/>
    <x v="1"/>
    <s v="NMDBS_4.7.1b2"/>
    <x v="0"/>
    <x v="24"/>
    <m/>
    <x v="0"/>
    <s v="\\192.168.3.3\Share\Releases\Product\Netmind_4.7\Build&amp;Release\Release_For_LQA\Test_Build_1.0.1\Server CD\DBS\Setup"/>
    <m/>
    <x v="1"/>
    <m/>
    <m/>
    <m/>
    <m/>
    <x v="1"/>
  </r>
  <r>
    <x v="55"/>
    <x v="56"/>
    <n v="3"/>
    <x v="2"/>
    <n v="3"/>
    <s v="LQA"/>
    <x v="1"/>
    <m/>
    <x v="9"/>
    <x v="0"/>
    <x v="1"/>
    <s v="NPDBS_1.3.1b2"/>
    <x v="0"/>
    <x v="23"/>
    <m/>
    <x v="0"/>
    <s v="\\192.168.3.3\Share\Releases\Product\NetMindPOS_1.3\Build&amp;Release\Release_For_LQA\Test_Build_1.0.1\Server CD\DBS\Setup"/>
    <m/>
    <x v="0"/>
    <m/>
    <m/>
    <m/>
    <m/>
    <x v="1"/>
  </r>
  <r>
    <x v="56"/>
    <x v="57"/>
    <n v="3"/>
    <x v="2"/>
    <n v="3"/>
    <s v="IT-LQA-AT"/>
    <x v="4"/>
    <m/>
    <x v="5"/>
    <x v="0"/>
    <x v="0"/>
    <s v="NMDBS_TLSTR_4.0.1.0.4.293b1"/>
    <x v="0"/>
    <x v="36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Abrar Khan"/>
    <x v="0"/>
  </r>
  <r>
    <x v="56"/>
    <x v="57"/>
    <n v="3"/>
    <x v="2"/>
    <n v="3"/>
    <s v="LQA-AT"/>
    <x v="4"/>
    <m/>
    <x v="1"/>
    <x v="1"/>
    <x v="0"/>
    <s v="MPE_TLSTR-2b_3.0.0.3.1.90b1"/>
    <x v="0"/>
    <x v="11"/>
    <m/>
    <x v="0"/>
    <s v="\\192.168.3.3\Share\Releases\Projects\Telstra-2b\Release_For_Test\Test_Build_1.0.0.1\Server CD\MPE\Setup"/>
    <s v="Pass"/>
    <x v="1"/>
    <m/>
    <m/>
    <m/>
    <s v="Ashwani "/>
    <x v="0"/>
  </r>
  <r>
    <x v="56"/>
    <x v="57"/>
    <n v="3"/>
    <x v="2"/>
    <n v="3"/>
    <s v="IT-LQA-FAT"/>
    <x v="16"/>
    <m/>
    <x v="5"/>
    <x v="7"/>
    <x v="1"/>
    <s v="NMWFS_TLN_4.0.22"/>
    <x v="0"/>
    <x v="47"/>
    <s v="\\192.168.3.3\Share\Releases\Projects\Telenet\Build&amp;Release\Release For IT\Test_Build_4.0.40\Client CD\GUI\Configuration System\Setup"/>
    <x v="0"/>
    <s v="\\192.168.3.3\Share\Releases\Projects\Telenet\Build&amp;Release\Release For Test\Test_Build_4.0.40\Client CD\GUI\Workflow System\Setup"/>
    <s v="Pass"/>
    <x v="1"/>
    <m/>
    <m/>
    <m/>
    <s v="Vijay Singh Daagar"/>
    <x v="0"/>
  </r>
  <r>
    <x v="56"/>
    <x v="57"/>
    <n v="3"/>
    <x v="2"/>
    <n v="3"/>
    <s v="IT-LQA-FAT"/>
    <x v="16"/>
    <m/>
    <x v="5"/>
    <x v="8"/>
    <x v="1"/>
    <s v="NMPM_TLN_4.0.4"/>
    <x v="0"/>
    <x v="47"/>
    <s v="\\192.168.3.3\Share\Releases\Projects\Telenet\Build&amp;Release\Release For IT\Test_Build_4.0.40\Client CD\GUI\Hotlist Manager\Setup"/>
    <x v="0"/>
    <s v="\\192.168.3.3\Share\Releases\Projects\Telenet\Build&amp;Release\Release For Test\Test_Build_4.0.40\Client CD\GUI\Profile Manager\Setup"/>
    <s v="Pass"/>
    <x v="1"/>
    <m/>
    <m/>
    <m/>
    <s v="Vijay Singh Daagar"/>
    <x v="0"/>
  </r>
  <r>
    <x v="56"/>
    <x v="57"/>
    <n v="3"/>
    <x v="2"/>
    <n v="3"/>
    <s v="IT-LQA"/>
    <x v="16"/>
    <m/>
    <x v="5"/>
    <x v="9"/>
    <x v="1"/>
    <s v="NMHM_TLN_4.0.4"/>
    <x v="0"/>
    <x v="47"/>
    <s v="\\192.168.3.3\Share\Releases\Projects\Telenet\Build&amp;Release\Release For IT\Test_Build_4.0.40\Client CD\GUI\Profile Manager\Setup"/>
    <x v="0"/>
    <s v="\\192.168.3.3\Share\Releases\Projects\Telenet\Build&amp;Release\Release For Test\Test_Build_4.0.40\Client CD\GUI\Hotlist Manager\Setup"/>
    <m/>
    <x v="1"/>
    <m/>
    <m/>
    <m/>
    <m/>
    <x v="1"/>
  </r>
  <r>
    <x v="56"/>
    <x v="57"/>
    <n v="3"/>
    <x v="2"/>
    <n v="3"/>
    <s v="IT-LQA"/>
    <x v="16"/>
    <m/>
    <x v="5"/>
    <x v="4"/>
    <x v="1"/>
    <s v=" NMCS_TLN_4.0.5"/>
    <x v="0"/>
    <x v="47"/>
    <s v="\\192.168.3.3\Share\Releases\Projects\Telenet\Build&amp;Release\Release For IT\Test_Build_4.0.40\Client CD\GUI\Workflow System\Setup"/>
    <x v="0"/>
    <s v="\\192.168.3.3\Share\Releases\Projects\Telenet\Build&amp;Release\Release For Test\Test_Build_4.0.40\Client CD\GUI\Configuration System\Setup"/>
    <m/>
    <x v="1"/>
    <m/>
    <m/>
    <m/>
    <m/>
    <x v="1"/>
  </r>
  <r>
    <x v="57"/>
    <x v="58"/>
    <n v="3"/>
    <x v="2"/>
    <n v="3"/>
    <s v="IT-LQA"/>
    <x v="0"/>
    <m/>
    <x v="2"/>
    <x v="0"/>
    <x v="0"/>
    <s v="DMDBS_SLT_2.0.0.20.1.108b1"/>
    <x v="0"/>
    <x v="44"/>
    <s v="\\192.168.3.3\Share\Releases\Projects\SLT\Release_For_IT\Test_Build_1.0.0.4\Server CD\DBS\Setup"/>
    <x v="2"/>
    <s v="\\192.168.3.3\Share\Releases\Projects\SLT\Release_For_LQA\Test_Build_1.0.0.19\Server CD\DBS\Setup"/>
    <m/>
    <x v="1"/>
    <m/>
    <m/>
    <m/>
    <m/>
    <x v="2"/>
  </r>
  <r>
    <x v="57"/>
    <x v="58"/>
    <n v="3"/>
    <x v="2"/>
    <n v="3"/>
    <s v="IT-LQA-FAT"/>
    <x v="0"/>
    <m/>
    <x v="5"/>
    <x v="0"/>
    <x v="0"/>
    <s v="NMDBS_SLT_4.0.2.0.1.15b1"/>
    <x v="0"/>
    <x v="44"/>
    <s v="\\192.168.3.3\Share\Releases\Projects\SLT\Release_For_IT\Test_Build_1.0.0.4\Server CD\DBS\Setup"/>
    <x v="0"/>
    <s v="\\192.168.3.3\Share\Releases\Projects\SLT\Release_For_LQA\Test_Build_1.0.0.19\Server CD\DBS\Setup"/>
    <s v="Pass"/>
    <x v="1"/>
    <m/>
    <m/>
    <m/>
    <s v="K.V. Krishnan"/>
    <x v="0"/>
  </r>
  <r>
    <x v="57"/>
    <x v="58"/>
    <n v="3"/>
    <x v="2"/>
    <n v="3"/>
    <s v="LQA"/>
    <x v="1"/>
    <m/>
    <x v="11"/>
    <x v="6"/>
    <x v="1"/>
    <s v="AWF_1.1.2b15"/>
    <x v="0"/>
    <x v="31"/>
    <m/>
    <x v="0"/>
    <s v="\\192.168.3.3\Share\Releases\Product\AWF\Build&amp;Release\Release For Test\TestBuild_1.1.2\Setup"/>
    <m/>
    <x v="1"/>
    <m/>
    <m/>
    <m/>
    <m/>
    <x v="1"/>
  </r>
  <r>
    <x v="57"/>
    <x v="58"/>
    <n v="3"/>
    <x v="2"/>
    <n v="3"/>
    <s v="LQA-FAT"/>
    <x v="0"/>
    <m/>
    <x v="1"/>
    <x v="1"/>
    <x v="0"/>
    <s v="MPE_SLT-1B_3.0.1.1.1.56b1"/>
    <x v="0"/>
    <x v="10"/>
    <m/>
    <x v="0"/>
    <s v="\\192.168.3.3\Share\Releases\Projects\SLT-1B\Release_For_Test\Test_Build_1.0.0.1\Server CD\MPE\Setup"/>
    <s v="Pass"/>
    <x v="1"/>
    <m/>
    <m/>
    <m/>
    <s v="K.V. Krishnan"/>
    <x v="0"/>
  </r>
  <r>
    <x v="57"/>
    <x v="58"/>
    <n v="3"/>
    <x v="2"/>
    <n v="3"/>
    <s v="IT-LQA-FAT"/>
    <x v="0"/>
    <m/>
    <x v="2"/>
    <x v="0"/>
    <x v="0"/>
    <s v="DMDBS_SLT_2.0.0.20.1.109b1"/>
    <x v="0"/>
    <x v="44"/>
    <s v="\\192.168.3.3\Share\Releases\Projects\SLT\Release_For_IT\Test_Build_1.0.0.4\Server CD\DBS\Setup"/>
    <x v="0"/>
    <s v="\\192.168.3.3\Share\Releases\Projects\SLT\Release_For_LQA\Test_Build_1.0.0.19\Server CD\DBS\Setup"/>
    <s v="Pass"/>
    <x v="1"/>
    <m/>
    <m/>
    <m/>
    <s v="K.V. Krishnan"/>
    <x v="0"/>
  </r>
  <r>
    <x v="57"/>
    <x v="58"/>
    <n v="3"/>
    <x v="2"/>
    <n v="3"/>
    <s v="IT-LQA-UAT"/>
    <x v="0"/>
    <m/>
    <x v="2"/>
    <x v="0"/>
    <x v="0"/>
    <s v="DMDBS_SLT_2.0.0.20.1.108b2"/>
    <x v="0"/>
    <x v="44"/>
    <s v="\\192.168.3.3\Share\Releases\Projects\SLT\Release_For_IT\Test_Build_1.0.0.4\Server CD\DBS\Setup"/>
    <x v="0"/>
    <s v="\\192.168.3.3\Share\Releases\Projects\SLT\Release_For_LQA\Test_Build_1.0.0.19\Server CD\DBS\Setup"/>
    <s v="Pass"/>
    <x v="1"/>
    <m/>
    <m/>
    <m/>
    <s v="K.V. Krishnan"/>
    <x v="0"/>
  </r>
  <r>
    <x v="58"/>
    <x v="59"/>
    <n v="3"/>
    <x v="2"/>
    <n v="3"/>
    <s v="LQA"/>
    <x v="10"/>
    <m/>
    <x v="1"/>
    <x v="1"/>
    <x v="1"/>
    <s v="MPE_COM_3.2.5.0.2"/>
    <x v="0"/>
    <x v="43"/>
    <m/>
    <x v="0"/>
    <s v="\\192.168.3.3\share\Releases\Projects\Comcast\Release_for_Test\Test_Build_4.6.1\Server CD\MPE\Setup"/>
    <m/>
    <x v="1"/>
    <m/>
    <m/>
    <m/>
    <m/>
    <x v="1"/>
  </r>
  <r>
    <x v="58"/>
    <x v="59"/>
    <n v="3"/>
    <x v="2"/>
    <n v="3"/>
    <s v="IT-LQA"/>
    <x v="0"/>
    <m/>
    <x v="2"/>
    <x v="0"/>
    <x v="0"/>
    <s v="DMDBS_SLT_2.0.0.20.1.110b1"/>
    <x v="0"/>
    <x v="44"/>
    <s v="\\192.168.3.3\Share\Releases\Projects\SLT\Release_For_IT\Test_Build_1.0.0.4\Server CD\DBS\Setup"/>
    <x v="2"/>
    <s v="\\192.168.3.3\Share\Releases\Projects\SLT\Release_For_LQA\Test_Build_1.0.0.19\Server CD\DBS\Setup"/>
    <m/>
    <x v="1"/>
    <m/>
    <m/>
    <m/>
    <m/>
    <x v="2"/>
  </r>
  <r>
    <x v="58"/>
    <x v="59"/>
    <n v="3"/>
    <x v="2"/>
    <n v="3"/>
    <s v="IT-LQA"/>
    <x v="4"/>
    <m/>
    <x v="5"/>
    <x v="0"/>
    <x v="0"/>
    <s v="NMDBS_TLSTR_4.0.1.0.4.295b1"/>
    <x v="0"/>
    <x v="36"/>
    <s v="\\192.168.3.3\Share\Releases\Projects\Telstra\Release_For_IT\Test_Build_1.0.0.18\Server CD\DBS\Setup"/>
    <x v="2"/>
    <s v="\\192.168.3.3\Share\Releases\Projects\Telstra\Release_For_LQA\Test_Build_1.0.0.18\Server CD\DBS\Setup"/>
    <m/>
    <x v="1"/>
    <m/>
    <m/>
    <m/>
    <m/>
    <x v="2"/>
  </r>
  <r>
    <x v="58"/>
    <x v="59"/>
    <n v="3"/>
    <x v="2"/>
    <n v="3"/>
    <s v="LQA"/>
    <x v="10"/>
    <m/>
    <x v="1"/>
    <x v="1"/>
    <x v="0"/>
    <s v="MPE_COM_3.2.5.0.2.1b1"/>
    <x v="0"/>
    <x v="43"/>
    <m/>
    <x v="0"/>
    <s v="\\192.168.3.3\share\Releases\Projects\Comcast\Release_for_Test\Test_Build_4.6.1\Server CD\MPE\Setup"/>
    <m/>
    <x v="1"/>
    <m/>
    <m/>
    <m/>
    <m/>
    <x v="1"/>
  </r>
  <r>
    <x v="58"/>
    <x v="59"/>
    <n v="3"/>
    <x v="2"/>
    <n v="3"/>
    <s v="IT-LQA-AT"/>
    <x v="4"/>
    <m/>
    <x v="5"/>
    <x v="0"/>
    <x v="0"/>
    <s v="NMDBS_TLSTR_4.0.1.0.4.296b1"/>
    <x v="0"/>
    <x v="36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Abrar Khan"/>
    <x v="0"/>
  </r>
  <r>
    <x v="58"/>
    <x v="59"/>
    <n v="3"/>
    <x v="2"/>
    <n v="3"/>
    <s v="LQA"/>
    <x v="1"/>
    <m/>
    <x v="8"/>
    <x v="2"/>
    <x v="0"/>
    <s v="WWFSGUI_2.0.4.10b1"/>
    <x v="0"/>
    <x v="35"/>
    <m/>
    <x v="2"/>
    <s v="\\192.168.3.3\Share\Releases\Product\WEB_WFS\Build&amp;Release\Release For Test\TestBuild_2.0.4\Build4\ServerCD\GUI\Setup"/>
    <m/>
    <x v="1"/>
    <m/>
    <m/>
    <m/>
    <m/>
    <x v="2"/>
  </r>
  <r>
    <x v="58"/>
    <x v="59"/>
    <n v="3"/>
    <x v="2"/>
    <n v="3"/>
    <s v="LQA"/>
    <x v="1"/>
    <m/>
    <x v="4"/>
    <x v="4"/>
    <x v="1"/>
    <s v="RACS_2.5.5b4"/>
    <x v="0"/>
    <x v="42"/>
    <m/>
    <x v="2"/>
    <s v="\\192.168.3.3\Share\Releases\Product\RevMind_2.1\Build&amp;Release\Release_For_LQA\Test_Build_1.0.2\Server CD\GUI\CS\Setup"/>
    <m/>
    <x v="0"/>
    <m/>
    <m/>
    <m/>
    <m/>
    <x v="2"/>
  </r>
  <r>
    <x v="58"/>
    <x v="59"/>
    <n v="3"/>
    <x v="2"/>
    <n v="3"/>
    <s v="IT-LQA"/>
    <x v="0"/>
    <m/>
    <x v="2"/>
    <x v="0"/>
    <x v="0"/>
    <s v="DMDBS_SLT_2.0.0.20.1.110b2"/>
    <x v="0"/>
    <x v="44"/>
    <s v="\\192.168.3.3\Share\Releases\Projects\SLT\Release_For_IT\Test_Build_1.0.0.4\Server CD\DBS\Setup"/>
    <x v="2"/>
    <s v="\\192.168.3.3\Share\Releases\Projects\SLT\Release_For_LQA\Test_Build_1.0.0.19\Server CD\DBS\Setup"/>
    <m/>
    <x v="1"/>
    <m/>
    <m/>
    <m/>
    <m/>
    <x v="2"/>
  </r>
  <r>
    <x v="58"/>
    <x v="59"/>
    <n v="3"/>
    <x v="2"/>
    <n v="3"/>
    <s v="LQA"/>
    <x v="0"/>
    <m/>
    <x v="1"/>
    <x v="1"/>
    <x v="0"/>
    <s v="MPE_SLT-1B_3.0.1.1.1.57b1"/>
    <x v="0"/>
    <x v="10"/>
    <m/>
    <x v="2"/>
    <s v="\\192.168.3.3\Share\Releases\Projects\SLT-1B\Release_For_Test\Test_Build_1.0.0.1\Server CD\MPE\Setup"/>
    <m/>
    <x v="1"/>
    <m/>
    <m/>
    <m/>
    <m/>
    <x v="2"/>
  </r>
  <r>
    <x v="59"/>
    <x v="60"/>
    <n v="3"/>
    <x v="2"/>
    <n v="3"/>
    <s v="IT-LQA-UAT"/>
    <x v="4"/>
    <m/>
    <x v="5"/>
    <x v="0"/>
    <x v="0"/>
    <s v="NMDBS_TLSTR_4.0.1.0.4.294b1"/>
    <x v="0"/>
    <x v="36"/>
    <s v="\\192.168.3.3\Share\Releases\Projects\Telstra\Release_For_IT\Test_Build_1.0.0.18\Server CD\DBS\Setup"/>
    <x v="0"/>
    <s v="\\192.168.3.3\Share\Releases\Projects\Telstra\Release_For_LQA\Test_Build_1.0.0.18\Server CD\DBS\Setup"/>
    <s v="Pass"/>
    <x v="0"/>
    <m/>
    <m/>
    <m/>
    <s v="Gaurav Shukla"/>
    <x v="0"/>
  </r>
  <r>
    <x v="59"/>
    <x v="60"/>
    <n v="3"/>
    <x v="2"/>
    <n v="3"/>
    <s v="IT-LQA-FAT"/>
    <x v="0"/>
    <m/>
    <x v="2"/>
    <x v="0"/>
    <x v="0"/>
    <s v="DMDBS_SLT_2.0.0.20.1.111b1"/>
    <x v="0"/>
    <x v="44"/>
    <s v="\\192.168.3.3\Share\Releases\Projects\SLT\Release_For_IT\Test_Build_1.0.0.4\Server CD\DBS\Setup"/>
    <x v="0"/>
    <s v="\\192.168.3.3\Share\Releases\Projects\SLT\Release_For_LQA\Test_Build_1.0.0.19\Server CD\DBS\Setup"/>
    <s v="Pass"/>
    <x v="1"/>
    <m/>
    <m/>
    <m/>
    <s v="K.V. Krishnan"/>
    <x v="0"/>
  </r>
  <r>
    <x v="59"/>
    <x v="60"/>
    <n v="3"/>
    <x v="2"/>
    <n v="3"/>
    <s v="IT-LQA-FAT"/>
    <x v="0"/>
    <m/>
    <x v="4"/>
    <x v="0"/>
    <x v="0"/>
    <s v="RADBS_SLT_2.0.0.26.1.62b1"/>
    <x v="0"/>
    <x v="44"/>
    <s v="\\192.168.3.3\Share\Releases\Projects\SLT\Release_For_IT\Test_Build_1.0.0.4\Server CD\DBS\Setup"/>
    <x v="0"/>
    <s v="\\192.168.3.3\Share\Releases\Projects\SLT\Release_For_LQA\Test_Build_1.0.0.19\Server CD\DBS\Setup"/>
    <s v="Pass"/>
    <x v="1"/>
    <m/>
    <m/>
    <m/>
    <s v="K.V. Krishnan"/>
    <x v="0"/>
  </r>
  <r>
    <x v="59"/>
    <x v="60"/>
    <n v="3"/>
    <x v="2"/>
    <n v="3"/>
    <s v="IT-LQA-FAT"/>
    <x v="0"/>
    <m/>
    <x v="2"/>
    <x v="0"/>
    <x v="0"/>
    <s v="DMDBS_SLT_2.0.0.20.1.112b1"/>
    <x v="0"/>
    <x v="44"/>
    <s v="\\192.168.3.3\Share\Releases\Projects\SLT\Release_For_IT\Test_Build_1.0.0.4\Server CD\DBS\Setup"/>
    <x v="0"/>
    <s v="\\192.168.3.3\Share\Releases\Projects\SLT\Release_For_LQA\Test_Build_1.0.0.19\Server CD\DBS\Setup"/>
    <s v="Pass"/>
    <x v="0"/>
    <m/>
    <m/>
    <m/>
    <s v="K.V. Krishnan"/>
    <x v="0"/>
  </r>
  <r>
    <x v="59"/>
    <x v="60"/>
    <n v="3"/>
    <x v="2"/>
    <n v="3"/>
    <s v="IT-LQA-FAT"/>
    <x v="0"/>
    <m/>
    <x v="4"/>
    <x v="0"/>
    <x v="0"/>
    <s v="RADBS_SLT_2.0.0.26.1.63b1"/>
    <x v="0"/>
    <x v="44"/>
    <s v="\\192.168.3.3\Share\Releases\Projects\SLT\Release_For_IT\Test_Build_1.0.0.4\Server CD\DBS\Setup"/>
    <x v="0"/>
    <s v="\\192.168.3.3\Share\Releases\Projects\SLT\Release_For_LQA\Test_Build_1.0.0.19\Server CD\DBS\Setup"/>
    <s v="Pass"/>
    <x v="1"/>
    <m/>
    <m/>
    <m/>
    <s v="K.V. Krishnan"/>
    <x v="0"/>
  </r>
  <r>
    <x v="60"/>
    <x v="61"/>
    <n v="3"/>
    <x v="2"/>
    <n v="3"/>
    <s v="LQA-FAT"/>
    <x v="0"/>
    <m/>
    <x v="1"/>
    <x v="1"/>
    <x v="0"/>
    <s v="MPE_SLT-1B_3.0.1.1.1.57b2"/>
    <x v="0"/>
    <x v="10"/>
    <m/>
    <x v="0"/>
    <s v="\\192.168.3.3\Share\Releases\Projects\SLT-1B\Release_For_Test\Test_Build_1.0.0.1\Server CD\MPE\Setup"/>
    <s v="Pass"/>
    <x v="1"/>
    <m/>
    <m/>
    <m/>
    <s v="K.V. Krishnan"/>
    <x v="0"/>
  </r>
  <r>
    <x v="60"/>
    <x v="61"/>
    <n v="3"/>
    <x v="2"/>
    <n v="3"/>
    <s v="IT-LQA"/>
    <x v="8"/>
    <m/>
    <x v="5"/>
    <x v="0"/>
    <x v="0"/>
    <s v="NMDBS_TWC_4.6.1.11.3.35b1"/>
    <x v="0"/>
    <x v="19"/>
    <s v="\\192.168.3.3\Share\Releases\Projects\TWC\Release_For_IT\Test_Build_1.0.0.3\Server CD\DBS\Setup"/>
    <x v="2"/>
    <s v="\\192.168.3.3\Share\Releases\Projects\TWC\Release_For_Test\Test_Build_1.0.0.4\Server CD\DBS\Setup"/>
    <m/>
    <x v="1"/>
    <m/>
    <m/>
    <m/>
    <m/>
    <x v="2"/>
  </r>
  <r>
    <x v="60"/>
    <x v="61"/>
    <n v="3"/>
    <x v="2"/>
    <n v="3"/>
    <s v="IT-LQA-AT"/>
    <x v="4"/>
    <m/>
    <x v="5"/>
    <x v="0"/>
    <x v="0"/>
    <s v="NMDBS_TLSTR_4.0.1.0.4.295b2"/>
    <x v="0"/>
    <x v="36"/>
    <s v="\\192.168.3.3\Share\Releases\Projects\Telstra\Release_For_IT\Test_Build_1.0.0.18\Server CD\DBS\Setup"/>
    <x v="2"/>
    <s v="\\192.168.3.3\Share\Releases\Projects\Telstra\Release_For_LQA\Test_Build_1.0.0.18\Server CD\DBS\Setup"/>
    <s v="Pass"/>
    <x v="1"/>
    <m/>
    <m/>
    <m/>
    <s v="Abrar Khan"/>
    <x v="2"/>
  </r>
  <r>
    <x v="60"/>
    <x v="61"/>
    <n v="3"/>
    <x v="2"/>
    <n v="3"/>
    <s v="LQA"/>
    <x v="10"/>
    <m/>
    <x v="6"/>
    <x v="3"/>
    <x v="1"/>
    <s v="IM_COM_1.0.1.0.1"/>
    <x v="0"/>
    <x v="31"/>
    <m/>
    <x v="0"/>
    <s v="\\192.168.3.3\share\Releases\Projects\Comcast\Release_for_Test\Test_Build_4.6.1\Server CD\IM\Setup"/>
    <m/>
    <x v="1"/>
    <m/>
    <m/>
    <m/>
    <m/>
    <x v="1"/>
  </r>
  <r>
    <x v="60"/>
    <x v="61"/>
    <n v="3"/>
    <x v="2"/>
    <n v="3"/>
    <s v="IT-LQA"/>
    <x v="0"/>
    <m/>
    <x v="2"/>
    <x v="0"/>
    <x v="0"/>
    <s v="DMDBS_SLT_2.0.0.20.1.110b3"/>
    <x v="0"/>
    <x v="44"/>
    <s v="\\192.168.3.3\Share\Releases\Projects\SLT\Release_For_IT\Test_Build_1.0.0.4\Server CD\DBS\Setup"/>
    <x v="0"/>
    <s v="\\192.168.3.3\Share\Releases\Projects\SLT\Release_For_LQA\Test_Build_1.0.0.19\Server CD\DBS\Setup"/>
    <s v="Pass"/>
    <x v="1"/>
    <m/>
    <m/>
    <m/>
    <m/>
    <x v="0"/>
  </r>
  <r>
    <x v="61"/>
    <x v="62"/>
    <n v="3"/>
    <x v="2"/>
    <n v="3"/>
    <s v="LQA-FAT"/>
    <x v="0"/>
    <m/>
    <x v="1"/>
    <x v="1"/>
    <x v="0"/>
    <s v="MPE_SLT-1B_3.0.1.1.1.58b1"/>
    <x v="0"/>
    <x v="10"/>
    <m/>
    <x v="0"/>
    <s v="\\192.168.3.3\Share\Releases\Projects\SLT-1B\Release_For_Test\Test_Build_1.0.0.1\Server CD\MPE\Setup"/>
    <s v="Pass"/>
    <x v="1"/>
    <m/>
    <m/>
    <m/>
    <s v="K.V. Krishnan"/>
    <x v="0"/>
  </r>
  <r>
    <x v="61"/>
    <x v="62"/>
    <n v="3"/>
    <x v="2"/>
    <n v="3"/>
    <s v="IT-LQA-FAT"/>
    <x v="16"/>
    <m/>
    <x v="5"/>
    <x v="9"/>
    <x v="0"/>
    <s v="NMHM_TLN_4.0.5"/>
    <x v="0"/>
    <x v="47"/>
    <s v="\\192.168.3.3\Share\Releases\Projects\Telenet\Build&amp;Release\Release For IT\Test_Build_4.0.41\Client CD\GUI\Hotlist Manager\Setup"/>
    <x v="0"/>
    <s v="\\192.168.3.3\Share\Releases\Projects\Telenet\Build&amp;Release\Release For Test\Test_Build_4.0.41\Client CD\GUI\Hotlist Manager\Setup"/>
    <s v="Pass"/>
    <x v="1"/>
    <m/>
    <m/>
    <m/>
    <s v="Vijay Singh Daagar"/>
    <x v="0"/>
  </r>
  <r>
    <x v="61"/>
    <x v="62"/>
    <n v="3"/>
    <x v="2"/>
    <n v="3"/>
    <s v="IT-LQA-FAT"/>
    <x v="16"/>
    <m/>
    <x v="5"/>
    <x v="4"/>
    <x v="0"/>
    <s v="NMCS_TLN_4.0.6"/>
    <x v="0"/>
    <x v="47"/>
    <s v="\\192.168.3.3\Share\Releases\Projects\Telenet\Build&amp;Release\Release For IT\Test_Build_4.0.41\Client CD\GUI\Configuration System\Setup"/>
    <x v="0"/>
    <s v="\\192.168.3.3\Share\Releases\Projects\Telenet\Build&amp;Release\Release For Test\Test_Build_4.0.41\Client CD\GUI\Configuration System\Setup"/>
    <s v="Pass"/>
    <x v="1"/>
    <m/>
    <m/>
    <m/>
    <s v="Vijay Singh Daagar"/>
    <x v="0"/>
  </r>
  <r>
    <x v="61"/>
    <x v="62"/>
    <n v="3"/>
    <x v="2"/>
    <n v="3"/>
    <s v="LQA"/>
    <x v="1"/>
    <m/>
    <x v="8"/>
    <x v="2"/>
    <x v="1"/>
    <s v="WWFSGUI_2.2.1b2 "/>
    <x v="0"/>
    <x v="40"/>
    <m/>
    <x v="0"/>
    <s v="\\192.168.3.3\Share\Releases\Product\WEB_WFS\Build&amp;Release\Release For Test\TestBuild_2.2.1\Build2\ServerCD\GUI\Setup"/>
    <m/>
    <x v="0"/>
    <m/>
    <m/>
    <m/>
    <m/>
    <x v="1"/>
  </r>
  <r>
    <x v="62"/>
    <x v="55"/>
    <n v="3"/>
    <x v="2"/>
    <n v="3"/>
    <s v="IT-LQA"/>
    <x v="0"/>
    <m/>
    <x v="2"/>
    <x v="0"/>
    <x v="0"/>
    <s v="DMDBS_SLT_2.0.0.20.1.115b1"/>
    <x v="0"/>
    <x v="25"/>
    <s v="\\192.168.3.3\Share\Releases\Projects\SLT\Release_For_IT\Test_Build_1.0.0.4\Server CD\DBS\Setup"/>
    <x v="2"/>
    <s v="\\192.168.3.3\Share\Releases\Projects\SLT\Release_For_LQA\Test_Build_1.0.0.19\Server CD\DBS\Setup"/>
    <m/>
    <x v="1"/>
    <m/>
    <m/>
    <m/>
    <m/>
    <x v="2"/>
  </r>
  <r>
    <x v="62"/>
    <x v="55"/>
    <n v="3"/>
    <x v="2"/>
    <n v="3"/>
    <s v="IT-LQA"/>
    <x v="10"/>
    <m/>
    <x v="5"/>
    <x v="6"/>
    <x v="0"/>
    <s v="NMUTLMIG1_COM_1.0.0.0.4"/>
    <x v="0"/>
    <x v="7"/>
    <s v="\\192.168.3.3\Share\Releases\Projects\Comcast\Release_For_IT\Test_Build_4.6.1\Utility\Setup"/>
    <x v="2"/>
    <s v="\\192.168.3.3\Share\Releases\Projects\Comcast\Release_for_Test\Test_Build_4.6.1\Utility\Setup"/>
    <m/>
    <x v="1"/>
    <m/>
    <m/>
    <m/>
    <m/>
    <x v="2"/>
  </r>
  <r>
    <x v="62"/>
    <x v="55"/>
    <n v="3"/>
    <x v="2"/>
    <n v="3"/>
    <s v="IT-LQA"/>
    <x v="10"/>
    <m/>
    <x v="5"/>
    <x v="6"/>
    <x v="0"/>
    <s v="MUTLMIG3_COM_1.0.0.0.4"/>
    <x v="0"/>
    <x v="7"/>
    <s v="\\192.168.3.3\Share\Releases\Projects\Comcast\Release_For_IT\Test_Build_4.6.1\Utility\Setup"/>
    <x v="0"/>
    <s v="\\192.168.3.3\Share\Releases\Projects\Comcast\Release_for_Test\Test_Build_4.6.1\Utility\Setup"/>
    <m/>
    <x v="1"/>
    <m/>
    <m/>
    <m/>
    <m/>
    <x v="1"/>
  </r>
  <r>
    <x v="63"/>
    <x v="63"/>
    <n v="3"/>
    <x v="2"/>
    <n v="3"/>
    <s v="IT-LQA-UAT"/>
    <x v="3"/>
    <m/>
    <x v="5"/>
    <x v="0"/>
    <x v="0"/>
    <s v="NMDBS_OBT_4.6.1.16.1.21b1"/>
    <x v="0"/>
    <x v="4"/>
    <s v="\\192.168.3.3\Share\Releases\Projects\OBT\Release_For_IT\TestBuild_1.0.0.2\Server CD\DBS\Setup"/>
    <x v="0"/>
    <s v="\\192.168.3.3\Share\Releases\Projects\OBT\Release_For_LQA\TestBuild_1.0.0.4\Server CD\DBS\Setup"/>
    <s v="Pass"/>
    <x v="1"/>
    <m/>
    <m/>
    <m/>
    <s v="Tushar Tyagi"/>
    <x v="0"/>
  </r>
  <r>
    <x v="63"/>
    <x v="63"/>
    <n v="3"/>
    <x v="2"/>
    <n v="3"/>
    <s v="LQA"/>
    <x v="1"/>
    <m/>
    <x v="1"/>
    <x v="1"/>
    <x v="0"/>
    <s v="MPE_3.2.5.2b1"/>
    <x v="0"/>
    <x v="6"/>
    <m/>
    <x v="0"/>
    <s v="\\192.168.3.3\Share\Releases\Product\MPE_GUI\ReleaseForLQA\TestBuild_1.0.0.2\Server CD\MPE\Setup"/>
    <m/>
    <x v="1"/>
    <m/>
    <m/>
    <m/>
    <m/>
    <x v="1"/>
  </r>
  <r>
    <x v="63"/>
    <x v="63"/>
    <n v="3"/>
    <x v="2"/>
    <n v="3"/>
    <s v="LQA"/>
    <x v="13"/>
    <m/>
    <x v="1"/>
    <x v="1"/>
    <x v="0"/>
    <s v="MPE_NM46_3.2.5.1.1.4b1"/>
    <x v="0"/>
    <x v="6"/>
    <m/>
    <x v="0"/>
    <s v="\\192.168.3.3\Share\Releases\Projects\NM46\Release_For_Test\Test_Build_1.0.0.1\Server CD\MPE\Setup"/>
    <m/>
    <x v="1"/>
    <m/>
    <m/>
    <m/>
    <m/>
    <x v="1"/>
  </r>
  <r>
    <x v="63"/>
    <x v="64"/>
    <n v="3"/>
    <x v="2"/>
    <n v="3"/>
    <s v="IT-LQA"/>
    <x v="1"/>
    <m/>
    <x v="0"/>
    <x v="0"/>
    <x v="0"/>
    <s v="REDBS_1.0.1.20b1"/>
    <x v="0"/>
    <x v="0"/>
    <s v="\\192.168.3.3\Share\Releases\Product\RE_1.0\ReleaseForIT\TestBuild_1.0.1\DBS\Build4\Setup"/>
    <x v="0"/>
    <s v="\\192.168.3.3\Share\Releases\Product\RE_1.0\ReleaseForLQA\TestBuild_1.0.1\DBS\Build4\Setup"/>
    <m/>
    <x v="1"/>
    <m/>
    <m/>
    <m/>
    <m/>
    <x v="1"/>
  </r>
  <r>
    <x v="64"/>
    <x v="64"/>
    <n v="3"/>
    <x v="2"/>
    <n v="3"/>
    <s v="IT-LQA-AT"/>
    <x v="4"/>
    <m/>
    <x v="5"/>
    <x v="0"/>
    <x v="0"/>
    <s v="NMDBS_TLSTR_4.0.1.0.4.297b1 "/>
    <x v="0"/>
    <x v="36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Abrar Khan"/>
    <x v="0"/>
  </r>
  <r>
    <x v="64"/>
    <x v="65"/>
    <n v="3"/>
    <x v="2"/>
    <n v="4"/>
    <s v="IT-LQA"/>
    <x v="3"/>
    <m/>
    <x v="5"/>
    <x v="0"/>
    <x v="0"/>
    <s v="NMDBS_OBT_4.6.1.16.1.22b1"/>
    <x v="0"/>
    <x v="4"/>
    <s v="\\192.168.3.3\Share\Releases\Projects\OBT\Release_For_IT\TestBuild_1.0.0.2\Server CD\DBS\Setup"/>
    <x v="0"/>
    <s v="\\192.168.3.3\Share\Releases\Projects\OBT\Release_For_LQA\TestBuild_1.0.0.4\Server CD\DBS\Setup"/>
    <s v="Pass"/>
    <x v="0"/>
    <m/>
    <m/>
    <m/>
    <m/>
    <x v="0"/>
  </r>
  <r>
    <x v="64"/>
    <x v="65"/>
    <n v="3"/>
    <x v="2"/>
    <n v="4"/>
    <s v="IT-LQA"/>
    <x v="3"/>
    <m/>
    <x v="5"/>
    <x v="0"/>
    <x v="0"/>
    <s v="NMDBS_OBT_4.6.1.16.1.23b1"/>
    <x v="0"/>
    <x v="4"/>
    <s v="\\192.168.3.3\Share\Releases\Projects\OBT\Release_For_IT\TestBuild_1.0.0.2\Server CD\DBS\Setup"/>
    <x v="0"/>
    <s v="\\192.168.3.3\Share\Releases\Projects\OBT\Release_For_LQA\TestBuild_1.0.0.4\Server CD\DBS\Setup"/>
    <s v="Pass"/>
    <x v="0"/>
    <m/>
    <m/>
    <m/>
    <m/>
    <x v="0"/>
  </r>
  <r>
    <x v="64"/>
    <x v="65"/>
    <n v="3"/>
    <x v="2"/>
    <n v="4"/>
    <s v="IT-LQA"/>
    <x v="3"/>
    <m/>
    <x v="5"/>
    <x v="0"/>
    <x v="0"/>
    <s v="NMDBS_OBT_4.6.1.16.1.24b1"/>
    <x v="0"/>
    <x v="4"/>
    <s v="\\192.168.3.3\Share\Releases\Projects\OBT\Release_For_IT\TestBuild_1.0.0.2\Server CD\DBS\Setup"/>
    <x v="0"/>
    <s v="\\192.168.3.3\Share\Releases\Projects\OBT\Release_For_LQA\TestBuild_1.0.0.4\Server CD\DBS\Setup"/>
    <s v="Pass"/>
    <x v="0"/>
    <m/>
    <m/>
    <m/>
    <m/>
    <x v="0"/>
  </r>
  <r>
    <x v="64"/>
    <x v="65"/>
    <n v="3"/>
    <x v="2"/>
    <n v="4"/>
    <s v="IT-LQA"/>
    <x v="3"/>
    <m/>
    <x v="5"/>
    <x v="0"/>
    <x v="0"/>
    <s v="NMDBS_OBT_4.6.1.16.1.25b1"/>
    <x v="0"/>
    <x v="4"/>
    <s v="\\192.168.3.3\Share\Releases\Projects\OBT\Release_For_IT\TestBuild_1.0.0.2\Server CD\DBS\Setup"/>
    <x v="0"/>
    <s v="\\192.168.3.3\Share\Releases\Projects\OBT\Release_For_LQA\TestBuild_1.0.0.4\Server CD\DBS\Setup"/>
    <s v="Pass"/>
    <x v="1"/>
    <m/>
    <m/>
    <m/>
    <m/>
    <x v="0"/>
  </r>
  <r>
    <x v="64"/>
    <x v="65"/>
    <n v="3"/>
    <x v="2"/>
    <n v="4"/>
    <s v="IT-LQA"/>
    <x v="3"/>
    <m/>
    <x v="5"/>
    <x v="0"/>
    <x v="0"/>
    <s v="NMDBS_OBT_4.6.1.16.1.26b1"/>
    <x v="0"/>
    <x v="4"/>
    <s v="\\192.168.3.3\Share\Releases\Projects\OBT\Release_For_IT\TestBuild_1.0.0.2\Server CD\DBS\Setup"/>
    <x v="0"/>
    <s v="\\192.168.3.3\Share\Releases\Projects\OBT\Release_For_LQA\TestBuild_1.0.0.4\Server CD\DBS\Setup"/>
    <s v="Pass"/>
    <x v="1"/>
    <m/>
    <m/>
    <m/>
    <m/>
    <x v="0"/>
  </r>
  <r>
    <x v="64"/>
    <x v="65"/>
    <n v="3"/>
    <x v="2"/>
    <n v="4"/>
    <s v="IT-LQA"/>
    <x v="3"/>
    <m/>
    <x v="5"/>
    <x v="0"/>
    <x v="0"/>
    <s v="NMDBS_OBT_4.6.1.16.1.27b1"/>
    <x v="0"/>
    <x v="4"/>
    <s v="\\192.168.3.3\Share\Releases\Projects\OBT\Release_For_IT\TestBuild_1.0.0.2\Server CD\DBS\Setup"/>
    <x v="0"/>
    <s v="\\192.168.3.3\Share\Releases\Projects\OBT\Release_For_LQA\TestBuild_1.0.0.4\Server CD\DBS\Setup"/>
    <s v="Pass"/>
    <x v="1"/>
    <m/>
    <m/>
    <m/>
    <m/>
    <x v="0"/>
  </r>
  <r>
    <x v="64"/>
    <x v="65"/>
    <n v="3"/>
    <x v="2"/>
    <n v="4"/>
    <s v="IT-LQA"/>
    <x v="3"/>
    <m/>
    <x v="5"/>
    <x v="0"/>
    <x v="0"/>
    <s v="NMDBS_OBT_4.6.1.16.1.28b1"/>
    <x v="0"/>
    <x v="4"/>
    <s v="\\192.168.3.3\Share\Releases\Projects\OBT\Release_For_IT\TestBuild_1.0.0.2\Server CD\DBS\Setup"/>
    <x v="0"/>
    <s v="\\192.168.3.3\Share\Releases\Projects\OBT\Release_For_LQA\TestBuild_1.0.0.4\Server CD\DBS\Setup"/>
    <s v="Pass"/>
    <x v="0"/>
    <m/>
    <m/>
    <m/>
    <m/>
    <x v="0"/>
  </r>
  <r>
    <x v="64"/>
    <x v="64"/>
    <n v="3"/>
    <x v="2"/>
    <n v="3"/>
    <s v="IT-LQA-UAT"/>
    <x v="1"/>
    <m/>
    <x v="9"/>
    <x v="0"/>
    <x v="0"/>
    <s v="NPDBS_1.2.3.6b1"/>
    <x v="0"/>
    <x v="23"/>
    <s v="\\192.168.3.3\share\Releases\Product\NetMindPOS_1.1\Build&amp;Release\Release for IT\TestBuild_1.2.3\Server CD\DBS\Setup"/>
    <x v="0"/>
    <s v="\\192.168.3.3\share\Releases\Product\NetMindPOS_1.1\Build&amp;Release\Release for LQA\TestBuild_1.2.3\Server CD\DBS\Setup"/>
    <s v="Pass"/>
    <x v="1"/>
    <m/>
    <m/>
    <m/>
    <s v="Abhishek Leekha"/>
    <x v="0"/>
  </r>
  <r>
    <x v="64"/>
    <x v="64"/>
    <n v="3"/>
    <x v="2"/>
    <n v="3"/>
    <s v="IT-LQA"/>
    <x v="10"/>
    <m/>
    <x v="9"/>
    <x v="0"/>
    <x v="0"/>
    <s v="NPDBS_COM_1.2.3.2.1.4b1"/>
    <x v="0"/>
    <x v="23"/>
    <s v="\\192.168.3.3\Share\Releases\Projects\Comcast\Release_For_IT\Test_Build_4.6.1\Server CD\Database\Setup"/>
    <x v="2"/>
    <s v="\\192.168.3.3\Share\Releases\Projects\Comcast\Release_for_Test\Test_Build_4.6.1\Server CD\Database\Setup"/>
    <m/>
    <x v="1"/>
    <m/>
    <m/>
    <m/>
    <m/>
    <x v="2"/>
  </r>
  <r>
    <x v="64"/>
    <x v="66"/>
    <n v="3"/>
    <x v="2"/>
    <n v="3"/>
    <s v="IT-LQA"/>
    <x v="10"/>
    <m/>
    <x v="5"/>
    <x v="0"/>
    <x v="0"/>
    <s v="NMDBS_COM_4.6.1.16.1.6b1"/>
    <x v="0"/>
    <x v="39"/>
    <s v="\\192.168.3.3\Share\Releases\Projects\Comcast\Release_For_IT\Test_Build_4.6.1\Server CD\Database\Setup"/>
    <x v="2"/>
    <s v="\\192.168.3.3\Share\Releases\Projects\Comcast\Release_for_Test\Test_Build_4.6.1\Server CD\Database\Setup"/>
    <m/>
    <x v="1"/>
    <m/>
    <m/>
    <m/>
    <m/>
    <x v="2"/>
  </r>
  <r>
    <x v="64"/>
    <x v="64"/>
    <n v="3"/>
    <x v="2"/>
    <n v="3"/>
    <s v="LQA-FAT"/>
    <x v="3"/>
    <m/>
    <x v="8"/>
    <x v="2"/>
    <x v="0"/>
    <s v="WWFSGUI_OBT_2.1.21.2.2.4b1"/>
    <x v="0"/>
    <x v="33"/>
    <m/>
    <x v="0"/>
    <s v="\\192.168.3.3\Share\Releases\Projects\OBT\Release_For_LQA\TestBuild_1.0.0.4\Server CD\GUI\Setup"/>
    <s v="Pass"/>
    <x v="1"/>
    <m/>
    <m/>
    <m/>
    <s v="Mamta Bora"/>
    <x v="0"/>
  </r>
  <r>
    <x v="64"/>
    <x v="64"/>
    <n v="3"/>
    <x v="2"/>
    <n v="3"/>
    <s v="LQA"/>
    <x v="1"/>
    <m/>
    <x v="8"/>
    <x v="2"/>
    <x v="0"/>
    <s v="WWFSGUI_2.1.21.3b1"/>
    <x v="0"/>
    <x v="33"/>
    <m/>
    <x v="0"/>
    <s v="\\192.168.3.3\Share\Releases\Product\WEB_WFS\Build&amp;Release\Release For Test\TestBuild_2.1.21\Build1\ServerCD\GUI\Setup"/>
    <m/>
    <x v="1"/>
    <m/>
    <m/>
    <m/>
    <m/>
    <x v="1"/>
  </r>
  <r>
    <x v="64"/>
    <x v="64"/>
    <n v="3"/>
    <x v="2"/>
    <n v="3"/>
    <s v="LQA"/>
    <x v="4"/>
    <m/>
    <x v="1"/>
    <x v="1"/>
    <x v="0"/>
    <s v="MPE_TLSTR-2b_3.0.0.3.1.91b1"/>
    <x v="0"/>
    <x v="11"/>
    <m/>
    <x v="0"/>
    <s v="\\192.168.3.3\Share\Releases\Projects\Telstra-2b\Release_For_Test\Test_Build_1.0.0.1\Server CD\MPE\Setup"/>
    <m/>
    <x v="1"/>
    <m/>
    <m/>
    <m/>
    <m/>
    <x v="1"/>
  </r>
  <r>
    <x v="64"/>
    <x v="64"/>
    <n v="3"/>
    <x v="2"/>
    <n v="3"/>
    <s v="IT-LQA-FAT"/>
    <x v="0"/>
    <m/>
    <x v="2"/>
    <x v="0"/>
    <x v="0"/>
    <s v="DMDBS_SLT_2.0.0.20.1.116b1"/>
    <x v="0"/>
    <x v="44"/>
    <s v="\\192.168.3.3\Share\Releases\Projects\SLT\Release_For_IT\Test_Build_1.0.0.4\Server CD\DBS\Setup"/>
    <x v="0"/>
    <s v="\\192.168.3.3\Share\Releases\Projects\SLT\Release_For_LQA\Test_Build_1.0.0.19\Server CD\DBS\Setup"/>
    <s v="Pass"/>
    <x v="1"/>
    <m/>
    <m/>
    <m/>
    <s v="K.V. Krishnan"/>
    <x v="0"/>
  </r>
  <r>
    <x v="65"/>
    <x v="66"/>
    <n v="3"/>
    <x v="2"/>
    <n v="3"/>
    <s v="LQA-FAT"/>
    <x v="0"/>
    <m/>
    <x v="1"/>
    <x v="1"/>
    <x v="0"/>
    <s v="MPE_SLT-1B_3.0.1.1.1.59b1"/>
    <x v="0"/>
    <x v="10"/>
    <m/>
    <x v="0"/>
    <s v="\\192.168.3.3\Share\Releases\Projects\SLT-1B\Release_For_Test\Test_Build_1.0.0.1\Server CD\MPE\Setup"/>
    <s v="Pass"/>
    <x v="1"/>
    <m/>
    <m/>
    <m/>
    <s v="K.V. Krishnan"/>
    <x v="0"/>
  </r>
  <r>
    <x v="65"/>
    <x v="66"/>
    <n v="3"/>
    <x v="2"/>
    <n v="3"/>
    <s v="IT-LQA"/>
    <x v="10"/>
    <m/>
    <x v="5"/>
    <x v="0"/>
    <x v="0"/>
    <s v="NMDBS_COM_4.6.1.16.1.8b1"/>
    <x v="0"/>
    <x v="7"/>
    <s v="\\192.168.3.3\Share\Releases\Projects\Comcast\Release_For_IT\Test_Build_4.6.1\Server CD\Database\Setup"/>
    <x v="0"/>
    <s v="\\192.168.3.3\Share\Releases\Projects\Comcast\Release_for_Test\Test_Build_4.6.1\Server CD\Database\Setup"/>
    <s v="Pass"/>
    <x v="1"/>
    <m/>
    <m/>
    <m/>
    <m/>
    <x v="0"/>
  </r>
  <r>
    <x v="65"/>
    <x v="66"/>
    <n v="3"/>
    <x v="2"/>
    <n v="3"/>
    <s v="IT-LQA"/>
    <x v="0"/>
    <m/>
    <x v="7"/>
    <x v="0"/>
    <x v="0"/>
    <s v="RTDBS_SLT_3.0.0.20.1.4b1"/>
    <x v="0"/>
    <x v="25"/>
    <s v="\\192.168.3.3\Share\Releases\Projects\SLT\Release_For_IT\Test_Build_1.0.0.4\Server CD\DBS\Setup "/>
    <x v="2"/>
    <s v="\\192.168.3.3\Share\Releases\Projects\SLT\Release_For_LQA\Test_Build_1.0.0.19\Server CD\DBS\Setup"/>
    <m/>
    <x v="1"/>
    <m/>
    <m/>
    <m/>
    <m/>
    <x v="2"/>
  </r>
  <r>
    <x v="65"/>
    <x v="66"/>
    <n v="3"/>
    <x v="2"/>
    <n v="3"/>
    <s v="IT-LQA"/>
    <x v="0"/>
    <m/>
    <x v="7"/>
    <x v="0"/>
    <x v="0"/>
    <s v="RTDBS_SLT_3.0.0.20.1.5b1"/>
    <x v="0"/>
    <x v="25"/>
    <s v="\\192.168.3.3\Share\Releases\Projects\SLT\Release_For_IT\Test_Build_1.0.0.4\Server CD\DBS\Setup "/>
    <x v="2"/>
    <s v="\\192.168.3.3\Share\Releases\Projects\SLT\Release_For_LQA\Test_Build_1.0.0.19\Server CD\DBS\Setup"/>
    <m/>
    <x v="1"/>
    <m/>
    <m/>
    <m/>
    <m/>
    <x v="2"/>
  </r>
  <r>
    <x v="65"/>
    <x v="66"/>
    <n v="3"/>
    <x v="2"/>
    <n v="3"/>
    <s v="LQA"/>
    <x v="0"/>
    <m/>
    <x v="0"/>
    <x v="2"/>
    <x v="1"/>
    <s v="REGUI_SLT_1.0.7.0.1"/>
    <x v="0"/>
    <x v="48"/>
    <m/>
    <x v="0"/>
    <s v="\\192.168.3.3\Share\Releases\Projects\SLT\Release_For_LQA\Test_Build_1.0.0.20\Server CD\GUI\Setup"/>
    <m/>
    <x v="1"/>
    <m/>
    <m/>
    <m/>
    <m/>
    <x v="1"/>
  </r>
  <r>
    <x v="65"/>
    <x v="66"/>
    <n v="3"/>
    <x v="2"/>
    <n v="3"/>
    <s v="IT-LQA-UAT"/>
    <x v="0"/>
    <m/>
    <x v="5"/>
    <x v="0"/>
    <x v="0"/>
    <s v="NMDBS_SLT_4.0.2.0.1.16b1"/>
    <x v="0"/>
    <x v="44"/>
    <s v="\\192.168.3.3\Share\Releases\Projects\SLT\Release_For_IT\Test_Build_1.0.0.4\Server CD\DBS\Setup"/>
    <x v="0"/>
    <s v="\\192.168.3.3\Share\Releases\Projects\SLT\Release_For_LQA\Test_Build_1.0.0.20\Server CD\DBS\Setup"/>
    <s v="Pass"/>
    <x v="1"/>
    <m/>
    <m/>
    <m/>
    <s v="K.V. Krishnan"/>
    <x v="0"/>
  </r>
  <r>
    <x v="66"/>
    <x v="67"/>
    <n v="4"/>
    <x v="3"/>
    <n v="4"/>
    <s v="LQA-AT"/>
    <x v="1"/>
    <m/>
    <x v="8"/>
    <x v="2"/>
    <x v="0"/>
    <s v="WWFSGUI_2.0.4.10b2"/>
    <x v="0"/>
    <x v="35"/>
    <m/>
    <x v="0"/>
    <s v="\\192.168.3.3\Share\Releases\Product\WEB_WFS\Build&amp;Release\Release For Test\TestBuild_2.0.4\Build4\ServerCD\GUI\Setup"/>
    <s v="Pass"/>
    <x v="1"/>
    <m/>
    <m/>
    <m/>
    <s v="Gaurav Shukla"/>
    <x v="0"/>
  </r>
  <r>
    <x v="66"/>
    <x v="67"/>
    <n v="4"/>
    <x v="3"/>
    <n v="4"/>
    <s v="IT-LQA-UAT"/>
    <x v="8"/>
    <m/>
    <x v="5"/>
    <x v="0"/>
    <x v="0"/>
    <s v="NMDBS_TWC_4.6.1.11.3.35b2"/>
    <x v="0"/>
    <x v="19"/>
    <s v="\\192.168.3.3\Share\Releases\Projects\TWC\Release_For_IT\Test_Build_1.0.0.3\Server CD\DBS\Setup"/>
    <x v="0"/>
    <s v="\\192.168.3.3\Share\Releases\Projects\TWC\Release_For_Test\Test_Build_1.0.0.4\Server CD\DBS\Setup"/>
    <s v="Pass"/>
    <x v="0"/>
    <m/>
    <m/>
    <m/>
    <s v="Sumit Gomber"/>
    <x v="0"/>
  </r>
  <r>
    <x v="67"/>
    <x v="68"/>
    <n v="4"/>
    <x v="3"/>
    <n v="4"/>
    <s v="IT-LQA"/>
    <x v="2"/>
    <m/>
    <x v="3"/>
    <x v="0"/>
    <x v="0"/>
    <s v="RMDBS_SHAW_2.0.1.0.1.44b1"/>
    <x v="0"/>
    <x v="3"/>
    <s v="\\192.168.3.3\Share\Releases\Projects\SHAW\Release_For_IT\Test_Build_1.0.0.27\Server CD\DBS\Setup"/>
    <x v="0"/>
    <s v="\\192.168.3.3\Share\Releases\Projects\SHAW\Release_For_LQA\Test_Build_1.0.0.28\Server CD\DBS\Setup"/>
    <m/>
    <x v="1"/>
    <m/>
    <m/>
    <m/>
    <m/>
    <x v="1"/>
  </r>
  <r>
    <x v="67"/>
    <x v="68"/>
    <n v="4"/>
    <x v="3"/>
    <n v="4"/>
    <s v="IT-LQA-AT"/>
    <x v="4"/>
    <m/>
    <x v="5"/>
    <x v="0"/>
    <x v="0"/>
    <s v="NMDBS_TLSTR_4.0.1.0.4.298b1"/>
    <x v="0"/>
    <x v="36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Abrar Khan"/>
    <x v="0"/>
  </r>
  <r>
    <x v="67"/>
    <x v="68"/>
    <n v="4"/>
    <x v="3"/>
    <n v="4"/>
    <s v="LQA-FAT"/>
    <x v="0"/>
    <m/>
    <x v="1"/>
    <x v="1"/>
    <x v="0"/>
    <s v="MPE_SLT-1B_3.0.1.1.1.60b1"/>
    <x v="0"/>
    <x v="10"/>
    <m/>
    <x v="0"/>
    <s v="\\192.168.3.3\Share\Releases\Projects\SLT-1B\Release_For_Test\Test_Build_1.0.0.1\Server CD\MPE\Setup"/>
    <s v="Pass"/>
    <x v="1"/>
    <m/>
    <m/>
    <m/>
    <s v="K.V. Krishnan"/>
    <x v="0"/>
  </r>
  <r>
    <x v="67"/>
    <x v="68"/>
    <n v="4"/>
    <x v="3"/>
    <n v="4"/>
    <s v="IT-LQA"/>
    <x v="10"/>
    <m/>
    <x v="9"/>
    <x v="0"/>
    <x v="0"/>
    <s v="NPDBS_COM_1.2.3.2.1.4b2"/>
    <x v="0"/>
    <x v="23"/>
    <s v="\\192.168.3.3\Share\Releases\Projects\Comcast\Release_For_IT\Test_Build_4.6.1\Server CD\Database\Setup"/>
    <x v="2"/>
    <s v="\\192.168.3.3\Share\Releases\Projects\Comcast\Release_for_Test\Test_Build_4.6.1\Server CD\Database\Setup"/>
    <m/>
    <x v="1"/>
    <m/>
    <m/>
    <m/>
    <m/>
    <x v="2"/>
  </r>
  <r>
    <x v="67"/>
    <x v="68"/>
    <n v="4"/>
    <x v="3"/>
    <n v="4"/>
    <s v="IT-LQA"/>
    <x v="10"/>
    <m/>
    <x v="9"/>
    <x v="0"/>
    <x v="0"/>
    <s v="NMDBS_COM_4.6.1.16.1.6b2"/>
    <x v="0"/>
    <x v="39"/>
    <s v="\\192.168.3.3\Share\Releases\Projects\Comcast\Release_For_IT\Test_Build_4.6.1\Server CD\Database\Setup"/>
    <x v="0"/>
    <s v="\\192.168.3.3\Share\Releases\Projects\Comcast\Release_for_Test\Test_Build_4.6.1\Server CD\Database\Setup"/>
    <s v="Pass"/>
    <x v="1"/>
    <m/>
    <m/>
    <m/>
    <m/>
    <x v="0"/>
  </r>
  <r>
    <x v="68"/>
    <x v="69"/>
    <n v="4"/>
    <x v="3"/>
    <n v="4"/>
    <s v="IT-LQA"/>
    <x v="10"/>
    <m/>
    <x v="5"/>
    <x v="0"/>
    <x v="0"/>
    <s v="NMDBS_COM_4.6.1.16.1.9b1"/>
    <x v="0"/>
    <x v="39"/>
    <s v="\\192.168.3.3\Share\Releases\Projects\Comcast\Release_For_IT\Test_Build_4.6.1\Server CD\Database\Setup"/>
    <x v="0"/>
    <s v="\\192.168.3.3\Share\Releases\Projects\Comcast\Release_for_Test\Test_Build_4.6.1\Server CD\Database\Setup"/>
    <s v="Pass"/>
    <x v="1"/>
    <m/>
    <m/>
    <m/>
    <m/>
    <x v="0"/>
  </r>
  <r>
    <x v="68"/>
    <x v="69"/>
    <n v="4"/>
    <x v="3"/>
    <n v="4"/>
    <s v="IT-LQA"/>
    <x v="10"/>
    <m/>
    <x v="5"/>
    <x v="0"/>
    <x v="0"/>
    <s v="NPDBS_COM_1.2.3.2.1.5b1       "/>
    <x v="0"/>
    <x v="39"/>
    <s v="\\192.168.3.3\Share\Releases\Projects\Comcast\Release_For_IT\Test_Build_4.6.1\Server CD\Database\Setup"/>
    <x v="0"/>
    <s v="\\192.168.3.3\Share\Releases\Projects\Comcast\Release_for_Test\Test_Build_4.6.1\Server CD\Database\Setup"/>
    <s v="Pass"/>
    <x v="1"/>
    <m/>
    <m/>
    <m/>
    <m/>
    <x v="0"/>
  </r>
  <r>
    <x v="68"/>
    <x v="69"/>
    <n v="4"/>
    <x v="3"/>
    <n v="4"/>
    <s v="LQA"/>
    <x v="1"/>
    <m/>
    <x v="5"/>
    <x v="0"/>
    <x v="0"/>
    <s v="NMDBS_4.7.1b3"/>
    <x v="0"/>
    <x v="23"/>
    <m/>
    <x v="0"/>
    <s v="\\192.168.3.3\Share\Releases\Product\Netmind_4.7\Build&amp;Release\Release_For_LQA\Test_Build_1.0.1\Server CD\DBS\Setup"/>
    <m/>
    <x v="1"/>
    <m/>
    <m/>
    <m/>
    <m/>
    <x v="1"/>
  </r>
  <r>
    <x v="68"/>
    <x v="69"/>
    <n v="4"/>
    <x v="3"/>
    <n v="4"/>
    <s v="IT-LQA"/>
    <x v="10"/>
    <m/>
    <x v="5"/>
    <x v="0"/>
    <x v="0"/>
    <s v="NPDBS_COM_1.2.3.2.1.4b3"/>
    <x v="0"/>
    <x v="23"/>
    <s v="\\192.168.3.3\Share\Releases\Projects\Comcast\Release_For_IT\Test_Build_4.6.1\Server CD\Database\Setup"/>
    <x v="0"/>
    <s v="\\192.168.3.3\Share\Releases\Projects\Comcast\Release_for_Test\Test_Build_4.6.1\Server CD\Database\Setup"/>
    <s v="Pass"/>
    <x v="0"/>
    <m/>
    <m/>
    <m/>
    <m/>
    <x v="0"/>
  </r>
  <r>
    <x v="68"/>
    <x v="69"/>
    <n v="4"/>
    <x v="3"/>
    <n v="4"/>
    <s v="LQA-FAT"/>
    <x v="0"/>
    <m/>
    <x v="1"/>
    <x v="1"/>
    <x v="0"/>
    <s v="MPE_SLT-1B_3.0.1.1.1.61b1"/>
    <x v="0"/>
    <x v="10"/>
    <m/>
    <x v="0"/>
    <s v="\\192.168.3.3\Share\Releases\Projects\SLT-1B\Release_For_Test\Test_Build_1.0.0.1\Server CD\MPE\Setup"/>
    <s v="Pass"/>
    <x v="1"/>
    <m/>
    <m/>
    <m/>
    <s v="K.V. Krishnan"/>
    <x v="0"/>
  </r>
  <r>
    <x v="69"/>
    <x v="65"/>
    <n v="4"/>
    <x v="3"/>
    <n v="4"/>
    <s v="IT-LQA"/>
    <x v="0"/>
    <m/>
    <x v="2"/>
    <x v="0"/>
    <x v="0"/>
    <s v="DMDBS_SLT_2.0.0.20.1.115b2"/>
    <x v="0"/>
    <x v="38"/>
    <s v="\\192.168.3.3\Share\Releases\Projects\SLT\Release_For_IT\Test_Build_1.0.0.4\Server CD\DBS\Setup"/>
    <x v="0"/>
    <s v="\\192.168.3.3\Share\Releases\Projects\SLT\Release_For_LQA\Test_Build_1.0.0.20\Server CD\DBS\Setup"/>
    <s v="Pass"/>
    <x v="1"/>
    <m/>
    <m/>
    <m/>
    <m/>
    <x v="0"/>
  </r>
  <r>
    <x v="69"/>
    <x v="65"/>
    <n v="4"/>
    <x v="3"/>
    <n v="4"/>
    <s v="IT-LQA"/>
    <x v="0"/>
    <m/>
    <x v="7"/>
    <x v="0"/>
    <x v="0"/>
    <s v="RTDBS_SLT_3.0.0.20.1.4b2"/>
    <x v="0"/>
    <x v="38"/>
    <s v="\\192.168.3.3\Share\Releases\Projects\SLT\Release_For_IT\Test_Build_1.0.0.4\Server CD\DBS\Setup"/>
    <x v="2"/>
    <s v="\\192.168.3.3\Share\Releases\Projects\SLT\Release_For_LQA\Test_Build_1.0.0.20\Server CD\DBS\Setup"/>
    <m/>
    <x v="0"/>
    <m/>
    <m/>
    <m/>
    <m/>
    <x v="2"/>
  </r>
  <r>
    <x v="69"/>
    <x v="65"/>
    <n v="4"/>
    <x v="3"/>
    <n v="4"/>
    <s v="IT-LQA"/>
    <x v="0"/>
    <m/>
    <x v="7"/>
    <x v="0"/>
    <x v="0"/>
    <s v="RTDBS_SLT_3.0.0.20.1.5b2"/>
    <x v="0"/>
    <x v="38"/>
    <s v="\\192.168.3.3\Share\Releases\Projects\SLT\Release_For_IT\Test_Build_1.0.0.4\Server CD\DBS\Setup"/>
    <x v="2"/>
    <s v="\\192.168.3.3\Share\Releases\Projects\SLT\Release_For_LQA\Test_Build_1.0.0.20\Server CD\DBS\Setup"/>
    <m/>
    <x v="1"/>
    <m/>
    <m/>
    <m/>
    <m/>
    <x v="2"/>
  </r>
  <r>
    <x v="69"/>
    <x v="65"/>
    <n v="4"/>
    <x v="3"/>
    <n v="4"/>
    <s v="IT-LQA"/>
    <x v="3"/>
    <m/>
    <x v="5"/>
    <x v="0"/>
    <x v="0"/>
    <s v="NMDBS_OBT_4.6.1.16.1.29b1"/>
    <x v="0"/>
    <x v="4"/>
    <s v="\\192.168.3.3\Share\Releases\Projects\OBT\Release_For_IT\TestBuild_1.0.0.2\Server CD\DBS\Setup"/>
    <x v="0"/>
    <s v="\\192.168.3.3\Share\Releases\Projects\OBT\Release_For_LQA\TestBuild_1.0.0.4\Server CD\DBS\Setup"/>
    <s v="Pass"/>
    <x v="1"/>
    <m/>
    <m/>
    <m/>
    <m/>
    <x v="0"/>
  </r>
  <r>
    <x v="69"/>
    <x v="65"/>
    <n v="4"/>
    <x v="3"/>
    <n v="4"/>
    <s v="LQA"/>
    <x v="3"/>
    <m/>
    <x v="1"/>
    <x v="1"/>
    <x v="0"/>
    <s v="MPE_OBT_3.2.1.3.1.13b2 "/>
    <x v="0"/>
    <x v="20"/>
    <m/>
    <x v="0"/>
    <s v="\\192.168.3.3\share\Releases\Projects\OBT\Release_For_LQA\TestBuild_1.0.0.4\Server CD\MPE\Setup"/>
    <s v="Pass"/>
    <x v="1"/>
    <m/>
    <m/>
    <m/>
    <m/>
    <x v="0"/>
  </r>
  <r>
    <x v="69"/>
    <x v="65"/>
    <n v="4"/>
    <x v="3"/>
    <n v="4"/>
    <s v="IT-LQA"/>
    <x v="0"/>
    <m/>
    <x v="2"/>
    <x v="0"/>
    <x v="0"/>
    <s v="DMDBS_SLT_2.0.0.20.1.118b1"/>
    <x v="0"/>
    <x v="44"/>
    <s v="\\192.168.3.3\Share\Releases\Projects\SLT\Release_For_IT\Test_Build_1.0.0.4\Server CD\DBS\Setup"/>
    <x v="2"/>
    <s v="\\192.168.3.3\Share\Releases\Projects\SLT\Release_For_LQA\Test_Build_1.0.0.20\Server CD\DBS\Setup"/>
    <m/>
    <x v="1"/>
    <m/>
    <m/>
    <m/>
    <m/>
    <x v="2"/>
  </r>
  <r>
    <x v="69"/>
    <x v="65"/>
    <n v="4"/>
    <x v="3"/>
    <n v="4"/>
    <s v="LQA"/>
    <x v="1"/>
    <m/>
    <x v="0"/>
    <x v="2"/>
    <x v="1"/>
    <s v="REGUI_1.0.8b1"/>
    <x v="0"/>
    <x v="48"/>
    <m/>
    <x v="0"/>
    <s v="\\192.168.3.3\Share\Releases\Product\RE_1.0\ReleaseForLQA\TestBuild_1.0.1\GUI\Setup"/>
    <m/>
    <x v="1"/>
    <m/>
    <m/>
    <m/>
    <m/>
    <x v="1"/>
  </r>
  <r>
    <x v="70"/>
    <x v="70"/>
    <n v="4"/>
    <x v="3"/>
    <n v="4"/>
    <s v="IT-LQA-UAT"/>
    <x v="1"/>
    <m/>
    <x v="0"/>
    <x v="0"/>
    <x v="1"/>
    <s v="REDBS_1.0.1.21b1"/>
    <x v="0"/>
    <x v="0"/>
    <s v="\\192.168.3.3\Share\Releases\Product\RE_1.0\ReleaseForIT\TestBuild_1.0.1\DBS\Build4\Setup"/>
    <x v="0"/>
    <s v="\\192.168.3.3\Share\Releases\Product\RE_1.0\ReleaseForLQA\TestBuild_1.0.1\DBS\Build4\Setup"/>
    <s v="Pass"/>
    <x v="1"/>
    <m/>
    <m/>
    <m/>
    <s v="Ravi Gautam"/>
    <x v="0"/>
  </r>
  <r>
    <x v="70"/>
    <x v="71"/>
    <n v="4"/>
    <x v="3"/>
    <n v="4"/>
    <s v="IT-LQA"/>
    <x v="1"/>
    <m/>
    <x v="5"/>
    <x v="0"/>
    <x v="1"/>
    <s v="NMDBS_4.6.1.17b1"/>
    <x v="0"/>
    <x v="24"/>
    <s v="\\192.168.3.3\Share\Releases\Product\Netmind_4.6\Build&amp;Release\ReleaseForIT\TestBuild_4.6.1\Build4\ServerCD\DBS\Setup"/>
    <x v="0"/>
    <s v="\\192.168.3.3\Share\Releases\Product\Netmind_4.6\Build&amp;Release\ReleaseForTest\TestBuild_4.6.1\Build4\ServerCD\DBS\Setup"/>
    <s v="Pass"/>
    <x v="1"/>
    <m/>
    <m/>
    <m/>
    <m/>
    <x v="0"/>
  </r>
  <r>
    <x v="70"/>
    <x v="70"/>
    <n v="4"/>
    <x v="3"/>
    <n v="4"/>
    <s v="LQA"/>
    <x v="0"/>
    <m/>
    <x v="0"/>
    <x v="2"/>
    <x v="1"/>
    <s v="REGUI_SLT_1.0.8.0.1"/>
    <x v="0"/>
    <x v="48"/>
    <m/>
    <x v="0"/>
    <s v="\\192.168.3.3\Share\Releases\Projects\SLT\Release_For_LQA\Test_Build_1.0.0.21\Server CD\GUI\Setup"/>
    <m/>
    <x v="0"/>
    <m/>
    <m/>
    <m/>
    <m/>
    <x v="1"/>
  </r>
  <r>
    <x v="70"/>
    <x v="70"/>
    <n v="4"/>
    <x v="3"/>
    <n v="4"/>
    <s v="LQA"/>
    <x v="1"/>
    <m/>
    <x v="4"/>
    <x v="4"/>
    <x v="1"/>
    <s v="RACS_2.5.6b2"/>
    <x v="0"/>
    <x v="49"/>
    <m/>
    <x v="0"/>
    <s v="\\192.168.3.3\Share\Releases\Product\RevMind_2.1\Build&amp;Release\Release_For_LQA\Test_Build_1.0.2\Server CD\GUI\CS\Setup"/>
    <m/>
    <x v="1"/>
    <m/>
    <m/>
    <m/>
    <m/>
    <x v="1"/>
  </r>
  <r>
    <x v="71"/>
    <x v="71"/>
    <n v="4"/>
    <x v="3"/>
    <n v="4"/>
    <s v="IT-LQA"/>
    <x v="1"/>
    <m/>
    <x v="4"/>
    <x v="0"/>
    <x v="0"/>
    <s v="RADBS_2.1.1.3b1"/>
    <x v="0"/>
    <x v="27"/>
    <s v="\\192.168.3.3\Share\Releases\Product\RevMind_2.1\Build&amp;Release\Release_For_IT\TestBuild_1.0.1\Server CD\DBS\Setup"/>
    <x v="0"/>
    <s v="\\192.168.3.3\Share\Releases\Product\RevMind_2.1\Build&amp;Release\Release_For_LQA\Test_Build_1.0.2\Server CD\DBS\Setup"/>
    <s v="Pass"/>
    <x v="0"/>
    <m/>
    <m/>
    <m/>
    <m/>
    <x v="0"/>
  </r>
  <r>
    <x v="71"/>
    <x v="71"/>
    <n v="4"/>
    <x v="3"/>
    <n v="4"/>
    <s v="LQA"/>
    <x v="1"/>
    <m/>
    <x v="8"/>
    <x v="2"/>
    <x v="1"/>
    <s v="WWFSGUI_2.2.1b3"/>
    <x v="0"/>
    <x v="40"/>
    <m/>
    <x v="0"/>
    <s v="\\192.168.3.3\Share\Releases\Product\WEB_WFS\Build&amp;Release\Release For Test\TestBuild_2.2.1\Build3\ServerCD\GUI\Setup"/>
    <m/>
    <x v="1"/>
    <m/>
    <m/>
    <m/>
    <m/>
    <x v="1"/>
  </r>
  <r>
    <x v="71"/>
    <x v="71"/>
    <n v="4"/>
    <x v="3"/>
    <n v="4"/>
    <s v="IT-LQA"/>
    <x v="4"/>
    <m/>
    <x v="5"/>
    <x v="0"/>
    <x v="0"/>
    <s v="NMDBS_TLSTR_4.0.1.0.4.299b1"/>
    <x v="0"/>
    <x v="36"/>
    <s v="\\192.168.3.3\Share\Releases\Projects\Telstra\Release_For_IT\Test_Build_1.0.0.18\Server CD\DBS\Setup"/>
    <x v="2"/>
    <s v="\\192.168.3.3\Share\Releases\Projects\Telstra\Release_For_LQA\Test_Build_1.0.0.18\Server CD\DBS\Setup"/>
    <m/>
    <x v="1"/>
    <m/>
    <m/>
    <m/>
    <m/>
    <x v="2"/>
  </r>
  <r>
    <x v="71"/>
    <x v="71"/>
    <n v="4"/>
    <x v="3"/>
    <n v="4"/>
    <s v="IT-LQA-AT"/>
    <x v="4"/>
    <m/>
    <x v="5"/>
    <x v="0"/>
    <x v="0"/>
    <s v="NMDBS_TLSTR_4.0.1.0.4.299b2"/>
    <x v="0"/>
    <x v="36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Gaurav Shukla"/>
    <x v="0"/>
  </r>
  <r>
    <x v="71"/>
    <x v="71"/>
    <n v="4"/>
    <x v="3"/>
    <n v="4"/>
    <s v="IT-LQA-AT"/>
    <x v="4"/>
    <m/>
    <x v="5"/>
    <x v="0"/>
    <x v="0"/>
    <s v="NMDBS_TLSTR_4.0.1.0.4.300b1"/>
    <x v="0"/>
    <x v="36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Deshraj"/>
    <x v="0"/>
  </r>
  <r>
    <x v="71"/>
    <x v="71"/>
    <n v="4"/>
    <x v="3"/>
    <n v="4"/>
    <s v="IT-LQA"/>
    <x v="1"/>
    <m/>
    <x v="5"/>
    <x v="0"/>
    <x v="0"/>
    <s v="NMDBS_4.6.1.18b1"/>
    <x v="0"/>
    <x v="24"/>
    <s v="\\192.168.3.3\Share\Releases\Product\Netmind_4.6\Build&amp;Release\ReleaseForIT\TestBuild_4.6.1\Build4\ServerCD\DBS\Setup"/>
    <x v="0"/>
    <s v="\\192.168.3.3\Share\Releases\Product\Netmind_4.6\Build&amp;Release\ReleaseForTest\TestBuild_4.6.1\Build4\ServerCD\DBS\Setup"/>
    <s v="Pass"/>
    <x v="1"/>
    <m/>
    <m/>
    <m/>
    <m/>
    <x v="0"/>
  </r>
  <r>
    <x v="71"/>
    <x v="71"/>
    <n v="4"/>
    <x v="3"/>
    <n v="4"/>
    <s v="IT-LQA"/>
    <x v="0"/>
    <m/>
    <x v="7"/>
    <x v="0"/>
    <x v="0"/>
    <s v="RTDBS_SLT_3.0.0.20.1.4b3"/>
    <x v="0"/>
    <x v="38"/>
    <s v="\\192.168.3.3\Share\Releases\Projects\SLT\Release_For_IT\Test_Build_1.0.0.4\Server CD\DBS\Setup "/>
    <x v="2"/>
    <s v="\\192.168.3.3\Share\Releases\Projects\SLT\Release_For_LQA\Test_Build_1.0.0.21\Server CD\DBS\Setup"/>
    <m/>
    <x v="1"/>
    <m/>
    <m/>
    <m/>
    <m/>
    <x v="2"/>
  </r>
  <r>
    <x v="71"/>
    <x v="71"/>
    <n v="4"/>
    <x v="3"/>
    <n v="4"/>
    <s v="IT-LQA"/>
    <x v="0"/>
    <m/>
    <x v="7"/>
    <x v="0"/>
    <x v="0"/>
    <s v="RTDBS_SLT_3.0.0.20.1.5b3"/>
    <x v="0"/>
    <x v="38"/>
    <s v="\\192.168.3.3\Share\Releases\Projects\SLT\Release_For_IT\Test_Build_1.0.0.4\Server CD\DBS\Setup "/>
    <x v="2"/>
    <s v="\\192.168.3.3\Share\Releases\Projects\SLT\Release_For_LQA\Test_Build_1.0.0.21\Server CD\DBS\Setup"/>
    <m/>
    <x v="1"/>
    <m/>
    <m/>
    <m/>
    <m/>
    <x v="2"/>
  </r>
  <r>
    <x v="71"/>
    <x v="71"/>
    <n v="4"/>
    <x v="3"/>
    <n v="4"/>
    <s v="LQA"/>
    <x v="1"/>
    <m/>
    <x v="8"/>
    <x v="2"/>
    <x v="1"/>
    <s v="WWFSGUI_2.1.23b2"/>
    <x v="0"/>
    <x v="35"/>
    <m/>
    <x v="0"/>
    <s v="\\192.168.3.3\Share\Releases\Product\WEB_WFS\Build&amp;Release\Release For Test\TestBuild_2.1.23\Build1\ServerCD\GUI\Setup"/>
    <m/>
    <x v="1"/>
    <m/>
    <m/>
    <m/>
    <m/>
    <x v="1"/>
  </r>
  <r>
    <x v="72"/>
    <x v="72"/>
    <n v="4"/>
    <x v="3"/>
    <n v="4"/>
    <s v="LQA"/>
    <x v="1"/>
    <m/>
    <x v="12"/>
    <x v="2"/>
    <x v="1"/>
    <s v="WWCSGUI_2.1.16b4"/>
    <x v="0"/>
    <x v="35"/>
    <m/>
    <x v="0"/>
    <s v="\\192.168.3.3\Share\Releases\Product\WEB_CS\Build&amp;Release\Release For Test\TestBuild_2.1.16\Build3\ServerCD\GUI\Setup"/>
    <m/>
    <x v="1"/>
    <m/>
    <m/>
    <m/>
    <m/>
    <x v="1"/>
  </r>
  <r>
    <x v="72"/>
    <x v="72"/>
    <n v="4"/>
    <x v="3"/>
    <n v="4"/>
    <s v="IT-LQA"/>
    <x v="10"/>
    <m/>
    <x v="11"/>
    <x v="6"/>
    <x v="1"/>
    <s v="NMUTLMIG4_COM_1.0.0.0.1"/>
    <x v="0"/>
    <x v="7"/>
    <s v="\\192.168.3.3\Share\Releases\Projects\Comcast\Release_For_IT\Test_Build_4.6.1\Utility\Setup"/>
    <x v="2"/>
    <s v="\\192.168.3.3\Share\Releases\Projects\Comcast\Release_for_Test\Test_Build_4.6.1\Utility\Setup"/>
    <m/>
    <x v="1"/>
    <m/>
    <m/>
    <m/>
    <m/>
    <x v="2"/>
  </r>
  <r>
    <x v="72"/>
    <x v="73"/>
    <n v="4"/>
    <x v="3"/>
    <n v="4"/>
    <s v="IT-LQA"/>
    <x v="10"/>
    <m/>
    <x v="7"/>
    <x v="0"/>
    <x v="0"/>
    <s v="RTDBS_COM_4.0.1.17.1"/>
    <x v="0"/>
    <x v="4"/>
    <s v="\\192.168.3.3\Share\Releases\Projects\COM\Release_For_IT\TestBuild_1.0.0.1\Server CD\DBS\Setup"/>
    <x v="0"/>
    <s v="\\192.168.3.3\Share\Releases\Projects\COM\Release_For_Test\Test_Build_1.0.0.1\Server CD\DBS\Setup"/>
    <m/>
    <x v="1"/>
    <m/>
    <m/>
    <m/>
    <m/>
    <x v="1"/>
  </r>
  <r>
    <x v="72"/>
    <x v="0"/>
    <n v="4"/>
    <x v="3"/>
    <s v="False"/>
    <s v="IT"/>
    <x v="1"/>
    <m/>
    <x v="0"/>
    <x v="0"/>
    <x v="0"/>
    <s v="REDBS_1.0.1.22b1"/>
    <x v="0"/>
    <x v="0"/>
    <s v="\\192.168.3.3\Share\Releases\Product\RE_1.0\ReleaseForIT\TestBuild_1.0.1\DBS\Build4\Setup"/>
    <x v="2"/>
    <m/>
    <m/>
    <x v="1"/>
    <m/>
    <m/>
    <m/>
    <m/>
    <x v="2"/>
  </r>
  <r>
    <x v="72"/>
    <x v="72"/>
    <n v="4"/>
    <x v="3"/>
    <n v="4"/>
    <s v="LQA"/>
    <x v="1"/>
    <m/>
    <x v="5"/>
    <x v="0"/>
    <x v="1"/>
    <s v="NMDBS_4.7.1b4"/>
    <x v="0"/>
    <x v="24"/>
    <m/>
    <x v="0"/>
    <s v="\\192.168.3.3\Share\Releases\Product\Netmind_4.7\Build&amp;Release\Release_For_LQA\Test_Build_1.0.1\Server CD\DBS\Setup"/>
    <m/>
    <x v="1"/>
    <m/>
    <m/>
    <m/>
    <m/>
    <x v="1"/>
  </r>
  <r>
    <x v="72"/>
    <x v="72"/>
    <n v="4"/>
    <x v="3"/>
    <n v="4"/>
    <s v="LQA"/>
    <x v="1"/>
    <m/>
    <x v="4"/>
    <x v="4"/>
    <x v="0"/>
    <s v="RACS_2.5.6.1b1"/>
    <x v="0"/>
    <x v="40"/>
    <m/>
    <x v="2"/>
    <s v="\\192.168.3.3\Share\Releases\Product\RevMind_2.1\Build&amp;Release\Release_For_LQA\Test_Build_1.0.2\Server CD\GUI\CS\Setup"/>
    <m/>
    <x v="1"/>
    <m/>
    <m/>
    <m/>
    <m/>
    <x v="2"/>
  </r>
  <r>
    <x v="72"/>
    <x v="72"/>
    <n v="4"/>
    <x v="3"/>
    <n v="4"/>
    <s v="IT-LQA"/>
    <x v="1"/>
    <m/>
    <x v="4"/>
    <x v="0"/>
    <x v="0"/>
    <s v="RADBS_2.1.1.4b1"/>
    <x v="0"/>
    <x v="27"/>
    <s v="\\192.168.3.3\Share\Releases\Product\RevMind_2.1\Build&amp;Release\Release_For_IT\TestBuild_1.0.1\Server CD\DBS\Setup"/>
    <x v="0"/>
    <s v="\\192.168.3.3\Share\Releases\Product\RevMind_2.1\Build&amp;Release\Release_For_LQA\Test_Build_1.0.2\Server CD\DBS\Setup"/>
    <s v="Pass"/>
    <x v="1"/>
    <m/>
    <m/>
    <m/>
    <m/>
    <x v="0"/>
  </r>
  <r>
    <x v="72"/>
    <x v="72"/>
    <n v="4"/>
    <x v="3"/>
    <n v="4"/>
    <s v="LQA"/>
    <x v="10"/>
    <m/>
    <x v="12"/>
    <x v="2"/>
    <x v="1"/>
    <s v="WWCSGUI_COM_2.1.16.0.1"/>
    <x v="0"/>
    <x v="35"/>
    <m/>
    <x v="0"/>
    <s v="\\192.168.3.3\Share\Releases\Projects\Comcast\Release_for_Test\Test_Build_4.6.2\Server CD\GUI\Setup"/>
    <m/>
    <x v="1"/>
    <m/>
    <m/>
    <m/>
    <m/>
    <x v="1"/>
  </r>
  <r>
    <x v="72"/>
    <x v="72"/>
    <n v="4"/>
    <x v="3"/>
    <n v="4"/>
    <s v="IT-LQA"/>
    <x v="0"/>
    <m/>
    <x v="2"/>
    <x v="0"/>
    <x v="0"/>
    <s v="DMDBS_SLT_2.0.0.20.1.117b1 "/>
    <x v="0"/>
    <x v="44"/>
    <s v="\\192.168.3.3\Share\Releases\Projects\SLT\Release_For_LQA\Test_Build_1.0.0.21\Server CD\DBS\Setup"/>
    <x v="0"/>
    <s v="\\192.168.3.3\Share\Releases\Projects\SLT\Release_For_IT\Test_Build_1.0.0.4\Server CD\DBS\Setup"/>
    <s v="Pass"/>
    <x v="1"/>
    <m/>
    <m/>
    <m/>
    <m/>
    <x v="0"/>
  </r>
  <r>
    <x v="72"/>
    <x v="72"/>
    <n v="4"/>
    <x v="3"/>
    <n v="4"/>
    <s v="LQA"/>
    <x v="10"/>
    <m/>
    <x v="8"/>
    <x v="2"/>
    <x v="1"/>
    <s v="WWFSGUI_COM_2.1.23.0.1"/>
    <x v="0"/>
    <x v="35"/>
    <m/>
    <x v="0"/>
    <s v="\\192.168.3.3\Share\Releases\Projects\Comcast\Release_for_Test\Test_Build_4.6.2\Server CD\GUI\Setup"/>
    <m/>
    <x v="0"/>
    <m/>
    <m/>
    <m/>
    <m/>
    <x v="1"/>
  </r>
  <r>
    <x v="73"/>
    <x v="73"/>
    <n v="4"/>
    <x v="3"/>
    <n v="4"/>
    <s v="IT-LQA"/>
    <x v="0"/>
    <m/>
    <x v="2"/>
    <x v="0"/>
    <x v="0"/>
    <s v="DMDBS_SLT_2.0.0.20.1.119b1"/>
    <x v="0"/>
    <x v="38"/>
    <s v="\\192.168.3.3\Share\Releases\Projects\SLT\Release_For_IT\Test_Build_1.0.0.4\Server CD\DBS\Setup"/>
    <x v="0"/>
    <s v="\\192.168.3.3\Share\Releases\Projects\SLT\Release_For_LQA\Test_Build_1.0.0.21\Server CD\DBS\Setup"/>
    <s v="Pass"/>
    <x v="1"/>
    <m/>
    <m/>
    <m/>
    <m/>
    <x v="0"/>
  </r>
  <r>
    <x v="73"/>
    <x v="73"/>
    <n v="4"/>
    <x v="3"/>
    <n v="4"/>
    <s v="IT-LQA"/>
    <x v="0"/>
    <m/>
    <x v="7"/>
    <x v="0"/>
    <x v="0"/>
    <s v="RTDBS_SLT_3.0.0.20.1.6b1"/>
    <x v="0"/>
    <x v="32"/>
    <s v="\\192.168.3.3\Share\Releases\Projects\SLT\Release_For_IT\Test_Build_1.0.0.4\Server CD\DBS\Setup "/>
    <x v="0"/>
    <s v="\\192.168.3.3\Share\Releases\Projects\SLT\Release_For_LQA\Test_Build_1.0.0.21\Server CD\DBS\Setup"/>
    <s v="Pass"/>
    <x v="0"/>
    <m/>
    <m/>
    <m/>
    <m/>
    <x v="0"/>
  </r>
  <r>
    <x v="73"/>
    <x v="73"/>
    <n v="4"/>
    <x v="3"/>
    <n v="4"/>
    <s v="IT-LQA"/>
    <x v="0"/>
    <m/>
    <x v="7"/>
    <x v="0"/>
    <x v="0"/>
    <s v="RTDBS_SLT_3.0.0.20.1.7b1"/>
    <x v="0"/>
    <x v="32"/>
    <s v="\\192.168.3.3\Share\Releases\Projects\SLT\Release_For_IT\Test_Build_1.0.0.4\Server CD\DBS\Setup "/>
    <x v="0"/>
    <s v="\\192.168.3.3\Share\Releases\Projects\SLT\Release_For_LQA\Test_Build_1.0.0.21\Server CD\DBS\Setup"/>
    <s v="Pass"/>
    <x v="1"/>
    <m/>
    <m/>
    <m/>
    <m/>
    <x v="0"/>
  </r>
  <r>
    <x v="73"/>
    <x v="73"/>
    <n v="4"/>
    <x v="3"/>
    <n v="4"/>
    <s v="IT-LQA"/>
    <x v="10"/>
    <m/>
    <x v="7"/>
    <x v="0"/>
    <x v="0"/>
    <s v="RTDBS_COM_4.0.1.17.1.1b1"/>
    <x v="0"/>
    <x v="4"/>
    <s v="\\192.168.3.3\Share\Releases\Projects\COM\Release_For_IT\TestBuild_1.0.0.1\Server CD\DBS\Setup"/>
    <x v="2"/>
    <s v="\\192.168.3.3\Share\Releases\Projects\COM\Release_For_Test\Test_Build_1.0.0.1\Server CD\DBS\Setup"/>
    <m/>
    <x v="1"/>
    <m/>
    <m/>
    <m/>
    <m/>
    <x v="2"/>
  </r>
  <r>
    <x v="73"/>
    <x v="73"/>
    <n v="4"/>
    <x v="3"/>
    <n v="4"/>
    <s v="IT-LQA"/>
    <x v="10"/>
    <m/>
    <x v="9"/>
    <x v="0"/>
    <x v="0"/>
    <s v="NPDBS_COM_1.2.3.2.1.6b1"/>
    <x v="0"/>
    <x v="23"/>
    <s v="\\192.168.3.3\Share\Releases\Projects\Comcast\Release_For_IT\Test_Build_4.6.1\Server CD\Database\Setup"/>
    <x v="0"/>
    <s v="\\192.168.3.3\Share\Releases\Projects\Comcast\Release_for_Test\Test_Build_4.6.2\Server CD\Database\Setup"/>
    <s v="Pass"/>
    <x v="1"/>
    <m/>
    <m/>
    <m/>
    <m/>
    <x v="0"/>
  </r>
  <r>
    <x v="73"/>
    <x v="73"/>
    <n v="4"/>
    <x v="3"/>
    <n v="4"/>
    <s v="LQA"/>
    <x v="4"/>
    <m/>
    <x v="1"/>
    <x v="1"/>
    <x v="0"/>
    <s v="MPE_TLSTR-2b_3.0.0.3.1.91b1"/>
    <x v="0"/>
    <x v="11"/>
    <m/>
    <x v="0"/>
    <s v="\\192.168.3.3\Share\Releases\Projects\Telstra-2b\Release_For_CD\Test_Build_1.0.0.1\Server CD\MPE\Setup"/>
    <m/>
    <x v="1"/>
    <m/>
    <m/>
    <m/>
    <m/>
    <x v="1"/>
  </r>
  <r>
    <x v="73"/>
    <x v="73"/>
    <n v="4"/>
    <x v="3"/>
    <n v="4"/>
    <s v="IT-LQA"/>
    <x v="10"/>
    <m/>
    <x v="5"/>
    <x v="0"/>
    <x v="0"/>
    <s v="NMDBS_COM_4.6.1.16.1.10b1"/>
    <x v="0"/>
    <x v="39"/>
    <s v="\\192.168.3.3\Share\Releases\Projects\Comcast\Release_For_IT\Test_Build_4.6.1\Server CD\Database\Setup"/>
    <x v="0"/>
    <s v="\\192.168.3.3\Share\Releases\Projects\Comcast\Release_for_Test\Test_Build_4.6.2\Server CD\Database\Setup"/>
    <s v="Pass"/>
    <x v="0"/>
    <m/>
    <m/>
    <m/>
    <m/>
    <x v="0"/>
  </r>
  <r>
    <x v="73"/>
    <x v="73"/>
    <n v="4"/>
    <x v="3"/>
    <n v="4"/>
    <s v="LQA-FAT"/>
    <x v="0"/>
    <m/>
    <x v="1"/>
    <x v="1"/>
    <x v="0"/>
    <s v="MPE_SLT-1B_3.0.1.1.1.62b1"/>
    <x v="0"/>
    <x v="10"/>
    <m/>
    <x v="0"/>
    <s v="\\192.168.3.3\Share\Releases\Projects\SLT-1B\Release_For_Test\Test_Build_1.0.0.1\Server CD\MPE\Setup"/>
    <s v="Pass"/>
    <x v="1"/>
    <m/>
    <m/>
    <m/>
    <s v="K.V. Krishnan"/>
    <x v="0"/>
  </r>
  <r>
    <x v="73"/>
    <x v="73"/>
    <n v="4"/>
    <x v="3"/>
    <n v="4"/>
    <s v="IT-LQA"/>
    <x v="10"/>
    <m/>
    <x v="5"/>
    <x v="0"/>
    <x v="0"/>
    <s v="NMDBS_COM_4.6.1.16.1.11b1"/>
    <x v="0"/>
    <x v="39"/>
    <s v="\\192.168.3.3\Share\Releases\Projects\Comcast\Release_For_IT\Test_Build_4.6.1\Server CD\Database\Setup"/>
    <x v="0"/>
    <s v="\\192.168.3.3\Share\Releases\Projects\Comcast\Release_for_Test\Test_Build_4.6.2\Server CD\Database\Setup"/>
    <m/>
    <x v="1"/>
    <m/>
    <m/>
    <m/>
    <m/>
    <x v="1"/>
  </r>
  <r>
    <x v="73"/>
    <x v="73"/>
    <n v="4"/>
    <x v="3"/>
    <n v="4"/>
    <s v="LQA"/>
    <x v="1"/>
    <m/>
    <x v="4"/>
    <x v="4"/>
    <x v="0"/>
    <s v="RACS_2.5.6.1b2"/>
    <x v="0"/>
    <x v="40"/>
    <m/>
    <x v="0"/>
    <s v="\\192.168.3.3\Share\Releases\Product\RevMind_2.1\Build&amp;Release\Release_For_LQA\Test_Build_1.0.2\Server CD\GUI\CS\Setup"/>
    <m/>
    <x v="1"/>
    <m/>
    <m/>
    <m/>
    <m/>
    <x v="1"/>
  </r>
  <r>
    <x v="73"/>
    <x v="73"/>
    <n v="4"/>
    <x v="3"/>
    <n v="4"/>
    <s v="IT-LQA"/>
    <x v="1"/>
    <m/>
    <x v="5"/>
    <x v="0"/>
    <x v="0"/>
    <s v="NMDBS_4.6.1.19b1"/>
    <x v="0"/>
    <x v="24"/>
    <s v="\\192.168.3.3\Share\Releases\Product\Netmind_4.6\Build&amp;Release\ReleaseForIT\TestBuild_4.6.1\Build4\ServerCD\DBS\Setup"/>
    <x v="0"/>
    <s v="\\192.168.3.3\Share\Releases\Product\Netmind_4.6\Build&amp;Release\ReleaseForTest\TestBuild_4.6.1\Build4\ServerCD\DBS\Setup"/>
    <s v="Pass"/>
    <x v="1"/>
    <m/>
    <m/>
    <m/>
    <m/>
    <x v="0"/>
  </r>
  <r>
    <x v="73"/>
    <x v="73"/>
    <n v="4"/>
    <x v="3"/>
    <n v="4"/>
    <s v="LQA"/>
    <x v="10"/>
    <m/>
    <x v="7"/>
    <x v="2"/>
    <x v="1"/>
    <s v="RTGUI_COM_4.0.22.0.1"/>
    <x v="0"/>
    <x v="16"/>
    <m/>
    <x v="0"/>
    <s v="\\192.168.3.3\Share\Releases\Projects\COM\Release_For_Test\Test_Build_1.0.0.1\Server CD\GUI\Setup"/>
    <m/>
    <x v="1"/>
    <m/>
    <m/>
    <m/>
    <m/>
    <x v="1"/>
  </r>
  <r>
    <x v="74"/>
    <x v="74"/>
    <n v="4"/>
    <x v="3"/>
    <n v="4"/>
    <s v="LQA"/>
    <x v="1"/>
    <m/>
    <x v="0"/>
    <x v="2"/>
    <x v="1"/>
    <s v="REGUI_1.0.9b1"/>
    <x v="0"/>
    <x v="50"/>
    <m/>
    <x v="0"/>
    <s v="\\192.168.3.3\Share\Releases\Product\RE_1.0\ReleaseForLQA\TestBuild_1.0.1\GUI\Setup"/>
    <m/>
    <x v="1"/>
    <m/>
    <m/>
    <m/>
    <m/>
    <x v="1"/>
  </r>
  <r>
    <x v="75"/>
    <x v="75"/>
    <n v="4"/>
    <x v="3"/>
    <n v="4"/>
    <s v="IT-LQA-FAT"/>
    <x v="0"/>
    <m/>
    <x v="2"/>
    <x v="0"/>
    <x v="0"/>
    <s v="DMDBS_SLT_2.0.0.20.1.118b2"/>
    <x v="0"/>
    <x v="44"/>
    <s v="\\192.168.3.3\Share\Releases\Projects\SLT\Release_For_LQA\Test_Build_1.0.0.20\Server CD\DBS\Setup"/>
    <x v="0"/>
    <s v="\\192.168.3.3\Share\Releases\Projects\SLT\Release_For_LQA\Test_Build_1.0.0.22\Server CD\DBS\Setup"/>
    <s v="Pass"/>
    <x v="0"/>
    <m/>
    <m/>
    <m/>
    <s v="K.V. Krishnan"/>
    <x v="0"/>
  </r>
  <r>
    <x v="75"/>
    <x v="75"/>
    <n v="4"/>
    <x v="3"/>
    <n v="4"/>
    <s v="IT-LQA-FAT"/>
    <x v="1"/>
    <m/>
    <x v="0"/>
    <x v="0"/>
    <x v="0"/>
    <s v="REDBS_1.0.1.22b2 "/>
    <x v="0"/>
    <x v="0"/>
    <s v="\\192.168.3.3\Share\Releases\Product\RE_1.0\ReleaseForIT\TestBuild_1.0.1\DBS\Build4\Setup"/>
    <x v="0"/>
    <s v="\\192.168.3.3\Share\Releases\Product\RE_1.0\ReleaseForLQA\TestBuild_1.0.1\DBS\Build4\Setup"/>
    <s v="Pass"/>
    <x v="1"/>
    <m/>
    <m/>
    <m/>
    <s v="Ravi Gautam"/>
    <x v="0"/>
  </r>
  <r>
    <x v="75"/>
    <x v="75"/>
    <n v="4"/>
    <x v="3"/>
    <n v="4"/>
    <s v="LQA"/>
    <x v="0"/>
    <m/>
    <x v="0"/>
    <x v="2"/>
    <x v="1"/>
    <s v="REGUI_SLT_1.0.9.0.1"/>
    <x v="0"/>
    <x v="13"/>
    <m/>
    <x v="0"/>
    <s v="\\192.168.3.3\Share\Releases\Projects\SLT\Release_For_LQA\Test_Build_1.0.0.22\Server CD\GUI\Setup"/>
    <m/>
    <x v="0"/>
    <m/>
    <m/>
    <m/>
    <m/>
    <x v="1"/>
  </r>
  <r>
    <x v="75"/>
    <x v="75"/>
    <n v="4"/>
    <x v="3"/>
    <n v="4"/>
    <s v="LQA-UAT"/>
    <x v="4"/>
    <m/>
    <x v="1"/>
    <x v="1"/>
    <x v="0"/>
    <s v="MPE_TLSTR-2b_3.0.0.3.1.92b1"/>
    <x v="0"/>
    <x v="11"/>
    <m/>
    <x v="0"/>
    <s v="\\192.168.3.3\Share\Releases\Projects\Telstra-2b\Release_For_Test\Test_Build_1.0.0.1\Server CD\MPE\Setup"/>
    <s v="Pass"/>
    <x v="1"/>
    <m/>
    <m/>
    <m/>
    <s v="Hemant Kumar Sharma"/>
    <x v="0"/>
  </r>
  <r>
    <x v="75"/>
    <x v="75"/>
    <n v="4"/>
    <x v="3"/>
    <n v="4"/>
    <s v="LQA"/>
    <x v="10"/>
    <m/>
    <x v="1"/>
    <x v="1"/>
    <x v="0"/>
    <s v="MPE_COM_3.2.5.0.2.2b1"/>
    <x v="0"/>
    <x v="6"/>
    <m/>
    <x v="2"/>
    <s v="\\192.168.3.3\Share\Releases\Projects\Comcast\Release_for_Test\Test_Build_4.6.2\Server CD\MPE\Setup"/>
    <m/>
    <x v="1"/>
    <m/>
    <m/>
    <m/>
    <m/>
    <x v="2"/>
  </r>
  <r>
    <x v="75"/>
    <x v="75"/>
    <n v="4"/>
    <x v="3"/>
    <n v="4"/>
    <s v="IT-LQA"/>
    <x v="0"/>
    <m/>
    <x v="7"/>
    <x v="0"/>
    <x v="0"/>
    <s v="RTDBS_SLT_3.0.0.20.1.5b4"/>
    <x v="0"/>
    <x v="32"/>
    <s v="\\192.168.3.3\Share\Releases\Projects\SLT\Release_For_IT\Test_Build_1.0.0.4\Server CD\DBS\Setup "/>
    <x v="0"/>
    <s v="\\192.168.3.3\Share\Releases\Projects\SLT\Release_For_LQA\Test_Build_1.0.0.22\Server CD\DBS\Setup"/>
    <s v="Pass"/>
    <x v="1"/>
    <m/>
    <m/>
    <m/>
    <s v="K.V. Krishnan"/>
    <x v="0"/>
  </r>
  <r>
    <x v="75"/>
    <x v="75"/>
    <n v="4"/>
    <x v="3"/>
    <n v="4"/>
    <s v="IT-LQA-FAT"/>
    <x v="0"/>
    <m/>
    <x v="0"/>
    <x v="0"/>
    <x v="0"/>
    <s v="REDBS_SLT_1.0.1.22.1.9b1"/>
    <x v="0"/>
    <x v="0"/>
    <s v="\\192.168.3.3\Share\Releases\Projects\SLT\Release_For_IT\Test_Build_1.0.0.4\Server CD\DBS\Setup"/>
    <x v="0"/>
    <s v="\\192.168.3.3\Share\Releases\Projects\SLT\Release_For_LQA\Test_Build_1.0.0.22\Server CD\DBS\Setup"/>
    <s v="Pass"/>
    <x v="1"/>
    <m/>
    <m/>
    <m/>
    <s v="Ravi Gautam"/>
    <x v="0"/>
  </r>
  <r>
    <x v="75"/>
    <x v="75"/>
    <n v="4"/>
    <x v="3"/>
    <n v="4"/>
    <s v="LQA"/>
    <x v="1"/>
    <m/>
    <x v="4"/>
    <x v="4"/>
    <x v="0"/>
    <s v="RACS_2.5.6.1b3"/>
    <x v="0"/>
    <x v="40"/>
    <s v="\\192.168.3.3\Share\Releases\Product\RevMind_2.1\Build&amp;Release\Release_For_LQA\Test_Build_1.0.2\Server CD\GUI\CS\Setup"/>
    <x v="0"/>
    <m/>
    <m/>
    <x v="1"/>
    <m/>
    <m/>
    <m/>
    <m/>
    <x v="1"/>
  </r>
  <r>
    <x v="76"/>
    <x v="76"/>
    <n v="4"/>
    <x v="3"/>
    <n v="4"/>
    <s v="IT-LQA"/>
    <x v="10"/>
    <m/>
    <x v="7"/>
    <x v="0"/>
    <x v="0"/>
    <s v="RTDBS_COM_4.0.1.17.1.1b2"/>
    <x v="0"/>
    <x v="3"/>
    <s v="\\192.168.3.3\Share\Releases\Projects\COM\Release_For_IT\TestBuild_1.0.0.1\Server CD\DBS\Setup"/>
    <x v="0"/>
    <s v="\\192.168.3.3\Share\Releases\Projects\COM\Release_For_Test\Test_Build_1.0.0.1\Server CD\DBS\Setup"/>
    <m/>
    <x v="1"/>
    <m/>
    <m/>
    <m/>
    <m/>
    <x v="1"/>
  </r>
  <r>
    <x v="76"/>
    <x v="76"/>
    <n v="4"/>
    <x v="3"/>
    <n v="4"/>
    <s v="LQA"/>
    <x v="1"/>
    <m/>
    <x v="8"/>
    <x v="2"/>
    <x v="0"/>
    <s v="WWFSGUI_2.2.1b5 "/>
    <x v="0"/>
    <x v="40"/>
    <m/>
    <x v="0"/>
    <s v="\\192.168.3.3\Share\Releases\Product\WEB_WFS\Build&amp;Release\Release For Test\TestBuild_2.2.1\Build4\ServerCD\GUI\Setup"/>
    <m/>
    <x v="0"/>
    <m/>
    <m/>
    <m/>
    <m/>
    <x v="1"/>
  </r>
  <r>
    <x v="76"/>
    <x v="76"/>
    <n v="4"/>
    <x v="3"/>
    <n v="4"/>
    <s v="LQA-FAT"/>
    <x v="1"/>
    <m/>
    <x v="1"/>
    <x v="1"/>
    <x v="0"/>
    <s v="MPE_3.2.4.31b1"/>
    <x v="0"/>
    <x v="14"/>
    <m/>
    <x v="0"/>
    <s v="\\192.168.3.3\Share\Releases\Product\MPE_GUI\ReleaseForLQA\TestBuild_1.0.0.2\Server CD\MPE\Setup"/>
    <s v="Pass"/>
    <x v="1"/>
    <m/>
    <m/>
    <m/>
    <s v="Pradeep Raghav"/>
    <x v="0"/>
  </r>
  <r>
    <x v="76"/>
    <x v="76"/>
    <n v="4"/>
    <x v="3"/>
    <n v="4"/>
    <s v="LQA-FAT"/>
    <x v="0"/>
    <m/>
    <x v="1"/>
    <x v="1"/>
    <x v="0"/>
    <s v="MPE_SLT-1B_3.0.1.1.1.63b1"/>
    <x v="0"/>
    <x v="10"/>
    <m/>
    <x v="0"/>
    <s v="\\192.168.3.3\Share\Releases\Projects\SLT-1B\Release_For_Test\Test_Build_1.0.0.1\Server CD\MPE\Setup"/>
    <s v="Pass"/>
    <x v="1"/>
    <m/>
    <m/>
    <m/>
    <s v="K.V. Krishnan"/>
    <x v="0"/>
  </r>
  <r>
    <x v="77"/>
    <x v="52"/>
    <n v="4"/>
    <x v="3"/>
    <n v="4"/>
    <s v="IT-LQA"/>
    <x v="1"/>
    <m/>
    <x v="5"/>
    <x v="0"/>
    <x v="0"/>
    <s v="NMDBS_4.6.1.20b1"/>
    <x v="0"/>
    <x v="24"/>
    <s v="\\192.168.3.3\Share\Releases\Product\Netmind_4.6\Build&amp;Release\ReleaseForIT\TestBuild_4.6.1\Build4\ServerCD\DBS\Setup"/>
    <x v="0"/>
    <s v="\\192.168.3.3\Share\Releases\Product\Netmind_4.6\Build&amp;Release\ReleaseForTest\TestBuild_4.6.1\Build4\ServerCD\DBS\Setup"/>
    <s v="Pass"/>
    <x v="1"/>
    <m/>
    <m/>
    <m/>
    <m/>
    <x v="0"/>
  </r>
  <r>
    <x v="77"/>
    <x v="52"/>
    <n v="4"/>
    <x v="3"/>
    <n v="4"/>
    <s v="LQA"/>
    <x v="3"/>
    <m/>
    <x v="1"/>
    <x v="1"/>
    <x v="0"/>
    <s v="MPE_OBT_3.2.1.3.1.14b1"/>
    <x v="0"/>
    <x v="20"/>
    <m/>
    <x v="0"/>
    <s v="\\192.168.3.3\share\Releases\Projects\OBT\Release_For_LQA\TestBuild_1.0.0.4\Server CD\MPE\Setup"/>
    <s v="Pass"/>
    <x v="1"/>
    <m/>
    <m/>
    <m/>
    <m/>
    <x v="0"/>
  </r>
  <r>
    <x v="77"/>
    <x v="52"/>
    <n v="4"/>
    <x v="3"/>
    <n v="4"/>
    <s v="IT-LQA"/>
    <x v="5"/>
    <m/>
    <x v="5"/>
    <x v="0"/>
    <x v="0"/>
    <s v="NMDBS_BHN_3.5.1.54.2"/>
    <x v="0"/>
    <x v="7"/>
    <s v="\\192.168.3.3\Share\Projects\Neustar\BHN\Build&amp;Release\Release For IT\Test_Build_3.5.37\Server CD\Database\Setup"/>
    <x v="0"/>
    <s v="\\192.168.3.3\Share\Projects\Neustar\BHN\Build&amp;Release\Release For Test\Test_Build_3.5.37\Server CD\Database\Setup"/>
    <s v="Pass"/>
    <x v="1"/>
    <m/>
    <m/>
    <m/>
    <m/>
    <x v="0"/>
  </r>
  <r>
    <x v="77"/>
    <x v="52"/>
    <n v="4"/>
    <x v="3"/>
    <n v="4"/>
    <s v="IT-LQA"/>
    <x v="5"/>
    <m/>
    <x v="5"/>
    <x v="0"/>
    <x v="0"/>
    <s v="NMDBS_BHN_3.5.1.55.2"/>
    <x v="0"/>
    <x v="7"/>
    <s v="\\192.168.3.3\Share\Projects\Neustar\BHN\Build&amp;Release\Release For IT\Test_Build_3.5.37\Server CD\Database\Setup"/>
    <x v="0"/>
    <s v="\\192.168.3.3\Share\Projects\Neustar\BHN\Build&amp;Release\Release For Test\Test_Build_3.5.37\Server CD\Database\Setup"/>
    <s v="Pass"/>
    <x v="1"/>
    <m/>
    <m/>
    <m/>
    <m/>
    <x v="0"/>
  </r>
  <r>
    <x v="77"/>
    <x v="52"/>
    <n v="4"/>
    <x v="3"/>
    <n v="4"/>
    <s v="IT-LQA"/>
    <x v="5"/>
    <m/>
    <x v="5"/>
    <x v="0"/>
    <x v="0"/>
    <s v="NMDBS_BHN_3.5.1.58.1"/>
    <x v="0"/>
    <x v="7"/>
    <s v="\\192.168.3.3\Share\Projects\Neustar\BHN\Build&amp;Release\Release For IT\Test_Build_3.5.37\Server CD\Database\Setup"/>
    <x v="0"/>
    <s v="\\192.168.3.3\Share\Projects\Neustar\BHN\Build&amp;Release\Release For Test\Test_Build_3.5.37\Server CD\Database\Setup"/>
    <s v="Pass"/>
    <x v="1"/>
    <m/>
    <m/>
    <m/>
    <m/>
    <x v="0"/>
  </r>
  <r>
    <x v="77"/>
    <x v="52"/>
    <n v="4"/>
    <x v="3"/>
    <n v="4"/>
    <s v="IT-LQA-AT"/>
    <x v="4"/>
    <m/>
    <x v="5"/>
    <x v="0"/>
    <x v="0"/>
    <s v="NMDBS_TLSTR_4.0.1.0.4.301b1"/>
    <x v="0"/>
    <x v="36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Deshraj"/>
    <x v="0"/>
  </r>
  <r>
    <x v="77"/>
    <x v="52"/>
    <n v="4"/>
    <x v="3"/>
    <n v="4"/>
    <s v="IT-LQA"/>
    <x v="10"/>
    <m/>
    <x v="9"/>
    <x v="0"/>
    <x v="0"/>
    <s v="NPDBS_COM_1.2.3.2.1.7b1"/>
    <x v="0"/>
    <x v="39"/>
    <s v="\\192.168.3.3\Share\Releases\Projects\Comcast\Release_For_IT\Test_Build_4.6.1\Server CD\Database\Setup"/>
    <x v="0"/>
    <s v="\\192.168.3.3\Share\Releases\Projects\Comcast\Release_for_Test\Test_Build_4.6.2\Server CD\Database\Setup"/>
    <s v="Pass"/>
    <x v="0"/>
    <m/>
    <m/>
    <m/>
    <m/>
    <x v="0"/>
  </r>
  <r>
    <x v="77"/>
    <x v="52"/>
    <n v="4"/>
    <x v="3"/>
    <n v="4"/>
    <s v="IT-LQA"/>
    <x v="10"/>
    <m/>
    <x v="5"/>
    <x v="0"/>
    <x v="0"/>
    <s v="NMDBS_COM_4.6.1.20.1.12b1"/>
    <x v="0"/>
    <x v="39"/>
    <s v="\\192.168.3.3\Share\Releases\Projects\Comcast\Release_For_IT\Test_Build_4.6.1\Server CD\Database\Setup"/>
    <x v="2"/>
    <s v="\\192.168.3.3\Share\Releases\Projects\Comcast\Release_for_Test\Test_Build_4.6.2\Server CD\Database\Setup"/>
    <m/>
    <x v="1"/>
    <m/>
    <m/>
    <m/>
    <m/>
    <x v="2"/>
  </r>
  <r>
    <x v="78"/>
    <x v="77"/>
    <n v="4"/>
    <x v="3"/>
    <n v="4"/>
    <s v="LQA-FAT"/>
    <x v="0"/>
    <m/>
    <x v="11"/>
    <x v="6"/>
    <x v="0"/>
    <s v="UTLSEQM_SLT-1B_1.0.0.0.5.4b1"/>
    <x v="0"/>
    <x v="26"/>
    <m/>
    <x v="0"/>
    <s v="\\192.168.3.3\Share\Releases\Projects\SLT-1B\Release_For_Test\Test_Build_1.0.0.1\Utility\MPE\Setup"/>
    <s v="Pass"/>
    <x v="1"/>
    <m/>
    <m/>
    <m/>
    <s v="K.V. Krishnan"/>
    <x v="0"/>
  </r>
  <r>
    <x v="78"/>
    <x v="77"/>
    <n v="4"/>
    <x v="3"/>
    <n v="4"/>
    <s v="LQA-UAT"/>
    <x v="4"/>
    <m/>
    <x v="1"/>
    <x v="1"/>
    <x v="0"/>
    <s v="MPE_TLSTR-2b_3.0.0.3.1.93b1-"/>
    <x v="0"/>
    <x v="11"/>
    <m/>
    <x v="0"/>
    <s v="\\192.168.3.3\Share\Releases\Projects\Telstra-2b\Release_For_Test\Test_Build_1.0.0.1\Server CD\MPE\Setup"/>
    <s v="Pass"/>
    <x v="0"/>
    <m/>
    <m/>
    <m/>
    <s v="Hemant Kumar Sharma"/>
    <x v="0"/>
  </r>
  <r>
    <x v="78"/>
    <x v="77"/>
    <n v="4"/>
    <x v="3"/>
    <n v="4"/>
    <s v="LQA-FAT"/>
    <x v="0"/>
    <m/>
    <x v="1"/>
    <x v="1"/>
    <x v="0"/>
    <s v="MPE_SLT-1B_3.0.1.1.1.64b1"/>
    <x v="0"/>
    <x v="10"/>
    <m/>
    <x v="0"/>
    <s v="\\192.168.3.3\Share\Releases\Projects\SLT-1B\Release_For_Test\Test_Build_1.0.0.1\Server CD\MPE\Setup"/>
    <s v="Pass"/>
    <x v="1"/>
    <m/>
    <m/>
    <m/>
    <s v="K.V. Krishnan"/>
    <x v="0"/>
  </r>
  <r>
    <x v="78"/>
    <x v="77"/>
    <n v="4"/>
    <x v="3"/>
    <n v="4"/>
    <s v="IT-LQA"/>
    <x v="10"/>
    <m/>
    <x v="5"/>
    <x v="0"/>
    <x v="0"/>
    <s v="NMDBS_COM_4.6.1.20.1.12b2"/>
    <x v="0"/>
    <x v="39"/>
    <s v="\\192.168.3.3\Share\Releases\Projects\Comcast\Release_For_IT\Test_Build_4.6.1\Server CD\Database\Setup"/>
    <x v="0"/>
    <s v="\\192.168.3.3\Share\Releases\Projects\Comcast\Release_for_Test\Test_Build_4.6.2\Server CD\Database\Setup"/>
    <s v="Pass"/>
    <x v="0"/>
    <m/>
    <m/>
    <m/>
    <m/>
    <x v="0"/>
  </r>
  <r>
    <x v="78"/>
    <x v="77"/>
    <n v="4"/>
    <x v="3"/>
    <n v="4"/>
    <s v="LQA"/>
    <x v="1"/>
    <m/>
    <x v="12"/>
    <x v="2"/>
    <x v="1"/>
    <s v="WWCSGUI_2.1.17"/>
    <x v="0"/>
    <x v="21"/>
    <m/>
    <x v="0"/>
    <s v="\\192.168.3.3\Share\Releases\Product\WEB_CS\Build&amp;Release\Release For Test\TestBuild_2.1.17\ServerCD\GUI\Setup"/>
    <m/>
    <x v="1"/>
    <m/>
    <m/>
    <m/>
    <m/>
    <x v="1"/>
  </r>
  <r>
    <x v="78"/>
    <x v="77"/>
    <n v="4"/>
    <x v="3"/>
    <n v="4"/>
    <s v="IT-LQA"/>
    <x v="10"/>
    <m/>
    <x v="5"/>
    <x v="0"/>
    <x v="0"/>
    <s v="NMDBS_COM_4.6.1.20.1.13b1"/>
    <x v="0"/>
    <x v="7"/>
    <s v="\\192.168.3.3\Share\Releases\Projects\Comcast\Release_For_IT\Test_Build_4.6.1\Server CD\Database\Setup"/>
    <x v="0"/>
    <s v="\\192.168.3.3\Share\Releases\Projects\Comcast\Release_for_Test\Test_Build_4.6.2\Server CD\Database\Setup"/>
    <s v="Pass"/>
    <x v="1"/>
    <m/>
    <m/>
    <m/>
    <m/>
    <x v="0"/>
  </r>
  <r>
    <x v="78"/>
    <x v="77"/>
    <n v="4"/>
    <x v="3"/>
    <n v="4"/>
    <s v="LQA"/>
    <x v="1"/>
    <m/>
    <x v="8"/>
    <x v="2"/>
    <x v="1"/>
    <s v="WWFSGUI_2.1.24b1"/>
    <x v="0"/>
    <x v="21"/>
    <m/>
    <x v="0"/>
    <s v="\\192.168.3.3\Share\Releases\Product\WEB_WFS\Build&amp;Release\Release For Test\TestBuild_2.1.24\ServerCD\GUI\Setup"/>
    <m/>
    <x v="1"/>
    <m/>
    <m/>
    <m/>
    <m/>
    <x v="1"/>
  </r>
  <r>
    <x v="79"/>
    <x v="78"/>
    <n v="4"/>
    <x v="3"/>
    <n v="4"/>
    <s v="LQA-FAT"/>
    <x v="0"/>
    <m/>
    <x v="1"/>
    <x v="1"/>
    <x v="0"/>
    <s v="MPE_SLT-1B_3.0.1.1.1.65b1"/>
    <x v="0"/>
    <x v="26"/>
    <m/>
    <x v="0"/>
    <s v="\\192.168.3.3\Share\Releases\Projects\SLT-1B\Release_For_Test\Test_Build_1.0.0.1\Server CD\MPE\Setup"/>
    <s v="Pass"/>
    <x v="1"/>
    <m/>
    <m/>
    <m/>
    <s v="K.V. Krishnan"/>
    <x v="0"/>
  </r>
  <r>
    <x v="79"/>
    <x v="78"/>
    <n v="4"/>
    <x v="3"/>
    <n v="4"/>
    <s v="IT-LQA-FAT"/>
    <x v="0"/>
    <m/>
    <x v="2"/>
    <x v="0"/>
    <x v="0"/>
    <s v="DMDBS_SLT_2.0.0.20.1.121b1"/>
    <x v="0"/>
    <x v="44"/>
    <s v="\\192.168.3.3\Share\Releases\Projects\SLT\Release_For_IT\Test_Build_1.0.0.4\Server CD\DBS\Setup"/>
    <x v="0"/>
    <s v="\\192.168.3.3\Share\Releases\Projects\SLT\Release_For_LQA\Test_Build_1.0.0.22\Server CD\DBS\Setup"/>
    <s v="Pass"/>
    <x v="0"/>
    <m/>
    <m/>
    <m/>
    <s v="K.V. Krishnan"/>
    <x v="0"/>
  </r>
  <r>
    <x v="79"/>
    <x v="78"/>
    <n v="4"/>
    <x v="3"/>
    <n v="4"/>
    <s v="IT-LQA"/>
    <x v="4"/>
    <m/>
    <x v="5"/>
    <x v="0"/>
    <x v="0"/>
    <s v="NMDBS_TLSTR_4.0.1.0.4.302b1"/>
    <x v="0"/>
    <x v="9"/>
    <s v="\\192.168.3.3\Share\Releases\Projects\Telstra\Release_For_IT\Test_Build_1.0.0.18\Server CD\DBS\Setup"/>
    <x v="2"/>
    <s v="\\192.168.3.3\Share\Releases\Projects\Telstra\Release_For_LQA\Test_Build_1.0.0.18\Server CD\DBS\Setup"/>
    <m/>
    <x v="1"/>
    <m/>
    <m/>
    <m/>
    <m/>
    <x v="2"/>
  </r>
  <r>
    <x v="79"/>
    <x v="78"/>
    <n v="4"/>
    <x v="3"/>
    <n v="4"/>
    <s v="IT-LQA"/>
    <x v="10"/>
    <m/>
    <x v="5"/>
    <x v="0"/>
    <x v="0"/>
    <s v="NMDBS_COM_4.6.1.20.1.14b1"/>
    <x v="0"/>
    <x v="7"/>
    <s v="\\192.168.3.3\Share\Releases\Projects\Comcast\Release_For_IT\Test_Build_4.6.1\Server CD\Database\Setup"/>
    <x v="0"/>
    <s v="\\192.168.3.3\Share\Releases\Projects\Comcast\Release_for_Test\Test_Build_4.6.2\Server CD\Database\Setup"/>
    <s v="Pass"/>
    <x v="1"/>
    <m/>
    <m/>
    <m/>
    <m/>
    <x v="0"/>
  </r>
  <r>
    <x v="79"/>
    <x v="78"/>
    <n v="4"/>
    <x v="3"/>
    <n v="4"/>
    <s v="IT-LQA"/>
    <x v="10"/>
    <m/>
    <x v="5"/>
    <x v="0"/>
    <x v="0"/>
    <s v="NMDBS_COM_4.6.1.20.1.15b1"/>
    <x v="0"/>
    <x v="7"/>
    <s v="\\192.168.3.3\Share\Releases\Projects\Comcast\Release_For_IT\Test_Build_4.6.1\Server CD\Database\Setup"/>
    <x v="0"/>
    <s v="\\192.168.3.3\Share\Releases\Projects\Comcast\Release_for_Test\Test_Build_4.6.2\Server CD\Database\Setup"/>
    <m/>
    <x v="1"/>
    <m/>
    <m/>
    <m/>
    <m/>
    <x v="1"/>
  </r>
  <r>
    <x v="79"/>
    <x v="78"/>
    <n v="4"/>
    <x v="3"/>
    <n v="4"/>
    <s v="IT-LQA-FAT"/>
    <x v="0"/>
    <m/>
    <x v="2"/>
    <x v="0"/>
    <x v="0"/>
    <s v="DMDBS_SLT_2.0.0.20.1.122b1"/>
    <x v="0"/>
    <x v="44"/>
    <s v="\\192.168.3.3\Share\Releases\Projects\SLT\Release_For_IT\Test_Build_1.0.0.4\Server CD\DBS\Setup"/>
    <x v="0"/>
    <s v="\\192.168.3.3\Share\Releases\Projects\SLT\Release_For_LQA\Test_Build_1.0.0.22\Server CD\DBS\Setup"/>
    <s v="Pass"/>
    <x v="1"/>
    <m/>
    <m/>
    <m/>
    <s v="K.V. Krishnan"/>
    <x v="0"/>
  </r>
  <r>
    <x v="79"/>
    <x v="78"/>
    <n v="4"/>
    <x v="3"/>
    <n v="4"/>
    <s v="LQA"/>
    <x v="10"/>
    <m/>
    <x v="12"/>
    <x v="2"/>
    <x v="1"/>
    <s v="WWCSGUI_COM_2.1.17.0.1"/>
    <x v="0"/>
    <x v="42"/>
    <m/>
    <x v="0"/>
    <s v="\\192.168.3.3\Share\Releases\Projects\Comcast\Release_for_Test\Test_Build_4.6.3\Server CD\GUI\Setup"/>
    <m/>
    <x v="1"/>
    <m/>
    <m/>
    <m/>
    <m/>
    <x v="1"/>
  </r>
  <r>
    <x v="79"/>
    <x v="78"/>
    <n v="4"/>
    <x v="3"/>
    <n v="4"/>
    <s v="LQA"/>
    <x v="10"/>
    <m/>
    <x v="8"/>
    <x v="2"/>
    <x v="1"/>
    <s v="WWFSGUI_COM_2.1.24.0.1"/>
    <x v="0"/>
    <x v="42"/>
    <m/>
    <x v="0"/>
    <s v="\\192.168.3.3\Share\Releases\Projects\Comcast\Release_for_Test\Test_Build_4.6.3\Server CD\GUI\Setup"/>
    <m/>
    <x v="0"/>
    <m/>
    <m/>
    <m/>
    <m/>
    <x v="1"/>
  </r>
  <r>
    <x v="80"/>
    <x v="79"/>
    <n v="4"/>
    <x v="3"/>
    <n v="4"/>
    <s v="IT-LQA"/>
    <x v="10"/>
    <m/>
    <x v="5"/>
    <x v="0"/>
    <x v="0"/>
    <s v="NMDBS_COM_4.6.1.20.1.16b1"/>
    <x v="0"/>
    <x v="7"/>
    <s v="\\192.168.3.3\Share\Releases\Projects\Comcast\Release_For_IT\Test_Build_4.6.1\Server CD\Database\Setup"/>
    <x v="0"/>
    <s v="\\192.168.3.3\Share\Releases\Projects\Comcast\Release_for_Test\Test_Build_4.6.3\Server CD\Database\Setup"/>
    <s v="Pass"/>
    <x v="0"/>
    <m/>
    <m/>
    <m/>
    <m/>
    <x v="0"/>
  </r>
  <r>
    <x v="80"/>
    <x v="79"/>
    <n v="4"/>
    <x v="3"/>
    <n v="4"/>
    <s v="LQA"/>
    <x v="10"/>
    <m/>
    <x v="1"/>
    <x v="1"/>
    <x v="0"/>
    <s v="MPE_COM_3.2.5.0.2.2b2"/>
    <x v="0"/>
    <x v="46"/>
    <m/>
    <x v="0"/>
    <s v="\\192.168.3.3\Share\Releases\Projects\Comcast\Release_for_Test\Test_Build_4.6.3\Server CD\MPE\Setup"/>
    <m/>
    <x v="1"/>
    <m/>
    <m/>
    <m/>
    <m/>
    <x v="1"/>
  </r>
  <r>
    <x v="80"/>
    <x v="79"/>
    <n v="4"/>
    <x v="3"/>
    <n v="4"/>
    <s v="IT-LQA-FAT"/>
    <x v="0"/>
    <m/>
    <x v="2"/>
    <x v="0"/>
    <x v="0"/>
    <s v="DMDBS_SLT_2.0.0.18.1.99b2"/>
    <x v="0"/>
    <x v="38"/>
    <s v="\\192.168.3.3\Share\Releases\Projects\SLT\Release_For_IT\Test_Build_1.0.0.4\Server CD\DBS\Setup"/>
    <x v="0"/>
    <s v="\\192.168.3.3\Share\Releases\Projects\SLT\Release_For_LQA\Test_Build_1.0.0.22\Server CD\DBS\Setup"/>
    <s v="Pass"/>
    <x v="1"/>
    <m/>
    <m/>
    <m/>
    <s v="K.V. Krishnan"/>
    <x v="0"/>
  </r>
  <r>
    <x v="80"/>
    <x v="79"/>
    <n v="4"/>
    <x v="3"/>
    <n v="4"/>
    <s v="IT-LQA-FAT"/>
    <x v="0"/>
    <m/>
    <x v="2"/>
    <x v="0"/>
    <x v="0"/>
    <s v="DMDBS_SLT_2.0.0.18.1.101b2"/>
    <x v="0"/>
    <x v="38"/>
    <s v="\\192.168.3.3\Share\Releases\Projects\SLT\Release_For_IT\Test_Build_1.0.0.4\Server CD\DBS\Setup"/>
    <x v="0"/>
    <s v="\\192.168.3.3\Share\Releases\Projects\SLT\Release_For_LQA\Test_Build_1.0.0.22\Server CD\DBS\Setup"/>
    <s v="Pass"/>
    <x v="1"/>
    <m/>
    <m/>
    <m/>
    <s v="K.V. Krishnan"/>
    <x v="0"/>
  </r>
  <r>
    <x v="80"/>
    <x v="79"/>
    <n v="4"/>
    <x v="3"/>
    <n v="4"/>
    <s v="LQA"/>
    <x v="1"/>
    <m/>
    <x v="9"/>
    <x v="0"/>
    <x v="1"/>
    <s v="NPDBS_1.3.1b3"/>
    <x v="0"/>
    <x v="23"/>
    <m/>
    <x v="0"/>
    <s v="\\192.168.3.3\Share\Releases\Product\NetMindPOS_1.3\Build&amp;Release\Release_For_LQA\Test_Build_1.0.1\Server CD\DBS\Setup"/>
    <m/>
    <x v="1"/>
    <m/>
    <m/>
    <m/>
    <m/>
    <x v="1"/>
  </r>
  <r>
    <x v="80"/>
    <x v="79"/>
    <n v="4"/>
    <x v="3"/>
    <n v="4"/>
    <s v="LQA"/>
    <x v="1"/>
    <m/>
    <x v="5"/>
    <x v="0"/>
    <x v="1"/>
    <s v="NMDBS_4.7.1b5"/>
    <x v="0"/>
    <x v="24"/>
    <m/>
    <x v="0"/>
    <s v="\\192.168.3.3\Share\Releases\Product\Netmind_4.7\Build&amp;Release\Release_For_LQA\Test_Build_1.0.1\Server CD\DBS\Setup"/>
    <m/>
    <x v="1"/>
    <m/>
    <m/>
    <m/>
    <m/>
    <x v="1"/>
  </r>
  <r>
    <x v="80"/>
    <x v="80"/>
    <n v="4"/>
    <x v="3"/>
    <n v="4"/>
    <s v="IT-LQA"/>
    <x v="10"/>
    <m/>
    <x v="9"/>
    <x v="0"/>
    <x v="0"/>
    <s v="NPDBS_COM_1.2.3.6.1.8b1"/>
    <x v="0"/>
    <x v="7"/>
    <s v="\\192.168.3.3\Share\Releases\Projects\Comcast\Release_For_IT\Test_Build_4.6.1\Server CD\Database\Setup"/>
    <x v="0"/>
    <s v="\\192.168.3.3\Share\Releases\Projects\Comcast\Release_for_Test\Test_Build_4.6.3\Server CD\Database\Setup"/>
    <s v="Pass"/>
    <x v="0"/>
    <m/>
    <m/>
    <m/>
    <m/>
    <x v="0"/>
  </r>
  <r>
    <x v="81"/>
    <x v="80"/>
    <n v="4"/>
    <x v="3"/>
    <n v="4"/>
    <s v="IT-LQA"/>
    <x v="10"/>
    <m/>
    <x v="5"/>
    <x v="0"/>
    <x v="0"/>
    <s v="NMDBS_COM_4.6.1.20.1.17b1"/>
    <x v="0"/>
    <x v="7"/>
    <s v="\\192.168.3.3\Share\Releases\Projects\Comcast\Release_For_IT\Test_Build_4.6.1\Server CD\Database\Setup"/>
    <x v="0"/>
    <s v="\\192.168.3.3\Share\Releases\Projects\Comcast\Release_for_Test\Test_Build_4.6.3\Server CD\Database\Setup"/>
    <s v="Pass"/>
    <x v="1"/>
    <m/>
    <m/>
    <m/>
    <m/>
    <x v="0"/>
  </r>
  <r>
    <x v="81"/>
    <x v="80"/>
    <n v="4"/>
    <x v="3"/>
    <n v="4"/>
    <s v="IT-LQA"/>
    <x v="0"/>
    <m/>
    <x v="2"/>
    <x v="0"/>
    <x v="0"/>
    <s v="DMDBS_SLT_2.0.0.20.1.120b1"/>
    <x v="0"/>
    <x v="17"/>
    <s v="\\192.168.3.3\Share\Releases\Projects\SLT\Release_For_IT\Test_Build_1.0.0.4\Server CD\DBS\Setup"/>
    <x v="2"/>
    <s v="\\192.168.3.3\Share\Releases\Projects\SLT\Release_For_LQA\Test_Build_1.0.0.22\Server CD\DBS\Setup"/>
    <m/>
    <x v="0"/>
    <m/>
    <m/>
    <m/>
    <m/>
    <x v="2"/>
  </r>
  <r>
    <x v="81"/>
    <x v="80"/>
    <n v="4"/>
    <x v="3"/>
    <n v="4"/>
    <s v="LQA-FAT"/>
    <x v="0"/>
    <m/>
    <x v="1"/>
    <x v="1"/>
    <x v="0"/>
    <s v=" MPE_SLT-1B_3.0.1.1.1.66b1"/>
    <x v="0"/>
    <x v="26"/>
    <m/>
    <x v="0"/>
    <s v="\\192.168.3.3\Share\Releases\Projects\SLT-1B\Release_For_Test\Test_Build_1.0.0.1\Server CD\MPE\Setup"/>
    <s v="Pass"/>
    <x v="1"/>
    <m/>
    <m/>
    <m/>
    <s v="K.V. Krishnan"/>
    <x v="0"/>
  </r>
  <r>
    <x v="81"/>
    <x v="80"/>
    <n v="4"/>
    <x v="3"/>
    <n v="4"/>
    <s v="IT-LQA"/>
    <x v="1"/>
    <m/>
    <x v="9"/>
    <x v="0"/>
    <x v="0"/>
    <s v="NPDBS_1.2.3.7b1"/>
    <x v="0"/>
    <x v="23"/>
    <s v="\\192.168.3.3\share\Releases\Product\NetMindPOS_1.1\Build&amp;Release\Release for IT\TestBuild_1.2.3\Server CD\DBS\Setup"/>
    <x v="2"/>
    <s v="\\192.168.3.3\share\Releases\Product\NetMindPOS_1.1\Build&amp;Release\Release for LQA\TestBuild_1.2.3\Server CD\DBS\Setup"/>
    <m/>
    <x v="1"/>
    <m/>
    <m/>
    <m/>
    <m/>
    <x v="2"/>
  </r>
  <r>
    <x v="81"/>
    <x v="80"/>
    <n v="4"/>
    <x v="3"/>
    <n v="4"/>
    <s v="LQA-FAT"/>
    <x v="4"/>
    <m/>
    <x v="1"/>
    <x v="1"/>
    <x v="0"/>
    <s v="MPE_TLSTR-2b_3.0.0.3.1.94b1"/>
    <x v="0"/>
    <x v="11"/>
    <m/>
    <x v="0"/>
    <s v="\\192.168.3.3\Share\Releases\Projects\Telstra-2b\Release_For_Test\Test_Build_1.0.0.1\Server CD\MPE\Setup"/>
    <s v="Pass"/>
    <x v="1"/>
    <m/>
    <m/>
    <m/>
    <s v="Ashwani "/>
    <x v="0"/>
  </r>
  <r>
    <x v="81"/>
    <x v="80"/>
    <n v="4"/>
    <x v="3"/>
    <n v="4"/>
    <s v="IT-LQA-FAT"/>
    <x v="0"/>
    <m/>
    <x v="2"/>
    <x v="0"/>
    <x v="0"/>
    <s v="DMDBS_SLT_2.0.0.20.1.120b2"/>
    <x v="0"/>
    <x v="17"/>
    <s v="\\192.168.3.3\Share\Releases\Projects\SLT\Release_For_IT\Test_Build_1.0.0.4\Server CD\DBS\Setup"/>
    <x v="0"/>
    <s v="\\192.168.3.3\Share\Releases\Projects\SLT\Release_For_LQA\Test_Build_1.0.0.22\Server CD\DBS\Setup"/>
    <s v="Pass"/>
    <x v="1"/>
    <m/>
    <m/>
    <m/>
    <s v="Vijay Singh Daagar"/>
    <x v="0"/>
  </r>
  <r>
    <x v="81"/>
    <x v="80"/>
    <n v="4"/>
    <x v="3"/>
    <n v="4"/>
    <s v="LQA"/>
    <x v="3"/>
    <m/>
    <x v="6"/>
    <x v="6"/>
    <x v="0"/>
    <s v="IM_OBT_1.0.1.0.1"/>
    <x v="0"/>
    <x v="13"/>
    <m/>
    <x v="0"/>
    <s v="\\192.168.3.3\share\Releases\Projects\OBT\Release_For_LQA\TestBuild_1.0.0.4\Utility\Setup"/>
    <s v="Pass"/>
    <x v="0"/>
    <m/>
    <m/>
    <m/>
    <m/>
    <x v="0"/>
  </r>
  <r>
    <x v="81"/>
    <x v="80"/>
    <n v="4"/>
    <x v="3"/>
    <n v="4"/>
    <s v="IT-LQA"/>
    <x v="10"/>
    <m/>
    <x v="5"/>
    <x v="0"/>
    <x v="0"/>
    <s v="NMDBS_COM_4.6.1.20.1.18b1"/>
    <x v="0"/>
    <x v="39"/>
    <s v="\\192.168.3.3\Share\Releases\Projects\Comcast\Release_For_IT\Test_Build_4.6.1\Server CD\Database\Setup"/>
    <x v="0"/>
    <s v="\\192.168.3.3\Share\Releases\Projects\Comcast\Release_for_Test\Test_Build_4.6.3\Server CD\Database\Setup"/>
    <m/>
    <x v="1"/>
    <m/>
    <m/>
    <m/>
    <m/>
    <x v="1"/>
  </r>
  <r>
    <x v="81"/>
    <x v="80"/>
    <n v="4"/>
    <x v="3"/>
    <n v="4"/>
    <s v="IT-LQA"/>
    <x v="1"/>
    <m/>
    <x v="4"/>
    <x v="0"/>
    <x v="0"/>
    <s v="RADBS_2.1.1.5b1 "/>
    <x v="0"/>
    <x v="45"/>
    <s v="\\192.168.3.3\Share\Releases\Product\RevMind_2.1\Build&amp;Release\Release_For_IT\TestBuild_1.0.1\Server CD\DBS\Setup"/>
    <x v="0"/>
    <s v="\\192.168.3.3\Share\Releases\Product\RevMind_2.1\Build&amp;Release\Release_For_LQA\Test_Build_1.0.2\Server CD\DBS\Setup"/>
    <s v="Pass"/>
    <x v="0"/>
    <m/>
    <m/>
    <m/>
    <m/>
    <x v="0"/>
  </r>
  <r>
    <x v="82"/>
    <x v="81"/>
    <n v="4"/>
    <x v="3"/>
    <n v="4"/>
    <s v="LQA"/>
    <x v="1"/>
    <m/>
    <x v="4"/>
    <x v="4"/>
    <x v="0"/>
    <s v="RACS_2.5.6.1b4"/>
    <x v="0"/>
    <x v="40"/>
    <m/>
    <x v="0"/>
    <s v="\\192.168.3.3\Share\Releases\Product\RevMind_2.1\Build&amp;Release\Release_For_LQA\Test_Build_1.0.2\Server CD\GUI\CS\Setup"/>
    <m/>
    <x v="1"/>
    <m/>
    <m/>
    <m/>
    <m/>
    <x v="1"/>
  </r>
  <r>
    <x v="82"/>
    <x v="81"/>
    <n v="4"/>
    <x v="3"/>
    <n v="4"/>
    <s v="IT-LQA"/>
    <x v="10"/>
    <m/>
    <x v="9"/>
    <x v="0"/>
    <x v="0"/>
    <s v="NPDBS_COM_1.2.3.6.1.9b1"/>
    <x v="0"/>
    <x v="39"/>
    <s v="\\192.168.3.3\Share\Releases\Projects\Comcast\Release_For_IT\Test_Build_4.6.1\Server CD\Database\Setup"/>
    <x v="0"/>
    <s v="\\192.168.3.3\Share\Releases\Projects\Comcast\Release_for_Test\Test_Build_4.6.3\Server CD\Database\Setup"/>
    <s v="Pass"/>
    <x v="1"/>
    <m/>
    <m/>
    <m/>
    <m/>
    <x v="0"/>
  </r>
  <r>
    <x v="82"/>
    <x v="81"/>
    <n v="4"/>
    <x v="3"/>
    <n v="4"/>
    <s v="LQA-FAT"/>
    <x v="0"/>
    <m/>
    <x v="1"/>
    <x v="1"/>
    <x v="0"/>
    <s v="MPE_SLT-1B_3.0.1.1.1.67b1"/>
    <x v="0"/>
    <x v="10"/>
    <m/>
    <x v="0"/>
    <s v="\\192.168.3.3\Share\Releases\Projects\SLT-1B\Release_For_Test\Test_Build_1.0.0.1\Server CD\MPE\Setup"/>
    <s v="Pass"/>
    <x v="1"/>
    <m/>
    <m/>
    <m/>
    <s v="K.V. Krishnan"/>
    <x v="0"/>
  </r>
  <r>
    <x v="82"/>
    <x v="81"/>
    <n v="4"/>
    <x v="3"/>
    <n v="4"/>
    <s v="LQA-FAT"/>
    <x v="0"/>
    <m/>
    <x v="11"/>
    <x v="6"/>
    <x v="0"/>
    <s v="UTLSEQM_SLT-1B_1.0.0.0.5.5b1"/>
    <x v="0"/>
    <x v="10"/>
    <m/>
    <x v="0"/>
    <s v="\\192.168.3.3\Share\Releases\Projects\SLT-1B\Release_For_Test\Test_Build_1.0.0.1\Utility\MPE\Setup"/>
    <s v="Pass"/>
    <x v="1"/>
    <m/>
    <m/>
    <m/>
    <s v="K.V. Krishnan"/>
    <x v="0"/>
  </r>
  <r>
    <x v="82"/>
    <x v="81"/>
    <n v="4"/>
    <x v="3"/>
    <n v="4"/>
    <s v="LQA-AT"/>
    <x v="4"/>
    <m/>
    <x v="11"/>
    <x v="6"/>
    <x v="0"/>
    <s v="UTLIM_TLSTR_1.0.0.66.2b1"/>
    <x v="0"/>
    <x v="13"/>
    <m/>
    <x v="0"/>
    <s v="\\192.168.3.3\Share\Releases\Projects\Telstra\Release_For_LQA\Test_Build_1.0.0.18\Utility\Setup"/>
    <s v="Pass"/>
    <x v="1"/>
    <m/>
    <m/>
    <m/>
    <s v="Deshraj"/>
    <x v="0"/>
  </r>
  <r>
    <x v="82"/>
    <x v="81"/>
    <n v="4"/>
    <x v="3"/>
    <n v="4"/>
    <s v="LQA"/>
    <x v="1"/>
    <m/>
    <x v="0"/>
    <x v="2"/>
    <x v="1"/>
    <s v="REGUI_1.0.10b1"/>
    <x v="0"/>
    <x v="13"/>
    <m/>
    <x v="0"/>
    <s v="\\192.168.3.3\Share\Releases\Product\RE_1.0\ReleaseForLQA\TestBuild_1.0.1\GUI\Setup"/>
    <m/>
    <x v="1"/>
    <m/>
    <m/>
    <m/>
    <m/>
    <x v="1"/>
  </r>
  <r>
    <x v="82"/>
    <x v="81"/>
    <n v="4"/>
    <x v="3"/>
    <n v="4"/>
    <s v="LQA-FAT"/>
    <x v="0"/>
    <m/>
    <x v="0"/>
    <x v="2"/>
    <x v="1"/>
    <s v="REGUI_SLT_1.0.10.0.1 "/>
    <x v="0"/>
    <x v="13"/>
    <m/>
    <x v="0"/>
    <s v="\\192.168.3.3\Share\Releases\Projects\SLT\Release_For_LQA\Test_Build_1.0.0.23\Server CD\GUI\Setup"/>
    <s v="Pass"/>
    <x v="1"/>
    <m/>
    <m/>
    <m/>
    <s v="Ravi Gautam"/>
    <x v="0"/>
  </r>
  <r>
    <x v="83"/>
    <x v="82"/>
    <n v="4"/>
    <x v="3"/>
    <n v="4"/>
    <s v="IT-LQA-FAT"/>
    <x v="1"/>
    <m/>
    <x v="0"/>
    <x v="0"/>
    <x v="0"/>
    <s v="REDBS_1.0.1.23b1"/>
    <x v="0"/>
    <x v="0"/>
    <s v="\\192.168.3.3\Share\Releases\Product\RE_1.0\ReleaseForIT\TestBuild_1.0.1\DBS\Build4\Setup"/>
    <x v="0"/>
    <s v="\\192.168.3.3\Share\Releases\Product\RE_1.0\ReleaseForLQA\TestBuild_1.0.1\DBS\Build4\Setup"/>
    <s v="Pass"/>
    <x v="1"/>
    <m/>
    <m/>
    <m/>
    <s v="Ravi Gautam"/>
    <x v="0"/>
  </r>
  <r>
    <x v="83"/>
    <x v="82"/>
    <n v="4"/>
    <x v="3"/>
    <n v="4"/>
    <s v="LQA-UAT"/>
    <x v="1"/>
    <m/>
    <x v="1"/>
    <x v="1"/>
    <x v="0"/>
    <s v="MPE_3.2.4.30b2"/>
    <x v="0"/>
    <x v="14"/>
    <m/>
    <x v="0"/>
    <s v="\\192.168.3.3\Share\Releases\Product\MPE_GUI\ReleaseForLQA\TestBuild_1.0.0.2\Server CD\MPE\Setup"/>
    <s v="Pass"/>
    <x v="1"/>
    <m/>
    <m/>
    <m/>
    <s v="Pradeep Raghav"/>
    <x v="0"/>
  </r>
  <r>
    <x v="83"/>
    <x v="82"/>
    <n v="4"/>
    <x v="3"/>
    <n v="4"/>
    <s v="IT-LQA-FAT"/>
    <x v="1"/>
    <m/>
    <x v="7"/>
    <x v="0"/>
    <x v="0"/>
    <s v="RTDBS_4.0.1.17b2"/>
    <x v="0"/>
    <x v="38"/>
    <s v="\\192.168.3.3\Share\Releases\Product\RT_4.0\ReleaseForIT\TestBuild_4.0.3\DBS\Setup"/>
    <x v="0"/>
    <s v="\\192.168.3.3\Share\Releases\Product\RT_4.0\ReleaseForLQA\TestBuild_4.0.22\DBS\Setup"/>
    <s v="Pass"/>
    <x v="0"/>
    <m/>
    <m/>
    <m/>
    <s v="Harsh Khanna"/>
    <x v="0"/>
  </r>
  <r>
    <x v="84"/>
    <x v="83"/>
    <n v="4"/>
    <x v="3"/>
    <n v="4"/>
    <s v="LQA-AT"/>
    <x v="4"/>
    <m/>
    <x v="1"/>
    <x v="1"/>
    <x v="0"/>
    <s v="MPE_TLSTR-2b_3.0.0.3.1.95b1"/>
    <x v="0"/>
    <x v="6"/>
    <m/>
    <x v="0"/>
    <s v="\\192.168.3.3\Share\Releases\Projects\Telstra-2b\Release_For_Test\Test_Build_1.0.0.1\Server CD\MPE\Setup"/>
    <s v="Pass"/>
    <x v="0"/>
    <m/>
    <m/>
    <m/>
    <s v="Ashwani "/>
    <x v="0"/>
  </r>
  <r>
    <x v="84"/>
    <x v="83"/>
    <n v="4"/>
    <x v="3"/>
    <n v="4"/>
    <s v="IT-LQA"/>
    <x v="5"/>
    <m/>
    <x v="5"/>
    <x v="0"/>
    <x v="0"/>
    <s v="NMDBS_BHN_3.5.1.59.1"/>
    <x v="0"/>
    <x v="7"/>
    <s v="\\192.168.3.3\Share\Projects\Neustar\BHN\Build&amp;Release\Release For IT\Test_Build_3.5.37\Server CD\Database\Setup"/>
    <x v="0"/>
    <s v="\\192.168.3.3\Share\Projects\Neustar\BHN\Build&amp;Release\Release For Test\Test_Build_3.5.37\Server CD\Database\Setup"/>
    <s v="Pass"/>
    <x v="1"/>
    <m/>
    <m/>
    <m/>
    <m/>
    <x v="0"/>
  </r>
  <r>
    <x v="84"/>
    <x v="83"/>
    <n v="4"/>
    <x v="3"/>
    <n v="4"/>
    <s v="LQA"/>
    <x v="1"/>
    <m/>
    <x v="1"/>
    <x v="1"/>
    <x v="0"/>
    <s v="MPE_3.2.4.32b1"/>
    <x v="0"/>
    <x v="14"/>
    <m/>
    <x v="2"/>
    <s v="\\192.168.3.3\Share\Releases\Product\MPE_GUI\ReleaseForLQA\TestBuild_1.0.0.2\Server CD\MPE\Setup"/>
    <m/>
    <x v="0"/>
    <m/>
    <m/>
    <m/>
    <m/>
    <x v="2"/>
  </r>
  <r>
    <x v="84"/>
    <x v="83"/>
    <n v="4"/>
    <x v="3"/>
    <n v="4"/>
    <s v="IT-LQA"/>
    <x v="10"/>
    <m/>
    <x v="5"/>
    <x v="0"/>
    <x v="0"/>
    <s v="NMDBS_COM_4.6.1.16.1.5b2"/>
    <x v="0"/>
    <x v="7"/>
    <s v="\\192.168.3.3\Share\Releases\Projects\Comcast\Release_For_IT\Test_Build_4.6.1\Server CD\Database\Setup"/>
    <x v="0"/>
    <s v="\\192.168.3.3\Share\Releases\Projects\Comcast\Release_for_Test\Test_Build_4.6.3\Server CD\Database\Setup"/>
    <s v="Pass"/>
    <x v="1"/>
    <m/>
    <m/>
    <m/>
    <m/>
    <x v="0"/>
  </r>
  <r>
    <x v="84"/>
    <x v="83"/>
    <n v="4"/>
    <x v="3"/>
    <n v="4"/>
    <s v="LQA"/>
    <x v="1"/>
    <m/>
    <x v="1"/>
    <x v="1"/>
    <x v="0"/>
    <s v="MPE_NM46_3.2.5.1.1.5b1"/>
    <x v="0"/>
    <x v="6"/>
    <m/>
    <x v="0"/>
    <s v="\\192.168.3.3\Share\Releases\Projects\NM46\Release_For_Test\Test_Build_1.0.0.1\Server CD\MPE\Setup"/>
    <m/>
    <x v="1"/>
    <m/>
    <m/>
    <m/>
    <m/>
    <x v="1"/>
  </r>
  <r>
    <x v="84"/>
    <x v="0"/>
    <n v="4"/>
    <x v="3"/>
    <s v="False"/>
    <s v="IT"/>
    <x v="2"/>
    <m/>
    <x v="3"/>
    <x v="0"/>
    <x v="0"/>
    <s v="RMDBS_SHAW_2.0.1.0.1.45b1"/>
    <x v="0"/>
    <x v="3"/>
    <s v="\\192.168.3.3\Share\Releases\Projects\SHAW\Release_For_IT\Test_Build_1.0.0.27\Server CD\DBS\Setup"/>
    <x v="0"/>
    <m/>
    <m/>
    <x v="1"/>
    <m/>
    <m/>
    <m/>
    <m/>
    <x v="1"/>
  </r>
  <r>
    <x v="84"/>
    <x v="0"/>
    <n v="4"/>
    <x v="3"/>
    <s v="False"/>
    <s v="IT"/>
    <x v="1"/>
    <m/>
    <x v="5"/>
    <x v="0"/>
    <x v="0"/>
    <s v="NMDBS_4.6.1.21b1"/>
    <x v="0"/>
    <x v="24"/>
    <s v="\\192.168.3.3\Share\Releases\Product\Netmind_4.6\Build&amp;Release\ReleaseForIT\TestBuild_4.6.1\Build4\ServerCD\DBS\Setup"/>
    <x v="1"/>
    <m/>
    <m/>
    <x v="1"/>
    <m/>
    <m/>
    <m/>
    <m/>
    <x v="2"/>
  </r>
  <r>
    <x v="85"/>
    <x v="84"/>
    <n v="4"/>
    <x v="3"/>
    <n v="4"/>
    <s v="IT-LQA-FAT"/>
    <x v="0"/>
    <m/>
    <x v="2"/>
    <x v="0"/>
    <x v="0"/>
    <s v="DMDBS_SLT_2.0.0.20.1.123b1"/>
    <x v="0"/>
    <x v="17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86"/>
    <x v="85"/>
    <n v="4"/>
    <x v="3"/>
    <n v="4"/>
    <s v="LQA"/>
    <x v="1"/>
    <m/>
    <x v="4"/>
    <x v="4"/>
    <x v="0"/>
    <s v="RACS_2.5.6.1b5"/>
    <x v="0"/>
    <x v="40"/>
    <m/>
    <x v="0"/>
    <s v="\\192.168.3.3\Share\Releases\Product\RevMind_2.1\Build&amp;Release\Release_For_LQA\Test_Build_1.0.2\Server CD\GUI\CS\Setup"/>
    <m/>
    <x v="1"/>
    <m/>
    <m/>
    <m/>
    <m/>
    <x v="1"/>
  </r>
  <r>
    <x v="86"/>
    <x v="85"/>
    <n v="4"/>
    <x v="3"/>
    <n v="4"/>
    <s v="IT-LQA"/>
    <x v="8"/>
    <m/>
    <x v="5"/>
    <x v="0"/>
    <x v="0"/>
    <s v="NMDBS_TWC_4.6.1.11.3.36b1"/>
    <x v="0"/>
    <x v="19"/>
    <s v="\\192.168.3.3\Share\Releases\Projects\TWC\Release_For_IT\Test_Build_1.0.0.3\Server CD\DBS\Setup"/>
    <x v="2"/>
    <s v="\\192.168.3.3\Share\Releases\Projects\TWC\Release_For_Test\Test_Build_1.0.0.4\Server CD\DBS\Setup"/>
    <m/>
    <x v="1"/>
    <m/>
    <m/>
    <m/>
    <m/>
    <x v="2"/>
  </r>
  <r>
    <x v="86"/>
    <x v="85"/>
    <n v="4"/>
    <x v="3"/>
    <n v="4"/>
    <s v="IT-LQA"/>
    <x v="1"/>
    <m/>
    <x v="4"/>
    <x v="0"/>
    <x v="0"/>
    <s v="RADBS_2.1.1.6b1"/>
    <x v="0"/>
    <x v="45"/>
    <s v="\\192.168.3.3\Share\Releases\Product\RevMind_2.1\Build&amp;Release\Release_For_IT\TestBuild_1.0.1\Server CD\DBS\Setup"/>
    <x v="0"/>
    <s v="\\192.168.3.3\Share\Releases\Product\RevMind_2.1\Build&amp;Release\Release_For_LQA\Test_Build_1.0.2\Server CD\DBS\Setup"/>
    <s v="Pass"/>
    <x v="1"/>
    <m/>
    <m/>
    <m/>
    <m/>
    <x v="0"/>
  </r>
  <r>
    <x v="86"/>
    <x v="85"/>
    <n v="4"/>
    <x v="3"/>
    <n v="4"/>
    <s v="IT-LQA"/>
    <x v="10"/>
    <m/>
    <x v="9"/>
    <x v="0"/>
    <x v="0"/>
    <s v="NPDBS_COM_1.2.3.6.1.10b1"/>
    <x v="0"/>
    <x v="7"/>
    <s v="\\192.168.3.3\Share\Releases\Projects\Comcast\Release_For_IT\Test_Build_4.6.1\Server CD\Database\Setup"/>
    <x v="0"/>
    <s v="\\192.168.3.3\Share\Releases\Projects\Comcast\Release_for_Test\Test_Build_4.6.3\Server CD\Database\Setup"/>
    <s v="Pass"/>
    <x v="1"/>
    <m/>
    <m/>
    <m/>
    <m/>
    <x v="0"/>
  </r>
  <r>
    <x v="86"/>
    <x v="85"/>
    <n v="4"/>
    <x v="3"/>
    <n v="4"/>
    <s v="IT-LQA"/>
    <x v="10"/>
    <m/>
    <x v="5"/>
    <x v="0"/>
    <x v="0"/>
    <s v="NMDBS_COM_4.6.1.20.1.19b1"/>
    <x v="0"/>
    <x v="7"/>
    <s v="\\192.168.3.3\Share\Releases\Projects\Comcast\Release_For_IT\Test_Build_4.6.1\Server CD\Database\Setup"/>
    <x v="2"/>
    <s v="\\192.168.3.3\Share\Releases\Projects\Comcast\Release_for_Test\Test_Build_4.6.3\Server CD\Database\Setup"/>
    <m/>
    <x v="1"/>
    <m/>
    <m/>
    <m/>
    <m/>
    <x v="2"/>
  </r>
  <r>
    <x v="87"/>
    <x v="86"/>
    <n v="4"/>
    <x v="3"/>
    <n v="4"/>
    <s v="IT-LQA-FAT"/>
    <x v="0"/>
    <m/>
    <x v="2"/>
    <x v="0"/>
    <x v="0"/>
    <s v="DMDBS_SLT_2.0.0.20.1.124b1"/>
    <x v="0"/>
    <x v="17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Nisha Malik"/>
    <x v="0"/>
  </r>
  <r>
    <x v="87"/>
    <x v="86"/>
    <n v="4"/>
    <x v="3"/>
    <n v="4"/>
    <s v="LQA"/>
    <x v="1"/>
    <m/>
    <x v="8"/>
    <x v="2"/>
    <x v="0"/>
    <s v="WWFSGUI_2.2.1b6"/>
    <x v="0"/>
    <x v="40"/>
    <m/>
    <x v="0"/>
    <s v="\\192.168.3.3\Share\Releases\Product\WEB_WFS\Build&amp;Release\Release For Test\TestBuild_2.2.1\Build4\ServerCD\GUI\Setup"/>
    <m/>
    <x v="1"/>
    <m/>
    <m/>
    <m/>
    <m/>
    <x v="1"/>
  </r>
  <r>
    <x v="87"/>
    <x v="86"/>
    <n v="4"/>
    <x v="3"/>
    <n v="4"/>
    <s v="LQA"/>
    <x v="1"/>
    <m/>
    <x v="11"/>
    <x v="6"/>
    <x v="1"/>
    <s v="AWF_2.0.1b28"/>
    <x v="0"/>
    <x v="31"/>
    <m/>
    <x v="0"/>
    <s v="\\192.168.3.3\Share\Releases\Product\AWF\Build&amp;Release\Release For Test\TestBuild_2.0.1\Setup"/>
    <m/>
    <x v="1"/>
    <m/>
    <m/>
    <m/>
    <m/>
    <x v="1"/>
  </r>
  <r>
    <x v="87"/>
    <x v="86"/>
    <n v="4"/>
    <x v="3"/>
    <n v="4"/>
    <s v="IT-LQA"/>
    <x v="10"/>
    <m/>
    <x v="5"/>
    <x v="0"/>
    <x v="0"/>
    <s v="NMDBS_COM_4.6.1.20.1.19b2"/>
    <x v="0"/>
    <x v="39"/>
    <s v="\\192.168.3.3\Share\Releases\Projects\Comcast\Release_For_IT\Test_Build_4.6.1\Server CD\Database\Setup"/>
    <x v="0"/>
    <s v="\\192.168.3.3\Share\Releases\Projects\Comcast\Release_for_Test\Test_Build_4.6.3\Server CD\Database\Setup"/>
    <s v="Pass"/>
    <x v="0"/>
    <m/>
    <m/>
    <m/>
    <m/>
    <x v="0"/>
  </r>
  <r>
    <x v="87"/>
    <x v="86"/>
    <n v="4"/>
    <x v="3"/>
    <n v="4"/>
    <s v="IT-LQA"/>
    <x v="1"/>
    <m/>
    <x v="5"/>
    <x v="0"/>
    <x v="0"/>
    <s v="NMDBS_4.6.1.21b2"/>
    <x v="0"/>
    <x v="24"/>
    <s v="\\192.168.3.3\Share\Releases\Product\Netmind_4.6\Build&amp;Release\ReleaseForIT\TestBuild_4.6.1\Build4\ServerCD\DBS\Setup"/>
    <x v="0"/>
    <s v="\\192.168.3.3\Share\Releases\Product\Netmind_4.6\Build&amp;Release\ReleaseForTest\TestBuild_4.6.1\Build4\ServerCD\DBS\Setup"/>
    <s v="Pass"/>
    <x v="1"/>
    <m/>
    <m/>
    <m/>
    <m/>
    <x v="0"/>
  </r>
  <r>
    <x v="87"/>
    <x v="86"/>
    <n v="4"/>
    <x v="3"/>
    <n v="4"/>
    <s v="LQA"/>
    <x v="1"/>
    <m/>
    <x v="8"/>
    <x v="2"/>
    <x v="0"/>
    <s v="WWFSGUI_2.1.25b2"/>
    <x v="0"/>
    <x v="21"/>
    <m/>
    <x v="0"/>
    <s v="\\192.168.3.3\Share\Releases\Product\WEB_WFS\Build&amp;Release\Release For Test\TestBuild_2.1.25\ServerCD\GUI\Setup"/>
    <m/>
    <x v="1"/>
    <m/>
    <m/>
    <m/>
    <m/>
    <x v="1"/>
  </r>
  <r>
    <x v="87"/>
    <x v="86"/>
    <n v="4"/>
    <x v="3"/>
    <n v="4"/>
    <s v="IT-LQA"/>
    <x v="4"/>
    <m/>
    <x v="5"/>
    <x v="0"/>
    <x v="0"/>
    <s v="NMDBS_TLSTR_4.0.1.0.4.302b2"/>
    <x v="0"/>
    <x v="9"/>
    <s v="\\192.168.3.3\Share\Releases\Projects\Telstra\Release_For_IT\Test_Build_1.0.0.18\Server CD\DBS\Setup"/>
    <x v="2"/>
    <s v="\\192.168.3.3\Share\Releases\Projects\Telstra\Release_For_LQA\Test_Build_1.0.0.18\Server CD\DBS\Setup"/>
    <m/>
    <x v="1"/>
    <m/>
    <m/>
    <m/>
    <m/>
    <x v="2"/>
  </r>
  <r>
    <x v="87"/>
    <x v="86"/>
    <n v="4"/>
    <x v="3"/>
    <n v="4"/>
    <s v="LQA"/>
    <x v="1"/>
    <m/>
    <x v="4"/>
    <x v="4"/>
    <x v="0"/>
    <s v="RACS_2.5.6.1b6"/>
    <x v="0"/>
    <x v="40"/>
    <m/>
    <x v="2"/>
    <s v="\\192.168.3.3\Share\Releases\Product\RevMind_2.1\Build&amp;Release\Release_For_LQA\Test_Build_1.0.2\Server CD\GUI\CS\Setup"/>
    <m/>
    <x v="0"/>
    <m/>
    <m/>
    <m/>
    <m/>
    <x v="2"/>
  </r>
  <r>
    <x v="87"/>
    <x v="86"/>
    <n v="4"/>
    <x v="3"/>
    <n v="4"/>
    <s v="LQA"/>
    <x v="1"/>
    <m/>
    <x v="8"/>
    <x v="2"/>
    <x v="0"/>
    <s v="WWFSGUI_2.2.1b7"/>
    <x v="0"/>
    <x v="40"/>
    <m/>
    <x v="2"/>
    <s v="\\192.168.3.3\Share\Releases\Product\WEB_WFS\Build&amp;Release\Release For Test\TestBuild_2.2.1\Build4\ServerCD\GUI\Setup"/>
    <m/>
    <x v="0"/>
    <m/>
    <m/>
    <m/>
    <m/>
    <x v="2"/>
  </r>
  <r>
    <x v="87"/>
    <x v="86"/>
    <n v="4"/>
    <x v="3"/>
    <n v="4"/>
    <s v="LQA"/>
    <x v="10"/>
    <m/>
    <x v="8"/>
    <x v="2"/>
    <x v="0"/>
    <s v="WWFSGUI_COM_2.1.25.0.1"/>
    <x v="0"/>
    <x v="21"/>
    <m/>
    <x v="0"/>
    <s v="\\192.168.3.3\Share\Releases\Projects\Comcast\Release_for_Test\Test_Build_4.6.4\Server CD\GUI\Setup"/>
    <m/>
    <x v="1"/>
    <m/>
    <m/>
    <m/>
    <m/>
    <x v="1"/>
  </r>
  <r>
    <x v="88"/>
    <x v="87"/>
    <n v="4"/>
    <x v="3"/>
    <n v="4"/>
    <s v="LQA-FAT"/>
    <x v="0"/>
    <m/>
    <x v="1"/>
    <x v="1"/>
    <x v="0"/>
    <s v="MPE_SLT-1B_3.0.1.1.1.68b1"/>
    <x v="0"/>
    <x v="26"/>
    <m/>
    <x v="0"/>
    <s v="\\192.168.3.3\Share\Releases\Projects\SLT-1B\Release_For_Test\Test_Build_1.0.0.1\Server CD\MPE\Setup"/>
    <s v="Pass"/>
    <x v="1"/>
    <m/>
    <m/>
    <m/>
    <s v="K.V. Krishnan"/>
    <x v="0"/>
  </r>
  <r>
    <x v="88"/>
    <x v="87"/>
    <n v="4"/>
    <x v="3"/>
    <n v="4"/>
    <s v="LQA-FAT"/>
    <x v="0"/>
    <m/>
    <x v="11"/>
    <x v="6"/>
    <x v="0"/>
    <s v="UTLSEQM_SLT-1B_1.0.0.0.5.6b1"/>
    <x v="0"/>
    <x v="6"/>
    <m/>
    <x v="0"/>
    <s v="\\192.168.3.3\Share\Releases\Projects\SLT-1B\Release_For_Test\Test_Build_1.0.0.1\Utility\MPE\Setup"/>
    <s v="Pass"/>
    <x v="1"/>
    <m/>
    <m/>
    <m/>
    <s v="K.V. Krishnan"/>
    <x v="0"/>
  </r>
  <r>
    <x v="88"/>
    <x v="87"/>
    <n v="4"/>
    <x v="3"/>
    <n v="4"/>
    <s v="LQA-FAT"/>
    <x v="0"/>
    <m/>
    <x v="11"/>
    <x v="6"/>
    <x v="0"/>
    <s v="UTLFDUP_SLT-1B_1.0.0.0.5.2b1"/>
    <x v="0"/>
    <x v="10"/>
    <m/>
    <x v="0"/>
    <s v="\\192.168.3.3\Share\Releases\Projects\SLT-1B\Release_For_Test\Test_Build_1.0.0.1\Utility\MPE\Setup"/>
    <s v="Pass"/>
    <x v="1"/>
    <m/>
    <m/>
    <m/>
    <s v="K.V. Krishnan"/>
    <x v="0"/>
  </r>
  <r>
    <x v="88"/>
    <x v="87"/>
    <n v="4"/>
    <x v="3"/>
    <n v="4"/>
    <s v="IT-LQA"/>
    <x v="1"/>
    <m/>
    <x v="4"/>
    <x v="0"/>
    <x v="0"/>
    <s v="RADBS_2.1.1.7b1"/>
    <x v="0"/>
    <x v="45"/>
    <s v="\\192.168.3.3\Share\Releases\Product\RevMind_2.1\Build&amp;Release\Release_For_IT\TestBuild_1.0.1\Server CD\DBS\Setup"/>
    <x v="0"/>
    <s v="\\192.168.3.3\Share\Releases\Product\RevMind_2.1\Build&amp;Release\Release_For_LQA\Test_Build_1.0.2\Server CD\DBS\Setup"/>
    <s v="Pass"/>
    <x v="1"/>
    <m/>
    <m/>
    <m/>
    <m/>
    <x v="0"/>
  </r>
  <r>
    <x v="88"/>
    <x v="87"/>
    <n v="4"/>
    <x v="3"/>
    <n v="4"/>
    <s v="IT-LQA"/>
    <x v="0"/>
    <m/>
    <x v="2"/>
    <x v="0"/>
    <x v="0"/>
    <s v="DMDBS_SLT_2.0.0.20.1.125b1"/>
    <x v="0"/>
    <x v="17"/>
    <s v="\\192.168.3.3\Share\Releases\Projects\SLT\Release_For_IT\Test_Build_1.0.0.4\Server CD\DBS\Setup"/>
    <x v="2"/>
    <s v="\\192.168.3.3\Share\Releases\Projects\SLT\Release_For_LQA\Test_Build_1.0.0.23\Server CD\DBS\Setup"/>
    <m/>
    <x v="1"/>
    <m/>
    <m/>
    <m/>
    <m/>
    <x v="2"/>
  </r>
  <r>
    <x v="88"/>
    <x v="87"/>
    <n v="4"/>
    <x v="3"/>
    <n v="4"/>
    <s v="IT-LQA"/>
    <x v="0"/>
    <m/>
    <x v="2"/>
    <x v="0"/>
    <x v="0"/>
    <s v="DMDBS_SLT_2.0.0.20.1.126b1"/>
    <x v="0"/>
    <x v="32"/>
    <s v="\\192.168.3.3\Share\Releases\Projects\SLT\Release_For_IT\Test_Build_1.0.0.4\Server CD\DBS\Setup"/>
    <x v="2"/>
    <s v="\\192.168.3.3\Share\Releases\Projects\SLT\Release_For_LQA\Test_Build_1.0.0.23\Server CD\DBS\Setup"/>
    <m/>
    <x v="1"/>
    <m/>
    <m/>
    <m/>
    <m/>
    <x v="2"/>
  </r>
  <r>
    <x v="88"/>
    <x v="87"/>
    <n v="4"/>
    <x v="3"/>
    <n v="4"/>
    <s v="LQA-FAT"/>
    <x v="3"/>
    <m/>
    <x v="12"/>
    <x v="2"/>
    <x v="1"/>
    <s v="WWCSGUI_OBT_2.1.17.0.1"/>
    <x v="0"/>
    <x v="42"/>
    <m/>
    <x v="0"/>
    <s v="\\192.168.3.3\Share\Releases\Projects\OBT\Release_For_LQA\TestBuild_1.0.0.4\Server CD\GUI\Setup"/>
    <s v="Pass"/>
    <x v="1"/>
    <m/>
    <m/>
    <m/>
    <s v="Mamta Bora"/>
    <x v="0"/>
  </r>
  <r>
    <x v="89"/>
    <x v="88"/>
    <n v="5"/>
    <x v="4"/>
    <n v="5"/>
    <s v="IT-LQA"/>
    <x v="18"/>
    <m/>
    <x v="14"/>
    <x v="2"/>
    <x v="1"/>
    <s v="TMGUI_WIS_2.0.14"/>
    <x v="0"/>
    <x v="22"/>
    <s v="\\192.168.3.3\Share\Releases\Projects\WIS\Release_For_IT\TestBuild_1.0.0.1\Client CD\Setup"/>
    <x v="0"/>
    <s v="\\192.168.3.3\Share\Releases\Projects\WIS\Release_For_Test\Test_Build_1.0.0.1\Client CD\Setup"/>
    <m/>
    <x v="1"/>
    <m/>
    <m/>
    <m/>
    <m/>
    <x v="1"/>
  </r>
  <r>
    <x v="89"/>
    <x v="88"/>
    <n v="5"/>
    <x v="4"/>
    <n v="5"/>
    <s v="LQA"/>
    <x v="0"/>
    <m/>
    <x v="8"/>
    <x v="2"/>
    <x v="1"/>
    <s v="WWFSGUI_SLT_2.2.1.0.1"/>
    <x v="0"/>
    <x v="40"/>
    <m/>
    <x v="2"/>
    <s v="\\192.168.3.3\Share\Releases\Projects\SLT\Release_For_LQA\Test_Build_1.0.0.23\Server CD\GUI\Setup"/>
    <m/>
    <x v="0"/>
    <m/>
    <m/>
    <m/>
    <m/>
    <x v="2"/>
  </r>
  <r>
    <x v="89"/>
    <x v="88"/>
    <n v="5"/>
    <x v="4"/>
    <n v="5"/>
    <s v="LQA"/>
    <x v="0"/>
    <m/>
    <x v="4"/>
    <x v="4"/>
    <x v="1"/>
    <s v="RACS_SLT_2.5.6.1.1"/>
    <x v="0"/>
    <x v="40"/>
    <m/>
    <x v="2"/>
    <s v="\\192.168.3.3\Share\Releases\Projects\SLT\Release_For_LQA\Test_Build_1.0.0.23\Server CD\GUI\Setup"/>
    <m/>
    <x v="0"/>
    <m/>
    <m/>
    <m/>
    <m/>
    <x v="2"/>
  </r>
  <r>
    <x v="89"/>
    <x v="88"/>
    <n v="5"/>
    <x v="4"/>
    <n v="5"/>
    <s v="IT-LQA-FAT"/>
    <x v="0"/>
    <m/>
    <x v="4"/>
    <x v="0"/>
    <x v="0"/>
    <s v="RADBS_SLT_2.0.0.26.1.67b1"/>
    <x v="0"/>
    <x v="44"/>
    <s v="\\192.168.3.3\Share\Releases\Projects\SLT\Release_For_IT\Test_Build_1.0.0.4\Server CD\DBS\Setup"/>
    <x v="0"/>
    <s v="\\192.168.3.3\Share\Releases\Projects\SLT\Release_For_LQA\Test_Build_1.0.0.23\Server CD\DBS\Setup"/>
    <s v="Pass"/>
    <x v="0"/>
    <m/>
    <m/>
    <m/>
    <s v="Vijay Singh Daagar"/>
    <x v="0"/>
  </r>
  <r>
    <x v="89"/>
    <x v="88"/>
    <n v="5"/>
    <x v="4"/>
    <n v="5"/>
    <s v="LQA-UAT"/>
    <x v="6"/>
    <m/>
    <x v="1"/>
    <x v="1"/>
    <x v="0"/>
    <s v="MPE_ANTEL_3.2.4.32.1.14b1 "/>
    <x v="0"/>
    <x v="14"/>
    <m/>
    <x v="0"/>
    <s v="\\192.168.3.3\Share\Releases\Projects\ANTEL\Release_For_Test\Test_Build_1.0.0.7\Server CD\MPE\Setup"/>
    <s v="Pass"/>
    <x v="1"/>
    <m/>
    <m/>
    <m/>
    <s v="Pradeep Raghav"/>
    <x v="0"/>
  </r>
  <r>
    <x v="89"/>
    <x v="88"/>
    <n v="5"/>
    <x v="4"/>
    <n v="5"/>
    <s v="IT-LQA-FAT"/>
    <x v="0"/>
    <m/>
    <x v="2"/>
    <x v="0"/>
    <x v="0"/>
    <s v="DMDBS_SLT_2.0.0.20.1.126b2"/>
    <x v="0"/>
    <x v="32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Nisha Malik"/>
    <x v="0"/>
  </r>
  <r>
    <x v="89"/>
    <x v="88"/>
    <n v="5"/>
    <x v="4"/>
    <n v="5"/>
    <s v="IT-LQA-FAT"/>
    <x v="0"/>
    <m/>
    <x v="2"/>
    <x v="0"/>
    <x v="0"/>
    <s v="DMDBS_SLT_2.0.0.20.1.125b2"/>
    <x v="0"/>
    <x v="17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Nisha Malik"/>
    <x v="0"/>
  </r>
  <r>
    <x v="89"/>
    <x v="88"/>
    <n v="5"/>
    <x v="4"/>
    <n v="5"/>
    <s v="IT-LQA-AT"/>
    <x v="4"/>
    <m/>
    <x v="5"/>
    <x v="0"/>
    <x v="0"/>
    <s v="NMDBS_TLSTR_4.0.1.0.4.302b3"/>
    <x v="0"/>
    <x v="9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Deshraj"/>
    <x v="0"/>
  </r>
  <r>
    <x v="89"/>
    <x v="88"/>
    <n v="5"/>
    <x v="4"/>
    <n v="5"/>
    <s v="IT-LQA-UAT"/>
    <x v="1"/>
    <m/>
    <x v="9"/>
    <x v="0"/>
    <x v="0"/>
    <s v="NPDBS_1.2.3.7b2"/>
    <x v="0"/>
    <x v="23"/>
    <s v="\\192.168.3.3\share\Releases\Product\NetMindPOS_1.1\Build&amp;Release\Release for IT\TestBuild_1.2.3\Server CD\DBS\Setup"/>
    <x v="0"/>
    <s v="\\192.168.3.3\share\Releases\Product\NetMindPOS_1.1\Build&amp;Release\Release for LQA\TestBuild_1.2.3\Server CD\DBS\Setup"/>
    <s v="Pass"/>
    <x v="1"/>
    <m/>
    <m/>
    <m/>
    <s v="Abhishek Leekha"/>
    <x v="0"/>
  </r>
  <r>
    <x v="90"/>
    <x v="89"/>
    <n v="5"/>
    <x v="4"/>
    <n v="5"/>
    <s v="IT-LQA"/>
    <x v="10"/>
    <m/>
    <x v="9"/>
    <x v="0"/>
    <x v="0"/>
    <s v="NPDBS_COM_1.2.3.6.1.11b1"/>
    <x v="0"/>
    <x v="23"/>
    <s v="\\192.168.3.3\Share\Releases\Projects\Comcast\Release_For_IT\Test_Build_4.6.1\Server CD\Database\Setup"/>
    <x v="0"/>
    <s v="\\192.168.3.3\Share\Releases\Projects\Comcast\Release_for_Test\Test_Build_4.6.4\Server CD\Database\Setup"/>
    <s v="Pass"/>
    <x v="0"/>
    <m/>
    <m/>
    <m/>
    <m/>
    <x v="0"/>
  </r>
  <r>
    <x v="90"/>
    <x v="89"/>
    <n v="5"/>
    <x v="4"/>
    <n v="5"/>
    <s v="LQA"/>
    <x v="1"/>
    <m/>
    <x v="5"/>
    <x v="0"/>
    <x v="0"/>
    <s v="NMDBS_4.7.1b6"/>
    <x v="0"/>
    <x v="23"/>
    <m/>
    <x v="0"/>
    <s v="\\192.168.3.3\Share\Releases\Product\Netmind_4.7\Build&amp;Release\Release_For_LQA\Test_Build_1.0.1\Server CD\DBS\Setup"/>
    <m/>
    <x v="1"/>
    <m/>
    <m/>
    <m/>
    <m/>
    <x v="1"/>
  </r>
  <r>
    <x v="90"/>
    <x v="89"/>
    <n v="5"/>
    <x v="4"/>
    <n v="5"/>
    <s v="IT-LQA-FAT"/>
    <x v="0"/>
    <m/>
    <x v="4"/>
    <x v="0"/>
    <x v="0"/>
    <s v="RADBS_SLT_2.0.0.26.1.68b1"/>
    <x v="0"/>
    <x v="0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90"/>
    <x v="89"/>
    <n v="5"/>
    <x v="4"/>
    <n v="5"/>
    <s v="IT-LQA-FAT"/>
    <x v="0"/>
    <m/>
    <x v="2"/>
    <x v="0"/>
    <x v="0"/>
    <s v="DMDBS_SLT_2.0.0.20.1.128b1"/>
    <x v="0"/>
    <x v="0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90"/>
    <x v="89"/>
    <n v="5"/>
    <x v="4"/>
    <n v="5"/>
    <s v="IT-LQA-UAT"/>
    <x v="0"/>
    <m/>
    <x v="2"/>
    <x v="0"/>
    <x v="0"/>
    <s v="DMDBS_SLT_2.0.0.20.1.128b1"/>
    <x v="0"/>
    <x v="17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Vijay Singh Daagar"/>
    <x v="0"/>
  </r>
  <r>
    <x v="90"/>
    <x v="89"/>
    <n v="5"/>
    <x v="4"/>
    <n v="5"/>
    <s v="IT-LQA"/>
    <x v="8"/>
    <m/>
    <x v="5"/>
    <x v="0"/>
    <x v="0"/>
    <s v="NMDBS_TWC_4.6.1.11.3.36b2"/>
    <x v="0"/>
    <x v="19"/>
    <s v="\\192.168.3.3\Share\Releases\Projects\TWC\Release_For_IT\Test_Build_1.0.0.3\Server CD\DBS\Setup"/>
    <x v="2"/>
    <s v="\\192.168.3.3\Share\Releases\Projects\TWC\Release_For_Test\Test_Build_1.0.0.4\Server CD\DBS\Setup"/>
    <m/>
    <x v="1"/>
    <m/>
    <m/>
    <m/>
    <m/>
    <x v="2"/>
  </r>
  <r>
    <x v="90"/>
    <x v="89"/>
    <n v="5"/>
    <x v="4"/>
    <n v="5"/>
    <s v="LQA-FAT"/>
    <x v="4"/>
    <m/>
    <x v="1"/>
    <x v="1"/>
    <x v="0"/>
    <s v="MPE_TLSTR-2b_3.0.0.3.1.96b1"/>
    <x v="0"/>
    <x v="11"/>
    <m/>
    <x v="0"/>
    <s v="\\192.168.3.3\Share\Releases\Projects\Telstra-2b\Release_For_Test\Test_Build_1.0.0.1\Server CD\MPE\Setup"/>
    <s v="Pass"/>
    <x v="1"/>
    <m/>
    <m/>
    <m/>
    <s v="Ashwani "/>
    <x v="0"/>
  </r>
  <r>
    <x v="91"/>
    <x v="0"/>
    <m/>
    <x v="5"/>
    <m/>
    <m/>
    <x v="19"/>
    <m/>
    <x v="15"/>
    <x v="10"/>
    <x v="2"/>
    <m/>
    <x v="3"/>
    <x v="51"/>
    <s v="\\192.168.3.3\Share\Releases\Projects\WIS\Release_For_IT\TestBuild_1.0.0.1\Client CD\Setup"/>
    <x v="0"/>
    <s v="\\192.168.3.3\Share\Releases\Projects\WIS\Release_For_Test\Test_Build_1.0.0.1\Client CD\Setup"/>
    <m/>
    <x v="1"/>
    <m/>
    <m/>
    <m/>
    <m/>
    <x v="1"/>
  </r>
  <r>
    <x v="92"/>
    <x v="90"/>
    <n v="5"/>
    <x v="4"/>
    <n v="5"/>
    <s v="LQA"/>
    <x v="1"/>
    <m/>
    <x v="9"/>
    <x v="0"/>
    <x v="1"/>
    <s v="NPDBS_1.3.1b4"/>
    <x v="0"/>
    <x v="24"/>
    <m/>
    <x v="0"/>
    <s v="\\192.168.3.3\Share\Releases\Product\NetMindPOS_1.3\Build&amp;Release\Release_For_LQA\Test_Build_1.0.1\Server CD\DBS\Setup"/>
    <m/>
    <x v="1"/>
    <m/>
    <m/>
    <m/>
    <m/>
    <x v="1"/>
  </r>
  <r>
    <x v="92"/>
    <x v="91"/>
    <n v="5"/>
    <x v="4"/>
    <n v="5"/>
    <s v="IT-LQA-FAT"/>
    <x v="1"/>
    <m/>
    <x v="7"/>
    <x v="0"/>
    <x v="1"/>
    <s v="RTDBS_4.0.1.18b1"/>
    <x v="0"/>
    <x v="38"/>
    <s v="\\192.168.3.3\Share\Releases\Product\RT_4.0\ReleaseForIT\TestBuild_4.0.3\DBS\Setup"/>
    <x v="0"/>
    <s v="\\192.168.3.3\Share\Releases\Product\RT_4.0\ReleaseForLQA\TestBuild_4.0.22\DBS\Setup"/>
    <s v="Pass"/>
    <x v="0"/>
    <m/>
    <m/>
    <m/>
    <s v="Harsh Khanna"/>
    <x v="0"/>
  </r>
  <r>
    <x v="92"/>
    <x v="90"/>
    <n v="5"/>
    <x v="4"/>
    <n v="5"/>
    <s v="IT-LQA"/>
    <x v="10"/>
    <m/>
    <x v="5"/>
    <x v="0"/>
    <x v="0"/>
    <s v="NMDBS_COM_4.6.1.20.1.20b1"/>
    <x v="0"/>
    <x v="39"/>
    <s v="\\192.168.3.3\Share\Releases\Projects\Comcast\Release_For_IT\Test_Build_4.6.1\Server CD\Database\Setup"/>
    <x v="0"/>
    <s v="\\192.168.3.3\Share\Releases\Projects\Comcast\Release_for_Test\Test_Build_4.6.4\Server CD\Database\Setup"/>
    <s v="Pass"/>
    <x v="1"/>
    <m/>
    <m/>
    <m/>
    <m/>
    <x v="0"/>
  </r>
  <r>
    <x v="92"/>
    <x v="90"/>
    <n v="5"/>
    <x v="4"/>
    <n v="5"/>
    <s v="LQA-UAT"/>
    <x v="8"/>
    <m/>
    <x v="1"/>
    <x v="1"/>
    <x v="0"/>
    <s v="MPE_TWC_3.2.1.5.2.13b1"/>
    <x v="0"/>
    <x v="46"/>
    <m/>
    <x v="0"/>
    <s v="\\192.168.3.3\Share\Releases\Projects\TWC\Release_For_Test\Test_Build_1.0.0.4\Server CD\MPE\Setup"/>
    <s v="Pass"/>
    <x v="0"/>
    <m/>
    <m/>
    <m/>
    <s v="Jitender Aggarwal"/>
    <x v="0"/>
  </r>
  <r>
    <x v="93"/>
    <x v="91"/>
    <n v="5"/>
    <x v="4"/>
    <n v="5"/>
    <s v="IT-LQA"/>
    <x v="3"/>
    <m/>
    <x v="5"/>
    <x v="0"/>
    <x v="0"/>
    <s v="NMDBS_OBT_4.6.1.21.1.30b1"/>
    <x v="0"/>
    <x v="4"/>
    <s v="\\192.168.3.3\Share\Releases\Projects\OBT\Release_For_IT\TestBuild_1.0.0.2\Server CD\DBS\Setup"/>
    <x v="2"/>
    <s v="\\192.168.3.3\Share\Releases\Projects\OBT\Release_For_LQA\TestBuild_1.0.0.4\Server CD\DBS\Setup"/>
    <m/>
    <x v="0"/>
    <m/>
    <m/>
    <m/>
    <m/>
    <x v="2"/>
  </r>
  <r>
    <x v="93"/>
    <x v="92"/>
    <n v="5"/>
    <x v="4"/>
    <n v="5"/>
    <s v="LQA"/>
    <x v="10"/>
    <m/>
    <x v="1"/>
    <x v="1"/>
    <x v="0"/>
    <s v="MPE_COM_3.2.5.0.2.3b1"/>
    <x v="0"/>
    <x v="43"/>
    <m/>
    <x v="0"/>
    <s v="\\192.168.3.3\Share\Releases\Projects\Comcast\Release_for_Test\Test_Build_4.6.4\Server CD\MPE\Setup"/>
    <m/>
    <x v="1"/>
    <m/>
    <m/>
    <m/>
    <m/>
    <x v="1"/>
  </r>
  <r>
    <x v="93"/>
    <x v="92"/>
    <n v="5"/>
    <x v="4"/>
    <n v="5"/>
    <s v="IT-LQA-FAT"/>
    <x v="1"/>
    <m/>
    <x v="0"/>
    <x v="0"/>
    <x v="0"/>
    <s v="REDBS_1.0.1.24b1"/>
    <x v="0"/>
    <x v="0"/>
    <s v="\\192.168.3.3\Share\Releases\Product\RE_1.0\ReleaseForIT\TestBuild_1.0.1\DBS\Build4\Setup"/>
    <x v="0"/>
    <s v="\\192.168.3.3\Share\Releases\Product\RE_1.0\ReleaseForLQA\TestBuild_1.0.1\DBS\Build4\Setup"/>
    <s v="Pass"/>
    <x v="1"/>
    <m/>
    <m/>
    <m/>
    <s v="Ravi Gautam"/>
    <x v="0"/>
  </r>
  <r>
    <x v="93"/>
    <x v="92"/>
    <n v="5"/>
    <x v="4"/>
    <n v="5"/>
    <s v="IT-LQA-UAT"/>
    <x v="1"/>
    <m/>
    <x v="9"/>
    <x v="0"/>
    <x v="0"/>
    <s v="NPDBS_1.2.3.8b1"/>
    <x v="0"/>
    <x v="23"/>
    <s v="\\192.168.3.3\share\Releases\Product\NetMindPOS_1.1\Build&amp;Release\Release for IT\TestBuild_1.2.3\Server CD\DBS\Setup"/>
    <x v="0"/>
    <s v="\\192.168.3.3\share\Releases\Product\NetMindPOS_1.1\Build&amp;Release\Release for LQA\TestBuild_1.2.3\Server CD\DBS\Setup"/>
    <s v="Pass"/>
    <x v="1"/>
    <m/>
    <m/>
    <m/>
    <s v="Abhishek Leekha"/>
    <x v="0"/>
  </r>
  <r>
    <x v="93"/>
    <x v="92"/>
    <n v="5"/>
    <x v="4"/>
    <n v="5"/>
    <s v="IT-LQA"/>
    <x v="10"/>
    <m/>
    <x v="9"/>
    <x v="0"/>
    <x v="0"/>
    <s v="NPDBS_COM_1.2.3.6.1.12b1"/>
    <x v="0"/>
    <x v="23"/>
    <s v="\\192.168.3.3\Share\Releases\Projects\Comcast\Release_For_IT\Test_Build_4.6.1\Server CD\Database\Setup"/>
    <x v="0"/>
    <s v="\\192.168.3.3\Share\Releases\Projects\Comcast\Release_for_Test\Test_Build_4.6.4\Server CD\Database\Setup"/>
    <s v="Pass"/>
    <x v="1"/>
    <m/>
    <m/>
    <m/>
    <m/>
    <x v="0"/>
  </r>
  <r>
    <x v="94"/>
    <x v="91"/>
    <n v="5"/>
    <x v="4"/>
    <n v="5"/>
    <s v="LQA"/>
    <x v="1"/>
    <m/>
    <x v="7"/>
    <x v="2"/>
    <x v="1"/>
    <s v="RTGUI_4.0.23b3 "/>
    <x v="0"/>
    <x v="16"/>
    <m/>
    <x v="0"/>
    <s v="\\192.168.3.3\Share\Releases\Product\RT_4.0\ReleaseForLQA\TestBuild_4.0.23\GUI\Build1\Setup"/>
    <m/>
    <x v="1"/>
    <m/>
    <m/>
    <m/>
    <m/>
    <x v="1"/>
  </r>
  <r>
    <x v="94"/>
    <x v="91"/>
    <n v="5"/>
    <x v="4"/>
    <n v="5"/>
    <s v="IT-LQA-FAT"/>
    <x v="0"/>
    <m/>
    <x v="2"/>
    <x v="0"/>
    <x v="0"/>
    <s v="DMDBS_SLT_2.0.0.20.1.129b1"/>
    <x v="0"/>
    <x v="17"/>
    <s v="\\192.168.3.3\Share\Releases\Projects\SLT\Release_For_LQA\Test_Build_1.0.0.23\Server CD\DBS\Setup"/>
    <x v="0"/>
    <s v="\\192.168.3.3\Share\Releases\Projects\SLT\Release_For_IT\Test_Build_1.0.0.4\Server CD\DBS\Setup"/>
    <s v="Pass"/>
    <x v="1"/>
    <m/>
    <m/>
    <m/>
    <s v="Nisha Malik"/>
    <x v="0"/>
  </r>
  <r>
    <x v="94"/>
    <x v="91"/>
    <n v="5"/>
    <x v="4"/>
    <n v="5"/>
    <s v="LQA"/>
    <x v="3"/>
    <m/>
    <x v="1"/>
    <x v="1"/>
    <x v="0"/>
    <s v="MPE_OBT_3.2.1.3.1.15b1"/>
    <x v="0"/>
    <x v="28"/>
    <m/>
    <x v="0"/>
    <s v="\\192.168.3.3\share\Releases\Projects\OBT\Release_For_LQA\TestBuild_1.0.0.4\Server CD\MPE\Setup"/>
    <s v="Pass"/>
    <x v="1"/>
    <m/>
    <m/>
    <m/>
    <m/>
    <x v="0"/>
  </r>
  <r>
    <x v="95"/>
    <x v="93"/>
    <n v="5"/>
    <x v="4"/>
    <n v="5"/>
    <s v="IT-LQA-FAT"/>
    <x v="0"/>
    <m/>
    <x v="2"/>
    <x v="0"/>
    <x v="0"/>
    <s v="DMDBS_SLT_2.0.0.20.1.131b1"/>
    <x v="0"/>
    <x v="17"/>
    <s v="\\192.168.3.3\Share\Releases\Projects\SLT\Release_For_LQA\Test_Build_1.0.0.23\Server CD\DBS\Setup"/>
    <x v="0"/>
    <s v="\\192.168.3.3\Share\Releases\Projects\SLT\Release_For_IT\Test_Build_1.0.0.4\Server CD\DBS\Setup"/>
    <s v="Pass"/>
    <x v="1"/>
    <m/>
    <m/>
    <m/>
    <s v="Nisha Malik"/>
    <x v="0"/>
  </r>
  <r>
    <x v="95"/>
    <x v="93"/>
    <n v="5"/>
    <x v="4"/>
    <n v="5"/>
    <s v="LQA"/>
    <x v="0"/>
    <m/>
    <x v="7"/>
    <x v="2"/>
    <x v="1"/>
    <s v="RTGUI_SLT_4.0.23.0.1"/>
    <x v="0"/>
    <x v="16"/>
    <m/>
    <x v="0"/>
    <s v="\\192.168.3.3\Share\Releases\Projects\SLT\Release_For_LQA\Test_Build_1.0.0.23\Server CD\GUI\Setup"/>
    <m/>
    <x v="1"/>
    <m/>
    <m/>
    <m/>
    <m/>
    <x v="1"/>
  </r>
  <r>
    <x v="95"/>
    <x v="93"/>
    <n v="5"/>
    <x v="4"/>
    <n v="5"/>
    <s v="IT-LQA"/>
    <x v="10"/>
    <m/>
    <x v="5"/>
    <x v="0"/>
    <x v="0"/>
    <s v="NMDBS_COM_4.6.1.20.1.21b1"/>
    <x v="0"/>
    <x v="39"/>
    <s v="\\192.168.3.3\Share\Releases\Projects\Comcast\Release_For_IT\Test_Build_4.6.1\Server CD\Database\Setup"/>
    <x v="0"/>
    <s v="\\192.168.3.3\Share\Releases\Projects\Comcast\Release_for_Test\Test_Build_4.6.4\Server CD\Database\Setup"/>
    <s v="Pass"/>
    <x v="1"/>
    <m/>
    <m/>
    <m/>
    <m/>
    <x v="0"/>
  </r>
  <r>
    <x v="95"/>
    <x v="93"/>
    <n v="5"/>
    <x v="4"/>
    <n v="5"/>
    <s v="LQA"/>
    <x v="1"/>
    <m/>
    <x v="4"/>
    <x v="4"/>
    <x v="0"/>
    <s v="RACS_2.5.6.1b7 "/>
    <x v="0"/>
    <x v="40"/>
    <m/>
    <x v="0"/>
    <s v="\\192.168.3.3\Share\Releases\Product\RevMind_2.1\Build&amp;Release\Release_For_LQA\Test_Build_1.0.2\Server CD\GUI\CS\Setup"/>
    <s v="Pass"/>
    <x v="0"/>
    <m/>
    <m/>
    <m/>
    <m/>
    <x v="0"/>
  </r>
  <r>
    <x v="95"/>
    <x v="93"/>
    <n v="5"/>
    <x v="4"/>
    <n v="5"/>
    <s v="IT-LQA"/>
    <x v="10"/>
    <m/>
    <x v="5"/>
    <x v="0"/>
    <x v="0"/>
    <s v="NMDBS_COM_4.6.1.20.1.22b1"/>
    <x v="0"/>
    <x v="39"/>
    <s v="\\192.168.3.3\Share\Releases\Projects\Comcast\Release_For_IT\Test_Build_4.6.1\Server CD\Database\Setup"/>
    <x v="0"/>
    <s v="\\192.168.3.3\Share\Releases\Projects\Comcast\Release_for_Test\Test_Build_4.6.4\Server CD\Database\Setup"/>
    <m/>
    <x v="0"/>
    <m/>
    <m/>
    <m/>
    <m/>
    <x v="1"/>
  </r>
  <r>
    <x v="95"/>
    <x v="93"/>
    <n v="5"/>
    <x v="4"/>
    <n v="5"/>
    <s v="IT-LQA"/>
    <x v="0"/>
    <m/>
    <x v="2"/>
    <x v="0"/>
    <x v="0"/>
    <s v="DMDBS_SLT_2.0.0.20.1.130b1"/>
    <x v="0"/>
    <x v="44"/>
    <s v="\\192.168.3.3\Share\Releases\Projects\SLT\Release_For_IT\Test_Build_1.0.0.4\Server CD\DBS\Setup"/>
    <x v="2"/>
    <s v="\\192.168.3.3\Share\Releases\Projects\SLT\Release_For_LQA\Test_Build_1.0.0.23\Server CD\DBS\Setup"/>
    <m/>
    <x v="0"/>
    <m/>
    <m/>
    <m/>
    <m/>
    <x v="2"/>
  </r>
  <r>
    <x v="96"/>
    <x v="94"/>
    <n v="5"/>
    <x v="4"/>
    <n v="5"/>
    <s v="LQA-FAT"/>
    <x v="0"/>
    <m/>
    <x v="4"/>
    <x v="4"/>
    <x v="1"/>
    <s v="RACS_SLT_2.5.6.1.2"/>
    <x v="0"/>
    <x v="40"/>
    <m/>
    <x v="0"/>
    <s v="\\192.168.3.3\Share\Releases\Projects\SLT\Release_For_LQA\Test_Build_1.0.0.23\Server CD\GUI\Setup"/>
    <s v="Pass"/>
    <x v="0"/>
    <m/>
    <m/>
    <m/>
    <s v="Vijay Singh Daagar"/>
    <x v="0"/>
  </r>
  <r>
    <x v="96"/>
    <x v="94"/>
    <n v="5"/>
    <x v="4"/>
    <n v="5"/>
    <s v="IT-LQA"/>
    <x v="1"/>
    <m/>
    <x v="4"/>
    <x v="0"/>
    <x v="0"/>
    <s v="RADBS_2.1.1.8b1"/>
    <x v="0"/>
    <x v="27"/>
    <s v="\\192.168.3.3\Share\Releases\Product\RevMind_2.1\Build&amp;Release\Release_For_IT\TestBuild_1.0.1\Server CD\DBS\Setup"/>
    <x v="0"/>
    <s v="\\192.168.3.3\Share\Releases\Product\RevMind_2.1\Build&amp;Release\Release_For_LQA\Test_Build_1.0.2\Server CD\DBS\Setup"/>
    <s v="Pass"/>
    <x v="1"/>
    <m/>
    <m/>
    <m/>
    <m/>
    <x v="0"/>
  </r>
  <r>
    <x v="96"/>
    <x v="94"/>
    <n v="5"/>
    <x v="4"/>
    <n v="5"/>
    <s v="IT-LQA-FAT"/>
    <x v="0"/>
    <m/>
    <x v="4"/>
    <x v="0"/>
    <x v="0"/>
    <s v="RADBS_SLT_2.0.0.26.1.69b1"/>
    <x v="0"/>
    <x v="45"/>
    <s v="\\192.168.3.3\Share\Releases\Projects\SLT\Release_For_IT\Test_Build_1.0.0.4\Server CD\DBS\Setup"/>
    <x v="0"/>
    <s v="\\192.168.3.3\Share\Releases\Projects\SLT\Release_For_LQA\Test_Build_1.0.0.23\Server CD\DBS\Setup"/>
    <s v="Pass"/>
    <x v="0"/>
    <m/>
    <m/>
    <m/>
    <s v="Vijay Singh Daagar"/>
    <x v="0"/>
  </r>
  <r>
    <x v="96"/>
    <x v="94"/>
    <n v="5"/>
    <x v="4"/>
    <n v="5"/>
    <s v="IT-LQA-FAT"/>
    <x v="0"/>
    <m/>
    <x v="2"/>
    <x v="0"/>
    <x v="0"/>
    <s v="DMDBS_SLT_2.0.0.20.1.132b1"/>
    <x v="0"/>
    <x v="38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Nisha Malik"/>
    <x v="0"/>
  </r>
  <r>
    <x v="96"/>
    <x v="94"/>
    <n v="5"/>
    <x v="4"/>
    <n v="5"/>
    <s v="IT-LQA-FAT"/>
    <x v="0"/>
    <m/>
    <x v="2"/>
    <x v="0"/>
    <x v="0"/>
    <s v="DMDBS_SLT_2.0.0.20.1.134b1"/>
    <x v="0"/>
    <x v="0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96"/>
    <x v="94"/>
    <n v="5"/>
    <x v="4"/>
    <n v="5"/>
    <s v="LQA"/>
    <x v="0"/>
    <m/>
    <x v="8"/>
    <x v="2"/>
    <x v="1"/>
    <s v="WWFSGUI_SLT_2.2.1.0.2"/>
    <x v="0"/>
    <x v="40"/>
    <m/>
    <x v="2"/>
    <s v="\\192.168.3.3\Share\Releases\Projects\SLT\Release_For_LQA\Test_Build_1.0.0.23\Server CD\GUI\Setup"/>
    <m/>
    <x v="1"/>
    <m/>
    <m/>
    <m/>
    <m/>
    <x v="2"/>
  </r>
  <r>
    <x v="96"/>
    <x v="95"/>
    <n v="5"/>
    <x v="4"/>
    <n v="5"/>
    <s v="IT-LQA"/>
    <x v="1"/>
    <m/>
    <x v="5"/>
    <x v="0"/>
    <x v="0"/>
    <s v="WWFSGUI_SLT_2.2.1.0.2"/>
    <x v="0"/>
    <x v="24"/>
    <s v="\\192.168.3.3\Share\Releases\Product\Netmind_4.6\Build&amp;Release\ReleaseForIT\TestBuild_4.6.1\Build4\ServerCD\DBS\Setup"/>
    <x v="0"/>
    <s v="\\192.168.3.3\Share\Releases\Product\Netmind_4.6\Build&amp;Release\ReleaseForTest\TestBuild_4.6.1\Build4\ServerCD\DBS\Setup"/>
    <m/>
    <x v="1"/>
    <m/>
    <m/>
    <m/>
    <m/>
    <x v="1"/>
  </r>
  <r>
    <x v="96"/>
    <x v="94"/>
    <n v="5"/>
    <x v="4"/>
    <n v="5"/>
    <s v="LQA"/>
    <x v="0"/>
    <m/>
    <x v="1"/>
    <x v="1"/>
    <x v="0"/>
    <s v="MPE_SLT-1B_3.0.1.1.1.69b1"/>
    <x v="0"/>
    <x v="41"/>
    <m/>
    <x v="2"/>
    <s v="\\192.168.3.3\Share\Releases\Projects\SLT-1B\Release_For_Test\Test_Build_1.0.0.1\Server CD\MPE\Setup"/>
    <m/>
    <x v="1"/>
    <m/>
    <m/>
    <m/>
    <m/>
    <x v="2"/>
  </r>
  <r>
    <x v="97"/>
    <x v="96"/>
    <n v="5"/>
    <x v="4"/>
    <n v="5"/>
    <s v="IT-LQA"/>
    <x v="10"/>
    <m/>
    <x v="9"/>
    <x v="0"/>
    <x v="0"/>
    <s v="NPDBS_COM_1.2.3.6.1.13b1"/>
    <x v="0"/>
    <x v="23"/>
    <s v="\\192.168.3.3\Share\Releases\Projects\Comcast\Release_For_IT\Test_Build_4.6.1\Server CD\Database\Setup"/>
    <x v="0"/>
    <s v="\\192.168.3.3\Share\Releases\Projects\Comcast\Release_for_Test\Test_Build_4.6.4\Server CD\Database\Setup"/>
    <s v="Pass"/>
    <x v="0"/>
    <m/>
    <m/>
    <m/>
    <m/>
    <x v="0"/>
  </r>
  <r>
    <x v="97"/>
    <x v="96"/>
    <n v="5"/>
    <x v="4"/>
    <n v="5"/>
    <s v="IT-LQA"/>
    <x v="4"/>
    <m/>
    <x v="5"/>
    <x v="0"/>
    <x v="0"/>
    <s v="NMDBS_TLSTR_4.0.1.0.4.303b1 "/>
    <x v="0"/>
    <x v="36"/>
    <s v="\\192.168.3.3\Share\Releases\Projects\Telstra\Release_For_IT\Test_Build_1.0.0.18\Server CD\DBS\Setup"/>
    <x v="0"/>
    <s v="\\192.168.3.3\Share\Releases\Projects\Telstra\Release_For_LQA\Test_Build_1.0.0.18\Server CD\DBS\Setup"/>
    <m/>
    <x v="1"/>
    <m/>
    <m/>
    <m/>
    <m/>
    <x v="1"/>
  </r>
  <r>
    <x v="97"/>
    <x v="96"/>
    <n v="5"/>
    <x v="4"/>
    <n v="5"/>
    <s v="IT-LQA-UAT"/>
    <x v="1"/>
    <m/>
    <x v="9"/>
    <x v="0"/>
    <x v="0"/>
    <s v="NPDBS_1.2.3.9b1"/>
    <x v="0"/>
    <x v="23"/>
    <s v="\\192.168.3.3\share\Releases\Product\NetMindPOS_1.1\Build&amp;Release\Release for IT\TestBuild_1.2.3\Server CD\DBS\Setup"/>
    <x v="0"/>
    <s v="\\192.168.3.3\share\Releases\Product\NetMindPOS_1.1\Build&amp;Release\Release for LQA\TestBuild_1.2.3\Server CD\DBS\Setup"/>
    <s v="Pass"/>
    <x v="1"/>
    <m/>
    <m/>
    <m/>
    <s v="Abhishek Leekha"/>
    <x v="0"/>
  </r>
  <r>
    <x v="97"/>
    <x v="96"/>
    <n v="5"/>
    <x v="4"/>
    <n v="5"/>
    <s v="LQA-FAT"/>
    <x v="0"/>
    <m/>
    <x v="1"/>
    <x v="1"/>
    <x v="0"/>
    <s v="MPE_SLT-1B_3.0.1.1.1.70b1"/>
    <x v="0"/>
    <x v="6"/>
    <m/>
    <x v="0"/>
    <s v="\\192.168.3.3\Share\Releases\Projects\SLT-1B\Release_For_Test\Test_Build_1.0.0.1\Server CD\MPE\Setup"/>
    <s v="Pass"/>
    <x v="1"/>
    <m/>
    <m/>
    <m/>
    <s v="K.V. Krishnan"/>
    <x v="0"/>
  </r>
  <r>
    <x v="98"/>
    <x v="95"/>
    <n v="5"/>
    <x v="4"/>
    <n v="5"/>
    <s v="LQA"/>
    <x v="1"/>
    <m/>
    <x v="0"/>
    <x v="2"/>
    <x v="1"/>
    <s v="REGUI_1.0.11b4"/>
    <x v="0"/>
    <x v="13"/>
    <m/>
    <x v="0"/>
    <s v="\\192.168.3.3\Share\Releases\Product\RE_1.0\ReleaseForLQA\TestBuild_1.0.1\GUI\Setup"/>
    <m/>
    <x v="1"/>
    <m/>
    <m/>
    <m/>
    <m/>
    <x v="1"/>
  </r>
  <r>
    <x v="98"/>
    <x v="95"/>
    <n v="5"/>
    <x v="4"/>
    <n v="5"/>
    <s v="IT-LQA"/>
    <x v="3"/>
    <m/>
    <x v="5"/>
    <x v="0"/>
    <x v="0"/>
    <s v="NMDBS_OBT_4.6.1.21.1.31b1"/>
    <x v="0"/>
    <x v="4"/>
    <s v="\\192.168.3.3\Share\Releases\Projects\OBT\Release_For_IT\TestBuild_1.0.0.2\Server CD\DBS\Setup"/>
    <x v="0"/>
    <s v="\\192.168.3.3\Share\Releases\Projects\OBT\Release_For_LQA\TestBuild_1.0.0.4\Server CD\DBS\Setup"/>
    <s v="Pass"/>
    <x v="1"/>
    <m/>
    <m/>
    <m/>
    <m/>
    <x v="0"/>
  </r>
  <r>
    <x v="98"/>
    <x v="95"/>
    <n v="5"/>
    <x v="4"/>
    <n v="5"/>
    <s v="LQA"/>
    <x v="12"/>
    <m/>
    <x v="1"/>
    <x v="1"/>
    <x v="0"/>
    <s v="MPE_DRC_3.2.1.3.2.24b1"/>
    <x v="0"/>
    <x v="41"/>
    <m/>
    <x v="0"/>
    <s v="\\192.168.3.3\Share\Releases\Projects\DRC\Release_For_LQA\Test_Build_1.0.0.3\Server CD\MPE\Setup"/>
    <s v="Pass"/>
    <x v="0"/>
    <m/>
    <m/>
    <m/>
    <m/>
    <x v="0"/>
  </r>
  <r>
    <x v="98"/>
    <x v="95"/>
    <n v="5"/>
    <x v="4"/>
    <n v="5"/>
    <s v="IT-LQA"/>
    <x v="10"/>
    <m/>
    <x v="5"/>
    <x v="0"/>
    <x v="0"/>
    <s v="NMDBS_COM_4.6.1.20.1.23b1"/>
    <x v="0"/>
    <x v="7"/>
    <s v="\\192.168.3.3\Share\Releases\Projects\Comcast\Release_For_IT\Test_Build_4.6.1\Server CD\Database\Setup"/>
    <x v="0"/>
    <s v="\\192.168.3.3\Share\Releases\Projects\Comcast\Release_for_Test\Test_Build_4.6.4\Server CD\Database\Setup"/>
    <s v="Pass"/>
    <x v="1"/>
    <m/>
    <m/>
    <m/>
    <m/>
    <x v="0"/>
  </r>
  <r>
    <x v="98"/>
    <x v="95"/>
    <n v="5"/>
    <x v="4"/>
    <n v="5"/>
    <s v="IT-LQA"/>
    <x v="10"/>
    <m/>
    <x v="5"/>
    <x v="0"/>
    <x v="0"/>
    <s v="NMDBS_COM_4.6.1.20.1.24b1"/>
    <x v="0"/>
    <x v="7"/>
    <s v="\\192.168.3.3\Share\Releases\Projects\Comcast\Release_For_IT\Test_Build_4.6.1\Server CD\Database\Setup"/>
    <x v="0"/>
    <s v="\\192.168.3.3\Share\Releases\Projects\Comcast\Release_for_Test\Test_Build_4.6.4\Server CD\Database\Setup"/>
    <s v="Pass"/>
    <x v="1"/>
    <m/>
    <m/>
    <m/>
    <m/>
    <x v="0"/>
  </r>
  <r>
    <x v="98"/>
    <x v="95"/>
    <n v="5"/>
    <x v="4"/>
    <n v="5"/>
    <s v="IT-LQA"/>
    <x v="1"/>
    <m/>
    <x v="4"/>
    <x v="0"/>
    <x v="0"/>
    <s v="RADBS_2.1.1.2b2"/>
    <x v="0"/>
    <x v="27"/>
    <s v="\\192.168.3.3\Share\Releases\Product\RevMind_2.1\Build&amp;Release\Release_For_IT\TestBuild_1.0.1\Server CD\DBS\Setup"/>
    <x v="0"/>
    <s v="\\192.168.3.3\Share\Releases\Product\RevMind_2.1\Build&amp;Release\Release_For_LQA\Test_Build_1.0.2\Server CD\DBS\Setup"/>
    <s v="Pass"/>
    <x v="0"/>
    <m/>
    <m/>
    <m/>
    <m/>
    <x v="0"/>
  </r>
  <r>
    <x v="98"/>
    <x v="95"/>
    <n v="5"/>
    <x v="4"/>
    <n v="5"/>
    <s v="LQA"/>
    <x v="1"/>
    <m/>
    <x v="12"/>
    <x v="2"/>
    <x v="0"/>
    <s v="WWCSGUI_2.1.18b2"/>
    <x v="0"/>
    <x v="42"/>
    <m/>
    <x v="0"/>
    <s v="\\192.168.3.3\Share\Releases\Product\WEB_CS\Build&amp;Release\Release For Test\TestBuild_2.1.18\ServerCD\GUI\Setup"/>
    <m/>
    <x v="1"/>
    <m/>
    <m/>
    <m/>
    <m/>
    <x v="1"/>
  </r>
  <r>
    <x v="98"/>
    <x v="95"/>
    <n v="5"/>
    <x v="4"/>
    <n v="5"/>
    <s v="LQA-FAT"/>
    <x v="0"/>
    <m/>
    <x v="11"/>
    <x v="6"/>
    <x v="0"/>
    <s v="UTLSEQM_SLT-1B_1.0.0.0.5.7b1"/>
    <x v="0"/>
    <x v="26"/>
    <m/>
    <x v="0"/>
    <s v="\\192.168.3.3\Share\Releases\Projects\SLT-1B\Release_For_Test\Test_Build_1.0.0.1\Utility\MPE\Setup"/>
    <s v="Pass"/>
    <x v="1"/>
    <m/>
    <m/>
    <m/>
    <s v="K.V. Krishnan"/>
    <x v="0"/>
  </r>
  <r>
    <x v="98"/>
    <x v="95"/>
    <n v="5"/>
    <x v="4"/>
    <n v="5"/>
    <s v="LQA"/>
    <x v="0"/>
    <m/>
    <x v="0"/>
    <x v="2"/>
    <x v="1"/>
    <s v="REGUI_SLT_1.0.11.0.1"/>
    <x v="0"/>
    <x v="13"/>
    <m/>
    <x v="0"/>
    <s v="\\192.168.3.3\Share\Releases\Projects\SLT\Release_For_LQA\Test_Build_1.0.0.23\Server CD\GUI\Setup"/>
    <m/>
    <x v="0"/>
    <m/>
    <m/>
    <m/>
    <m/>
    <x v="1"/>
  </r>
  <r>
    <x v="98"/>
    <x v="95"/>
    <n v="5"/>
    <x v="4"/>
    <n v="5"/>
    <s v="LQA-FAT"/>
    <x v="0"/>
    <m/>
    <x v="1"/>
    <x v="1"/>
    <x v="0"/>
    <s v="MPE_SLT-1B_3.0.1.1.1.71b1"/>
    <x v="0"/>
    <x v="6"/>
    <m/>
    <x v="2"/>
    <s v="\\192.168.3.3\Share\Releases\Projects\SLT-1B\Release_For_Test\Test_Build_1.0.0.1\Server CD\MPE\Setup"/>
    <s v="Pass"/>
    <x v="1"/>
    <m/>
    <m/>
    <m/>
    <s v="K.V. Krishnan"/>
    <x v="2"/>
  </r>
  <r>
    <x v="98"/>
    <x v="95"/>
    <n v="5"/>
    <x v="4"/>
    <n v="5"/>
    <s v="IT-LQA-FAT"/>
    <x v="0"/>
    <m/>
    <x v="0"/>
    <x v="0"/>
    <x v="0"/>
    <s v="REDBS_SLT_1.0.1.24.1.10b1"/>
    <x v="0"/>
    <x v="0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Ravi Gautam"/>
    <x v="0"/>
  </r>
  <r>
    <x v="99"/>
    <x v="97"/>
    <n v="5"/>
    <x v="4"/>
    <n v="5"/>
    <s v="LQA"/>
    <x v="1"/>
    <m/>
    <x v="8"/>
    <x v="2"/>
    <x v="0"/>
    <s v="WWFSGUI_2.2.1b8"/>
    <x v="0"/>
    <x v="52"/>
    <m/>
    <x v="0"/>
    <s v="\\192.168.3.3\Share\Releases\Product\WEB_WFS\Build&amp;Release\Release For Test\TestBuild_2.2.1\Build4\ServerCD\GUI\Setup"/>
    <s v="Pass"/>
    <x v="0"/>
    <m/>
    <m/>
    <m/>
    <m/>
    <x v="0"/>
  </r>
  <r>
    <x v="99"/>
    <x v="97"/>
    <n v="5"/>
    <x v="4"/>
    <n v="5"/>
    <s v="LQA"/>
    <x v="10"/>
    <m/>
    <x v="12"/>
    <x v="2"/>
    <x v="0"/>
    <s v="WWCSGUI_COM_2.1.18.0.1"/>
    <x v="0"/>
    <x v="42"/>
    <m/>
    <x v="0"/>
    <s v="\\192.168.3.3\Share\Releases\Projects\Comcast\Release_for_Test\Test_Build_4.6.4\Server CD\GUI\Setup"/>
    <m/>
    <x v="0"/>
    <m/>
    <m/>
    <m/>
    <m/>
    <x v="1"/>
  </r>
  <r>
    <x v="99"/>
    <x v="97"/>
    <n v="5"/>
    <x v="4"/>
    <n v="5"/>
    <s v="LQA"/>
    <x v="10"/>
    <m/>
    <x v="7"/>
    <x v="2"/>
    <x v="0"/>
    <s v="RTGUI_COM_4.0.22.0.1.1b1"/>
    <x v="0"/>
    <x v="16"/>
    <m/>
    <x v="0"/>
    <s v="\\192.168.3.3\Share\Releases\Projects\COM\Release_For_Test\Test_Build_1.0.0.1\Server CD\GUI\Setup"/>
    <m/>
    <x v="1"/>
    <m/>
    <m/>
    <m/>
    <m/>
    <x v="1"/>
  </r>
  <r>
    <x v="99"/>
    <x v="97"/>
    <n v="5"/>
    <x v="4"/>
    <n v="5"/>
    <s v="LQA-UAT"/>
    <x v="3"/>
    <m/>
    <x v="8"/>
    <x v="2"/>
    <x v="0"/>
    <s v="WWFSGUI_OBT_2.1.25.0.3"/>
    <x v="0"/>
    <x v="33"/>
    <m/>
    <x v="0"/>
    <s v="\\192.168.3.3\Share\Releases\Projects\OBT\Release_For_LQA\TestBuild_1.0.0.5\Server CD\GUI\Setup"/>
    <s v="Pass"/>
    <x v="0"/>
    <m/>
    <m/>
    <m/>
    <s v="Mamta Bora"/>
    <x v="0"/>
  </r>
  <r>
    <x v="99"/>
    <x v="97"/>
    <n v="5"/>
    <x v="4"/>
    <n v="5"/>
    <s v="IT-LQA"/>
    <x v="10"/>
    <m/>
    <x v="7"/>
    <x v="0"/>
    <x v="0"/>
    <s v="RTDBS_COM_4.0.1.18.1.2b1"/>
    <x v="0"/>
    <x v="3"/>
    <s v="\\192.168.3.3\Share\Releases\Projects\Comcast\Release_For_IT\Test_Build_4.6.1\Server CD\Database\Setup"/>
    <x v="2"/>
    <s v="\\192.168.3.3\Share\Releases\Projects\Comcast\Release_for_Test\Test_Build_4.6.4\Server CD\Database\Setup"/>
    <m/>
    <x v="1"/>
    <m/>
    <m/>
    <m/>
    <m/>
    <x v="2"/>
  </r>
  <r>
    <x v="99"/>
    <x v="97"/>
    <n v="5"/>
    <x v="4"/>
    <n v="5"/>
    <s v="LQA-FAT"/>
    <x v="0"/>
    <m/>
    <x v="1"/>
    <x v="1"/>
    <x v="0"/>
    <s v="MPE_SLT-1B_3.0.1.1.1.69b2"/>
    <x v="0"/>
    <x v="26"/>
    <m/>
    <x v="0"/>
    <s v="\\192.168.3.3\Share\Releases\Projects\SLT-1B\Release_For_Test\Test_Build_1.0.0.1\Server CD\MPE\Setup"/>
    <s v="Pass"/>
    <x v="1"/>
    <m/>
    <m/>
    <m/>
    <s v="K.V. Krishnan"/>
    <x v="0"/>
  </r>
  <r>
    <x v="99"/>
    <x v="97"/>
    <n v="5"/>
    <x v="4"/>
    <n v="5"/>
    <s v="IT-LQA-FAT"/>
    <x v="0"/>
    <m/>
    <x v="4"/>
    <x v="0"/>
    <x v="0"/>
    <s v="RADBS_SLT_2.0.0.26.1.70b1"/>
    <x v="0"/>
    <x v="45"/>
    <s v="\\192.168.3.3\Share\Releases\Projects\SLT\Release_For_IT\Test_Build_1.0.0.4\Server CD\DBS\Setup"/>
    <x v="0"/>
    <s v="\\192.168.3.3\Share\Releases\Projects\SLT\Release_For_LQA\Test_Build_1.0.0.23\Server CD\DBS\Setup"/>
    <s v="Pass"/>
    <x v="0"/>
    <m/>
    <m/>
    <m/>
    <s v="Vijay Singh Daagar"/>
    <x v="0"/>
  </r>
  <r>
    <x v="99"/>
    <x v="97"/>
    <n v="5"/>
    <x v="4"/>
    <n v="5"/>
    <s v="IT-LQA-FAT"/>
    <x v="0"/>
    <m/>
    <x v="2"/>
    <x v="0"/>
    <x v="0"/>
    <s v="DMDBS_SLT_2.0.0.20.1.136b1"/>
    <x v="0"/>
    <x v="0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Ravi Gautam"/>
    <x v="0"/>
  </r>
  <r>
    <x v="99"/>
    <x v="97"/>
    <n v="5"/>
    <x v="4"/>
    <n v="5"/>
    <s v="LQA"/>
    <x v="1"/>
    <m/>
    <x v="9"/>
    <x v="0"/>
    <x v="0"/>
    <s v="NPDBS_1.3.1b5"/>
    <x v="0"/>
    <x v="23"/>
    <m/>
    <x v="0"/>
    <s v="\\192.168.3.3\Share\Releases\Product\NetMindPOS_1.3\Build&amp;Release\Release_For_LQA\Test_Build_1.0.1\Server CD\DBS\Setup"/>
    <m/>
    <x v="1"/>
    <m/>
    <m/>
    <m/>
    <m/>
    <x v="1"/>
  </r>
  <r>
    <x v="99"/>
    <x v="97"/>
    <n v="5"/>
    <x v="4"/>
    <n v="5"/>
    <s v="IT-LQA"/>
    <x v="1"/>
    <m/>
    <x v="4"/>
    <x v="0"/>
    <x v="0"/>
    <s v="RADBS_2.1.1.9b1"/>
    <x v="0"/>
    <x v="27"/>
    <s v="\\192.168.3.3\Share\Releases\Product\RevMind_2.1\Build&amp;Release\Release_For_IT\TestBuild_1.0.1\Server CD\DBS\Setup"/>
    <x v="0"/>
    <s v="\\192.168.3.3\Share\Releases\Product\RevMind_2.1\Build&amp;Release\Release_For_LQA\Test_Build_1.0.2\Server CD\DBS\Setup"/>
    <s v="Pass"/>
    <x v="1"/>
    <m/>
    <m/>
    <m/>
    <m/>
    <x v="0"/>
  </r>
  <r>
    <x v="100"/>
    <x v="98"/>
    <n v="5"/>
    <x v="4"/>
    <n v="5"/>
    <s v="LQA"/>
    <x v="1"/>
    <m/>
    <x v="5"/>
    <x v="0"/>
    <x v="0"/>
    <s v="NMDBS_4.7.1b7"/>
    <x v="0"/>
    <x v="24"/>
    <m/>
    <x v="0"/>
    <s v="\\192.168.3.3\Share\Releases\Product\Netmind_4.7\Build&amp;Release\Release_For_LQA\Test_Build_1.0.1\Server CD\DBS\Setup"/>
    <m/>
    <x v="1"/>
    <m/>
    <m/>
    <m/>
    <m/>
    <x v="1"/>
  </r>
  <r>
    <x v="100"/>
    <x v="98"/>
    <n v="5"/>
    <x v="4"/>
    <n v="5"/>
    <s v="LQA-FAT"/>
    <x v="0"/>
    <m/>
    <x v="8"/>
    <x v="2"/>
    <x v="1"/>
    <s v="WWFSGUI_SLT_2.2.1.0.3"/>
    <x v="0"/>
    <x v="52"/>
    <m/>
    <x v="0"/>
    <s v="\\192.168.3.3\Share\Releases\Projects\SLT\Release_For_LQA\Test_Build_1.0.0.23\Server CD\GUI\Setup"/>
    <s v="Pass"/>
    <x v="0"/>
    <m/>
    <m/>
    <m/>
    <s v="Vijay Singh Daagar"/>
    <x v="0"/>
  </r>
  <r>
    <x v="100"/>
    <x v="98"/>
    <n v="5"/>
    <x v="4"/>
    <n v="5"/>
    <s v="LQA-FAT"/>
    <x v="0"/>
    <m/>
    <x v="1"/>
    <x v="1"/>
    <x v="0"/>
    <s v="MPE_SLT-1B_3.0.1.1.1.72b1"/>
    <x v="0"/>
    <x v="6"/>
    <m/>
    <x v="0"/>
    <s v="\\192.168.3.3\Share\Releases\Projects\SLT-1B\Release_For_Test\Test_Build_1.0.0.1\Server CD\MPE\Setup"/>
    <s v="Pass"/>
    <x v="1"/>
    <m/>
    <m/>
    <m/>
    <s v="K.V. Krishnan"/>
    <x v="0"/>
  </r>
  <r>
    <x v="100"/>
    <x v="98"/>
    <n v="5"/>
    <x v="4"/>
    <n v="5"/>
    <s v="IT-LQA"/>
    <x v="8"/>
    <m/>
    <x v="5"/>
    <x v="0"/>
    <x v="0"/>
    <s v="NMDBS_TWC_4.6.1.11.3.36b3"/>
    <x v="0"/>
    <x v="19"/>
    <s v="\\192.168.3.3\Share\Releases\Projects\TWC\Release_For_IT\Test_Build_1.0.0.3\Server CD\DBS\Setup"/>
    <x v="2"/>
    <s v="\\192.168.3.3\Share\Releases\Projects\TWC\Release_For_Test\Test_Build_1.0.0.4\Server CD\DBS\Setup"/>
    <m/>
    <x v="1"/>
    <m/>
    <m/>
    <m/>
    <m/>
    <x v="2"/>
  </r>
  <r>
    <x v="100"/>
    <x v="98"/>
    <n v="5"/>
    <x v="4"/>
    <n v="5"/>
    <s v="IT-LQA"/>
    <x v="0"/>
    <m/>
    <x v="2"/>
    <x v="0"/>
    <x v="0"/>
    <s v="DMDBS_SLT_2.0.0.20.1.130b2"/>
    <x v="0"/>
    <x v="44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m/>
    <x v="0"/>
  </r>
  <r>
    <x v="100"/>
    <x v="98"/>
    <n v="5"/>
    <x v="4"/>
    <n v="5"/>
    <s v="LQA"/>
    <x v="0"/>
    <m/>
    <x v="1"/>
    <x v="1"/>
    <x v="0"/>
    <s v="MPE_SLT-1B_3.0.1.1.1.71b2"/>
    <x v="0"/>
    <x v="6"/>
    <m/>
    <x v="0"/>
    <s v="\\192.168.3.3\Share\Releases\Projects\SLT-1B\Release_For_Test\Test_Build_1.0.0.1\Server CD\MPE\Setup"/>
    <s v="Pass"/>
    <x v="1"/>
    <m/>
    <m/>
    <m/>
    <m/>
    <x v="0"/>
  </r>
  <r>
    <x v="101"/>
    <x v="99"/>
    <n v="5"/>
    <x v="4"/>
    <n v="5"/>
    <s v="LQA-FAT"/>
    <x v="0"/>
    <m/>
    <x v="1"/>
    <x v="1"/>
    <x v="0"/>
    <s v="MPE_SLT-1B_3.0.1.1.1.73b1"/>
    <x v="0"/>
    <x v="26"/>
    <m/>
    <x v="0"/>
    <s v="\\192.168.3.3\Share\Releases\Projects\SLT-1B\Release_For_Test\Test_Build_1.0.0.1\Server CD\MPE\Setup"/>
    <s v="Pass"/>
    <x v="1"/>
    <m/>
    <m/>
    <m/>
    <s v="K.V. Krishnan"/>
    <x v="0"/>
  </r>
  <r>
    <x v="101"/>
    <x v="99"/>
    <n v="5"/>
    <x v="4"/>
    <n v="5"/>
    <s v="IT-LQA-FAT"/>
    <x v="0"/>
    <m/>
    <x v="2"/>
    <x v="0"/>
    <x v="0"/>
    <s v="DMDBS_SLT_2.0.0.20.1.137b1"/>
    <x v="0"/>
    <x v="32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101"/>
    <x v="99"/>
    <n v="5"/>
    <x v="4"/>
    <n v="5"/>
    <s v="LQA"/>
    <x v="13"/>
    <m/>
    <x v="1"/>
    <x v="1"/>
    <x v="0"/>
    <s v="MPE_NM46_3.2.5.1.1.6b1"/>
    <x v="0"/>
    <x v="6"/>
    <m/>
    <x v="0"/>
    <s v="\\192.168.3.3\Share\Releases\Projects\NM46\Release_For_Test\Test_Build_1.0.0.1\Server CD\MPE\Setup"/>
    <m/>
    <x v="1"/>
    <m/>
    <m/>
    <m/>
    <m/>
    <x v="1"/>
  </r>
  <r>
    <x v="101"/>
    <x v="99"/>
    <n v="5"/>
    <x v="4"/>
    <n v="5"/>
    <s v="LQA-UAT"/>
    <x v="1"/>
    <m/>
    <x v="1"/>
    <x v="1"/>
    <x v="0"/>
    <s v="MPE_3.2.4.32b2"/>
    <x v="0"/>
    <x v="14"/>
    <m/>
    <x v="0"/>
    <s v="\\192.168.3.3\Share\Releases\Product\MPE_GUI\ReleaseForLQA\TestBuild_1.0.0.2\Server CD\MPE\Setup"/>
    <s v="Pass"/>
    <x v="1"/>
    <m/>
    <m/>
    <m/>
    <s v="Pradeep Raghav"/>
    <x v="0"/>
  </r>
  <r>
    <x v="101"/>
    <x v="99"/>
    <n v="5"/>
    <x v="4"/>
    <n v="5"/>
    <s v="IT-LQA"/>
    <x v="1"/>
    <m/>
    <x v="4"/>
    <x v="0"/>
    <x v="0"/>
    <s v="RADBS_2.1.1.10b1"/>
    <x v="0"/>
    <x v="27"/>
    <s v="\\192.168.3.3\Share\Releases\Product\RevMind_2.1\Build&amp;Release\Release_For_IT\TestBuild_1.0.1\Server CD\DBS\Setup"/>
    <x v="0"/>
    <s v="\\192.168.3.3\Share\Releases\Product\RevMind_2.1\Build&amp;Release\Release_For_LQA\Test_Build_1.0.2\Server CD\DBS\Setup"/>
    <s v="Pass"/>
    <x v="0"/>
    <m/>
    <m/>
    <m/>
    <m/>
    <x v="0"/>
  </r>
  <r>
    <x v="101"/>
    <x v="99"/>
    <n v="5"/>
    <x v="4"/>
    <n v="5"/>
    <s v="LQA-UAT"/>
    <x v="6"/>
    <m/>
    <x v="1"/>
    <x v="1"/>
    <x v="0"/>
    <s v="MPE_ANTEL_3.2.4.32.1.15b1"/>
    <x v="0"/>
    <x v="14"/>
    <m/>
    <x v="0"/>
    <s v="\\192.168.3.3\Share\Releases\Projects\ANTEL\Release_For_Test\Test_Build_1.0.0.7\Server CD\MPE\Setup"/>
    <s v="Pass"/>
    <x v="0"/>
    <m/>
    <m/>
    <m/>
    <s v="Pradeep Raghav"/>
    <x v="0"/>
  </r>
  <r>
    <x v="101"/>
    <x v="99"/>
    <n v="5"/>
    <x v="4"/>
    <n v="5"/>
    <s v="IT-LQA-AT"/>
    <x v="4"/>
    <m/>
    <x v="5"/>
    <x v="0"/>
    <x v="0"/>
    <s v="NMDBS_TLSTR_4.0.1.0.4.304b1 "/>
    <x v="0"/>
    <x v="36"/>
    <s v="\\192.168.3.3\Share\Releases\Projects\Telstra\Release_For_IT\Test_Build_1.0.0.18\Server CD\DBS\Setup"/>
    <x v="2"/>
    <s v="\\192.168.3.3\Share\Releases\Projects\Telstra\Release_For_LQA\Test_Build_1.0.0.18\Server CD\DBS\Setup"/>
    <s v="Pass"/>
    <x v="1"/>
    <m/>
    <m/>
    <m/>
    <s v="Gaurav Shukla"/>
    <x v="2"/>
  </r>
  <r>
    <x v="101"/>
    <x v="99"/>
    <n v="5"/>
    <x v="4"/>
    <n v="5"/>
    <s v="IT-LQA-FAT"/>
    <x v="0"/>
    <m/>
    <x v="2"/>
    <x v="0"/>
    <x v="0"/>
    <s v="DMDBS_SLT_2.0.0.20.1.138b1"/>
    <x v="0"/>
    <x v="44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102"/>
    <x v="100"/>
    <n v="5"/>
    <x v="4"/>
    <n v="5"/>
    <s v="IT-LQA"/>
    <x v="1"/>
    <m/>
    <x v="2"/>
    <x v="0"/>
    <x v="0"/>
    <s v="DMDBS_2.0.0.22b1"/>
    <x v="0"/>
    <x v="32"/>
    <s v="\\192.168.3.3\Share\Releases\Product\DataMind_2.0\Build&amp;Release\Release for IT\TestBuild_2.0.0\Server CD\DBS\Setup"/>
    <x v="2"/>
    <s v="\\192.168.3.3\Share\Releases\Product\DataMind_2.0\Build&amp;Release\Release for LQA\TestBuild_2.0.0\Server CD\DBS\Setup"/>
    <m/>
    <x v="0"/>
    <m/>
    <m/>
    <m/>
    <m/>
    <x v="2"/>
  </r>
  <r>
    <x v="102"/>
    <x v="100"/>
    <n v="5"/>
    <x v="4"/>
    <n v="5"/>
    <s v="IT-LQA-FAT"/>
    <x v="0"/>
    <m/>
    <x v="0"/>
    <x v="0"/>
    <x v="0"/>
    <s v="REDBS_SLT_1.0.1.24.1.11b1"/>
    <x v="0"/>
    <x v="0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Ravi Gautam"/>
    <x v="0"/>
  </r>
  <r>
    <x v="102"/>
    <x v="100"/>
    <n v="5"/>
    <x v="4"/>
    <n v="5"/>
    <s v="IT-LQA-UAT"/>
    <x v="1"/>
    <m/>
    <x v="2"/>
    <x v="0"/>
    <x v="0"/>
    <s v="DMDBS_2.0.0.21b1"/>
    <x v="0"/>
    <x v="5"/>
    <s v="\\192.168.3.3\Share\Releases\Product\DataMind_2.0\Build&amp;Release\Release for IT\TestBuild_2.0.0\Server CD\DBS\Setup"/>
    <x v="0"/>
    <s v="\\192.168.3.3\Share\Releases\Product\DataMind_2.0\Build&amp;Release\Release for LQA\TestBuild_2.0.0\Server CD\DBS\Setup"/>
    <s v="Pass"/>
    <x v="1"/>
    <m/>
    <m/>
    <m/>
    <s v="Ravi Gautam"/>
    <x v="0"/>
  </r>
  <r>
    <x v="103"/>
    <x v="101"/>
    <n v="5"/>
    <x v="4"/>
    <n v="5"/>
    <s v="IT-LQA"/>
    <x v="10"/>
    <m/>
    <x v="5"/>
    <x v="0"/>
    <x v="0"/>
    <s v="NMDBS_COM_4.6.1.20.1.26b1"/>
    <x v="0"/>
    <x v="39"/>
    <s v="\\192.168.3.3\Share\Releases\Projects\Comcast\Release_For_IT\Test_Build_4.6.1\Server CD\Database\Setup"/>
    <x v="2"/>
    <s v="\\192.168.3.3\Share\Releases\Projects\Comcast\Release_for_Test\Test_Build_4.6.4\Server CD\Database\Setup"/>
    <m/>
    <x v="1"/>
    <m/>
    <m/>
    <m/>
    <m/>
    <x v="2"/>
  </r>
  <r>
    <x v="103"/>
    <x v="101"/>
    <n v="5"/>
    <x v="4"/>
    <n v="5"/>
    <s v="IT-LQA"/>
    <x v="10"/>
    <m/>
    <x v="5"/>
    <x v="0"/>
    <x v="0"/>
    <s v="NMDBS_COM_4.6.1.20.1.25b1"/>
    <x v="0"/>
    <x v="19"/>
    <s v="\\192.168.3.3\Share\Releases\Projects\Comcast\Release_For_IT\Test_Build_4.6.1\Server CD\Database\Setup"/>
    <x v="0"/>
    <s v="\\192.168.3.3\Share\Releases\Projects\Comcast\Release_for_Test\Test_Build_4.6.4\Server CD\Database\Setup"/>
    <s v="Pass"/>
    <x v="1"/>
    <m/>
    <m/>
    <m/>
    <m/>
    <x v="0"/>
  </r>
  <r>
    <x v="103"/>
    <x v="101"/>
    <n v="5"/>
    <x v="4"/>
    <n v="5"/>
    <s v="IT-LQA-FAT"/>
    <x v="0"/>
    <m/>
    <x v="2"/>
    <x v="0"/>
    <x v="0"/>
    <s v="DMDBS_SLT_2.0.0.20.1.133b1"/>
    <x v="0"/>
    <x v="17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Nisha Malik"/>
    <x v="0"/>
  </r>
  <r>
    <x v="103"/>
    <x v="101"/>
    <n v="5"/>
    <x v="4"/>
    <n v="5"/>
    <s v="IT-LQA"/>
    <x v="3"/>
    <m/>
    <x v="5"/>
    <x v="0"/>
    <x v="0"/>
    <s v="NMDBS_OBT_4.6.1.21.1.32b1"/>
    <x v="0"/>
    <x v="4"/>
    <s v="\\192.168.3.3\Share\Releases\Projects\OBT\Release_For_IT\TestBuild_1.0.0.2\Server CD\DBS\Setup"/>
    <x v="0"/>
    <s v="\\192.168.3.3\Share\Releases\Projects\OBT\Release_For_LQA\TestBuild_1.0.0.5\Server CD\DBS\Setup"/>
    <s v="Pass"/>
    <x v="1"/>
    <m/>
    <m/>
    <m/>
    <m/>
    <x v="0"/>
  </r>
  <r>
    <x v="103"/>
    <x v="101"/>
    <n v="5"/>
    <x v="4"/>
    <n v="5"/>
    <s v="IT-LQA"/>
    <x v="3"/>
    <m/>
    <x v="5"/>
    <x v="0"/>
    <x v="0"/>
    <s v="NMDBS_OBT_4.6.1.21.1.39b1"/>
    <x v="0"/>
    <x v="32"/>
    <s v="\\192.168.3.3\Share\Releases\Projects\OBT\Release_For_IT\TestBuild_1.0.0.2\Server CD\DBS\Setup"/>
    <x v="0"/>
    <s v="\\192.168.3.3\Share\Releases\Projects\OBT\Release_For_LQA\TestBuild_1.0.0.5\Server CD\DBS\Setup"/>
    <m/>
    <x v="1"/>
    <m/>
    <m/>
    <m/>
    <m/>
    <x v="1"/>
  </r>
  <r>
    <x v="103"/>
    <x v="101"/>
    <n v="5"/>
    <x v="4"/>
    <n v="5"/>
    <s v="IT-LQA"/>
    <x v="10"/>
    <m/>
    <x v="5"/>
    <x v="0"/>
    <x v="0"/>
    <s v="NMDBS_COM_4.6.1.20.1.26b2"/>
    <x v="0"/>
    <x v="39"/>
    <s v="\\192.168.3.3\Share\Releases\Projects\Comcast\Release_For_IT\Test_Build_4.6.1\Server CD\Database\Setup"/>
    <x v="2"/>
    <s v="\\192.168.3.3\Share\Releases\Projects\Comcast\Release_for_Test\Test_Build_4.6.4\Server CD\Database\Setup"/>
    <m/>
    <x v="1"/>
    <m/>
    <m/>
    <m/>
    <m/>
    <x v="2"/>
  </r>
  <r>
    <x v="103"/>
    <x v="101"/>
    <n v="5"/>
    <x v="4"/>
    <n v="5"/>
    <s v="IT-LQA-FAT"/>
    <x v="0"/>
    <m/>
    <x v="2"/>
    <x v="0"/>
    <x v="0"/>
    <s v="DMDBS_SLT_2.0.0.20.1.139b1"/>
    <x v="0"/>
    <x v="17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Nisha Malik"/>
    <x v="0"/>
  </r>
  <r>
    <x v="104"/>
    <x v="102"/>
    <n v="5"/>
    <x v="4"/>
    <n v="5"/>
    <s v="IT-LQA"/>
    <x v="4"/>
    <m/>
    <x v="5"/>
    <x v="0"/>
    <x v="0"/>
    <s v="NMDBS_TLSTR_4.0.1.0.4.305b1"/>
    <x v="0"/>
    <x v="36"/>
    <s v="\\192.168.3.3\Share\Releases\Projects\Telstra\Release_For_IT\Test_Build_1.0.0.18\Server CD\DBS\Setup"/>
    <x v="0"/>
    <s v="\\192.168.3.3\Share\Releases\Projects\Telstra\Release_For_LQA\Test_Build_1.0.0.18\Server CD\DBS\Setup"/>
    <m/>
    <x v="1"/>
    <m/>
    <m/>
    <m/>
    <m/>
    <x v="1"/>
  </r>
  <r>
    <x v="104"/>
    <x v="102"/>
    <n v="5"/>
    <x v="4"/>
    <n v="5"/>
    <s v="IT-LQA-UAT"/>
    <x v="8"/>
    <m/>
    <x v="5"/>
    <x v="0"/>
    <x v="0"/>
    <s v="NMDBS_TWC_4.6.1.11.3.36b4"/>
    <x v="0"/>
    <x v="19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Sumit Gomber"/>
    <x v="0"/>
  </r>
  <r>
    <x v="104"/>
    <x v="102"/>
    <n v="5"/>
    <x v="4"/>
    <n v="5"/>
    <s v="LQA"/>
    <x v="0"/>
    <m/>
    <x v="11"/>
    <x v="6"/>
    <x v="0"/>
    <s v="UTLSEQM_SLT-1B_1.0.0.0.5.8b1"/>
    <x v="0"/>
    <x v="26"/>
    <m/>
    <x v="2"/>
    <s v="\\192.168.3.3\Share\Releases\Projects\SLT-1B\Release_For_Test\Test_Build_1.0.0.1\Utility\MPE\Setup"/>
    <m/>
    <x v="0"/>
    <m/>
    <m/>
    <m/>
    <m/>
    <x v="2"/>
  </r>
  <r>
    <x v="104"/>
    <x v="102"/>
    <n v="5"/>
    <x v="4"/>
    <n v="5"/>
    <s v="IT-LQA"/>
    <x v="10"/>
    <m/>
    <x v="5"/>
    <x v="0"/>
    <x v="0"/>
    <s v="NMDBS_COM_4.6.1.20.1.27b1"/>
    <x v="0"/>
    <x v="7"/>
    <s v="\\192.168.3.3\Share\Releases\Projects\Comcast\Release_For_IT\Test_Build_4.6.1\Server CD\Database\Setup"/>
    <x v="0"/>
    <s v="\\192.168.3.3\Share\Releases\Projects\Comcast\Release_for_Test\Test_Build_4.6.4\Server CD\Database\Setup"/>
    <s v="Pass"/>
    <x v="0"/>
    <m/>
    <m/>
    <m/>
    <m/>
    <x v="0"/>
  </r>
  <r>
    <x v="105"/>
    <x v="103"/>
    <n v="5"/>
    <x v="4"/>
    <n v="5"/>
    <s v="IT-LQA-UAT"/>
    <x v="1"/>
    <m/>
    <x v="9"/>
    <x v="0"/>
    <x v="0"/>
    <s v="NPDBS_1.2.3.10b1"/>
    <x v="0"/>
    <x v="23"/>
    <s v="\\192.168.3.3\share\Releases\Product\NetMindPOS_1.1\Build&amp;Release\Release for IT\TestBuild_1.2.3\Server CD\DBS\Setup"/>
    <x v="0"/>
    <s v="\\192.168.3.3\share\Releases\Product\NetMindPOS_1.1\Build&amp;Release\Release for LQA\TestBuild_1.2.3\Server CD\DBS\Setup"/>
    <s v="Pass"/>
    <x v="0"/>
    <m/>
    <m/>
    <m/>
    <s v="Sumit Gomber"/>
    <x v="0"/>
  </r>
  <r>
    <x v="105"/>
    <x v="103"/>
    <n v="5"/>
    <x v="4"/>
    <n v="5"/>
    <s v="IT-LQA"/>
    <x v="12"/>
    <m/>
    <x v="2"/>
    <x v="0"/>
    <x v="0"/>
    <s v="DMDBS_DRC_2.1.1.7.2.17b1"/>
    <x v="0"/>
    <x v="53"/>
    <s v="\\192.168.3.3\Share\Releases\Projects\DRC\Release_For_IT\Test_Build_1.0.0.3\Server CD\DBS\Setup"/>
    <x v="0"/>
    <s v="\\192.168.3.3\Share\Releases\Projects\DRC\Release_For_LQA\Test_Build_1.0.0.3\Server CD\DBS\Setup"/>
    <s v="Pass"/>
    <x v="1"/>
    <m/>
    <m/>
    <m/>
    <m/>
    <x v="0"/>
  </r>
  <r>
    <x v="105"/>
    <x v="103"/>
    <n v="5"/>
    <x v="4"/>
    <n v="5"/>
    <s v="IT-LQA"/>
    <x v="10"/>
    <m/>
    <x v="5"/>
    <x v="0"/>
    <x v="0"/>
    <s v="NMDBS_COM_4.6.1.20.1.28b1"/>
    <x v="0"/>
    <x v="19"/>
    <s v="\\192.168.3.3\Share\Releases\Projects\Comcast\Release_For_IT\Test_Build_4.6.1\Server CD\Database\Setup"/>
    <x v="0"/>
    <s v="\\192.168.3.3\Share\Releases\Projects\Comcast\Release_for_Test\Test_Build_4.6.4\Server CD\Database\Setup"/>
    <s v="Pass"/>
    <x v="1"/>
    <m/>
    <m/>
    <m/>
    <m/>
    <x v="0"/>
  </r>
  <r>
    <x v="105"/>
    <x v="103"/>
    <n v="5"/>
    <x v="4"/>
    <n v="5"/>
    <s v="IT-LQA"/>
    <x v="10"/>
    <m/>
    <x v="5"/>
    <x v="0"/>
    <x v="0"/>
    <s v="NMDBS_COM_4.6.1.20.1.26b3"/>
    <x v="0"/>
    <x v="39"/>
    <s v="\\192.168.3.3\Share\Releases\Projects\Comcast\Release_For_IT\Test_Build_4.6.1\Server CD\Database\Setup"/>
    <x v="2"/>
    <s v="\\192.168.3.3\Share\Releases\Projects\Comcast\Release_for_Test\Test_Build_4.6.4\Server CD\Database\Setup"/>
    <m/>
    <x v="1"/>
    <m/>
    <m/>
    <m/>
    <m/>
    <x v="2"/>
  </r>
  <r>
    <x v="105"/>
    <x v="103"/>
    <n v="5"/>
    <x v="4"/>
    <n v="5"/>
    <s v="IT-LQA-UAT"/>
    <x v="1"/>
    <m/>
    <x v="4"/>
    <x v="0"/>
    <x v="0"/>
    <s v="RADBS_2.1.1.11b1 "/>
    <x v="0"/>
    <x v="27"/>
    <s v="\\192.168.3.3\Share\Releases\Product\RevMind_2.1\Build&amp;Release\Release_For_IT\TestBuild_1.0.1\Server CD\DBS\Setup"/>
    <x v="0"/>
    <s v="\\192.168.3.3\Share\Releases\Product\RevMind_2.1\Build&amp;Release\Release_For_LQA\Test_Build_1.0.2\Server CD\DBS\Setup"/>
    <s v="Pass"/>
    <x v="0"/>
    <m/>
    <m/>
    <m/>
    <s v="Jagdish Sankar"/>
    <x v="0"/>
  </r>
  <r>
    <x v="105"/>
    <x v="0"/>
    <n v="5"/>
    <x v="4"/>
    <s v="False"/>
    <s v="IT"/>
    <x v="1"/>
    <m/>
    <x v="5"/>
    <x v="0"/>
    <x v="0"/>
    <s v="NMDBS_4.6.1.23b1"/>
    <x v="0"/>
    <x v="24"/>
    <s v="\\192.168.3.3\Share\Releases\Product\Netmind_4.6\Build&amp;Release\ReleaseForIT\TestBuild_4.6.1\Build4\ServerCD\DBS\Setup"/>
    <x v="0"/>
    <s v="\\192.168.3.3\Share\Releases\Product\Netmind_4.6\Build&amp;Release\ReleaseForTest\TestBuild_4.6.1\Build4\ServerCD\DBS\Setup"/>
    <m/>
    <x v="1"/>
    <m/>
    <m/>
    <m/>
    <m/>
    <x v="1"/>
  </r>
  <r>
    <x v="105"/>
    <x v="103"/>
    <n v="5"/>
    <x v="4"/>
    <n v="5"/>
    <s v="LQA-UAT"/>
    <x v="1"/>
    <m/>
    <x v="1"/>
    <x v="1"/>
    <x v="0"/>
    <s v="MPE_3.2.1.6b1"/>
    <x v="0"/>
    <x v="46"/>
    <m/>
    <x v="0"/>
    <s v="\\192.168.3.3\Share\Releases\Product\MPE_3.2\ReleaseForLQA\TestBuild_3.2.1\Build2\ServerCD\Setup\RHEL_5.1"/>
    <s v="Pass"/>
    <x v="1"/>
    <m/>
    <m/>
    <m/>
    <s v="Jitender Aggarwal"/>
    <x v="0"/>
  </r>
  <r>
    <x v="106"/>
    <x v="104"/>
    <n v="5"/>
    <x v="4"/>
    <n v="5"/>
    <s v="IT-LQA-FAT"/>
    <x v="0"/>
    <m/>
    <x v="2"/>
    <x v="0"/>
    <x v="0"/>
    <s v="DMDBS_SLT_2.0.0.20.1.135b1"/>
    <x v="0"/>
    <x v="44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Nisha Malik"/>
    <x v="0"/>
  </r>
  <r>
    <x v="106"/>
    <x v="104"/>
    <n v="5"/>
    <x v="4"/>
    <n v="5"/>
    <s v="IT-LQA-UAT"/>
    <x v="10"/>
    <m/>
    <x v="5"/>
    <x v="0"/>
    <x v="0"/>
    <s v="NMDBS_COM_4.6.1.20.1.29b1"/>
    <x v="0"/>
    <x v="7"/>
    <s v="\\192.168.3.3\Share\Releases\Projects\Comcast\Release_For_IT\Test_Build_4.6.1\Server CD\Database\Setup"/>
    <x v="0"/>
    <s v="\\192.168.3.3\Share\Releases\Projects\Comcast\Release_for_Test\Test_Build_4.6.4\Server CD\Database\Setup"/>
    <s v="Pass"/>
    <x v="1"/>
    <m/>
    <m/>
    <m/>
    <s v="Sumit Gomber"/>
    <x v="0"/>
  </r>
  <r>
    <x v="106"/>
    <x v="104"/>
    <n v="5"/>
    <x v="4"/>
    <n v="5"/>
    <s v="IT-LQA"/>
    <x v="10"/>
    <m/>
    <x v="5"/>
    <x v="0"/>
    <x v="0"/>
    <s v="NMDBS_COM_4.6.1.20.1.30b1"/>
    <x v="0"/>
    <x v="7"/>
    <s v="\\192.168.3.3\Share\Releases\Projects\Comcast\Release_For_IT\Test_Build_4.6.1\Server CD\Database\Setup"/>
    <x v="0"/>
    <s v="\\192.168.3.3\Share\Releases\Projects\Comcast\Release_for_Test\Test_Build_4.6.4\Server CD\Database\Setup"/>
    <s v="Pass"/>
    <x v="1"/>
    <m/>
    <m/>
    <m/>
    <m/>
    <x v="0"/>
  </r>
  <r>
    <x v="106"/>
    <x v="104"/>
    <n v="5"/>
    <x v="4"/>
    <n v="5"/>
    <s v="IT-LQA-UAT"/>
    <x v="10"/>
    <m/>
    <x v="9"/>
    <x v="0"/>
    <x v="0"/>
    <s v="NPDBS_COM_1.2.3.6.1.14b1"/>
    <x v="0"/>
    <x v="39"/>
    <s v="\\192.168.3.3\Share\Releases\Projects\Comcast\Release_For_IT\Test_Build_4.6.1\Server CD\Database\Setup"/>
    <x v="0"/>
    <s v="\\192.168.3.3\Share\Releases\Projects\Comcast\Release_for_Test\Test_Build_4.6.4\Server CD\Database\Setup"/>
    <s v="Pass"/>
    <x v="1"/>
    <m/>
    <m/>
    <m/>
    <s v="Sumit Gomber"/>
    <x v="0"/>
  </r>
  <r>
    <x v="106"/>
    <x v="104"/>
    <n v="5"/>
    <x v="4"/>
    <n v="5"/>
    <s v="LQA"/>
    <x v="1"/>
    <m/>
    <x v="11"/>
    <x v="6"/>
    <x v="1"/>
    <s v="AWF_2.0.1b29"/>
    <x v="0"/>
    <x v="31"/>
    <m/>
    <x v="0"/>
    <s v="\\192.168.3.3\Share\Releases\Product\AWF\Build&amp;Release\Release For Test\TestBuild_2.0.1\Setup"/>
    <m/>
    <x v="1"/>
    <m/>
    <m/>
    <m/>
    <m/>
    <x v="1"/>
  </r>
  <r>
    <x v="106"/>
    <x v="104"/>
    <n v="5"/>
    <x v="4"/>
    <n v="5"/>
    <s v="LQA"/>
    <x v="1"/>
    <m/>
    <x v="8"/>
    <x v="2"/>
    <x v="0"/>
    <s v="WWFSGUI_2.1.26b3"/>
    <x v="0"/>
    <x v="33"/>
    <m/>
    <x v="0"/>
    <s v="\\192.168.3.3\Share\Releases\Product\WEB_WFS\Build&amp;Release\Release For Test\TestBuild_2.1.26\ServerCD\GUI\Setup"/>
    <m/>
    <x v="1"/>
    <m/>
    <m/>
    <m/>
    <m/>
    <x v="1"/>
  </r>
  <r>
    <x v="106"/>
    <x v="104"/>
    <n v="5"/>
    <x v="4"/>
    <n v="5"/>
    <s v="IT-LQA-FAT"/>
    <x v="0"/>
    <m/>
    <x v="2"/>
    <x v="0"/>
    <x v="0"/>
    <s v="DMDBS_SLT_2.0.0.20.1.140b1"/>
    <x v="0"/>
    <x v="32"/>
    <s v="\\192.168.3.3\Share\Releases\Projects\SLT\Release_For_LQA\Test_Build_1.0.0.23\Server CD\DBS\Setup"/>
    <x v="0"/>
    <s v="\\192.168.3.3\Share\Releases\Projects\SLT\Release_For_IT\Test_Build_1.0.0.4\Server CD\DBS\Setup"/>
    <s v="Pass"/>
    <x v="1"/>
    <m/>
    <m/>
    <m/>
    <s v="Nisha Malik"/>
    <x v="0"/>
  </r>
  <r>
    <x v="106"/>
    <x v="104"/>
    <n v="5"/>
    <x v="4"/>
    <n v="5"/>
    <s v="LQA"/>
    <x v="1"/>
    <m/>
    <x v="7"/>
    <x v="2"/>
    <x v="0"/>
    <s v="RTGUI_4.0.24b2"/>
    <x v="0"/>
    <x v="16"/>
    <m/>
    <x v="0"/>
    <s v="\\192.168.3.3\Share\Releases\Product\RT_4.0\ReleaseForLQA\TestBuild_4.0.24\GUI\Build1\Setup"/>
    <m/>
    <x v="1"/>
    <m/>
    <m/>
    <m/>
    <m/>
    <x v="1"/>
  </r>
  <r>
    <x v="106"/>
    <x v="104"/>
    <n v="5"/>
    <x v="4"/>
    <n v="5"/>
    <s v="IT-LQA-FAT"/>
    <x v="1"/>
    <m/>
    <x v="7"/>
    <x v="0"/>
    <x v="0"/>
    <s v="RTDBS_4.0.1.19b1"/>
    <x v="0"/>
    <x v="3"/>
    <s v="\\192.168.3.3\Share\Releases\Product\RT_4.0\ReleaseForIT\TestBuild_4.0.3\DBS\Setup"/>
    <x v="0"/>
    <s v="\\192.168.3.3\Share\Releases\Product\RT_4.0\ReleaseForLQA\TestBuild_4.0.23\DBS\Setup"/>
    <s v="Pass"/>
    <x v="1"/>
    <m/>
    <m/>
    <m/>
    <s v="Harsh Khanna"/>
    <x v="0"/>
  </r>
  <r>
    <x v="106"/>
    <x v="104"/>
    <n v="5"/>
    <x v="4"/>
    <n v="5"/>
    <s v="LQA"/>
    <x v="3"/>
    <m/>
    <x v="7"/>
    <x v="2"/>
    <x v="1"/>
    <s v="RTGUI_OBT_4.0.24.0.1"/>
    <x v="0"/>
    <x v="16"/>
    <m/>
    <x v="0"/>
    <s v="\\192.168.3.3\share\Releases\Projects\OBT\Release_For_LQA\TestBuild_1.0.0.6\Server CD\GUI\Setup"/>
    <s v="Pass"/>
    <x v="1"/>
    <m/>
    <m/>
    <m/>
    <m/>
    <x v="0"/>
  </r>
  <r>
    <x v="106"/>
    <x v="104"/>
    <n v="5"/>
    <x v="4"/>
    <n v="5"/>
    <s v="LQA"/>
    <x v="0"/>
    <m/>
    <x v="7"/>
    <x v="2"/>
    <x v="1"/>
    <s v="RTGUI_SLT_4.0.24.0.1"/>
    <x v="0"/>
    <x v="16"/>
    <m/>
    <x v="0"/>
    <s v="\\192.168.3.3\Share\Releases\Projects\SLT\Release_For_LQA\Test_Build_1.0.0.23\Server CD\GUI\Setup"/>
    <m/>
    <x v="0"/>
    <m/>
    <m/>
    <m/>
    <m/>
    <x v="1"/>
  </r>
  <r>
    <x v="106"/>
    <x v="104"/>
    <n v="5"/>
    <x v="4"/>
    <n v="5"/>
    <s v="IT-LQA-UAT"/>
    <x v="5"/>
    <m/>
    <x v="5"/>
    <x v="1"/>
    <x v="1"/>
    <s v="NMMPE_BHN_3.5.2.30.1"/>
    <x v="0"/>
    <x v="46"/>
    <s v="\\192.168.3.3\Share\Projects\Neustar\BHN\Build&amp;Release\Release For IT\Test_Build_3.5.37\Server CD\MPE\Setup"/>
    <x v="0"/>
    <s v="\\192.168.3.3\Share\Projects\Neustar\BHN\Build&amp;Release\Release For Test\Test_Build_3.5.37\Server CD\MPE\Setup"/>
    <s v="Pass"/>
    <x v="1"/>
    <m/>
    <m/>
    <m/>
    <s v="Sunil Katyar"/>
    <x v="0"/>
  </r>
  <r>
    <x v="106"/>
    <x v="104"/>
    <n v="5"/>
    <x v="4"/>
    <n v="5"/>
    <s v="LQA"/>
    <x v="1"/>
    <m/>
    <x v="9"/>
    <x v="0"/>
    <x v="1"/>
    <s v="NPDBS_1.3.1b6"/>
    <x v="0"/>
    <x v="24"/>
    <m/>
    <x v="0"/>
    <s v="\\192.168.3.3\Share\Releases\Product\NetMindPOS_1.3\Build&amp;Release\Release_For_LQA\Test_Build_1.0.1\Server CD\DBS\Setup"/>
    <m/>
    <x v="1"/>
    <m/>
    <m/>
    <m/>
    <m/>
    <x v="1"/>
  </r>
  <r>
    <x v="106"/>
    <x v="104"/>
    <n v="5"/>
    <x v="4"/>
    <n v="5"/>
    <s v="LQA"/>
    <x v="10"/>
    <m/>
    <x v="8"/>
    <x v="2"/>
    <x v="1"/>
    <s v="WWFSGUI_COM_2.1.26.0.1"/>
    <x v="0"/>
    <x v="21"/>
    <m/>
    <x v="0"/>
    <s v="\\192.168.3.3\Share\Releases\Projects\Comcast\Release_for_Test\Test_Build_4.6.5\Server CD\GUI\Setup"/>
    <m/>
    <x v="0"/>
    <m/>
    <m/>
    <m/>
    <m/>
    <x v="1"/>
  </r>
  <r>
    <x v="106"/>
    <x v="104"/>
    <n v="5"/>
    <x v="4"/>
    <n v="5"/>
    <s v="IT-LQA"/>
    <x v="10"/>
    <m/>
    <x v="5"/>
    <x v="0"/>
    <x v="0"/>
    <s v="NMDBS_COM_4.6.1.20.1.31b1"/>
    <x v="0"/>
    <x v="19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m/>
    <x v="0"/>
  </r>
  <r>
    <x v="106"/>
    <x v="104"/>
    <n v="5"/>
    <x v="4"/>
    <n v="5"/>
    <s v="IT-LQA"/>
    <x v="0"/>
    <m/>
    <x v="5"/>
    <x v="0"/>
    <x v="0"/>
    <s v="DMDBS_SLT_2.0.0.20.1.141b1"/>
    <x v="0"/>
    <x v="44"/>
    <s v="\\192.168.3.3\Share\Releases\Projects\SLT\Release_For_IT\Test_Build_1.0.0.4\Server CD\DBS\Setup"/>
    <x v="2"/>
    <s v="\\192.168.3.3\Share\Releases\Projects\SLT\Release_For_LQA\Test_Build_1.0.0.23\Server CD\DBS\Setup"/>
    <m/>
    <x v="0"/>
    <m/>
    <m/>
    <m/>
    <m/>
    <x v="2"/>
  </r>
  <r>
    <x v="106"/>
    <x v="104"/>
    <n v="5"/>
    <x v="4"/>
    <n v="5"/>
    <s v="LQA"/>
    <x v="1"/>
    <m/>
    <x v="5"/>
    <x v="0"/>
    <x v="1"/>
    <s v="NMDBS_4.7.1b8"/>
    <x v="0"/>
    <x v="24"/>
    <m/>
    <x v="0"/>
    <s v="\\192.168.3.3\Share\Releases\Product\Netmind_4.7\Build&amp;Release\Release_For_LQA\Test_Build_1.0.1\Server CD\DBS\Setup"/>
    <m/>
    <x v="1"/>
    <m/>
    <m/>
    <m/>
    <m/>
    <x v="1"/>
  </r>
  <r>
    <x v="106"/>
    <x v="104"/>
    <n v="5"/>
    <x v="4"/>
    <n v="5"/>
    <s v="IT-LQA"/>
    <x v="0"/>
    <m/>
    <x v="4"/>
    <x v="0"/>
    <x v="0"/>
    <s v="RADBS_SLT_2.0.0.26.1.71b1"/>
    <x v="0"/>
    <x v="19"/>
    <s v="\\192.168.3.3\Share\Releases\Projects\SLT\Release_For_IT\Test_Build_1.0.0.4\Server CD\DBS\Setup"/>
    <x v="2"/>
    <s v="\\192.168.3.3\Share\Releases\Projects\SLT\Release_For_LQA\Test_Build_1.0.0.23\Server CD\DBS\Setup"/>
    <m/>
    <x v="1"/>
    <m/>
    <m/>
    <m/>
    <m/>
    <x v="2"/>
  </r>
  <r>
    <x v="107"/>
    <x v="105"/>
    <n v="5"/>
    <x v="4"/>
    <n v="5"/>
    <s v="LQA"/>
    <x v="0"/>
    <m/>
    <x v="1"/>
    <x v="1"/>
    <x v="0"/>
    <s v="MPE_SLT-1B_3.0.1.1.1.74b1"/>
    <x v="0"/>
    <x v="41"/>
    <m/>
    <x v="2"/>
    <s v="\\192.168.3.3\Share\Releases\Projects\SLT-1B\Release_For_Test\Test_Build_1.0.0.1\Server CD\MPE\Setup"/>
    <m/>
    <x v="1"/>
    <m/>
    <m/>
    <m/>
    <m/>
    <x v="2"/>
  </r>
  <r>
    <x v="107"/>
    <x v="105"/>
    <n v="5"/>
    <x v="4"/>
    <n v="5"/>
    <s v="IT-LQA-FAT"/>
    <x v="0"/>
    <m/>
    <x v="2"/>
    <x v="0"/>
    <x v="0"/>
    <s v="DMDBS_SLT_2.0.0.20.1.142b1"/>
    <x v="0"/>
    <x v="44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107"/>
    <x v="105"/>
    <n v="5"/>
    <x v="4"/>
    <n v="5"/>
    <s v="LQA"/>
    <x v="0"/>
    <m/>
    <x v="1"/>
    <x v="1"/>
    <x v="0"/>
    <s v="MPE_SLT-1B_3.0.1.1.1.75b1"/>
    <x v="0"/>
    <x v="41"/>
    <m/>
    <x v="2"/>
    <s v="\\192.168.3.3\Share\Releases\Projects\SLT-1B\Release_For_Test\Test_Build_1.0.0.1\Server CD\MPE\Setup"/>
    <m/>
    <x v="1"/>
    <m/>
    <m/>
    <m/>
    <m/>
    <x v="2"/>
  </r>
  <r>
    <x v="107"/>
    <x v="105"/>
    <n v="5"/>
    <x v="4"/>
    <n v="5"/>
    <s v="IT-LQA"/>
    <x v="0"/>
    <m/>
    <x v="2"/>
    <x v="0"/>
    <x v="0"/>
    <s v="DMDBS_SLT_2.0.0.20.1.141b2"/>
    <x v="0"/>
    <x v="44"/>
    <s v="\\192.168.3.3\Share\Releases\Projects\SLT\Release_For_IT\Test_Build_1.0.0.4\Server CD\DBS\Setup"/>
    <x v="2"/>
    <s v="\\192.168.3.3\Share\Releases\Projects\SLT\Release_For_LQA\Test_Build_1.0.0.23\Server CD\DBS\Setup"/>
    <m/>
    <x v="1"/>
    <m/>
    <m/>
    <m/>
    <m/>
    <x v="2"/>
  </r>
  <r>
    <x v="107"/>
    <x v="105"/>
    <n v="5"/>
    <x v="4"/>
    <n v="5"/>
    <s v="IT-LQA-FAT"/>
    <x v="0"/>
    <m/>
    <x v="4"/>
    <x v="0"/>
    <x v="0"/>
    <s v="RADBS_SLT_2.0.0.26.1.72b1"/>
    <x v="0"/>
    <x v="0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107"/>
    <x v="0"/>
    <n v="5"/>
    <x v="4"/>
    <s v="False"/>
    <s v="IT"/>
    <x v="1"/>
    <m/>
    <x v="5"/>
    <x v="0"/>
    <x v="0"/>
    <s v="NMDBS_4.6.1.24b1"/>
    <x v="0"/>
    <x v="5"/>
    <s v="\\192.168.3.3\Share\Releases\Product\Netmind_4.6\Build&amp;Release\ReleaseForIT\TestBuild_4.6.1\Build4\ServerCD\DBS\Setup"/>
    <x v="2"/>
    <m/>
    <m/>
    <x v="1"/>
    <m/>
    <m/>
    <m/>
    <m/>
    <x v="2"/>
  </r>
  <r>
    <x v="107"/>
    <x v="105"/>
    <n v="5"/>
    <x v="4"/>
    <n v="5"/>
    <s v="IT-LQA"/>
    <x v="10"/>
    <m/>
    <x v="5"/>
    <x v="0"/>
    <x v="0"/>
    <s v="NMDBS_COM_4.6.1.20.1.26b4"/>
    <x v="0"/>
    <x v="39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m/>
    <x v="0"/>
  </r>
  <r>
    <x v="108"/>
    <x v="106"/>
    <n v="5"/>
    <x v="4"/>
    <n v="5"/>
    <s v="LQA-FAT"/>
    <x v="0"/>
    <m/>
    <x v="1"/>
    <x v="1"/>
    <x v="0"/>
    <s v="MPE_SLT-1B_3.0.1.1.1.76b1"/>
    <x v="0"/>
    <x v="26"/>
    <m/>
    <x v="0"/>
    <s v="\\192.168.3.3\Share\Releases\Projects\SLT-1B\Release_For_Test\Test_Build_1.0.0.1\Server CD\MPE\Setup"/>
    <s v="Pass"/>
    <x v="1"/>
    <m/>
    <m/>
    <m/>
    <s v="K.V. Krishnan"/>
    <x v="0"/>
  </r>
  <r>
    <x v="108"/>
    <x v="106"/>
    <n v="5"/>
    <x v="4"/>
    <n v="5"/>
    <s v="IT-LQA-FAT"/>
    <x v="0"/>
    <m/>
    <x v="2"/>
    <x v="0"/>
    <x v="0"/>
    <s v="DMDBS_SLT_2.0.0.20.1.143b1"/>
    <x v="0"/>
    <x v="44"/>
    <s v="\\192.168.3.3\Share\Releases\Projects\SLT\Release_For_IT\Test_Build_1.0.0.4\Server CD\DBS\Setup"/>
    <x v="0"/>
    <s v="\\192.168.3.3\Share\Releases\Projects\SLT\Release_For_LQA\Test_Build_1.0.0.23\Server CD\DBS\Setup"/>
    <s v="Pass"/>
    <x v="0"/>
    <m/>
    <m/>
    <m/>
    <s v="K.V. Krishnan"/>
    <x v="0"/>
  </r>
  <r>
    <x v="108"/>
    <x v="106"/>
    <n v="5"/>
    <x v="4"/>
    <n v="5"/>
    <s v="IT-LQA"/>
    <x v="0"/>
    <m/>
    <x v="2"/>
    <x v="0"/>
    <x v="0"/>
    <s v="DMDBS_SLT_2.0.0.20.1.144b1"/>
    <x v="0"/>
    <x v="44"/>
    <s v="\\192.168.3.3\Share\Releases\Projects\SLT\Release_For_IT\Test_Build_1.0.0.4\Server CD\DBS\Setup"/>
    <x v="2"/>
    <s v="\\192.168.3.3\Share\Releases\Projects\SLT\Release_For_LQA\Test_Build_1.0.0.23\Server CD\DBS\Setup"/>
    <m/>
    <x v="1"/>
    <m/>
    <m/>
    <m/>
    <m/>
    <x v="2"/>
  </r>
  <r>
    <x v="108"/>
    <x v="106"/>
    <n v="5"/>
    <x v="4"/>
    <n v="5"/>
    <s v="IT-LQA-AT"/>
    <x v="4"/>
    <m/>
    <x v="5"/>
    <x v="0"/>
    <x v="0"/>
    <s v="NMDBS_TLSTR_4.0.1.0.4.306b1"/>
    <x v="0"/>
    <x v="9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Gaurav Shukla"/>
    <x v="0"/>
  </r>
  <r>
    <x v="108"/>
    <x v="106"/>
    <n v="5"/>
    <x v="4"/>
    <n v="5"/>
    <s v="IT-LQA-FAT"/>
    <x v="0"/>
    <m/>
    <x v="4"/>
    <x v="0"/>
    <x v="0"/>
    <s v="RADBS_SLT_2.0.0.26.1.73b1"/>
    <x v="0"/>
    <x v="44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108"/>
    <x v="106"/>
    <n v="5"/>
    <x v="4"/>
    <n v="5"/>
    <s v="IT-LQA"/>
    <x v="10"/>
    <m/>
    <x v="5"/>
    <x v="0"/>
    <x v="0"/>
    <s v="NMDBS_COM_4.6.1.20.1.32b1"/>
    <x v="0"/>
    <x v="19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m/>
    <x v="0"/>
  </r>
  <r>
    <x v="108"/>
    <x v="106"/>
    <n v="5"/>
    <x v="4"/>
    <n v="5"/>
    <s v="IT-LQA"/>
    <x v="8"/>
    <m/>
    <x v="5"/>
    <x v="0"/>
    <x v="0"/>
    <s v="NMDBS_TWC_4.6.1.11.3.37b1"/>
    <x v="0"/>
    <x v="19"/>
    <s v="\\192.168.3.3\Share\Releases\Projects\TWC\Release_For_IT\Test_Build_1.0.0.3\Server CD\DBS\Setup"/>
    <x v="2"/>
    <s v="\\192.168.3.3\Share\Releases\Projects\TWC\Release_For_Test\Test_Build_1.0.0.4\Server CD\DBS\Setup"/>
    <m/>
    <x v="1"/>
    <m/>
    <m/>
    <m/>
    <m/>
    <x v="2"/>
  </r>
  <r>
    <x v="108"/>
    <x v="106"/>
    <n v="5"/>
    <x v="4"/>
    <n v="5"/>
    <s v="IT-LQA-FAT"/>
    <x v="0"/>
    <m/>
    <x v="2"/>
    <x v="0"/>
    <x v="0"/>
    <s v="DMDBS_SLT_2.0.0.20.1.141b3"/>
    <x v="0"/>
    <x v="44"/>
    <s v="\\192.168.3.3\Share\Releases\Projects\SLT\Release_For_LQA\Test_Build_1.0.0.23\Server CD\DBS\Setup"/>
    <x v="0"/>
    <s v="\\192.168.3.3\Share\Releases\Projects\SLT\Release_For_IT\Test_Build_1.0.0.4\Server CD\DBS\Setup"/>
    <s v="Pass"/>
    <x v="1"/>
    <m/>
    <m/>
    <m/>
    <s v="K.V. Krishnan"/>
    <x v="0"/>
  </r>
  <r>
    <x v="108"/>
    <x v="106"/>
    <n v="5"/>
    <x v="4"/>
    <n v="5"/>
    <s v="IT-LQA-FAT"/>
    <x v="0"/>
    <m/>
    <x v="4"/>
    <x v="0"/>
    <x v="0"/>
    <s v=" RADBS_SLT_2.0.0.26.1.71b2 "/>
    <x v="0"/>
    <x v="44"/>
    <s v="\\192.168.3.3\Share\Releases\Projects\SLT\Release_For_LQA\Test_Build_1.0.0.23\Server CD\DBS\Setup"/>
    <x v="0"/>
    <s v="\\192.168.3.3\Share\Releases\Projects\SLT\Release_For_IT\Test_Build_1.0.0.4\Server CD\DBS\Setup"/>
    <s v="Pass"/>
    <x v="1"/>
    <m/>
    <m/>
    <m/>
    <s v="K.V. Krishnan"/>
    <x v="0"/>
  </r>
  <r>
    <x v="108"/>
    <x v="106"/>
    <n v="5"/>
    <x v="4"/>
    <n v="5"/>
    <s v="LQA-FAT"/>
    <x v="0"/>
    <m/>
    <x v="11"/>
    <x v="6"/>
    <x v="0"/>
    <s v="UTLSEQM_SLT-1B_1.0.0.0.5.8b2"/>
    <x v="0"/>
    <x v="26"/>
    <m/>
    <x v="0"/>
    <s v="\\192.168.3.3\Share\Releases\Projects\SLT-1B\Release_For_Test\Test_Build_1.0.0.1\Utility\MPE\Setup"/>
    <s v="Pass"/>
    <x v="1"/>
    <m/>
    <m/>
    <m/>
    <s v="K.V. Krishnan"/>
    <x v="0"/>
  </r>
  <r>
    <x v="108"/>
    <x v="106"/>
    <n v="5"/>
    <x v="4"/>
    <n v="5"/>
    <s v="IT-LQA"/>
    <x v="3"/>
    <m/>
    <x v="5"/>
    <x v="0"/>
    <x v="0"/>
    <s v="NMDBS_OBT_4.6.1.21.1.33b1"/>
    <x v="0"/>
    <x v="4"/>
    <s v="\\192.168.3.3\Share\Releases\Projects\OBT\Release_For_IT\TestBuild_1.0.0.2\Server CD\DBS\Setup"/>
    <x v="0"/>
    <s v="\\192.168.3.3\Share\Releases\Projects\OBT\Release_For_LQA\TestBuild_1.0.0.6\Server CD\DBS\Setup"/>
    <s v="Pass"/>
    <x v="1"/>
    <m/>
    <m/>
    <m/>
    <m/>
    <x v="0"/>
  </r>
  <r>
    <x v="109"/>
    <x v="107"/>
    <n v="5"/>
    <x v="4"/>
    <n v="5"/>
    <s v="IT-LQA-FAT"/>
    <x v="0"/>
    <m/>
    <x v="5"/>
    <x v="0"/>
    <x v="0"/>
    <s v="NMDBS_SLT_4.0.2.0.1.17b1"/>
    <x v="0"/>
    <x v="44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Sureya N Behra"/>
    <x v="0"/>
  </r>
  <r>
    <x v="109"/>
    <x v="107"/>
    <n v="5"/>
    <x v="4"/>
    <n v="5"/>
    <s v="IT-LQA"/>
    <x v="10"/>
    <m/>
    <x v="5"/>
    <x v="0"/>
    <x v="0"/>
    <s v="NMDBS_COM_4.6.1.20.1.33b1"/>
    <x v="0"/>
    <x v="7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m/>
    <x v="0"/>
  </r>
  <r>
    <x v="109"/>
    <x v="107"/>
    <n v="5"/>
    <x v="4"/>
    <n v="5"/>
    <s v="LQA-FAT"/>
    <x v="0"/>
    <m/>
    <x v="1"/>
    <x v="1"/>
    <x v="0"/>
    <s v="MPE_SLT-1B_3.0.1.1.1.74b2"/>
    <x v="0"/>
    <x v="41"/>
    <m/>
    <x v="0"/>
    <s v="\\192.168.3.3\Share\Releases\Projects\SLT-1B\Release_For_Test\Test_Build_1.0.0.1\Server CD\MPE\Setup"/>
    <s v="Pass"/>
    <x v="1"/>
    <m/>
    <m/>
    <m/>
    <s v="K.V. Krishnan"/>
    <x v="0"/>
  </r>
  <r>
    <x v="109"/>
    <x v="107"/>
    <n v="5"/>
    <x v="4"/>
    <n v="5"/>
    <s v="IT-LQA"/>
    <x v="10"/>
    <m/>
    <x v="5"/>
    <x v="0"/>
    <x v="0"/>
    <s v="NMDBS_COM_4.6.1.20.1.35b1"/>
    <x v="0"/>
    <x v="19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m/>
    <x v="0"/>
  </r>
  <r>
    <x v="109"/>
    <x v="107"/>
    <n v="5"/>
    <x v="4"/>
    <n v="5"/>
    <s v="IT-LQA-UAT"/>
    <x v="10"/>
    <m/>
    <x v="5"/>
    <x v="0"/>
    <x v="0"/>
    <s v="NMDBS_COM_4.6.1.20.1.34b1"/>
    <x v="0"/>
    <x v="39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s v="Sumit Gomber"/>
    <x v="0"/>
  </r>
  <r>
    <x v="109"/>
    <x v="107"/>
    <n v="5"/>
    <x v="4"/>
    <n v="5"/>
    <s v="IT-LQA-FAT"/>
    <x v="0"/>
    <m/>
    <x v="2"/>
    <x v="0"/>
    <x v="0"/>
    <s v="DMDBS_SLT_2.0.0.20.1.144b2"/>
    <x v="0"/>
    <x v="44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109"/>
    <x v="107"/>
    <n v="5"/>
    <x v="4"/>
    <n v="5"/>
    <s v="LQA"/>
    <x v="0"/>
    <m/>
    <x v="1"/>
    <x v="1"/>
    <x v="0"/>
    <s v="MPE_SLT-1B_3.0.1.1.1.75b2"/>
    <x v="0"/>
    <x v="26"/>
    <m/>
    <x v="2"/>
    <s v="\\192.168.3.3\Share\Releases\Projects\SLT-1B\Release_For_Test\Test_Build_1.0.0.1\Server CD\MPE\Setup"/>
    <m/>
    <x v="1"/>
    <m/>
    <m/>
    <m/>
    <m/>
    <x v="2"/>
  </r>
  <r>
    <x v="109"/>
    <x v="107"/>
    <n v="5"/>
    <x v="4"/>
    <n v="5"/>
    <s v="IT-LQA-FAT"/>
    <x v="0"/>
    <m/>
    <x v="2"/>
    <x v="0"/>
    <x v="0"/>
    <s v="DMDBS_SLT_2.0.0.20.1.145b1"/>
    <x v="0"/>
    <x v="44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Nisha Malik"/>
    <x v="0"/>
  </r>
  <r>
    <x v="109"/>
    <x v="107"/>
    <n v="5"/>
    <x v="4"/>
    <n v="5"/>
    <s v="IT-LQA"/>
    <x v="10"/>
    <m/>
    <x v="5"/>
    <x v="0"/>
    <x v="0"/>
    <s v="NMDBS_COM_3.5.2.99.1"/>
    <x v="0"/>
    <x v="45"/>
    <s v="\\192.168.3.3\Share\Releases\Projects\Comcast\Release_For_IT\Test_Build_3.5.50\Server CD\Database\Setup"/>
    <x v="0"/>
    <s v="\\192.168.3.3\Share\Releases\Projects\Comcast\Release_for_Test\Test_Build_3.5.50\Server CD\Database\Setup"/>
    <m/>
    <x v="1"/>
    <m/>
    <m/>
    <m/>
    <m/>
    <x v="1"/>
  </r>
  <r>
    <x v="109"/>
    <x v="107"/>
    <n v="5"/>
    <x v="4"/>
    <n v="5"/>
    <s v="IT-LQA"/>
    <x v="10"/>
    <m/>
    <x v="5"/>
    <x v="0"/>
    <x v="0"/>
    <s v="NMDBS_COM_4.6.1.20.1.36b1"/>
    <x v="0"/>
    <x v="7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m/>
    <x v="0"/>
  </r>
  <r>
    <x v="109"/>
    <x v="107"/>
    <n v="5"/>
    <x v="4"/>
    <n v="5"/>
    <s v="IT-LQA-UAT"/>
    <x v="8"/>
    <m/>
    <x v="5"/>
    <x v="0"/>
    <x v="0"/>
    <s v="NMDBS_TWC_4.6.1.11.3.37b2"/>
    <x v="0"/>
    <x v="19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Jitender Aggarwal"/>
    <x v="0"/>
  </r>
  <r>
    <x v="109"/>
    <x v="107"/>
    <n v="5"/>
    <x v="4"/>
    <n v="5"/>
    <s v="IT-LQA-FAT"/>
    <x v="1"/>
    <m/>
    <x v="4"/>
    <x v="0"/>
    <x v="0"/>
    <s v="RADBS_2.1.1.12b1"/>
    <x v="0"/>
    <x v="27"/>
    <s v="\\192.168.3.3\Share\Releases\Product\RevMind_2.1\Build&amp;Release\Release_For_IT\TestBuild_1.0.1\Server CD\DBS\Setup"/>
    <x v="0"/>
    <s v="\\192.168.3.3\Share\Releases\Product\RevMind_2.1\Build&amp;Release\Release_For_LQA\Test_Build_1.0.2\Server CD\DBS\Setup"/>
    <s v="Pass"/>
    <x v="0"/>
    <m/>
    <m/>
    <m/>
    <s v="Jagdish Sankar"/>
    <x v="0"/>
  </r>
  <r>
    <x v="109"/>
    <x v="107"/>
    <n v="5"/>
    <x v="4"/>
    <n v="5"/>
    <s v="IT-LQA-FAT"/>
    <x v="0"/>
    <m/>
    <x v="4"/>
    <x v="0"/>
    <x v="0"/>
    <s v="RADBS_SLT_2.1.1.12.1.74b1"/>
    <x v="0"/>
    <x v="27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Vijay Singh Daagar"/>
    <x v="0"/>
  </r>
  <r>
    <x v="110"/>
    <x v="108"/>
    <n v="5"/>
    <x v="4"/>
    <n v="5"/>
    <s v="IT-LQA-AT"/>
    <x v="4"/>
    <m/>
    <x v="5"/>
    <x v="0"/>
    <x v="0"/>
    <s v="NMDBS_TLSTR_4.0.1.0.4.304b2 "/>
    <x v="0"/>
    <x v="36"/>
    <s v="\\192.168.3.3\Share\Releases\Projects\Telstra\Release_For_IT\Test_Build_1.0.0.18\Server CD\DBS\Setup"/>
    <x v="0"/>
    <s v="\\192.168.3.3\Share\Releases\Projects\Telstra\Release_For_LQA\Test_Build_1.0.0.18\Server CD\DBS\Setup"/>
    <s v="Pass"/>
    <x v="0"/>
    <m/>
    <m/>
    <m/>
    <s v="Abrar Khan"/>
    <x v="0"/>
  </r>
  <r>
    <x v="110"/>
    <x v="108"/>
    <n v="5"/>
    <x v="4"/>
    <n v="5"/>
    <s v="IT-LQA"/>
    <x v="1"/>
    <m/>
    <x v="5"/>
    <x v="0"/>
    <x v="0"/>
    <s v="NMDBS_4.6.1.25b1"/>
    <x v="0"/>
    <x v="5"/>
    <s v="\\192.168.3.3\Share\Releases\Product\Netmind_4.6\Build&amp;Release\ReleaseForIT\TestBuild_4.6.1\Build4\ServerCD\DBS\Setup"/>
    <x v="0"/>
    <s v="\\192.168.3.3\Share\Releases\Product\Netmind_4.6\Build&amp;Release\ReleaseForTest\TestBuild_4.6.1\Build4\ServerCD\DBS\Setup"/>
    <s v="Pass"/>
    <x v="1"/>
    <m/>
    <m/>
    <m/>
    <m/>
    <x v="0"/>
  </r>
  <r>
    <x v="110"/>
    <x v="0"/>
    <n v="5"/>
    <x v="4"/>
    <s v="False"/>
    <s v="IT"/>
    <x v="10"/>
    <m/>
    <x v="5"/>
    <x v="0"/>
    <x v="0"/>
    <s v="NMDBS_COM_4.6.1.20.1.37b1"/>
    <x v="0"/>
    <x v="39"/>
    <s v="\\192.168.3.3\Share\Releases\Projects\Comcast\Release_For_IT\Test_Build_4.6.1\Server CD\Database\Setup"/>
    <x v="1"/>
    <m/>
    <m/>
    <x v="1"/>
    <m/>
    <m/>
    <m/>
    <m/>
    <x v="2"/>
  </r>
  <r>
    <x v="110"/>
    <x v="108"/>
    <n v="5"/>
    <x v="4"/>
    <n v="5"/>
    <s v="IT-LQA"/>
    <x v="10"/>
    <m/>
    <x v="7"/>
    <x v="0"/>
    <x v="0"/>
    <s v="RTDBS_COM_4.0.1.18.1.2b2"/>
    <x v="0"/>
    <x v="3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m/>
    <x v="0"/>
  </r>
  <r>
    <x v="110"/>
    <x v="108"/>
    <n v="5"/>
    <x v="4"/>
    <n v="5"/>
    <s v="LQA-FAT"/>
    <x v="0"/>
    <m/>
    <x v="1"/>
    <x v="1"/>
    <x v="0"/>
    <s v="MPE_SLT-1B_3.0.1.1.1.75b3"/>
    <x v="0"/>
    <x v="26"/>
    <m/>
    <x v="0"/>
    <s v="\\192.168.3.3\Share\Releases\Projects\SLT-1B\Release_For_Test\Test_Build_1.0.0.1\Server CD\MPE\Setup"/>
    <s v="Pass"/>
    <x v="1"/>
    <m/>
    <m/>
    <m/>
    <s v="K.V. Krishnan"/>
    <x v="0"/>
  </r>
  <r>
    <x v="110"/>
    <x v="108"/>
    <n v="5"/>
    <x v="4"/>
    <n v="5"/>
    <s v="IT-LQA"/>
    <x v="1"/>
    <m/>
    <x v="5"/>
    <x v="0"/>
    <x v="0"/>
    <s v="NMDBS_4.6.1.24b2"/>
    <x v="0"/>
    <x v="5"/>
    <s v="\\192.168.3.3\Share\Releases\Product\Netmind_4.6\Build&amp;Release\ReleaseForTest\TestBuild_4.6.1\Build4\ServerCD\DBS\Setup"/>
    <x v="2"/>
    <s v="\\192.168.3.3\Share\Releases\Product\Netmind_4.6\Build&amp;Release\ReleaseForIT\TestBuild_4.6.1\Build4\ServerCD\DBS\Setup"/>
    <m/>
    <x v="1"/>
    <m/>
    <m/>
    <m/>
    <m/>
    <x v="2"/>
  </r>
  <r>
    <x v="110"/>
    <x v="108"/>
    <n v="5"/>
    <x v="4"/>
    <n v="5"/>
    <s v="IT-LQA"/>
    <x v="10"/>
    <m/>
    <x v="5"/>
    <x v="0"/>
    <x v="0"/>
    <s v="NMDBS_COM_4.6.1.20.1.38b1"/>
    <x v="0"/>
    <x v="7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0"/>
    <m/>
    <m/>
    <m/>
    <m/>
    <x v="0"/>
  </r>
  <r>
    <x v="110"/>
    <x v="108"/>
    <n v="5"/>
    <x v="4"/>
    <n v="5"/>
    <s v="IT-LQA"/>
    <x v="1"/>
    <m/>
    <x v="7"/>
    <x v="0"/>
    <x v="0"/>
    <s v="RTDBS_4.0.1.20b1"/>
    <x v="0"/>
    <x v="3"/>
    <s v="\\192.168.3.3\Share\Releases\Product\RT_4.0\ReleaseForIT\TestBuild_4.0.3\DBS\Setup"/>
    <x v="0"/>
    <s v="\\192.168.3.3\Share\Releases\Product\RT_4.0\ReleaseForLQA\TestBuild_4.0.24\DBS\Setup"/>
    <s v="Pass"/>
    <x v="1"/>
    <m/>
    <m/>
    <m/>
    <m/>
    <x v="0"/>
  </r>
  <r>
    <x v="111"/>
    <x v="109"/>
    <n v="5"/>
    <x v="4"/>
    <n v="5"/>
    <s v="IT-LQA-FAT"/>
    <x v="0"/>
    <m/>
    <x v="2"/>
    <x v="0"/>
    <x v="0"/>
    <s v="DMDBS_SLT_2.0.0.20.1.146b1"/>
    <x v="0"/>
    <x v="0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111"/>
    <x v="109"/>
    <n v="5"/>
    <x v="4"/>
    <n v="5"/>
    <s v="IT-LQA-FAT"/>
    <x v="0"/>
    <m/>
    <x v="4"/>
    <x v="0"/>
    <x v="0"/>
    <s v="RADBS_SLT_2.1.1.12.1.75b1"/>
    <x v="0"/>
    <x v="0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111"/>
    <x v="110"/>
    <n v="5"/>
    <x v="4"/>
    <n v="6"/>
    <s v="IT-LQA"/>
    <x v="12"/>
    <m/>
    <x v="2"/>
    <x v="0"/>
    <x v="0"/>
    <s v="DMDBS_DRC_2.1.1.7.2.18b1"/>
    <x v="0"/>
    <x v="4"/>
    <s v="\\192.168.3.3\Share\Releases\Projects\DRC\Release_For_IT\Test_Build_1.0.0.3\Server CD\DBS\Setup"/>
    <x v="3"/>
    <s v="\\192.168.3.3\Share\Releases\Projects\DRC\Release_For_LQA\Test_Build_1.0.0.3\Server CD\DBS\Setup"/>
    <s v="Pass"/>
    <x v="1"/>
    <m/>
    <m/>
    <m/>
    <m/>
    <x v="2"/>
  </r>
  <r>
    <x v="111"/>
    <x v="109"/>
    <n v="5"/>
    <x v="4"/>
    <n v="5"/>
    <s v="IT-LQA-FAT"/>
    <x v="0"/>
    <m/>
    <x v="2"/>
    <x v="0"/>
    <x v="0"/>
    <s v="DMDBS_SLT_2.0.0.20.1.147b1"/>
    <x v="0"/>
    <x v="44"/>
    <s v="\\192.168.3.3\Share\Releases\Projects\SLT\Release_For_IT\Test_Build_1.0.0.4\Server CD\DBS\Setup"/>
    <x v="0"/>
    <s v="\\192.168.3.3\Share\Releases\Projects\SLT\Release_For_LQA\Test_Build_1.0.0.23\Server CD\DBS\Setup"/>
    <s v="Pass"/>
    <x v="0"/>
    <m/>
    <m/>
    <m/>
    <s v="Nisha Malik"/>
    <x v="0"/>
  </r>
  <r>
    <x v="111"/>
    <x v="109"/>
    <n v="5"/>
    <x v="4"/>
    <n v="5"/>
    <s v="IT-LQA"/>
    <x v="10"/>
    <m/>
    <x v="5"/>
    <x v="0"/>
    <x v="0"/>
    <s v="NMDBS_COM_4.6.1.20.1.37b2"/>
    <x v="0"/>
    <x v="39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m/>
    <x v="0"/>
  </r>
  <r>
    <x v="112"/>
    <x v="111"/>
    <n v="6"/>
    <x v="6"/>
    <n v="6"/>
    <s v="IT-LQA"/>
    <x v="10"/>
    <m/>
    <x v="5"/>
    <x v="0"/>
    <x v="0"/>
    <s v="NMDBS_COM_4.6.1.20.1.39b1"/>
    <x v="0"/>
    <x v="39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m/>
    <x v="0"/>
  </r>
  <r>
    <x v="112"/>
    <x v="111"/>
    <n v="6"/>
    <x v="6"/>
    <n v="6"/>
    <s v="IT-LQA"/>
    <x v="1"/>
    <m/>
    <x v="5"/>
    <x v="0"/>
    <x v="0"/>
    <s v="NMDBS_4.6.1.26b1"/>
    <x v="0"/>
    <x v="24"/>
    <s v="\\192.168.3.3\Share\Releases\Product\Netmind_4.6\Build&amp;Release\ReleaseForIT\TestBuild_4.6.1\Build4\ServerCD\DBS\Setup"/>
    <x v="0"/>
    <s v="\\192.168.3.3\Share\Releases\Product\Netmind_4.6\Build&amp;Release\ReleaseForTest\TestBuild_4.6.1\Build4\ServerCD\DBS\Setup"/>
    <s v="Pass"/>
    <x v="1"/>
    <m/>
    <m/>
    <m/>
    <m/>
    <x v="0"/>
  </r>
  <r>
    <x v="113"/>
    <x v="112"/>
    <n v="6"/>
    <x v="6"/>
    <n v="6"/>
    <s v="LQA"/>
    <x v="12"/>
    <m/>
    <x v="1"/>
    <x v="1"/>
    <x v="0"/>
    <s v="MPE_DRC_3.2.1.3.2.25b1"/>
    <x v="0"/>
    <x v="41"/>
    <m/>
    <x v="2"/>
    <s v="\\192.168.3.3\Share\Releases\Projects\DRC\Release_For_LQA\Test_Build_1.0.0.3\Server CD\MPE\Setup"/>
    <s v="Pass"/>
    <x v="1"/>
    <m/>
    <m/>
    <m/>
    <m/>
    <x v="2"/>
  </r>
  <r>
    <x v="113"/>
    <x v="112"/>
    <n v="6"/>
    <x v="6"/>
    <n v="6"/>
    <s v="IT-LQA"/>
    <x v="10"/>
    <m/>
    <x v="5"/>
    <x v="0"/>
    <x v="0"/>
    <s v="NMDBS_COM_4.6.1.20.1.40b1"/>
    <x v="0"/>
    <x v="39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0"/>
    <m/>
    <m/>
    <m/>
    <m/>
    <x v="0"/>
  </r>
  <r>
    <x v="113"/>
    <x v="112"/>
    <n v="6"/>
    <x v="6"/>
    <n v="6"/>
    <s v="LQA"/>
    <x v="4"/>
    <m/>
    <x v="1"/>
    <x v="1"/>
    <x v="0"/>
    <s v="MPE_TLSTR-2b_3.0.0.3.1.97b1"/>
    <x v="0"/>
    <x v="11"/>
    <m/>
    <x v="2"/>
    <s v="\\192.168.3.3\Share\Releases\Projects\Telstra-2b\Release_For_Test\Test_Build_1.0.0.1\Server CD\MPE\Setup"/>
    <m/>
    <x v="1"/>
    <m/>
    <m/>
    <m/>
    <m/>
    <x v="2"/>
  </r>
  <r>
    <x v="114"/>
    <x v="113"/>
    <n v="6"/>
    <x v="6"/>
    <n v="6"/>
    <s v="LQA"/>
    <x v="3"/>
    <m/>
    <x v="1"/>
    <x v="1"/>
    <x v="0"/>
    <s v="MPE_OBT_3.2.1.3.1.16b1"/>
    <x v="0"/>
    <x v="28"/>
    <m/>
    <x v="0"/>
    <s v="\\192.168.3.3\share\Releases\Projects\OBT\Release_For_LQA\TestBuild_1.0.0.6\Server CD\MPE\Setup"/>
    <s v="Pass"/>
    <x v="1"/>
    <m/>
    <m/>
    <m/>
    <m/>
    <x v="0"/>
  </r>
  <r>
    <x v="114"/>
    <x v="113"/>
    <n v="6"/>
    <x v="6"/>
    <n v="6"/>
    <s v="IT-LQA"/>
    <x v="3"/>
    <m/>
    <x v="5"/>
    <x v="0"/>
    <x v="0"/>
    <s v="NMDBS_OBT_4.6.1.21.1.30b2"/>
    <x v="0"/>
    <x v="4"/>
    <s v="\\192.168.3.3\Share\Releases\Projects\OBT\Release_For_IT\TestBuild_1.0.0.2\Server CD\DBS\Setup"/>
    <x v="0"/>
    <s v="\\192.168.3.3\Share\Releases\Projects\OBT\Release_For_LQA\TestBuild_1.0.0.6\Server CD\DBS\Setup"/>
    <s v="Pass"/>
    <x v="1"/>
    <m/>
    <m/>
    <m/>
    <m/>
    <x v="0"/>
  </r>
  <r>
    <x v="114"/>
    <x v="113"/>
    <n v="6"/>
    <x v="6"/>
    <n v="6"/>
    <s v="IT-LQA"/>
    <x v="3"/>
    <m/>
    <x v="5"/>
    <x v="0"/>
    <x v="0"/>
    <s v="NMDBS_COM_4.6.1.20.1.41b1"/>
    <x v="0"/>
    <x v="39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m/>
    <x v="0"/>
  </r>
  <r>
    <x v="114"/>
    <x v="113"/>
    <n v="6"/>
    <x v="6"/>
    <n v="6"/>
    <s v="IT-LQA-UAT"/>
    <x v="0"/>
    <m/>
    <x v="2"/>
    <x v="0"/>
    <x v="0"/>
    <s v="DMDBS_SLT_2.0.0.20.1.148b1"/>
    <x v="0"/>
    <x v="44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114"/>
    <x v="113"/>
    <n v="6"/>
    <x v="6"/>
    <n v="6"/>
    <s v="LQA"/>
    <x v="10"/>
    <m/>
    <x v="7"/>
    <x v="2"/>
    <x v="1"/>
    <s v="RTGUI_COM_4.0.24.0.1"/>
    <x v="0"/>
    <x v="50"/>
    <m/>
    <x v="0"/>
    <s v="\\192.168.3.3\share\Releases\Projects\Comcast\Release_for_Test\Test_Build_4.6.5\Server CD\GUI\Setup"/>
    <m/>
    <x v="1"/>
    <m/>
    <m/>
    <m/>
    <m/>
    <x v="1"/>
  </r>
  <r>
    <x v="115"/>
    <x v="110"/>
    <n v="6"/>
    <x v="6"/>
    <n v="6"/>
    <s v="LQA"/>
    <x v="16"/>
    <m/>
    <x v="1"/>
    <x v="1"/>
    <x v="0"/>
    <s v="NMMPE_TLN_2.0.3.50.2"/>
    <x v="0"/>
    <x v="26"/>
    <m/>
    <x v="2"/>
    <s v="\\192.168.3.3\Share\Releases\Projects\Telenet\Build&amp;Release\Release For Test\Test_Build_4.0.41\Server CD\MPE\Setup"/>
    <m/>
    <x v="1"/>
    <m/>
    <m/>
    <m/>
    <m/>
    <x v="2"/>
  </r>
  <r>
    <x v="115"/>
    <x v="110"/>
    <n v="6"/>
    <x v="6"/>
    <n v="6"/>
    <s v="IT-LQA"/>
    <x v="8"/>
    <m/>
    <x v="5"/>
    <x v="0"/>
    <x v="0"/>
    <s v="NMDBS_TWC_4.6.1.11.3.38b1 "/>
    <x v="0"/>
    <x v="45"/>
    <s v="\\192.168.3.3\Share\Releases\Projects\TWC\Release_For_IT\Test_Build_1.0.0.3\Server CD\DBS\Setup"/>
    <x v="2"/>
    <s v="\\192.168.3.3\Share\Releases\Projects\TWC\Release_For_Test\Test_Build_1.0.0.4\Server CD\DBS\Setup"/>
    <m/>
    <x v="1"/>
    <m/>
    <m/>
    <m/>
    <m/>
    <x v="2"/>
  </r>
  <r>
    <x v="115"/>
    <x v="114"/>
    <n v="6"/>
    <x v="6"/>
    <n v="6"/>
    <s v="IT-LQA-FAT"/>
    <x v="0"/>
    <m/>
    <x v="2"/>
    <x v="0"/>
    <x v="0"/>
    <s v="DMDBS_SLT_2.0.0.20.1.150b1"/>
    <x v="0"/>
    <x v="0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116"/>
    <x v="114"/>
    <n v="6"/>
    <x v="6"/>
    <n v="6"/>
    <s v="LQA-UAT"/>
    <x v="8"/>
    <m/>
    <x v="1"/>
    <x v="1"/>
    <x v="0"/>
    <s v="MPE_TWC_3.2.1.5.2.14b1"/>
    <x v="0"/>
    <x v="46"/>
    <m/>
    <x v="0"/>
    <s v="\\192.168.3.3\Share\Releases\Projects\TWC\Release_For_Test\Test_Build_1.0.0.4\Server CD\MPE\Setup"/>
    <s v="Pass"/>
    <x v="1"/>
    <m/>
    <m/>
    <m/>
    <s v="Paritosh Ghildyal"/>
    <x v="0"/>
  </r>
  <r>
    <x v="116"/>
    <x v="114"/>
    <n v="6"/>
    <x v="6"/>
    <n v="6"/>
    <s v="IT-LQA-UAT"/>
    <x v="1"/>
    <m/>
    <x v="4"/>
    <x v="0"/>
    <x v="0"/>
    <s v="RADBS_2.1.1.13b1"/>
    <x v="0"/>
    <x v="27"/>
    <s v="\\192.168.3.3\Share\Releases\Product\RevMind_2.1\Build&amp;Release\Release_For_IT\TestBuild_1.0.1\Server CD\DBS\Setup"/>
    <x v="0"/>
    <s v="\\192.168.3.3\Share\Releases\Product\RevMind_2.1\Build&amp;Release\Release_For_LQA\Test_Build_1.0.2\Server CD\DBS\Setup"/>
    <s v="Pass"/>
    <x v="1"/>
    <m/>
    <m/>
    <m/>
    <s v="Aditya Mani Sharma"/>
    <x v="0"/>
  </r>
  <r>
    <x v="116"/>
    <x v="114"/>
    <n v="6"/>
    <x v="6"/>
    <n v="6"/>
    <s v="IT-LQA-UAT"/>
    <x v="0"/>
    <m/>
    <x v="2"/>
    <x v="0"/>
    <x v="0"/>
    <s v="DMDBS_SLT_2.0.0.20.1.149b1"/>
    <x v="0"/>
    <x v="44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116"/>
    <x v="114"/>
    <n v="6"/>
    <x v="6"/>
    <n v="6"/>
    <s v="IT-LQA"/>
    <x v="0"/>
    <m/>
    <x v="2"/>
    <x v="0"/>
    <x v="0"/>
    <s v="DMDBS_SLT_2.0.0.20.1.151b1"/>
    <x v="0"/>
    <x v="44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m/>
    <x v="0"/>
  </r>
  <r>
    <x v="116"/>
    <x v="114"/>
    <n v="6"/>
    <x v="6"/>
    <n v="6"/>
    <s v="LQA-FAT"/>
    <x v="0"/>
    <m/>
    <x v="1"/>
    <x v="1"/>
    <x v="0"/>
    <s v="MPE_SLT-1B_3.0.1.1.1.77b1"/>
    <x v="0"/>
    <x v="26"/>
    <m/>
    <x v="0"/>
    <s v="\\192.168.3.3\Share\Releases\Projects\SLT-1B\Release_For_Test\Test_Build_1.0.0.1\Server CD\MPE\Setup"/>
    <s v="Pass"/>
    <x v="1"/>
    <m/>
    <m/>
    <m/>
    <s v="K.V. Krishnan"/>
    <x v="0"/>
  </r>
  <r>
    <x v="116"/>
    <x v="114"/>
    <n v="6"/>
    <x v="6"/>
    <n v="6"/>
    <s v="LQA"/>
    <x v="0"/>
    <m/>
    <x v="11"/>
    <x v="6"/>
    <x v="0"/>
    <s v="UTLSEQM_SLT-1B_1.0.0.0.5.9b1"/>
    <x v="0"/>
    <x v="26"/>
    <m/>
    <x v="0"/>
    <s v="\\192.168.3.3\Share\Releases\Projects\SLT-1B\Release_For_Test\Test_Build_1.0.0.1\Utility\MPE\Setup"/>
    <s v="Pass"/>
    <x v="1"/>
    <m/>
    <m/>
    <m/>
    <m/>
    <x v="0"/>
  </r>
  <r>
    <x v="116"/>
    <x v="114"/>
    <n v="6"/>
    <x v="6"/>
    <n v="6"/>
    <s v="LQA"/>
    <x v="1"/>
    <m/>
    <x v="7"/>
    <x v="2"/>
    <x v="1"/>
    <s v="RTGUI_4.0.25b1"/>
    <x v="0"/>
    <x v="35"/>
    <m/>
    <x v="0"/>
    <s v="\\192.168.3.3\Share\Releases\Product\RT_4.0\ReleaseForLQA\TestBuild_4.0.24\GUI\Build1\Setup "/>
    <m/>
    <x v="1"/>
    <m/>
    <m/>
    <m/>
    <m/>
    <x v="1"/>
  </r>
  <r>
    <x v="116"/>
    <x v="114"/>
    <n v="6"/>
    <x v="6"/>
    <n v="6"/>
    <s v="LQA-FAT"/>
    <x v="0"/>
    <m/>
    <x v="7"/>
    <x v="2"/>
    <x v="1"/>
    <s v="RTGUI_SLT_4.0.25.0.1 "/>
    <x v="0"/>
    <x v="35"/>
    <m/>
    <x v="0"/>
    <s v="\\192.168.3.3\Share\Releases\Projects\SLT\Release_For_LQA\Test_Build_1.0.0.23\Server CD\GUI\Setup"/>
    <s v="Pass"/>
    <x v="0"/>
    <m/>
    <m/>
    <m/>
    <s v="Harsh Khanna"/>
    <x v="0"/>
  </r>
  <r>
    <x v="117"/>
    <x v="115"/>
    <n v="6"/>
    <x v="6"/>
    <n v="6"/>
    <s v="IT-LQA"/>
    <x v="1"/>
    <m/>
    <x v="2"/>
    <x v="0"/>
    <x v="0"/>
    <s v="DMDBS_2.0.0.22b2"/>
    <x v="0"/>
    <x v="32"/>
    <s v="\\192.168.3.3\Share\Releases\Product\DataMind_2.0\Build&amp;Release\Release for IT\TestBuild_2.0.0\Server CD\DBS\Setup"/>
    <x v="2"/>
    <s v="\\192.168.3.3\Share\Releases\Product\DataMind_2.0\Build&amp;Release\Release for LQA\TestBuild_2.0.0\Server CD\DBS\Setup"/>
    <m/>
    <x v="1"/>
    <m/>
    <m/>
    <m/>
    <m/>
    <x v="2"/>
  </r>
  <r>
    <x v="117"/>
    <x v="115"/>
    <n v="6"/>
    <x v="6"/>
    <n v="6"/>
    <s v="LQA"/>
    <x v="3"/>
    <m/>
    <x v="1"/>
    <x v="1"/>
    <x v="0"/>
    <s v="MPE_OBT_3.2.1.7.1.17b1"/>
    <x v="0"/>
    <x v="28"/>
    <m/>
    <x v="0"/>
    <s v="\\192.168.3.3\share\Releases\Projects\OBT\Release_For_LQA\TestBuild_1.0.0.6\Server CD\MPE\Setup"/>
    <s v="Pass"/>
    <x v="1"/>
    <m/>
    <m/>
    <m/>
    <m/>
    <x v="0"/>
  </r>
  <r>
    <x v="117"/>
    <x v="115"/>
    <n v="6"/>
    <x v="6"/>
    <n v="6"/>
    <s v="IT-LQA-UAT"/>
    <x v="6"/>
    <m/>
    <x v="5"/>
    <x v="0"/>
    <x v="0"/>
    <s v="NMDBS_ANTEL_4.6.1.0.2.34b1"/>
    <x v="0"/>
    <x v="36"/>
    <s v="\\192.168.3.3\Share\Releases\Projects\ANTEL\Release_For_IT\TestBuild_1.0.0.4\Server CD\DBS\Setup"/>
    <x v="0"/>
    <s v="\\192.168.3.3\Share\Releases\Projects\ANTEL\Release_For_Test\Test_Build_1.0.0.7\Server CD\DBS\Setup"/>
    <s v="Pass"/>
    <x v="0"/>
    <m/>
    <m/>
    <m/>
    <s v="Pradeep Raghav"/>
    <x v="0"/>
  </r>
  <r>
    <x v="117"/>
    <x v="115"/>
    <n v="6"/>
    <x v="6"/>
    <n v="6"/>
    <s v="LQA-FAT"/>
    <x v="4"/>
    <m/>
    <x v="1"/>
    <x v="1"/>
    <x v="0"/>
    <s v="MPE_TLSTR-2b_3.0.0.3.1.97b2"/>
    <x v="0"/>
    <x v="11"/>
    <m/>
    <x v="0"/>
    <s v="\\192.168.3.3\Share\Releases\Projects\Telstra-2b\Release_For_Test\Test_Build_1.0.0.1\Server CD\MPE\Setup"/>
    <s v="Pass"/>
    <x v="1"/>
    <m/>
    <m/>
    <m/>
    <s v="Ashwani "/>
    <x v="0"/>
  </r>
  <r>
    <x v="117"/>
    <x v="115"/>
    <n v="6"/>
    <x v="6"/>
    <n v="6"/>
    <s v="IT-LQA-UAT"/>
    <x v="8"/>
    <m/>
    <x v="5"/>
    <x v="0"/>
    <x v="0"/>
    <s v="NMDBS_TWC_4.6.1.11.3.39b1 "/>
    <x v="0"/>
    <x v="19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Paritosh Ghildyal"/>
    <x v="0"/>
  </r>
  <r>
    <x v="117"/>
    <x v="115"/>
    <n v="6"/>
    <x v="6"/>
    <n v="6"/>
    <s v="IT-LQA"/>
    <x v="3"/>
    <m/>
    <x v="5"/>
    <x v="0"/>
    <x v="0"/>
    <s v="NMDBS_OBT_4.6.1.26.1.34b1"/>
    <x v="0"/>
    <x v="5"/>
    <s v="\\192.168.3.3\Share\Releases\Projects\OBT\Release_For_IT\TestBuild_1.0.0.2\Server CD\DBS\Setup"/>
    <x v="0"/>
    <s v="\\192.168.3.3\Share\Releases\Projects\OBT\Release_For_LQA\TestBuild_1.0.0.6\Server CD\DBS\Setup"/>
    <s v="Pass"/>
    <x v="1"/>
    <m/>
    <m/>
    <m/>
    <m/>
    <x v="0"/>
  </r>
  <r>
    <x v="118"/>
    <x v="116"/>
    <n v="6"/>
    <x v="6"/>
    <n v="6"/>
    <s v="IT-LQA"/>
    <x v="10"/>
    <m/>
    <x v="5"/>
    <x v="0"/>
    <x v="0"/>
    <s v="NMDBS_COM_4.6.1.20.1.42b1"/>
    <x v="0"/>
    <x v="39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m/>
    <x v="0"/>
  </r>
  <r>
    <x v="118"/>
    <x v="116"/>
    <n v="6"/>
    <x v="6"/>
    <n v="6"/>
    <s v="IT-LQA-UAT"/>
    <x v="1"/>
    <m/>
    <x v="2"/>
    <x v="0"/>
    <x v="0"/>
    <s v="DMDBS_2.0.0.22b3"/>
    <x v="0"/>
    <x v="32"/>
    <s v="\\192.168.3.3\Share\Releases\Product\DataMind_2.0\Build&amp;Release\Release for IT\TestBuild_2.0.0\Server CD\DBS\Setup"/>
    <x v="0"/>
    <s v="\\192.168.3.3\Share\Releases\Product\DataMind_2.0\Build&amp;Release\Release for LQA\TestBuild_2.0.0\Server CD\DBS\Setup"/>
    <s v="Pass"/>
    <x v="1"/>
    <m/>
    <m/>
    <m/>
    <s v="Ekansh Arora"/>
    <x v="0"/>
  </r>
  <r>
    <x v="118"/>
    <x v="116"/>
    <n v="6"/>
    <x v="6"/>
    <n v="6"/>
    <s v="IT-LQA-UAT"/>
    <x v="8"/>
    <m/>
    <x v="5"/>
    <x v="0"/>
    <x v="0"/>
    <s v="NMDBS_TWC_4.6.1.11.3.38b2"/>
    <x v="0"/>
    <x v="45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Paritosh Ghildyal"/>
    <x v="0"/>
  </r>
  <r>
    <x v="118"/>
    <x v="116"/>
    <n v="6"/>
    <x v="6"/>
    <n v="6"/>
    <s v="IT-LQA-UAT"/>
    <x v="4"/>
    <m/>
    <x v="5"/>
    <x v="0"/>
    <x v="0"/>
    <s v="NMDBS_TLSTR_4.0.1.0.4.307b1"/>
    <x v="0"/>
    <x v="36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Deshraj"/>
    <x v="0"/>
  </r>
  <r>
    <x v="119"/>
    <x v="117"/>
    <n v="6"/>
    <x v="6"/>
    <n v="6"/>
    <s v="IT-LQA-FAT"/>
    <x v="0"/>
    <m/>
    <x v="5"/>
    <x v="0"/>
    <x v="0"/>
    <s v="NMDBS_SLT_4.0.2.0.1.18b1"/>
    <x v="0"/>
    <x v="4"/>
    <s v="\\192.168.3.3\Share\Releases\Projects\SLT\Release_For_IT\Test_Build_1.0.0.4\Server CD\DBS\Setup"/>
    <x v="2"/>
    <s v="\\192.168.3.3\Share\Releases\Projects\SLT\Release_For_LQA\Test_Build_1.0.0.23\Server CD\DBS\Setup"/>
    <s v="Pass"/>
    <x v="1"/>
    <m/>
    <m/>
    <m/>
    <s v="K.V. Krishnan"/>
    <x v="2"/>
  </r>
  <r>
    <x v="119"/>
    <x v="117"/>
    <n v="6"/>
    <x v="6"/>
    <n v="6"/>
    <s v="IT-LQA-UAT"/>
    <x v="10"/>
    <m/>
    <x v="9"/>
    <x v="0"/>
    <x v="0"/>
    <s v="NPDBS_COM_1.2.3.6.1.15b1"/>
    <x v="0"/>
    <x v="54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s v="Abhishek Leekha"/>
    <x v="0"/>
  </r>
  <r>
    <x v="120"/>
    <x v="118"/>
    <n v="6"/>
    <x v="6"/>
    <n v="6"/>
    <s v="IT-LQA-UAT"/>
    <x v="10"/>
    <m/>
    <x v="5"/>
    <x v="0"/>
    <x v="0"/>
    <s v="NMDBS_COM_4.6.1.26.1.43b1"/>
    <x v="0"/>
    <x v="39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s v="Abhishek Leekha"/>
    <x v="0"/>
  </r>
  <r>
    <x v="121"/>
    <x v="119"/>
    <n v="6"/>
    <x v="6"/>
    <n v="6"/>
    <s v="IT-LQA"/>
    <x v="10"/>
    <m/>
    <x v="5"/>
    <x v="0"/>
    <x v="0"/>
    <s v="NMDBS_COM_4.6.1.26.1.44b1"/>
    <x v="0"/>
    <x v="7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m/>
    <x v="0"/>
  </r>
  <r>
    <x v="121"/>
    <x v="119"/>
    <n v="6"/>
    <x v="6"/>
    <n v="6"/>
    <s v="IT-LQA"/>
    <x v="1"/>
    <m/>
    <x v="5"/>
    <x v="0"/>
    <x v="0"/>
    <s v="NMDBS_4.6.1.27b1"/>
    <x v="0"/>
    <x v="24"/>
    <s v="\\192.168.3.3\Share\Releases\Product\Netmind_4.6\Build&amp;Release\ReleaseForIT\TestBuild_4.6.1\Build4\ServerCD\DBS\Setup"/>
    <x v="0"/>
    <s v="\\192.168.3.3\Share\Releases\Product\Netmind_4.6\Build&amp;Release\ReleaseForTest\TestBuild_4.6.1\Build4\ServerCD\DBS\Setup"/>
    <s v="Pass"/>
    <x v="1"/>
    <m/>
    <m/>
    <m/>
    <m/>
    <x v="0"/>
  </r>
  <r>
    <x v="121"/>
    <x v="119"/>
    <n v="6"/>
    <x v="6"/>
    <n v="6"/>
    <s v="LQA"/>
    <x v="1"/>
    <m/>
    <x v="5"/>
    <x v="0"/>
    <x v="0"/>
    <s v="NMDBS_4.7.1b9"/>
    <x v="0"/>
    <x v="24"/>
    <m/>
    <x v="0"/>
    <s v="\\192.168.3.3\Share\Releases\Product\Netmind_4.7\Build&amp;Release\Release_For_LQA\Test_Build_1.0.1\Server CD\DBS\Setup"/>
    <m/>
    <x v="1"/>
    <m/>
    <m/>
    <m/>
    <m/>
    <x v="1"/>
  </r>
  <r>
    <x v="122"/>
    <x v="120"/>
    <n v="6"/>
    <x v="6"/>
    <n v="6"/>
    <s v="LQA"/>
    <x v="3"/>
    <m/>
    <x v="1"/>
    <x v="1"/>
    <x v="0"/>
    <s v="MPE_OBT_3.2.1.7.1.18b1"/>
    <x v="0"/>
    <x v="28"/>
    <m/>
    <x v="0"/>
    <s v="\\192.168.3.3\share\Releases\Projects\OBT\Release_For_LQA\TestBuild_1.0.0.6\Server CD\MPE\Setup"/>
    <s v="Pass"/>
    <x v="1"/>
    <m/>
    <m/>
    <m/>
    <m/>
    <x v="0"/>
  </r>
  <r>
    <x v="122"/>
    <x v="120"/>
    <n v="6"/>
    <x v="6"/>
    <n v="6"/>
    <s v="LQA-UAT"/>
    <x v="1"/>
    <m/>
    <x v="16"/>
    <x v="2"/>
    <x v="0"/>
    <s v="VCSGUI_2.0.0.2b1"/>
    <x v="0"/>
    <x v="21"/>
    <m/>
    <x v="0"/>
    <s v="\\192.168.3.3\Share\Releases\Product\VCS\Build&amp;Release\Release For LQA\TestBuild_1.0.0\Build1\ServerCD\GUI\Setup"/>
    <s v="Pass"/>
    <x v="1"/>
    <m/>
    <m/>
    <m/>
    <s v="Gaurav Shukla"/>
    <x v="0"/>
  </r>
  <r>
    <x v="122"/>
    <x v="120"/>
    <n v="6"/>
    <x v="6"/>
    <n v="6"/>
    <s v="LQA-FAT"/>
    <x v="4"/>
    <m/>
    <x v="1"/>
    <x v="1"/>
    <x v="0"/>
    <s v="MPE_TLSTR-2b_3.0.0.3.1.98b1"/>
    <x v="0"/>
    <x v="11"/>
    <m/>
    <x v="0"/>
    <s v="\\192.168.3.3\Share\Releases\Projects\Telstra-2b\Release_For_Test\Test_Build_1.0.0.1\Server CD\MPE\Setup"/>
    <s v="Pass"/>
    <x v="1"/>
    <m/>
    <m/>
    <m/>
    <s v="Ashwani "/>
    <x v="0"/>
  </r>
  <r>
    <x v="122"/>
    <x v="120"/>
    <n v="6"/>
    <x v="6"/>
    <n v="6"/>
    <s v="LQA"/>
    <x v="0"/>
    <m/>
    <x v="1"/>
    <x v="1"/>
    <x v="0"/>
    <s v="MPE_SLT-1B_3.0.1.1.1.78b1"/>
    <x v="0"/>
    <x v="10"/>
    <m/>
    <x v="2"/>
    <s v="\\192.168.3.3\Share\Releases\Projects\SLT-1B\Release_For_Test\Test_Build_1.0.0.1\Server CD\MPE\Setup"/>
    <m/>
    <x v="1"/>
    <m/>
    <m/>
    <m/>
    <m/>
    <x v="2"/>
  </r>
  <r>
    <x v="122"/>
    <x v="120"/>
    <n v="6"/>
    <x v="6"/>
    <n v="6"/>
    <s v="IT-LQA"/>
    <x v="10"/>
    <m/>
    <x v="9"/>
    <x v="0"/>
    <x v="0"/>
    <s v="NPDBS_COM_1.2.3.6.1.16b1"/>
    <x v="0"/>
    <x v="54"/>
    <s v="\\192.168.3.3\Share\Releases\Projects\Comcast\Release_For_IT\Test_Build_4.6.1\Server CD\Database\Setup"/>
    <x v="2"/>
    <s v="\\192.168.3.3\Share\Releases\Projects\Comcast\Release_for_Test\Test_Build_4.6.5\Server CD\Database\Setup"/>
    <m/>
    <x v="1"/>
    <m/>
    <m/>
    <m/>
    <m/>
    <x v="2"/>
  </r>
  <r>
    <x v="122"/>
    <x v="120"/>
    <n v="6"/>
    <x v="6"/>
    <n v="6"/>
    <s v="IT-LQA"/>
    <x v="10"/>
    <m/>
    <x v="5"/>
    <x v="0"/>
    <x v="0"/>
    <s v="NMDBS_COM_4.6.1.26.1.45b1"/>
    <x v="0"/>
    <x v="54"/>
    <s v="\\192.168.3.3\Share\Releases\Projects\Comcast\Release_For_IT\Test_Build_4.6.1\Server CD\Database\Setup"/>
    <x v="2"/>
    <s v="\\192.168.3.3\Share\Releases\Projects\Comcast\Release_for_Test\Test_Build_4.6.5\Server CD\Database\Setup"/>
    <m/>
    <x v="1"/>
    <m/>
    <m/>
    <m/>
    <m/>
    <x v="2"/>
  </r>
  <r>
    <x v="122"/>
    <x v="120"/>
    <n v="6"/>
    <x v="6"/>
    <n v="6"/>
    <s v="IT-LQA"/>
    <x v="10"/>
    <m/>
    <x v="5"/>
    <x v="0"/>
    <x v="0"/>
    <s v="NMDBS_COM_4.6.1.26.1.46b1"/>
    <x v="0"/>
    <x v="7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m/>
    <x v="0"/>
  </r>
  <r>
    <x v="122"/>
    <x v="120"/>
    <n v="6"/>
    <x v="6"/>
    <n v="6"/>
    <s v="LQA"/>
    <x v="1"/>
    <m/>
    <x v="8"/>
    <x v="2"/>
    <x v="0"/>
    <s v="WWFSGUI_2.1.27b2"/>
    <x v="0"/>
    <x v="33"/>
    <m/>
    <x v="0"/>
    <s v="\\192.168.3.3\Share\Releases\Product\WEB_WFS\Build&amp;Release\Release For Test\TestBuild_2.1.27\ServerCD\GUI\Setup"/>
    <m/>
    <x v="0"/>
    <m/>
    <m/>
    <m/>
    <m/>
    <x v="1"/>
  </r>
  <r>
    <x v="123"/>
    <x v="121"/>
    <n v="6"/>
    <x v="6"/>
    <n v="6"/>
    <s v="IT-LQA-UAT"/>
    <x v="10"/>
    <m/>
    <x v="5"/>
    <x v="0"/>
    <x v="0"/>
    <s v="NMDBS_COM_4.6.1.26.1.45b2"/>
    <x v="0"/>
    <x v="54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s v="Abhishek Leekha"/>
    <x v="0"/>
  </r>
  <r>
    <x v="123"/>
    <x v="121"/>
    <n v="6"/>
    <x v="6"/>
    <n v="6"/>
    <s v="IT-LQA"/>
    <x v="10"/>
    <m/>
    <x v="9"/>
    <x v="0"/>
    <x v="0"/>
    <s v="NPDBS_COM_1.2.3.6.1.16b2"/>
    <x v="0"/>
    <x v="54"/>
    <s v="\\192.168.3.3\Share\Releases\Projects\Comcast\Release_For_IT\Test_Build_4.6.1\Server CD\Database\Setup"/>
    <x v="2"/>
    <s v="\\192.168.3.3\Share\Releases\Projects\Comcast\Release_for_Test\Test_Build_4.6.5\Server CD\Database\Setup"/>
    <m/>
    <x v="1"/>
    <m/>
    <m/>
    <m/>
    <m/>
    <x v="2"/>
  </r>
  <r>
    <x v="123"/>
    <x v="121"/>
    <n v="6"/>
    <x v="6"/>
    <n v="6"/>
    <s v="IT-LQA"/>
    <x v="6"/>
    <m/>
    <x v="5"/>
    <x v="0"/>
    <x v="0"/>
    <s v="NMDBS_ANTEL_4.6.1.26.2.35b1"/>
    <x v="0"/>
    <x v="36"/>
    <s v="\\192.168.3.3\Share\Releases\Projects\ANTEL\Release_For_IT\TestBuild_1.0.0.4\Server CD\DBS\Setup"/>
    <x v="2"/>
    <s v="\\192.168.3.3\Share\Releases\Projects\ANTEL\Release_For_Test\Test_Build_1.0.0.7\Server CD\DBS\Setup"/>
    <m/>
    <x v="0"/>
    <m/>
    <m/>
    <m/>
    <m/>
    <x v="2"/>
  </r>
  <r>
    <x v="123"/>
    <x v="121"/>
    <n v="6"/>
    <x v="6"/>
    <n v="6"/>
    <s v="IT-LQA-FAT"/>
    <x v="0"/>
    <m/>
    <x v="5"/>
    <x v="0"/>
    <x v="0"/>
    <s v="NMDBS_SLT_4.0.2.0.1.18b2"/>
    <x v="0"/>
    <x v="4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124"/>
    <x v="122"/>
    <n v="6"/>
    <x v="6"/>
    <n v="6"/>
    <s v="IT-LQA"/>
    <x v="6"/>
    <m/>
    <x v="5"/>
    <x v="0"/>
    <x v="0"/>
    <s v="NMDBS_ANTEL_4.6.1.26.2.36b1"/>
    <x v="0"/>
    <x v="36"/>
    <s v="\\192.168.3.3\Share\Releases\Projects\ANTEL\Release_For_IT\TestBuild_1.0.0.4\Server CD\DBS\Setup"/>
    <x v="0"/>
    <s v="\\192.168.3.3\Share\Releases\Projects\ANTEL\Release_For_Test\Test_Build_1.0.0.7\Server CD\DBS\Setup"/>
    <s v="Pass"/>
    <x v="1"/>
    <m/>
    <m/>
    <m/>
    <m/>
    <x v="0"/>
  </r>
  <r>
    <x v="124"/>
    <x v="122"/>
    <n v="6"/>
    <x v="6"/>
    <n v="6"/>
    <s v="LQA-FAT"/>
    <x v="0"/>
    <m/>
    <x v="1"/>
    <x v="1"/>
    <x v="0"/>
    <s v="MPE_SLT-1B_3.0.1.1.1.78b2"/>
    <x v="0"/>
    <x v="10"/>
    <m/>
    <x v="0"/>
    <s v="\\192.168.3.3\Share\Releases\Projects\SLT-1B\Release_For_Test\Test_Build_1.0.0.1\Server CD\MPE\Setup"/>
    <s v="Pass"/>
    <x v="1"/>
    <m/>
    <m/>
    <m/>
    <s v="K.V. Krishnan"/>
    <x v="0"/>
  </r>
  <r>
    <x v="124"/>
    <x v="122"/>
    <n v="6"/>
    <x v="6"/>
    <n v="6"/>
    <s v="LQA"/>
    <x v="3"/>
    <m/>
    <x v="1"/>
    <x v="1"/>
    <x v="0"/>
    <s v="MPE_OBT_3.2.1.7.1.19b1"/>
    <x v="0"/>
    <x v="28"/>
    <m/>
    <x v="0"/>
    <s v="\\192.168.3.3\share\Releases\Projects\OBT\Release_For_LQA\TestBuild_1.0.0.6\Server CD\MPE\Setup"/>
    <s v="Pass"/>
    <x v="1"/>
    <m/>
    <m/>
    <m/>
    <m/>
    <x v="0"/>
  </r>
  <r>
    <x v="124"/>
    <x v="122"/>
    <n v="6"/>
    <x v="6"/>
    <n v="6"/>
    <s v="IT-LQA"/>
    <x v="12"/>
    <m/>
    <x v="2"/>
    <x v="0"/>
    <x v="0"/>
    <s v="DMDBS_DRC_2.1.1.7.2.19b1"/>
    <x v="0"/>
    <x v="4"/>
    <s v="\\192.168.3.3\Share\Releases\Projects\DRC\Release_For_IT\Test_Build_1.0.0.3\Server CD\DBS\Setup"/>
    <x v="4"/>
    <s v="\\192.168.3.3\Share\Releases\Projects\DRC\Release_For_LQA\Test_Build_1.0.0.3\Server CD\DBS\Setup"/>
    <s v="Pass"/>
    <x v="0"/>
    <m/>
    <m/>
    <m/>
    <m/>
    <x v="2"/>
  </r>
  <r>
    <x v="124"/>
    <x v="122"/>
    <n v="6"/>
    <x v="6"/>
    <n v="6"/>
    <s v="IT-LQA"/>
    <x v="10"/>
    <m/>
    <x v="7"/>
    <x v="0"/>
    <x v="0"/>
    <s v="RTDBS_COM_4.0.1.18.1.3b1"/>
    <x v="0"/>
    <x v="36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m/>
    <x v="0"/>
  </r>
  <r>
    <x v="124"/>
    <x v="122"/>
    <n v="6"/>
    <x v="6"/>
    <n v="6"/>
    <s v="IT-LQA-UAT"/>
    <x v="10"/>
    <m/>
    <x v="11"/>
    <x v="6"/>
    <x v="1"/>
    <s v="NMUTLMIG4_COM_1.0.0.0.2"/>
    <x v="0"/>
    <x v="7"/>
    <s v="\\192.168.3.3\Share\Releases\Projects\Comcast\Release_For_IT\Test_Build_4.6.1\Utility\Setup"/>
    <x v="4"/>
    <s v="\\192.168.3.3\Share\Releases\Projects\Comcast\Release_for_Test\Test_Build_4.6.5\Utility\Setup "/>
    <s v="Pass"/>
    <x v="1"/>
    <m/>
    <m/>
    <m/>
    <s v="Rudra Narayan"/>
    <x v="2"/>
  </r>
  <r>
    <x v="124"/>
    <x v="122"/>
    <n v="6"/>
    <x v="6"/>
    <n v="6"/>
    <s v="IT-LQA"/>
    <x v="10"/>
    <m/>
    <x v="5"/>
    <x v="0"/>
    <x v="0"/>
    <s v="NMDBS_COM_4.6.1.26.1.47b1"/>
    <x v="0"/>
    <x v="39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0"/>
    <m/>
    <m/>
    <m/>
    <m/>
    <x v="0"/>
  </r>
  <r>
    <x v="124"/>
    <x v="122"/>
    <n v="6"/>
    <x v="6"/>
    <n v="6"/>
    <s v="IT-LQA"/>
    <x v="10"/>
    <m/>
    <x v="11"/>
    <x v="6"/>
    <x v="1"/>
    <s v="NMUTLMIG1_COM_1.0.0.0.5"/>
    <x v="0"/>
    <x v="7"/>
    <s v="\\192.168.3.3\Share\Releases\Projects\Comcast\Release_For_IT\Test_Build_4.6.1\Utility\Setup"/>
    <x v="2"/>
    <s v="\\192.168.3.3\Share\Releases\Projects\Comcast\Release_for_Test\Test_Build_4.6.5\Utility\Setup "/>
    <m/>
    <x v="1"/>
    <m/>
    <m/>
    <m/>
    <m/>
    <x v="2"/>
  </r>
  <r>
    <x v="125"/>
    <x v="123"/>
    <n v="6"/>
    <x v="6"/>
    <n v="6"/>
    <s v="LQA"/>
    <x v="6"/>
    <m/>
    <x v="12"/>
    <x v="2"/>
    <x v="1"/>
    <s v="WWCSGUI_ANTEL_2.1.18.0.1"/>
    <x v="0"/>
    <x v="13"/>
    <m/>
    <x v="0"/>
    <s v="\\192.168.3.3\Share\Releases\Projects\ANTEL\Release_For_Test\"/>
    <s v="Pass"/>
    <x v="1"/>
    <m/>
    <m/>
    <m/>
    <m/>
    <x v="0"/>
  </r>
  <r>
    <x v="125"/>
    <x v="123"/>
    <n v="6"/>
    <x v="6"/>
    <n v="6"/>
    <s v="IT-LQA-UAT"/>
    <x v="10"/>
    <m/>
    <x v="11"/>
    <x v="6"/>
    <x v="1"/>
    <s v="NMUTLMIG1_COM_1.0.0.0.6"/>
    <x v="0"/>
    <x v="7"/>
    <s v="\\192.168.3.3\Share\Releases\Projects\Comcast\Release_For_IT\Test_Build_4.6.1\Utility\Setup"/>
    <x v="4"/>
    <s v="\\192.168.3.3\Share\Releases\Projects\Comcast\Release_for_Test\Test_Build_4.6.5\Utility\Setup"/>
    <s v="Pass"/>
    <x v="1"/>
    <m/>
    <m/>
    <m/>
    <s v="Rudra Narayan"/>
    <x v="2"/>
  </r>
  <r>
    <x v="125"/>
    <x v="123"/>
    <n v="6"/>
    <x v="6"/>
    <n v="6"/>
    <s v="LQA"/>
    <x v="10"/>
    <m/>
    <x v="7"/>
    <x v="2"/>
    <x v="1"/>
    <s v="RTGUI_COM_4.0.25.0.1"/>
    <x v="0"/>
    <x v="35"/>
    <m/>
    <x v="0"/>
    <s v="\\192.168.3.3\share\Releases\Projects\Comcast\Release_for_Test\Test_Build_4.6.5\Server CD\GUI\Setup"/>
    <m/>
    <x v="1"/>
    <m/>
    <m/>
    <m/>
    <m/>
    <x v="1"/>
  </r>
  <r>
    <x v="126"/>
    <x v="124"/>
    <n v="6"/>
    <x v="6"/>
    <n v="6"/>
    <s v="IT-LQA"/>
    <x v="0"/>
    <m/>
    <x v="5"/>
    <x v="0"/>
    <x v="0"/>
    <s v="NMDBS_SLT_4.0.2.0.1.19b1"/>
    <x v="0"/>
    <x v="4"/>
    <s v="\\192.168.3.3\Share\Releases\Projects\SLT\Release_For_IT\Test_Build_1.0.0.4\Server CD\DBS\Setup"/>
    <x v="2"/>
    <s v="\\192.168.3.3\Share\Releases\Projects\SLT\Release_For_LQA\Test_Build_1.0.0.23\Server CD\DBS\Setup"/>
    <m/>
    <x v="1"/>
    <m/>
    <m/>
    <m/>
    <m/>
    <x v="2"/>
  </r>
  <r>
    <x v="126"/>
    <x v="124"/>
    <n v="6"/>
    <x v="6"/>
    <n v="6"/>
    <s v="IT-LQA"/>
    <x v="6"/>
    <m/>
    <x v="5"/>
    <x v="0"/>
    <x v="0"/>
    <s v="NMDBS_ANTEL_4.6.1.26.2.35b2 "/>
    <x v="0"/>
    <x v="36"/>
    <s v="\\192.168.3.3\Share\Releases\Projects\ANTEL\Release_For_IT\TestBuild_1.0.0.4\Server CD\DBS\Setup"/>
    <x v="0"/>
    <s v="\\192.168.3.3\Share\Releases\Projects\ANTEL\Release_For_Test\Test_Build_1.0.0.7\Server CD\DBS\Setup"/>
    <s v="Pass"/>
    <x v="1"/>
    <m/>
    <m/>
    <m/>
    <m/>
    <x v="0"/>
  </r>
  <r>
    <x v="126"/>
    <x v="124"/>
    <n v="6"/>
    <x v="6"/>
    <n v="6"/>
    <s v="IT-LQA-UAT"/>
    <x v="6"/>
    <m/>
    <x v="2"/>
    <x v="0"/>
    <x v="0"/>
    <s v="DMDBS_ANTEL_2.1.1.2.1.5b1"/>
    <x v="0"/>
    <x v="36"/>
    <s v="\\192.168.3.3\Share\Releases\Projects\ANTEL\Release_For_IT\TestBuild_1.0.0.4\Server CD\DBS\Setup"/>
    <x v="0"/>
    <s v="\\192.168.3.3\Share\Releases\Projects\ANTEL\Release_For_Test\Test_Build_1.0.0.7\Server CD\DBS\Setup"/>
    <s v="Pass"/>
    <x v="1"/>
    <m/>
    <m/>
    <m/>
    <s v="Pradeep Raghav"/>
    <x v="0"/>
  </r>
  <r>
    <x v="126"/>
    <x v="124"/>
    <n v="6"/>
    <x v="6"/>
    <n v="6"/>
    <s v="IT-LQA-FAT"/>
    <x v="0"/>
    <m/>
    <x v="5"/>
    <x v="0"/>
    <x v="0"/>
    <s v="NMDBS_SLT_4.0.2.0.1.19b2"/>
    <x v="0"/>
    <x v="4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126"/>
    <x v="124"/>
    <n v="6"/>
    <x v="6"/>
    <n v="6"/>
    <s v="IT-LQA-UAT"/>
    <x v="0"/>
    <m/>
    <x v="2"/>
    <x v="0"/>
    <x v="0"/>
    <s v="DMDBS_SLT_2.0.0.20.1.152b1"/>
    <x v="0"/>
    <x v="44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Harsh Khanna"/>
    <x v="0"/>
  </r>
  <r>
    <x v="126"/>
    <x v="124"/>
    <n v="6"/>
    <x v="6"/>
    <n v="6"/>
    <s v="IT-LQA-UAT"/>
    <x v="1"/>
    <m/>
    <x v="2"/>
    <x v="0"/>
    <x v="0"/>
    <s v="DMDBS_2.0.0.23b1"/>
    <x v="0"/>
    <x v="32"/>
    <s v="\\192.168.3.3\Share\Releases\Product\DataMind_2.0\Build&amp;Release\Release for IT\TestBuild_2.0.0\Server CD\DBS\Setup"/>
    <x v="0"/>
    <s v="\\192.168.3.3\Share\Releases\Product\DataMind_2.0\Build&amp;Release\Release for LQA\TestBuild_2.0.0\Server CD\DBS\Setup"/>
    <s v="Pass"/>
    <x v="1"/>
    <m/>
    <m/>
    <m/>
    <s v="Ekansh Arora"/>
    <x v="0"/>
  </r>
  <r>
    <x v="127"/>
    <x v="125"/>
    <n v="6"/>
    <x v="6"/>
    <n v="6"/>
    <s v="LQA"/>
    <x v="1"/>
    <m/>
    <x v="7"/>
    <x v="2"/>
    <x v="0"/>
    <s v="RTGUI_4.0.26b1 "/>
    <x v="0"/>
    <x v="16"/>
    <m/>
    <x v="0"/>
    <s v="\\192.168.3.3\Share\Releases\Product\RT_4.0\ReleaseForLQA\TestBuild_4.0.24\GUI\Build1\Setup "/>
    <m/>
    <x v="1"/>
    <m/>
    <m/>
    <m/>
    <m/>
    <x v="1"/>
  </r>
  <r>
    <x v="127"/>
    <x v="125"/>
    <n v="6"/>
    <x v="6"/>
    <n v="6"/>
    <s v="IT-LQA-UAT"/>
    <x v="0"/>
    <m/>
    <x v="5"/>
    <x v="0"/>
    <x v="0"/>
    <s v="NMDBS_TWC_4.6.1.11.3.40b1"/>
    <x v="0"/>
    <x v="19"/>
    <s v="\\192.168.3.3\Share\Releases\Projects\TWC\Release_For_IT\Test_Build_1.0.0.3\Server CD\DBS\Setup"/>
    <x v="0"/>
    <s v="\\192.168.3.3\Share\Releases\Projects\TWC\Release_For_Test\Test_Build_1.0.0.4\Server CD\DBS\Setup"/>
    <s v="Pass"/>
    <x v="0"/>
    <m/>
    <m/>
    <m/>
    <s v="Abhishek Leekha"/>
    <x v="0"/>
  </r>
  <r>
    <x v="127"/>
    <x v="125"/>
    <n v="6"/>
    <x v="6"/>
    <n v="6"/>
    <s v="LQA-UAT"/>
    <x v="0"/>
    <m/>
    <x v="1"/>
    <x v="1"/>
    <x v="0"/>
    <s v="MPE_SLT-1B_3.0.1.1.1.79b1"/>
    <x v="0"/>
    <x v="26"/>
    <m/>
    <x v="0"/>
    <s v="\\192.168.3.3\Share\Releases\Projects\SLT-1B\Release_For_Test\Test_Build_1.0.0.1\Server CD\MPE\Setup"/>
    <s v="Pass"/>
    <x v="1"/>
    <m/>
    <m/>
    <m/>
    <s v="K.V. Krishnan"/>
    <x v="0"/>
  </r>
  <r>
    <x v="127"/>
    <x v="125"/>
    <n v="6"/>
    <x v="6"/>
    <n v="6"/>
    <s v="IT-LQA"/>
    <x v="1"/>
    <m/>
    <x v="7"/>
    <x v="0"/>
    <x v="0"/>
    <s v="RTDBS_4.0.1.21b1"/>
    <x v="0"/>
    <x v="5"/>
    <s v="\\192.168.3.3\Share\Releases\Product\RT_4.0\ReleaseForIT\TestBuild_4.0.3\DBS\Setup"/>
    <x v="2"/>
    <s v="\\192.168.3.3\Share\Releases\Product\RT_4.0\ReleaseForLQA\TestBuild_4.0.24\DBS\Setup"/>
    <m/>
    <x v="1"/>
    <m/>
    <m/>
    <m/>
    <m/>
    <x v="2"/>
  </r>
  <r>
    <x v="127"/>
    <x v="125"/>
    <n v="6"/>
    <x v="6"/>
    <n v="6"/>
    <s v="LQA"/>
    <x v="0"/>
    <m/>
    <x v="7"/>
    <x v="2"/>
    <x v="0"/>
    <s v="RTGUI_SLT_4.0.26.0.1"/>
    <x v="0"/>
    <x v="16"/>
    <m/>
    <x v="0"/>
    <s v="\\192.168.3.3\Share\Releases\Projects\SLT\Release_For_LQA\Test_Build_1.0.0.23\Server CD\GUI\Setup"/>
    <m/>
    <x v="1"/>
    <m/>
    <m/>
    <m/>
    <m/>
    <x v="1"/>
  </r>
  <r>
    <x v="127"/>
    <x v="125"/>
    <n v="6"/>
    <x v="6"/>
    <n v="6"/>
    <s v="LQA-UAT"/>
    <x v="10"/>
    <m/>
    <x v="12"/>
    <x v="2"/>
    <x v="0"/>
    <s v="WWCSGUI_COM_2.1.18.0.2"/>
    <x v="0"/>
    <x v="21"/>
    <m/>
    <x v="0"/>
    <s v="\\192.168.3.3\Share\Releases\Projects\Comcast\Release_for_Test\Test_Build_4.6.5\Server CD\GUI\Setup"/>
    <s v="Pass"/>
    <x v="1"/>
    <m/>
    <m/>
    <m/>
    <s v="Akansha Upadhyay"/>
    <x v="0"/>
  </r>
  <r>
    <x v="127"/>
    <x v="125"/>
    <n v="6"/>
    <x v="6"/>
    <n v="6"/>
    <s v="LQA"/>
    <x v="1"/>
    <m/>
    <x v="12"/>
    <x v="2"/>
    <x v="0"/>
    <s v="WWFSGUI_2.1.28b3"/>
    <x v="0"/>
    <x v="21"/>
    <m/>
    <x v="0"/>
    <s v="\\192.168.3.3\Share\Releases\Product\WEB_WFS\Build&amp;Release\Release For Test\TestBuild_2.1.28\ServerCD\GUI\Setup"/>
    <m/>
    <x v="1"/>
    <m/>
    <m/>
    <m/>
    <m/>
    <x v="1"/>
  </r>
  <r>
    <x v="128"/>
    <x v="126"/>
    <n v="6"/>
    <x v="6"/>
    <n v="6"/>
    <s v="IT-LQA"/>
    <x v="0"/>
    <m/>
    <x v="5"/>
    <x v="0"/>
    <x v="0"/>
    <s v="NMDBS_SLT_4.0.2.0.1.20b1"/>
    <x v="0"/>
    <x v="4"/>
    <s v="\\192.168.3.3\Share\Releases\Projects\SLT\Release_For_IT\Test_Build_1.0.0.4\Server CD\DBS\Setup"/>
    <x v="2"/>
    <s v="\\192.168.3.3\Share\Releases\Projects\SLT\Release_For_LQA\Test_Build_1.0.0.23\Server CD\DBS\Setup"/>
    <m/>
    <x v="1"/>
    <m/>
    <m/>
    <m/>
    <m/>
    <x v="2"/>
  </r>
  <r>
    <x v="128"/>
    <x v="126"/>
    <n v="6"/>
    <x v="6"/>
    <n v="6"/>
    <s v="LQA-UAT"/>
    <x v="10"/>
    <m/>
    <x v="8"/>
    <x v="2"/>
    <x v="0"/>
    <s v="WWFSGUI_COM_2.1.28.0.1"/>
    <x v="0"/>
    <x v="33"/>
    <m/>
    <x v="0"/>
    <s v="\\192.168.3.3\Share\Releases\Projects\Comcast\Release_for_Test\Test_Build_4.6.5\Server CD\GUI\Setup"/>
    <s v="Pass"/>
    <x v="0"/>
    <m/>
    <m/>
    <m/>
    <s v="Akansha Upadhyay"/>
    <x v="0"/>
  </r>
  <r>
    <x v="128"/>
    <x v="126"/>
    <n v="6"/>
    <x v="6"/>
    <n v="6"/>
    <s v="IT-LQA"/>
    <x v="1"/>
    <m/>
    <x v="5"/>
    <x v="0"/>
    <x v="0"/>
    <s v="NMDBS_4.6.1.24b3"/>
    <x v="0"/>
    <x v="24"/>
    <s v="\\192.168.3.3\Share\Releases\Product\Netmind_4.6\Build&amp;Release\ReleaseForIT\TestBuild_4.6.1\Build4\ServerCD\DBS\Setup"/>
    <x v="0"/>
    <s v="\\192.168.3.3\Share\Releases\Product\Netmind_4.6\Build&amp;Release\ReleaseForTest\TestBuild_4.6.1\Build4\ServerCD\DBS\Setup"/>
    <s v="Pass"/>
    <x v="1"/>
    <m/>
    <m/>
    <m/>
    <m/>
    <x v="0"/>
  </r>
  <r>
    <x v="128"/>
    <x v="126"/>
    <n v="6"/>
    <x v="6"/>
    <n v="6"/>
    <s v="LQA"/>
    <x v="6"/>
    <m/>
    <x v="8"/>
    <x v="2"/>
    <x v="0"/>
    <s v="WWFSGUI_ANTEL_2.1.28.0.1"/>
    <x v="0"/>
    <x v="13"/>
    <m/>
    <x v="0"/>
    <s v="\\192.168.3.3\Share\Releases\Projects\ANTEL\Release_For_Test\Test_Build_1.0.0.7\Server CD\GUI\Setup"/>
    <s v="Pass"/>
    <x v="0"/>
    <m/>
    <m/>
    <m/>
    <m/>
    <x v="0"/>
  </r>
  <r>
    <x v="128"/>
    <x v="126"/>
    <n v="6"/>
    <x v="6"/>
    <n v="6"/>
    <s v="IT-LQA"/>
    <x v="6"/>
    <m/>
    <x v="5"/>
    <x v="0"/>
    <x v="0"/>
    <s v="NMDBS_ANTEL_4.6.1.26.2.37b1"/>
    <x v="0"/>
    <x v="24"/>
    <s v="\\192.168.3.3\Share\Releases\Projects\ANTEL\Release_For_IT\TestBuild_1.0.0.4\Server CD\DBS\Setup"/>
    <x v="0"/>
    <s v="\\192.168.3.3\Share\Releases\Projects\ANTEL\Release_For_Test\Test_Build_1.0.0.7\Server CD\DBS\Setup"/>
    <s v="Pass"/>
    <x v="1"/>
    <m/>
    <m/>
    <m/>
    <m/>
    <x v="0"/>
  </r>
  <r>
    <x v="129"/>
    <x v="127"/>
    <n v="6"/>
    <x v="6"/>
    <n v="6"/>
    <s v="LQA-FAT"/>
    <x v="0"/>
    <m/>
    <x v="1"/>
    <x v="1"/>
    <x v="0"/>
    <s v="MPE_SLT-1B_3.0.1.1.1.80b1"/>
    <x v="0"/>
    <x v="26"/>
    <m/>
    <x v="0"/>
    <s v="\\192.168.3.3\Share\Releases\Projects\SLT-1B\Release_For_Test\Test_Build_1.0.0.1\Server CD\MPE\Setup"/>
    <s v="Pass"/>
    <x v="1"/>
    <m/>
    <m/>
    <m/>
    <s v="K.V. Krishnan"/>
    <x v="0"/>
  </r>
  <r>
    <x v="129"/>
    <x v="127"/>
    <n v="6"/>
    <x v="6"/>
    <n v="6"/>
    <s v="IT-LQA-FAT"/>
    <x v="0"/>
    <m/>
    <x v="5"/>
    <x v="0"/>
    <x v="0"/>
    <s v="NMDBS_SLT_4.0.2.0.1.20b2"/>
    <x v="0"/>
    <x v="4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129"/>
    <x v="127"/>
    <n v="6"/>
    <x v="6"/>
    <n v="6"/>
    <s v="IT-LQA"/>
    <x v="10"/>
    <m/>
    <x v="5"/>
    <x v="0"/>
    <x v="0"/>
    <s v="NMDBS_COM_4.6.1.26.1.48b1"/>
    <x v="0"/>
    <x v="7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m/>
    <x v="0"/>
  </r>
  <r>
    <x v="129"/>
    <x v="127"/>
    <n v="6"/>
    <x v="6"/>
    <n v="6"/>
    <s v="IT-LQA-FAT"/>
    <x v="0"/>
    <m/>
    <x v="5"/>
    <x v="0"/>
    <x v="0"/>
    <s v="NMDBS_SLT_4.0.2.0.1.21b1"/>
    <x v="0"/>
    <x v="24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130"/>
    <x v="128"/>
    <n v="6"/>
    <x v="6"/>
    <n v="6"/>
    <s v="LQA"/>
    <x v="3"/>
    <m/>
    <x v="1"/>
    <x v="1"/>
    <x v="0"/>
    <s v="MPE_OBT_3.2.1.7.1.20b1"/>
    <x v="0"/>
    <x v="20"/>
    <m/>
    <x v="0"/>
    <s v="\\192.168.3.3\share\Releases\Projects\OBT\Release_For_LQA\TestBuild_1.0.0.6\Server CD\MPE\Setup"/>
    <s v="Pass"/>
    <x v="1"/>
    <m/>
    <m/>
    <m/>
    <m/>
    <x v="0"/>
  </r>
  <r>
    <x v="130"/>
    <x v="128"/>
    <n v="6"/>
    <x v="6"/>
    <n v="6"/>
    <s v="IT-LQA-FAT"/>
    <x v="0"/>
    <m/>
    <x v="5"/>
    <x v="0"/>
    <x v="0"/>
    <s v="NMDBS_SLT_4.0.2.0.1.22b1"/>
    <x v="0"/>
    <x v="4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130"/>
    <x v="128"/>
    <n v="6"/>
    <x v="6"/>
    <n v="6"/>
    <s v="LQA"/>
    <x v="8"/>
    <m/>
    <x v="1"/>
    <x v="1"/>
    <x v="0"/>
    <s v="MPE_TWC_3.2.1.5.2.15b1"/>
    <x v="0"/>
    <x v="43"/>
    <m/>
    <x v="2"/>
    <s v="\\192.168.3.3\Share\Releases\Projects\TWC\Release_For_Test\Test_Build_1.0.0.4\Server CD\MPE\Setup"/>
    <m/>
    <x v="1"/>
    <m/>
    <m/>
    <m/>
    <m/>
    <x v="2"/>
  </r>
  <r>
    <x v="131"/>
    <x v="129"/>
    <n v="6"/>
    <x v="6"/>
    <n v="6"/>
    <s v="LQA-UAT"/>
    <x v="1"/>
    <m/>
    <x v="4"/>
    <x v="4"/>
    <x v="0"/>
    <s v="RACS_2.5.7b1"/>
    <x v="0"/>
    <x v="40"/>
    <m/>
    <x v="0"/>
    <s v="\\192.168.3.3\Share\Releases\Product\RevMind_2.1\Build&amp;Release\Release_For_LQA\Test_Build_1.0.2\Server CD\GUI\CS\Setup"/>
    <s v="Pass"/>
    <x v="0"/>
    <m/>
    <m/>
    <m/>
    <s v="Aditya Mani Sharma"/>
    <x v="0"/>
  </r>
  <r>
    <x v="131"/>
    <x v="129"/>
    <n v="6"/>
    <x v="6"/>
    <n v="6"/>
    <s v="LQA-UAT"/>
    <x v="1"/>
    <m/>
    <x v="8"/>
    <x v="2"/>
    <x v="0"/>
    <s v="WWFSGUI_2.2.1.1b1"/>
    <x v="0"/>
    <x v="52"/>
    <m/>
    <x v="0"/>
    <s v="\\192.168.3.3\Share\Releases\Product\WEB_WFS\Build&amp;Release\Release For Test\TestBuild_2.2.1\Build4\ServerCD\GUI\Setup"/>
    <s v="Pass"/>
    <x v="0"/>
    <m/>
    <m/>
    <m/>
    <s v="Aditya Mani Sharma"/>
    <x v="0"/>
  </r>
  <r>
    <x v="131"/>
    <x v="129"/>
    <n v="6"/>
    <x v="6"/>
    <n v="6"/>
    <s v="IT-LQA-UAT"/>
    <x v="1"/>
    <m/>
    <x v="4"/>
    <x v="0"/>
    <x v="0"/>
    <s v="RADBS_2.1.1.14b1"/>
    <x v="0"/>
    <x v="27"/>
    <s v="\\192.168.3.3\Share\Releases\Product\RevMind_2.1\Build&amp;Release\Release_For_IT\TestBuild_1.0.1\Server CD\DBS\Setup"/>
    <x v="0"/>
    <s v="\\192.168.3.3\Share\Releases\Product\RevMind_2.1\Build&amp;Release\Release_For_LQA\Test_Build_1.0.2\Server CD\DBS\Setup"/>
    <s v="Pass"/>
    <x v="0"/>
    <m/>
    <m/>
    <m/>
    <s v="Aditya Mani Sharma"/>
    <x v="0"/>
  </r>
  <r>
    <x v="131"/>
    <x v="129"/>
    <n v="6"/>
    <x v="6"/>
    <n v="6"/>
    <s v="IT-LQA"/>
    <x v="10"/>
    <m/>
    <x v="5"/>
    <x v="0"/>
    <x v="0"/>
    <s v="NMDBS_COM_4.6.1.26.1.49b1"/>
    <x v="0"/>
    <x v="39"/>
    <s v="\\192.168.3.3\Share\Releases\Projects\Comcast\Release_For_IT\Test_Build_4.6.1\Server CD\Database\Setup"/>
    <x v="2"/>
    <s v="\\192.168.3.3\Share\Releases\Projects\Comcast\Release_for_Test\Test_Build_4.6.5\Server CD\Database\Setup"/>
    <m/>
    <x v="1"/>
    <m/>
    <m/>
    <m/>
    <m/>
    <x v="2"/>
  </r>
  <r>
    <x v="131"/>
    <x v="129"/>
    <n v="6"/>
    <x v="6"/>
    <n v="6"/>
    <s v="IT-LQA"/>
    <x v="3"/>
    <m/>
    <x v="5"/>
    <x v="0"/>
    <x v="0"/>
    <s v="NMDBS_OBT_4.6.1.27.1.35b1"/>
    <x v="0"/>
    <x v="5"/>
    <s v="\\192.168.3.3\Share\Releases\Projects\OBT\Release_For_IT\TestBuild_1.0.0.2\Server CD\DBS\Setup"/>
    <x v="0"/>
    <s v="\\192.168.3.3\Share\Releases\Projects\OBT\Release_For_LQA\TestBuild_1.0.0.6\Server CD\DBS\Setup"/>
    <s v="Pass"/>
    <x v="1"/>
    <m/>
    <m/>
    <m/>
    <m/>
    <x v="0"/>
  </r>
  <r>
    <x v="131"/>
    <x v="129"/>
    <n v="6"/>
    <x v="6"/>
    <n v="6"/>
    <s v="IT-LQA-FAT"/>
    <x v="0"/>
    <m/>
    <x v="5"/>
    <x v="0"/>
    <x v="0"/>
    <s v="NMDBS_SLT_4.0.2.0.1.23b1"/>
    <x v="0"/>
    <x v="4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132"/>
    <x v="130"/>
    <n v="6"/>
    <x v="6"/>
    <n v="6"/>
    <s v="IT-LQA-UAT"/>
    <x v="0"/>
    <m/>
    <x v="2"/>
    <x v="0"/>
    <x v="0"/>
    <s v="DMDBS_SLT_2.0.0.20.1.113b1"/>
    <x v="0"/>
    <x v="44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132"/>
    <x v="130"/>
    <n v="6"/>
    <x v="6"/>
    <n v="6"/>
    <s v="IT-LQA"/>
    <x v="8"/>
    <m/>
    <x v="5"/>
    <x v="0"/>
    <x v="0"/>
    <s v="NMDBS_TWC_4.6.1.11.3.41b1"/>
    <x v="0"/>
    <x v="19"/>
    <s v="\\192.168.3.3\Share\Releases\Projects\TWC\Release_For_IT\Test_Build_1.0.0.3\Server CD\DBS\Setup"/>
    <x v="2"/>
    <s v="\\192.168.3.3\Share\Releases\Projects\TWC\Release_For_Test\Test_Build_1.0.0.4\Server CD\DBS\Setup"/>
    <m/>
    <x v="1"/>
    <m/>
    <m/>
    <m/>
    <m/>
    <x v="2"/>
  </r>
  <r>
    <x v="132"/>
    <x v="130"/>
    <n v="6"/>
    <x v="6"/>
    <n v="6"/>
    <s v="IT-LQA"/>
    <x v="0"/>
    <m/>
    <x v="2"/>
    <x v="0"/>
    <x v="0"/>
    <s v="DMDBS_SLT_2.0.0.20.1.153b1"/>
    <x v="0"/>
    <x v="44"/>
    <s v="\\192.168.3.3\Share\Releases\Projects\SLT\Release_For_IT\Test_Build_1.0.0.4\Server CD\DBS\Setup"/>
    <x v="2"/>
    <s v="\\192.168.3.3\Share\Releases\Projects\SLT\Release_For_LQA\Test_Build_1.0.0.23\Server CD\DBS\Setup"/>
    <m/>
    <x v="1"/>
    <m/>
    <m/>
    <m/>
    <m/>
    <x v="2"/>
  </r>
  <r>
    <x v="133"/>
    <x v="131"/>
    <n v="7"/>
    <x v="7"/>
    <n v="7"/>
    <s v="LQA"/>
    <x v="10"/>
    <m/>
    <x v="1"/>
    <x v="1"/>
    <x v="0"/>
    <s v="MPE_COM_3.2.5.0.2.4b1"/>
    <x v="0"/>
    <x v="43"/>
    <m/>
    <x v="0"/>
    <s v="\\192.168.3.3\Share\Releases\Projects\Comcast\Release_for_Test\Test_Build_4.6.5\Server CD\MPE\Setup"/>
    <m/>
    <x v="1"/>
    <m/>
    <m/>
    <m/>
    <m/>
    <x v="1"/>
  </r>
  <r>
    <x v="133"/>
    <x v="132"/>
    <n v="7"/>
    <x v="7"/>
    <n v="7"/>
    <s v="IT-LQA-FAT"/>
    <x v="1"/>
    <m/>
    <x v="0"/>
    <x v="0"/>
    <x v="0"/>
    <s v="REDBS_1.0.1.25b1"/>
    <x v="0"/>
    <x v="0"/>
    <s v="\\192.168.3.3\Share\Releases\Product\RE_1.0\ReleaseForIT\TestBuild_1.0.1\DBS\Build4\Setup"/>
    <x v="0"/>
    <s v="\\192.168.3.3\Share\Releases\Product\RE_1.0\ReleaseForLQA\TestBuild_1.0.1\DBS\Build4\Setup"/>
    <s v="Pass"/>
    <x v="1"/>
    <m/>
    <m/>
    <m/>
    <s v="Ravi Gautam"/>
    <x v="0"/>
  </r>
  <r>
    <x v="134"/>
    <x v="132"/>
    <n v="7"/>
    <x v="7"/>
    <n v="7"/>
    <s v="IT-LQA"/>
    <x v="10"/>
    <m/>
    <x v="5"/>
    <x v="0"/>
    <x v="0"/>
    <s v="NMDBS_COM_4.6.1.26.1.49b2"/>
    <x v="0"/>
    <x v="39"/>
    <s v="\\192.168.3.3\Share\Releases\Projects\Comcast\Release_For_IT\Test_Build_4.6.1\Server CD\Database\Setup"/>
    <x v="2"/>
    <s v="\\192.168.3.3\Share\Releases\Projects\Comcast\Release_for_Test\Test_Build_4.6.5\Server CD\Database\Setup"/>
    <m/>
    <x v="1"/>
    <m/>
    <m/>
    <m/>
    <m/>
    <x v="2"/>
  </r>
  <r>
    <x v="134"/>
    <x v="132"/>
    <n v="7"/>
    <x v="7"/>
    <n v="7"/>
    <s v="IT-LQA"/>
    <x v="6"/>
    <m/>
    <x v="5"/>
    <x v="0"/>
    <x v="0"/>
    <s v="NMDBS_ANTEL_4.6.1.26.2.38b1"/>
    <x v="0"/>
    <x v="4"/>
    <s v="\\192.168.3.3\Share\Releases\Projects\ANTEL\Release_For_IT\TestBuild_1.0.0.4\Server CD\DBS\Setup"/>
    <x v="0"/>
    <s v="\\192.168.3.3\Share\Releases\Projects\ANTEL\Release_For_Test\Test_Build_1.0.0.7\Server CD\DBS\Setup"/>
    <s v="Pass"/>
    <x v="0"/>
    <m/>
    <m/>
    <m/>
    <m/>
    <x v="0"/>
  </r>
  <r>
    <x v="134"/>
    <x v="132"/>
    <n v="7"/>
    <x v="7"/>
    <n v="7"/>
    <s v="IT-LQA-FAT"/>
    <x v="0"/>
    <m/>
    <x v="0"/>
    <x v="0"/>
    <x v="0"/>
    <s v="REDBS_SLT_1.0.1.25.1.12b1"/>
    <x v="0"/>
    <x v="0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Ravi Gautam"/>
    <x v="0"/>
  </r>
  <r>
    <x v="135"/>
    <x v="133"/>
    <n v="7"/>
    <x v="7"/>
    <n v="7"/>
    <s v="IT-LQA"/>
    <x v="6"/>
    <m/>
    <x v="5"/>
    <x v="0"/>
    <x v="0"/>
    <s v="NMDBS_ANTEL_4.6.1.26.2.39b1"/>
    <x v="0"/>
    <x v="4"/>
    <s v="\\192.168.3.3\Share\Releases\Projects\ANTEL\Release_For_IT\TestBuild_1.0.0.4\Server CD\DBS\Setup"/>
    <x v="0"/>
    <s v="\\192.168.3.3\Share\Releases\Projects\ANTEL\Release_For_Test\Test_Build_1.0.0.7\Server CD\DBS\Setup"/>
    <s v="Pass"/>
    <x v="1"/>
    <m/>
    <m/>
    <m/>
    <m/>
    <x v="0"/>
  </r>
  <r>
    <x v="135"/>
    <x v="133"/>
    <n v="7"/>
    <x v="7"/>
    <n v="7"/>
    <s v="IT-LQA-UAT"/>
    <x v="6"/>
    <m/>
    <x v="5"/>
    <x v="0"/>
    <x v="0"/>
    <s v="NMDBS_ANTEL_4.6.1.26.2.40b1"/>
    <x v="0"/>
    <x v="4"/>
    <s v="\\192.168.3.3\Share\Releases\Projects\ANTEL\Release_For_IT\TestBuild_1.0.0.4\Server CD\DBS\Setup"/>
    <x v="0"/>
    <s v="\\192.168.3.3\Share\Releases\Projects\ANTEL\Release_For_Test\Test_Build_1.0.0.7\Server CD\DBS\Setup"/>
    <s v="Pass"/>
    <x v="1"/>
    <m/>
    <m/>
    <m/>
    <s v="Pradeep Raghav"/>
    <x v="0"/>
  </r>
  <r>
    <x v="135"/>
    <x v="133"/>
    <n v="7"/>
    <x v="7"/>
    <n v="7"/>
    <s v="IT-LQA"/>
    <x v="10"/>
    <m/>
    <x v="5"/>
    <x v="0"/>
    <x v="0"/>
    <s v="NMDBS_COM_4.6.1.26.1.50b1"/>
    <x v="0"/>
    <x v="39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0"/>
    <m/>
    <m/>
    <m/>
    <m/>
    <x v="0"/>
  </r>
  <r>
    <x v="136"/>
    <x v="134"/>
    <n v="7"/>
    <x v="7"/>
    <n v="7"/>
    <s v="IT-LQA"/>
    <x v="10"/>
    <m/>
    <x v="9"/>
    <x v="0"/>
    <x v="0"/>
    <s v="NPDBS_COM_1.2.3.6.1.16b2"/>
    <x v="0"/>
    <x v="54"/>
    <s v="\\192.168.3.3\Share\Releases\Projects\Comcast\Release_For_IT\Test_Build_4.6.1\Server CD\Database\Setup"/>
    <x v="2"/>
    <s v="\\192.168.3.3\Share\Releases\Projects\Comcast\Release_for_Test\Test_Build_4.6.5\Server CD\Database\Setup"/>
    <m/>
    <x v="1"/>
    <m/>
    <m/>
    <m/>
    <m/>
    <x v="2"/>
  </r>
  <r>
    <x v="136"/>
    <x v="134"/>
    <n v="7"/>
    <x v="7"/>
    <n v="7"/>
    <s v="IT-LQA"/>
    <x v="10"/>
    <m/>
    <x v="5"/>
    <x v="0"/>
    <x v="0"/>
    <s v="NMDBS_COM_4.6.1.26.1.51b1"/>
    <x v="0"/>
    <x v="54"/>
    <s v="\\192.168.3.3\Share\Releases\Projects\Comcast\Release_For_IT\Test_Build_4.6.1\Server CD\Database\Setup"/>
    <x v="2"/>
    <s v="\\192.168.3.3\Share\Releases\Projects\Comcast\Release_for_Test\Test_Build_4.6.5\Server CD\Database\Setup"/>
    <m/>
    <x v="1"/>
    <m/>
    <m/>
    <m/>
    <m/>
    <x v="2"/>
  </r>
  <r>
    <x v="136"/>
    <x v="134"/>
    <n v="7"/>
    <x v="7"/>
    <n v="7"/>
    <s v="IT-LQA-FAT"/>
    <x v="0"/>
    <m/>
    <x v="2"/>
    <x v="0"/>
    <x v="0"/>
    <s v="DMDBS_SLT_2.0.0.20.1.153b2 "/>
    <x v="0"/>
    <x v="44"/>
    <s v="\\192.168.3.3\Share\Releases\Projects\SLT\Release_For_LQA\Test_Build_1.0.0.23\Server CD\DBS\Setup"/>
    <x v="0"/>
    <s v="\\192.168.3.3\Share\Releases\Projects\SLT\Release_For_IT\Test_Build_1.0.0.4\Server CD\DBS\Setup"/>
    <s v="Pass"/>
    <x v="1"/>
    <m/>
    <m/>
    <m/>
    <s v="K.V. Krishnan"/>
    <x v="0"/>
  </r>
  <r>
    <x v="136"/>
    <x v="134"/>
    <n v="7"/>
    <x v="7"/>
    <n v="7"/>
    <s v="LQA-UAT"/>
    <x v="1"/>
    <m/>
    <x v="5"/>
    <x v="0"/>
    <x v="0"/>
    <s v="NMDBS_4.7.1b10"/>
    <x v="0"/>
    <x v="24"/>
    <m/>
    <x v="0"/>
    <s v="\\192.168.3.3\Share\Releases\Product\Netmind_4.7\Build&amp;Release\Release_For_LQA\Test_Build_1.0.1\Server CD\DBS\Setup"/>
    <s v="Pass"/>
    <x v="1"/>
    <m/>
    <m/>
    <m/>
    <s v="Sureya N Behra"/>
    <x v="0"/>
  </r>
  <r>
    <x v="136"/>
    <x v="134"/>
    <n v="7"/>
    <x v="7"/>
    <n v="7"/>
    <s v="LQA-FAT"/>
    <x v="0"/>
    <m/>
    <x v="1"/>
    <x v="1"/>
    <x v="0"/>
    <s v="MPE_SLT-1B_3.0.1.1.1.81b1"/>
    <x v="0"/>
    <x v="10"/>
    <m/>
    <x v="0"/>
    <s v="\\192.168.3.3\Share\Releases\Projects\SLT-1B\Release_For_Test\Test_Build_1.0.0.1\Server CD\MPE\Setup"/>
    <s v="Pass"/>
    <x v="0"/>
    <m/>
    <m/>
    <m/>
    <s v="K.V. Krishnan"/>
    <x v="0"/>
  </r>
  <r>
    <x v="137"/>
    <x v="135"/>
    <n v="7"/>
    <x v="7"/>
    <n v="7"/>
    <s v="IT-LQA"/>
    <x v="10"/>
    <m/>
    <x v="5"/>
    <x v="0"/>
    <x v="0"/>
    <s v="NMDBS_COM_4.6.1.26.1.51b2"/>
    <x v="0"/>
    <x v="54"/>
    <s v="\\192.168.3.3\Share\Releases\Projects\Comcast\Release_For_IT\Test_Build_4.6.1\Server CD\Database\Setup"/>
    <x v="2"/>
    <s v="\\192.168.3.3\Share\Releases\Projects\Comcast\Release_for_Test\Test_Build_4.6.5\Server CD\Database\Setup"/>
    <m/>
    <x v="1"/>
    <m/>
    <m/>
    <m/>
    <m/>
    <x v="2"/>
  </r>
  <r>
    <x v="137"/>
    <x v="135"/>
    <n v="7"/>
    <x v="7"/>
    <n v="7"/>
    <s v="IT-LQA"/>
    <x v="10"/>
    <m/>
    <x v="5"/>
    <x v="0"/>
    <x v="0"/>
    <s v="NMDBS_COM_4.6.1.26.1.49b3"/>
    <x v="0"/>
    <x v="39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m/>
    <x v="0"/>
  </r>
  <r>
    <x v="138"/>
    <x v="136"/>
    <n v="7"/>
    <x v="7"/>
    <n v="7"/>
    <s v="IT-LQA"/>
    <x v="10"/>
    <m/>
    <x v="11"/>
    <x v="6"/>
    <x v="1"/>
    <s v="NMUTLMIG4_COM_1.0.0.0.3"/>
    <x v="0"/>
    <x v="7"/>
    <s v="\\192.168.3.3\Share\Releases\Projects\Comcast\Release_For_IT\Test_Build_4.6.1\Utility\Setup"/>
    <x v="2"/>
    <s v="\\192.168.3.3\Share\Releases\Projects\Comcast\Release_for_Test\Test_Build_4.6.5\Utility\Setup "/>
    <m/>
    <x v="1"/>
    <m/>
    <m/>
    <m/>
    <m/>
    <x v="2"/>
  </r>
  <r>
    <x v="138"/>
    <x v="136"/>
    <n v="7"/>
    <x v="7"/>
    <n v="7"/>
    <s v="IT-LQA"/>
    <x v="10"/>
    <m/>
    <x v="11"/>
    <x v="6"/>
    <x v="1"/>
    <s v="NMUTLMIG1_COM_1.0.0.0.7"/>
    <x v="0"/>
    <x v="7"/>
    <s v="\\192.168.3.3\Share\Releases\Projects\Comcast\Release_For_IT\Test_Build_4.6.1\Utility\Setup"/>
    <x v="2"/>
    <s v="\\192.168.3.3\Share\Releases\Projects\Comcast\Release_for_Test\Test_Build_4.6.5\Utility\Setup "/>
    <m/>
    <x v="1"/>
    <m/>
    <m/>
    <m/>
    <m/>
    <x v="2"/>
  </r>
  <r>
    <x v="138"/>
    <x v="136"/>
    <n v="7"/>
    <x v="7"/>
    <n v="7"/>
    <s v="IT-LQA"/>
    <x v="10"/>
    <m/>
    <x v="11"/>
    <x v="6"/>
    <x v="1"/>
    <s v="NMUTLMIG3_COM_1.0.0.0.5"/>
    <x v="0"/>
    <x v="7"/>
    <s v="\\192.168.3.3\Share\Releases\Projects\Comcast\Release_For_IT\Test_Build_4.6.1\Utility\Setup"/>
    <x v="0"/>
    <s v="\\192.168.3.3\Share\Releases\Projects\Comcast\Release_for_Test\Test_Build_4.6.5\Utility\Setup "/>
    <m/>
    <x v="1"/>
    <m/>
    <m/>
    <m/>
    <m/>
    <x v="1"/>
  </r>
  <r>
    <x v="138"/>
    <x v="136"/>
    <n v="7"/>
    <x v="7"/>
    <n v="7"/>
    <s v="LQA"/>
    <x v="3"/>
    <m/>
    <x v="1"/>
    <x v="1"/>
    <x v="0"/>
    <s v="MPE_OBT_3.2.1.7.1.21b1"/>
    <x v="0"/>
    <x v="20"/>
    <m/>
    <x v="0"/>
    <s v="\\192.168.3.3\share\Releases\Projects\OBT\Release_For_LQA\TestBuild_1.0.0.6\Server CD\MPE\Setup"/>
    <s v="Pass"/>
    <x v="1"/>
    <m/>
    <m/>
    <m/>
    <m/>
    <x v="0"/>
  </r>
  <r>
    <x v="138"/>
    <x v="136"/>
    <n v="7"/>
    <x v="7"/>
    <n v="7"/>
    <s v="IT-LQA-FAT"/>
    <x v="0"/>
    <m/>
    <x v="5"/>
    <x v="0"/>
    <x v="0"/>
    <s v="NMDBS_SLT_4.0.2.0.1.24b1"/>
    <x v="0"/>
    <x v="44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138"/>
    <x v="136"/>
    <n v="7"/>
    <x v="7"/>
    <n v="7"/>
    <s v="IT-LQA-UAT"/>
    <x v="8"/>
    <m/>
    <x v="5"/>
    <x v="0"/>
    <x v="0"/>
    <s v="NMDBS_TWC_4.6.1.11.3.41b2"/>
    <x v="0"/>
    <x v="19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Rudra Narayan"/>
    <x v="0"/>
  </r>
  <r>
    <x v="138"/>
    <x v="136"/>
    <n v="7"/>
    <x v="7"/>
    <n v="7"/>
    <s v="LQA-UAT"/>
    <x v="6"/>
    <m/>
    <x v="6"/>
    <x v="6"/>
    <x v="0"/>
    <s v="IM_ANTEL_1.0.1.0.1"/>
    <x v="0"/>
    <x v="31"/>
    <m/>
    <x v="0"/>
    <s v="\\192.168.3.3\share\Releases\Projects\ANTEL\Release_For_Test\Test_Build_1.0.0.7\IM\Setup"/>
    <s v="Pass"/>
    <x v="0"/>
    <m/>
    <m/>
    <m/>
    <s v="Pradeep Raghav"/>
    <x v="0"/>
  </r>
  <r>
    <x v="138"/>
    <x v="136"/>
    <n v="7"/>
    <x v="7"/>
    <n v="7"/>
    <s v="LQA"/>
    <x v="8"/>
    <m/>
    <x v="1"/>
    <x v="1"/>
    <x v="0"/>
    <s v="MPE_TWC_3.2.1.5.2.15b2"/>
    <x v="0"/>
    <x v="43"/>
    <m/>
    <x v="2"/>
    <s v="\\192.168.3.3\Share\Releases\Projects\TWC\Release_For_Test\Test_Build_1.0.0.4\Server CD\MPE\Setup"/>
    <m/>
    <x v="0"/>
    <m/>
    <m/>
    <m/>
    <m/>
    <x v="2"/>
  </r>
  <r>
    <x v="139"/>
    <x v="137"/>
    <n v="7"/>
    <x v="7"/>
    <n v="7"/>
    <s v="IT-LQA-UAT"/>
    <x v="3"/>
    <m/>
    <x v="5"/>
    <x v="0"/>
    <x v="0"/>
    <s v="NMDBS_OBT_4.6.1.27.1.36b1"/>
    <x v="0"/>
    <x v="53"/>
    <s v="\\192.168.3.3\Share\Releases\Projects\OBT\Release_For_IT\TestBuild_1.0.0.2\Server CD\DBS\Setup"/>
    <x v="0"/>
    <s v="\\192.168.3.3\Share\Releases\Projects\OBT\Release_For_LQA\TestBuild_1.0.0.6\Server CD\DBS\Setup"/>
    <s v="Pass"/>
    <x v="1"/>
    <m/>
    <m/>
    <m/>
    <s v="Ajay Kumar Pandey"/>
    <x v="0"/>
  </r>
  <r>
    <x v="139"/>
    <x v="137"/>
    <n v="7"/>
    <x v="7"/>
    <n v="7"/>
    <s v="IT-LQA-FAT"/>
    <x v="0"/>
    <m/>
    <x v="5"/>
    <x v="0"/>
    <x v="0"/>
    <s v="NMDBS_SLT_4.0.2.0.1.25b1"/>
    <x v="0"/>
    <x v="44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139"/>
    <x v="137"/>
    <n v="7"/>
    <x v="7"/>
    <n v="7"/>
    <s v="IT-LQA"/>
    <x v="10"/>
    <m/>
    <x v="5"/>
    <x v="0"/>
    <x v="0"/>
    <s v="NMDBS_COM_4.6.1.26.1.52b1"/>
    <x v="0"/>
    <x v="39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m/>
    <x v="0"/>
  </r>
  <r>
    <x v="140"/>
    <x v="138"/>
    <n v="7"/>
    <x v="7"/>
    <n v="7"/>
    <s v="LQA-UAT"/>
    <x v="4"/>
    <m/>
    <x v="1"/>
    <x v="1"/>
    <x v="0"/>
    <s v="MPE_TLSTR-2b_3.0.0.3.1.99b1"/>
    <x v="0"/>
    <x v="11"/>
    <m/>
    <x v="0"/>
    <s v="\\192.168.3.3\Share\Releases\Projects\Telstra-2b\Release_For_Test\Test_Build_1.0.0.1\Server CD\MPE\Setup"/>
    <s v="Pass"/>
    <x v="0"/>
    <m/>
    <m/>
    <m/>
    <s v="Gaurav Shukla"/>
    <x v="0"/>
  </r>
  <r>
    <x v="140"/>
    <x v="138"/>
    <n v="7"/>
    <x v="7"/>
    <n v="7"/>
    <s v="IT-LQA-UAT"/>
    <x v="6"/>
    <m/>
    <x v="5"/>
    <x v="0"/>
    <x v="0"/>
    <s v="NMDBS_ANTEL_4.6.1.26.2.41b1"/>
    <x v="0"/>
    <x v="4"/>
    <s v="\\192.168.3.3\Share\Releases\Projects\ANTEL\Release_For_IT\TestBuild_1.0.0.4\Server CD\DBS\Setup"/>
    <x v="0"/>
    <s v="\\192.168.3.3\Share\Releases\Projects\ANTEL\Release_For_Test\Test_Build_1.0.0.7\Server CD\DBS\Setup"/>
    <s v="Pass"/>
    <x v="0"/>
    <m/>
    <m/>
    <m/>
    <s v="Pradeep Raghav"/>
    <x v="0"/>
  </r>
  <r>
    <x v="140"/>
    <x v="138"/>
    <n v="7"/>
    <x v="7"/>
    <n v="7"/>
    <s v="IT-LQA"/>
    <x v="10"/>
    <m/>
    <x v="5"/>
    <x v="0"/>
    <x v="0"/>
    <s v="NMDBS_COM_4.6.1.26.1.53b1"/>
    <x v="0"/>
    <x v="39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m/>
    <x v="0"/>
  </r>
  <r>
    <x v="141"/>
    <x v="139"/>
    <n v="7"/>
    <x v="7"/>
    <n v="7"/>
    <s v="LQA-UAT"/>
    <x v="8"/>
    <m/>
    <x v="1"/>
    <x v="1"/>
    <x v="0"/>
    <s v="MPE_TWC_3.2.1.5.2.15b3"/>
    <x v="0"/>
    <x v="43"/>
    <m/>
    <x v="0"/>
    <s v="\\192.168.3.3\Share\Releases\Projects\TWC\Release_For_Test\Test_Build_1.0.0.4\Server CD\MPE\Setup"/>
    <m/>
    <x v="1"/>
    <m/>
    <m/>
    <m/>
    <s v="Rudra Narayan"/>
    <x v="3"/>
  </r>
  <r>
    <x v="141"/>
    <x v="139"/>
    <n v="7"/>
    <x v="7"/>
    <n v="7"/>
    <s v="IT-LQA-UAT"/>
    <x v="6"/>
    <m/>
    <x v="5"/>
    <x v="0"/>
    <x v="0"/>
    <s v="NMDBS_ANTEL_4.6.1.26.2.42b1"/>
    <x v="0"/>
    <x v="4"/>
    <s v="\\192.168.3.3\Share\Releases\Projects\ANTEL\Release_For_IT\TestBuild_1.0.0.4\Server CD\DBS\Setup"/>
    <x v="0"/>
    <s v="\\192.168.3.3\Share\Releases\Projects\ANTEL\Release_For_Test\Test_Build_1.0.0.7\Server CD\DBS\Setup"/>
    <s v="Pass"/>
    <x v="0"/>
    <m/>
    <m/>
    <m/>
    <s v="Pradeep Raghav"/>
    <x v="0"/>
  </r>
  <r>
    <x v="142"/>
    <x v="140"/>
    <n v="7"/>
    <x v="7"/>
    <n v="7"/>
    <s v="LQA"/>
    <x v="4"/>
    <m/>
    <x v="1"/>
    <x v="1"/>
    <x v="0"/>
    <s v="MPE_TLSTR-2b_3.0.0.3.1.100b1"/>
    <x v="0"/>
    <x v="11"/>
    <m/>
    <x v="0"/>
    <s v="\\192.168.3.3\Share\Releases\Projects\Telstra-2b\Release_For_Test\Test_Build_1.0.0.1\Server CD\MPE\Setup"/>
    <m/>
    <x v="1"/>
    <m/>
    <m/>
    <m/>
    <m/>
    <x v="1"/>
  </r>
  <r>
    <x v="142"/>
    <x v="140"/>
    <n v="7"/>
    <x v="7"/>
    <n v="7"/>
    <s v="IT-LQA-FAT"/>
    <x v="10"/>
    <m/>
    <x v="9"/>
    <x v="0"/>
    <x v="0"/>
    <s v="NPDBS_COM_1.2.3.6.1.16b3"/>
    <x v="0"/>
    <x v="54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s v="Sumit Gomber"/>
    <x v="0"/>
  </r>
  <r>
    <x v="142"/>
    <x v="140"/>
    <n v="7"/>
    <x v="7"/>
    <n v="7"/>
    <s v="IT-LQA-UAT"/>
    <x v="10"/>
    <m/>
    <x v="5"/>
    <x v="0"/>
    <x v="0"/>
    <s v="NMDBS_COM_4.6.1.26.1.51b3"/>
    <x v="0"/>
    <x v="54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s v="Sumit Gomber"/>
    <x v="0"/>
  </r>
  <r>
    <x v="142"/>
    <x v="140"/>
    <n v="7"/>
    <x v="7"/>
    <n v="7"/>
    <s v="IT-LQA-UAT"/>
    <x v="1"/>
    <m/>
    <x v="9"/>
    <x v="0"/>
    <x v="0"/>
    <s v="NPDBS_1.2.3.11b1"/>
    <x v="0"/>
    <x v="54"/>
    <s v="\\192.168.3.3\share\Releases\Product\NetMindPOS_1.1\Build&amp;Release\Release for IT\TestBuild_1.2.3\Server CD\DBS\Setup"/>
    <x v="0"/>
    <s v="\\192.168.3.3\share\Releases\Product\NetMindPOS_1.1\Build&amp;Release\Release for LQA\TestBuild_1.2.3\Server CD\DBS\Setup"/>
    <s v="Pass"/>
    <x v="1"/>
    <m/>
    <m/>
    <m/>
    <s v="Sumit Gomber"/>
    <x v="0"/>
  </r>
  <r>
    <x v="142"/>
    <x v="140"/>
    <n v="7"/>
    <x v="7"/>
    <n v="7"/>
    <s v="IT-LQA-UAT"/>
    <x v="5"/>
    <m/>
    <x v="5"/>
    <x v="1"/>
    <x v="0"/>
    <s v="NMMPE_BHN_3.5.2.31.1"/>
    <x v="0"/>
    <x v="46"/>
    <s v="\\192.168.3.3\Share\Projects\Neustar\BHN\Build&amp;Release\Release For IT\Test_Build_3.5.37\Server CD\MPE\Setup"/>
    <x v="0"/>
    <s v="\\192.168.3.3\Share\Projects\Neustar\BHN\Build&amp;Release\Release For Test\Test_Build_3.5.37\Server CD\MPE\Setup"/>
    <s v="Pass"/>
    <x v="1"/>
    <m/>
    <m/>
    <m/>
    <s v="Rudra Narayan"/>
    <x v="0"/>
  </r>
  <r>
    <x v="142"/>
    <x v="140"/>
    <n v="7"/>
    <x v="7"/>
    <n v="7"/>
    <s v="LQA-UAT"/>
    <x v="8"/>
    <m/>
    <x v="1"/>
    <x v="1"/>
    <x v="0"/>
    <s v="MPE_TWC_3.2.1.5.2.16b1 "/>
    <x v="0"/>
    <x v="43"/>
    <m/>
    <x v="0"/>
    <s v="\\192.168.3.3\Share\Releases\Projects\TWC\Release_For_Test\Test_Build_1.0.0.4\Server CD\MPE\Setup"/>
    <s v="Pass"/>
    <x v="1"/>
    <m/>
    <m/>
    <m/>
    <s v="Rudra Narayan"/>
    <x v="0"/>
  </r>
  <r>
    <x v="143"/>
    <x v="141"/>
    <n v="7"/>
    <x v="7"/>
    <n v="7"/>
    <s v="IT-LQA"/>
    <x v="10"/>
    <m/>
    <x v="5"/>
    <x v="0"/>
    <x v="0"/>
    <s v="NMDBS_COM_4.6.1.26.1.55b1"/>
    <x v="0"/>
    <x v="54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m/>
    <x v="0"/>
  </r>
  <r>
    <x v="143"/>
    <x v="141"/>
    <n v="7"/>
    <x v="7"/>
    <n v="7"/>
    <s v="IT-LQA-UAT"/>
    <x v="6"/>
    <m/>
    <x v="5"/>
    <x v="0"/>
    <x v="0"/>
    <s v="NMDBS_ANTEL_4.6.1.26.2.43b1"/>
    <x v="0"/>
    <x v="4"/>
    <s v="\\192.168.3.3\Share\Releases\Projects\ANTEL\Release_For_IT\TestBuild_1.0.0.4\Server CD\DBS\Setup"/>
    <x v="0"/>
    <s v="\\192.168.3.3\Share\Releases\Projects\ANTEL\Release_For_Test\Test_Build_1.0.0.7\Server CD\DBS\Setup"/>
    <s v="Pass"/>
    <x v="1"/>
    <m/>
    <m/>
    <m/>
    <s v="Pradeep Raghav"/>
    <x v="0"/>
  </r>
  <r>
    <x v="143"/>
    <x v="141"/>
    <n v="7"/>
    <x v="7"/>
    <n v="7"/>
    <s v="LQA"/>
    <x v="1"/>
    <m/>
    <x v="12"/>
    <x v="2"/>
    <x v="1"/>
    <s v="WWCSGUI_2.1.19b2 "/>
    <x v="0"/>
    <x v="13"/>
    <m/>
    <x v="0"/>
    <s v="\\192.168.3.3\Share\Releases\Product\WEB_CS\Build&amp;Release\Release For Test\TestBuild_2.1.19\ServerCD\GUI\Setup"/>
    <m/>
    <x v="0"/>
    <m/>
    <m/>
    <m/>
    <m/>
    <x v="1"/>
  </r>
  <r>
    <x v="144"/>
    <x v="142"/>
    <n v="7"/>
    <x v="7"/>
    <n v="7"/>
    <s v="IT-LQA"/>
    <x v="10"/>
    <m/>
    <x v="5"/>
    <x v="0"/>
    <x v="0"/>
    <s v="NMDBS_COM_4.6.1.26.1.54b1"/>
    <x v="0"/>
    <x v="39"/>
    <s v="\\192.168.3.3\Share\Releases\Projects\Comcast\Release_For_IT\Test_Build_4.6.1\Server CD\Database\Setup"/>
    <x v="2"/>
    <s v="\\192.168.3.3\Share\Releases\Projects\Comcast\Release_for_Test\Test_Build_4.6.5\Server CD\Database\Setup"/>
    <m/>
    <x v="1"/>
    <m/>
    <m/>
    <m/>
    <m/>
    <x v="2"/>
  </r>
  <r>
    <x v="144"/>
    <x v="142"/>
    <n v="7"/>
    <x v="7"/>
    <n v="7"/>
    <s v="IT-LQA"/>
    <x v="10"/>
    <m/>
    <x v="11"/>
    <x v="6"/>
    <x v="1"/>
    <s v="NMUTLMIG4_COM_1.0.0.0.4"/>
    <x v="0"/>
    <x v="7"/>
    <s v="\\192.168.3.3\Share\Releases\Projects\Comcast\Release_for_Test\Test_Build_4.6.5\Utility\Setup "/>
    <x v="0"/>
    <s v="\\192.168.3.3\Share\Releases\Projects\Comcast\Release_For_IT\Test_Build_4.6.1\Utility\Setup"/>
    <m/>
    <x v="1"/>
    <m/>
    <m/>
    <m/>
    <m/>
    <x v="1"/>
  </r>
  <r>
    <x v="144"/>
    <x v="142"/>
    <n v="7"/>
    <x v="7"/>
    <n v="7"/>
    <s v="LQA"/>
    <x v="1"/>
    <m/>
    <x v="7"/>
    <x v="2"/>
    <x v="0"/>
    <s v="RTGUI_4.0.25.1b1"/>
    <x v="0"/>
    <x v="35"/>
    <m/>
    <x v="0"/>
    <s v="\\192.168.3.3\Share\Releases\Product\RT_4.0\ReleaseForLQA\TestBuild_4.0.24\GUI\Build1\Setup "/>
    <m/>
    <x v="0"/>
    <m/>
    <m/>
    <m/>
    <m/>
    <x v="1"/>
  </r>
  <r>
    <x v="144"/>
    <x v="142"/>
    <n v="7"/>
    <x v="7"/>
    <n v="7"/>
    <s v="IT-LQA-UAT"/>
    <x v="4"/>
    <m/>
    <x v="5"/>
    <x v="0"/>
    <x v="0"/>
    <s v="NMDBS_TLSTR_4.0.1.0.4.308b1"/>
    <x v="0"/>
    <x v="9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Gaurav Shukla"/>
    <x v="0"/>
  </r>
  <r>
    <x v="144"/>
    <x v="143"/>
    <n v="7"/>
    <x v="7"/>
    <n v="7"/>
    <s v="IT"/>
    <x v="1"/>
    <m/>
    <x v="5"/>
    <x v="0"/>
    <x v="0"/>
    <s v="NMDBS_4.6.1.28b1"/>
    <x v="0"/>
    <x v="23"/>
    <s v="\\192.168.3.3\Share\Releases\Product\Netmind_4.6\Build&amp;Release\ReleaseForIT\TestBuild_4.6.1\Build4\ServerCD\DBS\Setup"/>
    <x v="0"/>
    <s v="\\192.168.3.3\Share\Releases\Product\Netmind_4.6\Build&amp;Release\ReleaseForTest\TestBuild_4.6.1\Build4\ServerCD\DBS\Setup"/>
    <m/>
    <x v="1"/>
    <m/>
    <m/>
    <m/>
    <m/>
    <x v="1"/>
  </r>
  <r>
    <x v="144"/>
    <x v="142"/>
    <n v="7"/>
    <x v="7"/>
    <n v="7"/>
    <s v="IT-LQA-FAT"/>
    <x v="0"/>
    <m/>
    <x v="5"/>
    <x v="0"/>
    <x v="0"/>
    <s v="NMDBS_SLT_4.0.2.0.1.26b1"/>
    <x v="0"/>
    <x v="44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145"/>
    <x v="143"/>
    <n v="7"/>
    <x v="7"/>
    <n v="7"/>
    <s v="LQA-FAT"/>
    <x v="0"/>
    <m/>
    <x v="1"/>
    <x v="1"/>
    <x v="0"/>
    <s v="MPE_SLT-1B_3.0.1.1.1.82b1"/>
    <x v="0"/>
    <x v="26"/>
    <m/>
    <x v="0"/>
    <s v="\\192.168.3.3\Share\Releases\Projects\SLT-1B\Release_For_Test\Test_Build_1.0.0.1\Server CD\MPE\Setup"/>
    <s v="Pass"/>
    <x v="1"/>
    <m/>
    <m/>
    <m/>
    <s v="K.V. Krishnan"/>
    <x v="0"/>
  </r>
  <r>
    <x v="145"/>
    <x v="143"/>
    <n v="7"/>
    <x v="7"/>
    <n v="7"/>
    <s v="IT-LQA"/>
    <x v="10"/>
    <m/>
    <x v="5"/>
    <x v="0"/>
    <x v="0"/>
    <s v="NMDBS_COM_4.6.1.26.1.56b1"/>
    <x v="0"/>
    <x v="24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m/>
    <x v="0"/>
  </r>
  <r>
    <x v="145"/>
    <x v="143"/>
    <n v="7"/>
    <x v="7"/>
    <n v="7"/>
    <s v="IT-LQA"/>
    <x v="10"/>
    <m/>
    <x v="5"/>
    <x v="0"/>
    <x v="0"/>
    <s v="NMDBS_COM_4.6.1.26.1.54b2"/>
    <x v="0"/>
    <x v="39"/>
    <s v="\\192.168.3.3\Share\Releases\Projects\Comcast\Release_For_IT\Test_Build_4.6.1\Server CD\Database\Setup"/>
    <x v="2"/>
    <s v="\\192.168.3.3\Share\Releases\Projects\Comcast\Release_for_Test\Test_Build_4.6.5\Server CD\Database\Setup"/>
    <m/>
    <x v="1"/>
    <m/>
    <m/>
    <m/>
    <m/>
    <x v="2"/>
  </r>
  <r>
    <x v="145"/>
    <x v="143"/>
    <n v="7"/>
    <x v="7"/>
    <n v="7"/>
    <s v="IT-LQA-FAT"/>
    <x v="10"/>
    <m/>
    <x v="5"/>
    <x v="0"/>
    <x v="0"/>
    <s v="NMDBS_COM_4.6.1.26.1.57b1"/>
    <x v="0"/>
    <x v="7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s v="Rudra Narayan"/>
    <x v="0"/>
  </r>
  <r>
    <x v="146"/>
    <x v="144"/>
    <n v="7"/>
    <x v="7"/>
    <n v="7"/>
    <s v="LQA"/>
    <x v="1"/>
    <m/>
    <x v="8"/>
    <x v="2"/>
    <x v="0"/>
    <s v="WWFSGUI_2.1.29b3"/>
    <x v="0"/>
    <x v="33"/>
    <m/>
    <x v="0"/>
    <s v="\\192.168.3.3\Share\Releases\Product\WEB_WFS\Build&amp;Release\Release For Test\TestBuild_2.1.29\ServerCD\GUI\Setup"/>
    <m/>
    <x v="1"/>
    <m/>
    <m/>
    <m/>
    <m/>
    <x v="1"/>
  </r>
  <r>
    <x v="146"/>
    <x v="144"/>
    <n v="7"/>
    <x v="7"/>
    <n v="7"/>
    <s v="IT-LQA-UAT"/>
    <x v="10"/>
    <m/>
    <x v="5"/>
    <x v="0"/>
    <x v="0"/>
    <s v="NMDBS_COM_4.6.1.26.1.54b3"/>
    <x v="0"/>
    <x v="39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s v="Rudra Narayan"/>
    <x v="0"/>
  </r>
  <r>
    <x v="146"/>
    <x v="144"/>
    <n v="7"/>
    <x v="7"/>
    <n v="7"/>
    <s v="LQA"/>
    <x v="10"/>
    <m/>
    <x v="7"/>
    <x v="2"/>
    <x v="0"/>
    <s v="RTGUI_COM_4.0.25.1.1.1b2"/>
    <x v="0"/>
    <x v="35"/>
    <m/>
    <x v="0"/>
    <s v="\\192.168.3.3\share\Releases\Projects\Comcast\Release_for_Test\Test_Build_4.6.5\Server CD\GUI\Setup"/>
    <m/>
    <x v="1"/>
    <m/>
    <m/>
    <m/>
    <m/>
    <x v="1"/>
  </r>
  <r>
    <x v="146"/>
    <x v="144"/>
    <n v="7"/>
    <x v="7"/>
    <n v="7"/>
    <s v="IT-LQA"/>
    <x v="10"/>
    <m/>
    <x v="5"/>
    <x v="0"/>
    <x v="0"/>
    <s v="NMDBS_COM_4.6.1.26.1.59b1"/>
    <x v="0"/>
    <x v="4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m/>
    <x v="0"/>
  </r>
  <r>
    <x v="146"/>
    <x v="144"/>
    <n v="7"/>
    <x v="7"/>
    <n v="7"/>
    <s v="IT-LQA-UAT"/>
    <x v="10"/>
    <m/>
    <x v="5"/>
    <x v="0"/>
    <x v="0"/>
    <s v="NMDBS_COM_4.6.1.26.1.58b1"/>
    <x v="0"/>
    <x v="54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s v="Sumit Gomber"/>
    <x v="0"/>
  </r>
  <r>
    <x v="146"/>
    <x v="144"/>
    <n v="7"/>
    <x v="7"/>
    <n v="7"/>
    <s v="IT-LQA-UAT"/>
    <x v="10"/>
    <m/>
    <x v="9"/>
    <x v="0"/>
    <x v="0"/>
    <s v="NPDBS_COM_1.2.3.6.1.17b1"/>
    <x v="0"/>
    <x v="54"/>
    <s v="\\192.168.3.3\Share\Releases\Projects\Comcast\Release_For_IT\Test_Build_4.6.1\Server CD\Database\Setup"/>
    <x v="0"/>
    <s v="\\192.168.3.3\Share\Releases\Projects\Comcast\Release_for_Test\Test_Build_4.6.5\Server CD\Database\Setup"/>
    <s v="Pass"/>
    <x v="1"/>
    <m/>
    <m/>
    <m/>
    <s v="Sumit Gomber"/>
    <x v="0"/>
  </r>
  <r>
    <x v="146"/>
    <x v="144"/>
    <n v="7"/>
    <x v="7"/>
    <n v="7"/>
    <s v="LQA-UAT"/>
    <x v="10"/>
    <m/>
    <x v="12"/>
    <x v="2"/>
    <x v="1"/>
    <s v="WWCSGUI_COM_2.1.19.0.1"/>
    <x v="0"/>
    <x v="13"/>
    <m/>
    <x v="0"/>
    <s v="\\192.168.3.3\Share\Releases\Projects\Comcast\Release_for_Test\Test_Build_4.6.6\Server CD\GUI\Setup"/>
    <s v="Pass"/>
    <x v="1"/>
    <m/>
    <m/>
    <m/>
    <s v="Rudra Narayan"/>
    <x v="0"/>
  </r>
  <r>
    <x v="146"/>
    <x v="144"/>
    <n v="7"/>
    <x v="7"/>
    <n v="7"/>
    <s v="IT-LQA-FAT"/>
    <x v="0"/>
    <m/>
    <x v="5"/>
    <x v="0"/>
    <x v="0"/>
    <s v="NMDBS_SLT_4.0.2.0.1.27b1"/>
    <x v="0"/>
    <x v="44"/>
    <s v="\\192.168.3.3\Share\Releases\Projects\SLT\Release_For_IT\Test_Build_1.0.0.4\Server CD\DBS\Setup"/>
    <x v="0"/>
    <s v="\\192.168.3.3\Share\Releases\Projects\SLT\Release_For_LQA\Test_Build_1.0.0.23\Server CD\DBS\Setup"/>
    <s v="Pass"/>
    <x v="1"/>
    <m/>
    <m/>
    <m/>
    <s v="K.V. Krishnan"/>
    <x v="0"/>
  </r>
  <r>
    <x v="146"/>
    <x v="144"/>
    <n v="7"/>
    <x v="7"/>
    <n v="7"/>
    <s v="LQA"/>
    <x v="10"/>
    <m/>
    <x v="8"/>
    <x v="2"/>
    <x v="1"/>
    <s v="WWFSGUI_COM_2.1.29.0.1"/>
    <x v="0"/>
    <x v="33"/>
    <m/>
    <x v="0"/>
    <s v="\\192.168.3.3\Share\Releases\Projects\Comcast\Release_for_Test\Test_Build_4.6.6\Server CD\GUI\Setup"/>
    <m/>
    <x v="1"/>
    <m/>
    <m/>
    <m/>
    <m/>
    <x v="1"/>
  </r>
  <r>
    <x v="147"/>
    <x v="145"/>
    <n v="7"/>
    <x v="7"/>
    <n v="7"/>
    <s v="IT-LQA-UAT"/>
    <x v="10"/>
    <m/>
    <x v="5"/>
    <x v="0"/>
    <x v="0"/>
    <s v="NMDBS_COM_4.6.1.26.1.61b1"/>
    <x v="0"/>
    <x v="7"/>
    <s v="\\192.168.3.3\Share\Releases\Projects\Comcast\Release_For_IT\Test_Build_4.6.1\Server CD\Database\Setup"/>
    <x v="0"/>
    <s v="\\192.168.3.3\Share\Releases\Projects\Comcast\Release_for_Test\Test_Build_4.6.6\Server CD\Database\Setup"/>
    <s v="Pass"/>
    <x v="1"/>
    <m/>
    <m/>
    <m/>
    <s v="Rudra Narayan"/>
    <x v="0"/>
  </r>
  <r>
    <x v="147"/>
    <x v="145"/>
    <n v="7"/>
    <x v="7"/>
    <n v="7"/>
    <s v="IT-LQA"/>
    <x v="1"/>
    <m/>
    <x v="7"/>
    <x v="0"/>
    <x v="0"/>
    <s v="RTDBS_4.0.1.21b2"/>
    <x v="0"/>
    <x v="5"/>
    <s v="\\192.168.3.3\Share\Releases\Product\RT_4.0\ReleaseForIT\TestBuild_4.0.3\DBS\Setup"/>
    <x v="2"/>
    <s v="\\192.168.3.3\Share\Releases\Product\RT_4.0\ReleaseForLQA\TestBuild_4.0.24\DBS\Setup"/>
    <m/>
    <x v="1"/>
    <m/>
    <m/>
    <m/>
    <m/>
    <x v="2"/>
  </r>
  <r>
    <x v="147"/>
    <x v="145"/>
    <n v="7"/>
    <x v="7"/>
    <n v="7"/>
    <s v="LQA"/>
    <x v="1"/>
    <m/>
    <x v="7"/>
    <x v="2"/>
    <x v="1"/>
    <s v="RTGUI_4.0.27b1"/>
    <x v="0"/>
    <x v="16"/>
    <m/>
    <x v="0"/>
    <s v="\\192.168.3.3\Share\Releases\Product\RT_4.0\ReleaseForLQA\TestBuild_4.0.24\GUI\Build1\Setup "/>
    <m/>
    <x v="1"/>
    <m/>
    <m/>
    <m/>
    <m/>
    <x v="1"/>
  </r>
  <r>
    <x v="147"/>
    <x v="145"/>
    <n v="7"/>
    <x v="7"/>
    <n v="7"/>
    <s v="LQA"/>
    <x v="0"/>
    <m/>
    <x v="7"/>
    <x v="2"/>
    <x v="1"/>
    <s v="RTGUI_SLT_4.0.27.0.1"/>
    <x v="0"/>
    <x v="16"/>
    <m/>
    <x v="2"/>
    <s v="\\192.168.3.3\Share\Releases\Projects\SLT\Release_For_LQA\Test_Build_1.0.0.24\Server CD\GUI\Setup"/>
    <m/>
    <x v="1"/>
    <m/>
    <m/>
    <m/>
    <m/>
    <x v="2"/>
  </r>
  <r>
    <x v="147"/>
    <x v="145"/>
    <n v="7"/>
    <x v="7"/>
    <n v="7"/>
    <s v="IT-LQA"/>
    <x v="17"/>
    <m/>
    <x v="5"/>
    <x v="0"/>
    <x v="0"/>
    <s v="PATCH_DBS_3.0.5.03_CPMTS.02_87.1"/>
    <x v="0"/>
    <x v="4"/>
    <s v="\\192.168.3.3\Share\Releases\Projects\MTS\Release For IT\Test_Build_3.0.5.25\Server CD\Database\Setup"/>
    <x v="0"/>
    <s v="\\192.168.3.3\Share\Releases\Projects\MTS\Release For Test\Test_Build_3.0.5.25\Server CD\Database\Setup"/>
    <m/>
    <x v="1"/>
    <m/>
    <m/>
    <m/>
    <m/>
    <x v="1"/>
  </r>
  <r>
    <x v="148"/>
    <x v="146"/>
    <n v="7"/>
    <x v="7"/>
    <n v="7"/>
    <s v="IT-LQA-UAT"/>
    <x v="8"/>
    <m/>
    <x v="5"/>
    <x v="0"/>
    <x v="0"/>
    <s v="NMDBS_TWC_4.6.1.11.3.42b1"/>
    <x v="0"/>
    <x v="19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Abhishek Leekha"/>
    <x v="0"/>
  </r>
  <r>
    <x v="148"/>
    <x v="146"/>
    <n v="7"/>
    <x v="7"/>
    <n v="7"/>
    <s v="IT-LQA-UAT"/>
    <x v="10"/>
    <m/>
    <x v="5"/>
    <x v="0"/>
    <x v="0"/>
    <s v="NMDBS_COM_4.6.1.26.1.62b1"/>
    <x v="0"/>
    <x v="7"/>
    <s v="\\192.168.3.3\Share\Releases\Projects\Comcast\Release_For_IT\Test_Build_4.6.1\Server CD\Database\Setup"/>
    <x v="0"/>
    <s v="\\192.168.3.3\Share\Releases\Projects\Comcast\Release_for_Test\Test_Build_4.6.6\Server CD\Database\Setup"/>
    <s v="Pass"/>
    <x v="1"/>
    <m/>
    <m/>
    <m/>
    <s v="Rudra Narayan"/>
    <x v="0"/>
  </r>
  <r>
    <x v="148"/>
    <x v="146"/>
    <n v="7"/>
    <x v="7"/>
    <n v="7"/>
    <s v="LQA-UAT"/>
    <x v="8"/>
    <m/>
    <x v="1"/>
    <x v="1"/>
    <x v="0"/>
    <s v="MPE_TWC_3.2.1.5.2.17b1"/>
    <x v="0"/>
    <x v="46"/>
    <m/>
    <x v="0"/>
    <s v="\\192.168.3.3\Share\Releases\Projects\TWC\Release_For_Test\Test_Build_1.0.0.4\Server CD\MPE\Setup"/>
    <s v="Pass"/>
    <x v="1"/>
    <m/>
    <m/>
    <m/>
    <s v="Jitender Aggarwal"/>
    <x v="0"/>
  </r>
  <r>
    <x v="148"/>
    <x v="146"/>
    <n v="7"/>
    <x v="7"/>
    <n v="7"/>
    <s v="IT-LQA-UAT"/>
    <x v="1"/>
    <m/>
    <x v="9"/>
    <x v="0"/>
    <x v="0"/>
    <s v="NPDBS_1.2.3.12b1"/>
    <x v="0"/>
    <x v="23"/>
    <s v="\\192.168.3.3\share\Releases\Product\NetMindPOS_1.1\Build&amp;Release\Release for IT\TestBuild_1.2.3\Server CD\DBS\Setup"/>
    <x v="0"/>
    <s v="\\192.168.3.3\share\Releases\Product\NetMindPOS_1.1\Build&amp;Release\Release for LQA\TestBuild_1.2.3\Server CD\DBS\Setup"/>
    <s v="Pass"/>
    <x v="1"/>
    <m/>
    <m/>
    <m/>
    <s v="Abhishek Leekha"/>
    <x v="0"/>
  </r>
  <r>
    <x v="148"/>
    <x v="146"/>
    <n v="7"/>
    <x v="7"/>
    <n v="7"/>
    <s v="IT-LQA"/>
    <x v="10"/>
    <m/>
    <x v="5"/>
    <x v="0"/>
    <x v="0"/>
    <s v="NMDBS_COM_4.6.1.26.1.60b1"/>
    <x v="0"/>
    <x v="19"/>
    <s v="\\192.168.3.3\Share\Releases\Projects\Comcast\Release_For_IT\Test_Build_4.6.1\Server CD\Database\Setup"/>
    <x v="0"/>
    <s v="\\192.168.3.3\Share\Releases\Projects\Comcast\Release_for_Test\Test_Build_4.6.6\Server CD\Database\Setup"/>
    <m/>
    <x v="1"/>
    <m/>
    <m/>
    <m/>
    <m/>
    <x v="1"/>
  </r>
  <r>
    <x v="148"/>
    <x v="146"/>
    <n v="7"/>
    <x v="7"/>
    <n v="7"/>
    <s v="LQA"/>
    <x v="1"/>
    <m/>
    <x v="8"/>
    <x v="2"/>
    <x v="0"/>
    <s v="WWFSGUI_2.1.30b1"/>
    <x v="0"/>
    <x v="13"/>
    <m/>
    <x v="2"/>
    <s v="\\192.168.3.3\Share\Releases\Product\WEB_WFS\Build&amp;Release\Release For Test\TestBuild_2.1.30\ServerCD\GUI\Setup"/>
    <m/>
    <x v="1"/>
    <m/>
    <m/>
    <m/>
    <m/>
    <x v="2"/>
  </r>
  <r>
    <x v="149"/>
    <x v="147"/>
    <n v="7"/>
    <x v="7"/>
    <n v="7"/>
    <s v="LQA"/>
    <x v="1"/>
    <m/>
    <x v="8"/>
    <x v="2"/>
    <x v="0"/>
    <s v="WWFSGUI_2.1.30b2"/>
    <x v="0"/>
    <x v="33"/>
    <m/>
    <x v="0"/>
    <s v="\\192.168.3.3\Share\Releases\Product\WEB_WFS\Build&amp;Release\Release For Test\TestBuild_2.1.30\ServerCD\GUI\Setup"/>
    <m/>
    <x v="1"/>
    <m/>
    <m/>
    <m/>
    <m/>
    <x v="1"/>
  </r>
  <r>
    <x v="149"/>
    <x v="147"/>
    <n v="7"/>
    <x v="7"/>
    <n v="7"/>
    <s v="IT-LQA"/>
    <x v="1"/>
    <m/>
    <x v="5"/>
    <x v="0"/>
    <x v="0"/>
    <s v="NMDBS_4.6.1.29b1"/>
    <x v="0"/>
    <x v="24"/>
    <s v="\\192.168.3.3\Share\Releases\Product\Netmind_4.6\Build&amp;Release\ReleaseForIT\TestBuild_4.6.1\Build4\ServerCD\DBS\Setup"/>
    <x v="2"/>
    <s v="\\192.168.3.3\Share\Releases\Product\Netmind_4.6\Build&amp;Release\ReleaseForTest\TestBuild_4.6.1\Build4\ServerCD\DBS\Setup"/>
    <m/>
    <x v="1"/>
    <m/>
    <m/>
    <m/>
    <m/>
    <x v="2"/>
  </r>
  <r>
    <x v="149"/>
    <x v="147"/>
    <n v="7"/>
    <x v="7"/>
    <n v="7"/>
    <s v="IT-LQA-UAT"/>
    <x v="1"/>
    <m/>
    <x v="0"/>
    <x v="0"/>
    <x v="0"/>
    <s v="REDBS_1.0.1.26b1 "/>
    <x v="0"/>
    <x v="0"/>
    <s v="\\192.168.3.3\Share\Releases\Product\RE_1.0\ReleaseForIT\TestBuild_1.0.1\DBS\Build4\Setup"/>
    <x v="0"/>
    <s v="\\192.168.3.3\Share\Releases\Product\RE_1.0\ReleaseForLQA\TestBuild_1.0.1\DBS\Build4\Setup"/>
    <s v="Pass"/>
    <x v="1"/>
    <m/>
    <m/>
    <m/>
    <s v="Ravi Gautam"/>
    <x v="0"/>
  </r>
  <r>
    <x v="149"/>
    <x v="147"/>
    <n v="7"/>
    <x v="7"/>
    <n v="7"/>
    <s v="LQA-UAT"/>
    <x v="3"/>
    <m/>
    <x v="1"/>
    <x v="1"/>
    <x v="0"/>
    <s v="MPE_OBT_3.2.1.7.1.22b1"/>
    <x v="0"/>
    <x v="20"/>
    <m/>
    <x v="0"/>
    <s v="\\192.168.3.3\share\Releases\Projects\OBT\Release_For_LQA\TestBuild_1.0.0.6\Server CD\MPE\Setup"/>
    <s v="Pass"/>
    <x v="1"/>
    <m/>
    <m/>
    <m/>
    <s v="Ajay Kumar Pandey"/>
    <x v="0"/>
  </r>
  <r>
    <x v="149"/>
    <x v="147"/>
    <n v="7"/>
    <x v="7"/>
    <n v="7"/>
    <s v="IT-LQA"/>
    <x v="10"/>
    <m/>
    <x v="5"/>
    <x v="0"/>
    <x v="0"/>
    <s v="NMDBS_COM_4.6.1.26.1.63b1"/>
    <x v="0"/>
    <x v="39"/>
    <s v="\\192.168.3.3\Share\Releases\Projects\Comcast\Release_For_IT\Test_Build_4.6.1\Server CD\Database\Setup"/>
    <x v="0"/>
    <s v="\\192.168.3.3\Share\Releases\Projects\Comcast\Release_for_Test\Test_Build_4.6.6\Server CD\Database\Setup"/>
    <m/>
    <x v="1"/>
    <m/>
    <m/>
    <m/>
    <m/>
    <x v="1"/>
  </r>
  <r>
    <x v="149"/>
    <x v="147"/>
    <n v="7"/>
    <x v="7"/>
    <n v="7"/>
    <s v="IT-LQA"/>
    <x v="10"/>
    <m/>
    <x v="5"/>
    <x v="0"/>
    <x v="0"/>
    <s v="NMDBS_COM_4.6.1.26.1.64b1"/>
    <x v="0"/>
    <x v="23"/>
    <s v="\\192.168.3.3\Share\Releases\Projects\Comcast\Release_For_IT\Test_Build_4.6.1\Server CD\Database\Setup"/>
    <x v="0"/>
    <s v="\\192.168.3.3\Share\Releases\Projects\Comcast\Release_for_Test\Test_Build_4.6.6\Server CD\Database\Setup"/>
    <m/>
    <x v="0"/>
    <m/>
    <m/>
    <m/>
    <m/>
    <x v="1"/>
  </r>
  <r>
    <x v="149"/>
    <x v="147"/>
    <n v="7"/>
    <x v="7"/>
    <n v="7"/>
    <s v="IT-LQA"/>
    <x v="10"/>
    <m/>
    <x v="5"/>
    <x v="0"/>
    <x v="0"/>
    <s v="NMDBS_COM_4.6.1.26.1.65b1"/>
    <x v="0"/>
    <x v="23"/>
    <s v="\\192.168.3.3\Share\Releases\Projects\Comcast\Release_For_IT\Test_Build_4.6.1\Server CD\Database\Setup"/>
    <x v="0"/>
    <s v="\\192.168.3.3\Share\Releases\Projects\Comcast\Release_for_Test\Test_Build_4.6.6\Server CD\Database\Setup"/>
    <m/>
    <x v="1"/>
    <m/>
    <m/>
    <m/>
    <m/>
    <x v="1"/>
  </r>
  <r>
    <x v="149"/>
    <x v="147"/>
    <n v="7"/>
    <x v="7"/>
    <n v="7"/>
    <s v="LQA"/>
    <x v="10"/>
    <m/>
    <x v="8"/>
    <x v="2"/>
    <x v="0"/>
    <s v="WWFSGUI_COM_2.1.30.0.1"/>
    <x v="0"/>
    <x v="33"/>
    <m/>
    <x v="0"/>
    <s v="\\192.168.3.3\Share\Releases\Projects\Comcast\Release_for_Test\Test_Build_4.6.6\Server CD\GUI\Setup"/>
    <m/>
    <x v="1"/>
    <m/>
    <m/>
    <m/>
    <m/>
    <x v="1"/>
  </r>
  <r>
    <x v="150"/>
    <x v="148"/>
    <n v="7"/>
    <x v="7"/>
    <n v="7"/>
    <s v="LQA-UAT"/>
    <x v="16"/>
    <m/>
    <x v="5"/>
    <x v="1"/>
    <x v="0"/>
    <s v="NMMPE_TLN_2.0.3.50.3"/>
    <x v="0"/>
    <x v="26"/>
    <m/>
    <x v="0"/>
    <s v="\\192.168.3.3\Share\Releases\Projects\Telenet\Build&amp;Release\Release For Test\Test_Build_4.0.41\Server CD\MPE\Setup"/>
    <s v="Pass"/>
    <x v="1"/>
    <m/>
    <m/>
    <m/>
    <s v="Manas Ranjan Barik"/>
    <x v="0"/>
  </r>
  <r>
    <x v="150"/>
    <x v="148"/>
    <n v="7"/>
    <x v="7"/>
    <n v="7"/>
    <s v="IT-LQA"/>
    <x v="1"/>
    <m/>
    <x v="5"/>
    <x v="0"/>
    <x v="0"/>
    <s v="NMDBS_4.6.1.29b2"/>
    <x v="0"/>
    <x v="24"/>
    <s v="\\192.168.3.3\Share\Releases\Product\Netmind_4.6\Build&amp;Release\ReleaseForIT\TestBuild_4.6.1\Build4\ServerCD\DBS\Setup"/>
    <x v="0"/>
    <s v="\\192.168.3.3\Share\Releases\Product\Netmind_4.6\Build&amp;Release\ReleaseForTest\TestBuild_4.6.1\Build4\ServerCD\DBS\Setup"/>
    <m/>
    <x v="1"/>
    <m/>
    <m/>
    <m/>
    <m/>
    <x v="1"/>
  </r>
  <r>
    <x v="150"/>
    <x v="148"/>
    <n v="7"/>
    <x v="7"/>
    <n v="7"/>
    <s v="IT-LQA"/>
    <x v="10"/>
    <m/>
    <x v="9"/>
    <x v="0"/>
    <x v="0"/>
    <s v="NPDBS_COM_1.2.3.6.1.18b1"/>
    <x v="0"/>
    <x v="54"/>
    <s v="\\192.168.3.3\Share\Releases\Projects\Comcast\Release_For_IT\Test_Build_4.6.1\Server CD\Database\Setup"/>
    <x v="0"/>
    <s v="\\192.168.3.3\Share\Releases\Projects\Comcast\Release_for_Test\Test_Build_4.6.6\Server CD\Database\Setup"/>
    <s v="Pass"/>
    <x v="1"/>
    <m/>
    <m/>
    <m/>
    <m/>
    <x v="0"/>
  </r>
  <r>
    <x v="151"/>
    <x v="149"/>
    <n v="7"/>
    <x v="7"/>
    <n v="7"/>
    <s v="LQA"/>
    <x v="1"/>
    <m/>
    <x v="8"/>
    <x v="2"/>
    <x v="1"/>
    <s v="WWFSGUI_2.1.31b1"/>
    <x v="0"/>
    <x v="33"/>
    <m/>
    <x v="0"/>
    <s v="\\192.168.3.3\Share\Releases\Product\WEB_WFS\Build&amp;Release\Release For Test\TestBuild_2.1.31\ServerCD\GUI\Setup"/>
    <m/>
    <x v="1"/>
    <m/>
    <m/>
    <m/>
    <m/>
    <x v="1"/>
  </r>
  <r>
    <x v="151"/>
    <x v="149"/>
    <n v="7"/>
    <x v="7"/>
    <n v="7"/>
    <s v="LQA"/>
    <x v="10"/>
    <m/>
    <x v="8"/>
    <x v="2"/>
    <x v="1"/>
    <s v="WWFSGUI_COM_2.1.31.0.1"/>
    <x v="0"/>
    <x v="21"/>
    <m/>
    <x v="0"/>
    <s v="\\192.168.3.3\Share\Releases\Projects\Comcast\Release_for_Test\Test_Build_4.6.6\Server CD\GUI\Setup"/>
    <m/>
    <x v="1"/>
    <m/>
    <m/>
    <m/>
    <m/>
    <x v="1"/>
  </r>
  <r>
    <x v="151"/>
    <x v="149"/>
    <n v="7"/>
    <x v="7"/>
    <n v="7"/>
    <s v="LQA-UAT"/>
    <x v="4"/>
    <m/>
    <x v="1"/>
    <x v="1"/>
    <x v="0"/>
    <s v="MPE_TLSTR-2b_3.0.0.3.1.101b1"/>
    <x v="0"/>
    <x v="6"/>
    <m/>
    <x v="0"/>
    <s v="\\192.168.3.3\Share\Releases\Projects\Telstra-2b\Release_For_Test\Test_Build_1.0.0.1\Server CD\MPE\Setup"/>
    <s v="Pass"/>
    <x v="1"/>
    <m/>
    <m/>
    <m/>
    <s v="Ashwani Kumar Sharma"/>
    <x v="0"/>
  </r>
  <r>
    <x v="152"/>
    <x v="150"/>
    <n v="7"/>
    <x v="7"/>
    <n v="7"/>
    <s v="LQA-UAT"/>
    <x v="4"/>
    <m/>
    <x v="1"/>
    <x v="1"/>
    <x v="0"/>
    <s v="MPE_TLSTR-2b_3.0.0.3.1.102b1"/>
    <x v="0"/>
    <x v="11"/>
    <m/>
    <x v="0"/>
    <s v="\\192.168.3.3\Share\Releases\Projects\Telstra-2b\Release_For_Test\Test_Build_1.0.0.1\Server CD\MPE\Setup"/>
    <s v="Pass"/>
    <x v="1"/>
    <m/>
    <m/>
    <m/>
    <s v="Ashwani Kumar Sharma"/>
    <x v="0"/>
  </r>
  <r>
    <x v="152"/>
    <x v="150"/>
    <n v="7"/>
    <x v="7"/>
    <n v="7"/>
    <s v="LQA"/>
    <x v="1"/>
    <m/>
    <x v="9"/>
    <x v="0"/>
    <x v="1"/>
    <s v="NPDBS_1.3.2b1"/>
    <x v="0"/>
    <x v="23"/>
    <m/>
    <x v="2"/>
    <s v="\\192.168.3.3\Share\Releases\Product\NetMindPOS_1.3\Build&amp;Release\Release_For_LQA\Test_Build_1.0.2\Server CD\DBS\Setup"/>
    <m/>
    <x v="0"/>
    <m/>
    <m/>
    <m/>
    <m/>
    <x v="2"/>
  </r>
  <r>
    <x v="152"/>
    <x v="150"/>
    <n v="7"/>
    <x v="7"/>
    <n v="7"/>
    <s v="LQA-UAT"/>
    <x v="1"/>
    <m/>
    <x v="5"/>
    <x v="0"/>
    <x v="1"/>
    <s v="NMDBS_4.7.1b11"/>
    <x v="0"/>
    <x v="24"/>
    <m/>
    <x v="0"/>
    <s v="\\192.168.3.3\Share\Releases\Product\Netmind_4.7\Build&amp;Release\Release_For_LQA\Test_Build_1.0.1\Server CD\DBS\Setup"/>
    <s v="Pass"/>
    <x v="0"/>
    <m/>
    <m/>
    <m/>
    <s v="Jitender Aggarwal"/>
    <x v="0"/>
  </r>
  <r>
    <x v="153"/>
    <x v="151"/>
    <n v="7"/>
    <x v="7"/>
    <n v="7"/>
    <s v="IT-LQA"/>
    <x v="12"/>
    <m/>
    <x v="2"/>
    <x v="0"/>
    <x v="0"/>
    <s v="DMDBS_DRC_2.1.1.7.2.20b1"/>
    <x v="0"/>
    <x v="53"/>
    <s v="\\192.168.3.3\Share\Releases\Projects\DRC\Release_For_IT\Test_Build_1.0.0.3\Server CD\DBS\Setup"/>
    <x v="2"/>
    <s v="\\192.168.3.3\Share\Releases\Projects\DRC\Release_For_LQA\Test_Build_1.0.0.3\Server CD\DBS\Setup"/>
    <m/>
    <x v="1"/>
    <m/>
    <m/>
    <m/>
    <m/>
    <x v="2"/>
  </r>
  <r>
    <x v="153"/>
    <x v="151"/>
    <n v="7"/>
    <x v="7"/>
    <n v="7"/>
    <s v="IT-LQA"/>
    <x v="10"/>
    <m/>
    <x v="5"/>
    <x v="0"/>
    <x v="0"/>
    <s v="NMDBS_COM_4.6.1.26.1.67b1"/>
    <x v="0"/>
    <x v="39"/>
    <s v="\\192.168.3.3\Share\Releases\Projects\Comcast\Release_For_IT\Test_Build_4.6.1\Server CD\Database\Setup"/>
    <x v="0"/>
    <s v="\\192.168.3.3\Share\Releases\Projects\Comcast\Release_for_Test\Test_Build_4.6.6\Server CD\Database\Setup"/>
    <m/>
    <x v="1"/>
    <m/>
    <m/>
    <m/>
    <m/>
    <x v="1"/>
  </r>
  <r>
    <x v="154"/>
    <x v="152"/>
    <n v="8"/>
    <x v="8"/>
    <n v="8"/>
    <s v="LQA"/>
    <x v="1"/>
    <m/>
    <x v="9"/>
    <x v="0"/>
    <x v="1"/>
    <s v="NPDBS_1.3.2b2"/>
    <x v="0"/>
    <x v="23"/>
    <m/>
    <x v="2"/>
    <s v="\\192.168.3.3\Share\Releases\Product\NetMindPOS_1.3\Build&amp;Release\Release_For_LQA\Test_Build_1.0.2\Server CD\DBS\Setup"/>
    <m/>
    <x v="1"/>
    <m/>
    <m/>
    <m/>
    <m/>
    <x v="2"/>
  </r>
  <r>
    <x v="154"/>
    <x v="152"/>
    <n v="8"/>
    <x v="8"/>
    <n v="8"/>
    <s v="IT-LQA-UAT"/>
    <x v="1"/>
    <m/>
    <x v="9"/>
    <x v="0"/>
    <x v="0"/>
    <s v="NPDBS_1.2.3.13b1"/>
    <x v="0"/>
    <x v="54"/>
    <s v="\\192.168.3.3\share\Releases\Product\NetMindPOS_1.1\Build&amp;Release\Release for IT\TestBuild_1.2.3\Server CD\DBS\Setup"/>
    <x v="0"/>
    <s v="\\192.168.3.3\share\Releases\Product\NetMindPOS_1.1\Build&amp;Release\Release for LQA\TestBuild_1.2.3\Server CD\DBS\Setup"/>
    <s v="Pass"/>
    <x v="1"/>
    <m/>
    <m/>
    <m/>
    <s v="Abhishek Leekha"/>
    <x v="0"/>
  </r>
  <r>
    <x v="154"/>
    <x v="152"/>
    <n v="8"/>
    <x v="8"/>
    <n v="8"/>
    <s v="IT-LQA-UAT"/>
    <x v="10"/>
    <m/>
    <x v="9"/>
    <x v="0"/>
    <x v="0"/>
    <s v="NPDBS_COM_1.2.3.6.1.19b1"/>
    <x v="0"/>
    <x v="54"/>
    <s v="\\192.168.3.3\Share\Releases\Projects\Comcast\Release_For_IT\Test_Build_4.6.1\Server CD\Database\Setup"/>
    <x v="0"/>
    <s v="\\192.168.3.3\Share\Releases\Projects\Comcast\Release_for_Test\Test_Build_4.6.6\Server CD\Database\Setup"/>
    <s v="Pass"/>
    <x v="1"/>
    <m/>
    <m/>
    <m/>
    <s v="Abhishek Leekha"/>
    <x v="0"/>
  </r>
  <r>
    <x v="155"/>
    <x v="153"/>
    <n v="8"/>
    <x v="8"/>
    <n v="8"/>
    <s v="IT-LQA-UAT"/>
    <x v="1"/>
    <m/>
    <x v="9"/>
    <x v="0"/>
    <x v="0"/>
    <s v="NPDBS_1.2.3.14b1"/>
    <x v="0"/>
    <x v="23"/>
    <s v="\\192.168.3.3\share\Releases\Product\NetMindPOS_1.1\Build&amp;Release\Release for IT\TestBuild_1.2.3\Server CD\DBS\Setup"/>
    <x v="0"/>
    <s v="\\192.168.3.3\share\Releases\Product\NetMindPOS_1.1\Build&amp;Release\Release for LQA\TestBuild_1.2.3\Server CD\DBS\Setup"/>
    <s v="Pass"/>
    <x v="1"/>
    <m/>
    <m/>
    <m/>
    <s v="Abhishek Leekha"/>
    <x v="0"/>
  </r>
  <r>
    <x v="155"/>
    <x v="153"/>
    <n v="8"/>
    <x v="8"/>
    <n v="8"/>
    <s v="LQA-FAT"/>
    <x v="0"/>
    <m/>
    <x v="1"/>
    <x v="1"/>
    <x v="0"/>
    <s v="MPE_SLT-1B_3.0.1.1.1.83b1"/>
    <x v="0"/>
    <x v="26"/>
    <m/>
    <x v="0"/>
    <s v="\\192.168.3.3\Share\Releases\Projects\SLT-1B\Release_For_Test\Test_Build_1.0.0.1\Server CD\MPE\Setup"/>
    <s v="Pass"/>
    <x v="1"/>
    <m/>
    <m/>
    <m/>
    <s v="K.V. Krishnan"/>
    <x v="0"/>
  </r>
  <r>
    <x v="156"/>
    <x v="154"/>
    <n v="8"/>
    <x v="8"/>
    <n v="8"/>
    <s v="IT-LQA-FAT"/>
    <x v="0"/>
    <m/>
    <x v="2"/>
    <x v="0"/>
    <x v="0"/>
    <s v="DMDBS_SLT_2.0.0.20.1.154b1"/>
    <x v="0"/>
    <x v="44"/>
    <s v="\\192.168.3.3\Share\Releases\Projects\SLT\Release_For_LQA\Test_Build_1.0.0.24\Server CD\DBS\Setup"/>
    <x v="0"/>
    <s v="\\192.168.3.3\Share\Releases\Projects\SLT\Release_For_IT\Test_Build_1.0.0.4\Server CD\DBS\Setup"/>
    <s v="Pass"/>
    <x v="1"/>
    <m/>
    <m/>
    <m/>
    <s v="K.V. Krishnan"/>
    <x v="0"/>
  </r>
  <r>
    <x v="156"/>
    <x v="154"/>
    <n v="8"/>
    <x v="8"/>
    <n v="8"/>
    <s v="IT-LQA"/>
    <x v="12"/>
    <m/>
    <x v="2"/>
    <x v="0"/>
    <x v="0"/>
    <s v="DMDBS_DRC_2.1.1.7.2.21b1"/>
    <x v="0"/>
    <x v="53"/>
    <s v="\\192.168.3.3\Share\Releases\Projects\DRC\Release_For_IT\Test_Build_1.0.0.3\Server CD\DBS\Setup"/>
    <x v="0"/>
    <s v="\\192.168.3.3\Share\Releases\Projects\DRC\Release_For_LQA\Test_Build_1.0.0.3\Server CD\DBS\Setup"/>
    <s v="Pass"/>
    <x v="1"/>
    <m/>
    <m/>
    <m/>
    <m/>
    <x v="0"/>
  </r>
  <r>
    <x v="156"/>
    <x v="154"/>
    <n v="8"/>
    <x v="8"/>
    <n v="8"/>
    <s v="LQA"/>
    <x v="12"/>
    <m/>
    <x v="1"/>
    <x v="1"/>
    <x v="0"/>
    <s v="MPE_DRC_3.2.1.3.2.25b2"/>
    <x v="0"/>
    <x v="41"/>
    <m/>
    <x v="0"/>
    <s v="\\192.168.3.3\Share\Releases\Projects\DRC\Release_For_LQA\Test_Build_1.0.0.3\Server CD\MPE\Setup"/>
    <s v="Pass"/>
    <x v="1"/>
    <m/>
    <m/>
    <m/>
    <m/>
    <x v="0"/>
  </r>
  <r>
    <x v="157"/>
    <x v="155"/>
    <n v="8"/>
    <x v="8"/>
    <n v="8"/>
    <s v="IT-LQA"/>
    <x v="10"/>
    <m/>
    <x v="5"/>
    <x v="0"/>
    <x v="0"/>
    <s v="NMDBS_COM_4.6.1.29.1.68b1"/>
    <x v="0"/>
    <x v="7"/>
    <s v="\\192.168.3.3\Share\Releases\Projects\Comcast\Release_For_IT\Test_Build_4.6.1\Server CD\Database\Setup"/>
    <x v="0"/>
    <s v="\\192.168.3.3\Share\Releases\Projects\Comcast\Release_for_Test\Test_Build_4.6.6\Server CD\Database\Setup"/>
    <m/>
    <x v="1"/>
    <m/>
    <m/>
    <m/>
    <m/>
    <x v="1"/>
  </r>
  <r>
    <x v="157"/>
    <x v="155"/>
    <n v="8"/>
    <x v="8"/>
    <n v="8"/>
    <s v="LQA-UAT"/>
    <x v="1"/>
    <m/>
    <x v="4"/>
    <x v="0"/>
    <x v="1"/>
    <s v="RADBS_2.2.1b1"/>
    <x v="0"/>
    <x v="5"/>
    <m/>
    <x v="0"/>
    <s v="\\192.168.3.3\Share\Releases\Product\RevMind_2.2\Build&amp;Release\Release_For_LQA\Test_Build_1.0.1\Server CD\DBS\Setup"/>
    <s v="Pass"/>
    <x v="0"/>
    <m/>
    <m/>
    <m/>
    <m/>
    <x v="0"/>
  </r>
  <r>
    <x v="157"/>
    <x v="155"/>
    <n v="8"/>
    <x v="8"/>
    <n v="8"/>
    <s v="LQA"/>
    <x v="1"/>
    <m/>
    <x v="8"/>
    <x v="2"/>
    <x v="0"/>
    <s v="WWFSGUI_2.2.1.2b1"/>
    <x v="0"/>
    <x v="40"/>
    <m/>
    <x v="0"/>
    <s v="\\192.168.3.3\Share\Releases\Product\WEB_WFS\Build&amp;Release\Release For Test\TestBuild_2.2.1\Build4\ServerCD\GUI\Setup"/>
    <m/>
    <x v="1"/>
    <m/>
    <m/>
    <m/>
    <m/>
    <x v="1"/>
  </r>
  <r>
    <x v="157"/>
    <x v="155"/>
    <n v="8"/>
    <x v="8"/>
    <n v="8"/>
    <s v="LQA"/>
    <x v="1"/>
    <m/>
    <x v="17"/>
    <x v="2"/>
    <x v="1"/>
    <s v="CSGUI_2.6.1b1"/>
    <x v="0"/>
    <x v="40"/>
    <m/>
    <x v="0"/>
    <s v="\\192.168.3.3\Share\Releases\Product\CSGUI_2.6\Build&amp;Release\Release_For_LQA\Test_Build_1.0.1\Server CD\GUI\Setup"/>
    <m/>
    <x v="0"/>
    <m/>
    <m/>
    <m/>
    <m/>
    <x v="1"/>
  </r>
  <r>
    <x v="157"/>
    <x v="155"/>
    <n v="8"/>
    <x v="8"/>
    <n v="8"/>
    <s v="LQA"/>
    <x v="4"/>
    <m/>
    <x v="11"/>
    <x v="6"/>
    <x v="1"/>
    <s v="UTLIM_TLSTR_1.0.0.70"/>
    <x v="0"/>
    <x v="34"/>
    <m/>
    <x v="0"/>
    <s v="\\192.168.3.3\Share\Releases\Projects\Telstra\Release_For_LQA\Test_Build_1.0.0.18\Utility\Setup"/>
    <m/>
    <x v="1"/>
    <m/>
    <m/>
    <m/>
    <m/>
    <x v="1"/>
  </r>
  <r>
    <x v="157"/>
    <x v="155"/>
    <n v="8"/>
    <x v="8"/>
    <n v="8"/>
    <s v="IT-LQA"/>
    <x v="1"/>
    <m/>
    <x v="11"/>
    <x v="6"/>
    <x v="1"/>
    <s v="UTLSUBPRT_1.0.1"/>
    <x v="0"/>
    <x v="5"/>
    <s v="\\192.168.3.3\Share\Releases\Product\UTL_SUBPRT\Release_For_IT\TestBuild_1.0.0.1\Utility\DBS\Setup"/>
    <x v="0"/>
    <s v="\\192.168.3.3\Share\Releases\Product\UTL_SUBPRT\Release_For_Test\TestBuild_1.0.0.1\Utility\DBS\Setup"/>
    <m/>
    <x v="1"/>
    <m/>
    <m/>
    <m/>
    <m/>
    <x v="1"/>
  </r>
  <r>
    <x v="157"/>
    <x v="155"/>
    <n v="8"/>
    <x v="8"/>
    <n v="8"/>
    <s v="IT-LQA-UAT"/>
    <x v="1"/>
    <m/>
    <x v="9"/>
    <x v="0"/>
    <x v="0"/>
    <s v="NPDBS_1.2.3.15b1"/>
    <x v="0"/>
    <x v="23"/>
    <s v="\\192.168.3.3\share\Releases\Product\NetMindPOS_1.1\Build&amp;Release\Release for IT\TestBuild_1.2.3\Server CD\DBS\Setup"/>
    <x v="0"/>
    <s v="\\192.168.3.3\share\Releases\Product\NetMindPOS_1.1\Build&amp;Release\Release for LQA\TestBuild_1.2.3\Server CD\DBS\Setup"/>
    <s v="Pass"/>
    <x v="1"/>
    <m/>
    <m/>
    <m/>
    <s v="Abhishek Leekha"/>
    <x v="0"/>
  </r>
  <r>
    <x v="157"/>
    <x v="155"/>
    <n v="8"/>
    <x v="8"/>
    <n v="8"/>
    <s v="IT-LQA-UAT"/>
    <x v="10"/>
    <m/>
    <x v="9"/>
    <x v="0"/>
    <x v="0"/>
    <s v="NPDBS_COM_1.2.3.6.1.20b1"/>
    <x v="0"/>
    <x v="54"/>
    <s v="\\192.168.3.3\Share\Releases\Projects\Comcast\Release_For_IT\Test_Build_4.6.1\Server CD\Database\Setup"/>
    <x v="0"/>
    <s v="\\192.168.3.3\Share\Releases\Projects\Comcast\Release_for_Test\Test_Build_4.6.6\Server CD\Database\Setup"/>
    <s v="Pass"/>
    <x v="1"/>
    <m/>
    <m/>
    <m/>
    <s v="Abhishek Leekha"/>
    <x v="0"/>
  </r>
  <r>
    <x v="158"/>
    <x v="156"/>
    <n v="8"/>
    <x v="8"/>
    <n v="8"/>
    <s v="LQA-UAT"/>
    <x v="0"/>
    <m/>
    <x v="1"/>
    <x v="1"/>
    <x v="0"/>
    <s v="MPE_SLT-1B_3.0.1.1.1.84b1"/>
    <x v="0"/>
    <x v="10"/>
    <m/>
    <x v="0"/>
    <s v="\\192.168.3.3\Share\Releases\Projects\SLT-1B\Release_For_Test\Test_Build_1.0.0.1\Server CD\MPE\Setup"/>
    <s v="Pass"/>
    <x v="1"/>
    <m/>
    <m/>
    <m/>
    <s v="K.V. Krishnan"/>
    <x v="0"/>
  </r>
  <r>
    <x v="159"/>
    <x v="157"/>
    <n v="8"/>
    <x v="8"/>
    <n v="8"/>
    <s v="LQA-UAT"/>
    <x v="1"/>
    <m/>
    <x v="1"/>
    <x v="1"/>
    <x v="0"/>
    <s v="MPE_3.2.1.7b1"/>
    <x v="0"/>
    <x v="20"/>
    <m/>
    <x v="0"/>
    <s v="\\192.168.3.3\Share\Releases\Product\MPE_3.2\ReleaseForLQA\TestBuild_3.2.1\Build2\ServerCD\Setup\RHEL_5.1"/>
    <s v="Pass"/>
    <x v="1"/>
    <m/>
    <m/>
    <m/>
    <m/>
    <x v="0"/>
  </r>
  <r>
    <x v="159"/>
    <x v="157"/>
    <n v="8"/>
    <x v="8"/>
    <n v="8"/>
    <s v="LQA-UAT"/>
    <x v="1"/>
    <m/>
    <x v="1"/>
    <x v="1"/>
    <x v="0"/>
    <s v="MPE_3.2.1.8b1"/>
    <x v="0"/>
    <x v="20"/>
    <m/>
    <x v="0"/>
    <s v="\\192.168.3.3\Share\Releases\Product\MPE_3.2\ReleaseForLQA\TestBuild_3.2.1\Build2\ServerCD\Setup\RHEL_5.2"/>
    <s v="Pass"/>
    <x v="1"/>
    <m/>
    <m/>
    <m/>
    <s v="Ajay Kumar Pandey"/>
    <x v="0"/>
  </r>
  <r>
    <x v="160"/>
    <x v="158"/>
    <n v="8"/>
    <x v="8"/>
    <n v="8"/>
    <s v="IT-LQA-UAT"/>
    <x v="3"/>
    <m/>
    <x v="5"/>
    <x v="0"/>
    <x v="0"/>
    <s v="NMDBS_OBT_4.6.1.27.1.37b1"/>
    <x v="0"/>
    <x v="4"/>
    <s v="\\192.168.3.3\Share\Releases\Projects\OBT\Release_For_IT\TestBuild_1.0.0.2\Server CD\DBS\Setup"/>
    <x v="0"/>
    <s v="\\192.168.3.3\Share\Releases\Projects\OBT\Release_For_LQA\TestBuild_1.0.0.6\Server CD\DBS\Setup"/>
    <s v="Pass"/>
    <x v="0"/>
    <m/>
    <m/>
    <m/>
    <s v="Ajay Kumar Pandey"/>
    <x v="0"/>
  </r>
  <r>
    <x v="160"/>
    <x v="158"/>
    <n v="8"/>
    <x v="8"/>
    <n v="8"/>
    <s v="LQA-UAT"/>
    <x v="3"/>
    <m/>
    <x v="1"/>
    <x v="1"/>
    <x v="0"/>
    <s v="MPE_OBT_3.2.1.8.1.23b1"/>
    <x v="0"/>
    <x v="20"/>
    <m/>
    <x v="0"/>
    <s v="\\192.168.3.3\share\Releases\Projects\OBT\Release_For_LQA\TestBuild_1.0.0.6\Server CD\MPE\Setup"/>
    <s v="Pass"/>
    <x v="1"/>
    <m/>
    <m/>
    <m/>
    <s v="Ajay Kumar Pandey"/>
    <x v="0"/>
  </r>
  <r>
    <x v="160"/>
    <x v="158"/>
    <n v="8"/>
    <x v="8"/>
    <n v="8"/>
    <s v="IT-LQA-UAT"/>
    <x v="1"/>
    <m/>
    <x v="4"/>
    <x v="0"/>
    <x v="0"/>
    <s v="RADBS_2.1.1.15b1"/>
    <x v="0"/>
    <x v="5"/>
    <s v="\\192.168.3.3\Share\Releases\Product\RevMind_2.1\Build&amp;Release\Release_For_IT\TestBuild_1.0.1\Server CD\DBS\Setup"/>
    <x v="0"/>
    <s v="\\192.168.3.3\Share\Releases\Product\RevMind_2.1\Build&amp;Release\Release_For_LQA\Test_Build_1.0.2\Server CD\DBS\Setup"/>
    <s v="Pass"/>
    <x v="1"/>
    <m/>
    <m/>
    <m/>
    <s v="K.V. Krishnan"/>
    <x v="0"/>
  </r>
  <r>
    <x v="160"/>
    <x v="158"/>
    <n v="8"/>
    <x v="8"/>
    <n v="8"/>
    <s v="IT-LQA-UAT"/>
    <x v="3"/>
    <m/>
    <x v="5"/>
    <x v="0"/>
    <x v="0"/>
    <s v="NMDBS_OBT_4.6.1.27.1.38b1"/>
    <x v="0"/>
    <x v="53"/>
    <s v="\\192.168.3.3\Share\Releases\Projects\OBT\Release_For_IT\TestBuild_1.0.0.2\Server CD\DBS\Setup"/>
    <x v="0"/>
    <s v="\\192.168.3.3\Share\Releases\Projects\OBT\Release_For_LQA\TestBuild_1.0.0.6\Server CD\DBS\Setup"/>
    <s v="Pass"/>
    <x v="1"/>
    <m/>
    <m/>
    <m/>
    <s v="Ajay Kumar Pandey"/>
    <x v="0"/>
  </r>
  <r>
    <x v="161"/>
    <x v="159"/>
    <n v="8"/>
    <x v="8"/>
    <n v="8"/>
    <s v="IT-LQA"/>
    <x v="0"/>
    <m/>
    <x v="2"/>
    <x v="0"/>
    <x v="0"/>
    <s v="DMDBS_SLT_2.0.0.23.1.155b1"/>
    <x v="0"/>
    <x v="0"/>
    <s v="\\192.168.3.3\Share\Releases\Projects\SLT\Release_For_IT\Test_Build_1.0.0.4\Server CD\DBS\Setup"/>
    <x v="2"/>
    <s v="\\192.168.3.3\Share\Releases\Projects\SLT\Release_For_LQA\Test_Build_1.0.0.24\Server CD\DBS\Setup"/>
    <m/>
    <x v="1"/>
    <m/>
    <m/>
    <m/>
    <m/>
    <x v="2"/>
  </r>
  <r>
    <x v="161"/>
    <x v="159"/>
    <n v="8"/>
    <x v="8"/>
    <n v="8"/>
    <s v="IT-LQA-UAT"/>
    <x v="10"/>
    <m/>
    <x v="5"/>
    <x v="0"/>
    <x v="0"/>
    <s v="NMDBS_COM_4.6.1.26.1.66b1"/>
    <x v="0"/>
    <x v="39"/>
    <s v="\\192.168.3.3\Share\Releases\Projects\Comcast\Release_For_IT\Test_Build_4.6.1\Server CD\Database\Setup"/>
    <x v="0"/>
    <s v="\\192.168.3.3\Share\Releases\Projects\Comcast\Release_for_Test\Test_Build_4.6.6\Server CD\Database\Setup"/>
    <s v="Pass"/>
    <x v="1"/>
    <m/>
    <m/>
    <m/>
    <s v="Rudra Narayan"/>
    <x v="0"/>
  </r>
  <r>
    <x v="161"/>
    <x v="159"/>
    <n v="8"/>
    <x v="8"/>
    <n v="8"/>
    <s v="IT-LQA"/>
    <x v="8"/>
    <m/>
    <x v="5"/>
    <x v="0"/>
    <x v="0"/>
    <s v="NMDBS_TWC_4.6.1.11.3.43b1"/>
    <x v="0"/>
    <x v="19"/>
    <s v="\\192.168.3.3\Share\Releases\Projects\TWC\Release_For_IT\Test_Build_1.0.0.3\Server CD\DBS\Setup"/>
    <x v="2"/>
    <s v="\\192.168.3.3\Share\Releases\Projects\TWC\Release_For_Test\Test_Build_1.0.0.4\Server CD\DBS\Setup"/>
    <m/>
    <x v="1"/>
    <m/>
    <m/>
    <m/>
    <m/>
    <x v="2"/>
  </r>
  <r>
    <x v="161"/>
    <x v="159"/>
    <n v="8"/>
    <x v="8"/>
    <n v="8"/>
    <s v="LQA-UAT"/>
    <x v="4"/>
    <m/>
    <x v="1"/>
    <x v="1"/>
    <x v="0"/>
    <s v="MPE_TLSTR-2b_3.0.0.3.1.103b1"/>
    <x v="0"/>
    <x v="11"/>
    <m/>
    <x v="0"/>
    <s v="\\192.168.3.3\Share\Releases\Projects\Telstra-2b\Release_For_Test\Test_Build_1.0.0.1\Server CD\MPE\Setup"/>
    <s v="Pass"/>
    <x v="1"/>
    <m/>
    <m/>
    <m/>
    <s v="Vijay Singh Daagar"/>
    <x v="0"/>
  </r>
  <r>
    <x v="162"/>
    <x v="160"/>
    <n v="8"/>
    <x v="8"/>
    <n v="8"/>
    <s v="LQA-FAT"/>
    <x v="0"/>
    <m/>
    <x v="1"/>
    <x v="1"/>
    <x v="0"/>
    <s v="MPE_SLT-1B_3.0.1.1.1.85b1"/>
    <x v="0"/>
    <x v="10"/>
    <m/>
    <x v="0"/>
    <s v="\\192.168.3.3\Share\Releases\Projects\SLT-1B\Release_For_Test\Test_Build_1.0.0.1\Server CD\MPE\Setup"/>
    <s v="Pass"/>
    <x v="1"/>
    <m/>
    <m/>
    <m/>
    <s v="K.V. Krishnan"/>
    <x v="0"/>
  </r>
  <r>
    <x v="162"/>
    <x v="160"/>
    <n v="8"/>
    <x v="8"/>
    <n v="8"/>
    <s v="IT-LQA-UAT"/>
    <x v="0"/>
    <m/>
    <x v="2"/>
    <x v="0"/>
    <x v="0"/>
    <s v="DMDBS_SLT_2.0.0.23.1.155b2"/>
    <x v="0"/>
    <x v="0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62"/>
    <x v="160"/>
    <n v="8"/>
    <x v="8"/>
    <n v="8"/>
    <s v="LQA-UAT"/>
    <x v="8"/>
    <m/>
    <x v="1"/>
    <x v="1"/>
    <x v="0"/>
    <s v="MPE_TWC_3.2.1.5.2.18b1"/>
    <x v="0"/>
    <x v="43"/>
    <m/>
    <x v="0"/>
    <s v="\\192.168.3.3\Share\Releases\Projects\TWC\Release_For_Test\Test_Build_1.0.0.4\Server CD\MPE\Setup"/>
    <s v="Pass"/>
    <x v="0"/>
    <m/>
    <m/>
    <m/>
    <s v="Jitender Aggarwal"/>
    <x v="0"/>
  </r>
  <r>
    <x v="162"/>
    <x v="160"/>
    <n v="8"/>
    <x v="8"/>
    <n v="8"/>
    <s v="IT-LQA"/>
    <x v="4"/>
    <m/>
    <x v="5"/>
    <x v="0"/>
    <x v="0"/>
    <s v="NMDBS_TLSTR_4.0.1.0.4.309b1"/>
    <x v="0"/>
    <x v="9"/>
    <s v="\\192.168.3.3\Share\Releases\Projects\Telstra\Release_For_IT\Test_Build_1.0.0.18\Server CD\DBS\Setup"/>
    <x v="2"/>
    <s v="\\192.168.3.3\Share\Releases\Projects\Telstra\Release_For_LQA\Test_Build_1.0.0.18\Server CD\DBS\Setup"/>
    <m/>
    <x v="1"/>
    <m/>
    <m/>
    <m/>
    <m/>
    <x v="2"/>
  </r>
  <r>
    <x v="163"/>
    <x v="161"/>
    <n v="8"/>
    <x v="8"/>
    <n v="9"/>
    <s v="IT-LQA-UAT"/>
    <x v="10"/>
    <m/>
    <x v="5"/>
    <x v="0"/>
    <x v="0"/>
    <s v="NMDBS_COM_4.6.1.29.1.69b1"/>
    <x v="0"/>
    <x v="39"/>
    <s v="\\192.168.3.3\Share\Releases\Projects\Comcast\Release_For_IT\Test_Build_4.6.1\Server CD\Database\Setup"/>
    <x v="0"/>
    <s v="\\192.168.3.3\Share\Releases\Projects\Comcast\Release_for_Test\Test_Build_4.6.6\Server CD\Database\Setup"/>
    <s v="Pass"/>
    <x v="1"/>
    <m/>
    <m/>
    <m/>
    <s v="Rudra Narayan"/>
    <x v="0"/>
  </r>
  <r>
    <x v="164"/>
    <x v="162"/>
    <n v="8"/>
    <x v="8"/>
    <n v="8"/>
    <s v="LQA"/>
    <x v="0"/>
    <m/>
    <x v="1"/>
    <x v="1"/>
    <x v="0"/>
    <s v="MPE_SLT-1B_3.0.1.1.1.86b1"/>
    <x v="0"/>
    <x v="1"/>
    <m/>
    <x v="2"/>
    <s v="\\192.168.3.3\Share\Releases\Projects\SLT-1B\Release_For_Test\Test_Build_1.0.0.1\Server CD\MPE\Setup"/>
    <m/>
    <x v="1"/>
    <m/>
    <m/>
    <m/>
    <m/>
    <x v="2"/>
  </r>
  <r>
    <x v="165"/>
    <x v="163"/>
    <n v="8"/>
    <x v="8"/>
    <n v="8"/>
    <s v="LQA"/>
    <x v="1"/>
    <m/>
    <x v="7"/>
    <x v="2"/>
    <x v="0"/>
    <s v="RTGUI_4.0.27.1b1"/>
    <x v="0"/>
    <x v="16"/>
    <m/>
    <x v="0"/>
    <s v="\\192.168.3.3\Share\Releases\Product\RT_4.0\ReleaseForLQA\TestBuild_4.0.24\GUI\Build1\Setup "/>
    <m/>
    <x v="1"/>
    <m/>
    <m/>
    <m/>
    <m/>
    <x v="1"/>
  </r>
  <r>
    <x v="165"/>
    <x v="163"/>
    <n v="8"/>
    <x v="8"/>
    <n v="8"/>
    <s v="LQA"/>
    <x v="0"/>
    <m/>
    <x v="7"/>
    <x v="2"/>
    <x v="0"/>
    <s v="RTGUI_SLT_4.0.27.1.2 "/>
    <x v="0"/>
    <x v="16"/>
    <m/>
    <x v="0"/>
    <s v="\\192.168.3.3\Share\Releases\Projects\SLT\Release_For_LQA\Test_Build_1.0.0.24\Server CD\GUI\Setup"/>
    <m/>
    <x v="1"/>
    <m/>
    <m/>
    <m/>
    <m/>
    <x v="1"/>
  </r>
  <r>
    <x v="165"/>
    <x v="163"/>
    <n v="8"/>
    <x v="8"/>
    <n v="8"/>
    <s v="IT-LQA"/>
    <x v="1"/>
    <m/>
    <x v="7"/>
    <x v="0"/>
    <x v="0"/>
    <s v="RTDBS_4.0.1.21b3"/>
    <x v="0"/>
    <x v="5"/>
    <s v="\\192.168.3.3\Share\Releases\Product\RT_4.0\ReleaseForIT\TestBuild_4.0.3\DBS\Setup"/>
    <x v="0"/>
    <s v="\\192.168.3.3\Share\Releases\Product\RT_4.0\ReleaseForLQA\TestBuild_4.0.24\DBS\Setup"/>
    <s v="Pass"/>
    <x v="1"/>
    <m/>
    <m/>
    <m/>
    <m/>
    <x v="0"/>
  </r>
  <r>
    <x v="165"/>
    <x v="163"/>
    <n v="8"/>
    <x v="8"/>
    <n v="8"/>
    <s v="LQA-UAT"/>
    <x v="4"/>
    <m/>
    <x v="1"/>
    <x v="1"/>
    <x v="0"/>
    <s v="MPE_TLSTR-2b_3.0.0.3.1.104b1"/>
    <x v="0"/>
    <x v="11"/>
    <m/>
    <x v="0"/>
    <s v="\\192.168.3.3\Share\Releases\Projects\Telstra-2b\Release_For_Test\Test_Build_1.0.0.1\Server CD\MPE\Setup"/>
    <s v="Pass"/>
    <x v="1"/>
    <m/>
    <m/>
    <m/>
    <s v="Vijay Singh Daagar"/>
    <x v="0"/>
  </r>
  <r>
    <x v="166"/>
    <x v="164"/>
    <n v="8"/>
    <x v="8"/>
    <n v="8"/>
    <s v="IT-LQA-FAT"/>
    <x v="0"/>
    <m/>
    <x v="2"/>
    <x v="0"/>
    <x v="0"/>
    <s v="DMDBS_SLT_2.0.0.23.1.156b1"/>
    <x v="0"/>
    <x v="0"/>
    <s v="\\192.168.3.3\Share\Releases\Projects\SLT\Release_For_IT\Test_Build_1.0.0.4\Server CD\DBS\Setup"/>
    <x v="0"/>
    <s v="\\192.168.3.3\Share\Releases\Projects\SLT\Release_For_LQA\Test_Build_1.0.0.24\Server CD\DBS\Setup"/>
    <s v="Pass"/>
    <x v="0"/>
    <m/>
    <m/>
    <m/>
    <s v="K.V. Krishnan"/>
    <x v="0"/>
  </r>
  <r>
    <x v="166"/>
    <x v="164"/>
    <n v="8"/>
    <x v="8"/>
    <n v="8"/>
    <s v="IT-LQA-UAT"/>
    <x v="4"/>
    <m/>
    <x v="5"/>
    <x v="0"/>
    <x v="0"/>
    <s v="NMDBS_TLSTR_4.0.1.0.4.309b2"/>
    <x v="0"/>
    <x v="9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Abrar Khan"/>
    <x v="0"/>
  </r>
  <r>
    <x v="167"/>
    <x v="165"/>
    <n v="8"/>
    <x v="8"/>
    <n v="8"/>
    <s v="IT-LQA-UAT"/>
    <x v="0"/>
    <m/>
    <x v="2"/>
    <x v="0"/>
    <x v="0"/>
    <s v="DMDBS_SLT_2.0.0.23.1.157b1"/>
    <x v="0"/>
    <x v="0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67"/>
    <x v="165"/>
    <n v="8"/>
    <x v="8"/>
    <n v="8"/>
    <s v="IT-LQA-UAT"/>
    <x v="0"/>
    <m/>
    <x v="2"/>
    <x v="0"/>
    <x v="0"/>
    <s v="DMDBS_SLT_2.0.0.23.1.158b1"/>
    <x v="0"/>
    <x v="0"/>
    <s v="\\192.168.3.3\Share\Releases\Projects\SLT\Release_For_IT\Test_Build_1.0.0.4\Server CD\DBS\Setup"/>
    <x v="0"/>
    <s v="\\192.168.3.3\Share\Releases\Projects\SLT\Release_For_LQA\Test_Build_1.0.0.24\Server CD\DBS\Setup"/>
    <s v="Pass"/>
    <x v="0"/>
    <m/>
    <m/>
    <m/>
    <s v="K.V. Krishnan"/>
    <x v="0"/>
  </r>
  <r>
    <x v="167"/>
    <x v="165"/>
    <n v="8"/>
    <x v="8"/>
    <n v="8"/>
    <s v="LQA-UAT"/>
    <x v="8"/>
    <m/>
    <x v="1"/>
    <x v="1"/>
    <x v="0"/>
    <s v="MPE_TWC_3.2.1.5.2.19b1"/>
    <x v="0"/>
    <x v="43"/>
    <m/>
    <x v="0"/>
    <s v="\\192.168.3.3\Share\Releases\Projects\TWC\Release_For_Test\Test_Build_1.0.0.4\Server CD\MPE\Setup"/>
    <s v="Pass"/>
    <x v="1"/>
    <m/>
    <m/>
    <m/>
    <s v="Ajay Kumar Pandey"/>
    <x v="0"/>
  </r>
  <r>
    <x v="167"/>
    <x v="165"/>
    <n v="8"/>
    <x v="8"/>
    <n v="8"/>
    <s v="IT-LQA-UAT"/>
    <x v="0"/>
    <m/>
    <x v="4"/>
    <x v="0"/>
    <x v="0"/>
    <s v="RADBS_SLT_2.1.1.12.1.76b1"/>
    <x v="0"/>
    <x v="0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67"/>
    <x v="165"/>
    <n v="8"/>
    <x v="8"/>
    <n v="8"/>
    <s v="LQA-UAT"/>
    <x v="0"/>
    <m/>
    <x v="1"/>
    <x v="1"/>
    <x v="0"/>
    <s v="MPE_SLT-1B_3.0.1.1.1.87b1"/>
    <x v="0"/>
    <x v="26"/>
    <m/>
    <x v="0"/>
    <s v="\\192.168.3.3\Share\Releases\Projects\SLT-1B\Release_For_Test\Test_Build_1.0.0.1\Server CD\MPE\Setup"/>
    <s v="Pass"/>
    <x v="1"/>
    <m/>
    <m/>
    <m/>
    <s v="K.V. Krishnan"/>
    <x v="0"/>
  </r>
  <r>
    <x v="167"/>
    <x v="165"/>
    <n v="8"/>
    <x v="8"/>
    <n v="8"/>
    <s v="IT-LQA-FAT"/>
    <x v="0"/>
    <m/>
    <x v="2"/>
    <x v="0"/>
    <x v="0"/>
    <s v="DMDBS_SLT_2.0.0.23.1.159b1"/>
    <x v="0"/>
    <x v="0"/>
    <s v="\\192.168.3.3\Share\Releases\Projects\SLT\Release_For_IT\Test_Build_1.0.0.4\Server CD\DBS\Setup"/>
    <x v="0"/>
    <s v="\\192.168.3.3\Share\Releases\Projects\SLT\Release_For_LQA\Test_Build_1.0.0.24\Server CD\DBS\Setup"/>
    <s v="Pass"/>
    <x v="0"/>
    <m/>
    <m/>
    <m/>
    <s v="K.V. Krishnan"/>
    <x v="0"/>
  </r>
  <r>
    <x v="167"/>
    <x v="165"/>
    <n v="8"/>
    <x v="8"/>
    <n v="8"/>
    <s v="LQA-UAT"/>
    <x v="3"/>
    <m/>
    <x v="1"/>
    <x v="1"/>
    <x v="0"/>
    <s v="MPE_OBT_3.2.1.8.1.24b1"/>
    <x v="0"/>
    <x v="20"/>
    <m/>
    <x v="0"/>
    <s v="\\192.168.3.3\share\Releases\Projects\OBT\Release_For_LQA\TestBuild_1.0.0.6\Server CD\MPE\Setup"/>
    <s v="Pass"/>
    <x v="1"/>
    <m/>
    <m/>
    <m/>
    <s v="Ajay Kumar Pandey"/>
    <x v="0"/>
  </r>
  <r>
    <x v="167"/>
    <x v="165"/>
    <n v="8"/>
    <x v="8"/>
    <n v="8"/>
    <s v="IT-LQA"/>
    <x v="1"/>
    <m/>
    <x v="5"/>
    <x v="0"/>
    <x v="0"/>
    <s v="NMDBS_4.6.1.30b1"/>
    <x v="0"/>
    <x v="55"/>
    <s v="\\192.168.3.3\Share\Releases\Product\Netmind_4.6\Build&amp;Release\ReleaseForIT\TestBuild_4.6.1\Build4\ServerCD\DBS\Setup"/>
    <x v="0"/>
    <s v="\\192.168.3.3\Share\Releases\Product\Netmind_4.6\Build&amp;Release\ReleaseForTest\TestBuild_4.6.1\Build4\ServerCD\DBS\Setup"/>
    <s v="Pass"/>
    <x v="1"/>
    <m/>
    <m/>
    <m/>
    <s v="Rudra Narayan"/>
    <x v="0"/>
  </r>
  <r>
    <x v="167"/>
    <x v="165"/>
    <n v="8"/>
    <x v="8"/>
    <n v="8"/>
    <s v="IT-LQA"/>
    <x v="10"/>
    <m/>
    <x v="9"/>
    <x v="0"/>
    <x v="0"/>
    <s v="NPDBS_COM_1.2.3.15.1.21b1"/>
    <x v="0"/>
    <x v="54"/>
    <s v="\\192.168.3.3\Share\Releases\Projects\Comcast\Release_For_IT\Test_Build_4.6.1\Server CD\Database\Setup"/>
    <x v="2"/>
    <s v="\\192.168.3.3\Share\Releases\Projects\Comcast\Release_for_Test\Test_Build_4.6.6\Server CD\Database\Setup"/>
    <m/>
    <x v="1"/>
    <m/>
    <m/>
    <m/>
    <m/>
    <x v="2"/>
  </r>
  <r>
    <x v="167"/>
    <x v="165"/>
    <n v="8"/>
    <x v="8"/>
    <n v="8"/>
    <s v="LQA"/>
    <x v="1"/>
    <m/>
    <x v="8"/>
    <x v="2"/>
    <x v="1"/>
    <s v="WWFSGUI_2.1.32b2"/>
    <x v="0"/>
    <x v="21"/>
    <m/>
    <x v="0"/>
    <s v="\\192.168.3.3\Share\Releases\Product\WEB_WFS\Build&amp;Release\Release For Test\TestBuild_2.1.32\ServerCD\GUI\Setup"/>
    <m/>
    <x v="1"/>
    <m/>
    <m/>
    <m/>
    <m/>
    <x v="1"/>
  </r>
  <r>
    <x v="167"/>
    <x v="165"/>
    <n v="8"/>
    <x v="8"/>
    <n v="8"/>
    <s v="LQA-UAT"/>
    <x v="10"/>
    <m/>
    <x v="8"/>
    <x v="2"/>
    <x v="1"/>
    <s v="WWFSGUI_COM_2.1.32.0.1"/>
    <x v="0"/>
    <x v="21"/>
    <m/>
    <x v="0"/>
    <s v="\\192.168.3.3\Share\Releases\Projects\Comcast\Release_for_Test\Test_Build_4.6.6\Server CD\GUI\Setup "/>
    <s v="Pass"/>
    <x v="0"/>
    <m/>
    <m/>
    <m/>
    <s v="Rudra Narayan"/>
    <x v="0"/>
  </r>
  <r>
    <x v="168"/>
    <x v="166"/>
    <n v="8"/>
    <x v="8"/>
    <n v="8"/>
    <s v="IT-LQA-UAT"/>
    <x v="0"/>
    <m/>
    <x v="4"/>
    <x v="0"/>
    <x v="0"/>
    <s v="RADBS_SLT_2.1.1.12.1.77b1"/>
    <x v="0"/>
    <x v="0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Sureya N Behra"/>
    <x v="0"/>
  </r>
  <r>
    <x v="168"/>
    <x v="166"/>
    <n v="8"/>
    <x v="8"/>
    <n v="8"/>
    <s v="IT-LQA-FAT"/>
    <x v="0"/>
    <m/>
    <x v="2"/>
    <x v="0"/>
    <x v="0"/>
    <s v="DMDBS_SLT_2.0.0.23.1.160b1"/>
    <x v="0"/>
    <x v="0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Sureya N Behra"/>
    <x v="0"/>
  </r>
  <r>
    <x v="168"/>
    <x v="166"/>
    <n v="8"/>
    <x v="8"/>
    <n v="8"/>
    <s v="LQA-UAT"/>
    <x v="0"/>
    <m/>
    <x v="1"/>
    <x v="1"/>
    <x v="0"/>
    <s v="MPE_SLT-1B_3.0.1.1.1.86b2"/>
    <x v="0"/>
    <x v="26"/>
    <m/>
    <x v="0"/>
    <s v="\\192.168.3.3\Share\Releases\Projects\SLT-1B\Release_For_Test\Test_Build_1.0.0.1\Server CD\MPE\Setup"/>
    <s v="Pass"/>
    <x v="0"/>
    <m/>
    <m/>
    <m/>
    <s v="K.V. Krishnan"/>
    <x v="0"/>
  </r>
  <r>
    <x v="168"/>
    <x v="166"/>
    <n v="8"/>
    <x v="8"/>
    <n v="8"/>
    <s v="IT-LQA-UAT"/>
    <x v="10"/>
    <m/>
    <x v="5"/>
    <x v="0"/>
    <x v="0"/>
    <s v=" NMDBS_COM_4.6.1.29.1.70b1"/>
    <x v="0"/>
    <x v="7"/>
    <s v="\\192.168.3.3\Share\Releases\Projects\Comcast\Release_For_IT\Test_Build_4.6.1\Server CD\Database\Setup"/>
    <x v="0"/>
    <s v="\\192.168.3.3\Share\Releases\Projects\Comcast\Release_for_Test\Test_Build_4.6.6\Server CD\Database\Setup"/>
    <s v="Pass"/>
    <x v="1"/>
    <m/>
    <m/>
    <m/>
    <s v="Rudra Narayan"/>
    <x v="0"/>
  </r>
  <r>
    <x v="168"/>
    <x v="166"/>
    <n v="8"/>
    <x v="8"/>
    <n v="8"/>
    <s v="IT-LQA-UAT"/>
    <x v="10"/>
    <m/>
    <x v="5"/>
    <x v="0"/>
    <x v="0"/>
    <s v="NMDBS_COM_3.5.2.100.1"/>
    <x v="0"/>
    <x v="7"/>
    <s v="\\192.168.3.3\Share\Releases\Projects\Comcast\Release_For_IT\Test_Build_3.5.50\Server CD\Database\Setup"/>
    <x v="0"/>
    <s v="\\192.168.3.3\Share\Releases\Projects\Comcast\Release_for_Test\Test_Build_3.5.50\Server CD\Database\Setup"/>
    <s v="Pass"/>
    <x v="1"/>
    <m/>
    <m/>
    <m/>
    <s v="Rudra Narayan"/>
    <x v="0"/>
  </r>
  <r>
    <x v="168"/>
    <x v="166"/>
    <n v="8"/>
    <x v="8"/>
    <n v="8"/>
    <s v="LQA-UAT"/>
    <x v="0"/>
    <m/>
    <x v="1"/>
    <x v="1"/>
    <x v="0"/>
    <s v="MPE_SLT-1B_3.0.1.1.1.88b1"/>
    <x v="0"/>
    <x v="26"/>
    <m/>
    <x v="0"/>
    <s v="\\192.168.3.3\Share\Releases\Projects\SLT-1B\Release_For_Test\Test_Build_1.0.0.1\Server CD\MPE\Setup"/>
    <s v="Pass"/>
    <x v="1"/>
    <m/>
    <m/>
    <m/>
    <s v="K.V. Krishnan"/>
    <x v="0"/>
  </r>
  <r>
    <x v="168"/>
    <x v="166"/>
    <n v="8"/>
    <x v="8"/>
    <n v="8"/>
    <s v="IT-LQA"/>
    <x v="0"/>
    <m/>
    <x v="4"/>
    <x v="0"/>
    <x v="0"/>
    <s v="RADBS_SLT_2.1.1.12.1.78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m/>
    <x v="0"/>
  </r>
  <r>
    <x v="168"/>
    <x v="166"/>
    <n v="8"/>
    <x v="8"/>
    <n v="8"/>
    <s v="IT-LQA"/>
    <x v="0"/>
    <m/>
    <x v="2"/>
    <x v="0"/>
    <x v="0"/>
    <s v="DMDBS_SLT_2.0.0.23.1.161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m/>
    <x v="0"/>
  </r>
  <r>
    <x v="169"/>
    <x v="167"/>
    <n v="8"/>
    <x v="8"/>
    <n v="8"/>
    <s v="LQA"/>
    <x v="10"/>
    <m/>
    <x v="7"/>
    <x v="2"/>
    <x v="0"/>
    <s v="RTGUI_COM_4.0.25.1.1.2b1"/>
    <x v="0"/>
    <x v="16"/>
    <m/>
    <x v="0"/>
    <s v="\\192.168.3.3\share\Releases\Projects\Comcast\Release_for_Test\Test_Build_4.6.6\Server CD\GUI\Setup"/>
    <m/>
    <x v="1"/>
    <m/>
    <m/>
    <m/>
    <m/>
    <x v="1"/>
  </r>
  <r>
    <x v="169"/>
    <x v="167"/>
    <n v="8"/>
    <x v="8"/>
    <n v="8"/>
    <s v="IT-LQA-UAT"/>
    <x v="4"/>
    <m/>
    <x v="5"/>
    <x v="0"/>
    <x v="0"/>
    <s v="NMDBS_TLSTR_4.0.1.0.4.310b1"/>
    <x v="0"/>
    <x v="9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Abrar Khan"/>
    <x v="0"/>
  </r>
  <r>
    <x v="169"/>
    <x v="167"/>
    <n v="8"/>
    <x v="8"/>
    <n v="8"/>
    <s v="LQA-UAT"/>
    <x v="0"/>
    <m/>
    <x v="1"/>
    <x v="1"/>
    <x v="0"/>
    <s v="MPE_SLT-1B_3.0.1.1.1.89b1"/>
    <x v="0"/>
    <x v="26"/>
    <m/>
    <x v="0"/>
    <s v="\\192.168.3.3\Share\Releases\Projects\SLT-1B\Release_For_Test\Test_Build_1.0.0.1\Server CD\MPE\Setup"/>
    <s v="Pass"/>
    <x v="0"/>
    <m/>
    <m/>
    <m/>
    <s v="K.V. Krishnan"/>
    <x v="0"/>
  </r>
  <r>
    <x v="169"/>
    <x v="167"/>
    <n v="8"/>
    <x v="8"/>
    <n v="8"/>
    <s v="IT-LQA"/>
    <x v="0"/>
    <m/>
    <x v="2"/>
    <x v="0"/>
    <x v="0"/>
    <s v="DMDBS_SLT_2.0.0.23.1.164b1"/>
    <x v="0"/>
    <x v="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m/>
    <x v="0"/>
  </r>
  <r>
    <x v="170"/>
    <x v="168"/>
    <n v="8"/>
    <x v="8"/>
    <n v="8"/>
    <s v="IT-LQA"/>
    <x v="0"/>
    <m/>
    <x v="2"/>
    <x v="0"/>
    <x v="0"/>
    <s v="DMDBS_SLT_2.0.0.23.1.165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m/>
    <x v="0"/>
  </r>
  <r>
    <x v="170"/>
    <x v="168"/>
    <n v="8"/>
    <x v="8"/>
    <n v="8"/>
    <s v="LQA"/>
    <x v="1"/>
    <m/>
    <x v="11"/>
    <x v="6"/>
    <x v="1"/>
    <s v="AWF_2.0.1b30"/>
    <x v="0"/>
    <x v="35"/>
    <m/>
    <x v="0"/>
    <s v="\\192.168.3.3\Share\Releases\Product\AWF\Build&amp;Release\Release For Test\TestBuild_2.0.1\Setup"/>
    <m/>
    <x v="1"/>
    <m/>
    <m/>
    <m/>
    <m/>
    <x v="1"/>
  </r>
  <r>
    <x v="170"/>
    <x v="168"/>
    <n v="8"/>
    <x v="8"/>
    <n v="8"/>
    <s v="IT-LQA"/>
    <x v="10"/>
    <m/>
    <x v="5"/>
    <x v="0"/>
    <x v="0"/>
    <s v="NMDBS_COM_4.6.1.29.1.71b1"/>
    <x v="0"/>
    <x v="54"/>
    <s v="\\192.168.3.3\Share\Releases\Projects\Comcast\Release_For_IT\Test_Build_4.6.1\Server CD\Database\Setup"/>
    <x v="0"/>
    <s v="\\192.168.3.3\Share\Releases\Projects\Comcast\Release_for_Test\Test_Build_4.6.6\Server CD\Database\Setup"/>
    <m/>
    <x v="1"/>
    <m/>
    <m/>
    <m/>
    <m/>
    <x v="1"/>
  </r>
  <r>
    <x v="171"/>
    <x v="169"/>
    <n v="8"/>
    <x v="8"/>
    <n v="8"/>
    <s v="IT-LQA-FAT"/>
    <x v="0"/>
    <m/>
    <x v="2"/>
    <x v="0"/>
    <x v="0"/>
    <s v="DMDBS_SLT_2.0.0.23.1.163b1"/>
    <x v="0"/>
    <x v="0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Sureya N Behra"/>
    <x v="0"/>
  </r>
  <r>
    <x v="171"/>
    <x v="169"/>
    <n v="8"/>
    <x v="8"/>
    <n v="8"/>
    <s v="LQA-UAT"/>
    <x v="1"/>
    <m/>
    <x v="17"/>
    <x v="2"/>
    <x v="0"/>
    <s v="CSGUI_2.6.1b2"/>
    <x v="0"/>
    <x v="40"/>
    <m/>
    <x v="0"/>
    <s v="\\192.168.3.3\Share\Releases\Product\CSGUI_2.6\Build&amp;Release\Release_For_LQA\Test_Build_1.0.1\Server CD\GUI\Setup"/>
    <s v="Pass"/>
    <x v="0"/>
    <m/>
    <m/>
    <m/>
    <s v="Aditya Mani Sharma"/>
    <x v="0"/>
  </r>
  <r>
    <x v="171"/>
    <x v="169"/>
    <n v="8"/>
    <x v="8"/>
    <n v="8"/>
    <s v="LQA-UAT"/>
    <x v="1"/>
    <m/>
    <x v="8"/>
    <x v="2"/>
    <x v="1"/>
    <s v="WWFSGUI_2.2.1.2b2"/>
    <x v="0"/>
    <x v="40"/>
    <m/>
    <x v="0"/>
    <s v="\\192.168.3.3\Share\Releases\Product\WEB_WFS\Build&amp;Release\Release For Test\TestBuild_2.2.1\Build4\ServerCD\GUI\Setup"/>
    <s v="Pass"/>
    <x v="0"/>
    <m/>
    <m/>
    <m/>
    <s v="Aditya Mani Sharma"/>
    <x v="0"/>
  </r>
  <r>
    <x v="171"/>
    <x v="169"/>
    <n v="8"/>
    <x v="8"/>
    <n v="8"/>
    <s v="IT-LQA"/>
    <x v="10"/>
    <m/>
    <x v="5"/>
    <x v="6"/>
    <x v="1"/>
    <s v="NMUTLMIG1_COM_1.0.0.0.9"/>
    <x v="0"/>
    <x v="7"/>
    <s v="\\192.168.3.3\Share\Releases\Projects\Comcast\Release_for_Test\Test_Build_4.6.6\Utility\Setup "/>
    <x v="0"/>
    <s v="\\192.168.3.3\Share\Releases\Projects\Comcast\Release_For_IT\Test_Build_4.6.1\Utility\Setup"/>
    <m/>
    <x v="1"/>
    <m/>
    <m/>
    <m/>
    <m/>
    <x v="1"/>
  </r>
  <r>
    <x v="171"/>
    <x v="169"/>
    <n v="8"/>
    <x v="8"/>
    <n v="8"/>
    <s v="IT-LQA-UAT"/>
    <x v="0"/>
    <m/>
    <x v="2"/>
    <x v="0"/>
    <x v="0"/>
    <s v="DMDBS_SLT_2.0.0.23.1.162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Nisha Malik"/>
    <x v="0"/>
  </r>
  <r>
    <x v="171"/>
    <x v="169"/>
    <n v="8"/>
    <x v="8"/>
    <n v="8"/>
    <s v="IT-LQA-FAT"/>
    <x v="0"/>
    <m/>
    <x v="4"/>
    <x v="0"/>
    <x v="0"/>
    <s v="RADBS_SLT_2.1.1.12.1.79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71"/>
    <x v="169"/>
    <n v="8"/>
    <x v="8"/>
    <n v="8"/>
    <s v="LQA-UAT"/>
    <x v="1"/>
    <m/>
    <x v="4"/>
    <x v="0"/>
    <x v="1"/>
    <s v="RADBS_2.2.1b2"/>
    <x v="0"/>
    <x v="5"/>
    <m/>
    <x v="0"/>
    <s v="\\192.168.3.3\Share\Releases\Product\RevMind_2.2\Build&amp;Release\Release_For_LQA\Test_Build_1.0.1\Server CD\DBS\Setup"/>
    <s v="Pass"/>
    <x v="1"/>
    <m/>
    <m/>
    <m/>
    <s v="Aditya Mani Sharma"/>
    <x v="0"/>
  </r>
  <r>
    <x v="171"/>
    <x v="169"/>
    <n v="8"/>
    <x v="8"/>
    <n v="8"/>
    <s v="IT-LQA-UAT"/>
    <x v="1"/>
    <m/>
    <x v="9"/>
    <x v="0"/>
    <x v="0"/>
    <s v="NPDBS_1.2.3.16b1"/>
    <x v="0"/>
    <x v="54"/>
    <s v="\\192.168.3.3\share\Releases\Product\NetMindPOS_1.1\Build&amp;Release\Release for IT\TestBuild_1.2.3\Server CD\DBS\Setup"/>
    <x v="0"/>
    <s v="\\192.168.3.3\share\Releases\Product\NetMindPOS_1.1\Build&amp;Release\Release for LQA\TestBuild_1.2.3\Server CD\DBS\Setup"/>
    <s v="Pass"/>
    <x v="1"/>
    <m/>
    <m/>
    <m/>
    <s v="Sumit Gomber"/>
    <x v="0"/>
  </r>
  <r>
    <x v="171"/>
    <x v="169"/>
    <n v="8"/>
    <x v="8"/>
    <n v="8"/>
    <s v="IT-LQA-UAT"/>
    <x v="4"/>
    <m/>
    <x v="5"/>
    <x v="0"/>
    <x v="0"/>
    <s v="NMDBS_TLSTR_4.0.1.0.4.311b1"/>
    <x v="0"/>
    <x v="9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Abrar Khan"/>
    <x v="0"/>
  </r>
  <r>
    <x v="171"/>
    <x v="169"/>
    <n v="8"/>
    <x v="8"/>
    <n v="8"/>
    <s v="LQA"/>
    <x v="0"/>
    <m/>
    <x v="1"/>
    <x v="1"/>
    <x v="0"/>
    <s v="MPE_SLT-1B_3.0.1.1.1.90b1"/>
    <x v="0"/>
    <x v="26"/>
    <m/>
    <x v="2"/>
    <s v="\\192.168.3.3\Share\Releases\Projects\SLT-1B\Release_For_Test\Test_Build_1.0.0.1\Server CD\MPE\Setup"/>
    <m/>
    <x v="1"/>
    <m/>
    <m/>
    <m/>
    <m/>
    <x v="2"/>
  </r>
  <r>
    <x v="171"/>
    <x v="169"/>
    <n v="8"/>
    <x v="8"/>
    <n v="8"/>
    <s v="IT-LQA-UAT"/>
    <x v="10"/>
    <m/>
    <x v="5"/>
    <x v="0"/>
    <x v="0"/>
    <s v="NMDBS_COM_4.6.1.29.1.72b1"/>
    <x v="0"/>
    <x v="7"/>
    <s v="\\192.168.3.3\Share\Releases\Projects\Comcast\Release_For_IT\Test_Build_4.6.1\Server CD\Database\Setup"/>
    <x v="0"/>
    <s v="\\192.168.3.3\Share\Releases\Projects\Comcast\Release_for_Test\Test_Build_4.6.6\Server CD\Database\Setup"/>
    <s v="Pass"/>
    <x v="1"/>
    <m/>
    <m/>
    <m/>
    <s v="Rudra Narayan"/>
    <x v="0"/>
  </r>
  <r>
    <x v="171"/>
    <x v="169"/>
    <n v="8"/>
    <x v="8"/>
    <n v="8"/>
    <s v="LQA"/>
    <x v="1"/>
    <m/>
    <x v="8"/>
    <x v="2"/>
    <x v="1"/>
    <s v="WWFSGUI_2.1.33b1"/>
    <x v="0"/>
    <x v="21"/>
    <m/>
    <x v="0"/>
    <s v="\\192.168.3.3\Share\Releases\Product\WEB_WFS\Build&amp;Release\Release For Test\TestBuild_2.1.33\ServerCD\GUI\Setup"/>
    <m/>
    <x v="1"/>
    <m/>
    <m/>
    <m/>
    <m/>
    <x v="1"/>
  </r>
  <r>
    <x v="171"/>
    <x v="169"/>
    <n v="8"/>
    <x v="8"/>
    <n v="8"/>
    <s v="LQA"/>
    <x v="10"/>
    <m/>
    <x v="8"/>
    <x v="2"/>
    <x v="1"/>
    <s v="WWFSGUI_COM_2.1.33.0.1"/>
    <x v="0"/>
    <x v="21"/>
    <m/>
    <x v="0"/>
    <s v="\\192.168.3.3\Share\Releases\Projects\Comcast\Release_for_Test\Test_Build_4.6.6\Server CD\GUI\Setup "/>
    <m/>
    <x v="1"/>
    <m/>
    <m/>
    <m/>
    <m/>
    <x v="1"/>
  </r>
  <r>
    <x v="172"/>
    <x v="170"/>
    <n v="8"/>
    <x v="8"/>
    <n v="8"/>
    <s v="LQA"/>
    <x v="0"/>
    <m/>
    <x v="1"/>
    <x v="1"/>
    <x v="0"/>
    <s v="MPE_SLT-1B_3.0.1.1.1.91b1"/>
    <x v="0"/>
    <x v="41"/>
    <m/>
    <x v="0"/>
    <s v="\\192.168.3.3\Share\Releases\Projects\SLT-1B\Release_For_Test\Test_Build_1.0.0.1\Server CD\MPE\Setup"/>
    <s v="Pass"/>
    <x v="1"/>
    <m/>
    <m/>
    <m/>
    <m/>
    <x v="0"/>
  </r>
  <r>
    <x v="172"/>
    <x v="170"/>
    <n v="8"/>
    <x v="8"/>
    <n v="8"/>
    <s v="LQA-FAT"/>
    <x v="0"/>
    <m/>
    <x v="1"/>
    <x v="1"/>
    <x v="0"/>
    <s v="MPE_SLT-1B_3.0.1.1.1.92b1"/>
    <x v="0"/>
    <x v="41"/>
    <m/>
    <x v="0"/>
    <s v="\\192.168.3.3\Share\Releases\Projects\SLT-1B\Release_For_Test\Test_Build_1.0.0.1\Server CD\MPE\Setup"/>
    <s v="Pass"/>
    <x v="1"/>
    <m/>
    <m/>
    <m/>
    <s v="K.V. Krishnan"/>
    <x v="0"/>
  </r>
  <r>
    <x v="173"/>
    <x v="171"/>
    <n v="8"/>
    <x v="8"/>
    <n v="8"/>
    <s v="LQA"/>
    <x v="0"/>
    <m/>
    <x v="1"/>
    <x v="1"/>
    <x v="0"/>
    <s v="MPE_SLT-1B_3.0.1.1.1.90b2"/>
    <x v="0"/>
    <x v="26"/>
    <m/>
    <x v="0"/>
    <s v="\\192.168.3.3\Share\Releases\Projects\SLT-1B\Release_For_Test\Test_Build_1.0.0.1\Server CD\MPE\Setup"/>
    <s v="Pass"/>
    <x v="1"/>
    <m/>
    <m/>
    <m/>
    <m/>
    <x v="0"/>
  </r>
  <r>
    <x v="173"/>
    <x v="171"/>
    <n v="8"/>
    <x v="8"/>
    <n v="8"/>
    <s v="IT-LQA-UAT"/>
    <x v="1"/>
    <m/>
    <x v="2"/>
    <x v="0"/>
    <x v="0"/>
    <s v="DMDBS_2.0.0.24b1"/>
    <x v="0"/>
    <x v="27"/>
    <s v="\\192.168.3.3\Share\Releases\Product\DataMind_2.0\Build&amp;Release\Release for IT\TestBuild_2.0.0\Server CD\DBS\Setup"/>
    <x v="0"/>
    <s v="\\192.168.3.3\Share\Releases\Product\DataMind_2.0\Build&amp;Release\Release for LQA\TestBuild_2.0.0\Server CD\DBS\Setup"/>
    <s v="Pass"/>
    <x v="1"/>
    <m/>
    <m/>
    <m/>
    <s v="Surya N Behra"/>
    <x v="0"/>
  </r>
  <r>
    <x v="174"/>
    <x v="161"/>
    <n v="9"/>
    <x v="9"/>
    <n v="9"/>
    <s v="IT-LQA-FAT"/>
    <x v="0"/>
    <m/>
    <x v="2"/>
    <x v="0"/>
    <x v="0"/>
    <s v="DMDBS_SLT_2.0.0.23.1.166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74"/>
    <x v="161"/>
    <n v="9"/>
    <x v="9"/>
    <n v="9"/>
    <s v="IT-LQA"/>
    <x v="10"/>
    <m/>
    <x v="5"/>
    <x v="0"/>
    <x v="0"/>
    <s v="NMDBS_COM_4.6.1.29.1.73b1"/>
    <x v="0"/>
    <x v="7"/>
    <s v="\\192.168.3.3\Share\Releases\Projects\Comcast\Release_For_IT\Test_Build_4.6.1\Server CD\Database\Setup"/>
    <x v="2"/>
    <s v="\\192.168.3.3\Share\Releases\Projects\Comcast\Release_for_Test\Test_Build_4.6.6\Server CD\Database\Setup"/>
    <m/>
    <x v="1"/>
    <m/>
    <m/>
    <m/>
    <m/>
    <x v="2"/>
  </r>
  <r>
    <x v="174"/>
    <x v="161"/>
    <n v="9"/>
    <x v="9"/>
    <n v="9"/>
    <s v="LQA-UAT"/>
    <x v="8"/>
    <m/>
    <x v="1"/>
    <x v="1"/>
    <x v="0"/>
    <s v="MPE_TWC_3.2.1.5.2.20b1"/>
    <x v="0"/>
    <x v="46"/>
    <m/>
    <x v="0"/>
    <s v="\\192.168.3.3\Share\Releases\Projects\TWC\Release_For_Test\Test_Build_1.0.0.4\Server CD\MPE\Setup"/>
    <s v="Pass"/>
    <x v="0"/>
    <m/>
    <m/>
    <m/>
    <s v="Sunil Katyar"/>
    <x v="0"/>
  </r>
  <r>
    <x v="174"/>
    <x v="161"/>
    <n v="9"/>
    <x v="9"/>
    <n v="9"/>
    <s v="IT-LQA"/>
    <x v="8"/>
    <m/>
    <x v="11"/>
    <x v="6"/>
    <x v="1"/>
    <s v="NMUTLMIG5_TWC_1.0.0.0.1 "/>
    <x v="0"/>
    <x v="19"/>
    <s v="\\192.168.3.3\Share\Releases\Projects\TWC\Release_For_IT\Test_Build_1.0.0.3\Utility\Setup"/>
    <x v="2"/>
    <s v="\\192.168.3.3\Share\Releases\Projects\TWC\Release_For_Test\Test_Build_1.0.0.4\Utility\Setup"/>
    <m/>
    <x v="1"/>
    <m/>
    <m/>
    <m/>
    <m/>
    <x v="2"/>
  </r>
  <r>
    <x v="174"/>
    <x v="161"/>
    <n v="9"/>
    <x v="9"/>
    <n v="9"/>
    <s v="IT-LQA-UAT"/>
    <x v="10"/>
    <m/>
    <x v="5"/>
    <x v="0"/>
    <x v="0"/>
    <s v="NMDBS_COM_4.6.1.29.1.75b1"/>
    <x v="0"/>
    <x v="39"/>
    <s v="\\192.168.3.3\Share\Releases\Projects\Comcast\Release_for_Test\Test_Build_4.6.6\Server CD\Database\Setup"/>
    <x v="0"/>
    <s v="\\192.168.3.3\Share\Releases\Projects\Comcast\Release_for_Test\Test_Build_4.6.6\Server CD\Database\Setup"/>
    <s v="Pass"/>
    <x v="1"/>
    <m/>
    <m/>
    <m/>
    <s v="Rudra Narayan"/>
    <x v="0"/>
  </r>
  <r>
    <x v="174"/>
    <x v="161"/>
    <n v="9"/>
    <x v="9"/>
    <n v="9"/>
    <s v="LQA"/>
    <x v="1"/>
    <m/>
    <x v="8"/>
    <x v="2"/>
    <x v="0"/>
    <s v="WWFSGUI_2.1.34b1"/>
    <x v="0"/>
    <x v="33"/>
    <m/>
    <x v="0"/>
    <s v="\\192.168.3.3\Share\Releases\Product\WEB_WFS\Build&amp;Release\Release For Test\TestBuild_2.1.34\ServerCD\GUI\Setup"/>
    <m/>
    <x v="1"/>
    <m/>
    <m/>
    <m/>
    <m/>
    <x v="1"/>
  </r>
  <r>
    <x v="174"/>
    <x v="161"/>
    <n v="9"/>
    <x v="9"/>
    <n v="9"/>
    <s v="LQA-UAT"/>
    <x v="10"/>
    <m/>
    <x v="8"/>
    <x v="2"/>
    <x v="1"/>
    <s v="WWFSGUI_COM_2.1.34.0.1"/>
    <x v="0"/>
    <x v="13"/>
    <m/>
    <x v="0"/>
    <s v="\\192.168.3.3\Share\Releases\Projects\Comcast\Release_for_Test\Test_Build_4.6.6\Server CD\GUI\Setup "/>
    <s v="Pass"/>
    <x v="1"/>
    <m/>
    <m/>
    <m/>
    <s v="Rudra Narayan"/>
    <x v="0"/>
  </r>
  <r>
    <x v="175"/>
    <x v="172"/>
    <n v="9"/>
    <x v="9"/>
    <n v="9"/>
    <s v="LQA-UAT"/>
    <x v="10"/>
    <m/>
    <x v="8"/>
    <x v="2"/>
    <x v="0"/>
    <s v="WWFSGUI_COM_2.1.34.0.1.1b1"/>
    <x v="0"/>
    <x v="33"/>
    <m/>
    <x v="0"/>
    <s v="\\192.168.3.3\Share\Releases\Projects\Comcast\Release_for_Test\Test_Build_4.6.6\Server CD\GUI\Setup "/>
    <s v="Pass"/>
    <x v="1"/>
    <m/>
    <m/>
    <m/>
    <s v="Rudra Narayan"/>
    <x v="0"/>
  </r>
  <r>
    <x v="175"/>
    <x v="172"/>
    <n v="9"/>
    <x v="9"/>
    <n v="9"/>
    <s v="IT-LQA"/>
    <x v="10"/>
    <m/>
    <x v="5"/>
    <x v="0"/>
    <x v="0"/>
    <s v="NMDBS_COM_4.6.1.29.1.74b1"/>
    <x v="0"/>
    <x v="7"/>
    <s v="\\192.168.3.3\Share\Releases\Projects\Comcast\Release_for_Test\Test_Build_4.6.6\Server CD\Database\Setup"/>
    <x v="2"/>
    <s v="\\192.168.3.3\Share\Releases\Projects\Comcast\Release_for_Test\Test_Build_4.6.6\Server CD\Database\Setup"/>
    <m/>
    <x v="1"/>
    <m/>
    <m/>
    <m/>
    <m/>
    <x v="2"/>
  </r>
  <r>
    <x v="175"/>
    <x v="172"/>
    <n v="9"/>
    <x v="9"/>
    <n v="9"/>
    <s v="IT-LQA"/>
    <x v="10"/>
    <m/>
    <x v="5"/>
    <x v="0"/>
    <x v="0"/>
    <s v="NMDBS_COM_4.6.1.29.1.76b1"/>
    <x v="0"/>
    <x v="7"/>
    <s v="\\192.168.3.3\Share\Releases\Projects\Comcast\Release_for_Test\Test_Build_4.6.6\Server CD\Database\Setup"/>
    <x v="2"/>
    <s v="\\192.168.3.3\Share\Releases\Projects\Comcast\Release_for_Test\Test_Build_4.6.6\Server CD\Database\Setup"/>
    <m/>
    <x v="1"/>
    <m/>
    <m/>
    <m/>
    <m/>
    <x v="2"/>
  </r>
  <r>
    <x v="175"/>
    <x v="172"/>
    <n v="9"/>
    <x v="9"/>
    <n v="9"/>
    <s v="IT-LQA-UAT"/>
    <x v="0"/>
    <m/>
    <x v="2"/>
    <x v="0"/>
    <x v="0"/>
    <s v="DMDBS_SLT_2.0.0.23.1.167b1 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75"/>
    <x v="172"/>
    <n v="9"/>
    <x v="9"/>
    <n v="9"/>
    <s v="LQA-UAT"/>
    <x v="1"/>
    <m/>
    <x v="5"/>
    <x v="0"/>
    <x v="0"/>
    <s v="NMDBS_4.7.1b12"/>
    <x v="0"/>
    <x v="55"/>
    <m/>
    <x v="0"/>
    <s v="\\192.168.3.3\Share\Releases\Product\Netmind_4.7\Build&amp;Release\Release_For_LQA\Test_Build_1.0.1\Server CD\DBS\Setup"/>
    <s v="Pass"/>
    <x v="1"/>
    <m/>
    <m/>
    <m/>
    <s v="Jitender Aggarwal"/>
    <x v="0"/>
  </r>
  <r>
    <x v="175"/>
    <x v="172"/>
    <n v="9"/>
    <x v="9"/>
    <n v="9"/>
    <s v="IT-LQA"/>
    <x v="10"/>
    <m/>
    <x v="5"/>
    <x v="0"/>
    <x v="0"/>
    <s v="NMDBS_COM_3.5.2.101.1"/>
    <x v="0"/>
    <x v="7"/>
    <s v="\\192.168.3.3\Share\Releases\Projects\Comcast\Release_For_IT\Test_Build_3.5.50\Server CD\Database\Setup"/>
    <x v="2"/>
    <s v="\\192.168.3.3\Share\Releases\Projects\Comcast\Release_for_Test\Test_Build_3.5.50\Server CD\Database\Setup"/>
    <m/>
    <x v="1"/>
    <m/>
    <m/>
    <m/>
    <m/>
    <x v="2"/>
  </r>
  <r>
    <x v="175"/>
    <x v="172"/>
    <n v="9"/>
    <x v="9"/>
    <n v="9"/>
    <s v="IT-LQA-UAT"/>
    <x v="10"/>
    <m/>
    <x v="5"/>
    <x v="0"/>
    <x v="0"/>
    <s v="NMDBS_COM_3.5.2.102.1"/>
    <x v="0"/>
    <x v="7"/>
    <s v="\\192.168.3.3\Share\Releases\Projects\Comcast\Release_For_IT\Test_Build_3.5.50\Server CD\Database\Setup"/>
    <x v="0"/>
    <s v="\\192.168.3.3\Share\Releases\Projects\Comcast\Release_for_Test\Test_Build_3.5.50\Server CD\Database\Setup"/>
    <s v="Pass"/>
    <x v="1"/>
    <m/>
    <m/>
    <m/>
    <s v="Mayank Sharma"/>
    <x v="0"/>
  </r>
  <r>
    <x v="176"/>
    <x v="173"/>
    <n v="9"/>
    <x v="9"/>
    <n v="9"/>
    <s v="IT-LQA-UAT"/>
    <x v="3"/>
    <m/>
    <x v="5"/>
    <x v="0"/>
    <x v="0"/>
    <s v="NMDBS_OBT_4.6.1.27.1.39b1"/>
    <x v="0"/>
    <x v="4"/>
    <s v="\\192.168.3.3\Share\Releases\Projects\OBT\Release_For_IT\TestBuild_1.0.0.2\Server CD\DBS\Setup"/>
    <x v="0"/>
    <s v="\\192.168.3.3\Share\Releases\Projects\OBT\Release_For_LQA\TestBuild_1.0.0.6\Server CD\DBS\Setup"/>
    <s v="Pass"/>
    <x v="1"/>
    <m/>
    <m/>
    <m/>
    <s v="Ajay Kumar Pandey"/>
    <x v="0"/>
  </r>
  <r>
    <x v="176"/>
    <x v="173"/>
    <n v="9"/>
    <x v="9"/>
    <n v="9"/>
    <s v="LQA-UAT"/>
    <x v="1"/>
    <m/>
    <x v="8"/>
    <x v="2"/>
    <x v="0"/>
    <s v="WWFSGUI_2.2.1.2b3"/>
    <x v="0"/>
    <x v="40"/>
    <m/>
    <x v="0"/>
    <s v="\\192.168.3.3\Share\Releases\Product\WEB_WFS\Build&amp;Release\Release For Test\TestBuild_2.2.1\Build4\ServerCD\GUI\Setup"/>
    <s v="Pass"/>
    <x v="1"/>
    <m/>
    <m/>
    <m/>
    <s v="Ajay Gera"/>
    <x v="0"/>
  </r>
  <r>
    <x v="176"/>
    <x v="173"/>
    <n v="9"/>
    <x v="9"/>
    <n v="9"/>
    <s v="LQA"/>
    <x v="1"/>
    <m/>
    <x v="17"/>
    <x v="2"/>
    <x v="1"/>
    <s v="CSGUI_2.6.1b3"/>
    <x v="0"/>
    <x v="40"/>
    <m/>
    <x v="0"/>
    <s v="\\192.168.3.3\Share\Releases\Product\CSGUI_2.6\Build&amp;Release\Release_For_LQA\Test_Build_1.0.1\Server CD\GUI\Setup"/>
    <m/>
    <x v="1"/>
    <m/>
    <m/>
    <m/>
    <m/>
    <x v="1"/>
  </r>
  <r>
    <x v="176"/>
    <x v="173"/>
    <n v="9"/>
    <x v="9"/>
    <n v="9"/>
    <s v="LQA-UAT"/>
    <x v="12"/>
    <m/>
    <x v="1"/>
    <x v="1"/>
    <x v="0"/>
    <s v="MPE_DRC_3.2.1.3.2.26b1"/>
    <x v="0"/>
    <x v="41"/>
    <m/>
    <x v="0"/>
    <s v="\\192.168.3.3\Share\Releases\Projects\DRC\Release_For_LQA\Test_Build_1.0.0.3\Server CD\MPE\Setup"/>
    <s v="Pass"/>
    <x v="1"/>
    <m/>
    <m/>
    <m/>
    <s v="Mamta Bora"/>
    <x v="0"/>
  </r>
  <r>
    <x v="177"/>
    <x v="174"/>
    <n v="9"/>
    <x v="9"/>
    <n v="9"/>
    <s v="IT-LQA-UAT"/>
    <x v="3"/>
    <m/>
    <x v="5"/>
    <x v="0"/>
    <x v="0"/>
    <s v="NMDBS_OBT_4.6.1.27.1.40b1"/>
    <x v="0"/>
    <x v="4"/>
    <s v="\\192.168.3.3\Share\Releases\Projects\OBT\Release_For_IT\TestBuild_1.0.0.2\Server CD\DBS\Setup"/>
    <x v="0"/>
    <s v="\\192.168.3.3\Share\Releases\Projects\OBT\Release_For_LQA\TestBuild_1.0.0.6\Server CD\DBS\Setup"/>
    <s v="Pass"/>
    <x v="1"/>
    <m/>
    <m/>
    <m/>
    <s v="Ajay Kumar Pandey"/>
    <x v="0"/>
  </r>
  <r>
    <x v="177"/>
    <x v="174"/>
    <n v="9"/>
    <x v="9"/>
    <n v="9"/>
    <s v="LQA-UAT"/>
    <x v="1"/>
    <m/>
    <x v="4"/>
    <x v="0"/>
    <x v="1"/>
    <s v="RADBS_2.2.1b3"/>
    <x v="0"/>
    <x v="5"/>
    <m/>
    <x v="0"/>
    <s v="\\192.168.3.3\Share\Releases\Product\RevMind_2.2\Build&amp;Release\Release_For_LQA\Test_Build_1.0.1\Server CD\DBS\Setup"/>
    <s v="Pass"/>
    <x v="1"/>
    <m/>
    <m/>
    <m/>
    <s v="Jagdish Sankar"/>
    <x v="0"/>
  </r>
  <r>
    <x v="177"/>
    <x v="174"/>
    <n v="9"/>
    <x v="9"/>
    <n v="9"/>
    <s v="IT-LQA"/>
    <x v="10"/>
    <m/>
    <x v="5"/>
    <x v="0"/>
    <x v="0"/>
    <s v="NMDBS_COM_4.6.1.29.1.73b2"/>
    <x v="0"/>
    <x v="7"/>
    <s v="\\192.168.3.3\Share\Releases\Projects\Comcast\Release_For_IT\Test_Build_4.6.1\Server CD\Database\Setup"/>
    <x v="2"/>
    <s v="\\192.168.3.3\Share\Releases\Projects\Comcast\Release_for_Test\Test_Build_4.6.6\Server CD\Database\Setup"/>
    <m/>
    <x v="1"/>
    <m/>
    <m/>
    <m/>
    <m/>
    <x v="2"/>
  </r>
  <r>
    <x v="177"/>
    <x v="174"/>
    <n v="9"/>
    <x v="9"/>
    <n v="9"/>
    <s v="LQA-UAT"/>
    <x v="0"/>
    <m/>
    <x v="1"/>
    <x v="1"/>
    <x v="0"/>
    <s v="MPE_SLT-1B_3.0.1.1.1.93b1"/>
    <x v="0"/>
    <x v="26"/>
    <m/>
    <x v="0"/>
    <s v="\\192.168.3.3\Share\Releases\Projects\SLT-1B\Release_For_Test\Test_Build_1.0.0.1\Server CD\MPE\Setup"/>
    <s v="Pass"/>
    <x v="1"/>
    <m/>
    <m/>
    <m/>
    <s v="Sureya N Behra"/>
    <x v="0"/>
  </r>
  <r>
    <x v="177"/>
    <x v="174"/>
    <n v="9"/>
    <x v="9"/>
    <n v="9"/>
    <s v="IT-LQA-UAT"/>
    <x v="10"/>
    <m/>
    <x v="5"/>
    <x v="0"/>
    <x v="0"/>
    <s v="NMDBS_COM_3.5.2.101.2"/>
    <x v="0"/>
    <x v="7"/>
    <s v="\\192.168.3.3\Share\Releases\Projects\Comcast\Release_For_IT\Test_Build_3.5.50\Server CD\Database\Setup"/>
    <x v="0"/>
    <s v="\\192.168.3.3\Share\Releases\Projects\Comcast\Release_for_Test\Test_Build_3.5.50\Server CD\Database\Setup"/>
    <s v="Pass"/>
    <x v="0"/>
    <m/>
    <m/>
    <m/>
    <s v="Mayank Sharma"/>
    <x v="0"/>
  </r>
  <r>
    <x v="177"/>
    <x v="174"/>
    <n v="9"/>
    <x v="9"/>
    <n v="9"/>
    <s v="IT-LQA"/>
    <x v="1"/>
    <m/>
    <x v="7"/>
    <x v="0"/>
    <x v="0"/>
    <s v="RTDBS_4.0.1.22b1"/>
    <x v="0"/>
    <x v="5"/>
    <s v="\\192.168.3.3\Share\Releases\Product\RT_4.0\ReleaseForIT\TestBuild_4.0.3\DBS\Setup"/>
    <x v="0"/>
    <s v="\\192.168.3.3\Share\Releases\Product\RT_4.0\ReleaseForLQA\TestBuild_4.0.24\DBS\Setup"/>
    <s v="Pass"/>
    <x v="1"/>
    <m/>
    <m/>
    <m/>
    <m/>
    <x v="0"/>
  </r>
  <r>
    <x v="177"/>
    <x v="174"/>
    <n v="9"/>
    <x v="9"/>
    <n v="9"/>
    <s v="IT-LQA-UAT"/>
    <x v="0"/>
    <m/>
    <x v="2"/>
    <x v="0"/>
    <x v="0"/>
    <s v="DMDBS_SLT_2.0.0.23.1.168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77"/>
    <x v="174"/>
    <n v="9"/>
    <x v="9"/>
    <n v="9"/>
    <s v="LQA"/>
    <x v="4"/>
    <m/>
    <x v="1"/>
    <x v="1"/>
    <x v="0"/>
    <s v="MPE_TLSTR-2b_3.0.0.3.1.105b1"/>
    <x v="0"/>
    <x v="11"/>
    <m/>
    <x v="0"/>
    <s v="\\192.168.3.3\Share\Releases\Projects\Telstra-2b\Release_For_Test\Test_Build_1.0.0.1\Server CD\MPE\Setup"/>
    <m/>
    <x v="0"/>
    <m/>
    <m/>
    <m/>
    <m/>
    <x v="1"/>
  </r>
  <r>
    <x v="177"/>
    <x v="174"/>
    <n v="9"/>
    <x v="9"/>
    <n v="9"/>
    <s v="IT-LQA"/>
    <x v="0"/>
    <m/>
    <x v="2"/>
    <x v="0"/>
    <x v="0"/>
    <s v="DMDBS_SLT_2.0.0.23.1.169b1 "/>
    <x v="0"/>
    <x v="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m/>
    <x v="0"/>
  </r>
  <r>
    <x v="177"/>
    <x v="174"/>
    <n v="9"/>
    <x v="9"/>
    <n v="9"/>
    <s v="LQA-UAT"/>
    <x v="10"/>
    <m/>
    <x v="8"/>
    <x v="2"/>
    <x v="0"/>
    <s v="WWFSGUI_COM_2.1.34.0.1.2b1"/>
    <x v="0"/>
    <x v="21"/>
    <m/>
    <x v="0"/>
    <s v="\\192.168.3.3\Share\Releases\Projects\Comcast\Release_for_Test\Test_Build_4.6.6\Server CD\GUI\Setup "/>
    <s v="Pass"/>
    <x v="1"/>
    <m/>
    <m/>
    <m/>
    <s v="Rudra Narayan"/>
    <x v="0"/>
  </r>
  <r>
    <x v="178"/>
    <x v="175"/>
    <n v="9"/>
    <x v="9"/>
    <n v="9"/>
    <s v="LQA-UAT"/>
    <x v="3"/>
    <m/>
    <x v="8"/>
    <x v="2"/>
    <x v="1"/>
    <s v="WWFSGUI_OBT_2.1.34.0.1"/>
    <x v="0"/>
    <x v="21"/>
    <m/>
    <x v="0"/>
    <s v="\\192.168.3.3\Share\Releases\Projects\OBT\Release_For_LQA\TestBuild_1.0.0.7\Server CD\GUI\Setup "/>
    <s v="Pass"/>
    <x v="0"/>
    <m/>
    <m/>
    <m/>
    <s v="Ajay Kumar Pandey"/>
    <x v="0"/>
  </r>
  <r>
    <x v="178"/>
    <x v="175"/>
    <n v="9"/>
    <x v="9"/>
    <n v="9"/>
    <s v="IT-LQA"/>
    <x v="0"/>
    <m/>
    <x v="2"/>
    <x v="0"/>
    <x v="0"/>
    <s v="DMDBS_SLT_2.0.0.23.1.170b1"/>
    <x v="0"/>
    <x v="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m/>
    <x v="0"/>
  </r>
  <r>
    <x v="178"/>
    <x v="175"/>
    <n v="9"/>
    <x v="9"/>
    <n v="9"/>
    <s v="LQA-FAT"/>
    <x v="0"/>
    <m/>
    <x v="1"/>
    <x v="1"/>
    <x v="0"/>
    <s v=" MPE_SLT-1B_3.0.1.1.1.94b1"/>
    <x v="0"/>
    <x v="26"/>
    <m/>
    <x v="0"/>
    <s v="\\192.168.3.3\Share\Releases\Projects\SLT-1B\Release_For_Test\Test_Build_1.0.0.1\Server CD\MPE\Setup"/>
    <s v="Pass"/>
    <x v="1"/>
    <m/>
    <m/>
    <m/>
    <m/>
    <x v="0"/>
  </r>
  <r>
    <x v="178"/>
    <x v="175"/>
    <n v="9"/>
    <x v="9"/>
    <n v="9"/>
    <s v="IT-LQA-UAT"/>
    <x v="12"/>
    <m/>
    <x v="2"/>
    <x v="0"/>
    <x v="0"/>
    <s v="DMDBS_DRC_2.1.1.7.2.20b2"/>
    <x v="0"/>
    <x v="53"/>
    <s v="\\192.168.3.3\Share\Releases\Projects\DRC\Release_For_IT\Test_Build_1.0.0.3\Server CD\DBS\Setup"/>
    <x v="0"/>
    <s v="\\192.168.3.3\Share\Releases\Projects\DRC\Release_For_LQA\Test_Build_1.0.0.3\Server CD\DBS\Setup"/>
    <s v="Pass"/>
    <x v="1"/>
    <m/>
    <m/>
    <m/>
    <s v="Manas Ranjan Barik"/>
    <x v="0"/>
  </r>
  <r>
    <x v="178"/>
    <x v="175"/>
    <n v="9"/>
    <x v="9"/>
    <n v="9"/>
    <s v="IT-LQA-UAT"/>
    <x v="8"/>
    <m/>
    <x v="11"/>
    <x v="6"/>
    <x v="1"/>
    <s v="NMUTLMIG5_TWC_1.0.0.0.2"/>
    <x v="0"/>
    <x v="19"/>
    <s v="\\192.168.3.3\Share\Releases\Projects\TWC\Release_For_Test\Test_Build_1.0.0.4\Utility\Setup"/>
    <x v="0"/>
    <s v="\\192.168.3.3\Share\Releases\Projects\TWC\Release_For_IT\Test_Build_1.0.0.3\Utility\Setup"/>
    <s v="Pass"/>
    <x v="1"/>
    <m/>
    <m/>
    <m/>
    <s v="Pradeep Raghav"/>
    <x v="0"/>
  </r>
  <r>
    <x v="178"/>
    <x v="175"/>
    <n v="9"/>
    <x v="9"/>
    <n v="9"/>
    <s v="LQA"/>
    <x v="20"/>
    <m/>
    <x v="7"/>
    <x v="2"/>
    <x v="1"/>
    <s v="RTGUI_FNB_4.0.19.0.1"/>
    <x v="0"/>
    <x v="35"/>
    <m/>
    <x v="0"/>
    <s v="\\192.168.3.3\Share\Releases\Projects\FNB\Release_For_Test\Test_Build_1.0.0.1\Server CD\GUI\Setup"/>
    <s v="Pass"/>
    <x v="0"/>
    <m/>
    <m/>
    <m/>
    <m/>
    <x v="0"/>
  </r>
  <r>
    <x v="178"/>
    <x v="175"/>
    <n v="9"/>
    <x v="9"/>
    <n v="9"/>
    <s v="LQA"/>
    <x v="5"/>
    <m/>
    <x v="7"/>
    <x v="2"/>
    <x v="1"/>
    <s v="RTGUI_BHN_4.0.27.0.1"/>
    <x v="0"/>
    <x v="35"/>
    <m/>
    <x v="0"/>
    <s v="\\192.168.3.3\Share\Releases\Projects\BHN\Release_For_Test\Test_Build_1.0.0.1\Server CD\GUI\Setup"/>
    <m/>
    <x v="0"/>
    <m/>
    <m/>
    <m/>
    <m/>
    <x v="1"/>
  </r>
  <r>
    <x v="179"/>
    <x v="176"/>
    <n v="9"/>
    <x v="9"/>
    <n v="9"/>
    <s v="IT-LQA"/>
    <x v="10"/>
    <m/>
    <x v="5"/>
    <x v="0"/>
    <x v="0"/>
    <s v="NMDBS_COM_4.6.1.29.1.73b3"/>
    <x v="0"/>
    <x v="7"/>
    <s v="\\192.168.3.3\Share\Releases\Projects\Comcast\Release_For_IT\Test_Build_4.6.1\Server CD\Database\Setup"/>
    <x v="2"/>
    <s v="\\192.168.3.3\Share\Releases\Projects\Comcast\Release_for_Test\Test_Build_4.6.6\Server CD\Database\Setup"/>
    <m/>
    <x v="1"/>
    <m/>
    <m/>
    <m/>
    <m/>
    <x v="2"/>
  </r>
  <r>
    <x v="180"/>
    <x v="177"/>
    <n v="9"/>
    <x v="9"/>
    <n v="9"/>
    <s v="IT-LQA-UAT"/>
    <x v="1"/>
    <m/>
    <x v="2"/>
    <x v="0"/>
    <x v="0"/>
    <s v="DMDBS_2.0.0.25b1"/>
    <x v="0"/>
    <x v="27"/>
    <s v="\\192.168.3.3\Share\Releases\Product\DataMind_2.0\Build&amp;Release\Release for IT\TestBuild_2.0.0\Server CD\DBS\Setup"/>
    <x v="0"/>
    <s v="\\192.168.3.3\Share\Releases\Product\DataMind_2.0\Build&amp;Release\Release for LQA\TestBuild_2.0.0\Server CD\DBS\Setup"/>
    <s v="Pass"/>
    <x v="1"/>
    <m/>
    <m/>
    <m/>
    <s v="Ravi Gautam"/>
    <x v="0"/>
  </r>
  <r>
    <x v="180"/>
    <x v="177"/>
    <n v="9"/>
    <x v="9"/>
    <n v="9"/>
    <s v="IT-LQA-UAT"/>
    <x v="10"/>
    <m/>
    <x v="5"/>
    <x v="0"/>
    <x v="0"/>
    <s v="NMDBS_COM_4.6.1.29.1.73b4"/>
    <x v="0"/>
    <x v="7"/>
    <s v="\\192.168.3.3\Share\Releases\Projects\Comcast\Release_For_IT\Test_Build_4.6.1\Server CD\Database\Setup"/>
    <x v="0"/>
    <s v="\\192.168.3.3\Share\Releases\Projects\Comcast\Release_for_Test\Test_Build_4.6.6\Server CD\Database\Setup"/>
    <s v="Pass"/>
    <x v="1"/>
    <m/>
    <m/>
    <m/>
    <s v="Abhishek Leekha"/>
    <x v="0"/>
  </r>
  <r>
    <x v="180"/>
    <x v="177"/>
    <n v="9"/>
    <x v="9"/>
    <n v="9"/>
    <s v="IT-LQA"/>
    <x v="5"/>
    <m/>
    <x v="5"/>
    <x v="0"/>
    <x v="0"/>
    <s v="NMDBS_BHN_3.5.1.60.1"/>
    <x v="0"/>
    <x v="19"/>
    <s v="\\192.168.3.3\Share\Projects\Neustar\BHN\Build&amp;Release\Release For IT\Test_Build_3.5.37\Server CD\Database\Setup"/>
    <x v="0"/>
    <s v="\\192.168.3.3\Share\Projects\Neustar\BHN\Build&amp;Release\Release For Test\Test_Build_3.5.37\Server CD\Database\Setup"/>
    <m/>
    <x v="1"/>
    <m/>
    <m/>
    <m/>
    <m/>
    <x v="1"/>
  </r>
  <r>
    <x v="180"/>
    <x v="177"/>
    <n v="9"/>
    <x v="9"/>
    <n v="9"/>
    <s v="IT-LQA-UAT"/>
    <x v="5"/>
    <m/>
    <x v="5"/>
    <x v="0"/>
    <x v="0"/>
    <s v="NMDBS_BHN_3.5.1.61.1"/>
    <x v="0"/>
    <x v="19"/>
    <s v="\\192.168.3.3\Share\Projects\Neustar\BHN\Build&amp;Release\Release For IT\Test_Build_3.5.37\Server CD\Database\Setup"/>
    <x v="0"/>
    <s v="\\192.168.3.3\Share\Projects\Neustar\BHN\Build&amp;Release\Release For Test\Test_Build_3.5.37\Server CD\Database\Setup"/>
    <s v="Pass"/>
    <x v="1"/>
    <m/>
    <m/>
    <m/>
    <s v="Sunil Katyar"/>
    <x v="0"/>
  </r>
  <r>
    <x v="180"/>
    <x v="177"/>
    <n v="9"/>
    <x v="9"/>
    <n v="9"/>
    <s v="IT-LQA-UAT"/>
    <x v="5"/>
    <m/>
    <x v="5"/>
    <x v="0"/>
    <x v="0"/>
    <s v="NMDBS_BHN_3.5.1.62.1"/>
    <x v="0"/>
    <x v="19"/>
    <s v="\\192.168.3.3\Share\Projects\Neustar\BHN\Build&amp;Release\Release For IT\Test_Build_3.5.37\Server CD\Database\Setup"/>
    <x v="0"/>
    <s v="\\192.168.3.3\Share\Projects\Neustar\BHN\Build&amp;Release\Release For Test\Test_Build_3.5.37\Server CD\Database\Setup"/>
    <s v="Pass"/>
    <x v="1"/>
    <m/>
    <m/>
    <m/>
    <s v="Sunil Katyar"/>
    <x v="0"/>
  </r>
  <r>
    <x v="180"/>
    <x v="177"/>
    <n v="9"/>
    <x v="9"/>
    <n v="9"/>
    <s v="IT-LQA"/>
    <x v="5"/>
    <m/>
    <x v="5"/>
    <x v="0"/>
    <x v="0"/>
    <s v="NMDBS_BHN_3.5.1.63.1"/>
    <x v="0"/>
    <x v="19"/>
    <s v="\\192.168.3.3\Share\Projects\Neustar\BHN\Build&amp;Release\Release For IT\Test_Build_3.5.37\Server CD\Database\Setup"/>
    <x v="2"/>
    <s v="\\192.168.3.3\Share\Projects\Neustar\BHN\Build&amp;Release\Release For Test\Test_Build_3.5.37\Server CD\Database\Setup"/>
    <m/>
    <x v="1"/>
    <m/>
    <m/>
    <m/>
    <m/>
    <x v="2"/>
  </r>
  <r>
    <x v="180"/>
    <x v="177"/>
    <n v="9"/>
    <x v="9"/>
    <n v="9"/>
    <s v="IT-LQA"/>
    <x v="5"/>
    <m/>
    <x v="5"/>
    <x v="0"/>
    <x v="0"/>
    <s v="NMDBS_BHN_3.5.1.64.1"/>
    <x v="0"/>
    <x v="19"/>
    <s v="\\192.168.3.3\Share\Projects\Neustar\BHN\Build&amp;Release\Release For IT\Test_Build_3.5.37\Server CD\Database\Setup"/>
    <x v="2"/>
    <s v="\\192.168.3.3\Share\Projects\Neustar\BHN\Build&amp;Release\Release For Test\Test_Build_3.5.37\Server CD\Database\Setup"/>
    <m/>
    <x v="1"/>
    <m/>
    <m/>
    <m/>
    <m/>
    <x v="2"/>
  </r>
  <r>
    <x v="180"/>
    <x v="177"/>
    <n v="9"/>
    <x v="9"/>
    <n v="9"/>
    <s v="IT-LQA"/>
    <x v="5"/>
    <m/>
    <x v="5"/>
    <x v="0"/>
    <x v="0"/>
    <s v="NMDBS_BHN_3.5.1.65.1"/>
    <x v="0"/>
    <x v="19"/>
    <s v="\\192.168.3.3\Share\Projects\Neustar\BHN\Build&amp;Release\Release For IT\Test_Build_3.5.37\Server CD\Database\Setup"/>
    <x v="2"/>
    <s v="\\192.168.3.3\Share\Projects\Neustar\BHN\Build&amp;Release\Release For Test\Test_Build_3.5.37\Server CD\Database\Setup"/>
    <m/>
    <x v="1"/>
    <m/>
    <m/>
    <m/>
    <m/>
    <x v="2"/>
  </r>
  <r>
    <x v="180"/>
    <x v="177"/>
    <n v="9"/>
    <x v="9"/>
    <n v="9"/>
    <s v="IT-LQA-UAT"/>
    <x v="4"/>
    <m/>
    <x v="5"/>
    <x v="0"/>
    <x v="0"/>
    <s v="NMDBS_TLSTR_4.0.1.0.4.312b1"/>
    <x v="0"/>
    <x v="9"/>
    <s v="\\192.168.3.3\Share\Releases\Projects\Telstra\Release_For_IT\Test_Build_1.0.0.18\Server CD\DBS\Setup"/>
    <x v="0"/>
    <s v="\\192.168.3.3\Share\Releases\Projects\Telstra\Release_For_LQA\Test_Build_1.0.0.18\Server CD\DBS\Setup"/>
    <s v="Pass"/>
    <x v="0"/>
    <m/>
    <m/>
    <m/>
    <s v="Deshraj"/>
    <x v="0"/>
  </r>
  <r>
    <x v="180"/>
    <x v="177"/>
    <n v="9"/>
    <x v="9"/>
    <n v="9"/>
    <s v="IT-LQA-UAT"/>
    <x v="4"/>
    <m/>
    <x v="5"/>
    <x v="0"/>
    <x v="0"/>
    <s v="NMDBS_TLSTR_4.0.1.0.4.313b1"/>
    <x v="0"/>
    <x v="9"/>
    <s v="\\192.168.3.3\Share\Releases\Projects\Telstra\Release_For_IT\Test_Build_1.0.0.18\Server CD\DBS\Setup"/>
    <x v="0"/>
    <s v="\\192.168.3.3\Share\Releases\Projects\Telstra\Release_For_LQA\Test_Build_1.0.0.18\Server CD\DBS\Setup"/>
    <s v="Pass"/>
    <x v="0"/>
    <m/>
    <m/>
    <m/>
    <s v="Gaurav Shukla"/>
    <x v="0"/>
  </r>
  <r>
    <x v="180"/>
    <x v="177"/>
    <n v="9"/>
    <x v="9"/>
    <n v="9"/>
    <s v="LQA-UAT"/>
    <x v="4"/>
    <m/>
    <x v="1"/>
    <x v="1"/>
    <x v="0"/>
    <s v="MPE_TLSTR-2b_3.0.0.3.1.106b1"/>
    <x v="0"/>
    <x v="11"/>
    <m/>
    <x v="0"/>
    <s v="\\192.168.3.3\Share\Releases\Projects\Telstra-2b\Release_For_Test\Test_Build_1.0.0.1\Server CD\MPE\Setup"/>
    <s v="Pass"/>
    <x v="0"/>
    <m/>
    <m/>
    <m/>
    <s v="Tushar Tyagi"/>
    <x v="0"/>
  </r>
  <r>
    <x v="181"/>
    <x v="178"/>
    <n v="9"/>
    <x v="9"/>
    <n v="9"/>
    <s v="IT-LQA-UAT"/>
    <x v="10"/>
    <m/>
    <x v="9"/>
    <x v="0"/>
    <x v="0"/>
    <s v="NPDBS_COM_1.2.3.15.1.21b2"/>
    <x v="0"/>
    <x v="54"/>
    <s v="\\192.168.3.3\Share\Releases\Projects\Comcast\Release_For_IT\Test_Build_4.6.1\Server CD\Database\Setup"/>
    <x v="0"/>
    <s v="\\192.168.3.3\Share\Releases\Projects\Telstra-2b\Release_For_Test\Test_Build_1.0.0.1\Server CD\MPE\Setup"/>
    <s v="Pass"/>
    <x v="1"/>
    <m/>
    <m/>
    <m/>
    <s v="Sumit Gomber"/>
    <x v="0"/>
  </r>
  <r>
    <x v="181"/>
    <x v="178"/>
    <n v="9"/>
    <x v="9"/>
    <n v="9"/>
    <s v="LQA"/>
    <x v="1"/>
    <m/>
    <x v="9"/>
    <x v="0"/>
    <x v="0"/>
    <s v="NPDBS_1.3.2b3"/>
    <x v="0"/>
    <x v="55"/>
    <m/>
    <x v="2"/>
    <s v="\\192.168.3.3\Share\Releases\Product\NetMindPOS_1.3\Build&amp;Release\Release_For_LQA\Test_Build_1.0.2\Server CD\DBS\Setup"/>
    <m/>
    <x v="1"/>
    <m/>
    <m/>
    <m/>
    <m/>
    <x v="2"/>
  </r>
  <r>
    <x v="181"/>
    <x v="178"/>
    <n v="9"/>
    <x v="9"/>
    <n v="9"/>
    <s v="IT-LQA"/>
    <x v="10"/>
    <m/>
    <x v="5"/>
    <x v="0"/>
    <x v="0"/>
    <s v="NMDBS_COM_4.6.1.29.1.74b2"/>
    <x v="0"/>
    <x v="7"/>
    <s v="\\192.168.3.3\Share\Releases\Projects\Comcast\Release_for_Test\Test_Build_4.6.6\Server CD\Database\Setup"/>
    <x v="2"/>
    <s v="\\192.168.3.3\Share\Releases\Projects\Comcast\Release_for_Test\Test_Build_4.6.6\Server CD\Database\Setup"/>
    <m/>
    <x v="1"/>
    <m/>
    <m/>
    <m/>
    <m/>
    <x v="2"/>
  </r>
  <r>
    <x v="181"/>
    <x v="178"/>
    <n v="9"/>
    <x v="9"/>
    <n v="9"/>
    <s v="IT-LQA"/>
    <x v="12"/>
    <m/>
    <x v="2"/>
    <x v="0"/>
    <x v="0"/>
    <s v="DMDBS_DRC_2.1.1.7.2.22b1"/>
    <x v="0"/>
    <x v="4"/>
    <s v="\\192.168.3.3\Share\Releases\Projects\DRC\Release_For_IT\Test_Build_1.0.0.3\Server CD\DBS\Setup"/>
    <x v="2"/>
    <s v="\\192.168.3.3\Share\Releases\Projects\DRC\Release_For_LQA\Test_Build_1.0.0.3\Server CD\DBS\Setup"/>
    <m/>
    <x v="1"/>
    <m/>
    <m/>
    <m/>
    <m/>
    <x v="2"/>
  </r>
  <r>
    <x v="182"/>
    <x v="179"/>
    <n v="9"/>
    <x v="9"/>
    <n v="9"/>
    <s v="IT-LQA"/>
    <x v="8"/>
    <m/>
    <x v="5"/>
    <x v="0"/>
    <x v="0"/>
    <s v="NMDBS_TWC_4.6.1.11.3.43b2"/>
    <x v="0"/>
    <x v="19"/>
    <s v="\\192.168.3.3\Share\Releases\Projects\TWC\Release_For_IT\Test_Build_1.0.0.3\Server CD\DBS\Setup"/>
    <x v="2"/>
    <s v="\\192.168.3.3\Share\Releases\Projects\TWC\Release_For_Test\Test_Build_1.0.0.4\Server CD\DBS\Setup"/>
    <m/>
    <x v="0"/>
    <m/>
    <m/>
    <m/>
    <m/>
    <x v="2"/>
  </r>
  <r>
    <x v="183"/>
    <x v="180"/>
    <n v="9"/>
    <x v="9"/>
    <n v="9"/>
    <s v="IT-LQA-FAT"/>
    <x v="0"/>
    <m/>
    <x v="4"/>
    <x v="0"/>
    <x v="0"/>
    <s v="RADBS_SLT_2.1.1.12.1.80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83"/>
    <x v="180"/>
    <n v="9"/>
    <x v="9"/>
    <n v="9"/>
    <s v="IT-LQA-FAT"/>
    <x v="0"/>
    <m/>
    <x v="2"/>
    <x v="0"/>
    <x v="0"/>
    <s v="DMDBS_SLT_2.0.0.23.1.171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83"/>
    <x v="180"/>
    <n v="9"/>
    <x v="9"/>
    <n v="9"/>
    <s v="IT-LQA-UAT"/>
    <x v="1"/>
    <m/>
    <x v="0"/>
    <x v="0"/>
    <x v="0"/>
    <s v="REDBS_1.0.1.27b1"/>
    <x v="0"/>
    <x v="0"/>
    <s v="\\192.168.3.3\Share\Releases\Product\RE_1.0\ReleaseForIT\TestBuild_1.0.1\DBS\Build4\Setup"/>
    <x v="0"/>
    <s v="\\192.168.3.3\Share\Releases\Product\RE_1.0\ReleaseForLQA\TestBuild_1.0.1\DBS\Build4\Setup"/>
    <s v="Pass"/>
    <x v="1"/>
    <m/>
    <m/>
    <m/>
    <s v="Ravi Gautam"/>
    <x v="0"/>
  </r>
  <r>
    <x v="183"/>
    <x v="180"/>
    <n v="9"/>
    <x v="9"/>
    <n v="9"/>
    <s v="IT-LQA"/>
    <x v="10"/>
    <m/>
    <x v="5"/>
    <x v="0"/>
    <x v="0"/>
    <s v="NMDBS_COM_4.6.1.29.1.74b3"/>
    <x v="0"/>
    <x v="7"/>
    <s v="\\192.168.3.3\Share\Releases\Projects\Comcast\Release_For_IT\Test_Build_4.6.1\Server CD\Database\Setup"/>
    <x v="0"/>
    <s v="\\192.168.3.3\Share\Releases\Projects\Comcast\Release_for_Test\Test_Build_4.6.6\Server CD\Database\Setup"/>
    <m/>
    <x v="1"/>
    <m/>
    <m/>
    <m/>
    <m/>
    <x v="1"/>
  </r>
  <r>
    <x v="183"/>
    <x v="180"/>
    <n v="9"/>
    <x v="9"/>
    <n v="9"/>
    <s v="IT-LQA-UAT"/>
    <x v="10"/>
    <m/>
    <x v="5"/>
    <x v="0"/>
    <x v="0"/>
    <s v="NMDBS_COM_4.6.1.29.1.76b2"/>
    <x v="0"/>
    <x v="7"/>
    <s v="\\192.168.3.3\Share\Releases\Projects\Comcast\Release_For_IT\Test_Build_4.6.1\Server CD\Database\Setup"/>
    <x v="0"/>
    <s v="\\192.168.3.3\Share\Releases\Projects\Comcast\Release_for_Test\Test_Build_4.6.6\Server CD\Database\Setup"/>
    <s v="Pass"/>
    <x v="1"/>
    <m/>
    <m/>
    <m/>
    <s v="Abhishek Leekha"/>
    <x v="0"/>
  </r>
  <r>
    <x v="183"/>
    <x v="180"/>
    <n v="9"/>
    <x v="9"/>
    <n v="9"/>
    <s v="IT-LQA-UAT"/>
    <x v="3"/>
    <m/>
    <x v="5"/>
    <x v="0"/>
    <x v="0"/>
    <s v="NMDBS_OBT_4.6.1.27.1.41b1"/>
    <x v="0"/>
    <x v="4"/>
    <s v="\\192.168.3.3\Share\Releases\Projects\OBT\Release_For_IT\TestBuild_1.0.0.2\Server CD\DBS\Setup"/>
    <x v="2"/>
    <s v="\\192.168.3.3\Share\Releases\Projects\OBT\Release_For_LQA\TestBuild_1.0.0.6\Server CD\DBS\Setup"/>
    <s v="Pass"/>
    <x v="1"/>
    <m/>
    <m/>
    <m/>
    <s v="Ajay Kumar Pandey"/>
    <x v="2"/>
  </r>
  <r>
    <x v="183"/>
    <x v="180"/>
    <n v="9"/>
    <x v="9"/>
    <n v="9"/>
    <s v="IT-LQA-FAT"/>
    <x v="0"/>
    <m/>
    <x v="2"/>
    <x v="0"/>
    <x v="0"/>
    <s v="DMDBS_SLT_2.0.0.23.1.172b1"/>
    <x v="0"/>
    <x v="0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84"/>
    <x v="181"/>
    <n v="9"/>
    <x v="9"/>
    <n v="9"/>
    <s v="IT-LQA-UAT"/>
    <x v="3"/>
    <m/>
    <x v="5"/>
    <x v="0"/>
    <x v="0"/>
    <s v="NMDBS_OBT_4.6.1.27.1.41b2"/>
    <x v="0"/>
    <x v="4"/>
    <s v="\\192.168.3.3\Share\Releases\Projects\OBT\Release_For_IT\TestBuild_1.0.0.2\Server CD\DBS\Setup"/>
    <x v="0"/>
    <s v="\\192.168.3.3\Share\Releases\Projects\OBT\Release_For_LQA\TestBuild_1.0.0.6\Server CD\DBS\Setup"/>
    <s v="Pass"/>
    <x v="1"/>
    <m/>
    <m/>
    <m/>
    <s v="Ajay Kumar Pandey"/>
    <x v="0"/>
  </r>
  <r>
    <x v="185"/>
    <x v="182"/>
    <n v="9"/>
    <x v="9"/>
    <n v="9"/>
    <s v="IT-LQA-FAT"/>
    <x v="0"/>
    <m/>
    <x v="4"/>
    <x v="0"/>
    <x v="0"/>
    <s v="RADBS_SLT_2.1.1.12.1.81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85"/>
    <x v="182"/>
    <n v="9"/>
    <x v="9"/>
    <n v="9"/>
    <s v="IT-LQA-FAT"/>
    <x v="0"/>
    <m/>
    <x v="2"/>
    <x v="0"/>
    <x v="0"/>
    <s v="DMDBS_SLT_2.0.0.23.1.174b1"/>
    <x v="0"/>
    <x v="0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Nisha Malik"/>
    <x v="0"/>
  </r>
  <r>
    <x v="185"/>
    <x v="182"/>
    <n v="9"/>
    <x v="9"/>
    <n v="9"/>
    <s v="IT-LQA"/>
    <x v="0"/>
    <m/>
    <x v="5"/>
    <x v="0"/>
    <x v="0"/>
    <s v="NMDBS_SLT_4.0.2.0.1.28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m/>
    <x v="0"/>
  </r>
  <r>
    <x v="185"/>
    <x v="182"/>
    <n v="9"/>
    <x v="9"/>
    <n v="9"/>
    <s v="LQA-UAT"/>
    <x v="10"/>
    <m/>
    <x v="8"/>
    <x v="2"/>
    <x v="0"/>
    <s v="WWFSGUI_COM_2.1.34.0.1.3b1"/>
    <x v="0"/>
    <x v="33"/>
    <m/>
    <x v="0"/>
    <s v="\\192.168.3.3\Share\Releases\Projects\Comcast\Release_for_Test\Test_Build_4.6.6\Server CD\GUI\Setup "/>
    <s v="Pass"/>
    <x v="1"/>
    <m/>
    <m/>
    <m/>
    <s v="Rudra Narayan"/>
    <x v="0"/>
  </r>
  <r>
    <x v="186"/>
    <x v="179"/>
    <n v="9"/>
    <x v="9"/>
    <n v="9"/>
    <s v="IT-LQA"/>
    <x v="16"/>
    <m/>
    <x v="9"/>
    <x v="0"/>
    <x v="0"/>
    <s v="NPDBS_TLN_1.0.4.95.1"/>
    <x v="0"/>
    <x v="53"/>
    <s v="\\192.168.3.3\Share\Releases\Projects\Telenet\Build&amp;Release\Release For IT\Test_Build_4.0.41\Server CD\Database\Setup"/>
    <x v="2"/>
    <s v="\\192.168.3.3\Share\Releases\Projects\Telenet\Build&amp;Release\Release For Test\Test_Build_4.0.41\Server CD\Database\Setup"/>
    <m/>
    <x v="1"/>
    <m/>
    <m/>
    <m/>
    <m/>
    <x v="2"/>
  </r>
  <r>
    <x v="186"/>
    <x v="179"/>
    <n v="9"/>
    <x v="9"/>
    <n v="9"/>
    <s v="LQA"/>
    <x v="1"/>
    <m/>
    <x v="1"/>
    <x v="1"/>
    <x v="1"/>
    <s v="MPE_3.2.6b1"/>
    <x v="0"/>
    <x v="14"/>
    <m/>
    <x v="0"/>
    <s v="\\192.168.3.3\Share\Releases\Product\MPE_3.2\ReleaseForLQA\TestBuild_3.2.6\Server CD\MPE\Setup"/>
    <m/>
    <x v="1"/>
    <m/>
    <m/>
    <m/>
    <m/>
    <x v="1"/>
  </r>
  <r>
    <x v="186"/>
    <x v="179"/>
    <n v="9"/>
    <x v="9"/>
    <n v="9"/>
    <s v="LQA-UAT"/>
    <x v="21"/>
    <m/>
    <x v="1"/>
    <x v="1"/>
    <x v="1"/>
    <s v="MPE_TLSTR-ST_3.2.6.0.1"/>
    <x v="0"/>
    <x v="56"/>
    <m/>
    <x v="0"/>
    <s v="\\192.168.3.3\Share\Releases\Projects\TLSTR-ST\Release_For_Test\Test_Build_1.0.0.1\Server CD\MPE\Setup"/>
    <s v="Pass"/>
    <x v="0"/>
    <m/>
    <m/>
    <m/>
    <s v="Upender"/>
    <x v="0"/>
  </r>
  <r>
    <x v="186"/>
    <x v="179"/>
    <n v="9"/>
    <x v="9"/>
    <n v="9"/>
    <s v="IT-LQA-FAT"/>
    <x v="0"/>
    <m/>
    <x v="2"/>
    <x v="0"/>
    <x v="0"/>
    <s v="DMDBS_SLT_2.0.0.23.1.173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86"/>
    <x v="179"/>
    <n v="9"/>
    <x v="9"/>
    <n v="9"/>
    <s v="LQA-UAT"/>
    <x v="8"/>
    <m/>
    <x v="12"/>
    <x v="2"/>
    <x v="0"/>
    <s v="WWCSGUI_TWC_2.1.13.0.1.1b1"/>
    <x v="0"/>
    <x v="13"/>
    <m/>
    <x v="0"/>
    <s v="\\192.168.3.3\Share\Releases\Projects\TWC\Release_For_Test\Test_Build_1.0.0.4\Server CD\GUI\Setup"/>
    <s v="Pass"/>
    <x v="1"/>
    <m/>
    <m/>
    <m/>
    <s v="Ajay Kumar Pandey"/>
    <x v="0"/>
  </r>
  <r>
    <x v="187"/>
    <x v="183"/>
    <n v="9"/>
    <x v="9"/>
    <n v="9"/>
    <s v="IT-LQA-UAT"/>
    <x v="1"/>
    <m/>
    <x v="9"/>
    <x v="0"/>
    <x v="0"/>
    <s v="NPDBS_1.2.3.17b1"/>
    <x v="0"/>
    <x v="54"/>
    <s v="\\192.168.3.3\share\Releases\Product\NetMindPOS_1.1\Build&amp;Release\Release for IT\TestBuild_1.2.3\Server CD\DBS\Setup"/>
    <x v="0"/>
    <s v="\\192.168.3.3\share\Releases\Product\NetMindPOS_1.1\Build&amp;Release\Release for LQA\TestBuild_1.2.3\Server CD\DBS\Setup"/>
    <s v="Pass"/>
    <x v="1"/>
    <m/>
    <m/>
    <m/>
    <s v="Sumit Gomber"/>
    <x v="0"/>
  </r>
  <r>
    <x v="187"/>
    <x v="183"/>
    <n v="9"/>
    <x v="9"/>
    <n v="9"/>
    <s v="IT-LQA-UAT"/>
    <x v="10"/>
    <m/>
    <x v="5"/>
    <x v="0"/>
    <x v="0"/>
    <s v="NMDBS_COM_4.6.1.29.1.77b1"/>
    <x v="0"/>
    <x v="7"/>
    <s v="\\192.168.3.3\Share\Releases\Projects\Comcast\Release_For_IT\Test_Build_4.6.1\Server CD\Database\Setup"/>
    <x v="0"/>
    <s v="\\192.168.3.3\Share\Releases\Projects\Comcast\Release_for_Test\Test_Build_4.6.6\Server CD\Database\Setup"/>
    <s v="Pass"/>
    <x v="1"/>
    <m/>
    <m/>
    <m/>
    <s v="Rudra Narayan"/>
    <x v="0"/>
  </r>
  <r>
    <x v="187"/>
    <x v="183"/>
    <n v="9"/>
    <x v="9"/>
    <n v="9"/>
    <s v="IT-LQA"/>
    <x v="10"/>
    <m/>
    <x v="9"/>
    <x v="0"/>
    <x v="0"/>
    <s v="NPDBS_COM_1.2.3.15.1.22b1"/>
    <x v="0"/>
    <x v="54"/>
    <s v="\\192.168.3.3\Share\Releases\Projects\Comcast\Release_For_IT\Test_Build_4.6.1\Server CD\Database\Setup"/>
    <x v="0"/>
    <s v="\\192.168.3.3\Share\Releases\Projects\Comcast\Release_for_Test\Test_Build_4.6.6\Server CD\Database\Setup"/>
    <m/>
    <x v="1"/>
    <m/>
    <m/>
    <m/>
    <m/>
    <x v="1"/>
  </r>
  <r>
    <x v="188"/>
    <x v="184"/>
    <n v="9"/>
    <x v="9"/>
    <n v="9"/>
    <s v="LQA"/>
    <x v="0"/>
    <m/>
    <x v="1"/>
    <x v="1"/>
    <x v="0"/>
    <s v="MPE_SLT-1B_3.0.1.1.1.95b1"/>
    <x v="0"/>
    <x v="26"/>
    <m/>
    <x v="0"/>
    <s v="\\192.168.3.3\Share\Releases\Projects\SLT-1B\Release_For_Test\Test_Build_1.0.0.1\Server CD\MPE\Setup"/>
    <s v="Pass"/>
    <x v="1"/>
    <m/>
    <m/>
    <m/>
    <m/>
    <x v="0"/>
  </r>
  <r>
    <x v="188"/>
    <x v="184"/>
    <n v="9"/>
    <x v="9"/>
    <n v="9"/>
    <s v="IT-LQA-FAT"/>
    <x v="0"/>
    <m/>
    <x v="2"/>
    <x v="0"/>
    <x v="0"/>
    <s v="DMDBS_SLT_2.0.0.23.1.175b1"/>
    <x v="0"/>
    <x v="0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88"/>
    <x v="184"/>
    <n v="9"/>
    <x v="9"/>
    <n v="9"/>
    <s v="IT-LQA-FAT"/>
    <x v="0"/>
    <m/>
    <x v="4"/>
    <x v="0"/>
    <x v="0"/>
    <s v="RADBS_SLT_2.1.1.12.1.82b1"/>
    <x v="0"/>
    <x v="0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88"/>
    <x v="184"/>
    <n v="9"/>
    <x v="9"/>
    <n v="9"/>
    <s v="LQA-UAT"/>
    <x v="10"/>
    <m/>
    <x v="8"/>
    <x v="2"/>
    <x v="0"/>
    <s v="WWFSGUI_COM_2.1.34.0.1.4b1"/>
    <x v="0"/>
    <x v="42"/>
    <m/>
    <x v="0"/>
    <s v="\\192.168.3.3\Share\Releases\Projects\Comcast\Release_for_Test\Test_Build_4.6.6\Server CD\GUI\Setup "/>
    <s v="Pass"/>
    <x v="1"/>
    <m/>
    <m/>
    <m/>
    <s v="Rudra Narayan"/>
    <x v="0"/>
  </r>
  <r>
    <x v="188"/>
    <x v="184"/>
    <n v="9"/>
    <x v="9"/>
    <n v="9"/>
    <s v="IT-LQA"/>
    <x v="10"/>
    <m/>
    <x v="9"/>
    <x v="0"/>
    <x v="0"/>
    <s v="NPDBS_COM_1.2.3.17.1.23b1"/>
    <x v="0"/>
    <x v="54"/>
    <s v="\\192.168.3.3\Share\Releases\Projects\Comcast\Release_For_IT\Test_Build_4.6.1\Server CD\Database\Setup"/>
    <x v="0"/>
    <s v="\\192.168.3.3\Share\Releases\Projects\Comcast\Release_for_Test\Test_Build_4.6.6\Server CD\Database\Setup"/>
    <m/>
    <x v="1"/>
    <m/>
    <m/>
    <m/>
    <m/>
    <x v="1"/>
  </r>
  <r>
    <x v="188"/>
    <x v="184"/>
    <n v="9"/>
    <x v="9"/>
    <n v="9"/>
    <s v="LQA"/>
    <x v="5"/>
    <m/>
    <x v="12"/>
    <x v="2"/>
    <x v="1"/>
    <s v="WWCSGUI_BHN_2.1.19.0.1"/>
    <x v="0"/>
    <x v="13"/>
    <m/>
    <x v="0"/>
    <s v="\\192.168.3.3\Share\Releases\Projects\BHN\Release_For_Test\Test_Build_1.0.1\Server CD\GUI\Setup"/>
    <m/>
    <x v="0"/>
    <m/>
    <m/>
    <m/>
    <m/>
    <x v="1"/>
  </r>
  <r>
    <x v="189"/>
    <x v="185"/>
    <n v="9"/>
    <x v="9"/>
    <n v="9"/>
    <s v="LQA"/>
    <x v="5"/>
    <m/>
    <x v="8"/>
    <x v="2"/>
    <x v="1"/>
    <s v="WWFSGUI_BHN_2.1.34.0.1"/>
    <x v="0"/>
    <x v="13"/>
    <m/>
    <x v="0"/>
    <s v="\\192.168.3.3\Share\Releases\Projects\BHN\Release_For_Test\Test_Build_1.0.1\Server CD\GUI\Setup"/>
    <m/>
    <x v="0"/>
    <m/>
    <m/>
    <m/>
    <m/>
    <x v="1"/>
  </r>
  <r>
    <x v="189"/>
    <x v="185"/>
    <n v="9"/>
    <x v="9"/>
    <n v="9"/>
    <s v="IT-LQA-FAT"/>
    <x v="0"/>
    <m/>
    <x v="4"/>
    <x v="0"/>
    <x v="0"/>
    <s v="RADBS_SLT_2.1.1.12.1.84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90"/>
    <x v="186"/>
    <n v="9"/>
    <x v="9"/>
    <n v="9"/>
    <s v="IT-LQA-FAT"/>
    <x v="0"/>
    <m/>
    <x v="2"/>
    <x v="0"/>
    <x v="0"/>
    <s v="DMDBS_SLT_2.0.0.25.1.176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90"/>
    <x v="186"/>
    <n v="9"/>
    <x v="9"/>
    <n v="9"/>
    <s v="LQA-UAT"/>
    <x v="8"/>
    <m/>
    <x v="1"/>
    <x v="1"/>
    <x v="0"/>
    <s v="MPE_TWC_3.2.1.5.2.21b1"/>
    <x v="0"/>
    <x v="46"/>
    <m/>
    <x v="0"/>
    <s v="\\192.168.3.3\Share\Releases\Projects\TWC\Release_For_Test\Test_Build_1.0.0.4\Server CD\MPE\Setup"/>
    <s v="Pass"/>
    <x v="1"/>
    <m/>
    <m/>
    <m/>
    <s v="Ajay Kumar Pandey"/>
    <x v="0"/>
  </r>
  <r>
    <x v="190"/>
    <x v="186"/>
    <n v="9"/>
    <x v="9"/>
    <n v="9"/>
    <s v="IT-LQA-FAT"/>
    <x v="0"/>
    <m/>
    <x v="2"/>
    <x v="0"/>
    <x v="0"/>
    <s v="DMDBS_SLT_2.0.0.25.1.178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90"/>
    <x v="186"/>
    <n v="9"/>
    <x v="9"/>
    <n v="9"/>
    <s v="LQA-UAT"/>
    <x v="4"/>
    <m/>
    <x v="1"/>
    <x v="1"/>
    <x v="0"/>
    <s v="MPE_TLSTR-2b_3.0.0.3.1.107b1"/>
    <x v="0"/>
    <x v="11"/>
    <m/>
    <x v="0"/>
    <s v="\\192.168.3.3\Share\Releases\Projects\Telstra-2b\Release_For_Test\Test_Build_1.0.0.1\Server CD\MPE\Setup"/>
    <s v="Pass"/>
    <x v="1"/>
    <m/>
    <m/>
    <m/>
    <s v="Gaurav Shukla"/>
    <x v="0"/>
  </r>
  <r>
    <x v="191"/>
    <x v="187"/>
    <n v="9"/>
    <x v="9"/>
    <n v="9"/>
    <s v="LQA"/>
    <x v="5"/>
    <m/>
    <x v="5"/>
    <x v="0"/>
    <x v="1"/>
    <s v="NMDBS_BHN_4.7.1.1"/>
    <x v="0"/>
    <x v="23"/>
    <m/>
    <x v="0"/>
    <s v="\\192.168.3.3\Share\Releases\Projects\BHN\Release_For_Test\Test_Build_1.0.1\Server CD\DBS\Setup"/>
    <m/>
    <x v="0"/>
    <m/>
    <m/>
    <m/>
    <m/>
    <x v="1"/>
  </r>
  <r>
    <x v="191"/>
    <x v="187"/>
    <n v="9"/>
    <x v="9"/>
    <n v="9"/>
    <s v="LQA"/>
    <x v="5"/>
    <m/>
    <x v="1"/>
    <x v="1"/>
    <x v="1"/>
    <s v="MPE_BHN_3.2.5.0.1"/>
    <x v="0"/>
    <x v="46"/>
    <m/>
    <x v="0"/>
    <s v="\\192.168.3.3\Share\Releases\Projects\BHN\Release_For_Test\Test_Build_1.0.1\Server CD\MPE\Setup "/>
    <m/>
    <x v="1"/>
    <m/>
    <m/>
    <m/>
    <m/>
    <x v="1"/>
  </r>
  <r>
    <x v="191"/>
    <x v="187"/>
    <n v="9"/>
    <x v="9"/>
    <n v="9"/>
    <s v="IT-LQA"/>
    <x v="5"/>
    <m/>
    <x v="5"/>
    <x v="0"/>
    <x v="0"/>
    <s v="NMDBS_BHN_3.5.1.66.1"/>
    <x v="0"/>
    <x v="23"/>
    <s v="\\192.168.3.3\Share\Projects\Neustar\BHN\Build&amp;Release\Release For IT\Test_Build_3.5.37\Server CD\Database\Setup"/>
    <x v="0"/>
    <s v="\\192.168.3.3\Share\Projects\Neustar\BHN\Build&amp;Release\Release For Test\Test_Build_3.5.37\Server CD\Database\Setup"/>
    <m/>
    <x v="1"/>
    <m/>
    <m/>
    <m/>
    <m/>
    <x v="1"/>
  </r>
  <r>
    <x v="191"/>
    <x v="187"/>
    <n v="9"/>
    <x v="9"/>
    <n v="9"/>
    <s v="IT-LQA-FAT"/>
    <x v="0"/>
    <m/>
    <x v="2"/>
    <x v="0"/>
    <x v="0"/>
    <s v="DMDBS_SLT_2.0.0.25.1.179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91"/>
    <x v="187"/>
    <n v="9"/>
    <x v="9"/>
    <n v="9"/>
    <s v="IT-LQA-FAT"/>
    <x v="0"/>
    <m/>
    <x v="4"/>
    <x v="0"/>
    <x v="0"/>
    <s v="RADBS_SLT_2.1.1.12.1.85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92"/>
    <x v="188"/>
    <n v="9"/>
    <x v="9"/>
    <n v="9"/>
    <s v="IT-LQA"/>
    <x v="5"/>
    <m/>
    <x v="5"/>
    <x v="0"/>
    <x v="0"/>
    <s v="NMDBS_BHN_3.5.1.67.1"/>
    <x v="0"/>
    <x v="23"/>
    <s v="\\192.168.3.3\Share\Projects\Neustar\BHN\Build&amp;Release\Release For IT\Test_Build_3.5.37\Server CD\Database\Setup"/>
    <x v="0"/>
    <s v="\\192.168.3.3\Share\Projects\Neustar\BHN\Build&amp;Release\Release For Test\Test_Build_3.5.37\Server CD\Database\Setup"/>
    <m/>
    <x v="1"/>
    <m/>
    <m/>
    <m/>
    <m/>
    <x v="1"/>
  </r>
  <r>
    <x v="192"/>
    <x v="188"/>
    <n v="9"/>
    <x v="9"/>
    <n v="9"/>
    <s v="IT-LQA"/>
    <x v="5"/>
    <m/>
    <x v="11"/>
    <x v="6"/>
    <x v="1"/>
    <s v="NMUTLMIG1_BHN_1.0.0.0.1"/>
    <x v="0"/>
    <x v="39"/>
    <s v="\\192.168.3.3\Share\Releases\Projects\BHN\Release_For_Test\Test_Build_1.0.1\Server CD\Utility\Setup"/>
    <x v="2"/>
    <s v="\\192.168.3.3\Share\Releases\Projects\BHN\Release_For_IT\TestBuild_1.0.0.1\Server CD\Utility\Setup"/>
    <m/>
    <x v="1"/>
    <m/>
    <m/>
    <m/>
    <m/>
    <x v="2"/>
  </r>
  <r>
    <x v="192"/>
    <x v="188"/>
    <n v="9"/>
    <x v="9"/>
    <n v="9"/>
    <s v="IT-LQA"/>
    <x v="5"/>
    <m/>
    <x v="11"/>
    <x v="6"/>
    <x v="1"/>
    <s v="NMUTLMIG2_BHN_1.0.0.0.1"/>
    <x v="0"/>
    <x v="39"/>
    <s v="\\192.168.3.3\Share\Releases\Projects\BHN\Release_For_Test\Test_Build_1.0.1\Server CD\Utility\Setup"/>
    <x v="2"/>
    <s v="\\192.168.3.3\Share\Releases\Projects\BHN\Release_For_IT\TestBuild_1.0.0.1\Server CD\Utility\Setup"/>
    <m/>
    <x v="1"/>
    <m/>
    <m/>
    <m/>
    <m/>
    <x v="2"/>
  </r>
  <r>
    <x v="192"/>
    <x v="188"/>
    <n v="9"/>
    <x v="9"/>
    <n v="9"/>
    <s v="IT-LQA"/>
    <x v="5"/>
    <m/>
    <x v="11"/>
    <x v="6"/>
    <x v="1"/>
    <s v="NMUTLMIG3_BHN_1.0.0.0.1"/>
    <x v="0"/>
    <x v="39"/>
    <s v="\\192.168.3.3\Share\Releases\Projects\BHN\Release_For_Test\Test_Build_1.0.1\Server CD\Utility\Setup"/>
    <x v="2"/>
    <s v="\\192.168.3.3\Share\Releases\Projects\BHN\Release_For_IT\TestBuild_1.0.0.1\Server CD\Utility\Setup"/>
    <m/>
    <x v="1"/>
    <m/>
    <m/>
    <m/>
    <m/>
    <x v="2"/>
  </r>
  <r>
    <x v="192"/>
    <x v="188"/>
    <n v="9"/>
    <x v="9"/>
    <n v="9"/>
    <s v="IT-LQA"/>
    <x v="5"/>
    <m/>
    <x v="11"/>
    <x v="6"/>
    <x v="1"/>
    <s v="NMUTLMIG4_BHN_1.0.0.0.1"/>
    <x v="0"/>
    <x v="39"/>
    <s v="\\192.168.3.3\Share\Releases\Projects\BHN\Release_For_Test\Test_Build_1.0.1\Server CD\Utility\Setup"/>
    <x v="2"/>
    <s v="\\192.168.3.3\Share\Releases\Projects\BHN\Release_For_IT\TestBuild_1.0.0.1\Server CD\Utility\Setup"/>
    <m/>
    <x v="1"/>
    <m/>
    <m/>
    <m/>
    <m/>
    <x v="2"/>
  </r>
  <r>
    <x v="192"/>
    <x v="188"/>
    <n v="9"/>
    <x v="9"/>
    <n v="9"/>
    <s v="IT-LQA"/>
    <x v="5"/>
    <m/>
    <x v="5"/>
    <x v="0"/>
    <x v="0"/>
    <s v="NMDBS_BHN_3.5.1.63.2"/>
    <x v="0"/>
    <x v="23"/>
    <s v="\\192.168.3.3\Share\Projects\Neustar\BHN\Build&amp;Release\Release For IT\Test_Build_3.5.37\Server CD\Database\Setup"/>
    <x v="2"/>
    <s v="\\192.168.3.3\Share\Projects\Neustar\BHN\Build&amp;Release\Release For Test\Test_Build_3.5.37\Server CD\Database\Setup"/>
    <m/>
    <x v="1"/>
    <m/>
    <m/>
    <m/>
    <m/>
    <x v="2"/>
  </r>
  <r>
    <x v="192"/>
    <x v="188"/>
    <n v="9"/>
    <x v="9"/>
    <n v="9"/>
    <s v="IT-LQA"/>
    <x v="5"/>
    <m/>
    <x v="5"/>
    <x v="0"/>
    <x v="0"/>
    <s v="NMDBS_BHN_3.5.1.64.2"/>
    <x v="0"/>
    <x v="23"/>
    <s v="\\192.168.3.3\Share\Projects\Neustar\BHN\Build&amp;Release\Release For IT\Test_Build_3.5.37\Server CD\Database\Setup"/>
    <x v="2"/>
    <s v="\\192.168.3.3\Share\Projects\Neustar\BHN\Build&amp;Release\Release For Test\Test_Build_3.5.37\Server CD\Database\Setup"/>
    <m/>
    <x v="1"/>
    <m/>
    <m/>
    <m/>
    <m/>
    <x v="2"/>
  </r>
  <r>
    <x v="192"/>
    <x v="188"/>
    <n v="9"/>
    <x v="9"/>
    <n v="9"/>
    <s v="IT-LQA-UAT"/>
    <x v="5"/>
    <m/>
    <x v="5"/>
    <x v="0"/>
    <x v="0"/>
    <s v="NMDBS_BHN_3.5.1.65.2"/>
    <x v="0"/>
    <x v="23"/>
    <s v="\\192.168.3.3\Share\Projects\Neustar\BHN\Build&amp;Release\Release For IT\Test_Build_3.5.37\Server CD\Database\Setup"/>
    <x v="0"/>
    <s v="\\192.168.3.3\Share\Projects\Neustar\BHN\Build&amp;Release\Release For Test\Test_Build_3.5.37\Server CD\Database\Setup"/>
    <s v="Pass"/>
    <x v="1"/>
    <m/>
    <m/>
    <m/>
    <s v="Sunil Katyar"/>
    <x v="0"/>
  </r>
  <r>
    <x v="192"/>
    <x v="188"/>
    <n v="9"/>
    <x v="9"/>
    <n v="9"/>
    <s v="LQA-UAT"/>
    <x v="10"/>
    <m/>
    <x v="8"/>
    <x v="2"/>
    <x v="0"/>
    <s v="WWFSGUI_COM_2.1.34.0.1.5b1"/>
    <x v="0"/>
    <x v="13"/>
    <m/>
    <x v="0"/>
    <s v="\\192.168.3.3\Share\Releases\Projects\Comcast\Release_for_Test\Test_Build_4.6.6\Server CD\GUI\Setup "/>
    <s v="Pass"/>
    <x v="1"/>
    <m/>
    <m/>
    <m/>
    <s v="Rudra Narayan"/>
    <x v="0"/>
  </r>
  <r>
    <x v="192"/>
    <x v="188"/>
    <n v="9"/>
    <x v="9"/>
    <n v="9"/>
    <s v="IT-LQA-FAT"/>
    <x v="0"/>
    <m/>
    <x v="2"/>
    <x v="0"/>
    <x v="0"/>
    <s v="DMDBS_SLT_2.0.0.20.1.114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0"/>
    <m/>
    <m/>
    <m/>
    <s v="K.V. Krishnan"/>
    <x v="0"/>
  </r>
  <r>
    <x v="192"/>
    <x v="188"/>
    <n v="9"/>
    <x v="9"/>
    <n v="9"/>
    <s v="IT-LQA-UAT"/>
    <x v="10"/>
    <m/>
    <x v="7"/>
    <x v="0"/>
    <x v="0"/>
    <s v="RTDBS_COM_4.0.1.20.1.4b1"/>
    <x v="0"/>
    <x v="7"/>
    <s v="\\192.168.3.3\Share\Releases\Projects\Comcast\Release_For_IT\Test_Build_4.6.1\Server CD\Database\Setup"/>
    <x v="0"/>
    <s v="\\192.168.3.3\Share\Releases\Projects\Comcast\Release_for_Test\Test_Build_4.6.6\Server CD\Database\Setup"/>
    <s v="Pass"/>
    <x v="1"/>
    <m/>
    <m/>
    <m/>
    <s v="Sumit Gomber"/>
    <x v="0"/>
  </r>
  <r>
    <x v="192"/>
    <x v="188"/>
    <n v="9"/>
    <x v="9"/>
    <n v="9"/>
    <s v="LQA-UAT"/>
    <x v="10"/>
    <m/>
    <x v="7"/>
    <x v="2"/>
    <x v="0"/>
    <s v="RTGUI_COM_4.0.25.1.1.3b1"/>
    <x v="0"/>
    <x v="35"/>
    <m/>
    <x v="0"/>
    <s v="\\192.168.3.3\share\Releases\Projects\Comcast\Release_for_Test\Test_Build_4.6.6\Server CD\GUI\Setup"/>
    <s v="Pass"/>
    <x v="1"/>
    <m/>
    <m/>
    <m/>
    <s v="Sumit Gomber"/>
    <x v="0"/>
  </r>
  <r>
    <x v="193"/>
    <x v="189"/>
    <n v="9"/>
    <x v="9"/>
    <n v="9"/>
    <s v="IT-LQA-UAT"/>
    <x v="8"/>
    <m/>
    <x v="5"/>
    <x v="0"/>
    <x v="0"/>
    <s v="NMDBS_TWC_4.6.1.11.3.43b3"/>
    <x v="0"/>
    <x v="19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Ajay Kumar Pandey"/>
    <x v="0"/>
  </r>
  <r>
    <x v="194"/>
    <x v="190"/>
    <n v="9"/>
    <x v="9"/>
    <n v="9"/>
    <s v="IT-LQA-FAT"/>
    <x v="0"/>
    <m/>
    <x v="2"/>
    <x v="0"/>
    <x v="0"/>
    <s v="DMDBS_SLT_2.0.0.25.1.180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94"/>
    <x v="190"/>
    <n v="9"/>
    <x v="9"/>
    <n v="9"/>
    <s v="IT-LQA-FAT"/>
    <x v="0"/>
    <m/>
    <x v="2"/>
    <x v="0"/>
    <x v="0"/>
    <s v="DMDBS_SLT_2.0.0.25.1.181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94"/>
    <x v="190"/>
    <n v="9"/>
    <x v="9"/>
    <n v="9"/>
    <s v="IT-LQA-FAT"/>
    <x v="0"/>
    <m/>
    <x v="2"/>
    <x v="0"/>
    <x v="0"/>
    <s v="DMDBS_SLT_2.0.0.25.1.182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94"/>
    <x v="190"/>
    <n v="9"/>
    <x v="9"/>
    <n v="9"/>
    <s v="IT-LQA-UAT"/>
    <x v="5"/>
    <m/>
    <x v="5"/>
    <x v="0"/>
    <x v="0"/>
    <s v="NMDBS_BHN_3.5.1.63.3"/>
    <x v="0"/>
    <x v="19"/>
    <s v="\\192.168.3.3\Share\Projects\Neustar\BHN\Build&amp;Release\Release For IT\Test_Build_3.5.37\Server CD\Database\Setup"/>
    <x v="0"/>
    <s v="\\192.168.3.3\Share\Projects\Neustar\BHN\Build&amp;Release\Release For Test\Test_Build_3.5.37\Server CD\Database\Setup"/>
    <s v="Pass"/>
    <x v="1"/>
    <m/>
    <m/>
    <m/>
    <s v="Sunil Katyar"/>
    <x v="0"/>
  </r>
  <r>
    <x v="194"/>
    <x v="190"/>
    <n v="9"/>
    <x v="9"/>
    <n v="9"/>
    <s v="IT-LQA-UAT"/>
    <x v="5"/>
    <m/>
    <x v="5"/>
    <x v="0"/>
    <x v="0"/>
    <s v="NMDBS_BHN_3.5.1.64.3"/>
    <x v="0"/>
    <x v="19"/>
    <s v="\\192.168.3.3\Share\Projects\Neustar\BHN\Build&amp;Release\Release For IT\Test_Build_3.5.37\Server CD\Database\Setup"/>
    <x v="0"/>
    <s v="\\192.168.3.3\Share\Projects\Neustar\BHN\Build&amp;Release\Release For Test\Test_Build_3.5.37\Server CD\Database\Setup"/>
    <s v="Pass"/>
    <x v="1"/>
    <m/>
    <m/>
    <m/>
    <s v="Sunil Katyar"/>
    <x v="0"/>
  </r>
  <r>
    <x v="194"/>
    <x v="190"/>
    <n v="9"/>
    <x v="9"/>
    <n v="9"/>
    <s v="IT-LQA-UAT"/>
    <x v="21"/>
    <s v="phase 1"/>
    <x v="2"/>
    <x v="0"/>
    <x v="0"/>
    <s v="DMDBS_TLSTR-ST_2.1.1.8.1.1b1"/>
    <x v="0"/>
    <x v="3"/>
    <s v="\\192.168.3.3\Share\Releases\Projects\SLT\Release_For_IT\Test_Build_1.0.0.4\Server CD\DBS\Setup"/>
    <x v="0"/>
    <s v="\\192.168.3.3\Share\Releases\Projects\TLSTR-ST\Release_For_Test\Test_Build_1.0.1\Server CD\MPE\Setup"/>
    <s v="Pass"/>
    <x v="1"/>
    <m/>
    <m/>
    <m/>
    <s v="Upender"/>
    <x v="0"/>
  </r>
  <r>
    <x v="194"/>
    <x v="190"/>
    <n v="9"/>
    <x v="9"/>
    <n v="9"/>
    <s v="LQA-UAT"/>
    <x v="21"/>
    <m/>
    <x v="1"/>
    <x v="1"/>
    <x v="0"/>
    <s v="MPE_TLSTR-ST_3.2.6.0.1.1b1"/>
    <x v="0"/>
    <x v="56"/>
    <m/>
    <x v="0"/>
    <s v="\\192.168.3.3\Share\Releases\Projects\TLSTR-ST\Release_For_Test\Test_Build_1.0.1\Server CD\MPE\Setup"/>
    <s v="Pass"/>
    <x v="1"/>
    <m/>
    <m/>
    <m/>
    <s v="Upender"/>
    <x v="0"/>
  </r>
  <r>
    <x v="195"/>
    <x v="190"/>
    <n v="9"/>
    <x v="9"/>
    <n v="9"/>
    <s v="IT-LQA-UAT"/>
    <x v="16"/>
    <m/>
    <x v="9"/>
    <x v="0"/>
    <x v="0"/>
    <s v="NPDBS_TLN_1.0.4.95.2"/>
    <x v="0"/>
    <x v="53"/>
    <s v="\\192.168.3.3\Share\Releases\Projects\Telenet\Build&amp;Release\Release For IT\Test_Build_4.0.41\Server CD\Database\Setup"/>
    <x v="0"/>
    <s v="\\192.168.3.3\Share\Releases\Projects\Telenet\Build&amp;Release\Release For Test\Test_Build_4.0.41\Server CD\Database\Setup"/>
    <s v="Pass"/>
    <x v="1"/>
    <m/>
    <m/>
    <m/>
    <s v="Ajay Kumar Pandey"/>
    <x v="0"/>
  </r>
  <r>
    <x v="196"/>
    <x v="191"/>
    <n v="9"/>
    <x v="9"/>
    <n v="9"/>
    <s v="IT-LQA-UAT"/>
    <x v="8"/>
    <m/>
    <x v="5"/>
    <x v="0"/>
    <x v="0"/>
    <s v="NMDBS_TWC_4.6.1.11.3.44b1"/>
    <x v="0"/>
    <x v="19"/>
    <s v="\\192.168.3.3\Share\Releases\Projects\TWC\Release_For_IT\Test_Build_1.0.0.3\Server CD\DBS\Setup"/>
    <x v="0"/>
    <s v="\\192.168.3.3\Share\Releases\Projects\TWC\Release_For_Test\Test_Build_1.0.0.4\Server CD\DBS\Setup"/>
    <s v="Pass"/>
    <x v="0"/>
    <m/>
    <m/>
    <m/>
    <s v="Ajay Kumar Pandey"/>
    <x v="0"/>
  </r>
  <r>
    <x v="196"/>
    <x v="191"/>
    <n v="9"/>
    <x v="9"/>
    <n v="9"/>
    <s v="LQA-UAT"/>
    <x v="3"/>
    <m/>
    <x v="1"/>
    <x v="1"/>
    <x v="0"/>
    <s v="MPE_OBT_3.2.1.8.1.25b1"/>
    <x v="0"/>
    <x v="41"/>
    <m/>
    <x v="0"/>
    <s v="\\192.168.3.3\share\Releases\Projects\OBT\Release_For_LQA\TestBuild_1.0.0.7\Server CD\MPE\Setup"/>
    <s v="Pass"/>
    <x v="1"/>
    <m/>
    <m/>
    <m/>
    <s v="Ajay Kumar Pandey"/>
    <x v="0"/>
  </r>
  <r>
    <x v="197"/>
    <x v="192"/>
    <n v="9"/>
    <x v="9"/>
    <n v="9"/>
    <s v="LQA-FAT"/>
    <x v="0"/>
    <m/>
    <x v="2"/>
    <x v="0"/>
    <x v="0"/>
    <s v="DMDBS_SLT_2.0.0.25.1.183b1 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Surya N Behra"/>
    <x v="0"/>
  </r>
  <r>
    <x v="197"/>
    <x v="192"/>
    <n v="9"/>
    <x v="9"/>
    <n v="9"/>
    <s v="IT-LQA"/>
    <x v="5"/>
    <m/>
    <x v="5"/>
    <x v="0"/>
    <x v="0"/>
    <s v="NMDBS_BHN_3.5.1.68.1"/>
    <x v="0"/>
    <x v="19"/>
    <s v="\\192.168.3.3\Share\Projects\Neustar\BHN\Build&amp;Release\Release For IT\Test_Build_3.5.37\Server CD\Database\Setup"/>
    <x v="2"/>
    <s v="\\192.168.3.3\Share\Projects\Neustar\BHN\Build&amp;Release\Release For Test\Test_Build_3.5.37\Server CD\Database\Setup"/>
    <m/>
    <x v="1"/>
    <m/>
    <m/>
    <m/>
    <m/>
    <x v="2"/>
  </r>
  <r>
    <x v="197"/>
    <x v="192"/>
    <n v="9"/>
    <x v="9"/>
    <n v="9"/>
    <s v="IT-LQA"/>
    <x v="0"/>
    <m/>
    <x v="2"/>
    <x v="0"/>
    <x v="0"/>
    <s v="DMDBS_SLT_2.0.0.25.1.184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m/>
    <x v="0"/>
  </r>
  <r>
    <x v="197"/>
    <x v="192"/>
    <n v="9"/>
    <x v="9"/>
    <n v="9"/>
    <s v="IT-LQA-FAT"/>
    <x v="0"/>
    <m/>
    <x v="2"/>
    <x v="0"/>
    <x v="0"/>
    <s v="DMDBS_SLT_2.0.0.25.1.185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98"/>
    <x v="193"/>
    <n v="10"/>
    <x v="10"/>
    <n v="10"/>
    <s v="IT-LQA"/>
    <x v="5"/>
    <m/>
    <x v="5"/>
    <x v="0"/>
    <x v="0"/>
    <s v="NMDBS_BHN_3.5.1.68.2"/>
    <x v="0"/>
    <x v="19"/>
    <s v="\\192.168.3.3\Share\Projects\Neustar\BHN\Build&amp;Release\Release For IT\Test_Build_3.5.37\Server CD\Database\Setup"/>
    <x v="0"/>
    <s v="\\192.168.3.3\Share\Projects\Neustar\BHN\Build&amp;Release\Release For Test\Test_Build_3.5.37\Server CD\Database\Setup"/>
    <m/>
    <x v="1"/>
    <m/>
    <m/>
    <m/>
    <m/>
    <x v="1"/>
  </r>
  <r>
    <x v="198"/>
    <x v="193"/>
    <n v="10"/>
    <x v="10"/>
    <n v="10"/>
    <s v="LQA-FAT"/>
    <x v="0"/>
    <m/>
    <x v="1"/>
    <x v="1"/>
    <x v="0"/>
    <s v="MPE_SLT-1B_3.0.1.1.1.96b1"/>
    <x v="0"/>
    <x v="26"/>
    <m/>
    <x v="0"/>
    <s v="\\192.168.3.3\Share\Releases\Projects\SLT-1B\Release_For_Test\Test_Build_1.0.0.1\Server CD\MPE\Setup"/>
    <s v="Pass"/>
    <x v="0"/>
    <m/>
    <m/>
    <m/>
    <s v="K.V. Krishnan"/>
    <x v="0"/>
  </r>
  <r>
    <x v="198"/>
    <x v="193"/>
    <n v="10"/>
    <x v="10"/>
    <n v="10"/>
    <s v="LQA-UAT"/>
    <x v="21"/>
    <m/>
    <x v="1"/>
    <x v="1"/>
    <x v="0"/>
    <s v="MPE_TLSTR-ST_3.2.6.0.1.2b1"/>
    <x v="0"/>
    <x v="56"/>
    <m/>
    <x v="0"/>
    <s v="\\192.168.3.3\Share\Releases\Projects\TLSTR-ST\Release_For_Test\Test_Build_1.0.1\Server CD\MPE\Setup"/>
    <s v="Pass"/>
    <x v="1"/>
    <m/>
    <m/>
    <m/>
    <s v="Upender"/>
    <x v="0"/>
  </r>
  <r>
    <x v="198"/>
    <x v="193"/>
    <n v="10"/>
    <x v="10"/>
    <n v="10"/>
    <s v="IT-LQA-UAT"/>
    <x v="0"/>
    <m/>
    <x v="4"/>
    <x v="0"/>
    <x v="0"/>
    <s v="RADBS_SLT_2.1.1.12.1.86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98"/>
    <x v="193"/>
    <n v="10"/>
    <x v="10"/>
    <n v="10"/>
    <s v="IT-LQA-UAT"/>
    <x v="0"/>
    <m/>
    <x v="2"/>
    <x v="0"/>
    <x v="0"/>
    <s v="DMDBS_SLT_2.0.0.25.1.186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98"/>
    <x v="193"/>
    <n v="10"/>
    <x v="10"/>
    <n v="10"/>
    <s v="IT-LQA-UAT"/>
    <x v="0"/>
    <m/>
    <x v="4"/>
    <x v="0"/>
    <x v="0"/>
    <s v="RADBS_SLT_2.1.1.12.1.87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98"/>
    <x v="193"/>
    <n v="10"/>
    <x v="10"/>
    <n v="10"/>
    <s v="IT-LQA-UAT"/>
    <x v="0"/>
    <m/>
    <x v="2"/>
    <x v="0"/>
    <x v="0"/>
    <s v="DMDBS_SLT_2.0.0.25.1.187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198"/>
    <x v="193"/>
    <n v="10"/>
    <x v="10"/>
    <n v="10"/>
    <s v="IT-LQA"/>
    <x v="5"/>
    <m/>
    <x v="11"/>
    <x v="6"/>
    <x v="1"/>
    <s v="NMUTLMIG3_BHN_1.0.0.0.2"/>
    <x v="0"/>
    <x v="39"/>
    <s v="\\192.168.3.3\Share\Releases\Projects\BHN\Release_For_Test\Test_Build_1.0.1\Server CD\Utility\Setup"/>
    <x v="2"/>
    <s v="\\192.168.3.3\Share\Releases\Projects\BHN\Release_For_IT\TestBuild_1.0.0.1\Server CD\Utility\Setup"/>
    <m/>
    <x v="1"/>
    <m/>
    <m/>
    <m/>
    <m/>
    <x v="2"/>
  </r>
  <r>
    <x v="198"/>
    <x v="193"/>
    <n v="10"/>
    <x v="10"/>
    <n v="10"/>
    <s v="IT-LQA"/>
    <x v="5"/>
    <m/>
    <x v="11"/>
    <x v="6"/>
    <x v="1"/>
    <s v="NMUTLMIG1_BHN_1.0.0.0.2"/>
    <x v="0"/>
    <x v="39"/>
    <s v="\\192.168.3.3\Share\Releases\Projects\BHN\Release_For_Test\Test_Build_1.0.1\Server CD\Utility\Setup"/>
    <x v="2"/>
    <s v="\\192.168.3.3\Share\Releases\Projects\BHN\Release_For_IT\TestBuild_1.0.0.1\Server CD\Utility\Setup"/>
    <m/>
    <x v="1"/>
    <m/>
    <m/>
    <m/>
    <m/>
    <x v="2"/>
  </r>
  <r>
    <x v="198"/>
    <x v="193"/>
    <n v="10"/>
    <x v="10"/>
    <n v="10"/>
    <s v="IT-LQA"/>
    <x v="5"/>
    <m/>
    <x v="11"/>
    <x v="6"/>
    <x v="1"/>
    <s v="NMUTLMIG2_BHN_1.0.0.0.2"/>
    <x v="0"/>
    <x v="39"/>
    <s v="\\192.168.3.3\Share\Releases\Projects\BHN\Release_For_Test\Test_Build_1.0.1\Server CD\Utility\Setup"/>
    <x v="2"/>
    <s v="\\192.168.3.3\Share\Releases\Projects\BHN\Release_For_IT\TestBuild_1.0.0.1\Server CD\Utility\Setup"/>
    <m/>
    <x v="1"/>
    <m/>
    <m/>
    <m/>
    <m/>
    <x v="2"/>
  </r>
  <r>
    <x v="198"/>
    <x v="193"/>
    <n v="10"/>
    <x v="10"/>
    <n v="10"/>
    <s v="IT-LQA-UAT"/>
    <x v="8"/>
    <m/>
    <x v="5"/>
    <x v="0"/>
    <x v="0"/>
    <s v="NMDBS_TWC_4.6.1.11.3.45b1"/>
    <x v="0"/>
    <x v="7"/>
    <s v="\\192.168.3.3\Share\Releases\Projects\TWC\Release_For_Test\Test_Build_1.0.0.4\Server CD\DBS\Setup"/>
    <x v="0"/>
    <s v="\\192.168.3.3\Share\Releases\Projects\TWC\Release_For_IT\Test_Build_1.0.0.3\Server CD\DBS\Setup"/>
    <s v="Pass"/>
    <x v="1"/>
    <m/>
    <m/>
    <m/>
    <s v="Ajay Kumar Pandey"/>
    <x v="0"/>
  </r>
  <r>
    <x v="199"/>
    <x v="194"/>
    <n v="10"/>
    <x v="10"/>
    <n v="10"/>
    <s v="LQA-UAT"/>
    <x v="8"/>
    <m/>
    <x v="1"/>
    <x v="1"/>
    <x v="0"/>
    <s v="MPE_TWC_3.2.1.5.2.22b1"/>
    <x v="0"/>
    <x v="46"/>
    <m/>
    <x v="0"/>
    <s v="\\192.168.3.3\Share\Releases\Projects\TWC\Release_For_Test\Test_Build_1.0.0.4\Server CD\MPE\Setup"/>
    <s v="Pass"/>
    <x v="1"/>
    <m/>
    <m/>
    <m/>
    <s v="Manas Ranjan Barik"/>
    <x v="0"/>
  </r>
  <r>
    <x v="199"/>
    <x v="194"/>
    <n v="10"/>
    <x v="10"/>
    <n v="10"/>
    <s v="IT-LQA-UAT"/>
    <x v="21"/>
    <s v="phase 1"/>
    <x v="2"/>
    <x v="0"/>
    <x v="0"/>
    <s v="DMDBS_TLSTR-ST_2.1.1.8.1.2b1"/>
    <x v="0"/>
    <x v="3"/>
    <s v="\\192.168.3.3\Share\Releases\Projects\TLSTR-ST\Release_For_IT\TestBuild_1.0.1\Server CD\DBS\Setup"/>
    <x v="0"/>
    <s v="\\192.168.3.3\Share\Releases\Projects\TLSTR-ST\Release_For_Test\Test_Build_1.0.1\Server CD\DBS\Setup"/>
    <s v="Pass"/>
    <x v="1"/>
    <m/>
    <m/>
    <m/>
    <s v="Parul K Rajput"/>
    <x v="0"/>
  </r>
  <r>
    <x v="199"/>
    <x v="194"/>
    <n v="10"/>
    <x v="10"/>
    <n v="10"/>
    <s v="LQA-UAT"/>
    <x v="21"/>
    <m/>
    <x v="1"/>
    <x v="1"/>
    <x v="0"/>
    <s v="MPE_TLSTR-ST_3.2.6.0.1.3b1"/>
    <x v="0"/>
    <x v="56"/>
    <m/>
    <x v="0"/>
    <s v="\\192.168.3.3\Share\Releases\Projects\TLSTR-ST\Release_For_Test\Test_Build_1.0.1\Server CD\MPE\Setup"/>
    <s v="Pass"/>
    <x v="1"/>
    <m/>
    <m/>
    <m/>
    <s v="Parul K Rajput"/>
    <x v="0"/>
  </r>
  <r>
    <x v="199"/>
    <x v="194"/>
    <n v="10"/>
    <x v="10"/>
    <n v="10"/>
    <s v="IT-LQA-UAT"/>
    <x v="8"/>
    <m/>
    <x v="5"/>
    <x v="0"/>
    <x v="0"/>
    <s v="NMDBS_TWC_4.6.1.11.3.46b1"/>
    <x v="0"/>
    <x v="19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Ajay Kumar Pandey"/>
    <x v="0"/>
  </r>
  <r>
    <x v="200"/>
    <x v="195"/>
    <n v="10"/>
    <x v="10"/>
    <n v="10"/>
    <s v="IT-LQA"/>
    <x v="5"/>
    <m/>
    <x v="11"/>
    <x v="6"/>
    <x v="1"/>
    <s v="NMUTLMIG3_BHN_1.0.0.0.3"/>
    <x v="0"/>
    <x v="39"/>
    <s v="\\192.168.3.3\Share\Releases\Projects\BHN\Release_For_Test\Test_Build_1.0.1\Server CD\Utility\Setup"/>
    <x v="2"/>
    <s v="\\192.168.3.3\Share\Releases\Projects\BHN\Release_For_IT\TestBuild_1.0.0.1\Server CD\Utility\Setup"/>
    <m/>
    <x v="1"/>
    <m/>
    <m/>
    <m/>
    <m/>
    <x v="2"/>
  </r>
  <r>
    <x v="200"/>
    <x v="195"/>
    <n v="10"/>
    <x v="10"/>
    <n v="10"/>
    <s v="IT-LQA"/>
    <x v="5"/>
    <m/>
    <x v="11"/>
    <x v="6"/>
    <x v="1"/>
    <s v="NMUTLMIG1_BHN_1.0.0.0.3"/>
    <x v="0"/>
    <x v="39"/>
    <s v="\\192.168.3.3\Share\Releases\Projects\BHN\Release_For_Test\Test_Build_1.0.1\Server CD\Utility\Setup"/>
    <x v="2"/>
    <s v="\\192.168.3.3\Share\Releases\Projects\BHN\Release_For_IT\TestBuild_1.0.0.1\Server CD\Utility\Setup"/>
    <m/>
    <x v="1"/>
    <m/>
    <m/>
    <m/>
    <m/>
    <x v="2"/>
  </r>
  <r>
    <x v="200"/>
    <x v="195"/>
    <n v="10"/>
    <x v="10"/>
    <n v="10"/>
    <s v="IT-LQA"/>
    <x v="5"/>
    <m/>
    <x v="11"/>
    <x v="6"/>
    <x v="1"/>
    <s v="NMUTLMIG2_BHN_1.0.0.0.3"/>
    <x v="0"/>
    <x v="39"/>
    <s v="\\192.168.3.3\Share\Releases\Projects\BHN\Release_For_Test\Test_Build_1.0.1\Server CD\Utility\Setup"/>
    <x v="2"/>
    <s v="\\192.168.3.3\Share\Releases\Projects\BHN\Release_For_IT\TestBuild_1.0.0.1\Server CD\Utility\Setup"/>
    <m/>
    <x v="1"/>
    <m/>
    <m/>
    <m/>
    <m/>
    <x v="2"/>
  </r>
  <r>
    <x v="200"/>
    <x v="195"/>
    <n v="10"/>
    <x v="10"/>
    <n v="10"/>
    <s v="IT-LQA-UAT"/>
    <x v="0"/>
    <m/>
    <x v="4"/>
    <x v="0"/>
    <x v="0"/>
    <s v="RADBS_SLT_2.1.1.15.1.89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00"/>
    <x v="195"/>
    <n v="10"/>
    <x v="10"/>
    <n v="10"/>
    <s v="IT-LQA-UAT"/>
    <x v="0"/>
    <m/>
    <x v="2"/>
    <x v="0"/>
    <x v="0"/>
    <s v="DMDBS_SLT_2.0.0.25.1.188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01"/>
    <x v="196"/>
    <n v="10"/>
    <x v="10"/>
    <n v="10"/>
    <s v="LQA"/>
    <x v="5"/>
    <m/>
    <x v="5"/>
    <x v="0"/>
    <x v="1"/>
    <s v="NMDBS_BHN_4.7.1.2"/>
    <x v="0"/>
    <x v="24"/>
    <m/>
    <x v="0"/>
    <s v="\\192.168.3.3\Share\Releases\Projects\BHN\Release_For_Test\Test_Build_1.0.1\Server CD\DBS\Setup"/>
    <m/>
    <x v="0"/>
    <m/>
    <m/>
    <m/>
    <m/>
    <x v="1"/>
  </r>
  <r>
    <x v="201"/>
    <x v="196"/>
    <n v="10"/>
    <x v="10"/>
    <n v="10"/>
    <s v="IT-LQA"/>
    <x v="5"/>
    <m/>
    <x v="11"/>
    <x v="6"/>
    <x v="0"/>
    <s v="NMUTLMIG1_BHN_1.0.0.0.4"/>
    <x v="0"/>
    <x v="24"/>
    <s v="\\192.168.3.3\Share\Releases\Projects\BHN\Release_For_Test\Test_Build_1.0.1\Server CD\Utility\Setup"/>
    <x v="2"/>
    <s v="\\192.168.3.3\Share\Releases\Projects\BHN\Release_For_IT\TestBuild_1.0.0.1\Server CD\Utility\Setup"/>
    <m/>
    <x v="1"/>
    <m/>
    <m/>
    <m/>
    <m/>
    <x v="2"/>
  </r>
  <r>
    <x v="202"/>
    <x v="197"/>
    <n v="10"/>
    <x v="10"/>
    <n v="10"/>
    <s v="IT-LQA"/>
    <x v="0"/>
    <m/>
    <x v="2"/>
    <x v="0"/>
    <x v="0"/>
    <s v="DMDBS_SLT_2.0.0.25.1.190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0"/>
    <m/>
    <m/>
    <m/>
    <m/>
    <x v="0"/>
  </r>
  <r>
    <x v="203"/>
    <x v="198"/>
    <n v="10"/>
    <x v="10"/>
    <n v="10"/>
    <s v="LQA"/>
    <x v="1"/>
    <m/>
    <x v="12"/>
    <x v="2"/>
    <x v="1"/>
    <s v="WWCSGUI_2.1.20b4"/>
    <x v="0"/>
    <x v="21"/>
    <m/>
    <x v="0"/>
    <s v="\\192.168.3.3\Share\Releases\Product\WEB_CS\Build&amp;Release\Release For Test\TestBuild_2.1.20\ServerCD\GUI\Setup"/>
    <m/>
    <x v="1"/>
    <m/>
    <m/>
    <m/>
    <m/>
    <x v="1"/>
  </r>
  <r>
    <x v="203"/>
    <x v="198"/>
    <n v="10"/>
    <x v="10"/>
    <n v="10"/>
    <s v="IT-LQA"/>
    <x v="5"/>
    <m/>
    <x v="11"/>
    <x v="6"/>
    <x v="1"/>
    <s v="NMUTLMIG3_BHN_1.0.0.0.4"/>
    <x v="0"/>
    <x v="39"/>
    <s v="\\192.168.3.3\Share\Releases\Projects\BHN\Release_For_Test\Test_Build_1.0.1\Server CD\Utility\Setup"/>
    <x v="2"/>
    <s v="\\192.168.3.3\Share\Releases\Projects\BHN\Release_For_IT\TestBuild_1.0.0.1\Server CD\Utility\Setup"/>
    <m/>
    <x v="1"/>
    <m/>
    <m/>
    <m/>
    <m/>
    <x v="2"/>
  </r>
  <r>
    <x v="203"/>
    <x v="198"/>
    <n v="10"/>
    <x v="10"/>
    <n v="10"/>
    <s v="IT-LQA"/>
    <x v="5"/>
    <m/>
    <x v="11"/>
    <x v="6"/>
    <x v="1"/>
    <s v="NMUTLMIG1_BHN_1.0.0.0.5"/>
    <x v="0"/>
    <x v="39"/>
    <s v="\\192.168.3.3\Share\Releases\Projects\BHN\Release_For_Test\Test_Build_1.0.1\Server CD\Utility\Setup"/>
    <x v="2"/>
    <s v="\\192.168.3.3\Share\Releases\Projects\BHN\Release_For_IT\TestBuild_1.0.0.1\Server CD\Utility\Setup"/>
    <m/>
    <x v="1"/>
    <m/>
    <m/>
    <m/>
    <m/>
    <x v="2"/>
  </r>
  <r>
    <x v="203"/>
    <x v="198"/>
    <n v="10"/>
    <x v="10"/>
    <n v="10"/>
    <s v="IT-LQA"/>
    <x v="5"/>
    <m/>
    <x v="11"/>
    <x v="6"/>
    <x v="1"/>
    <s v="NMUTLMIG2_BHN_1.0.0.0.4"/>
    <x v="0"/>
    <x v="39"/>
    <s v="\\192.168.3.3\Share\Releases\Projects\BHN\Release_For_Test\Test_Build_1.0.1\Server CD\Utility\Setup"/>
    <x v="0"/>
    <s v="\\192.168.3.3\Share\Releases\Projects\BHN\Release_For_IT\TestBuild_1.0.0.1\Server CD\Utility\Setup"/>
    <m/>
    <x v="1"/>
    <m/>
    <m/>
    <m/>
    <m/>
    <x v="1"/>
  </r>
  <r>
    <x v="203"/>
    <x v="198"/>
    <n v="10"/>
    <x v="10"/>
    <n v="10"/>
    <s v="LQA"/>
    <x v="0"/>
    <m/>
    <x v="1"/>
    <x v="1"/>
    <x v="0"/>
    <s v="MPE_SLT-1B_3.0.1.1.1.97b1"/>
    <x v="0"/>
    <x v="26"/>
    <m/>
    <x v="0"/>
    <s v="\\192.168.3.3\Share\Releases\Projects\SLT-1B\Release_For_Test\Test_Build_1.0.0.1\Server CD\MPE\Setup"/>
    <s v="Pass"/>
    <x v="1"/>
    <m/>
    <m/>
    <m/>
    <m/>
    <x v="0"/>
  </r>
  <r>
    <x v="203"/>
    <x v="198"/>
    <n v="10"/>
    <x v="10"/>
    <n v="10"/>
    <s v="LQA"/>
    <x v="5"/>
    <m/>
    <x v="1"/>
    <x v="1"/>
    <x v="0"/>
    <s v="MPE_BHN_3.2.5.0.1.1b1"/>
    <x v="0"/>
    <x v="46"/>
    <m/>
    <x v="0"/>
    <s v="\\192.168.3.3\Share\Releases\Projects\BHN\Release_For_Test\Test_Build_1.0.1\Server CD\MPE\Setup "/>
    <m/>
    <x v="1"/>
    <m/>
    <m/>
    <m/>
    <m/>
    <x v="1"/>
  </r>
  <r>
    <x v="203"/>
    <x v="198"/>
    <n v="10"/>
    <x v="10"/>
    <n v="10"/>
    <s v="IT-LQA"/>
    <x v="0"/>
    <m/>
    <x v="4"/>
    <x v="0"/>
    <x v="0"/>
    <s v="RADBS_SLT_2.1.1.12.1.83b1"/>
    <x v="0"/>
    <x v="0"/>
    <s v="\\192.168.3.3\Share\Releases\Projects\SLT\Release_For_IT\Test_Build_1.0.0.4\Server CD\DBS\Setup"/>
    <x v="0"/>
    <s v="\\192.168.3.3\Share\Releases\Projects\SLT\Release_For_LQA\Test_Build_1.0.0.24\Server CD\DBS\Setup"/>
    <m/>
    <x v="1"/>
    <m/>
    <m/>
    <m/>
    <m/>
    <x v="1"/>
  </r>
  <r>
    <x v="203"/>
    <x v="198"/>
    <n v="10"/>
    <x v="10"/>
    <n v="10"/>
    <s v="IT-LQA"/>
    <x v="0"/>
    <m/>
    <x v="2"/>
    <x v="0"/>
    <x v="0"/>
    <s v="DMDBS_SLT_2.0.0.25.1.177b1"/>
    <x v="0"/>
    <x v="0"/>
    <s v="\\192.168.3.3\Share\Releases\Projects\SLT\Release_For_IT\Test_Build_1.0.0.4\Server CD\DBS\Setup"/>
    <x v="0"/>
    <s v="\\192.168.3.3\Share\Releases\Projects\SLT\Release_For_LQA\Test_Build_1.0.0.24\Server CD\DBS\Setup"/>
    <m/>
    <x v="1"/>
    <m/>
    <m/>
    <m/>
    <m/>
    <x v="1"/>
  </r>
  <r>
    <x v="203"/>
    <x v="198"/>
    <n v="10"/>
    <x v="10"/>
    <n v="10"/>
    <s v="LQA"/>
    <x v="1"/>
    <m/>
    <x v="6"/>
    <x v="3"/>
    <x v="1"/>
    <s v="IM_1.0.2b1"/>
    <x v="0"/>
    <x v="35"/>
    <m/>
    <x v="2"/>
    <s v="\\192.168.3.3\Share\Releases\Product\IM_1.0\Build&amp;Release\Release_For_LQA\Test_Build_1.0.1\Server CD\IM\Setup"/>
    <m/>
    <x v="1"/>
    <m/>
    <m/>
    <m/>
    <m/>
    <x v="2"/>
  </r>
  <r>
    <x v="203"/>
    <x v="198"/>
    <n v="10"/>
    <x v="10"/>
    <n v="10"/>
    <s v="IT-LQA-UAT"/>
    <x v="8"/>
    <m/>
    <x v="5"/>
    <x v="0"/>
    <x v="0"/>
    <s v="NMDBS_TWC_4.6.1.11.3.47b1"/>
    <x v="0"/>
    <x v="19"/>
    <s v="\\192.168.3.3\Share\Releases\Projects\TWC\Release_For_Test\Test_Build_1.0.0.4\Server CD\DBS\Setup"/>
    <x v="0"/>
    <s v="\\192.168.3.3\Share\Releases\Projects\TWC\Release_For_IT\Test_Build_1.0.0.3\Server CD\DBS\Setup"/>
    <s v="Pass"/>
    <x v="1"/>
    <m/>
    <m/>
    <m/>
    <s v="Ajay Kumar Pandey"/>
    <x v="0"/>
  </r>
  <r>
    <x v="203"/>
    <x v="198"/>
    <n v="10"/>
    <x v="10"/>
    <n v="10"/>
    <s v="IT-LQA"/>
    <x v="21"/>
    <s v="phase 1"/>
    <x v="2"/>
    <x v="0"/>
    <x v="0"/>
    <s v="DMDBS_TLSTR-ST_2.1.1.8.1.3b1"/>
    <x v="0"/>
    <x v="3"/>
    <s v="\\192.168.3.3\Share\Releases\Projects\TLSTR-ST\Release_For_IT\TestBuild_1.0.1\Server CD\DBS\Setup"/>
    <x v="2"/>
    <s v="\\192.168.3.3\Share\Releases\Projects\TLSTR-ST\Release_For_Test\Test_Build_1.0.1\Server CD\DBS\Setup"/>
    <m/>
    <x v="1"/>
    <m/>
    <m/>
    <m/>
    <m/>
    <x v="2"/>
  </r>
  <r>
    <x v="203"/>
    <x v="198"/>
    <n v="10"/>
    <x v="10"/>
    <n v="10"/>
    <s v="LQA-FAT"/>
    <x v="10"/>
    <m/>
    <x v="1"/>
    <x v="1"/>
    <x v="0"/>
    <s v="MPE_COM_3.2.5.0.2.5b1"/>
    <x v="0"/>
    <x v="43"/>
    <m/>
    <x v="0"/>
    <s v="\\192.168.3.3\Share\Releases\Projects\Comcast\Release_for_Test\Test_Build_4.6.6\Server CD\MPE\Setup"/>
    <s v="Pass"/>
    <x v="1"/>
    <m/>
    <m/>
    <m/>
    <s v="Sumit Gomber"/>
    <x v="0"/>
  </r>
  <r>
    <x v="203"/>
    <x v="198"/>
    <n v="10"/>
    <x v="10"/>
    <n v="10"/>
    <s v="LQA-UAT"/>
    <x v="21"/>
    <m/>
    <x v="1"/>
    <x v="1"/>
    <x v="0"/>
    <s v="MPE_TLSTR-ST_3.2.6.0.1.4b1"/>
    <x v="0"/>
    <x v="28"/>
    <m/>
    <x v="0"/>
    <s v="\\192.168.3.3\Share\Releases\Projects\TLSTR-ST\Release_For_Test\Test_Build_1.0.1\Server CD\MPE\Setup"/>
    <s v="Pass"/>
    <x v="1"/>
    <m/>
    <m/>
    <m/>
    <s v="Parul K Rajput"/>
    <x v="0"/>
  </r>
  <r>
    <x v="203"/>
    <x v="198"/>
    <n v="10"/>
    <x v="10"/>
    <n v="10"/>
    <s v="LQA"/>
    <x v="5"/>
    <m/>
    <x v="6"/>
    <x v="3"/>
    <x v="1"/>
    <s v="IM_BHN_1.0.2.0.1"/>
    <x v="0"/>
    <x v="35"/>
    <m/>
    <x v="2"/>
    <s v="\\192.168.3.3\share\Releases\Projects\BHN\Release_For_Test\Test_Build_1.0.1\Server CD\IM\Setup"/>
    <m/>
    <x v="1"/>
    <m/>
    <m/>
    <m/>
    <m/>
    <x v="2"/>
  </r>
  <r>
    <x v="203"/>
    <x v="198"/>
    <n v="10"/>
    <x v="10"/>
    <n v="10"/>
    <s v="LQA"/>
    <x v="5"/>
    <m/>
    <x v="5"/>
    <x v="0"/>
    <x v="1"/>
    <s v="NMDBS_BHN_4.7.1.3"/>
    <x v="0"/>
    <x v="24"/>
    <m/>
    <x v="0"/>
    <s v="\\192.168.3.3\Share\Releases\Projects\BHN\Release_For_Test\Test_Build_1.0.1\Server CD\DBS\Setup"/>
    <m/>
    <x v="0"/>
    <m/>
    <m/>
    <m/>
    <m/>
    <x v="1"/>
  </r>
  <r>
    <x v="203"/>
    <x v="198"/>
    <n v="10"/>
    <x v="10"/>
    <n v="10"/>
    <s v="LQA"/>
    <x v="5"/>
    <m/>
    <x v="8"/>
    <x v="2"/>
    <x v="1"/>
    <s v="WWFSGUI_BHN_2.1.34.0.2"/>
    <x v="0"/>
    <x v="13"/>
    <m/>
    <x v="0"/>
    <s v="\\192.168.3.3\Share\Releases\Projects\BHN\Release_For_Test\Test_Build_1.0.2\Server CD\GUI\Setup"/>
    <m/>
    <x v="1"/>
    <m/>
    <m/>
    <m/>
    <m/>
    <x v="1"/>
  </r>
  <r>
    <x v="204"/>
    <x v="199"/>
    <n v="10"/>
    <x v="10"/>
    <n v="10"/>
    <s v="IT-LQA"/>
    <x v="0"/>
    <m/>
    <x v="2"/>
    <x v="0"/>
    <x v="0"/>
    <s v="DMDBS_SLT_2.0.0.25.1.191b1"/>
    <x v="0"/>
    <x v="44"/>
    <s v="\\192.168.3.3\Share\Releases\Projects\SLT\Release_For_IT\Test_Build_1.0.0.4\Server CD\DBS\Setup"/>
    <x v="2"/>
    <s v="\\192.168.3.3\Share\Releases\Projects\SLT\Release_For_LQA\Test_Build_1.0.0.24\Server CD\DBS\Setup"/>
    <m/>
    <x v="1"/>
    <m/>
    <m/>
    <m/>
    <m/>
    <x v="2"/>
  </r>
  <r>
    <x v="204"/>
    <x v="199"/>
    <n v="10"/>
    <x v="10"/>
    <n v="10"/>
    <s v="IT-LQA-FAT"/>
    <x v="10"/>
    <m/>
    <x v="18"/>
    <x v="0"/>
    <x v="0"/>
    <s v="NMDBS_COM_4.6.1.29.1.78b1"/>
    <x v="0"/>
    <x v="39"/>
    <s v="\\192.168.3.3\Share\Releases\Projects\Comcast\Release_for_Test\Test_Build_4.6.6\Server CD\Database\Setup"/>
    <x v="0"/>
    <s v="\\192.168.3.3\Share\Releases\Projects\Comcast\Release_For_IT\Test_Build_4.6.1\Server CD\Database\Setup"/>
    <s v="Pass"/>
    <x v="0"/>
    <m/>
    <m/>
    <m/>
    <s v="Sumit Gomber"/>
    <x v="0"/>
  </r>
  <r>
    <x v="204"/>
    <x v="199"/>
    <n v="10"/>
    <x v="10"/>
    <n v="10"/>
    <s v="IT-LQA"/>
    <x v="10"/>
    <m/>
    <x v="18"/>
    <x v="0"/>
    <x v="0"/>
    <s v="NMDBS_COM_4.6.1.29.1.79b1"/>
    <x v="0"/>
    <x v="39"/>
    <s v="\\192.168.3.3\Share\Releases\Projects\Comcast\Release_for_Test\Test_Build_4.6.6\Server CD\Database\Setup"/>
    <x v="2"/>
    <s v="\\192.168.3.3\Share\Releases\Projects\Comcast\Release_For_IT\Test_Build_4.6.1\Server CD\Database\Setup"/>
    <m/>
    <x v="0"/>
    <m/>
    <m/>
    <m/>
    <m/>
    <x v="2"/>
  </r>
  <r>
    <x v="204"/>
    <x v="199"/>
    <n v="10"/>
    <x v="10"/>
    <n v="10"/>
    <s v="IT-LQA"/>
    <x v="8"/>
    <m/>
    <x v="11"/>
    <x v="6"/>
    <x v="0"/>
    <s v="NMUTLMIG6_TWC_1.0.0.0.1"/>
    <x v="0"/>
    <x v="19"/>
    <s v="\\192.168.3.3\Share\Releases\Projects\TWC\Release_For_IT\Test_Build_1.0.0.3\Utility\Setup"/>
    <x v="2"/>
    <s v="\\192.168.3.3\Share\Releases\Projects\TWC\Release_For_Test\Test_Build_1.0.0.4\Utility\Setup"/>
    <m/>
    <x v="1"/>
    <m/>
    <m/>
    <m/>
    <m/>
    <x v="2"/>
  </r>
  <r>
    <x v="204"/>
    <x v="199"/>
    <n v="10"/>
    <x v="10"/>
    <n v="10"/>
    <s v="IT-LQA"/>
    <x v="10"/>
    <m/>
    <x v="18"/>
    <x v="0"/>
    <x v="0"/>
    <s v="NMDBS_COM_4.6.1.30.1.81b1"/>
    <x v="0"/>
    <x v="7"/>
    <s v="\\192.168.3.3\Share\Releases\Projects\Comcast\Release_for_Test\Test_Build_4.6.6\Server CD\Database\Setup"/>
    <x v="2"/>
    <s v="\\192.168.3.3\Share\Releases\Projects\Comcast\Release_For_IT\Test_Build_4.6.1\Server CD\Database\Setup"/>
    <m/>
    <x v="0"/>
    <m/>
    <m/>
    <m/>
    <m/>
    <x v="2"/>
  </r>
  <r>
    <x v="204"/>
    <x v="199"/>
    <n v="10"/>
    <x v="10"/>
    <n v="10"/>
    <s v="IT-LQA"/>
    <x v="10"/>
    <m/>
    <x v="18"/>
    <x v="0"/>
    <x v="0"/>
    <s v="NMDBS_COM_4.6.1.30.1.80b1"/>
    <x v="0"/>
    <x v="7"/>
    <s v="\\192.168.3.3\Share\Releases\Projects\Comcast\Release_for_Test\Test_Build_4.6.6\Server CD\Database\Setup"/>
    <x v="2"/>
    <s v="\\192.168.3.3\Share\Releases\Projects\Comcast\Release_For_IT\Test_Build_4.6.1\Server CD\Database\Setup"/>
    <m/>
    <x v="0"/>
    <m/>
    <m/>
    <m/>
    <m/>
    <x v="2"/>
  </r>
  <r>
    <x v="205"/>
    <x v="200"/>
    <n v="10"/>
    <x v="10"/>
    <n v="10"/>
    <s v="IT-LQA-UAT"/>
    <x v="0"/>
    <m/>
    <x v="2"/>
    <x v="0"/>
    <x v="0"/>
    <s v="DMDBS_SLT_2.0.0.25.1.192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Surya N Behra"/>
    <x v="0"/>
  </r>
  <r>
    <x v="205"/>
    <x v="200"/>
    <n v="10"/>
    <x v="10"/>
    <n v="10"/>
    <s v="IT-LQA-UAT"/>
    <x v="0"/>
    <m/>
    <x v="4"/>
    <x v="0"/>
    <x v="0"/>
    <s v="RADBS_SLT_2.1.1.15.1.90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Surya N Behra"/>
    <x v="0"/>
  </r>
  <r>
    <x v="205"/>
    <x v="200"/>
    <n v="10"/>
    <x v="10"/>
    <n v="10"/>
    <s v="IT-LQA-UAT"/>
    <x v="21"/>
    <s v="phase 1"/>
    <x v="2"/>
    <x v="0"/>
    <x v="0"/>
    <s v="DMDBS_TLSTR-ST_2.1.1.8.1.3b2"/>
    <x v="0"/>
    <x v="3"/>
    <s v="\\192.168.3.3\Share\Releases\Projects\TLSTR-ST\Release_For_IT\TestBuild_1.0.1\Server CD\DBS\Setup"/>
    <x v="0"/>
    <s v="\\192.168.3.3\Share\Releases\Projects\TLSTR-ST\Release_For_Test\Test_Build_1.0.1\Server CD\DBS\Setup"/>
    <s v="Pass"/>
    <x v="1"/>
    <m/>
    <m/>
    <m/>
    <s v="Parul K Rajput"/>
    <x v="0"/>
  </r>
  <r>
    <x v="205"/>
    <x v="200"/>
    <n v="10"/>
    <x v="10"/>
    <n v="10"/>
    <s v="IT-LQA"/>
    <x v="0"/>
    <m/>
    <x v="5"/>
    <x v="0"/>
    <x v="0"/>
    <s v="NMDBS_SLT_4.0.2.0.1.29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05"/>
    <x v="200"/>
    <n v="10"/>
    <x v="10"/>
    <n v="10"/>
    <s v="IT-LQA-FAT"/>
    <x v="0"/>
    <m/>
    <x v="2"/>
    <x v="0"/>
    <x v="0"/>
    <s v="DMDBS_SLT_2.0.0.25.1.193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05"/>
    <x v="200"/>
    <n v="10"/>
    <x v="10"/>
    <n v="10"/>
    <s v="LQA"/>
    <x v="1"/>
    <m/>
    <x v="5"/>
    <x v="0"/>
    <x v="0"/>
    <s v="NMDBS_4.7.1b13"/>
    <x v="0"/>
    <x v="55"/>
    <m/>
    <x v="0"/>
    <s v="\\192.168.3.3\Share\Releases\Product\Netmind_4.7\Build&amp;Release\Release_For_LQA\Test_Build_1.0.1\Server CD\DBS\Setup"/>
    <m/>
    <x v="1"/>
    <m/>
    <m/>
    <m/>
    <m/>
    <x v="1"/>
  </r>
  <r>
    <x v="205"/>
    <x v="200"/>
    <n v="10"/>
    <x v="10"/>
    <n v="10"/>
    <s v="LQA"/>
    <x v="5"/>
    <m/>
    <x v="5"/>
    <x v="0"/>
    <x v="0"/>
    <s v="NMDBS_BHN_4.7.1.4"/>
    <x v="0"/>
    <x v="24"/>
    <m/>
    <x v="0"/>
    <s v="\\192.168.3.3\Share\Releases\Projects\BHN\Release_For_Test\Test_Build_1.0.1\Server CD\DBS\Setup"/>
    <m/>
    <x v="1"/>
    <m/>
    <m/>
    <m/>
    <m/>
    <x v="1"/>
  </r>
  <r>
    <x v="205"/>
    <x v="200"/>
    <n v="10"/>
    <x v="10"/>
    <n v="10"/>
    <s v="IT-LQA"/>
    <x v="21"/>
    <s v="phase 1"/>
    <x v="2"/>
    <x v="0"/>
    <x v="0"/>
    <s v="DMDBS_TLSTR-ST_2.1.1.8.1.4b1"/>
    <x v="0"/>
    <x v="3"/>
    <s v="\\192.168.3.3\Share\Releases\Projects\TLSTR-ST\Release_For_IT\TestBuild_1.0.1\Server CD\DBS\Setup"/>
    <x v="2"/>
    <s v="\\192.168.3.3\Share\Releases\Projects\TLSTR-ST\Release_For_Test\Test_Build_1.0.1\Server CD\DBS\Setup"/>
    <m/>
    <x v="1"/>
    <m/>
    <m/>
    <m/>
    <m/>
    <x v="2"/>
  </r>
  <r>
    <x v="205"/>
    <x v="200"/>
    <n v="10"/>
    <x v="10"/>
    <n v="10"/>
    <s v="LQA"/>
    <x v="5"/>
    <m/>
    <x v="6"/>
    <x v="3"/>
    <x v="0"/>
    <s v="IM_BHN_1.0.2.0.2"/>
    <x v="0"/>
    <x v="31"/>
    <m/>
    <x v="0"/>
    <s v="\\192.168.3.3\share\Releases\Projects\BHN\Release_For_Test\Test_Build_1.0.2\Server CD\IM\Setup"/>
    <m/>
    <x v="1"/>
    <m/>
    <m/>
    <m/>
    <m/>
    <x v="1"/>
  </r>
  <r>
    <x v="206"/>
    <x v="201"/>
    <n v="10"/>
    <x v="10"/>
    <n v="10"/>
    <s v="IT-LQA"/>
    <x v="1"/>
    <m/>
    <x v="7"/>
    <x v="0"/>
    <x v="0"/>
    <s v="RTDBS_4.0.1.23b1"/>
    <x v="0"/>
    <x v="4"/>
    <s v="\\192.168.3.3\Share\Releases\Product\RT_4.0\ReleaseForIT\TestBuild_4.0.3\DBS\Setup"/>
    <x v="0"/>
    <s v="\\192.168.3.3\Share\Releases\Product\RT_4.0\ReleaseForLQA\TestBuild_4.0.24\DBS\Setup"/>
    <s v="Pass"/>
    <x v="1"/>
    <m/>
    <m/>
    <m/>
    <m/>
    <x v="0"/>
  </r>
  <r>
    <x v="206"/>
    <x v="201"/>
    <n v="10"/>
    <x v="10"/>
    <n v="10"/>
    <s v="IT-LQA-UAT"/>
    <x v="8"/>
    <m/>
    <x v="5"/>
    <x v="0"/>
    <x v="0"/>
    <s v="NMDBS_TWC_4.6.1.11.3.48b1"/>
    <x v="0"/>
    <x v="19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Pradeep Raghav"/>
    <x v="0"/>
  </r>
  <r>
    <x v="206"/>
    <x v="201"/>
    <n v="10"/>
    <x v="10"/>
    <n v="10"/>
    <s v="IT-LQA"/>
    <x v="0"/>
    <m/>
    <x v="4"/>
    <x v="0"/>
    <x v="0"/>
    <s v="RADBS_SLT_2.1.1.15.1.88b1"/>
    <x v="0"/>
    <x v="44"/>
    <s v="\\192.168.3.3\Share\Releases\Projects\SLT\Release_For_IT\Test_Build_1.0.0.4\Server CD\DBS\Setup"/>
    <x v="0"/>
    <s v="\\192.168.3.3\Share\Releases\Projects\SLT\Release_For_LQA\Test_Build_1.0.0.24\Server CD\DBS\Setup"/>
    <m/>
    <x v="1"/>
    <m/>
    <m/>
    <m/>
    <m/>
    <x v="1"/>
  </r>
  <r>
    <x v="206"/>
    <x v="201"/>
    <n v="10"/>
    <x v="10"/>
    <n v="10"/>
    <s v="IT-LQA"/>
    <x v="0"/>
    <m/>
    <x v="2"/>
    <x v="0"/>
    <x v="0"/>
    <s v="DMDBS_SLT_2.0.0.25.1.189b1"/>
    <x v="0"/>
    <x v="44"/>
    <s v="\\192.168.3.3\Share\Releases\Projects\SLT\Release_For_IT\Test_Build_1.0.0.4\Server CD\DBS\Setup"/>
    <x v="0"/>
    <s v="\\192.168.3.3\Share\Releases\Projects\SLT\Release_For_LQA\Test_Build_1.0.0.24\Server CD\DBS\Setup"/>
    <m/>
    <x v="1"/>
    <m/>
    <m/>
    <m/>
    <m/>
    <x v="1"/>
  </r>
  <r>
    <x v="206"/>
    <x v="201"/>
    <n v="10"/>
    <x v="10"/>
    <n v="10"/>
    <s v="LQA"/>
    <x v="5"/>
    <m/>
    <x v="5"/>
    <x v="0"/>
    <x v="0"/>
    <s v="NMUTLMIG1_BHN3x_1.0.1"/>
    <x v="0"/>
    <x v="24"/>
    <m/>
    <x v="0"/>
    <s v="\\192.168.3.3\Share\Releases\Projects\BHN\Release_For_Test\Test_Build_1.0.2\Server CD\Utility\Setup"/>
    <m/>
    <x v="0"/>
    <m/>
    <m/>
    <m/>
    <m/>
    <x v="1"/>
  </r>
  <r>
    <x v="207"/>
    <x v="202"/>
    <n v="10"/>
    <x v="10"/>
    <n v="10"/>
    <s v="LQA"/>
    <x v="5"/>
    <m/>
    <x v="1"/>
    <x v="1"/>
    <x v="0"/>
    <s v="MPE_BHN_3.2.5.0.1.2b1"/>
    <x v="0"/>
    <x v="46"/>
    <m/>
    <x v="0"/>
    <s v="\\192.168.3.3\Share\Releases\Projects\BHN\Release_For_Test\Test_Build_1.0.2\Server CD\MPE\Setup"/>
    <m/>
    <x v="1"/>
    <m/>
    <m/>
    <m/>
    <m/>
    <x v="1"/>
  </r>
  <r>
    <x v="207"/>
    <x v="202"/>
    <n v="10"/>
    <x v="10"/>
    <n v="10"/>
    <s v="LQA-UAT"/>
    <x v="8"/>
    <m/>
    <x v="1"/>
    <x v="1"/>
    <x v="0"/>
    <s v="MPE_TWC_3.2.1.5.2.23b1"/>
    <x v="0"/>
    <x v="46"/>
    <m/>
    <x v="0"/>
    <s v="\\192.168.3.3\Share\Releases\Projects\TWC\Release_For_Test\Test_Build_1.0.0.4\Server CD\MPE\Setup"/>
    <s v="Pass"/>
    <x v="1"/>
    <m/>
    <m/>
    <m/>
    <s v="Pradeep Raghav"/>
    <x v="0"/>
  </r>
  <r>
    <x v="207"/>
    <x v="202"/>
    <n v="10"/>
    <x v="10"/>
    <n v="10"/>
    <s v="IT-LQA-UAT"/>
    <x v="10"/>
    <m/>
    <x v="5"/>
    <x v="0"/>
    <x v="0"/>
    <s v="NMDBS_COM_4.6.1.30.1.81b2"/>
    <x v="0"/>
    <x v="7"/>
    <s v="\\192.168.3.3\Share\Releases\Projects\Comcast\Release_For_IT\Test_Build_4.6.1\Server CD\Database\Setup"/>
    <x v="0"/>
    <s v="\\192.168.3.3\Share\Releases\Projects\Comcast\Release_for_Test\Test_Build_4.6.6\Server CD\Database\Setup"/>
    <s v="Pass"/>
    <x v="1"/>
    <m/>
    <m/>
    <m/>
    <s v="Abhishek Leekha"/>
    <x v="0"/>
  </r>
  <r>
    <x v="207"/>
    <x v="202"/>
    <n v="10"/>
    <x v="10"/>
    <n v="10"/>
    <s v="IT-LQA-UAT"/>
    <x v="10"/>
    <m/>
    <x v="5"/>
    <x v="0"/>
    <x v="0"/>
    <s v="NMDBS_COM_4.6.1.30.1.80b2"/>
    <x v="0"/>
    <x v="7"/>
    <s v="\\192.168.3.3\Share\Releases\Projects\Comcast\Release_For_IT\Test_Build_4.6.1\Server CD\Database\Setup"/>
    <x v="0"/>
    <s v="\\192.168.3.3\Share\Releases\Projects\Comcast\Release_for_Test\Test_Build_4.6.6\Server CD\Database\Setup"/>
    <s v="Pass"/>
    <x v="1"/>
    <m/>
    <m/>
    <m/>
    <s v="Abhishek Leekha"/>
    <x v="0"/>
  </r>
  <r>
    <x v="208"/>
    <x v="203"/>
    <n v="10"/>
    <x v="10"/>
    <n v="10"/>
    <s v="IT-LQA-FAT"/>
    <x v="0"/>
    <m/>
    <x v="2"/>
    <x v="0"/>
    <x v="0"/>
    <s v="DMDBS_SLT_2.0.0.25.1.194b1"/>
    <x v="0"/>
    <x v="44"/>
    <s v="\\192.168.3.3\Share\Releases\Projects\SLT\Release_For_LQA\Test_Build_1.0.0.24\Server CD\DBS\Setup"/>
    <x v="0"/>
    <s v="\\192.168.3.3\Share\Releases\Projects\SLT\Release_For_IT\Test_Build_1.0.0.4\Server CD\DBS\Setup"/>
    <s v="Pass"/>
    <x v="1"/>
    <m/>
    <m/>
    <m/>
    <s v="Surya N Behra"/>
    <x v="0"/>
  </r>
  <r>
    <x v="208"/>
    <x v="203"/>
    <n v="10"/>
    <x v="10"/>
    <n v="10"/>
    <s v="IT-LQA-FAT"/>
    <x v="0"/>
    <m/>
    <x v="4"/>
    <x v="0"/>
    <x v="0"/>
    <s v="RADBS_SLT_2.1.1.15.1.91b1"/>
    <x v="0"/>
    <x v="44"/>
    <s v="\\192.168.3.3\Share\Releases\Projects\SLT\Release_For_LQA\Test_Build_1.0.0.24\Server CD\DBS\Setup"/>
    <x v="0"/>
    <s v="\\192.168.3.3\Share\Releases\Projects\SLT\Release_For_IT\Test_Build_1.0.0.4\Server CD\DBS\Setup"/>
    <s v="Pass"/>
    <x v="1"/>
    <m/>
    <m/>
    <m/>
    <s v="Surya N Behra"/>
    <x v="0"/>
  </r>
  <r>
    <x v="208"/>
    <x v="203"/>
    <n v="10"/>
    <x v="10"/>
    <n v="10"/>
    <s v="LQA-UAT"/>
    <x v="8"/>
    <m/>
    <x v="11"/>
    <x v="6"/>
    <x v="0"/>
    <s v="NMUTLMIG6_TWC_1.0.0.0.2"/>
    <x v="0"/>
    <x v="19"/>
    <m/>
    <x v="0"/>
    <s v="\\192.168.3.3\Share\Releases\Projects\TWC\Release_For_Test\Test_Build_1.0.0.4\Utility\Setup"/>
    <s v="Pass"/>
    <x v="1"/>
    <m/>
    <m/>
    <m/>
    <s v="Pradeep Raghav"/>
    <x v="0"/>
  </r>
  <r>
    <x v="208"/>
    <x v="203"/>
    <n v="10"/>
    <x v="10"/>
    <n v="10"/>
    <s v="LQA"/>
    <x v="1"/>
    <m/>
    <x v="7"/>
    <x v="2"/>
    <x v="1"/>
    <s v="RTGUI_4.0.28b1"/>
    <x v="0"/>
    <x v="35"/>
    <m/>
    <x v="2"/>
    <s v="\\192.168.3.3\Share\Releases\Product\RT_4.0\ReleaseForLQA\TestBuild_4.0.24\GUI\Build1\Setup "/>
    <m/>
    <x v="1"/>
    <m/>
    <m/>
    <m/>
    <m/>
    <x v="2"/>
  </r>
  <r>
    <x v="209"/>
    <x v="204"/>
    <n v="10"/>
    <x v="10"/>
    <n v="10"/>
    <s v="IT-LQA"/>
    <x v="21"/>
    <s v="phase 1"/>
    <x v="2"/>
    <x v="0"/>
    <x v="0"/>
    <s v="DMDBS_TLSTR-ST_2.1.1.8.1.4b2"/>
    <x v="0"/>
    <x v="23"/>
    <s v="\\192.168.3.3\Share\Releases\Projects\TLSTR-ST\Release_For_IT\TestBuild_1.0.1\Server CD\DBS\Setup"/>
    <x v="2"/>
    <s v="\\192.168.3.3\Share\Releases\Projects\TLSTR-ST\Release_For_Test\Test_Build_1.0.1\Server CD\DBS\Setup"/>
    <m/>
    <x v="0"/>
    <m/>
    <m/>
    <m/>
    <m/>
    <x v="2"/>
  </r>
  <r>
    <x v="209"/>
    <x v="204"/>
    <n v="10"/>
    <x v="10"/>
    <n v="10"/>
    <s v="LQA"/>
    <x v="1"/>
    <m/>
    <x v="5"/>
    <x v="0"/>
    <x v="0"/>
    <s v="NMDBS_4.7.1b14"/>
    <x v="0"/>
    <x v="57"/>
    <m/>
    <x v="0"/>
    <s v="\\192.168.3.3\Share\Releases\Product\Netmind_4.7\Build&amp;Release\Release_For_LQA\Test_Build_1.0.1\Server CD\DBS\Setup"/>
    <m/>
    <x v="1"/>
    <m/>
    <m/>
    <m/>
    <m/>
    <x v="1"/>
  </r>
  <r>
    <x v="209"/>
    <x v="204"/>
    <n v="10"/>
    <x v="10"/>
    <n v="10"/>
    <s v="LQA-UAT"/>
    <x v="21"/>
    <m/>
    <x v="1"/>
    <x v="1"/>
    <x v="0"/>
    <s v="MPE_TLSTR-ST_3.2.6.0.1.5b1"/>
    <x v="0"/>
    <x v="46"/>
    <m/>
    <x v="0"/>
    <s v="\\192.168.3.3\Share\Releases\Projects\TLSTR-ST\Release_For_Test\Test_Build_1.0.1\Server CD\MPE\Setup"/>
    <s v="Pass"/>
    <x v="1"/>
    <m/>
    <m/>
    <m/>
    <s v="Aditya Mani Sharma"/>
    <x v="0"/>
  </r>
  <r>
    <x v="209"/>
    <x v="204"/>
    <n v="10"/>
    <x v="10"/>
    <n v="10"/>
    <s v="IT-LQA-FAT"/>
    <x v="0"/>
    <m/>
    <x v="2"/>
    <x v="0"/>
    <x v="0"/>
    <s v="DMDBS_SLT_2.0.0.25.1.191b2 "/>
    <x v="0"/>
    <x v="0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09"/>
    <x v="204"/>
    <n v="10"/>
    <x v="10"/>
    <n v="10"/>
    <s v="IT-LQA-FAT"/>
    <x v="0"/>
    <m/>
    <x v="5"/>
    <x v="0"/>
    <x v="0"/>
    <s v="NMDBS_SLT_4.0.2.0.1.30b1"/>
    <x v="0"/>
    <x v="0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10"/>
    <x v="205"/>
    <n v="10"/>
    <x v="10"/>
    <n v="10"/>
    <s v="LQA-FAT"/>
    <x v="0"/>
    <m/>
    <x v="1"/>
    <x v="1"/>
    <x v="0"/>
    <s v="MPE_SLT-1B_3.0.1.1.1.98b1"/>
    <x v="0"/>
    <x v="26"/>
    <m/>
    <x v="0"/>
    <s v="\\192.168.3.3\Share\Releases\Projects\SLT-1B\Release_For_Test\Test_Build_1.0.0.1\Server CD\MPE\Setup"/>
    <s v="Pass"/>
    <x v="0"/>
    <m/>
    <m/>
    <m/>
    <s v="Surya N Behra"/>
    <x v="0"/>
  </r>
  <r>
    <x v="210"/>
    <x v="205"/>
    <n v="10"/>
    <x v="10"/>
    <n v="10"/>
    <s v="LQA"/>
    <x v="1"/>
    <m/>
    <x v="11"/>
    <x v="6"/>
    <x v="1"/>
    <s v="AWF_2.0.1b31"/>
    <x v="0"/>
    <x v="35"/>
    <m/>
    <x v="0"/>
    <s v="\\192.168.3.3\Share\Releases\Product\AWF\Build&amp;Release\Release For Test\TestBuild_2.0.1\Setup"/>
    <m/>
    <x v="1"/>
    <m/>
    <m/>
    <m/>
    <m/>
    <x v="1"/>
  </r>
  <r>
    <x v="210"/>
    <x v="205"/>
    <n v="10"/>
    <x v="10"/>
    <n v="10"/>
    <s v="IT-LQA-FAT"/>
    <x v="10"/>
    <m/>
    <x v="5"/>
    <x v="0"/>
    <x v="0"/>
    <s v="NMDBS_COM_4.6.1.29.1.79b2"/>
    <x v="0"/>
    <x v="39"/>
    <s v="\\192.168.3.3\Share\Releases\Projects\Comcast\Release_For_IT\Test_Build_4.6.1\Server CD\Database\Setup"/>
    <x v="0"/>
    <s v="\\192.168.3.3\Share\Releases\Projects\Comcast\Release_for_Test\Test_Build_4.6.6\Server CD\Database\Setup"/>
    <s v="Pass"/>
    <x v="1"/>
    <m/>
    <m/>
    <m/>
    <s v="Sumit Gomber"/>
    <x v="0"/>
  </r>
  <r>
    <x v="210"/>
    <x v="205"/>
    <n v="10"/>
    <x v="10"/>
    <n v="10"/>
    <s v="LQA"/>
    <x v="5"/>
    <m/>
    <x v="5"/>
    <x v="0"/>
    <x v="1"/>
    <s v="NMDBS_BHN_4.7.1.5"/>
    <x v="0"/>
    <x v="24"/>
    <m/>
    <x v="0"/>
    <s v="\\192.168.3.3\Share\Releases\Projects\BHN\Release_For_Test\Test_Build_1.0.1\Server CD\DBS\Setup"/>
    <m/>
    <x v="1"/>
    <m/>
    <m/>
    <m/>
    <m/>
    <x v="1"/>
  </r>
  <r>
    <x v="211"/>
    <x v="206"/>
    <n v="10"/>
    <x v="10"/>
    <n v="10"/>
    <s v="LQA"/>
    <x v="5"/>
    <m/>
    <x v="1"/>
    <x v="1"/>
    <x v="0"/>
    <s v="MPE_BHN_3.2.5.0.1.3b1"/>
    <x v="0"/>
    <x v="43"/>
    <m/>
    <x v="0"/>
    <s v="\\192.168.3.3\Share\Releases\Projects\BHN\Release_For_Test\Test_Build_1.0.2\Server CD\MPE\Setup"/>
    <m/>
    <x v="1"/>
    <m/>
    <m/>
    <m/>
    <m/>
    <x v="1"/>
  </r>
  <r>
    <x v="212"/>
    <x v="207"/>
    <n v="10"/>
    <x v="10"/>
    <n v="10"/>
    <s v="IT-LQA-FAT"/>
    <x v="0"/>
    <m/>
    <x v="2"/>
    <x v="0"/>
    <x v="0"/>
    <s v="DMDBS_SLT_2.0.0.25.1.195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12"/>
    <x v="207"/>
    <n v="10"/>
    <x v="10"/>
    <n v="10"/>
    <s v="IT-LQA"/>
    <x v="10"/>
    <m/>
    <x v="5"/>
    <x v="0"/>
    <x v="0"/>
    <s v="NMDBS_COM_4.6.1.30.1.82b1"/>
    <x v="0"/>
    <x v="54"/>
    <s v="\\192.168.3.3\Share\Releases\Projects\Comcast\Release_For_IT\Test_Build_4.6.1\Server CD\Database\Setup"/>
    <x v="2"/>
    <s v="\\192.168.3.3\Share\Releases\Projects\Comcast\Release_for_Test\Test_Build_4.6.6\Server CD\Database\Setup"/>
    <m/>
    <x v="1"/>
    <m/>
    <m/>
    <m/>
    <m/>
    <x v="2"/>
  </r>
  <r>
    <x v="212"/>
    <x v="207"/>
    <n v="10"/>
    <x v="10"/>
    <n v="10"/>
    <s v="IT-LQA"/>
    <x v="10"/>
    <m/>
    <x v="9"/>
    <x v="0"/>
    <x v="0"/>
    <s v="NPDBS_COM_1.2.3.17.1.24b1 "/>
    <x v="0"/>
    <x v="54"/>
    <s v="\\192.168.3.3\Share\Releases\Projects\Comcast\Release_For_IT\Test_Build_4.6.1\Server CD\Database\Setup"/>
    <x v="2"/>
    <s v="\\192.168.3.3\Share\Releases\Projects\Comcast\Release_for_Test\Test_Build_4.6.6\Server CD\Database\Setup"/>
    <m/>
    <x v="1"/>
    <m/>
    <m/>
    <m/>
    <m/>
    <x v="2"/>
  </r>
  <r>
    <x v="212"/>
    <x v="207"/>
    <n v="10"/>
    <x v="10"/>
    <n v="10"/>
    <s v="LQA"/>
    <x v="1"/>
    <m/>
    <x v="5"/>
    <x v="0"/>
    <x v="0"/>
    <s v="NMDBS_4.7.1b15"/>
    <x v="0"/>
    <x v="57"/>
    <m/>
    <x v="0"/>
    <s v="\\192.168.3.3\Share\Releases\Product\Netmind_4.7\Build&amp;Release\Release_For_LQA\Test_Build_1.0.1\Server CD\DBS\Setup"/>
    <m/>
    <x v="1"/>
    <m/>
    <m/>
    <m/>
    <m/>
    <x v="1"/>
  </r>
  <r>
    <x v="212"/>
    <x v="207"/>
    <n v="10"/>
    <x v="10"/>
    <n v="10"/>
    <s v="IT-LQA"/>
    <x v="4"/>
    <m/>
    <x v="5"/>
    <x v="0"/>
    <x v="0"/>
    <s v="NMDBS_TLSTR_4.0.1.0.4.314b1"/>
    <x v="0"/>
    <x v="9"/>
    <s v="\\192.168.3.3\Share\Releases\Projects\Telstra\Release_For_IT\Test_Build_1.0.0.18\Server CD\DBS\Setup"/>
    <x v="2"/>
    <s v="\\192.168.3.3\Share\Releases\Projects\Telstra\Release_For_LQA\Test_Build_1.0.0.18\Server CD\DBS\Setup"/>
    <m/>
    <x v="1"/>
    <m/>
    <m/>
    <m/>
    <m/>
    <x v="2"/>
  </r>
  <r>
    <x v="213"/>
    <x v="208"/>
    <n v="10"/>
    <x v="10"/>
    <n v="10"/>
    <s v="LQA-UAT"/>
    <x v="10"/>
    <m/>
    <x v="8"/>
    <x v="2"/>
    <x v="0"/>
    <s v="WWFSGUI_COM_2.1.34.0.1.6b1"/>
    <x v="0"/>
    <x v="42"/>
    <m/>
    <x v="0"/>
    <s v="\\192.168.3.3\Share\Releases\Projects\Comcast\Release_for_Test\Test_Build_4.6.6\Server CD\GUI\Setup "/>
    <s v="Pass"/>
    <x v="1"/>
    <m/>
    <m/>
    <m/>
    <s v="Rudra Narayan"/>
    <x v="0"/>
  </r>
  <r>
    <x v="213"/>
    <x v="208"/>
    <n v="10"/>
    <x v="10"/>
    <n v="10"/>
    <s v="IT-LQA"/>
    <x v="21"/>
    <s v="phase 1"/>
    <x v="2"/>
    <x v="0"/>
    <x v="0"/>
    <s v="DMDBS_TLSTR-ST_2.1.1.8.1.4b3"/>
    <x v="0"/>
    <x v="3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214"/>
    <x v="209"/>
    <n v="10"/>
    <x v="10"/>
    <n v="10"/>
    <s v="LQA"/>
    <x v="1"/>
    <m/>
    <x v="8"/>
    <x v="2"/>
    <x v="1"/>
    <s v="WWFSGUI_2.1.35b1"/>
    <x v="0"/>
    <x v="33"/>
    <m/>
    <x v="2"/>
    <s v="\\192.168.3.3\Share\Releases\Product\WEB_WFS\Build&amp;Release\Release For Test\TestBuild_2.1.35\ServerCD\GUI\Setup"/>
    <m/>
    <x v="1"/>
    <m/>
    <m/>
    <m/>
    <m/>
    <x v="2"/>
  </r>
  <r>
    <x v="214"/>
    <x v="209"/>
    <n v="10"/>
    <x v="10"/>
    <n v="10"/>
    <s v="LQA"/>
    <x v="21"/>
    <m/>
    <x v="1"/>
    <x v="1"/>
    <x v="0"/>
    <s v="MPE_TLSTR-2b_3.0.0.3.1.108b1"/>
    <x v="0"/>
    <x v="11"/>
    <m/>
    <x v="2"/>
    <s v="\\192.168.3.3\Share\Releases\Projects\Telstra-2b\Release_For_Test\Test_Build_1.0.0.1\Server CD\MPE\Setup"/>
    <m/>
    <x v="1"/>
    <m/>
    <m/>
    <m/>
    <m/>
    <x v="2"/>
  </r>
  <r>
    <x v="214"/>
    <x v="209"/>
    <n v="10"/>
    <x v="10"/>
    <n v="10"/>
    <s v="IT-LQA-FAT"/>
    <x v="0"/>
    <m/>
    <x v="4"/>
    <x v="0"/>
    <x v="0"/>
    <s v="RADBS_SLT_2.1.1.15.1.92b1"/>
    <x v="0"/>
    <x v="0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14"/>
    <x v="209"/>
    <n v="10"/>
    <x v="10"/>
    <n v="10"/>
    <s v="LQA-FAT"/>
    <x v="0"/>
    <m/>
    <x v="1"/>
    <x v="1"/>
    <x v="0"/>
    <s v="MPE_SLT-1B_3.0.1.1.1.99b1"/>
    <x v="0"/>
    <x v="26"/>
    <m/>
    <x v="0"/>
    <s v="\\192.168.3.3\Share\Releases\Projects\SLT-1B\Release_For_Test\Test_Build_1.0.0.1\Server CD\MPE\Setup"/>
    <s v="Pass"/>
    <x v="1"/>
    <m/>
    <m/>
    <m/>
    <s v="K.V. Krishnan"/>
    <x v="0"/>
  </r>
  <r>
    <x v="214"/>
    <x v="209"/>
    <n v="10"/>
    <x v="10"/>
    <n v="10"/>
    <s v="IT-LQA-UAT"/>
    <x v="6"/>
    <m/>
    <x v="5"/>
    <x v="0"/>
    <x v="0"/>
    <s v="NMDBS_ANTEL_4.6.1.26.2.44b1"/>
    <x v="0"/>
    <x v="4"/>
    <s v="\\192.168.3.3\Share\Releases\Projects\ANTEL\Release_For_IT\TestBuild_1.0.0.4\Server CD\DBS\Setup"/>
    <x v="0"/>
    <s v="\\192.168.3.3\Share\Releases\Projects\ANTEL\Release_For_Test\Test_Build_1.0.0.7\Server CD\DBS\Setup"/>
    <s v="Pass"/>
    <x v="1"/>
    <m/>
    <m/>
    <m/>
    <s v="Pradeep Raghav"/>
    <x v="0"/>
  </r>
  <r>
    <x v="214"/>
    <x v="209"/>
    <n v="10"/>
    <x v="10"/>
    <n v="10"/>
    <s v="IT-LQA-UAT"/>
    <x v="4"/>
    <m/>
    <x v="5"/>
    <x v="0"/>
    <x v="0"/>
    <s v="NMDBS_TLSTR_4.0.1.0.4.314b2"/>
    <x v="0"/>
    <x v="54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Abrar Khan"/>
    <x v="0"/>
  </r>
  <r>
    <x v="214"/>
    <x v="209"/>
    <n v="10"/>
    <x v="10"/>
    <n v="10"/>
    <s v="LQA-UAT"/>
    <x v="4"/>
    <m/>
    <x v="1"/>
    <x v="1"/>
    <x v="0"/>
    <s v="MPE_TLSTR-2b_3.0.0.3.1.108b2"/>
    <x v="0"/>
    <x v="11"/>
    <m/>
    <x v="0"/>
    <s v="\\192.168.3.3\Share\Releases\Projects\Telstra-2b\Release_For_Test\Test_Build_1.0.0.1\Server CD\MPE\Setup"/>
    <s v="Pass"/>
    <x v="1"/>
    <m/>
    <m/>
    <m/>
    <s v="Gaurav Shukla"/>
    <x v="0"/>
  </r>
  <r>
    <x v="215"/>
    <x v="210"/>
    <n v="10"/>
    <x v="10"/>
    <n v="10"/>
    <s v="LQA-UAT"/>
    <x v="21"/>
    <m/>
    <x v="1"/>
    <x v="1"/>
    <x v="0"/>
    <s v="MPE_TLSTR-ST_3.2.6.0.1.6b1"/>
    <x v="0"/>
    <x v="56"/>
    <m/>
    <x v="0"/>
    <s v="\\192.168.3.3\Share\Releases\Projects\TLSTR-ST\Release_For_Test\Test_Build_1.0.1\Server CD\MPE\Setup"/>
    <s v="Pass"/>
    <x v="1"/>
    <m/>
    <m/>
    <m/>
    <s v="Aditya Mani Sharma"/>
    <x v="0"/>
  </r>
  <r>
    <x v="215"/>
    <x v="210"/>
    <n v="10"/>
    <x v="10"/>
    <n v="10"/>
    <s v="LQA"/>
    <x v="0"/>
    <m/>
    <x v="1"/>
    <x v="1"/>
    <x v="0"/>
    <s v="MPE_SLT-1B_3.0.1.1.1.100b1"/>
    <x v="0"/>
    <x v="26"/>
    <m/>
    <x v="2"/>
    <s v="\\192.168.3.3\Share\Releases\Projects\SLT-1B\Release_For_Test\Test_Build_1.0.0.1\Server CD\MPE\Setup"/>
    <m/>
    <x v="1"/>
    <m/>
    <m/>
    <m/>
    <m/>
    <x v="2"/>
  </r>
  <r>
    <x v="215"/>
    <x v="210"/>
    <n v="10"/>
    <x v="10"/>
    <n v="10"/>
    <s v="IT-LQA-FAT"/>
    <x v="0"/>
    <m/>
    <x v="2"/>
    <x v="0"/>
    <x v="0"/>
    <s v="DMDBS_SLT_2.0.0.25.1.196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15"/>
    <x v="210"/>
    <n v="10"/>
    <x v="10"/>
    <n v="10"/>
    <s v="IT-LQA-FAT"/>
    <x v="0"/>
    <m/>
    <x v="4"/>
    <x v="0"/>
    <x v="0"/>
    <s v="RADBS_SLT_2.1.1.15.1.93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15"/>
    <x v="210"/>
    <n v="10"/>
    <x v="10"/>
    <n v="10"/>
    <s v="IT-LQA-UAT"/>
    <x v="8"/>
    <m/>
    <x v="5"/>
    <x v="0"/>
    <x v="0"/>
    <s v="NMDBS_TWC_4.6.1.11.3.49b1"/>
    <x v="0"/>
    <x v="7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Pradeep Raghav"/>
    <x v="0"/>
  </r>
  <r>
    <x v="215"/>
    <x v="210"/>
    <n v="10"/>
    <x v="10"/>
    <n v="10"/>
    <s v="IT-LQA"/>
    <x v="10"/>
    <m/>
    <x v="5"/>
    <x v="0"/>
    <x v="0"/>
    <s v="NMDBS_COM_4.6.1.30.1.83b1"/>
    <x v="0"/>
    <x v="7"/>
    <s v="\\192.168.3.3\Share\Releases\Projects\Comcast\Release_For_IT\Test_Build_4.6.1\Server CD\Database\Setup"/>
    <x v="2"/>
    <s v="\\192.168.3.3\Share\Releases\Projects\Comcast\Release_for_Test\Test_Build_4.6.6\Server CD\Database\Setup"/>
    <m/>
    <x v="1"/>
    <m/>
    <m/>
    <m/>
    <m/>
    <x v="2"/>
  </r>
  <r>
    <x v="215"/>
    <x v="210"/>
    <n v="10"/>
    <x v="10"/>
    <n v="10"/>
    <s v="LQA"/>
    <x v="5"/>
    <m/>
    <x v="1"/>
    <x v="1"/>
    <x v="0"/>
    <s v="MPE_BHN_3.2.5.0.1.4b1"/>
    <x v="0"/>
    <x v="46"/>
    <m/>
    <x v="0"/>
    <s v="\\192.168.3.3\Share\Releases\Projects\BHN\Release_For_Test\Test_Build_1.0.2\Server CD\MPE\Setup"/>
    <m/>
    <x v="1"/>
    <m/>
    <m/>
    <m/>
    <m/>
    <x v="1"/>
  </r>
  <r>
    <x v="216"/>
    <x v="211"/>
    <n v="10"/>
    <x v="10"/>
    <n v="10"/>
    <s v="IT-LQA-FAT"/>
    <x v="0"/>
    <m/>
    <x v="4"/>
    <x v="0"/>
    <x v="0"/>
    <s v=" RADBS_SLT_2.1.1.15.1.94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16"/>
    <x v="211"/>
    <n v="10"/>
    <x v="10"/>
    <n v="10"/>
    <s v="IT-LQA"/>
    <x v="21"/>
    <s v="phase 1"/>
    <x v="2"/>
    <x v="0"/>
    <x v="0"/>
    <s v="DMDBS_TLSTR-ST_2.1.1.8.1.5b1"/>
    <x v="0"/>
    <x v="23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216"/>
    <x v="211"/>
    <n v="10"/>
    <x v="10"/>
    <n v="10"/>
    <s v="IT-LQA"/>
    <x v="0"/>
    <m/>
    <x v="2"/>
    <x v="0"/>
    <x v="0"/>
    <s v="DMDBS_SLT_2.0.0.25.1.197b1"/>
    <x v="0"/>
    <x v="0"/>
    <s v="\\192.168.3.3\Share\Releases\Projects\SLT\Release_For_IT\Test_Build_1.0.0.4\Server CD\DBS\Setup"/>
    <x v="0"/>
    <s v="\\192.168.3.3\Share\Releases\Projects\SLT\Release_For_LQA\Test_Build_1.0.0.24\Server CD\DBS\Setup"/>
    <m/>
    <x v="1"/>
    <m/>
    <m/>
    <m/>
    <m/>
    <x v="1"/>
  </r>
  <r>
    <x v="216"/>
    <x v="211"/>
    <n v="10"/>
    <x v="10"/>
    <n v="10"/>
    <s v="IT-LQA-FAT"/>
    <x v="0"/>
    <m/>
    <x v="2"/>
    <x v="0"/>
    <x v="0"/>
    <s v="DMDBS_SLT_2.0.0.25.1.198b1"/>
    <x v="0"/>
    <x v="0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Surya N Behra"/>
    <x v="0"/>
  </r>
  <r>
    <x v="216"/>
    <x v="211"/>
    <n v="10"/>
    <x v="10"/>
    <n v="10"/>
    <s v="IT-LQA-UAT"/>
    <x v="6"/>
    <m/>
    <x v="5"/>
    <x v="0"/>
    <x v="0"/>
    <s v="NMDBS_ANTEL_4.6.1.26.2.45b1"/>
    <x v="0"/>
    <x v="4"/>
    <s v="\\192.168.3.3\Share\Releases\Projects\ANTEL\Release_For_IT\TestBuild_1.0.0.4\Server CD\DBS\Setup"/>
    <x v="0"/>
    <s v="\\192.168.3.3\Share\Releases\Projects\ANTEL\Release_For_Test\Test_Build_1.0.0.7\Server CD\DBS\Setup"/>
    <s v="Pass"/>
    <x v="0"/>
    <m/>
    <m/>
    <m/>
    <s v="Pradeep Raghav"/>
    <x v="0"/>
  </r>
  <r>
    <x v="216"/>
    <x v="211"/>
    <n v="10"/>
    <x v="10"/>
    <n v="10"/>
    <s v="LQA"/>
    <x v="5"/>
    <m/>
    <x v="5"/>
    <x v="0"/>
    <x v="0"/>
    <s v="NMDBS_BHN_4.7.1.6"/>
    <x v="0"/>
    <x v="24"/>
    <m/>
    <x v="0"/>
    <s v="\\192.168.3.3\Share\Releases\Projects\BHN\Release_For_Test\Test_Build_1.0.1\Server CD\DBS\Setup"/>
    <m/>
    <x v="1"/>
    <m/>
    <m/>
    <m/>
    <m/>
    <x v="1"/>
  </r>
  <r>
    <x v="216"/>
    <x v="211"/>
    <n v="10"/>
    <x v="10"/>
    <n v="10"/>
    <s v="LQA"/>
    <x v="1"/>
    <m/>
    <x v="6"/>
    <x v="3"/>
    <x v="1"/>
    <s v="IM_1.0.2b2"/>
    <x v="0"/>
    <x v="35"/>
    <m/>
    <x v="0"/>
    <s v="\\192.168.3.3\Share\Releases\Product\IM_1.0\Build&amp;Release\Release_For_LQA\Test_Build_1.0.1\Server CD\IM\Setup"/>
    <m/>
    <x v="1"/>
    <m/>
    <m/>
    <m/>
    <m/>
    <x v="1"/>
  </r>
  <r>
    <x v="217"/>
    <x v="212"/>
    <n v="11"/>
    <x v="11"/>
    <n v="11"/>
    <s v="IT-LQA-UAT"/>
    <x v="4"/>
    <m/>
    <x v="5"/>
    <x v="0"/>
    <x v="0"/>
    <s v="NMDBS_TLSTR_4.0.1.0.4.315b1"/>
    <x v="0"/>
    <x v="9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Abrar Khan"/>
    <x v="0"/>
  </r>
  <r>
    <x v="217"/>
    <x v="212"/>
    <n v="11"/>
    <x v="11"/>
    <n v="11"/>
    <s v="LQA"/>
    <x v="5"/>
    <m/>
    <x v="6"/>
    <x v="3"/>
    <x v="1"/>
    <s v="IM_BHN_1.0.2.0.3"/>
    <x v="0"/>
    <x v="35"/>
    <m/>
    <x v="0"/>
    <s v="\\192.168.3.3\share\Releases\Projects\BHN\Release_For_Test\Test_Build_1.0.2\Server CD\IM\Setup"/>
    <m/>
    <x v="1"/>
    <m/>
    <m/>
    <m/>
    <m/>
    <x v="1"/>
  </r>
  <r>
    <x v="217"/>
    <x v="212"/>
    <n v="11"/>
    <x v="11"/>
    <n v="11"/>
    <s v="LQA-FAT"/>
    <x v="0"/>
    <m/>
    <x v="1"/>
    <x v="1"/>
    <x v="0"/>
    <s v="MPE_SLT-1B_3.0.1.1.1.100b2"/>
    <x v="0"/>
    <x v="26"/>
    <m/>
    <x v="0"/>
    <s v="\\192.168.3.3\Share\Releases\Projects\SLT-1B\Release_For_Test\Test_Build_1.0.0.1\Server CD\MPE\Setup"/>
    <s v="Pass"/>
    <x v="1"/>
    <m/>
    <m/>
    <m/>
    <s v="K.V. Krishnan"/>
    <x v="0"/>
  </r>
  <r>
    <x v="217"/>
    <x v="212"/>
    <n v="11"/>
    <x v="11"/>
    <n v="11"/>
    <s v="IT-LQA-UAT"/>
    <x v="4"/>
    <m/>
    <x v="5"/>
    <x v="0"/>
    <x v="0"/>
    <s v="NMDBS_TLSTR_4.0.1.0.4.316b1"/>
    <x v="0"/>
    <x v="54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Abrar Khan"/>
    <x v="0"/>
  </r>
  <r>
    <x v="218"/>
    <x v="213"/>
    <n v="11"/>
    <x v="11"/>
    <n v="11"/>
    <s v="IT-LQA-FAT"/>
    <x v="0"/>
    <m/>
    <x v="2"/>
    <x v="0"/>
    <x v="0"/>
    <s v="DMDBS_SLT_2.0.0.25.1.199b1"/>
    <x v="0"/>
    <x v="0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18"/>
    <x v="213"/>
    <n v="11"/>
    <x v="11"/>
    <n v="11"/>
    <s v="IT-LQA-FAT"/>
    <x v="0"/>
    <m/>
    <x v="4"/>
    <x v="0"/>
    <x v="0"/>
    <s v="RADBS_SLT_2.1.1.15.1.95b1"/>
    <x v="0"/>
    <x v="0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18"/>
    <x v="213"/>
    <n v="11"/>
    <x v="11"/>
    <n v="11"/>
    <s v="IT-LQA-UAT"/>
    <x v="10"/>
    <m/>
    <x v="9"/>
    <x v="0"/>
    <x v="0"/>
    <s v="NPDBS_COM_1.2.3.17.1.24b2"/>
    <x v="0"/>
    <x v="39"/>
    <s v="\\192.168.3.3\Share\Releases\Projects\Comcast\Release_For_IT\Test_Build_4.6.1\Server CD\Database\Setup"/>
    <x v="0"/>
    <s v="\\192.168.3.3\Share\Releases\Projects\Comcast\Release_for_Test\Test_Build_4.6.6\Server CD\Database\Setup"/>
    <s v="Pass"/>
    <x v="1"/>
    <m/>
    <m/>
    <m/>
    <s v="Rudra Narayan"/>
    <x v="0"/>
  </r>
  <r>
    <x v="218"/>
    <x v="213"/>
    <n v="11"/>
    <x v="11"/>
    <n v="11"/>
    <s v="IT-LQA"/>
    <x v="0"/>
    <m/>
    <x v="2"/>
    <x v="0"/>
    <x v="0"/>
    <s v="NPDBS_COM_1.2.3.17.1.24b2"/>
    <x v="0"/>
    <x v="44"/>
    <s v="\\192.168.3.3\Share\Releases\Projects\SLT\Release_For_IT\Test_Build_1.0.0.4\Server CD\DBS\Setup"/>
    <x v="0"/>
    <s v="\\192.168.3.3\Share\Releases\Projects\SLT\Release_For_LQA\Test_Build_1.0.0.24\Server CD\DBS\Setup"/>
    <m/>
    <x v="1"/>
    <m/>
    <m/>
    <m/>
    <m/>
    <x v="1"/>
  </r>
  <r>
    <x v="218"/>
    <x v="213"/>
    <n v="11"/>
    <x v="11"/>
    <n v="11"/>
    <s v="IT-LQA-FAT"/>
    <x v="0"/>
    <m/>
    <x v="2"/>
    <x v="0"/>
    <x v="0"/>
    <s v="DMDBS_SLT_2.0.0.25.1.200b1"/>
    <x v="0"/>
    <x v="0"/>
    <s v="\\192.168.3.3\Share\Releases\Projects\SLT\Release_For_IT\Test_Build_1.0.0.4\Server CD\DBS\Setup"/>
    <x v="0"/>
    <s v="\\192.168.3.3\Share\Releases\Projects\SLT\Release_For_LQA\Test_Build_1.0.0.24\Server CD\DBS\Setup"/>
    <s v="Pass"/>
    <x v="0"/>
    <m/>
    <m/>
    <m/>
    <s v="Surya N Behra"/>
    <x v="0"/>
  </r>
  <r>
    <x v="218"/>
    <x v="213"/>
    <n v="11"/>
    <x v="11"/>
    <n v="11"/>
    <s v="IT-LQA-FAT"/>
    <x v="0"/>
    <m/>
    <x v="4"/>
    <x v="0"/>
    <x v="0"/>
    <s v="RADBS_SLT_2.1.1.15.1.96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Surya N Behra"/>
    <x v="0"/>
  </r>
  <r>
    <x v="218"/>
    <x v="213"/>
    <n v="11"/>
    <x v="11"/>
    <n v="11"/>
    <s v="IT-LQA-UAT"/>
    <x v="6"/>
    <m/>
    <x v="5"/>
    <x v="0"/>
    <x v="0"/>
    <s v="NMDBS_ANTEL_4.6.1.26.2.46b1"/>
    <x v="0"/>
    <x v="4"/>
    <s v="\\192.168.3.3\Share\Releases\Projects\ANTEL\Release_For_IT\TestBuild_1.0.0.4\Server CD\DBS\Setup"/>
    <x v="0"/>
    <s v="\\192.168.3.3\Share\Releases\Projects\ANTEL\Release_For_Test\Test_Build_1.0.0.7\Server CD\DBS\Setup"/>
    <s v="Pass"/>
    <x v="1"/>
    <m/>
    <m/>
    <m/>
    <s v="Pradeep Raghav"/>
    <x v="0"/>
  </r>
  <r>
    <x v="219"/>
    <x v="214"/>
    <n v="11"/>
    <x v="11"/>
    <n v="11"/>
    <s v="IT-LQA-UAT"/>
    <x v="10"/>
    <m/>
    <x v="5"/>
    <x v="0"/>
    <x v="0"/>
    <s v="NMDBS_COM_4.6.1.30.1.84b1"/>
    <x v="0"/>
    <x v="7"/>
    <s v="\\192.168.3.3\Share\Releases\Projects\Comcast\Release_For_IT\Test_Build_4.6.1\Server CD\Database\Setup"/>
    <x v="0"/>
    <s v="\\192.168.3.3\Share\Releases\Projects\Comcast\Release_for_Test\Test_Build_4.6.6\Server CD\Database\Setup"/>
    <s v="Pass"/>
    <x v="1"/>
    <m/>
    <m/>
    <m/>
    <s v="Rudra Narayan"/>
    <x v="0"/>
  </r>
  <r>
    <x v="219"/>
    <x v="214"/>
    <n v="11"/>
    <x v="11"/>
    <n v="11"/>
    <s v="IT-LQA"/>
    <x v="21"/>
    <s v="phase 1"/>
    <x v="2"/>
    <x v="0"/>
    <x v="0"/>
    <s v="DMDBS_TLSTR-ST_2.1.1.8.1.6b1"/>
    <x v="0"/>
    <x v="23"/>
    <s v="\\192.168.3.3\Share\Releases\Projects\TLSTR-ST\Release_For_IT\TestBuild_1.0.1\Server CD\DBS\Setup"/>
    <x v="0"/>
    <s v="\\192.168.3.3\Share\Releases\Projects\TLSTR-ST\Release_For_Test\Test_Build_1.0.1\Server CD\DBS\Setup"/>
    <m/>
    <x v="0"/>
    <m/>
    <m/>
    <m/>
    <m/>
    <x v="1"/>
  </r>
  <r>
    <x v="219"/>
    <x v="214"/>
    <n v="11"/>
    <x v="11"/>
    <n v="11"/>
    <s v="IT-LQA-UAT"/>
    <x v="10"/>
    <m/>
    <x v="5"/>
    <x v="0"/>
    <x v="0"/>
    <s v="NMDBS_COM_4.6.1.30.1.82b2"/>
    <x v="0"/>
    <x v="7"/>
    <s v="\\192.168.3.3\Share\Releases\Projects\Comcast\Release_For_IT\Test_Build_4.6.1\Server CD\Database\Setup"/>
    <x v="0"/>
    <s v="\\192.168.3.3\Share\Releases\Projects\Comcast\Release_for_Test\Test_Build_4.6.6\Server CD\Database\Setup"/>
    <s v="Pass"/>
    <x v="1"/>
    <m/>
    <m/>
    <m/>
    <s v="Rudra Narayan"/>
    <x v="0"/>
  </r>
  <r>
    <x v="219"/>
    <x v="214"/>
    <n v="11"/>
    <x v="11"/>
    <n v="11"/>
    <s v="IT-LQA"/>
    <x v="21"/>
    <s v="phase 1"/>
    <x v="2"/>
    <x v="0"/>
    <x v="0"/>
    <s v="DMDBS_TLSTR-ST_2.1.1.8.1.7b1"/>
    <x v="0"/>
    <x v="3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220"/>
    <x v="215"/>
    <n v="11"/>
    <x v="11"/>
    <n v="11"/>
    <s v="IT-LQA-UAT"/>
    <x v="10"/>
    <m/>
    <x v="5"/>
    <x v="0"/>
    <x v="0"/>
    <s v="NMDBS_COM_4.6.1.30.1.83b2"/>
    <x v="0"/>
    <x v="7"/>
    <s v="\\192.168.3.3\Share\Releases\Projects\Comcast\Release_For_IT\Test_Build_4.6.1\Server CD\Database\Setup"/>
    <x v="0"/>
    <s v="\\192.168.3.3\Share\Releases\Projects\Comcast\Release_for_Test\Test_Build_4.6.6\Server CD\Database\Setup"/>
    <s v="Pass"/>
    <x v="1"/>
    <m/>
    <m/>
    <m/>
    <s v="Rudra Narayan"/>
    <x v="0"/>
  </r>
  <r>
    <x v="221"/>
    <x v="216"/>
    <n v="11"/>
    <x v="11"/>
    <n v="11"/>
    <s v="LQA-FAT"/>
    <x v="22"/>
    <m/>
    <x v="1"/>
    <x v="1"/>
    <x v="0"/>
    <s v="MPE_MOBSA_3.0.1.1.1.7b1"/>
    <x v="0"/>
    <x v="10"/>
    <m/>
    <x v="0"/>
    <s v="\\192.168.3.3\Share\Releases\Projects\MOBSA\Release_For_LQA\Test_Build_1.0.0.3\Server CD\MPE\Setup"/>
    <s v="Pass"/>
    <x v="1"/>
    <m/>
    <m/>
    <m/>
    <s v="Manas Ranjan Barik"/>
    <x v="0"/>
  </r>
  <r>
    <x v="222"/>
    <x v="217"/>
    <n v="11"/>
    <x v="11"/>
    <n v="11"/>
    <s v="IT-LQA-UAT"/>
    <x v="6"/>
    <m/>
    <x v="5"/>
    <x v="0"/>
    <x v="0"/>
    <s v="NMDBS_ANTEL_4.6.1.26.2.47b1"/>
    <x v="0"/>
    <x v="4"/>
    <s v="\\192.168.3.3\Share\Releases\Projects\ANTEL\Release_For_IT\TestBuild_1.0.0.4\Server CD\DBS\Setup"/>
    <x v="0"/>
    <s v="\\192.168.3.3\Share\Releases\Projects\ANTEL\Release_For_Test\Test_Build_1.0.0.7\Server CD\DBS\Setup"/>
    <s v="Pass"/>
    <x v="0"/>
    <m/>
    <m/>
    <m/>
    <s v="Pradeep Raghav"/>
    <x v="0"/>
  </r>
  <r>
    <x v="222"/>
    <x v="217"/>
    <n v="11"/>
    <x v="11"/>
    <n v="11"/>
    <s v="LQA-UAT"/>
    <x v="10"/>
    <m/>
    <x v="8"/>
    <x v="2"/>
    <x v="0"/>
    <s v="WWFSGUI_COM_2.1.34.0.1.7b1"/>
    <x v="0"/>
    <x v="33"/>
    <m/>
    <x v="0"/>
    <s v="\\192.168.3.3\Share\Releases\Projects\Comcast\Release_for_Test\Test_Build_4.6.6\Server CD\GUI\Setup "/>
    <s v="Pass"/>
    <x v="0"/>
    <m/>
    <m/>
    <m/>
    <s v="Rudra Narayan"/>
    <x v="0"/>
  </r>
  <r>
    <x v="222"/>
    <x v="217"/>
    <n v="11"/>
    <x v="11"/>
    <n v="11"/>
    <s v="LQA-UAT"/>
    <x v="1"/>
    <m/>
    <x v="1"/>
    <x v="1"/>
    <x v="0"/>
    <s v="MPE_3.2.4.33b1"/>
    <x v="0"/>
    <x v="14"/>
    <m/>
    <x v="0"/>
    <s v="\\192.168.3.3\Share\Releases\Product\MPE_GUI\ReleaseForLQA\TestBuild_1.0.0.2\Server CD\MPE\Setup"/>
    <s v="Pass"/>
    <x v="1"/>
    <m/>
    <m/>
    <m/>
    <s v="Manas Ranjan Barik"/>
    <x v="0"/>
  </r>
  <r>
    <x v="222"/>
    <x v="217"/>
    <n v="11"/>
    <x v="11"/>
    <n v="11"/>
    <s v="LQA-UAT"/>
    <x v="6"/>
    <m/>
    <x v="1"/>
    <x v="1"/>
    <x v="0"/>
    <s v="MPE_ANTEL_3.2.4.33.1.16b1"/>
    <x v="0"/>
    <x v="14"/>
    <m/>
    <x v="0"/>
    <s v="\\192.168.3.3\Share\Releases\Projects\ANTEL\Release_For_Test\Test_Build_1.0.0.7\Server CD\MPE\Setup"/>
    <s v="Pass"/>
    <x v="1"/>
    <m/>
    <m/>
    <m/>
    <s v="Manas Ranjan Barik"/>
    <x v="0"/>
  </r>
  <r>
    <x v="222"/>
    <x v="217"/>
    <n v="11"/>
    <x v="11"/>
    <n v="11"/>
    <s v="IT-LQA-FAT"/>
    <x v="0"/>
    <m/>
    <x v="2"/>
    <x v="0"/>
    <x v="0"/>
    <s v="DMDBS_SLT_2.0.0.25.1.201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23"/>
    <x v="218"/>
    <n v="11"/>
    <x v="11"/>
    <n v="11"/>
    <s v="IT-LQA"/>
    <x v="8"/>
    <m/>
    <x v="5"/>
    <x v="0"/>
    <x v="0"/>
    <s v="NMDBS_TWC_4.6.1.11.3.50b1"/>
    <x v="0"/>
    <x v="7"/>
    <s v="\\192.168.3.3\Share\Releases\Projects\TWC\Release_For_IT\Test_Build_1.0.0.3\Server CD\DBS\Setup"/>
    <x v="2"/>
    <s v="\\192.168.3.3\Share\Releases\Projects\TWC\Release_For_Test\Test_Build_1.0.0.4\Server CD\DBS\Setup"/>
    <m/>
    <x v="1"/>
    <m/>
    <m/>
    <m/>
    <m/>
    <x v="2"/>
  </r>
  <r>
    <x v="223"/>
    <x v="0"/>
    <n v="11"/>
    <x v="11"/>
    <s v="False"/>
    <s v="IT"/>
    <x v="1"/>
    <m/>
    <x v="7"/>
    <x v="0"/>
    <x v="0"/>
    <s v="RTDBS_4.0.1.24b1"/>
    <x v="0"/>
    <x v="4"/>
    <s v="\\192.168.3.3\Share\Releases\Product\RT_4.0\ReleaseForIT\TestBuild_4.0.3\DBS\Setup"/>
    <x v="1"/>
    <m/>
    <m/>
    <x v="1"/>
    <m/>
    <m/>
    <m/>
    <m/>
    <x v="2"/>
  </r>
  <r>
    <x v="223"/>
    <x v="218"/>
    <n v="11"/>
    <x v="11"/>
    <n v="11"/>
    <s v="LQA"/>
    <x v="17"/>
    <m/>
    <x v="10"/>
    <x v="5"/>
    <x v="1"/>
    <s v="SACAGENT_1.3.1.0.1.1b1_MTS_RHEL_4.8_x86_64"/>
    <x v="0"/>
    <x v="58"/>
    <m/>
    <x v="0"/>
    <s v="\\192.168.3.3\Share\Releases\Projects\MTS\Release For Test\Test_Build_3.0.5.25\Server CD\AGENT\Setup"/>
    <m/>
    <x v="1"/>
    <m/>
    <m/>
    <m/>
    <m/>
    <x v="1"/>
  </r>
  <r>
    <x v="223"/>
    <x v="218"/>
    <n v="11"/>
    <x v="11"/>
    <n v="11"/>
    <s v="LQA-FAT"/>
    <x v="0"/>
    <m/>
    <x v="1"/>
    <x v="1"/>
    <x v="0"/>
    <s v="MPE_SLT-1B_3.0.1.1.1.101b1"/>
    <x v="0"/>
    <x v="26"/>
    <m/>
    <x v="0"/>
    <s v="\\192.168.3.3\Share\Releases\Projects\SLT-1B\Release_For_Test\Test_Build_1.0.0.1\Server CD\MPE\Setup"/>
    <s v="Pass"/>
    <x v="1"/>
    <m/>
    <m/>
    <m/>
    <s v="K.V. Krishnan"/>
    <x v="0"/>
  </r>
  <r>
    <x v="224"/>
    <x v="219"/>
    <n v="11"/>
    <x v="11"/>
    <n v="11"/>
    <s v="LQA"/>
    <x v="5"/>
    <m/>
    <x v="1"/>
    <x v="1"/>
    <x v="0"/>
    <s v="MPE_BHN_3.2.5.0.1.5b1"/>
    <x v="0"/>
    <x v="43"/>
    <m/>
    <x v="0"/>
    <s v="\\192.168.3.3\Share\Releases\Projects\BHN\Release_For_Test\Test_Build_1.0.2\Server CD\MPE\Setup"/>
    <m/>
    <x v="1"/>
    <m/>
    <m/>
    <m/>
    <m/>
    <x v="1"/>
  </r>
  <r>
    <x v="224"/>
    <x v="219"/>
    <n v="11"/>
    <x v="11"/>
    <n v="11"/>
    <s v="IT-LQA"/>
    <x v="0"/>
    <m/>
    <x v="5"/>
    <x v="0"/>
    <x v="0"/>
    <s v="NMDBS_SLT_4.0.2.0.1.31b1"/>
    <x v="0"/>
    <x v="0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24"/>
    <x v="219"/>
    <n v="11"/>
    <x v="11"/>
    <n v="11"/>
    <s v="IT-LQA-FAT"/>
    <x v="0"/>
    <m/>
    <x v="2"/>
    <x v="0"/>
    <x v="0"/>
    <s v="DMDBS_SLT_2.0.0.25.1.203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25"/>
    <x v="220"/>
    <n v="11"/>
    <x v="11"/>
    <n v="11"/>
    <s v="IT-LQA-UAT"/>
    <x v="4"/>
    <m/>
    <x v="5"/>
    <x v="0"/>
    <x v="0"/>
    <s v="NMDBS_TLSTR_4.0.1.0.4.317b1"/>
    <x v="0"/>
    <x v="9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Abrar Khan"/>
    <x v="0"/>
  </r>
  <r>
    <x v="225"/>
    <x v="220"/>
    <n v="11"/>
    <x v="11"/>
    <n v="11"/>
    <s v="LQA"/>
    <x v="5"/>
    <m/>
    <x v="8"/>
    <x v="2"/>
    <x v="0"/>
    <s v="WWFSGUI_BHN_2.1.34.0.4"/>
    <x v="0"/>
    <x v="33"/>
    <m/>
    <x v="0"/>
    <s v="\\192.168.3.3\Share\Releases\Projects\BHN\Release_For_Test\Test_Build_1.0.3\Server CD\GUI\Setup"/>
    <m/>
    <x v="0"/>
    <m/>
    <m/>
    <m/>
    <m/>
    <x v="1"/>
  </r>
  <r>
    <x v="226"/>
    <x v="221"/>
    <n v="11"/>
    <x v="11"/>
    <n v="11"/>
    <s v="IT-LQA-UAT"/>
    <x v="8"/>
    <m/>
    <x v="5"/>
    <x v="0"/>
    <x v="0"/>
    <s v="NMDBS_TWC_4.6.1.11.3.50b2"/>
    <x v="0"/>
    <x v="7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Mayank Sharma"/>
    <x v="0"/>
  </r>
  <r>
    <x v="226"/>
    <x v="221"/>
    <n v="11"/>
    <x v="11"/>
    <n v="11"/>
    <s v="IT-LQA"/>
    <x v="0"/>
    <m/>
    <x v="4"/>
    <x v="0"/>
    <x v="0"/>
    <s v="NMDBS_TWC_4.6.1.11.3.50b2"/>
    <x v="0"/>
    <x v="44"/>
    <s v="\\192.168.3.3\Share\Releases\Projects\SLT\Release_For_IT\Test_Build_1.0.0.4\Server CD\DBS\Setup"/>
    <x v="0"/>
    <s v="\\192.168.3.3\Share\Releases\Projects\SLT\Release_For_LQA\Test_Build_1.0.0.24\Server CD\DBS\Setup"/>
    <m/>
    <x v="1"/>
    <m/>
    <m/>
    <m/>
    <m/>
    <x v="1"/>
  </r>
  <r>
    <x v="226"/>
    <x v="221"/>
    <n v="11"/>
    <x v="11"/>
    <n v="11"/>
    <s v="IT-LQA-FAT"/>
    <x v="0"/>
    <m/>
    <x v="4"/>
    <x v="0"/>
    <x v="0"/>
    <s v="RADBS_SLT_2.1.1.15.1.97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26"/>
    <x v="221"/>
    <n v="11"/>
    <x v="11"/>
    <n v="11"/>
    <s v="IT-LQA-FAT"/>
    <x v="0"/>
    <m/>
    <x v="2"/>
    <x v="0"/>
    <x v="0"/>
    <s v="DMDBS_SLT_2.0.0.25.1.202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26"/>
    <x v="221"/>
    <n v="11"/>
    <x v="11"/>
    <n v="11"/>
    <s v="IT-LQA-UAT"/>
    <x v="8"/>
    <m/>
    <x v="5"/>
    <x v="0"/>
    <x v="0"/>
    <s v="NMDBS_TWC_4.6.1.11.3.51b1"/>
    <x v="0"/>
    <x v="19"/>
    <s v="\\192.168.3.3\Share\Releases\Projects\TWC\Release_For_Test\Test_Build_1.0.0.4\Server CD\DBS\Setup"/>
    <x v="0"/>
    <s v="\\192.168.3.3\Share\Releases\Projects\TWC\Release_For_IT\Test_Build_1.0.0.3\Server CD\DBS\Setup"/>
    <s v="Pass"/>
    <x v="1"/>
    <m/>
    <m/>
    <m/>
    <s v="Ajay Kumar Pandey"/>
    <x v="0"/>
  </r>
  <r>
    <x v="227"/>
    <x v="222"/>
    <n v="11"/>
    <x v="11"/>
    <n v="11"/>
    <s v="LQA"/>
    <x v="1"/>
    <m/>
    <x v="12"/>
    <x v="2"/>
    <x v="1"/>
    <s v="WWCSGUI_2.1.21b1"/>
    <x v="0"/>
    <x v="33"/>
    <m/>
    <x v="0"/>
    <s v="\\192.168.3.3\Share\Releases\Product\WEB_CS\Build&amp;Release\Release For Test\TestBuild_2.1.21\ServerCD\GUI\Setup"/>
    <m/>
    <x v="1"/>
    <m/>
    <m/>
    <m/>
    <m/>
    <x v="1"/>
  </r>
  <r>
    <x v="227"/>
    <x v="222"/>
    <n v="11"/>
    <x v="11"/>
    <n v="11"/>
    <s v="IT-LQA"/>
    <x v="10"/>
    <m/>
    <x v="5"/>
    <x v="0"/>
    <x v="0"/>
    <s v="NMDBS_COM_4.6.1.30.1.85b1"/>
    <x v="0"/>
    <x v="39"/>
    <s v="\\192.168.3.3\Share\Releases\Projects\Comcast\Release_For_IT\Test_Build_4.6.1\Server CD\Database\Setup"/>
    <x v="0"/>
    <s v="\\192.168.3.3\Share\Releases\Projects\Comcast\Release_for_Test\Test_Build_4.6.6\Server CD\Database\Setup"/>
    <m/>
    <x v="1"/>
    <m/>
    <m/>
    <m/>
    <m/>
    <x v="1"/>
  </r>
  <r>
    <x v="227"/>
    <x v="222"/>
    <n v="11"/>
    <x v="11"/>
    <n v="11"/>
    <s v="IT-LQA"/>
    <x v="10"/>
    <m/>
    <x v="9"/>
    <x v="0"/>
    <x v="0"/>
    <s v="NPDBS_COM_1.2.3.17.1.25b1"/>
    <x v="0"/>
    <x v="39"/>
    <s v="\\192.168.3.3\Share\Releases\Projects\Comcast\Release_For_IT\Test_Build_4.6.1\Server CD\Database\Setup"/>
    <x v="0"/>
    <s v="\\192.168.3.3\Share\Releases\Projects\Comcast\Release_for_Test\Test_Build_4.6.6\Server CD\Database\Setup"/>
    <m/>
    <x v="1"/>
    <m/>
    <m/>
    <m/>
    <m/>
    <x v="1"/>
  </r>
  <r>
    <x v="227"/>
    <x v="222"/>
    <n v="11"/>
    <x v="11"/>
    <n v="11"/>
    <s v="LQA"/>
    <x v="5"/>
    <m/>
    <x v="5"/>
    <x v="0"/>
    <x v="0"/>
    <s v="NMDBS_BHN_4.7.1.7"/>
    <x v="0"/>
    <x v="7"/>
    <m/>
    <x v="0"/>
    <s v="\\192.168.3.3\Share\Releases\Projects\BHN\Release_For_Test\Test_Build_1.0.3\Server CD\DBS\Setup"/>
    <m/>
    <x v="0"/>
    <m/>
    <m/>
    <m/>
    <m/>
    <x v="1"/>
  </r>
  <r>
    <x v="227"/>
    <x v="222"/>
    <n v="11"/>
    <x v="11"/>
    <n v="11"/>
    <s v="LQA-FAT"/>
    <x v="0"/>
    <m/>
    <x v="1"/>
    <x v="1"/>
    <x v="0"/>
    <s v="MPE_SLT-1B_3.0.1.1.1.102b1"/>
    <x v="0"/>
    <x v="26"/>
    <m/>
    <x v="0"/>
    <s v="\\192.168.3.3\Share\Releases\Projects\SLT-1B\Release_For_Test\Test_Build_1.0.0.1\Server CD\MPE\Setup"/>
    <s v="Pass"/>
    <x v="1"/>
    <m/>
    <m/>
    <m/>
    <s v="K.V. Krishnan"/>
    <x v="0"/>
  </r>
  <r>
    <x v="227"/>
    <x v="222"/>
    <n v="11"/>
    <x v="11"/>
    <n v="11"/>
    <s v="IT-LQA"/>
    <x v="1"/>
    <m/>
    <x v="5"/>
    <x v="7"/>
    <x v="1"/>
    <s v="NMWFS_4.1.6"/>
    <x v="0"/>
    <x v="47"/>
    <s v="\\192.168.3.3\Share\Releases\Product\Netmind4.1\Build&amp;Release\ReleaseForIT\TestBuild_4.1.1\Build5\Client CD\GUI\Workflow System\Setup"/>
    <x v="0"/>
    <s v="\\192.168.3.3\Share\Releases\Product\Netmind4.1\Build&amp;Release\ReleaseForTest\TestBuild_4.1.1\Build5\Client CD\GUI\Workflow System\Setup"/>
    <m/>
    <x v="1"/>
    <m/>
    <m/>
    <m/>
    <m/>
    <x v="1"/>
  </r>
  <r>
    <x v="228"/>
    <x v="223"/>
    <n v="11"/>
    <x v="11"/>
    <n v="11"/>
    <s v="IT-LQA-UAT"/>
    <x v="10"/>
    <m/>
    <x v="5"/>
    <x v="0"/>
    <x v="0"/>
    <s v="NMDBS_COM_4.6.1.30.1.86b1"/>
    <x v="0"/>
    <x v="39"/>
    <s v="\\192.168.3.3\Share\Releases\Projects\Comcast\Release_For_IT\Test_Build_4.6.1\Server CD\Database\Setup"/>
    <x v="0"/>
    <s v="\\192.168.3.3\Share\Releases\Projects\Comcast\Release_for_Test\Test_Build_4.6.6\Server CD\Database\Setup"/>
    <s v="Pass"/>
    <x v="1"/>
    <m/>
    <m/>
    <m/>
    <s v="Rudra Narayan"/>
    <x v="0"/>
  </r>
  <r>
    <x v="228"/>
    <x v="223"/>
    <n v="11"/>
    <x v="11"/>
    <n v="11"/>
    <s v="LQA"/>
    <x v="5"/>
    <m/>
    <x v="5"/>
    <x v="0"/>
    <x v="0"/>
    <s v="NMDBS_BHN_4.7.1.8"/>
    <x v="0"/>
    <x v="24"/>
    <m/>
    <x v="0"/>
    <s v="\\192.168.3.3\Share\Releases\Projects\BHN\Release_For_Test\Test_Build_1.0.3\Server CD\DBS\Setup"/>
    <m/>
    <x v="1"/>
    <m/>
    <m/>
    <m/>
    <m/>
    <x v="1"/>
  </r>
  <r>
    <x v="228"/>
    <x v="223"/>
    <n v="11"/>
    <x v="11"/>
    <n v="11"/>
    <s v="IT-LQA"/>
    <x v="6"/>
    <m/>
    <x v="5"/>
    <x v="0"/>
    <x v="0"/>
    <s v="NMDBS_ANTEL_4.6.1.26.2.48b1"/>
    <x v="0"/>
    <x v="59"/>
    <s v="\\192.168.3.3\Share\Releases\Projects\ANTEL\Release_For_IT\TestBuild_1.0.0.4\Server CD\DBS\Setup"/>
    <x v="2"/>
    <s v="\\192.168.3.3\Share\Releases\Projects\ANTEL\Release_For_Test\Test_Build_1.0.0.7\Server CD\DBS\Setup"/>
    <m/>
    <x v="1"/>
    <m/>
    <m/>
    <m/>
    <m/>
    <x v="2"/>
  </r>
  <r>
    <x v="228"/>
    <x v="223"/>
    <n v="11"/>
    <x v="11"/>
    <n v="11"/>
    <s v="IT-LQA-UAT"/>
    <x v="6"/>
    <m/>
    <x v="5"/>
    <x v="0"/>
    <x v="0"/>
    <s v="NMDBS_ANTEL_4.6.1.26.2.49b1"/>
    <x v="0"/>
    <x v="59"/>
    <s v="\\192.168.3.3\Share\Releases\Projects\ANTEL\Release_For_IT\TestBuild_1.0.0.4\Server CD\DBS\Setup"/>
    <x v="0"/>
    <s v="\\192.168.3.3\Share\Releases\Projects\ANTEL\Release_For_Test\Test_Build_1.0.0.7\Server CD\DBS\Setup"/>
    <s v="Pass"/>
    <x v="0"/>
    <m/>
    <m/>
    <m/>
    <s v="Pradeep Raghav"/>
    <x v="0"/>
  </r>
  <r>
    <x v="229"/>
    <x v="224"/>
    <n v="11"/>
    <x v="11"/>
    <n v="11"/>
    <s v="IT-LQA-UAT"/>
    <x v="0"/>
    <m/>
    <x v="2"/>
    <x v="0"/>
    <x v="0"/>
    <s v="DMDBS_SLT_2.0.0.25.1.204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Surya N Behra"/>
    <x v="0"/>
  </r>
  <r>
    <x v="229"/>
    <x v="224"/>
    <n v="11"/>
    <x v="11"/>
    <n v="11"/>
    <s v="IT-LQA-FAT"/>
    <x v="0"/>
    <m/>
    <x v="2"/>
    <x v="0"/>
    <x v="0"/>
    <s v="DMDBS_SLT_2.0.0.25.1.205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29"/>
    <x v="224"/>
    <n v="11"/>
    <x v="11"/>
    <n v="11"/>
    <s v="LQA-UAT"/>
    <x v="0"/>
    <m/>
    <x v="1"/>
    <x v="1"/>
    <x v="0"/>
    <s v="MPE_SLT-1B_3.0.1.1.1.103b1"/>
    <x v="0"/>
    <x v="26"/>
    <m/>
    <x v="0"/>
    <s v="\\192.168.3.3\Share\Releases\Projects\SLT-1B\Release_For_Test\Test_Build_1.0.0.1\Server CD\MPE\Setup"/>
    <s v="Pass"/>
    <x v="1"/>
    <m/>
    <m/>
    <m/>
    <s v="K.V. Krishnan"/>
    <x v="0"/>
  </r>
  <r>
    <x v="229"/>
    <x v="224"/>
    <n v="11"/>
    <x v="11"/>
    <n v="11"/>
    <s v="IT-LQA"/>
    <x v="0"/>
    <m/>
    <x v="5"/>
    <x v="0"/>
    <x v="0"/>
    <s v="NMDBS_SLT_4.0.2.0.1.32b1"/>
    <x v="0"/>
    <x v="0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29"/>
    <x v="224"/>
    <n v="11"/>
    <x v="11"/>
    <n v="11"/>
    <s v="IT-LQA"/>
    <x v="1"/>
    <m/>
    <x v="7"/>
    <x v="0"/>
    <x v="0"/>
    <s v="RTDBS_4.0.1.24b2"/>
    <x v="0"/>
    <x v="4"/>
    <s v="\\192.168.3.3\Share\Releases\Product\RT_4.0\ReleaseForIT\TestBuild_4.0.3\DBS\Setup"/>
    <x v="0"/>
    <s v="\\192.168.3.3\Share\Releases\Product\RT_4.0\ReleaseForLQA\TestBuild_4.0.24\DBS\Setup"/>
    <s v="Pass"/>
    <x v="1"/>
    <m/>
    <m/>
    <m/>
    <s v="K.V. Krishnan"/>
    <x v="0"/>
  </r>
  <r>
    <x v="229"/>
    <x v="224"/>
    <n v="11"/>
    <x v="11"/>
    <n v="11"/>
    <s v="IT-LQA"/>
    <x v="0"/>
    <m/>
    <x v="5"/>
    <x v="7"/>
    <x v="1"/>
    <s v="NMWFS_SLT_4.1.6.0.1"/>
    <x v="0"/>
    <x v="47"/>
    <s v="\\192.168.3.3\Share\Releases\Projects\SLT\Release_For_IT\Test_Build_1.0.0.4\Client CD\WFS\Setup"/>
    <x v="0"/>
    <s v="\\192.168.3.3\Share\Releases\Projects\SLT\Release_For_LQA\Test_Build_1.0.0.24\Client CD\WFS\Setup"/>
    <s v="Pass"/>
    <x v="1"/>
    <m/>
    <m/>
    <m/>
    <s v="K.V. Krishnan"/>
    <x v="0"/>
  </r>
  <r>
    <x v="229"/>
    <x v="224"/>
    <n v="11"/>
    <x v="11"/>
    <n v="11"/>
    <s v="LQA-UAT"/>
    <x v="8"/>
    <m/>
    <x v="8"/>
    <x v="2"/>
    <x v="0"/>
    <s v="WWFSGUI_TWC_2.1.20.0.4.12b1"/>
    <x v="0"/>
    <x v="21"/>
    <m/>
    <x v="0"/>
    <s v="\\192.168.3.3\Share\Releases\Projects\TWC\Release_For_Test\Test_Build_1.0.0.4\Server CD\GUI\Setup"/>
    <s v="Pass"/>
    <x v="1"/>
    <m/>
    <m/>
    <m/>
    <s v="Pradeep Raghav"/>
    <x v="0"/>
  </r>
  <r>
    <x v="229"/>
    <x v="224"/>
    <n v="11"/>
    <x v="11"/>
    <n v="11"/>
    <s v="LQA"/>
    <x v="1"/>
    <m/>
    <x v="7"/>
    <x v="2"/>
    <x v="1"/>
    <s v="RTGUI_4.0.28b2 "/>
    <x v="0"/>
    <x v="35"/>
    <m/>
    <x v="0"/>
    <s v="\\192.168.3.3\Share\Releases\Product\RT_4.0\ReleaseForLQA\TestBuild_4.0.24\GUI\Build1\Setup "/>
    <m/>
    <x v="1"/>
    <m/>
    <m/>
    <m/>
    <m/>
    <x v="1"/>
  </r>
  <r>
    <x v="230"/>
    <x v="225"/>
    <n v="11"/>
    <x v="11"/>
    <n v="11"/>
    <s v="LQA"/>
    <x v="20"/>
    <m/>
    <x v="17"/>
    <x v="2"/>
    <x v="1"/>
    <s v="CSGUI_FNB_2.6.1.0.1"/>
    <x v="0"/>
    <x v="40"/>
    <m/>
    <x v="0"/>
    <s v="\\192.168.3.3\Share\Releases\Projects\FNB\Release_For_Test\Test_Build_1.0.1\Server CD\GUI\Setup"/>
    <s v="Pass"/>
    <x v="1"/>
    <m/>
    <m/>
    <m/>
    <m/>
    <x v="0"/>
  </r>
  <r>
    <x v="230"/>
    <x v="225"/>
    <n v="11"/>
    <x v="11"/>
    <n v="11"/>
    <s v="LQA"/>
    <x v="20"/>
    <m/>
    <x v="8"/>
    <x v="2"/>
    <x v="1"/>
    <s v="WWFSGUI_FNB_2.2.1.2.1"/>
    <x v="0"/>
    <x v="40"/>
    <m/>
    <x v="0"/>
    <s v="\\192.168.3.3\Share\Releases\Projects\FNB\Release_For_Test\Test_Build_1.0.1\Server CD\GUI\Setup"/>
    <s v="Pass"/>
    <x v="1"/>
    <m/>
    <m/>
    <m/>
    <m/>
    <x v="0"/>
  </r>
  <r>
    <x v="230"/>
    <x v="225"/>
    <n v="11"/>
    <x v="11"/>
    <n v="11"/>
    <s v="LQA"/>
    <x v="21"/>
    <m/>
    <x v="1"/>
    <x v="1"/>
    <x v="0"/>
    <s v="MPE_TLSTR-ST_3.2.6.0.1.7b1"/>
    <x v="0"/>
    <x v="6"/>
    <m/>
    <x v="0"/>
    <s v="\\192.168.3.3\Share\Releases\Projects\TLSTR-ST\Release_For_Test\Test_Build_1.0.1\Server CD\MPE\Setup"/>
    <m/>
    <x v="1"/>
    <m/>
    <m/>
    <m/>
    <m/>
    <x v="1"/>
  </r>
  <r>
    <x v="231"/>
    <x v="226"/>
    <n v="11"/>
    <x v="11"/>
    <n v="11"/>
    <s v="LQA-UAT"/>
    <x v="20"/>
    <m/>
    <x v="5"/>
    <x v="0"/>
    <x v="1"/>
    <s v="NMDBS_FNB_4.7.1.1"/>
    <x v="0"/>
    <x v="53"/>
    <m/>
    <x v="0"/>
    <s v="\\192.168.3.3\Share\Releases\Projects\FNB\Release_For_Test\Test_Build_1.0.1\Server CD\DBS\Setup"/>
    <s v="Pass"/>
    <x v="0"/>
    <m/>
    <m/>
    <m/>
    <s v="Pradeep Raghav"/>
    <x v="0"/>
  </r>
  <r>
    <x v="231"/>
    <x v="226"/>
    <n v="11"/>
    <x v="11"/>
    <n v="11"/>
    <s v="LQA"/>
    <x v="20"/>
    <m/>
    <x v="12"/>
    <x v="2"/>
    <x v="1"/>
    <s v="WWCSGUI_FNB_2.1.19.0.1"/>
    <x v="0"/>
    <x v="40"/>
    <m/>
    <x v="0"/>
    <s v="\\192.168.3.3\Share\Releases\Projects\FNB\Release_For_Test\Test_Build_1.0.1\Server CD\GUI\Setup"/>
    <m/>
    <x v="1"/>
    <m/>
    <m/>
    <m/>
    <m/>
    <x v="1"/>
  </r>
  <r>
    <x v="231"/>
    <x v="226"/>
    <n v="11"/>
    <x v="11"/>
    <n v="11"/>
    <s v="LQA"/>
    <x v="20"/>
    <m/>
    <x v="8"/>
    <x v="2"/>
    <x v="1"/>
    <s v="WWFSGUI_FNB_2.1.34.0.1"/>
    <x v="0"/>
    <x v="33"/>
    <m/>
    <x v="0"/>
    <s v="\\192.168.3.3\Share\Releases\Projects\FNB\Release_For_Test\Test_Build_1.0.1\Server CD\GUI\Setup"/>
    <m/>
    <x v="1"/>
    <m/>
    <m/>
    <m/>
    <m/>
    <x v="1"/>
  </r>
  <r>
    <x v="231"/>
    <x v="226"/>
    <n v="11"/>
    <x v="11"/>
    <n v="11"/>
    <s v="LQA"/>
    <x v="20"/>
    <m/>
    <x v="4"/>
    <x v="0"/>
    <x v="1"/>
    <s v="RADBS_FNB_2.2.1.1"/>
    <x v="0"/>
    <x v="53"/>
    <m/>
    <x v="0"/>
    <s v="\\192.168.3.3\Share\Releases\Projects\FNB\Release_For_Test\Test_Build_1.0.1\Server CD\DBS\Setup"/>
    <s v="Pass"/>
    <x v="1"/>
    <m/>
    <m/>
    <m/>
    <m/>
    <x v="0"/>
  </r>
  <r>
    <x v="231"/>
    <x v="226"/>
    <n v="11"/>
    <x v="11"/>
    <n v="11"/>
    <s v="IT-LQA"/>
    <x v="20"/>
    <m/>
    <x v="2"/>
    <x v="0"/>
    <x v="1"/>
    <s v="DMDBS_FNB_2.1.1.11.1"/>
    <x v="0"/>
    <x v="53"/>
    <s v="\\192.168.3.3\Share\Releases\Projects\FNB\Release_For_IT\TestBuild_1.0.1\Server CD\DBS\Setup"/>
    <x v="0"/>
    <s v="\\192.168.3.3\Share\Releases\Projects\FNB\Release_For_Test\Test_Build_1.0.1\Server CD\DBS\Setup"/>
    <s v="Pass"/>
    <x v="0"/>
    <m/>
    <m/>
    <m/>
    <m/>
    <x v="0"/>
  </r>
  <r>
    <x v="231"/>
    <x v="226"/>
    <n v="11"/>
    <x v="11"/>
    <n v="11"/>
    <s v="IT-LQA"/>
    <x v="20"/>
    <m/>
    <x v="7"/>
    <x v="0"/>
    <x v="1"/>
    <s v="RTDBS_FNB_4.0.1.24.1"/>
    <x v="0"/>
    <x v="53"/>
    <s v="\\192.168.3.3\Share\Releases\Projects\FNB\Release_For_IT\TestBuild_1.0.1\Server CD\DBS\Setup"/>
    <x v="2"/>
    <s v="\\192.168.3.3\Share\Releases\Projects\FNB\Release_For_Test\Test_Build_1.0.1\Server CD\DBS\Setup"/>
    <s v="Pass"/>
    <x v="1"/>
    <m/>
    <m/>
    <m/>
    <m/>
    <x v="2"/>
  </r>
  <r>
    <x v="231"/>
    <x v="226"/>
    <n v="11"/>
    <x v="11"/>
    <n v="11"/>
    <s v="IT-LQA-UAT"/>
    <x v="20"/>
    <m/>
    <x v="5"/>
    <x v="0"/>
    <x v="1"/>
    <s v="NMDBS_TLSTR_4.0.1.0.4.318b1"/>
    <x v="0"/>
    <x v="53"/>
    <s v="\\192.168.3.3\Share\Releases\Projects\FNB\Release_For_IT\TestBuild_1.0.1\Server CD\DBS\Setup"/>
    <x v="0"/>
    <s v="\\192.168.3.3\Share\Releases\Projects\FNB\Release_For_Test\Test_Build_1.0.1\Server CD\DBS\Setup"/>
    <s v="Pass"/>
    <x v="1"/>
    <m/>
    <m/>
    <m/>
    <s v="Abrar Khan"/>
    <x v="0"/>
  </r>
  <r>
    <x v="231"/>
    <x v="226"/>
    <n v="11"/>
    <x v="11"/>
    <n v="11"/>
    <s v="LQA"/>
    <x v="1"/>
    <m/>
    <x v="6"/>
    <x v="3"/>
    <x v="1"/>
    <s v="IM_1.0.3b1"/>
    <x v="0"/>
    <x v="35"/>
    <m/>
    <x v="0"/>
    <s v="\\192.168.3.3\Share\Releases\Product\IM_1.0\Build&amp;Release\Release_For_LQA\Test_Build_1.0.2\Server CD\IM\Setup"/>
    <m/>
    <x v="1"/>
    <m/>
    <m/>
    <m/>
    <m/>
    <x v="1"/>
  </r>
  <r>
    <x v="231"/>
    <x v="226"/>
    <n v="11"/>
    <x v="11"/>
    <n v="11"/>
    <s v="IT-LQA"/>
    <x v="20"/>
    <m/>
    <x v="1"/>
    <x v="0"/>
    <x v="1"/>
    <s v="MPEDBS_FNB_1.0.1.13.1"/>
    <x v="0"/>
    <x v="53"/>
    <s v="\\192.168.3.3\Share\Releases\Projects\FNB\Release_For_IT\TestBuild_1.0.1\Server CD\DBS\Setup"/>
    <x v="0"/>
    <s v="\\192.168.3.3\Share\Releases\Projects\FNB\Release_For_Test\Test_Build_1.0.1\Server CD\DBS\Setup"/>
    <m/>
    <x v="1"/>
    <m/>
    <m/>
    <m/>
    <m/>
    <x v="1"/>
  </r>
  <r>
    <x v="231"/>
    <x v="226"/>
    <n v="11"/>
    <x v="11"/>
    <n v="11"/>
    <s v="LQA"/>
    <x v="5"/>
    <m/>
    <x v="6"/>
    <x v="3"/>
    <x v="1"/>
    <s v="IM_BHN_1.0.3.0.1"/>
    <x v="0"/>
    <x v="35"/>
    <m/>
    <x v="0"/>
    <s v="\\192.168.3.3\share\Releases\Projects\BHN\Release_For_Test\Test_Build_1.0.3\Server CD\IM\Setup"/>
    <m/>
    <x v="1"/>
    <m/>
    <m/>
    <m/>
    <m/>
    <x v="1"/>
  </r>
  <r>
    <x v="231"/>
    <x v="226"/>
    <n v="11"/>
    <x v="11"/>
    <n v="11"/>
    <s v="LQA"/>
    <x v="1"/>
    <m/>
    <x v="1"/>
    <x v="1"/>
    <x v="0"/>
    <s v="MPE_3.2.4.34b1"/>
    <x v="0"/>
    <x v="14"/>
    <m/>
    <x v="2"/>
    <s v="\\192.168.3.3\Share\Releases\Product\MPE_GUI\ReleaseForLQA\TestBuild_1.0.0.2\Server CD\MPE\Setup"/>
    <m/>
    <x v="1"/>
    <m/>
    <m/>
    <m/>
    <m/>
    <x v="2"/>
  </r>
  <r>
    <x v="231"/>
    <x v="226"/>
    <n v="11"/>
    <x v="11"/>
    <n v="11"/>
    <s v="LQA"/>
    <x v="1"/>
    <m/>
    <x v="7"/>
    <x v="2"/>
    <x v="1"/>
    <s v="RTGUI_4.0.29b1"/>
    <x v="0"/>
    <x v="35"/>
    <m/>
    <x v="0"/>
    <s v="\\192.168.3.3\Share\Releases\Product\RT_4.0\ReleaseForLQA\TestBuild_4.0.24\GUI\Build1\Setup "/>
    <m/>
    <x v="1"/>
    <m/>
    <m/>
    <m/>
    <m/>
    <x v="1"/>
  </r>
  <r>
    <x v="232"/>
    <x v="227"/>
    <n v="11"/>
    <x v="11"/>
    <n v="11"/>
    <s v="LQA"/>
    <x v="0"/>
    <m/>
    <x v="7"/>
    <x v="2"/>
    <x v="1"/>
    <s v="RTGUI_SLT_4.0.29.0.1"/>
    <x v="0"/>
    <x v="60"/>
    <m/>
    <x v="0"/>
    <s v="\\192.168.3.3\Share\Releases\Projects\SLT\Release_For_LQA\Test_Build_1.0.0.24\Server CD\GUI\Setup"/>
    <m/>
    <x v="1"/>
    <m/>
    <m/>
    <m/>
    <m/>
    <x v="1"/>
  </r>
  <r>
    <x v="232"/>
    <x v="227"/>
    <n v="11"/>
    <x v="11"/>
    <n v="11"/>
    <s v="LQA-UAT"/>
    <x v="1"/>
    <m/>
    <x v="1"/>
    <x v="1"/>
    <x v="0"/>
    <s v="MPE_3.2.4.34b2 "/>
    <x v="0"/>
    <x v="14"/>
    <m/>
    <x v="0"/>
    <s v="\\192.168.3.3\Share\Releases\Product\MPE_GUI\ReleaseForLQA\TestBuild_1.0.0.2\Server CD\MPE\Setup"/>
    <s v="Pass"/>
    <x v="1"/>
    <m/>
    <m/>
    <m/>
    <s v="Pradeep Raghav"/>
    <x v="0"/>
  </r>
  <r>
    <x v="232"/>
    <x v="227"/>
    <n v="11"/>
    <x v="11"/>
    <n v="11"/>
    <s v="LQA-UAT"/>
    <x v="10"/>
    <m/>
    <x v="8"/>
    <x v="2"/>
    <x v="0"/>
    <s v="WWFSGUI_COM_2.1.34.0.1.8b1"/>
    <x v="0"/>
    <x v="21"/>
    <m/>
    <x v="0"/>
    <s v="\\192.168.3.3\Share\Releases\Projects\Comcast\Release_for_Test\Test_Build_4.6.6\Server CD\GUI\Setup "/>
    <s v="Pass"/>
    <x v="1"/>
    <m/>
    <m/>
    <m/>
    <s v="Rudra Narayan"/>
    <x v="0"/>
  </r>
  <r>
    <x v="232"/>
    <x v="227"/>
    <n v="11"/>
    <x v="11"/>
    <n v="11"/>
    <s v="LQA"/>
    <x v="20"/>
    <m/>
    <x v="1"/>
    <x v="2"/>
    <x v="1"/>
    <s v="MPEGUI_FNB_1.0.8.0.1 "/>
    <x v="0"/>
    <x v="16"/>
    <m/>
    <x v="0"/>
    <s v="\\192.168.3.3\Share\Releases\Projects\FNB\Release_For_Test\Test_Build_1.0.1\Server CD\GUI\Setup"/>
    <m/>
    <x v="1"/>
    <m/>
    <m/>
    <m/>
    <m/>
    <x v="1"/>
  </r>
  <r>
    <x v="232"/>
    <x v="227"/>
    <n v="11"/>
    <x v="11"/>
    <n v="11"/>
    <s v="IT-LQA"/>
    <x v="0"/>
    <m/>
    <x v="2"/>
    <x v="0"/>
    <x v="0"/>
    <s v="DMDBS_SLT_2.0.0.25.1.207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33"/>
    <x v="228"/>
    <n v="11"/>
    <x v="11"/>
    <n v="11"/>
    <s v="IT-LQA"/>
    <x v="8"/>
    <m/>
    <x v="5"/>
    <x v="0"/>
    <x v="0"/>
    <s v="NMDBS_TWC_4.6.1.11.3.52b1"/>
    <x v="0"/>
    <x v="7"/>
    <s v="\\192.168.3.3\Share\Releases\Projects\TWC\Release_For_IT\Test_Build_1.0.0.3\Server CD\DBS\Setup"/>
    <x v="0"/>
    <s v="\\192.168.3.3\Share\Releases\Projects\TWC\Release_For_Test\Test_Build_1.0.0.4\Server CD\DBS\Setup"/>
    <m/>
    <x v="1"/>
    <m/>
    <m/>
    <m/>
    <m/>
    <x v="1"/>
  </r>
  <r>
    <x v="233"/>
    <x v="228"/>
    <n v="11"/>
    <x v="11"/>
    <n v="11"/>
    <s v="LQA"/>
    <x v="1"/>
    <m/>
    <x v="17"/>
    <x v="2"/>
    <x v="1"/>
    <s v="CSGUI_2.6.2b1"/>
    <x v="0"/>
    <x v="40"/>
    <m/>
    <x v="0"/>
    <s v="\\192.168.3.3\Share\Releases\Product\CSGUI_2.6\Build&amp;Release\Release_For_LQA\Test_Build_1.0.2\Server CD\GUI\Setup"/>
    <m/>
    <x v="1"/>
    <m/>
    <m/>
    <m/>
    <m/>
    <x v="1"/>
  </r>
  <r>
    <x v="233"/>
    <x v="228"/>
    <n v="11"/>
    <x v="11"/>
    <n v="11"/>
    <s v="IT-LQA"/>
    <x v="20"/>
    <m/>
    <x v="1"/>
    <x v="0"/>
    <x v="0"/>
    <s v="MPEDBS_FNB_1.0.1.13.1.1b1"/>
    <x v="0"/>
    <x v="53"/>
    <s v="\\192.168.3.3\Share\Releases\Projects\FNB\Release_For_IT\TestBuild_1.0.1\Server CD\DBS\Setup"/>
    <x v="0"/>
    <s v="\\192.168.3.3\Share\Releases\Projects\FNB\Release_For_Test\Test_Build_1.0.1\Server CD\DBS\Setup"/>
    <m/>
    <x v="1"/>
    <m/>
    <m/>
    <m/>
    <m/>
    <x v="1"/>
  </r>
  <r>
    <x v="233"/>
    <x v="228"/>
    <n v="11"/>
    <x v="11"/>
    <n v="11"/>
    <s v="LQA-UAT"/>
    <x v="1"/>
    <m/>
    <x v="4"/>
    <x v="0"/>
    <x v="0"/>
    <s v="RADBS_3.0.1b1"/>
    <x v="0"/>
    <x v="5"/>
    <m/>
    <x v="0"/>
    <s v="\\192.168.3.3\Share\Releases\Product\RevMind_3.0.1\Build&amp;Release\Release_For_LQA\Test_Build_1.0.1\Server CD\DBS\Setup"/>
    <s v="Pass"/>
    <x v="1"/>
    <m/>
    <m/>
    <m/>
    <s v="Ekansh Arora"/>
    <x v="0"/>
  </r>
  <r>
    <x v="234"/>
    <x v="229"/>
    <n v="11"/>
    <x v="11"/>
    <n v="11"/>
    <s v="LQA-UAT"/>
    <x v="20"/>
    <m/>
    <x v="1"/>
    <x v="1"/>
    <x v="1"/>
    <s v="MPE_FNB_3.2.4.34.1 "/>
    <x v="0"/>
    <x v="14"/>
    <m/>
    <x v="0"/>
    <s v="\\192.168.3.3\Share\Releases\Projects\FNB\Release_For_Test\Test_Build_1.0.1\Server CD\MPE\Setup"/>
    <s v="Pass"/>
    <x v="0"/>
    <m/>
    <m/>
    <m/>
    <s v="Manas Ranjan Barik"/>
    <x v="0"/>
  </r>
  <r>
    <x v="234"/>
    <x v="229"/>
    <n v="11"/>
    <x v="11"/>
    <n v="11"/>
    <s v="IT-LQA"/>
    <x v="5"/>
    <m/>
    <x v="11"/>
    <x v="6"/>
    <x v="1"/>
    <s v="NMUTLMIG1_BHN_1.0.0.0.6"/>
    <x v="0"/>
    <x v="24"/>
    <s v="\\192.168.3.3\Share\Releases\Projects\BHN\Release_For_IT\TestBuild_1.0.0.1\Server CD\Utility\Setup"/>
    <x v="0"/>
    <s v="\\192.168.3.3\Share\Releases\Projects\BHN\Release_For_Test\Test_Build_1.0.3\Server CD\Utility\Setup"/>
    <m/>
    <x v="1"/>
    <m/>
    <m/>
    <m/>
    <m/>
    <x v="1"/>
  </r>
  <r>
    <x v="234"/>
    <x v="229"/>
    <n v="11"/>
    <x v="11"/>
    <n v="11"/>
    <s v="IT-LQA"/>
    <x v="5"/>
    <m/>
    <x v="11"/>
    <x v="6"/>
    <x v="1"/>
    <s v="NMUTLMIG3_BHN_1.0.0.0.5"/>
    <x v="0"/>
    <x v="24"/>
    <s v="\\192.168.3.3\Share\Releases\Projects\BHN\Release_For_IT\TestBuild_1.0.0.1\Server CD\Utility\Setup"/>
    <x v="0"/>
    <s v="\\192.168.3.3\Share\Releases\Projects\BHN\Release_For_Test\Test_Build_1.0.3\Server CD\Utility\Setup"/>
    <m/>
    <x v="1"/>
    <m/>
    <m/>
    <m/>
    <m/>
    <x v="1"/>
  </r>
  <r>
    <x v="234"/>
    <x v="229"/>
    <n v="11"/>
    <x v="11"/>
    <n v="11"/>
    <s v="IT-LQA"/>
    <x v="20"/>
    <m/>
    <x v="2"/>
    <x v="0"/>
    <x v="0"/>
    <s v="DMDBS_FNB_2.1.1.11.1.1b1"/>
    <x v="0"/>
    <x v="53"/>
    <s v="\\192.168.3.3\Share\Releases\Projects\FNB\Release_For_IT\TestBuild_1.0.1\Server CD\DBS\Setup"/>
    <x v="0"/>
    <s v="\\192.168.3.3\Share\Releases\Projects\FNB\Release_For_Test\Test_Build_1.0.1\Server CD\DBS\Setup"/>
    <s v="Pass"/>
    <x v="0"/>
    <m/>
    <m/>
    <m/>
    <m/>
    <x v="0"/>
  </r>
  <r>
    <x v="234"/>
    <x v="229"/>
    <n v="11"/>
    <x v="11"/>
    <n v="11"/>
    <s v="LQA-UAT"/>
    <x v="8"/>
    <m/>
    <x v="1"/>
    <x v="1"/>
    <x v="0"/>
    <s v="MPE_TWC_3.2.1.5.2.24b1"/>
    <x v="0"/>
    <x v="43"/>
    <m/>
    <x v="0"/>
    <s v="\\192.168.3.3\Share\Releases\Projects\TWC\Release_For_Test\Test_Build_1.0.0.4\Server CD\MPE\Setup"/>
    <s v="Pass"/>
    <x v="1"/>
    <m/>
    <m/>
    <m/>
    <s v="Rudra Narayan"/>
    <x v="0"/>
  </r>
  <r>
    <x v="234"/>
    <x v="229"/>
    <n v="11"/>
    <x v="11"/>
    <n v="11"/>
    <s v="IT-LQA"/>
    <x v="1"/>
    <m/>
    <x v="7"/>
    <x v="0"/>
    <x v="0"/>
    <s v="RTDBS_4.0.1.25b1"/>
    <x v="0"/>
    <x v="35"/>
    <s v="\\192.168.3.3\Share\Releases\Product\RT_4.0\ReleaseForIT\TestBuild_4.0.3\DBS\Setup"/>
    <x v="0"/>
    <s v="\\192.168.3.3\Share\Releases\Product\RT_4.0\ReleaseForLQA\TestBuild_4.0.24\DBS\Setup"/>
    <s v="Pass"/>
    <x v="1"/>
    <m/>
    <m/>
    <m/>
    <s v="K.V. Krishnan"/>
    <x v="0"/>
  </r>
  <r>
    <x v="234"/>
    <x v="229"/>
    <n v="11"/>
    <x v="11"/>
    <n v="11"/>
    <s v="LQA"/>
    <x v="1"/>
    <m/>
    <x v="7"/>
    <x v="2"/>
    <x v="1"/>
    <s v="RTGUI_4.0.30b1"/>
    <x v="0"/>
    <x v="60"/>
    <m/>
    <x v="0"/>
    <s v="\\192.168.3.3\Share\Releases\Product\RT_4.0\ReleaseForLQA\TestBuild_4.0.24\GUI\Build1\Setup "/>
    <m/>
    <x v="1"/>
    <m/>
    <m/>
    <m/>
    <m/>
    <x v="1"/>
  </r>
  <r>
    <x v="234"/>
    <x v="229"/>
    <n v="11"/>
    <x v="11"/>
    <n v="11"/>
    <s v="LQA"/>
    <x v="1"/>
    <m/>
    <x v="5"/>
    <x v="0"/>
    <x v="1"/>
    <s v="NMDBS_4.7.1b16"/>
    <x v="0"/>
    <x v="55"/>
    <m/>
    <x v="0"/>
    <s v="\\192.168.3.3\Share\Releases\Product\Netmind_4.7\Build&amp;Release\Release_For_LQA\Test_Build_1.0.1\Server CD\DBS\Setup"/>
    <s v="Fail"/>
    <x v="0"/>
    <m/>
    <m/>
    <m/>
    <m/>
    <x v="4"/>
  </r>
  <r>
    <x v="234"/>
    <x v="229"/>
    <n v="11"/>
    <x v="11"/>
    <n v="11"/>
    <s v="IT-LQA"/>
    <x v="0"/>
    <m/>
    <x v="5"/>
    <x v="0"/>
    <x v="0"/>
    <s v="NMDBS_SLT_4.0.2.0.1.33b1"/>
    <x v="0"/>
    <x v="0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34"/>
    <x v="229"/>
    <n v="11"/>
    <x v="11"/>
    <n v="11"/>
    <s v="IT-LQA"/>
    <x v="0"/>
    <m/>
    <x v="2"/>
    <x v="0"/>
    <x v="0"/>
    <s v="DMDBS_SLT_2.0.0.25.1.208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35"/>
    <x v="230"/>
    <n v="11"/>
    <x v="11"/>
    <n v="11"/>
    <s v="LQA"/>
    <x v="0"/>
    <m/>
    <x v="7"/>
    <x v="2"/>
    <x v="1"/>
    <s v="RTGUI_SLT_4.0.30.0.1"/>
    <x v="0"/>
    <x v="60"/>
    <m/>
    <x v="0"/>
    <s v="\\192.168.3.3\Share\Releases\Projects\SLT\Release_For_LQA\Test_Build_1.0.0.24\Server CD\GUI\Setup"/>
    <m/>
    <x v="1"/>
    <m/>
    <m/>
    <m/>
    <m/>
    <x v="1"/>
  </r>
  <r>
    <x v="235"/>
    <x v="230"/>
    <n v="11"/>
    <x v="11"/>
    <n v="11"/>
    <s v="IT-LQA"/>
    <x v="5"/>
    <m/>
    <x v="5"/>
    <x v="0"/>
    <x v="1"/>
    <s v=" NMDBS_BHN_4.7.1.9"/>
    <x v="0"/>
    <x v="55"/>
    <m/>
    <x v="0"/>
    <s v="\\192.168.3.3\Share\Releases\Projects\BHN\Release_For_Test\Test_Build_1.0.3\Server CD\DBS\Setup"/>
    <m/>
    <x v="1"/>
    <m/>
    <m/>
    <m/>
    <m/>
    <x v="1"/>
  </r>
  <r>
    <x v="235"/>
    <x v="230"/>
    <n v="11"/>
    <x v="11"/>
    <n v="11"/>
    <s v="LQA"/>
    <x v="21"/>
    <m/>
    <x v="1"/>
    <x v="1"/>
    <x v="0"/>
    <s v="MPE_TLSTR-ST_3.2.6.0.1.8b1"/>
    <x v="0"/>
    <x v="11"/>
    <m/>
    <x v="0"/>
    <s v="\\192.168.3.3\Share\Releases\Projects\TLSTR-ST\Release_For_Test\Test_Build_1.0.1\Server CD\MPE\Setup"/>
    <m/>
    <x v="1"/>
    <m/>
    <m/>
    <m/>
    <m/>
    <x v="1"/>
  </r>
  <r>
    <x v="235"/>
    <x v="230"/>
    <n v="11"/>
    <x v="11"/>
    <n v="11"/>
    <s v="LQA"/>
    <x v="1"/>
    <m/>
    <x v="8"/>
    <x v="2"/>
    <x v="1"/>
    <s v="WWFSGUI_2.1.35b2"/>
    <x v="0"/>
    <x v="33"/>
    <m/>
    <x v="2"/>
    <s v="\\192.168.3.3\Share\Releases\Product\WEB_WFS\Build&amp;Release\Release For Test\TestBuild_2.1.35\ServerCD\GUI\Setup"/>
    <m/>
    <x v="1"/>
    <m/>
    <m/>
    <m/>
    <m/>
    <x v="2"/>
  </r>
  <r>
    <x v="236"/>
    <x v="231"/>
    <n v="12"/>
    <x v="12"/>
    <n v="12"/>
    <s v="IT-LQA-FAT"/>
    <x v="4"/>
    <m/>
    <x v="8"/>
    <x v="0"/>
    <x v="0"/>
    <s v="NMDBS_TLSTR_4.0.1.0.4.319b1"/>
    <x v="0"/>
    <x v="54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Abrar Khan"/>
    <x v="0"/>
  </r>
  <r>
    <x v="236"/>
    <x v="231"/>
    <n v="12"/>
    <x v="12"/>
    <n v="12"/>
    <s v="IT-LQA"/>
    <x v="20"/>
    <m/>
    <x v="1"/>
    <x v="0"/>
    <x v="0"/>
    <s v="MPEDBS_FNB_1.0.1.13.1.2b1"/>
    <x v="0"/>
    <x v="53"/>
    <s v="\\192.168.3.3\Share\Releases\Projects\FNB\Release_For_IT\TestBuild_1.0.1\Server CD\DBS\Setup"/>
    <x v="0"/>
    <s v="\\192.168.3.3\Share\Releases\Projects\FNB\Release_For_Test\Test_Build_1.0.1\Server CD\DBS\Setup"/>
    <m/>
    <x v="1"/>
    <m/>
    <m/>
    <m/>
    <m/>
    <x v="1"/>
  </r>
  <r>
    <x v="236"/>
    <x v="231"/>
    <n v="12"/>
    <x v="12"/>
    <n v="12"/>
    <s v="IT-LQA-UAT"/>
    <x v="6"/>
    <m/>
    <x v="5"/>
    <x v="0"/>
    <x v="0"/>
    <s v="NMDBS_ANTEL_4.6.1.26.2.50b1"/>
    <x v="0"/>
    <x v="4"/>
    <s v="\\192.168.3.3\Share\Releases\Projects\ANTEL\Release_For_IT\TestBuild_1.0.0.4\Server CD\DBS\Setup"/>
    <x v="0"/>
    <s v="\\192.168.3.3\Share\Releases\Projects\ANTEL\Release_For_Test\Test_Build_1.0.0.7\Server CD\DBS\Setup"/>
    <s v="Pass"/>
    <x v="1"/>
    <m/>
    <m/>
    <m/>
    <s v="Pradeep Raghav"/>
    <x v="0"/>
  </r>
  <r>
    <x v="237"/>
    <x v="232"/>
    <n v="12"/>
    <x v="12"/>
    <n v="12"/>
    <s v="LQA"/>
    <x v="0"/>
    <m/>
    <x v="17"/>
    <x v="2"/>
    <x v="1"/>
    <s v="CSGUI_SLT_2.6.1.0.1"/>
    <x v="0"/>
    <x v="40"/>
    <m/>
    <x v="0"/>
    <s v="\\192.168.3.3\Share\Releases\Projects\SLT\Release_For_LQA\Test_Build_1.0.0.24\Server CD\GUI\Setup"/>
    <m/>
    <x v="1"/>
    <m/>
    <m/>
    <m/>
    <m/>
    <x v="1"/>
  </r>
  <r>
    <x v="237"/>
    <x v="232"/>
    <n v="12"/>
    <x v="12"/>
    <n v="12"/>
    <s v="LQA"/>
    <x v="0"/>
    <m/>
    <x v="8"/>
    <x v="2"/>
    <x v="1"/>
    <s v="WWFSGUI_SLT_2.2.1.0.4 "/>
    <x v="0"/>
    <x v="40"/>
    <m/>
    <x v="0"/>
    <s v="\\192.168.3.3\Share\Releases\Projects\SLT\Release_For_LQA\Test_Build_1.0.0.24\Server CD\GUI\Setup"/>
    <m/>
    <x v="1"/>
    <m/>
    <m/>
    <m/>
    <m/>
    <x v="1"/>
  </r>
  <r>
    <x v="237"/>
    <x v="232"/>
    <n v="12"/>
    <x v="12"/>
    <n v="12"/>
    <s v="LQA"/>
    <x v="10"/>
    <m/>
    <x v="8"/>
    <x v="2"/>
    <x v="0"/>
    <s v="WWFSGUI_COM_2.1.34.0.1.9b1"/>
    <x v="0"/>
    <x v="33"/>
    <m/>
    <x v="0"/>
    <s v="\\192.168.3.3\Share\Releases\Projects\Comcast\Release_for_Test\Test_Build_4.6.6\Server CD\GUI\Setup "/>
    <m/>
    <x v="1"/>
    <m/>
    <m/>
    <m/>
    <m/>
    <x v="1"/>
  </r>
  <r>
    <x v="237"/>
    <x v="232"/>
    <n v="12"/>
    <x v="12"/>
    <n v="12"/>
    <s v="IT-LQA-FAT"/>
    <x v="1"/>
    <m/>
    <x v="2"/>
    <x v="0"/>
    <x v="0"/>
    <s v="DMDBS_2.0.0.26b1"/>
    <x v="0"/>
    <x v="27"/>
    <s v="\\192.168.3.3\Share\Releases\Product\DataMind_2.0\Build&amp;Release\Release for IT\TestBuild_2.0.0\Server CD\DBS\Setup"/>
    <x v="0"/>
    <s v="\\192.168.3.3\Share\Releases\Product\DataMind_2.0\Build&amp;Release\Release for LQA\TestBuild_2.0.0\Server CD\DBS\Setup"/>
    <s v="Pass"/>
    <x v="1"/>
    <m/>
    <m/>
    <m/>
    <s v="K.V. Krishnan"/>
    <x v="0"/>
  </r>
  <r>
    <x v="237"/>
    <x v="232"/>
    <n v="12"/>
    <x v="12"/>
    <n v="12"/>
    <s v="IT-LQA-FAT"/>
    <x v="0"/>
    <m/>
    <x v="0"/>
    <x v="0"/>
    <x v="0"/>
    <s v="REDBS_SLT_1.0.1.27.1.13b1"/>
    <x v="0"/>
    <x v="0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37"/>
    <x v="232"/>
    <n v="12"/>
    <x v="12"/>
    <n v="12"/>
    <s v="LQA-FAT"/>
    <x v="0"/>
    <m/>
    <x v="1"/>
    <x v="1"/>
    <x v="0"/>
    <s v="MPE_SLT-1B_3.0.1.1.1.104b1"/>
    <x v="0"/>
    <x v="26"/>
    <m/>
    <x v="0"/>
    <s v="\\192.168.3.3\Share\Releases\Projects\SLT-1B\Release_For_Test\Test_Build_1.0.0.1\Server CD\MPE\Setup"/>
    <s v="Pass"/>
    <x v="1"/>
    <m/>
    <m/>
    <m/>
    <s v="K.V. Krishnan"/>
    <x v="0"/>
  </r>
  <r>
    <x v="237"/>
    <x v="232"/>
    <n v="12"/>
    <x v="12"/>
    <n v="12"/>
    <s v="IT-LQA"/>
    <x v="3"/>
    <m/>
    <x v="5"/>
    <x v="0"/>
    <x v="0"/>
    <s v="NMDBS_OBT_4.6.1.27.1.42b1"/>
    <x v="0"/>
    <x v="53"/>
    <s v="\\192.168.3.3\Share\Releases\Projects\OBT\Release_For_IT\TestBuild_1.0.0.2\Server CD\DBS\Setup"/>
    <x v="0"/>
    <s v="\\192.168.3.3\Share\Releases\Projects\OBT\Release_For_LQA\TestBuild_1.0.0.7\Server CD\DBS\Setup"/>
    <m/>
    <x v="1"/>
    <m/>
    <m/>
    <m/>
    <m/>
    <x v="1"/>
  </r>
  <r>
    <x v="238"/>
    <x v="233"/>
    <n v="12"/>
    <x v="12"/>
    <n v="12"/>
    <s v="LQA"/>
    <x v="1"/>
    <m/>
    <x v="7"/>
    <x v="2"/>
    <x v="1"/>
    <s v="RTGUI_4.0.31b1"/>
    <x v="0"/>
    <x v="60"/>
    <m/>
    <x v="0"/>
    <s v="\\192.168.3.3\Share\Releases\Product\RT_4.0\ReleaseForLQA\TestBuild_4.0.24\GUI\Build1\Setup"/>
    <m/>
    <x v="1"/>
    <m/>
    <m/>
    <m/>
    <m/>
    <x v="1"/>
  </r>
  <r>
    <x v="238"/>
    <x v="233"/>
    <n v="12"/>
    <x v="12"/>
    <n v="12"/>
    <s v="LQA"/>
    <x v="0"/>
    <m/>
    <x v="7"/>
    <x v="2"/>
    <x v="1"/>
    <s v="RTGUI_SLT_4.0.31.0.1"/>
    <x v="0"/>
    <x v="60"/>
    <m/>
    <x v="2"/>
    <s v="\\192.168.3.3\Share\Releases\Projects\SLT\Release_For_LQA\Test_Build_1.0.0.24\Server CD\GUI\Setup"/>
    <m/>
    <x v="1"/>
    <m/>
    <m/>
    <m/>
    <m/>
    <x v="2"/>
  </r>
  <r>
    <x v="238"/>
    <x v="233"/>
    <n v="12"/>
    <x v="12"/>
    <n v="12"/>
    <s v="IT-LQA-UAT"/>
    <x v="6"/>
    <m/>
    <x v="5"/>
    <x v="0"/>
    <x v="0"/>
    <s v="NMDBS_ANTEL_4.6.1.26.2.48b2"/>
    <x v="0"/>
    <x v="4"/>
    <s v="\\192.168.3.3\Share\Releases\Projects\ANTEL\Release_For_IT\TestBuild_1.0.0.4\Server CD\DBS\Setup"/>
    <x v="0"/>
    <s v="\\192.168.3.3\Share\Releases\Projects\ANTEL\Release_For_Test\Test_Build_1.0.0.7\Server CD\DBS\Setup"/>
    <s v="Pass"/>
    <x v="1"/>
    <m/>
    <m/>
    <m/>
    <s v="Pradeep Raghav"/>
    <x v="0"/>
  </r>
  <r>
    <x v="238"/>
    <x v="233"/>
    <n v="12"/>
    <x v="12"/>
    <n v="12"/>
    <s v="LQA"/>
    <x v="0"/>
    <m/>
    <x v="7"/>
    <x v="2"/>
    <x v="1"/>
    <s v="RTGUI_SLT_4.0.31.0.2"/>
    <x v="0"/>
    <x v="60"/>
    <m/>
    <x v="0"/>
    <s v="\\192.168.3.3\Share\Releases\Projects\SLT\Release_For_LQA\Test_Build_1.0.0.24\Server CD\GUI\Setup"/>
    <m/>
    <x v="1"/>
    <m/>
    <m/>
    <m/>
    <m/>
    <x v="1"/>
  </r>
  <r>
    <x v="238"/>
    <x v="233"/>
    <n v="12"/>
    <x v="12"/>
    <n v="12"/>
    <s v="LQA"/>
    <x v="1"/>
    <m/>
    <x v="8"/>
    <x v="2"/>
    <x v="1"/>
    <s v="WWFSGUI_2.1.35b3"/>
    <x v="0"/>
    <x v="21"/>
    <m/>
    <x v="2"/>
    <s v="\\192.168.3.3\Share\Releases\Product\WEB_WFS\Build&amp;Release\Release For Test\TestBuild_2.1.35\ServerCD\GUI\Setup"/>
    <m/>
    <x v="0"/>
    <m/>
    <m/>
    <m/>
    <m/>
    <x v="2"/>
  </r>
  <r>
    <x v="239"/>
    <x v="234"/>
    <n v="12"/>
    <x v="12"/>
    <n v="12"/>
    <s v="LQA-UAT"/>
    <x v="20"/>
    <m/>
    <x v="1"/>
    <x v="1"/>
    <x v="0"/>
    <s v="MPE_FNB_3.2.4.34.1.1b1"/>
    <x v="0"/>
    <x v="20"/>
    <m/>
    <x v="0"/>
    <s v="\\192.168.3.3\Share\Releases\Projects\FNB\Release_For_Test\Test_Build_1.0.1\Server CD\MPE\Setup"/>
    <s v="Pass"/>
    <x v="0"/>
    <m/>
    <m/>
    <m/>
    <s v="Manas Ranjan Barik"/>
    <x v="0"/>
  </r>
  <r>
    <x v="239"/>
    <x v="234"/>
    <n v="12"/>
    <x v="12"/>
    <n v="12"/>
    <s v="IT-LQA-UAT"/>
    <x v="0"/>
    <m/>
    <x v="2"/>
    <x v="0"/>
    <x v="0"/>
    <s v="DMDBS_SLT_2.0.0.25.1.209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Paritosh Ghildyal"/>
    <x v="0"/>
  </r>
  <r>
    <x v="240"/>
    <x v="235"/>
    <n v="12"/>
    <x v="12"/>
    <n v="12"/>
    <s v="IT-LQA"/>
    <x v="21"/>
    <s v="phase 1"/>
    <x v="2"/>
    <x v="0"/>
    <x v="0"/>
    <s v="DMDBS_TLSTR-ST_2.1.1.8.1.8b1"/>
    <x v="0"/>
    <x v="61"/>
    <s v="\\192.168.3.3\Share\Releases\Projects\TLSTR-ST\Release_For_IT\TestBuild_1.0.1\Server CD\DBS\Setup"/>
    <x v="2"/>
    <s v="\\192.168.3.3\Share\Releases\Projects\TLSTR-ST\Release_For_Test\Test_Build_1.0.1\Server CD\DBS\Setup"/>
    <m/>
    <x v="1"/>
    <m/>
    <m/>
    <m/>
    <m/>
    <x v="2"/>
  </r>
  <r>
    <x v="240"/>
    <x v="235"/>
    <n v="12"/>
    <x v="12"/>
    <n v="12"/>
    <s v="LQA"/>
    <x v="20"/>
    <m/>
    <x v="4"/>
    <x v="0"/>
    <x v="1"/>
    <s v="RADBS_FNB_2.2.1.2"/>
    <x v="0"/>
    <x v="53"/>
    <m/>
    <x v="0"/>
    <s v="\\192.168.3.3\Share\Releases\Projects\FNB\Release_For_Test\Test_Build_1.0.1\Server CD\DBS\Setup"/>
    <s v="Pass"/>
    <x v="0"/>
    <m/>
    <m/>
    <m/>
    <m/>
    <x v="0"/>
  </r>
  <r>
    <x v="240"/>
    <x v="235"/>
    <n v="12"/>
    <x v="12"/>
    <n v="12"/>
    <s v="IT-LQA"/>
    <x v="1"/>
    <m/>
    <x v="7"/>
    <x v="0"/>
    <x v="0"/>
    <s v="RTDBS_4.0.1.26b1"/>
    <x v="0"/>
    <x v="35"/>
    <m/>
    <x v="0"/>
    <s v="\\192.168.3.3\Share\Releases\Product\RT_4.0\ReleaseForLQA\TestBuild_4.0.24\DBS\Setup"/>
    <s v="Pass"/>
    <x v="1"/>
    <m/>
    <m/>
    <m/>
    <s v="K.V. Krishnan"/>
    <x v="0"/>
  </r>
  <r>
    <x v="241"/>
    <x v="236"/>
    <n v="12"/>
    <x v="12"/>
    <n v="12"/>
    <s v="LQA"/>
    <x v="1"/>
    <m/>
    <x v="7"/>
    <x v="2"/>
    <x v="1"/>
    <s v="RTGUI_4.0.32b1"/>
    <x v="0"/>
    <x v="60"/>
    <m/>
    <x v="0"/>
    <s v="\\192.168.3.3\Share\Releases\Product\RT_4.0\ReleaseForLQA\TestBuild_4.0.24\GUI\Build1\Setup "/>
    <m/>
    <x v="1"/>
    <m/>
    <m/>
    <m/>
    <m/>
    <x v="1"/>
  </r>
  <r>
    <x v="241"/>
    <x v="236"/>
    <n v="12"/>
    <x v="12"/>
    <n v="12"/>
    <s v="IT-LQA"/>
    <x v="1"/>
    <m/>
    <x v="7"/>
    <x v="0"/>
    <x v="0"/>
    <s v="RTDBS_4.0.1.27b1"/>
    <x v="0"/>
    <x v="35"/>
    <s v="\\192.168.3.3\Share\Releases\Product\RT_4.0\ReleaseForIT\TestBuild_4.0.3\DBS\Setup"/>
    <x v="0"/>
    <s v="\\192.168.3.3\Share\Releases\Product\RT_4.0\ReleaseForLQA\TestBuild_4.0.24\DBS\Setup"/>
    <m/>
    <x v="1"/>
    <m/>
    <m/>
    <m/>
    <m/>
    <x v="1"/>
  </r>
  <r>
    <x v="241"/>
    <x v="236"/>
    <n v="12"/>
    <x v="12"/>
    <n v="12"/>
    <s v="LQA"/>
    <x v="1"/>
    <m/>
    <x v="7"/>
    <x v="2"/>
    <x v="1"/>
    <s v="RTGUI_SLT_4.0.32.0.1 "/>
    <x v="0"/>
    <x v="60"/>
    <m/>
    <x v="0"/>
    <s v="\\192.168.3.3\Share\Releases\Projects\SLT\Release_For_LQA\Test_Build_1.0.0.24\Server CD\GUI\Setup"/>
    <s v="Pass"/>
    <x v="0"/>
    <m/>
    <m/>
    <m/>
    <s v="K.V. Krishnan"/>
    <x v="0"/>
  </r>
  <r>
    <x v="242"/>
    <x v="237"/>
    <n v="12"/>
    <x v="12"/>
    <n v="12"/>
    <s v="IT-LQA"/>
    <x v="8"/>
    <m/>
    <x v="5"/>
    <x v="0"/>
    <x v="0"/>
    <s v="NMDBS_TWC_4.6.1.11.3.53b1"/>
    <x v="0"/>
    <x v="7"/>
    <s v="\\192.168.3.3\Share\Releases\Projects\TWC\Release_For_IT\Test_Build_1.0.0.3\Server CD\DBS\Setup"/>
    <x v="2"/>
    <s v="\\192.168.3.3\Share\Releases\Projects\TWC\Release_For_Test\Test_Build_1.0.0.4\Server CD\DBS\Setup"/>
    <m/>
    <x v="1"/>
    <m/>
    <m/>
    <m/>
    <m/>
    <x v="2"/>
  </r>
  <r>
    <x v="242"/>
    <x v="238"/>
    <n v="12"/>
    <x v="12"/>
    <n v="12"/>
    <s v="IT-LQA"/>
    <x v="21"/>
    <s v="phase 1"/>
    <x v="2"/>
    <x v="0"/>
    <x v="0"/>
    <s v="DMDBS_TLSTR-ST_2.1.1.8.1.9b1"/>
    <x v="0"/>
    <x v="61"/>
    <s v="\\192.168.3.3\Share\Releases\Projects\TLSTR-ST\Release_For_IT\TestBuild_1.0.1\Server CD\DBS\Setup"/>
    <x v="0"/>
    <s v="\\192.168.3.3\Share\Releases\Projects\TLSTR-ST\Release_For_Test\Test_Build_1.0.1\Server CD\DBS\Setup"/>
    <m/>
    <x v="0"/>
    <m/>
    <m/>
    <m/>
    <m/>
    <x v="1"/>
  </r>
  <r>
    <x v="243"/>
    <x v="238"/>
    <n v="12"/>
    <x v="12"/>
    <n v="12"/>
    <s v="LQA-UAT"/>
    <x v="6"/>
    <m/>
    <x v="7"/>
    <x v="2"/>
    <x v="1"/>
    <s v="RTGUI_ANTEL_4.0.19.0.2"/>
    <x v="0"/>
    <x v="60"/>
    <m/>
    <x v="0"/>
    <s v="\\192.168.3.3\Share\Releases\Projects\ANTEL\Release_For_Test\Test_Build_1.0.0.7\Server CD\GUI\Setup"/>
    <s v="Pass"/>
    <x v="0"/>
    <m/>
    <m/>
    <m/>
    <s v="Pradeep Raghav"/>
    <x v="0"/>
  </r>
  <r>
    <x v="243"/>
    <x v="238"/>
    <n v="12"/>
    <x v="12"/>
    <n v="12"/>
    <s v="LQA-UAT"/>
    <x v="20"/>
    <m/>
    <x v="5"/>
    <x v="0"/>
    <x v="1"/>
    <s v="NMDBS_FNB_4.7.1.2"/>
    <x v="0"/>
    <x v="53"/>
    <m/>
    <x v="0"/>
    <s v="\\192.168.3.3\Share\Releases\Projects\FNB\Release_For_Test\Test_Build_1.0.1\Server CD\DBS\Setup"/>
    <s v="Pass"/>
    <x v="0"/>
    <m/>
    <m/>
    <m/>
    <s v="Pradeep Raghav"/>
    <x v="0"/>
  </r>
  <r>
    <x v="244"/>
    <x v="239"/>
    <n v="12"/>
    <x v="12"/>
    <n v="12"/>
    <s v="IT-LQA"/>
    <x v="0"/>
    <m/>
    <x v="2"/>
    <x v="0"/>
    <x v="0"/>
    <s v="DMDBS_SLT_2.0.0.25.1.210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44"/>
    <x v="239"/>
    <n v="12"/>
    <x v="12"/>
    <n v="12"/>
    <s v="LQA-UAT"/>
    <x v="20"/>
    <m/>
    <x v="1"/>
    <x v="1"/>
    <x v="0"/>
    <s v="MPE_FNB_3.2.4.34.1.2b1"/>
    <x v="0"/>
    <x v="11"/>
    <m/>
    <x v="0"/>
    <s v="\\192.168.3.3\Share\Releases\Projects\FNB\Release_For_Test\Test_Build_1.0.1\Server CD\MPE\Setup"/>
    <s v="Pass"/>
    <x v="1"/>
    <m/>
    <m/>
    <m/>
    <s v="Manas Ranjan Barik"/>
    <x v="0"/>
  </r>
  <r>
    <x v="244"/>
    <x v="239"/>
    <n v="12"/>
    <x v="12"/>
    <n v="12"/>
    <s v="LQA"/>
    <x v="21"/>
    <m/>
    <x v="1"/>
    <x v="1"/>
    <x v="0"/>
    <s v="MPE_TLSTR-ST_3.2.6.0.1.9b1"/>
    <x v="0"/>
    <x v="6"/>
    <m/>
    <x v="0"/>
    <s v="\\192.168.3.3\Share\Releases\Projects\TLSTR-ST\Release_For_Test\Test_Build_1.0.1\Server CD\MPE\Setup"/>
    <m/>
    <x v="0"/>
    <m/>
    <m/>
    <m/>
    <m/>
    <x v="1"/>
  </r>
  <r>
    <x v="245"/>
    <x v="240"/>
    <n v="12"/>
    <x v="12"/>
    <n v="12"/>
    <s v="LQA"/>
    <x v="1"/>
    <m/>
    <x v="8"/>
    <x v="2"/>
    <x v="1"/>
    <s v="WWFSGUI_2.1.35b4"/>
    <x v="0"/>
    <x v="21"/>
    <m/>
    <x v="2"/>
    <s v="\\192.168.3.3\Share\Releases\Product\WEB_WFS\Build&amp;Release\Release For Test\TestBuild_2.1.35\ServerCD\GUI\Setup"/>
    <m/>
    <x v="0"/>
    <m/>
    <m/>
    <m/>
    <m/>
    <x v="2"/>
  </r>
  <r>
    <x v="246"/>
    <x v="241"/>
    <n v="12"/>
    <x v="12"/>
    <n v="12"/>
    <s v="LQA-FAT"/>
    <x v="0"/>
    <m/>
    <x v="1"/>
    <x v="1"/>
    <x v="0"/>
    <s v="MPE_SLT-1B_3.0.1.1.1.105b1"/>
    <x v="0"/>
    <x v="26"/>
    <m/>
    <x v="0"/>
    <s v="\\192.168.3.3\Share\Releases\Projects\SLT-1B\Release_For_Test\Test_Build_1.0.0.1\Server CD\MPE\Setup"/>
    <s v="Pass"/>
    <x v="1"/>
    <m/>
    <m/>
    <m/>
    <s v="K.V. Krishnan"/>
    <x v="0"/>
  </r>
  <r>
    <x v="246"/>
    <x v="241"/>
    <n v="12"/>
    <x v="12"/>
    <n v="12"/>
    <s v="IT-LQA"/>
    <x v="0"/>
    <m/>
    <x v="2"/>
    <x v="0"/>
    <x v="0"/>
    <s v="DMDBS_SLT_2.0.0.25.1.211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.V. Krishnan"/>
    <x v="0"/>
  </r>
  <r>
    <x v="246"/>
    <x v="241"/>
    <n v="12"/>
    <x v="12"/>
    <n v="12"/>
    <s v="IT-LQA-UAT"/>
    <x v="3"/>
    <m/>
    <x v="5"/>
    <x v="0"/>
    <x v="0"/>
    <s v="NMDBS_OBT_4.6.1.27.1.43b1"/>
    <x v="0"/>
    <x v="53"/>
    <s v="\\192.168.3.3\Share\Releases\Projects\OBT\Release_For_IT\TestBuild_1.0.0.2\Server CD\DBS\Setup"/>
    <x v="0"/>
    <s v="\\192.168.3.3\Share\Releases\Projects\OBT\Release_For_LQA\TestBuild_1.0.0.7\Server CD\DBS\Setup"/>
    <s v="Pass"/>
    <x v="1"/>
    <m/>
    <m/>
    <m/>
    <s v="Ajay Kumar Pandey"/>
    <x v="0"/>
  </r>
  <r>
    <x v="245"/>
    <x v="240"/>
    <n v="12"/>
    <x v="12"/>
    <n v="12"/>
    <s v="LQA"/>
    <x v="1"/>
    <m/>
    <x v="8"/>
    <x v="2"/>
    <x v="1"/>
    <s v="WWFSGUI_2.1.35b4"/>
    <x v="0"/>
    <x v="21"/>
    <m/>
    <x v="0"/>
    <s v="\\192.168.3.3\Share\Releases\Product\WEB_WFS\Build&amp;Release\Release For Test\TestBuild_2.1.35\ServerCD\GUI\Setup"/>
    <m/>
    <x v="1"/>
    <m/>
    <m/>
    <m/>
    <m/>
    <x v="1"/>
  </r>
  <r>
    <x v="245"/>
    <x v="240"/>
    <n v="12"/>
    <x v="12"/>
    <n v="12"/>
    <s v="LQA"/>
    <x v="1"/>
    <m/>
    <x v="5"/>
    <x v="0"/>
    <x v="1"/>
    <s v="NMDBS_4.7.1b17"/>
    <x v="0"/>
    <x v="55"/>
    <m/>
    <x v="0"/>
    <s v="\\192.168.3.3\Share\Releases\Product\Netmind_4.7\Build&amp;Release\Release_For_LQA\Test_Build_1.0.1\Server CD\DBS\Setup"/>
    <m/>
    <x v="1"/>
    <m/>
    <m/>
    <m/>
    <m/>
    <x v="1"/>
  </r>
  <r>
    <x v="245"/>
    <x v="240"/>
    <n v="12"/>
    <x v="12"/>
    <n v="12"/>
    <s v="LQA"/>
    <x v="23"/>
    <m/>
    <x v="9"/>
    <x v="0"/>
    <x v="1"/>
    <s v="NPDBS_MCC_1.3.2.1"/>
    <x v="0"/>
    <x v="39"/>
    <m/>
    <x v="0"/>
    <s v="\\192.168.3.3\Share\Releases\Projects\MCC\Release_For_Test\Test_Build_1.0.1\Server CD\DBS\Setup"/>
    <m/>
    <x v="1"/>
    <m/>
    <m/>
    <m/>
    <m/>
    <x v="1"/>
  </r>
  <r>
    <x v="245"/>
    <x v="240"/>
    <n v="12"/>
    <x v="12"/>
    <n v="12"/>
    <s v="LQA"/>
    <x v="23"/>
    <m/>
    <x v="5"/>
    <x v="0"/>
    <x v="1"/>
    <s v="NMDBS_MCC_4.7.1.1"/>
    <x v="0"/>
    <x v="19"/>
    <m/>
    <x v="0"/>
    <s v="\\192.168.3.3\Share\Releases\Projects\MCC\Release_For_Test\Test_Build_1.0.1\Server CD\DBS\Setup"/>
    <m/>
    <x v="1"/>
    <m/>
    <m/>
    <m/>
    <m/>
    <x v="1"/>
  </r>
  <r>
    <x v="245"/>
    <x v="240"/>
    <n v="12"/>
    <x v="12"/>
    <n v="12"/>
    <s v="IT-LQA"/>
    <x v="1"/>
    <m/>
    <x v="5"/>
    <x v="0"/>
    <x v="0"/>
    <s v="NMDBS_4.6.1.31b1"/>
    <x v="0"/>
    <x v="55"/>
    <s v="\\192.168.3.3\Share\Releases\Product\Netmind_4.6\Build&amp;Release\ReleaseForIT\TestBuild_4.6.1\Build4\ServerCD\DBS\Setup"/>
    <x v="0"/>
    <s v="\\192.168.3.3\Share\Releases\Product\Netmind_4.6\Build&amp;Release\ReleaseForTest\TestBuild_4.6.1\Build4\ServerCD\DBS\Setup"/>
    <s v="Pass"/>
    <x v="1"/>
    <m/>
    <m/>
    <m/>
    <s v="Rudra Narayan"/>
    <x v="0"/>
  </r>
  <r>
    <x v="245"/>
    <x v="0"/>
    <n v="12"/>
    <x v="12"/>
    <s v="False"/>
    <s v="IT-LQA"/>
    <x v="21"/>
    <s v="phase 1"/>
    <x v="2"/>
    <x v="0"/>
    <x v="0"/>
    <s v="DMDBS_TLSTR-ST_2.1.1.8.1.10b1"/>
    <x v="0"/>
    <x v="61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245"/>
    <x v="242"/>
    <n v="12"/>
    <x v="12"/>
    <n v="12"/>
    <s v="IT-LQA-UAT"/>
    <x v="1"/>
    <m/>
    <x v="5"/>
    <x v="0"/>
    <x v="0"/>
    <s v="NMDBS_4.6.1.32b1"/>
    <x v="0"/>
    <x v="55"/>
    <s v="\\192.168.3.3\Share\Releases\Product\Netmind_4.6\Build&amp;Release\ReleaseForIT\TestBuild_4.6.1\Build4\ServerCD\DBS\Setup"/>
    <x v="0"/>
    <m/>
    <s v="Pass"/>
    <x v="1"/>
    <m/>
    <m/>
    <m/>
    <s v="Pradeep Raghav"/>
    <x v="0"/>
  </r>
  <r>
    <x v="247"/>
    <x v="243"/>
    <n v="12"/>
    <x v="12"/>
    <n v="12"/>
    <s v="LQA"/>
    <x v="21"/>
    <m/>
    <x v="1"/>
    <x v="1"/>
    <x v="0"/>
    <s v="MPE_TLSTR-ST_3.2.6.0.1.10b1"/>
    <x v="0"/>
    <x v="11"/>
    <m/>
    <x v="0"/>
    <s v="\\192.168.3.3\Share\Releases\Projects\TLSTR-ST\Release_For_Test\Test_Build_1.0.1\Server CD\MPE\Setup"/>
    <m/>
    <x v="1"/>
    <m/>
    <m/>
    <m/>
    <m/>
    <x v="1"/>
  </r>
  <r>
    <x v="247"/>
    <x v="243"/>
    <n v="12"/>
    <x v="12"/>
    <n v="12"/>
    <s v="LQA"/>
    <x v="5"/>
    <m/>
    <x v="5"/>
    <x v="0"/>
    <x v="1"/>
    <s v="NMDBS_BHN_4.7.1.10"/>
    <x v="0"/>
    <x v="7"/>
    <m/>
    <x v="0"/>
    <s v="\\192.168.3.3\Share\Releases\Projects\BHN\Release_For_Test\Test_Build_1.0.3\Server CD\DBS\Setup"/>
    <m/>
    <x v="0"/>
    <m/>
    <m/>
    <m/>
    <m/>
    <x v="1"/>
  </r>
  <r>
    <x v="248"/>
    <x v="244"/>
    <n v="12"/>
    <x v="12"/>
    <n v="12"/>
    <s v="LQA"/>
    <x v="23"/>
    <m/>
    <x v="12"/>
    <x v="2"/>
    <x v="1"/>
    <s v="WWCSGUI_MCC_2.1.21.0.1"/>
    <x v="0"/>
    <x v="13"/>
    <m/>
    <x v="0"/>
    <s v="\\192.168.3.3\Share\Releases\Projects\MCC\Release_For_Test\Test_Build_1.0.1\Server CD\GUI\Setup"/>
    <m/>
    <x v="1"/>
    <m/>
    <m/>
    <m/>
    <m/>
    <x v="1"/>
  </r>
  <r>
    <x v="248"/>
    <x v="244"/>
    <n v="12"/>
    <x v="12"/>
    <n v="12"/>
    <s v="LQA"/>
    <x v="23"/>
    <m/>
    <x v="7"/>
    <x v="2"/>
    <x v="1"/>
    <s v="RTGUI_MCC_4.0.25.0.1"/>
    <x v="0"/>
    <x v="60"/>
    <m/>
    <x v="2"/>
    <s v="\\192.168.3.3\Share\Releases\Projects\MCC\Release_For_Test\Test_Build_1.0.1\Server CD\GUI\Setup"/>
    <m/>
    <x v="1"/>
    <m/>
    <m/>
    <m/>
    <m/>
    <x v="2"/>
  </r>
  <r>
    <x v="248"/>
    <x v="244"/>
    <n v="12"/>
    <x v="12"/>
    <n v="12"/>
    <s v="LQA"/>
    <x v="1"/>
    <m/>
    <x v="6"/>
    <x v="3"/>
    <x v="1"/>
    <s v="IM_1.0.4b1"/>
    <x v="0"/>
    <x v="35"/>
    <m/>
    <x v="0"/>
    <s v="\\192.168.3.3\Share\Releases\Product\IM_1.0\Build&amp;Release\Release_For_LQA\Test_Build_1.0.3\Server CD\IM\Setup"/>
    <m/>
    <x v="1"/>
    <m/>
    <m/>
    <m/>
    <m/>
    <x v="1"/>
  </r>
  <r>
    <x v="248"/>
    <x v="244"/>
    <n v="12"/>
    <x v="12"/>
    <n v="12"/>
    <s v="LQA-UAT"/>
    <x v="20"/>
    <m/>
    <x v="1"/>
    <x v="1"/>
    <x v="0"/>
    <s v="MPE_FNB_3.2.4.34.1.3b1"/>
    <x v="0"/>
    <x v="20"/>
    <m/>
    <x v="0"/>
    <s v="\\192.168.3.3\Share\Releases\Projects\FNB\Release_For_Test\Test_Build_1.0.1\Server CD\MPE\Setup"/>
    <s v="Pass"/>
    <x v="1"/>
    <m/>
    <m/>
    <m/>
    <s v="Manas Ranjan Barik"/>
    <x v="0"/>
  </r>
  <r>
    <x v="248"/>
    <x v="244"/>
    <n v="12"/>
    <x v="12"/>
    <n v="12"/>
    <s v="LQA"/>
    <x v="5"/>
    <m/>
    <x v="6"/>
    <x v="3"/>
    <x v="1"/>
    <s v="IM_BHN_1.0.4.0.1"/>
    <x v="0"/>
    <x v="35"/>
    <m/>
    <x v="0"/>
    <s v="\\192.168.3.3\Share\Releases\Projects\BHN\Release_For_Test\Test_Build_1.0.4\Server CD\IM\Setup"/>
    <m/>
    <x v="1"/>
    <m/>
    <m/>
    <m/>
    <m/>
    <x v="1"/>
  </r>
  <r>
    <x v="249"/>
    <x v="242"/>
    <n v="12"/>
    <x v="12"/>
    <n v="12"/>
    <s v="IT-LQA"/>
    <x v="20"/>
    <m/>
    <x v="2"/>
    <x v="0"/>
    <x v="0"/>
    <s v="DMDBS_FNB_2.1.1.11.1.2b1"/>
    <x v="0"/>
    <x v="53"/>
    <s v="\\192.168.3.3\Share\Releases\Projects\FNB\Release_For_IT\TestBuild_1.0.1\Server CD\DBS\Setup"/>
    <x v="0"/>
    <s v="\\192.168.3.3\Share\Releases\Projects\FNB\Release_For_Test\Test_Build_1.0.1\Server CD\DBS\Setup"/>
    <s v="Pass"/>
    <x v="1"/>
    <m/>
    <m/>
    <m/>
    <m/>
    <x v="0"/>
  </r>
  <r>
    <x v="249"/>
    <x v="242"/>
    <n v="12"/>
    <x v="12"/>
    <n v="12"/>
    <s v="LQA"/>
    <x v="10"/>
    <m/>
    <x v="8"/>
    <x v="2"/>
    <x v="1"/>
    <s v="WWFSGUI_COM_2.1.35.0.1"/>
    <x v="0"/>
    <x v="21"/>
    <m/>
    <x v="2"/>
    <s v="\\192.168.3.3\Share\Releases\Projects\Comcast\Release_for_Test\Test_Build_4.6.7\Server CD\GUI\Setup"/>
    <m/>
    <x v="0"/>
    <m/>
    <m/>
    <m/>
    <m/>
    <x v="2"/>
  </r>
  <r>
    <x v="249"/>
    <x v="242"/>
    <n v="12"/>
    <x v="12"/>
    <n v="12"/>
    <s v="LQA-UAT"/>
    <x v="1"/>
    <m/>
    <x v="1"/>
    <x v="1"/>
    <x v="0"/>
    <s v="MPE_3.2.4.35b1"/>
    <x v="0"/>
    <x v="14"/>
    <m/>
    <x v="0"/>
    <s v="\\192.168.3.3\Share\Releases\Product\MPE_GUI\ReleaseForLQA\TestBuild_1.0.0.2\Server CD\MPE\Setup"/>
    <s v="Pass"/>
    <x v="1"/>
    <m/>
    <m/>
    <m/>
    <s v="Pradeep Raghav"/>
    <x v="0"/>
  </r>
  <r>
    <x v="249"/>
    <x v="242"/>
    <n v="12"/>
    <x v="12"/>
    <n v="12"/>
    <s v="LQA-UAT"/>
    <x v="5"/>
    <m/>
    <x v="5"/>
    <x v="0"/>
    <x v="1"/>
    <s v="NMDBS_BHN_4.7.1.11"/>
    <x v="0"/>
    <x v="24"/>
    <m/>
    <x v="0"/>
    <s v="\\192.168.3.3\Share\Releases\Projects\BHN\Release_For_Test\Test_Build_1.0.4\Server CD\DBS\Setup"/>
    <s v="Pass"/>
    <x v="0"/>
    <m/>
    <m/>
    <m/>
    <s v="Rudra Narayan"/>
    <x v="0"/>
  </r>
  <r>
    <x v="250"/>
    <x v="245"/>
    <n v="12"/>
    <x v="12"/>
    <n v="12"/>
    <s v="LQA"/>
    <x v="1"/>
    <m/>
    <x v="17"/>
    <x v="2"/>
    <x v="1"/>
    <s v="CSGUI_2.6.2b2"/>
    <x v="0"/>
    <x v="40"/>
    <m/>
    <x v="0"/>
    <s v="\\192.168.3.3\Share\Releases\Product\CSGUI_2.6\Build&amp;Release\Release_For_LQA\Test_Build_1.0.3\Server CD\GUI\Setup"/>
    <m/>
    <x v="1"/>
    <m/>
    <m/>
    <m/>
    <m/>
    <x v="1"/>
  </r>
  <r>
    <x v="250"/>
    <x v="245"/>
    <n v="12"/>
    <x v="12"/>
    <n v="12"/>
    <s v="LQA"/>
    <x v="1"/>
    <m/>
    <x v="8"/>
    <x v="2"/>
    <x v="0"/>
    <s v="WWFSGUI_2.2.1.3b1"/>
    <x v="0"/>
    <x v="40"/>
    <m/>
    <x v="0"/>
    <s v="\\192.168.3.3\Share\Releases\Product\WEB_WFS\Build&amp;Release\Release For Test\TestBuild_2.2.1\Build4\ServerCD\GUI\Setup"/>
    <m/>
    <x v="1"/>
    <m/>
    <m/>
    <m/>
    <m/>
    <x v="1"/>
  </r>
  <r>
    <x v="250"/>
    <x v="245"/>
    <n v="12"/>
    <x v="12"/>
    <n v="12"/>
    <s v="IT-LQA"/>
    <x v="10"/>
    <m/>
    <x v="5"/>
    <x v="0"/>
    <x v="0"/>
    <s v="NMDBS_COM_4.6.1.31.1.87b1"/>
    <x v="0"/>
    <x v="39"/>
    <s v="\\192.168.3.3\Share\Releases\Projects\Comcast\Release_For_IT\Test_Build_4.6.1\Server CD\Database\Setup"/>
    <x v="2"/>
    <s v="\\192.168.3.3\Share\Releases\Projects\Comcast\Release_for_Test\Test_Build_4.6.7\Server CD\Database\Setup"/>
    <m/>
    <x v="1"/>
    <m/>
    <m/>
    <m/>
    <m/>
    <x v="2"/>
  </r>
  <r>
    <x v="250"/>
    <x v="245"/>
    <n v="12"/>
    <x v="12"/>
    <n v="12"/>
    <s v="IT-LQA"/>
    <x v="20"/>
    <m/>
    <x v="4"/>
    <x v="0"/>
    <x v="1"/>
    <s v="RADBS_FNB_2.2.1.3"/>
    <x v="0"/>
    <x v="53"/>
    <m/>
    <x v="0"/>
    <s v="\\192.168.3.3\Share\Releases\Projects\FNB\Release_For_Test\Test_Build_1.0.1\Server CD\DBS\Setup"/>
    <s v="Pass"/>
    <x v="0"/>
    <m/>
    <m/>
    <m/>
    <m/>
    <x v="0"/>
  </r>
  <r>
    <x v="251"/>
    <x v="246"/>
    <n v="12"/>
    <x v="12"/>
    <n v="12"/>
    <s v="LQA"/>
    <x v="1"/>
    <m/>
    <x v="4"/>
    <x v="4"/>
    <x v="0"/>
    <s v="RACS_2.5.6.2b1"/>
    <x v="0"/>
    <x v="18"/>
    <m/>
    <x v="0"/>
    <s v="\\192.168.3.3\Share\Releases\Product\RevMind_2.1\Build&amp;Release\Release_For_LQA\Test_Build_1.0.2\Server CD\GUI\CS\Setup"/>
    <m/>
    <x v="0"/>
    <m/>
    <m/>
    <m/>
    <m/>
    <x v="1"/>
  </r>
  <r>
    <x v="251"/>
    <x v="246"/>
    <n v="12"/>
    <x v="12"/>
    <n v="12"/>
    <s v="LQA"/>
    <x v="23"/>
    <m/>
    <x v="7"/>
    <x v="2"/>
    <x v="1"/>
    <s v="RTGUI_MCC_4.0.25.0.2"/>
    <x v="0"/>
    <x v="60"/>
    <m/>
    <x v="0"/>
    <s v="\\192.168.3.3\Share\Releases\Projects\MCC\Release_For_Test\Test_Build_1.0.1\Server CD\GUI\Setup"/>
    <m/>
    <x v="1"/>
    <m/>
    <m/>
    <m/>
    <m/>
    <x v="1"/>
  </r>
  <r>
    <x v="251"/>
    <x v="247"/>
    <n v="12"/>
    <x v="12"/>
    <n v="12"/>
    <s v="IT-LQA-UAT"/>
    <x v="1"/>
    <m/>
    <x v="7"/>
    <x v="0"/>
    <x v="0"/>
    <s v="RTDBS_4.0.1.28b1"/>
    <x v="0"/>
    <x v="4"/>
    <s v="\\192.168.3.3\Share\Releases\Product\RT_4.0\ReleaseForIT\TestBuild_4.0.3\DBS\Setup"/>
    <x v="0"/>
    <s v="\\192.168.3.3\Share\Releases\Product\RT_4.0\ReleaseForLQA\TestBuild_4.0.24\DBS\Setup"/>
    <s v="Pass"/>
    <x v="1"/>
    <m/>
    <m/>
    <m/>
    <s v="Paritosh Ghildiyal"/>
    <x v="0"/>
  </r>
  <r>
    <x v="251"/>
    <x v="246"/>
    <n v="12"/>
    <x v="12"/>
    <n v="12"/>
    <s v="LQA"/>
    <x v="1"/>
    <m/>
    <x v="7"/>
    <x v="2"/>
    <x v="0"/>
    <s v="RTGUI_4.0.33b1"/>
    <x v="0"/>
    <x v="35"/>
    <m/>
    <x v="0"/>
    <s v="\\192.168.3.3\Share\Releases\Product\RT_4.0\ReleaseForLQA\TestBuild_4.0.24\GUI\Build1\Setup "/>
    <m/>
    <x v="1"/>
    <m/>
    <m/>
    <m/>
    <m/>
    <x v="1"/>
  </r>
  <r>
    <x v="252"/>
    <x v="247"/>
    <n v="12"/>
    <x v="12"/>
    <n v="12"/>
    <s v="LQA"/>
    <x v="0"/>
    <m/>
    <x v="7"/>
    <x v="2"/>
    <x v="1"/>
    <s v="RTGUI_SLT_4.0.33.0.1"/>
    <x v="0"/>
    <x v="60"/>
    <m/>
    <x v="0"/>
    <s v="\\192.168.3.3\Share\Releases\Projects\SLT\Release_For_LQA\Test_Build_1.0.0.24\Server CD\GUI\Setup"/>
    <m/>
    <x v="1"/>
    <m/>
    <m/>
    <m/>
    <m/>
    <x v="1"/>
  </r>
  <r>
    <x v="252"/>
    <x v="247"/>
    <n v="12"/>
    <x v="12"/>
    <n v="12"/>
    <s v="IT-LQA-UAT"/>
    <x v="0"/>
    <m/>
    <x v="2"/>
    <x v="0"/>
    <x v="0"/>
    <s v="DMDBS_SLT_2.0.0.25.1.206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Paritosh Ghildiyal"/>
    <x v="0"/>
  </r>
  <r>
    <x v="252"/>
    <x v="247"/>
    <n v="12"/>
    <x v="12"/>
    <n v="12"/>
    <s v="LQA-UAT"/>
    <x v="1"/>
    <m/>
    <x v="4"/>
    <x v="0"/>
    <x v="1"/>
    <s v=" RADBS_3.0.1b2"/>
    <x v="0"/>
    <x v="27"/>
    <m/>
    <x v="0"/>
    <s v="\\192.168.3.3\Share\Releases\Product\RevMind_3.0.1\Build&amp;Release\Release_For_LQA\Test_Build_1.0.1\Server CD\DBS\Setup"/>
    <s v="Pass"/>
    <x v="1"/>
    <m/>
    <m/>
    <m/>
    <s v="Ekansh Arora"/>
    <x v="0"/>
  </r>
  <r>
    <x v="252"/>
    <x v="247"/>
    <n v="12"/>
    <x v="12"/>
    <n v="12"/>
    <s v="IT-LQA-FAT"/>
    <x v="10"/>
    <m/>
    <x v="5"/>
    <x v="0"/>
    <x v="0"/>
    <s v="NMDBS_COM_4.6.1.32.1.88b1"/>
    <x v="0"/>
    <x v="39"/>
    <s v="\\192.168.3.3\Share\Releases\Projects\Comcast\Release_for_Test\Test_Build_4.6.7\Server CD\Database\Setup"/>
    <x v="0"/>
    <s v="\\192.168.3.3\Share\Releases\Projects\Comcast\Release_For_IT\Test_Build_4.6.1\Server CD\Database\Setup"/>
    <s v="Pass"/>
    <x v="1"/>
    <m/>
    <m/>
    <m/>
    <s v="Mayank Sharma"/>
    <x v="0"/>
  </r>
  <r>
    <x v="253"/>
    <x v="248"/>
    <n v="12"/>
    <x v="12"/>
    <n v="12"/>
    <s v="IT-LQA-FAT"/>
    <x v="10"/>
    <m/>
    <x v="5"/>
    <x v="0"/>
    <x v="0"/>
    <s v="NMDBS_COM_4.6.1.31.1.87b2"/>
    <x v="0"/>
    <x v="39"/>
    <s v="\\192.168.3.3\Share\Releases\Projects\Comcast\Release_for_Test\Test_Build_4.6.7\Server CD\Database\Setup"/>
    <x v="0"/>
    <s v="\\192.168.3.3\Share\Releases\Projects\Comcast\Release_For_IT\Test_Build_4.6.1\Server CD\Database\Setup"/>
    <s v="Pass"/>
    <x v="1"/>
    <m/>
    <m/>
    <m/>
    <s v="Mayank Sharma"/>
    <x v="0"/>
  </r>
  <r>
    <x v="254"/>
    <x v="249"/>
    <n v="12"/>
    <x v="12"/>
    <n v="12"/>
    <s v="LQA"/>
    <x v="1"/>
    <m/>
    <x v="7"/>
    <x v="2"/>
    <x v="1"/>
    <s v="RTGUI_4.0.34b1"/>
    <x v="0"/>
    <x v="35"/>
    <m/>
    <x v="0"/>
    <s v="\\192.168.3.3\Share\Releases\Product\RT_4.0\ReleaseForLQA\TestBuild_4.0.24\GUI\Build1\Setup "/>
    <m/>
    <x v="1"/>
    <m/>
    <m/>
    <m/>
    <m/>
    <x v="1"/>
  </r>
  <r>
    <x v="255"/>
    <x v="250"/>
    <n v="12"/>
    <x v="12"/>
    <n v="12"/>
    <s v="LQA-UAT"/>
    <x v="0"/>
    <m/>
    <x v="7"/>
    <x v="2"/>
    <x v="1"/>
    <s v="RTGUI_SLT_4.0.34.0.1"/>
    <x v="0"/>
    <x v="60"/>
    <m/>
    <x v="0"/>
    <s v="\\192.168.3.3\Share\Releases\Projects\SLT\Release_For_LQA\Test_Build_1.0.0.24\Server CD\GUI\Setup"/>
    <s v="Pass"/>
    <x v="1"/>
    <m/>
    <m/>
    <m/>
    <s v="Paritosh Ghildiyal"/>
    <x v="0"/>
  </r>
  <r>
    <x v="255"/>
    <x v="250"/>
    <n v="12"/>
    <x v="12"/>
    <n v="12"/>
    <s v="IT-LQA"/>
    <x v="1"/>
    <m/>
    <x v="5"/>
    <x v="0"/>
    <x v="0"/>
    <s v="NMDBS_4.6.1.33b1"/>
    <x v="0"/>
    <x v="19"/>
    <s v="\\192.168.3.3\Share\Releases\Product\Netmind_4.6\Build&amp;Release\ReleaseForIT\TestBuild_4.6.1\Build4\ServerCD\DBS\Setup"/>
    <x v="0"/>
    <s v="\\192.168.3.3\Share\Releases\Product\Netmind_4.6\Build&amp;Release\ReleaseForTest\TestBuild_4.6.1\Build4\ServerCD\DBS\Setup"/>
    <s v="Pass"/>
    <x v="0"/>
    <m/>
    <m/>
    <m/>
    <s v="Rudra Narayan"/>
    <x v="0"/>
  </r>
  <r>
    <x v="256"/>
    <x v="251"/>
    <n v="12"/>
    <x v="12"/>
    <n v="12"/>
    <s v="IT-LQA"/>
    <x v="4"/>
    <m/>
    <x v="5"/>
    <x v="0"/>
    <x v="0"/>
    <s v=" NMDBS_TLSTR_4.0.1.0.4.320b1"/>
    <x v="0"/>
    <x v="9"/>
    <s v="\\192.168.3.3\Share\Releases\Projects\Telstra\Release_For_IT\Test_Build_1.0.0.18\Server CD\DBS\Setup"/>
    <x v="2"/>
    <s v="\\192.168.3.3\Share\Releases\Projects\Telstra\Release_For_LQA\Test_Build_1.0.0.18\Server CD\DBS\Setup"/>
    <m/>
    <x v="1"/>
    <m/>
    <m/>
    <m/>
    <m/>
    <x v="2"/>
  </r>
  <r>
    <x v="256"/>
    <x v="251"/>
    <n v="12"/>
    <x v="12"/>
    <n v="12"/>
    <s v="LQA"/>
    <x v="22"/>
    <m/>
    <x v="1"/>
    <x v="1"/>
    <x v="0"/>
    <s v="MPE_MOBSA_3.0.1.1.1.8b1"/>
    <x v="0"/>
    <x v="20"/>
    <m/>
    <x v="0"/>
    <s v="\\192.168.3.3\Share\Releases\Projects\MOBSA\Release_For_LQA\Test_Build_1.0.0.3\Server CD\MPE\Setup"/>
    <m/>
    <x v="1"/>
    <m/>
    <m/>
    <m/>
    <m/>
    <x v="1"/>
  </r>
  <r>
    <x v="257"/>
    <x v="252"/>
    <n v="12"/>
    <x v="12"/>
    <n v="12"/>
    <s v="IT-LQA-UAT"/>
    <x v="6"/>
    <m/>
    <x v="1"/>
    <x v="1"/>
    <x v="0"/>
    <s v="MPEDBS_ANTEL_1.0.1.9.1.13b1"/>
    <x v="0"/>
    <x v="4"/>
    <s v="\\192.168.3.3\Share\Releases\Projects\ANTEL\Release_For_IT\TestBuild_1.0.0.4\Server CD\DBS\Setup"/>
    <x v="0"/>
    <s v="\\192.168.3.3\Share\Releases\Projects\ANTEL\Release_For_Test\Test_Build_1.0.0.7\Server CD\DBS\Setup"/>
    <s v="Pass"/>
    <x v="1"/>
    <m/>
    <m/>
    <m/>
    <s v="Manas Ranjan Barik"/>
    <x v="0"/>
  </r>
  <r>
    <x v="257"/>
    <x v="252"/>
    <n v="12"/>
    <x v="12"/>
    <n v="12"/>
    <s v="IT-LQA"/>
    <x v="6"/>
    <m/>
    <x v="5"/>
    <x v="0"/>
    <x v="0"/>
    <s v="NMDBS_ANTEL_4.6.1.32.2.51b1"/>
    <x v="0"/>
    <x v="4"/>
    <s v="\\192.168.3.3\Share\Releases\Projects\ANTEL\Release_For_IT\TestBuild_1.0.0.4\Server CD\DBS\Setup"/>
    <x v="2"/>
    <s v="\\192.168.3.3\Share\Releases\Projects\ANTEL\Release_For_Test\Test_Build_1.0.0.7\Server CD\DBS\Setup"/>
    <m/>
    <x v="1"/>
    <m/>
    <m/>
    <m/>
    <m/>
    <x v="2"/>
  </r>
  <r>
    <x v="257"/>
    <x v="252"/>
    <n v="12"/>
    <x v="12"/>
    <n v="12"/>
    <s v="IT-LQA-UAT"/>
    <x v="6"/>
    <m/>
    <x v="5"/>
    <x v="0"/>
    <x v="0"/>
    <s v="NMDBS_ANTEL_4.6.1.32.2.52b1"/>
    <x v="0"/>
    <x v="4"/>
    <s v="\\192.168.3.3\Share\Releases\Projects\ANTEL\Release_For_IT\TestBuild_1.0.0.4\Server CD\DBS\Setup"/>
    <x v="0"/>
    <s v="\\192.168.3.3\Share\Releases\Projects\ANTEL\Release_For_Test\Test_Build_1.0.0.7\Server CD\DBS\Setup"/>
    <s v="Pass"/>
    <x v="1"/>
    <m/>
    <m/>
    <m/>
    <s v="Pradeep Raghav"/>
    <x v="0"/>
  </r>
  <r>
    <x v="257"/>
    <x v="252"/>
    <n v="12"/>
    <x v="12"/>
    <n v="12"/>
    <s v="LQA"/>
    <x v="1"/>
    <m/>
    <x v="8"/>
    <x v="2"/>
    <x v="1"/>
    <s v="WWFSGUI_2.1.35b5"/>
    <x v="0"/>
    <x v="21"/>
    <m/>
    <x v="0"/>
    <s v="\\192.168.3.3\Share\Releases\Product\WEB_WFS\Build&amp;Release\Release For Test\TestBuild_2.1.35\ServerCD\GUI\Setup"/>
    <m/>
    <x v="0"/>
    <m/>
    <m/>
    <m/>
    <m/>
    <x v="1"/>
  </r>
  <r>
    <x v="257"/>
    <x v="252"/>
    <n v="12"/>
    <x v="12"/>
    <n v="12"/>
    <s v="IT-LQA-UAT"/>
    <x v="6"/>
    <m/>
    <x v="2"/>
    <x v="0"/>
    <x v="0"/>
    <s v="DMDBS_ANTEL_2.1.1.2.1.6b1"/>
    <x v="0"/>
    <x v="4"/>
    <s v="\\192.168.3.3\Share\Releases\Projects\ANTEL\Release_For_Test\Test_Build_1.0.0.7\Server CD\DBS\Setup"/>
    <x v="0"/>
    <s v="\\192.168.3.3\Share\Releases\Projects\ANTEL\Release_For_IT\TestBuild_1.0.0.4\Server CD\DBS\Setup"/>
    <s v="Pass"/>
    <x v="0"/>
    <m/>
    <m/>
    <m/>
    <s v="Pradeep Raghav"/>
    <x v="0"/>
  </r>
  <r>
    <x v="257"/>
    <x v="252"/>
    <n v="12"/>
    <x v="12"/>
    <n v="12"/>
    <s v="LQA"/>
    <x v="6"/>
    <m/>
    <x v="8"/>
    <x v="2"/>
    <x v="1"/>
    <s v="WWFSGUI_ANTEL_2.1.35.0.1"/>
    <x v="0"/>
    <x v="21"/>
    <m/>
    <x v="2"/>
    <s v="\\192.168.3.3\Share\Releases\Projects\ANTEL\Release_For_Test\Test_Build_1.0.0.7\Server CD\GUI\Setup"/>
    <m/>
    <x v="0"/>
    <m/>
    <m/>
    <m/>
    <m/>
    <x v="2"/>
  </r>
  <r>
    <x v="258"/>
    <x v="253"/>
    <n v="1"/>
    <x v="13"/>
    <n v="1"/>
    <s v="LQA"/>
    <x v="6"/>
    <m/>
    <x v="1"/>
    <x v="1"/>
    <x v="0"/>
    <s v="MPE_ANTEL_3.2.4.35.1.17b1"/>
    <x v="0"/>
    <x v="14"/>
    <m/>
    <x v="2"/>
    <s v="\\192.168.3.3\Share\Releases\Projects\ANTEL\Release_For_Test\Test_Build_1.0.0.7\Server CD\MPE\Setup"/>
    <m/>
    <x v="1"/>
    <m/>
    <m/>
    <m/>
    <m/>
    <x v="2"/>
  </r>
  <r>
    <x v="258"/>
    <x v="253"/>
    <n v="1"/>
    <x v="13"/>
    <n v="1"/>
    <s v="IT-LQA"/>
    <x v="6"/>
    <m/>
    <x v="1"/>
    <x v="1"/>
    <x v="0"/>
    <s v="MPE_ANTEL_3.2.4.35.1.17b1"/>
    <x v="0"/>
    <x v="14"/>
    <m/>
    <x v="2"/>
    <s v="\\192.168.3.3\Share\Releases\Projects\ANTEL\Release_For_Test\Test_Build_1.0.0.7\Server CD\MPE\Setup"/>
    <m/>
    <x v="1"/>
    <m/>
    <m/>
    <m/>
    <m/>
    <x v="2"/>
  </r>
  <r>
    <x v="259"/>
    <x v="254"/>
    <n v="1"/>
    <x v="13"/>
    <n v="1"/>
    <s v="IT-LQA"/>
    <x v="1"/>
    <m/>
    <x v="6"/>
    <x v="3"/>
    <x v="1"/>
    <s v="IM_1.0.5b1"/>
    <x v="0"/>
    <x v="35"/>
    <m/>
    <x v="0"/>
    <s v="\\192.168.3.3\Share\Releases\Product\IM_1.0\Build&amp;Release\Release_For_LQA\Test_Build_1.0.4\Server CD\IM\Setup"/>
    <m/>
    <x v="1"/>
    <m/>
    <m/>
    <m/>
    <m/>
    <x v="1"/>
  </r>
  <r>
    <x v="259"/>
    <x v="254"/>
    <n v="1"/>
    <x v="13"/>
    <n v="1"/>
    <s v="IT-LQA-UAT"/>
    <x v="5"/>
    <m/>
    <x v="6"/>
    <x v="3"/>
    <x v="1"/>
    <s v="IM_BHN_1.0.5.0.1"/>
    <x v="0"/>
    <x v="35"/>
    <m/>
    <x v="0"/>
    <s v="\\192.168.3.3\share\Releases\Projects\BHN\Release_For_Test\Test_Build_1.0.5\Server CD\IM\Setup"/>
    <s v="Pass"/>
    <x v="1"/>
    <m/>
    <m/>
    <m/>
    <s v="Rudra Narayan"/>
    <x v="0"/>
  </r>
  <r>
    <x v="259"/>
    <x v="254"/>
    <n v="1"/>
    <x v="13"/>
    <n v="1"/>
    <s v="IT-LQA-UAT"/>
    <x v="0"/>
    <m/>
    <x v="2"/>
    <x v="0"/>
    <x v="0"/>
    <s v="DMDBS_SLT_2.0.0.25.1.212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Paritosh Ghildiyal"/>
    <x v="0"/>
  </r>
  <r>
    <x v="260"/>
    <x v="255"/>
    <n v="1"/>
    <x v="13"/>
    <n v="1"/>
    <s v="IT-LQA"/>
    <x v="4"/>
    <m/>
    <x v="5"/>
    <x v="0"/>
    <x v="0"/>
    <s v="NMDBS_TLSTR_4.0.1.0.4.320b2"/>
    <x v="0"/>
    <x v="9"/>
    <s v="\\192.168.3.3\Share\Releases\Projects\Telstra\Release_For_IT\Test_Build_1.0.0.18\Server CD\DBS\Setup"/>
    <x v="2"/>
    <s v="\\192.168.3.3\Share\Releases\Projects\Telstra\Release_For_LQA\Test_Build_1.0.0.18\Server CD\DBS\Setup"/>
    <m/>
    <x v="1"/>
    <m/>
    <m/>
    <m/>
    <m/>
    <x v="2"/>
  </r>
  <r>
    <x v="261"/>
    <x v="256"/>
    <n v="1"/>
    <x v="13"/>
    <n v="1"/>
    <s v="IT-LQA"/>
    <x v="21"/>
    <s v="phase 1"/>
    <x v="2"/>
    <x v="0"/>
    <x v="0"/>
    <s v="DMDBS_TLSTR-ST_2.1.1.8.1.11b1"/>
    <x v="0"/>
    <x v="61"/>
    <s v="\\192.168.3.3\Share\Releases\Projects\TLSTR-ST\Release_For_Test\Test_Build_1.0.1\Server CD\DBS\Setup"/>
    <x v="0"/>
    <s v="\\192.168.3.3\Share\Releases\Projects\TLSTR-ST\Release_For_IT\TestBuild_1.0.1\Server CD\DBS\Setup"/>
    <m/>
    <x v="0"/>
    <m/>
    <m/>
    <m/>
    <m/>
    <x v="1"/>
  </r>
  <r>
    <x v="261"/>
    <x v="256"/>
    <n v="1"/>
    <x v="13"/>
    <n v="1"/>
    <s v="IT-LQA-UAT"/>
    <x v="5"/>
    <m/>
    <x v="5"/>
    <x v="0"/>
    <x v="1"/>
    <s v="NMDBS_BHN_4.7.1.12"/>
    <x v="0"/>
    <x v="24"/>
    <m/>
    <x v="0"/>
    <s v="\\192.168.3.3\Share\Releases\Projects\BHN\Release_For_Test\Test_Build_1.0.5\Server CD\DBS\Setup"/>
    <s v="Pass"/>
    <x v="1"/>
    <m/>
    <m/>
    <m/>
    <s v="Abhishek Leekha"/>
    <x v="0"/>
  </r>
  <r>
    <x v="261"/>
    <x v="256"/>
    <n v="1"/>
    <x v="13"/>
    <n v="1"/>
    <s v="LQA-UAT"/>
    <x v="1"/>
    <m/>
    <x v="4"/>
    <x v="4"/>
    <x v="0"/>
    <s v="RACS_2.5.6.2b2"/>
    <x v="0"/>
    <x v="18"/>
    <m/>
    <x v="0"/>
    <s v="\\192.168.3.3\Share\Releases\Product\RevMind_2.1\Build&amp;Release\Release_For_LQA\Test_Build_1.0.2\Server CD\GUI\CS\Setup"/>
    <s v="Pass"/>
    <x v="1"/>
    <m/>
    <m/>
    <m/>
    <s v="K.V. Krishnan"/>
    <x v="0"/>
  </r>
  <r>
    <x v="261"/>
    <x v="256"/>
    <n v="1"/>
    <x v="13"/>
    <n v="1"/>
    <s v="LQA-UAT"/>
    <x v="1"/>
    <m/>
    <x v="1"/>
    <x v="1"/>
    <x v="0"/>
    <s v="MPE_3.2.1.9b1"/>
    <x v="0"/>
    <x v="46"/>
    <s v="\\192.168.3.3\Share\Releases\Product\MPE_3.2\ReleaseForLQA\TestBuild_3.2.1\Build2\ServerCD\Setup\Oracle_Linux_6.2"/>
    <x v="0"/>
    <s v="\\192.168.3.3\Share\Releases\Product\MPE_3.2\ReleaseForLQA\TestBuild_3.2.1\Build2\ServerCD\Setup\RHEL_6.3"/>
    <s v="Pass"/>
    <x v="1"/>
    <m/>
    <m/>
    <m/>
    <s v="Manas Ranjan Barik"/>
    <x v="0"/>
  </r>
  <r>
    <x v="261"/>
    <x v="256"/>
    <n v="1"/>
    <x v="13"/>
    <n v="1"/>
    <s v="LQA"/>
    <x v="21"/>
    <m/>
    <x v="1"/>
    <x v="1"/>
    <x v="0"/>
    <s v="MPE_TLSTR-ST_3.2.6.0.1.11b1"/>
    <x v="0"/>
    <x v="11"/>
    <m/>
    <x v="0"/>
    <s v="\\192.168.3.3\Share\Releases\Projects\TLSTR-ST\Release_For_Test\Test_Build_1.0.1\Server CD\MPE\Setup"/>
    <m/>
    <x v="1"/>
    <m/>
    <m/>
    <m/>
    <m/>
    <x v="1"/>
  </r>
  <r>
    <x v="262"/>
    <x v="257"/>
    <n v="1"/>
    <x v="13"/>
    <n v="1"/>
    <s v="IT-LQA-UAT"/>
    <x v="4"/>
    <m/>
    <x v="5"/>
    <x v="0"/>
    <x v="0"/>
    <s v="NMDBS_TLSTR_4.0.1.0.4.320b3"/>
    <x v="0"/>
    <x v="9"/>
    <s v="\\192.168.3.3\Share\Releases\Projects\Telstra\Release_For_IT\Test_Build_1.0.0.18\Server CD\DBS\Setup"/>
    <x v="0"/>
    <s v="\\192.168.3.3\Share\Releases\Projects\Telstra\Release_For_LQA\Test_Build_1.0.0.18\Server CD\DBS\Setup"/>
    <s v="Pass"/>
    <x v="0"/>
    <m/>
    <m/>
    <m/>
    <s v="Abrar Khan"/>
    <x v="0"/>
  </r>
  <r>
    <x v="263"/>
    <x v="258"/>
    <n v="1"/>
    <x v="13"/>
    <n v="1"/>
    <s v="IT-LQA"/>
    <x v="6"/>
    <m/>
    <x v="5"/>
    <x v="0"/>
    <x v="0"/>
    <s v="NMDBS_ANTEL_4.6.1.32.2.53b1"/>
    <x v="0"/>
    <x v="4"/>
    <s v="\\192.168.3.3\Share\Releases\Projects\ANTEL\Release_For_IT\TestBuild_1.0.0.4\Server CD\DBS\Setup"/>
    <x v="0"/>
    <s v="\\192.168.3.3\Share\Releases\Projects\ANTEL\Release_For_Test\Test_Build_1.0.0.7\Server CD\DBS\Setup"/>
    <s v="Pass"/>
    <x v="1"/>
    <m/>
    <m/>
    <m/>
    <s v="Ajay Kumar Pandey"/>
    <x v="0"/>
  </r>
  <r>
    <x v="263"/>
    <x v="258"/>
    <n v="1"/>
    <x v="13"/>
    <n v="1"/>
    <s v="LQA-FAT"/>
    <x v="10"/>
    <m/>
    <x v="8"/>
    <x v="2"/>
    <x v="0"/>
    <s v="WWFSGUI_COM_2.1.35.0.2"/>
    <x v="0"/>
    <x v="21"/>
    <m/>
    <x v="0"/>
    <s v="\\192.168.3.3\Share\Releases\Projects\Comcast\Release_for_Test\Test_Build_4.6.7\Server CD\GUI\Setup"/>
    <s v="Pass"/>
    <x v="1"/>
    <m/>
    <m/>
    <m/>
    <s v="Mayank Sharma"/>
    <x v="0"/>
  </r>
  <r>
    <x v="263"/>
    <x v="258"/>
    <n v="1"/>
    <x v="13"/>
    <n v="1"/>
    <s v="IT-LQA"/>
    <x v="21"/>
    <s v="phase 1"/>
    <x v="2"/>
    <x v="0"/>
    <x v="0"/>
    <s v="DMDBS_TLSTR-ST_2.1.1.8.1.12b1"/>
    <x v="0"/>
    <x v="23"/>
    <s v="\\192.168.3.3\Share\Releases\Projects\TLSTR-ST\Release_For_IT\TestBuild_1.0.1\Server CD\DBS\Setup"/>
    <x v="0"/>
    <s v="\\192.168.3.3\Share\Releases\Projects\TLSTR-ST\Release_For_Test\Test_Build_1.0.1\Server CD\DBS\Setup"/>
    <m/>
    <x v="0"/>
    <m/>
    <m/>
    <m/>
    <m/>
    <x v="1"/>
  </r>
  <r>
    <x v="263"/>
    <x v="258"/>
    <n v="1"/>
    <x v="13"/>
    <n v="1"/>
    <s v="LQA"/>
    <x v="1"/>
    <m/>
    <x v="1"/>
    <x v="1"/>
    <x v="0"/>
    <s v="MPE_3.2.6.1b1"/>
    <x v="0"/>
    <x v="11"/>
    <m/>
    <x v="0"/>
    <s v="\\192.168.3.3\Share\Releases\Product\MPE_3.2\ReleaseForLQA\TestBuild_3.2.6\Server CD\MPE\Setup"/>
    <m/>
    <x v="1"/>
    <m/>
    <m/>
    <m/>
    <m/>
    <x v="1"/>
  </r>
  <r>
    <x v="263"/>
    <x v="258"/>
    <n v="1"/>
    <x v="13"/>
    <n v="1"/>
    <s v="LQA"/>
    <x v="23"/>
    <m/>
    <x v="8"/>
    <x v="2"/>
    <x v="1"/>
    <s v="WWFSGUI_MCC_2.1.35.0.1"/>
    <x v="0"/>
    <x v="21"/>
    <m/>
    <x v="0"/>
    <s v="\\192.168.3.3\Share\Releases\Projects\MCC\Release_For_Test\Test_Build_1.0.1\Server CD\GUI\Setup"/>
    <m/>
    <x v="1"/>
    <m/>
    <m/>
    <m/>
    <m/>
    <x v="1"/>
  </r>
  <r>
    <x v="263"/>
    <x v="258"/>
    <n v="1"/>
    <x v="13"/>
    <n v="1"/>
    <s v="LQA"/>
    <x v="21"/>
    <m/>
    <x v="1"/>
    <x v="1"/>
    <x v="0"/>
    <s v="MPE_TLSTR-ST_3.2.6.1.1.12b1"/>
    <x v="0"/>
    <x v="6"/>
    <m/>
    <x v="0"/>
    <s v="\\192.168.3.3\Share\Releases\Projects\TLSTR-ST\Release_For_Test\Test_Build_1.0.1\Server CD\MPE\Setup"/>
    <m/>
    <x v="1"/>
    <m/>
    <m/>
    <m/>
    <m/>
    <x v="1"/>
  </r>
  <r>
    <x v="263"/>
    <x v="258"/>
    <n v="1"/>
    <x v="13"/>
    <n v="1"/>
    <s v="IT-LQA-UAT"/>
    <x v="3"/>
    <m/>
    <x v="5"/>
    <x v="0"/>
    <x v="0"/>
    <s v="NMDBS_OBT_4.6.1.27.1.44b1"/>
    <x v="0"/>
    <x v="53"/>
    <s v="\\192.168.3.3\Share\Releases\Projects\OBT\Release_For_IT\TestBuild_1.0.0.2\Server CD\DBS\Setup"/>
    <x v="0"/>
    <s v="\\192.168.3.3\Share\Releases\Projects\OBT\Release_For_LQA\TestBuild_1.0.0.7\Server CD\DBS\Setup"/>
    <s v="Pass"/>
    <x v="0"/>
    <m/>
    <m/>
    <m/>
    <s v="Manas Ranjan Barik"/>
    <x v="0"/>
  </r>
  <r>
    <x v="264"/>
    <x v="259"/>
    <n v="1"/>
    <x v="13"/>
    <n v="1"/>
    <s v="LQA-UAT"/>
    <x v="6"/>
    <m/>
    <x v="1"/>
    <x v="1"/>
    <x v="0"/>
    <s v="MPE_ANTEL_3.2.4.35.1.17b2"/>
    <x v="0"/>
    <x v="14"/>
    <m/>
    <x v="0"/>
    <s v="\\192.168.3.3\Share\Releases\Projects\ANTEL\Release_For_Test\Test_Build_1.0.0.7\Server CD\MPE\Setup"/>
    <s v="Pass"/>
    <x v="1"/>
    <m/>
    <m/>
    <m/>
    <s v="Manas Ranjan Barik"/>
    <x v="0"/>
  </r>
  <r>
    <x v="264"/>
    <x v="259"/>
    <n v="1"/>
    <x v="13"/>
    <n v="1"/>
    <s v="IT-LQA"/>
    <x v="21"/>
    <s v="phase 1"/>
    <x v="2"/>
    <x v="0"/>
    <x v="0"/>
    <s v="DMDBS_TLSTR-ST_2.1.1.8.1.13b1"/>
    <x v="0"/>
    <x v="3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265"/>
    <x v="260"/>
    <n v="1"/>
    <x v="13"/>
    <n v="1"/>
    <s v="LQA"/>
    <x v="23"/>
    <m/>
    <x v="1"/>
    <x v="1"/>
    <x v="0"/>
    <s v="MPE_MCC_3.2.5.0.1.1b1"/>
    <x v="0"/>
    <x v="46"/>
    <m/>
    <x v="0"/>
    <s v="\\192.168.3.3\Share\Releases\Projects\MCC\Release_For_Test\Test_Build_1.0.1\Server CD\MPE\Setup"/>
    <m/>
    <x v="1"/>
    <m/>
    <m/>
    <m/>
    <m/>
    <x v="1"/>
  </r>
  <r>
    <x v="265"/>
    <x v="260"/>
    <n v="1"/>
    <x v="13"/>
    <n v="1"/>
    <s v="IT-LQA"/>
    <x v="21"/>
    <s v="phase 3"/>
    <x v="2"/>
    <x v="0"/>
    <x v="0"/>
    <s v="DMDBS_TLSTR-ST_2.1.1.8.1.14b1"/>
    <x v="0"/>
    <x v="3"/>
    <s v="\\192.168.3.3\Share\Releases\Projects\TLSTR-ST\Release_For_IT\TestBuild_1.0.1\Server CD\DBS\Setup"/>
    <x v="0"/>
    <s v="\\192.168.3.3\Share\Releases\Projects\TLSTR-ST\Release_For_Test\Test_Build_1.0.1\Server CD\DBS\Setup"/>
    <m/>
    <x v="0"/>
    <m/>
    <m/>
    <m/>
    <m/>
    <x v="1"/>
  </r>
  <r>
    <x v="266"/>
    <x v="261"/>
    <n v="1"/>
    <x v="13"/>
    <n v="1"/>
    <s v="LQA-UAT"/>
    <x v="1"/>
    <m/>
    <x v="4"/>
    <x v="0"/>
    <x v="1"/>
    <s v="RADBS_3.0.1b3"/>
    <x v="0"/>
    <x v="27"/>
    <m/>
    <x v="0"/>
    <s v="\\192.168.3.3\Share\Releases\Product\RevMind_3.0.1\Build&amp;Release\Release_For_LQA\Test_Build_1.0.1\Server CD\DBS\Setup"/>
    <s v="Pass"/>
    <x v="1"/>
    <m/>
    <m/>
    <m/>
    <s v="Ekansh Arora"/>
    <x v="0"/>
  </r>
  <r>
    <x v="266"/>
    <x v="261"/>
    <n v="1"/>
    <x v="13"/>
    <n v="1"/>
    <s v="IT-LQA-UAT"/>
    <x v="8"/>
    <m/>
    <x v="5"/>
    <x v="0"/>
    <x v="0"/>
    <s v="NMDBS_TWC_4.6.1.11.3.53b2"/>
    <x v="0"/>
    <x v="7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Ajay Kumar Pandey"/>
    <x v="0"/>
  </r>
  <r>
    <x v="266"/>
    <x v="261"/>
    <n v="1"/>
    <x v="13"/>
    <n v="1"/>
    <s v="IT-LQA"/>
    <x v="21"/>
    <s v="phase 3"/>
    <x v="2"/>
    <x v="0"/>
    <x v="0"/>
    <s v="DMDBS_TLSTR-ST_2.1.1.8.1.15b1"/>
    <x v="0"/>
    <x v="3"/>
    <s v="\\192.168.3.3\Share\Releases\Projects\TLSTR-ST\Release_For_IT\TestBuild_1.0.1\Server CD\DBS\Setup"/>
    <x v="2"/>
    <s v="\\192.168.3.3\Share\Releases\Projects\TLSTR-ST\Release_For_Test\Test_Build_1.0.1\Server CD\DBS\Setup"/>
    <m/>
    <x v="1"/>
    <m/>
    <m/>
    <m/>
    <m/>
    <x v="2"/>
  </r>
  <r>
    <x v="266"/>
    <x v="261"/>
    <n v="1"/>
    <x v="13"/>
    <n v="1"/>
    <s v="LQA"/>
    <x v="1"/>
    <m/>
    <x v="17"/>
    <x v="2"/>
    <x v="0"/>
    <s v="CSGUI_2.6.2.1b1"/>
    <x v="0"/>
    <x v="40"/>
    <m/>
    <x v="0"/>
    <s v="\\192.168.3.3\Share\Releases\Product\CSGUI_2.6\Build&amp;Release\Release_For_LQA\Test_Build_1.0.3\Server CD\GUI\Setup"/>
    <m/>
    <x v="1"/>
    <m/>
    <m/>
    <m/>
    <m/>
    <x v="1"/>
  </r>
  <r>
    <x v="266"/>
    <x v="261"/>
    <n v="1"/>
    <x v="13"/>
    <n v="1"/>
    <s v="LQA"/>
    <x v="1"/>
    <m/>
    <x v="8"/>
    <x v="2"/>
    <x v="0"/>
    <s v="WWFSGUI_2.2.1.4b1"/>
    <x v="0"/>
    <x v="40"/>
    <m/>
    <x v="0"/>
    <s v="\\192.168.3.3\Share\Releases\Product\WEB_WFS\Build&amp;Release\Release For Test\TestBuild_2.2.1\Build4\ServerCD\GUI\Setup"/>
    <m/>
    <x v="0"/>
    <m/>
    <m/>
    <m/>
    <m/>
    <x v="1"/>
  </r>
  <r>
    <x v="267"/>
    <x v="262"/>
    <n v="1"/>
    <x v="13"/>
    <n v="1"/>
    <s v="IT-LQA"/>
    <x v="16"/>
    <m/>
    <x v="5"/>
    <x v="0"/>
    <x v="0"/>
    <s v="NMDBS_TLN_4.0.1.82.1"/>
    <x v="0"/>
    <x v="53"/>
    <s v="\\192.168.3.3\Share\Releases\Projects\Telenet\Build&amp;Release\Release For IT\Test_Build_4.0.41\Server CD\Database\Setup"/>
    <x v="2"/>
    <s v="\\192.168.3.3\Share\Releases\Projects\Telenet\Build&amp;Release\Release For Test\Test_Build_4.0.41\Server CD\Database\Setup"/>
    <m/>
    <x v="1"/>
    <m/>
    <m/>
    <m/>
    <m/>
    <x v="2"/>
  </r>
  <r>
    <x v="267"/>
    <x v="262"/>
    <n v="1"/>
    <x v="13"/>
    <n v="1"/>
    <s v="LQA"/>
    <x v="1"/>
    <m/>
    <x v="1"/>
    <x v="0"/>
    <x v="1"/>
    <s v="MPEDBS_1.1.1b1"/>
    <x v="0"/>
    <x v="5"/>
    <m/>
    <x v="2"/>
    <s v="\\192.168.3.3\Share\Releases\Product\MEDGUI_1.1\Build&amp;Release\Release_For_LQA\Test_Build_1.0.1\Server CD\DBS\Setup"/>
    <m/>
    <x v="1"/>
    <m/>
    <m/>
    <m/>
    <m/>
    <x v="2"/>
  </r>
  <r>
    <x v="267"/>
    <x v="262"/>
    <n v="1"/>
    <x v="13"/>
    <n v="1"/>
    <s v="LQA"/>
    <x v="23"/>
    <m/>
    <x v="5"/>
    <x v="0"/>
    <x v="1"/>
    <s v="NMDBS_MCC_4.7.1.2"/>
    <x v="0"/>
    <x v="39"/>
    <m/>
    <x v="0"/>
    <s v="\\192.168.3.3\Share\Releases\Projects\MCC\Release_For_Test\Test_Build_1.0.1\Server CD\DBS\Setup"/>
    <m/>
    <x v="1"/>
    <m/>
    <m/>
    <m/>
    <m/>
    <x v="1"/>
  </r>
  <r>
    <x v="268"/>
    <x v="263"/>
    <n v="1"/>
    <x v="13"/>
    <n v="1"/>
    <s v="LQA"/>
    <x v="1"/>
    <m/>
    <x v="1"/>
    <x v="1"/>
    <x v="1"/>
    <s v="MPE_3.2.7b1"/>
    <x v="0"/>
    <x v="10"/>
    <m/>
    <x v="2"/>
    <s v="\\192.168.3.3\Share\Releases\Product\MEDGUI_1.1\Build&amp;Release\Release_For_LQA\Test_Build_1.0.1\Server CD\MPE\Setup\RHEL_6.3"/>
    <m/>
    <x v="1"/>
    <m/>
    <m/>
    <m/>
    <m/>
    <x v="2"/>
  </r>
  <r>
    <x v="268"/>
    <x v="263"/>
    <n v="1"/>
    <x v="13"/>
    <n v="1"/>
    <s v="LQA"/>
    <x v="1"/>
    <m/>
    <x v="1"/>
    <x v="2"/>
    <x v="1"/>
    <s v="MPEGUI_1.1.1b1"/>
    <x v="0"/>
    <x v="16"/>
    <m/>
    <x v="0"/>
    <s v="\\192.168.3.3\Share\Releases\Product\MEDGUI_1.1\Build&amp;Release\Release_For_LQA\Test_Build_1.0.1\Server CD\GUI\Setup"/>
    <m/>
    <x v="1"/>
    <m/>
    <m/>
    <m/>
    <m/>
    <x v="1"/>
  </r>
  <r>
    <x v="269"/>
    <x v="264"/>
    <n v="1"/>
    <x v="13"/>
    <n v="1"/>
    <s v="IT-LQA"/>
    <x v="20"/>
    <m/>
    <x v="7"/>
    <x v="0"/>
    <x v="1"/>
    <s v="RTDBS_FNB_4.0.1.11.1"/>
    <x v="0"/>
    <x v="53"/>
    <s v="\\192.168.3.3\Share\Releases\Projects\FNB\Release_For_IT\TestBuild_1.0.1\Server CD\DBS\Setup"/>
    <x v="0"/>
    <s v="\\192.168.3.3\Share\Releases\Projects\FNB\Release_For_Test\Test_Build_1.0.1\Server CD\DBS\Setup"/>
    <m/>
    <x v="0"/>
    <m/>
    <m/>
    <m/>
    <m/>
    <x v="1"/>
  </r>
  <r>
    <x v="269"/>
    <x v="264"/>
    <n v="1"/>
    <x v="13"/>
    <n v="1"/>
    <s v="LQA"/>
    <x v="1"/>
    <m/>
    <x v="9"/>
    <x v="0"/>
    <x v="1"/>
    <s v="NPDBS_MCC_1.3.2.2"/>
    <x v="0"/>
    <x v="39"/>
    <m/>
    <x v="0"/>
    <s v="\\192.168.3.3\Share\Releases\Projects\MCC\Release_For_Test\Test_Build_1.0.1\Server CD\DBS\Setup"/>
    <m/>
    <x v="1"/>
    <m/>
    <m/>
    <m/>
    <m/>
    <x v="1"/>
  </r>
  <r>
    <x v="269"/>
    <x v="264"/>
    <n v="1"/>
    <x v="13"/>
    <n v="1"/>
    <s v="LQA"/>
    <x v="21"/>
    <m/>
    <x v="1"/>
    <x v="1"/>
    <x v="0"/>
    <s v="MPE_TLSTR-ST_3.2.6.1.1.13b1"/>
    <x v="0"/>
    <x v="11"/>
    <m/>
    <x v="0"/>
    <s v="\\192.168.3.3\Share\Releases\Projects\TLSTR-ST\Release_For_Test\Test_Build_1.0.1\Server CD\MPE\Setup"/>
    <m/>
    <x v="0"/>
    <m/>
    <m/>
    <m/>
    <m/>
    <x v="1"/>
  </r>
  <r>
    <x v="269"/>
    <x v="264"/>
    <n v="1"/>
    <x v="13"/>
    <n v="1"/>
    <s v="IT-LQA-UAT"/>
    <x v="16"/>
    <m/>
    <x v="5"/>
    <x v="0"/>
    <x v="0"/>
    <s v="NMDBS_TLN_4.0.1.82.2"/>
    <x v="0"/>
    <x v="53"/>
    <s v="\\192.168.3.3\Share\Releases\Projects\Telenet\Build&amp;Release\Release For IT\Test_Build_4.0.41\Server CD\Database\Setup"/>
    <x v="0"/>
    <s v="\\192.168.3.3\Share\Releases\Projects\Telenet\Build&amp;Release\Release For Test\Test_Build_4.0.41\Server CD\Database\Setup"/>
    <s v="Pass"/>
    <x v="1"/>
    <m/>
    <m/>
    <m/>
    <s v="Pradeep Raghav"/>
    <x v="0"/>
  </r>
  <r>
    <x v="269"/>
    <x v="264"/>
    <n v="1"/>
    <x v="13"/>
    <n v="1"/>
    <s v="IT-LQA-UAT"/>
    <x v="16"/>
    <m/>
    <x v="9"/>
    <x v="0"/>
    <x v="0"/>
    <s v="NPDBS_TLN_1.0.4.96.1"/>
    <x v="0"/>
    <x v="53"/>
    <s v="\\192.168.3.3\Share\Releases\Projects\Telenet\Build&amp;Release\Release For IT\Test_Build_4.0.41\Server CD\Database\Setup"/>
    <x v="0"/>
    <s v="\\192.168.3.3\Share\Releases\Projects\Telenet\Build&amp;Release\Release For Test\Test_Build_4.0.41\Server CD\Database\Setup"/>
    <s v="Pass"/>
    <x v="1"/>
    <m/>
    <m/>
    <m/>
    <s v="Pradeep Raghav"/>
    <x v="0"/>
  </r>
  <r>
    <x v="270"/>
    <x v="265"/>
    <n v="1"/>
    <x v="13"/>
    <n v="1"/>
    <s v="IT-LQA"/>
    <x v="1"/>
    <m/>
    <x v="5"/>
    <x v="0"/>
    <x v="0"/>
    <s v="NMDBS_4.6.1.34b1"/>
    <x v="0"/>
    <x v="55"/>
    <s v="\\192.168.3.3\Share\Releases\Product\Netmind_4.6\Build&amp;Release\ReleaseForIT\TestBuild_4.6.1\Build4\ServerCD\DBS\Setup"/>
    <x v="2"/>
    <s v="\\192.168.3.3\Share\Releases\Product\Netmind_4.6\Build&amp;Release\ReleaseForTest\TestBuild_4.6.1\Build4\ServerCD\DBS\Setup"/>
    <m/>
    <x v="1"/>
    <m/>
    <m/>
    <m/>
    <m/>
    <x v="2"/>
  </r>
  <r>
    <x v="271"/>
    <x v="266"/>
    <n v="1"/>
    <x v="13"/>
    <n v="1"/>
    <s v="IT-LQA"/>
    <x v="21"/>
    <m/>
    <x v="2"/>
    <x v="0"/>
    <x v="0"/>
    <s v="DMDBS_TLSTR-ST_2.1.1.8.1.17b1"/>
    <x v="0"/>
    <x v="61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271"/>
    <x v="266"/>
    <n v="1"/>
    <x v="13"/>
    <n v="1"/>
    <s v="LQA-UAT"/>
    <x v="1"/>
    <m/>
    <x v="1"/>
    <x v="1"/>
    <x v="0"/>
    <s v="MPE_3.2.4.36b1 "/>
    <x v="0"/>
    <x v="14"/>
    <m/>
    <x v="0"/>
    <s v="\\192.168.3.3\Share\Releases\Product\MPE_GUI\ReleaseForLQA\TestBuild_1.0.0.2\Server CD\MPE\Setup"/>
    <s v="Pass"/>
    <x v="1"/>
    <m/>
    <m/>
    <m/>
    <s v="Pradeep Raghav"/>
    <x v="0"/>
  </r>
  <r>
    <x v="271"/>
    <x v="266"/>
    <n v="1"/>
    <x v="13"/>
    <n v="1"/>
    <s v="LQA"/>
    <x v="1"/>
    <m/>
    <x v="6"/>
    <x v="3"/>
    <x v="0"/>
    <s v="IM_1.0.1.1b1"/>
    <x v="0"/>
    <x v="35"/>
    <m/>
    <x v="0"/>
    <s v="\\192.168.3.3\Share\Releases\Product\IM_1.0\Build&amp;Release\Release_For_LQA\Test_Build_1.0.4\Server CD\IM\Setup"/>
    <m/>
    <x v="1"/>
    <m/>
    <m/>
    <m/>
    <m/>
    <x v="1"/>
  </r>
  <r>
    <x v="271"/>
    <x v="266"/>
    <n v="1"/>
    <x v="13"/>
    <n v="1"/>
    <s v="LQA"/>
    <x v="4"/>
    <m/>
    <x v="6"/>
    <x v="3"/>
    <x v="1"/>
    <s v="IM_TLSTR_1.0.1.1.71"/>
    <x v="0"/>
    <x v="35"/>
    <m/>
    <x v="2"/>
    <s v="\\192.168.3.3\share\Releases\Projects\Telstra\Release_For_LQA\Test_Build_1.0.0.18\Server CD\IM\Setup"/>
    <m/>
    <x v="1"/>
    <m/>
    <m/>
    <m/>
    <m/>
    <x v="2"/>
  </r>
  <r>
    <x v="272"/>
    <x v="267"/>
    <n v="1"/>
    <x v="13"/>
    <n v="1"/>
    <s v="IT-LQA"/>
    <x v="21"/>
    <m/>
    <x v="2"/>
    <x v="0"/>
    <x v="0"/>
    <s v="DMDBS_TLSTR-ST_2.1.1.8.1.16b1"/>
    <x v="0"/>
    <x v="3"/>
    <s v="\\192.168.3.3\Share\Releases\Projects\TLSTR-ST\Release_For_IT\TestBuild_1.0.1\Server CD\DBS\Setup"/>
    <x v="2"/>
    <s v="\\192.168.3.3\Share\Releases\Projects\TLSTR-ST\Release_For_Test\Test_Build_1.0.1\Server CD\DBS\Setu"/>
    <m/>
    <x v="1"/>
    <m/>
    <m/>
    <m/>
    <m/>
    <x v="2"/>
  </r>
  <r>
    <x v="272"/>
    <x v="267"/>
    <n v="1"/>
    <x v="13"/>
    <n v="1"/>
    <s v="IT-LQA"/>
    <x v="21"/>
    <m/>
    <x v="2"/>
    <x v="0"/>
    <x v="0"/>
    <s v="DMDBS_TLSTR-ST_2.1.1.8.1.18b1"/>
    <x v="0"/>
    <x v="3"/>
    <s v="\\192.168.3.3\Share\Releases\Projects\TLSTR-ST\Release_For_IT\TestBuild_1.0.1\Server CD\DBS\Setup"/>
    <x v="2"/>
    <s v="\\192.168.3.3\Share\Releases\Projects\TLSTR-ST\Release_For_Test\Test_Build_1.0.1\Server CD\DBS\Setu"/>
    <m/>
    <x v="1"/>
    <m/>
    <m/>
    <m/>
    <m/>
    <x v="2"/>
  </r>
  <r>
    <x v="272"/>
    <x v="267"/>
    <n v="1"/>
    <x v="13"/>
    <n v="1"/>
    <s v="LQA"/>
    <x v="20"/>
    <m/>
    <x v="1"/>
    <x v="1"/>
    <x v="0"/>
    <s v="MPE_FNB_3.2.4.36.1.4b1"/>
    <x v="0"/>
    <x v="20"/>
    <m/>
    <x v="2"/>
    <s v="\\192.168.3.3\Share\Releases\Projects\FNB\Release_For_Test\Test_Build_1.0.1\Server CD\MPE\Setup"/>
    <m/>
    <x v="1"/>
    <m/>
    <m/>
    <m/>
    <m/>
    <x v="2"/>
  </r>
  <r>
    <x v="272"/>
    <x v="267"/>
    <n v="1"/>
    <x v="13"/>
    <n v="1"/>
    <s v="IT-LQA-UAT"/>
    <x v="8"/>
    <m/>
    <x v="5"/>
    <x v="0"/>
    <x v="0"/>
    <s v="NMDBS_TWC_4.6.1.11.3.54b1"/>
    <x v="0"/>
    <x v="7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Ajay Kumar Pandey"/>
    <x v="0"/>
  </r>
  <r>
    <x v="272"/>
    <x v="267"/>
    <n v="1"/>
    <x v="13"/>
    <n v="1"/>
    <s v="LQA"/>
    <x v="20"/>
    <m/>
    <x v="17"/>
    <x v="2"/>
    <x v="0"/>
    <s v="CSGUI_FNB_2.6.2.1.1"/>
    <x v="0"/>
    <x v="40"/>
    <m/>
    <x v="0"/>
    <s v="\\192.168.3.3\Share\Releases\Projects\FNB\Release_For_Test\Test_Build_1.0.1\Server CD\GUI\Setup"/>
    <m/>
    <x v="1"/>
    <m/>
    <m/>
    <m/>
    <m/>
    <x v="1"/>
  </r>
  <r>
    <x v="272"/>
    <x v="267"/>
    <n v="1"/>
    <x v="13"/>
    <n v="1"/>
    <s v="LQA"/>
    <x v="20"/>
    <m/>
    <x v="8"/>
    <x v="2"/>
    <x v="0"/>
    <s v="WWFSGUI_FNB_2.2.1.4.1"/>
    <x v="0"/>
    <x v="40"/>
    <m/>
    <x v="0"/>
    <s v="\\192.168.3.3\Share\Releases\Projects\FNB\Release_For_Test\Test_Build_1.0.1\Server CD\GUI\Setup"/>
    <m/>
    <x v="1"/>
    <m/>
    <m/>
    <m/>
    <m/>
    <x v="1"/>
  </r>
  <r>
    <x v="273"/>
    <x v="268"/>
    <n v="1"/>
    <x v="13"/>
    <n v="1"/>
    <s v="LQA"/>
    <x v="6"/>
    <m/>
    <x v="8"/>
    <x v="2"/>
    <x v="1"/>
    <s v="WWFSGUI_ANTEL_2.1.35.0.2"/>
    <x v="0"/>
    <x v="21"/>
    <m/>
    <x v="0"/>
    <s v="\\192.168.3.3\Share\Releases\Projects\ANTEL\Release_For_Test\Test_Build_1.0.0.7\Server CD\GUI\Setup"/>
    <s v="Pass"/>
    <x v="1"/>
    <m/>
    <m/>
    <m/>
    <s v="Ajay Kumar Pandey"/>
    <x v="0"/>
  </r>
  <r>
    <x v="273"/>
    <x v="268"/>
    <n v="1"/>
    <x v="13"/>
    <n v="1"/>
    <s v="IT-LQA"/>
    <x v="20"/>
    <m/>
    <x v="2"/>
    <x v="0"/>
    <x v="0"/>
    <s v="DMDBS_FNB_2.1.1.11.1.3b1"/>
    <x v="0"/>
    <x v="53"/>
    <s v="\\192.168.3.3\Share\Releases\Projects\FNB\Release_For_IT\TestBuild_1.0.1\Server CD\DBS\Setup"/>
    <x v="0"/>
    <s v="\\192.168.3.3\Share\Releases\Projects\FNB\Release_For_Test\Test_Build_1.0.1\Server CD\DBS\Setup"/>
    <s v="Pass"/>
    <x v="1"/>
    <m/>
    <m/>
    <m/>
    <m/>
    <x v="0"/>
  </r>
  <r>
    <x v="273"/>
    <x v="268"/>
    <n v="1"/>
    <x v="13"/>
    <n v="1"/>
    <s v="IT-LQA"/>
    <x v="21"/>
    <m/>
    <x v="2"/>
    <x v="0"/>
    <x v="0"/>
    <s v="DMDBS_TLSTR-ST_2.1.1.8.1.15b2"/>
    <x v="0"/>
    <x v="61"/>
    <s v="\\192.168.3.3\Share\Releases\Projects\TLSTR-ST\Release_For_IT\TestBuild_1.0.1\Server CD\DBS\Setup"/>
    <x v="0"/>
    <s v="\\192.168.3.3\Share\Releases\Projects\TLSTR-ST\Release_For_Test\Test_Build_1.0.1\Server CD\DBS\Setup"/>
    <m/>
    <x v="0"/>
    <m/>
    <m/>
    <m/>
    <m/>
    <x v="1"/>
  </r>
  <r>
    <x v="274"/>
    <x v="269"/>
    <n v="1"/>
    <x v="13"/>
    <n v="1"/>
    <s v="IT-LQA"/>
    <x v="21"/>
    <m/>
    <x v="2"/>
    <x v="0"/>
    <x v="0"/>
    <s v="DMDBS_TLSTR-ST_2.1.1.8.1.19b1"/>
    <x v="0"/>
    <x v="61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275"/>
    <x v="270"/>
    <n v="1"/>
    <x v="13"/>
    <n v="1"/>
    <s v="IT-LQA-UAT"/>
    <x v="1"/>
    <m/>
    <x v="7"/>
    <x v="0"/>
    <x v="0"/>
    <s v="RTDBS_4.0.1.29b1"/>
    <x v="0"/>
    <x v="4"/>
    <s v="\\192.168.3.3\Share\Releases\Product\RT_4.0\ReleaseForIT\TestBuild_4.0.3\DBS\Setup"/>
    <x v="0"/>
    <s v="\\192.168.3.3\Share\Releases\Product\RT_4.0\ReleaseForLQA\TestBuild_4.0.24\DBS\Setup"/>
    <s v="Pass"/>
    <x v="1"/>
    <m/>
    <m/>
    <m/>
    <s v="Paritosh Ghildiyal"/>
    <x v="0"/>
  </r>
  <r>
    <x v="276"/>
    <x v="271"/>
    <n v="1"/>
    <x v="13"/>
    <n v="1"/>
    <s v="IT-LQA-UAT"/>
    <x v="0"/>
    <m/>
    <x v="2"/>
    <x v="0"/>
    <x v="0"/>
    <s v="DMDBS_SLT_2.0.0.25.1.213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Paritosh Ghildiyal"/>
    <x v="0"/>
  </r>
  <r>
    <x v="277"/>
    <x v="272"/>
    <n v="1"/>
    <x v="13"/>
    <n v="1"/>
    <s v="IT-LQA"/>
    <x v="21"/>
    <m/>
    <x v="2"/>
    <x v="0"/>
    <x v="0"/>
    <s v="DMDBS_TLSTR-ST_2.1.1.8.1.20b1"/>
    <x v="0"/>
    <x v="61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277"/>
    <x v="272"/>
    <n v="1"/>
    <x v="13"/>
    <n v="1"/>
    <s v="IT-LQA-UAT"/>
    <x v="8"/>
    <m/>
    <x v="5"/>
    <x v="0"/>
    <x v="0"/>
    <s v="NMDBS_TWC_4.6.1.11.3.55b1"/>
    <x v="0"/>
    <x v="19"/>
    <s v="\\192.168.3.3\Share\Releases\Projects\TWC\Release_For_Test\Test_Build_1.0.0.4\Server CD\DBS\Setup"/>
    <x v="0"/>
    <s v="\\192.168.3.3\Share\Releases\Projects\TWC\Release_For_IT\Test_Build_1.0.0.3\Server CD\DBS\Setup"/>
    <s v="Pass"/>
    <x v="1"/>
    <m/>
    <m/>
    <m/>
    <s v="Ajay Kumar Pandey"/>
    <x v="0"/>
  </r>
  <r>
    <x v="277"/>
    <x v="272"/>
    <n v="1"/>
    <x v="13"/>
    <n v="1"/>
    <s v="LQA-UAT"/>
    <x v="20"/>
    <m/>
    <x v="1"/>
    <x v="1"/>
    <x v="0"/>
    <s v="MPE_FNB_3.2.4.36.1.4b2"/>
    <x v="0"/>
    <x v="20"/>
    <m/>
    <x v="0"/>
    <s v="\\192.168.3.3\Share\Releases\Projects\FNB\Release_For_Test\Test_Build_1.0.1\Server CD\MPE\Setup"/>
    <s v="Pass"/>
    <x v="1"/>
    <m/>
    <m/>
    <m/>
    <s v="Manas Ranjan Barik"/>
    <x v="0"/>
  </r>
  <r>
    <x v="277"/>
    <x v="272"/>
    <n v="1"/>
    <x v="13"/>
    <n v="1"/>
    <s v="IT-LQA-FAT"/>
    <x v="0"/>
    <m/>
    <x v="7"/>
    <x v="0"/>
    <x v="0"/>
    <s v="RTDBS_SLT_3.0.0.20.1.8b1"/>
    <x v="0"/>
    <x v="0"/>
    <s v="\\192.168.3.3\Share\Releases\Projects\SLT\Release_For_IT\Test_Build_1.0.0.4\Server CD\DBS\Setup "/>
    <x v="0"/>
    <s v="\\192.168.3.3\Share\Releases\Projects\SLT\Release_For_LQA\Test_Build_1.0.0.24\Server CD\DBS\Setup "/>
    <s v="Pass"/>
    <x v="1"/>
    <m/>
    <m/>
    <m/>
    <s v="Paritosh Ghildiyal"/>
    <x v="0"/>
  </r>
  <r>
    <x v="277"/>
    <x v="272"/>
    <n v="1"/>
    <x v="13"/>
    <n v="1"/>
    <s v="LQA"/>
    <x v="1"/>
    <m/>
    <x v="7"/>
    <x v="2"/>
    <x v="1"/>
    <s v="RTGUI_4.0.35b1"/>
    <x v="0"/>
    <x v="35"/>
    <m/>
    <x v="2"/>
    <s v="\\192.168.3.3\Share\Releases\Product\RT_4.0\ReleaseForLQA\TestBuild_4.0.24\GUI\Build1\Setup "/>
    <m/>
    <x v="1"/>
    <m/>
    <m/>
    <m/>
    <m/>
    <x v="2"/>
  </r>
  <r>
    <x v="278"/>
    <x v="273"/>
    <n v="1"/>
    <x v="13"/>
    <n v="1"/>
    <s v="IT-LQA"/>
    <x v="20"/>
    <m/>
    <x v="1"/>
    <x v="0"/>
    <x v="0"/>
    <s v="MPEDBS_FNB_1.0.1.13.1.3b1"/>
    <x v="0"/>
    <x v="53"/>
    <s v="\\192.168.3.3\Share\Releases\Projects\FNB\Release_For_IT\TestBuild_1.0.1\Server CD\DBS\Setup"/>
    <x v="0"/>
    <s v="\\192.168.3.3\Share\Releases\Projects\FNB\Release_For_Test\Test_Build_1.0.1\Server CD\DBS\Setup"/>
    <m/>
    <x v="1"/>
    <m/>
    <m/>
    <m/>
    <m/>
    <x v="1"/>
  </r>
  <r>
    <x v="278"/>
    <x v="273"/>
    <n v="1"/>
    <x v="13"/>
    <n v="1"/>
    <s v="LQA"/>
    <x v="10"/>
    <m/>
    <x v="8"/>
    <x v="2"/>
    <x v="1"/>
    <s v="WWFSGUI_COM_2.1.35.0.3"/>
    <x v="0"/>
    <x v="21"/>
    <m/>
    <x v="0"/>
    <s v="\\192.168.3.3\Share\Releases\Projects\Comcast\Release_for_Test\Test_Build_4.6.7\Server CD\GUI\Setup"/>
    <s v="Pass"/>
    <x v="1"/>
    <m/>
    <m/>
    <m/>
    <s v="Rudra Narayan"/>
    <x v="0"/>
  </r>
  <r>
    <x v="278"/>
    <x v="273"/>
    <n v="1"/>
    <x v="13"/>
    <n v="1"/>
    <s v="LQA"/>
    <x v="1"/>
    <m/>
    <x v="7"/>
    <x v="2"/>
    <x v="1"/>
    <s v="RTGUI_4.0.35b2 "/>
    <x v="0"/>
    <x v="35"/>
    <m/>
    <x v="0"/>
    <s v="\\192.168.3.3\Share\Releases\Product\RT_4.0\ReleaseForLQA\TestBuild_4.0.24\GUI\Build1\Setup "/>
    <m/>
    <x v="1"/>
    <m/>
    <m/>
    <m/>
    <m/>
    <x v="1"/>
  </r>
  <r>
    <x v="278"/>
    <x v="273"/>
    <n v="1"/>
    <x v="13"/>
    <n v="1"/>
    <s v="LQA"/>
    <x v="5"/>
    <m/>
    <x v="7"/>
    <x v="2"/>
    <x v="1"/>
    <s v="RTGUI_BHN_4.0.27.0.2"/>
    <x v="0"/>
    <x v="35"/>
    <m/>
    <x v="2"/>
    <s v="\\192.168.3.3\Share\Releases\Projects\BHN\Release_For_Test\Test_Build_1.0.5\Server CD\GUI\Setup"/>
    <m/>
    <x v="1"/>
    <m/>
    <m/>
    <m/>
    <m/>
    <x v="2"/>
  </r>
  <r>
    <x v="279"/>
    <x v="274"/>
    <n v="2"/>
    <x v="14"/>
    <n v="2"/>
    <s v="LQA"/>
    <x v="0"/>
    <m/>
    <x v="7"/>
    <x v="2"/>
    <x v="1"/>
    <s v="RTGUI_SLT_4.0.35.0.1"/>
    <x v="0"/>
    <x v="60"/>
    <m/>
    <x v="0"/>
    <s v="\\192.168.3.3\Share\Releases\Projects\SLT\Release_For_LQA\Test_Build_1.0.0.24\Server CD\GUI\Setup"/>
    <m/>
    <x v="1"/>
    <m/>
    <m/>
    <m/>
    <m/>
    <x v="1"/>
  </r>
  <r>
    <x v="279"/>
    <x v="274"/>
    <n v="2"/>
    <x v="14"/>
    <n v="2"/>
    <s v="LQA-UAT"/>
    <x v="4"/>
    <m/>
    <x v="1"/>
    <x v="1"/>
    <x v="0"/>
    <s v="MPE_TLSTR-2b_3.0.0.3.1.109b1"/>
    <x v="0"/>
    <x v="11"/>
    <m/>
    <x v="0"/>
    <s v="\\192.168.3.3\Share\Releases\Projects\Telstra-2b\Release_For_Test\Test_Build_1.0.0.1\Server CD\MPE\Setup"/>
    <s v="Pass"/>
    <x v="1"/>
    <m/>
    <m/>
    <m/>
    <s v="Ashwani Kumar Sharma"/>
    <x v="0"/>
  </r>
  <r>
    <x v="279"/>
    <x v="274"/>
    <n v="2"/>
    <x v="14"/>
    <n v="2"/>
    <s v="IT-LQA-UAT"/>
    <x v="6"/>
    <m/>
    <x v="5"/>
    <x v="0"/>
    <x v="0"/>
    <s v="NMDBS_ANTEL_4.6.1.32.2.51b2"/>
    <x v="0"/>
    <x v="4"/>
    <s v="\\192.168.3.3\Share\Releases\Projects\ANTEL\Release_For_IT\TestBuild_1.0.0.4\Server CD\DBS\Setup"/>
    <x v="0"/>
    <s v="\\192.168.3.3\Share\Releases\Projects\ANTEL\Release_For_Test\Test_Build_1.0.0.7\Server CD\DBS\Setup"/>
    <s v="Pass"/>
    <x v="1"/>
    <m/>
    <m/>
    <m/>
    <s v="Pradeep Raghav"/>
    <x v="0"/>
  </r>
  <r>
    <x v="279"/>
    <x v="274"/>
    <n v="2"/>
    <x v="14"/>
    <n v="2"/>
    <s v="IT-LQA-UAT"/>
    <x v="0"/>
    <m/>
    <x v="2"/>
    <x v="0"/>
    <x v="0"/>
    <s v="DMDBS_SLT_2.0.0.25.1.214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Paritosh Ghildiyal"/>
    <x v="0"/>
  </r>
  <r>
    <x v="279"/>
    <x v="274"/>
    <n v="2"/>
    <x v="14"/>
    <n v="2"/>
    <s v="LQA-UAT"/>
    <x v="5"/>
    <m/>
    <x v="7"/>
    <x v="2"/>
    <x v="1"/>
    <s v="RTGUI_BHN_4.0.27.0.3"/>
    <x v="0"/>
    <x v="35"/>
    <m/>
    <x v="0"/>
    <s v="\\192.168.3.3\Share\Releases\Projects\BHN\Release_For_Test\Test_Build_1.0.5\Server CD\GUI\Setup"/>
    <s v="Pass"/>
    <x v="1"/>
    <m/>
    <m/>
    <m/>
    <s v="Swapnil Garg"/>
    <x v="0"/>
  </r>
  <r>
    <x v="279"/>
    <x v="274"/>
    <n v="2"/>
    <x v="14"/>
    <n v="2"/>
    <s v="LQA-UAT"/>
    <x v="15"/>
    <m/>
    <x v="1"/>
    <x v="1"/>
    <x v="0"/>
    <s v="MPE_CBD_3.2.1.3.2.13b1"/>
    <x v="0"/>
    <x v="20"/>
    <m/>
    <x v="0"/>
    <s v="\\192.168.3.3\share\Releases\Projects\CBD\Release_For_Test\Test_Build_1.0.0.4\Server CD\MPE\RHEL_6.3\Setup"/>
    <s v="Pass"/>
    <x v="1"/>
    <m/>
    <m/>
    <m/>
    <s v="Jitender Aggarwal"/>
    <x v="0"/>
  </r>
  <r>
    <x v="280"/>
    <x v="275"/>
    <n v="2"/>
    <x v="14"/>
    <n v="2"/>
    <s v="IT-LQA"/>
    <x v="21"/>
    <m/>
    <x v="2"/>
    <x v="0"/>
    <x v="0"/>
    <s v="DMDBS_TLSTR-ST_2.1.1.8.1.21b1"/>
    <x v="0"/>
    <x v="61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280"/>
    <x v="275"/>
    <n v="2"/>
    <x v="14"/>
    <n v="2"/>
    <s v="IT-LQA"/>
    <x v="21"/>
    <m/>
    <x v="2"/>
    <x v="0"/>
    <x v="0"/>
    <s v="DMDBS_TLSTR-ST_2.1.1.8.1.16b2"/>
    <x v="0"/>
    <x v="3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280"/>
    <x v="275"/>
    <n v="2"/>
    <x v="14"/>
    <n v="2"/>
    <s v="IT-LQA"/>
    <x v="21"/>
    <m/>
    <x v="2"/>
    <x v="0"/>
    <x v="0"/>
    <s v="DMDBS_TLSTR-ST_2.1.1.8.1.22b1"/>
    <x v="0"/>
    <x v="61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280"/>
    <x v="275"/>
    <n v="2"/>
    <x v="14"/>
    <n v="2"/>
    <s v="LQA"/>
    <x v="1"/>
    <m/>
    <x v="19"/>
    <x v="2"/>
    <x v="1"/>
    <s v="LAGUI_1.0.1b6"/>
    <x v="0"/>
    <x v="62"/>
    <m/>
    <x v="0"/>
    <s v="\\192.168.3.3\Share\Releases\Product\LA_1.1\Build&amp;Release\Release_For_LQA\Test_Build_1.0.1\Server CD\GUI\Setup"/>
    <m/>
    <x v="1"/>
    <m/>
    <m/>
    <m/>
    <m/>
    <x v="1"/>
  </r>
  <r>
    <x v="280"/>
    <x v="275"/>
    <n v="2"/>
    <x v="14"/>
    <n v="2"/>
    <s v="LQA"/>
    <x v="1"/>
    <m/>
    <x v="19"/>
    <x v="0"/>
    <x v="1"/>
    <s v="LADBS_1.0.1b1"/>
    <x v="0"/>
    <x v="54"/>
    <m/>
    <x v="2"/>
    <s v="\\192.168.3.3\Share\Releases\Product\LA_1.1\Build&amp;Release\Release_For_LQA\Test_Build_1.0.1\Server CD\DBS\Setup"/>
    <m/>
    <x v="1"/>
    <m/>
    <m/>
    <m/>
    <m/>
    <x v="2"/>
  </r>
  <r>
    <x v="280"/>
    <x v="275"/>
    <n v="2"/>
    <x v="14"/>
    <n v="2"/>
    <s v="LQA"/>
    <x v="21"/>
    <m/>
    <x v="1"/>
    <x v="1"/>
    <x v="0"/>
    <s v="MPE_TLSTR-ST_3.2.6.1.1.14b1"/>
    <x v="0"/>
    <x v="11"/>
    <m/>
    <x v="0"/>
    <s v="\\192.168.3.3\Share\Releases\Projects\TLSTR-ST\Release_For_Test\Test_Build_1.0.1\Server CD\MPE\Setup"/>
    <m/>
    <x v="1"/>
    <m/>
    <m/>
    <m/>
    <m/>
    <x v="1"/>
  </r>
  <r>
    <x v="281"/>
    <x v="276"/>
    <n v="2"/>
    <x v="14"/>
    <n v="2"/>
    <s v="IT-LQA-UAT"/>
    <x v="1"/>
    <m/>
    <x v="7"/>
    <x v="0"/>
    <x v="0"/>
    <s v="RTDBS_4.0.1.30b1"/>
    <x v="0"/>
    <x v="4"/>
    <s v="\\192.168.3.3\Share\Releases\Product\RT_4.0\ReleaseForIT\TestBuild_4.0.3\DBS\Setup"/>
    <x v="0"/>
    <s v="\\192.168.3.3\Share\Releases\Product\RT_4.0\ReleaseForLQA\TestBuild_4.0.24\DBS\Setup"/>
    <s v="Pass"/>
    <x v="1"/>
    <m/>
    <m/>
    <m/>
    <s v="Paritosh Ghildiyal"/>
    <x v="0"/>
  </r>
  <r>
    <x v="282"/>
    <x v="277"/>
    <n v="2"/>
    <x v="14"/>
    <n v="2"/>
    <s v="LQA-FAT"/>
    <x v="0"/>
    <m/>
    <x v="7"/>
    <x v="2"/>
    <x v="1"/>
    <s v="RTGUI_SLT_4.0.35.0.2"/>
    <x v="0"/>
    <x v="60"/>
    <m/>
    <x v="0"/>
    <s v="\\192.168.3.3\Share\Releases\Projects\SLT\Release_For_LQA\Test_Build_1.0.0.24\Server CD\GUI\Setup"/>
    <s v="Pass"/>
    <x v="1"/>
    <m/>
    <m/>
    <m/>
    <s v="Paritosh Ghildiyal"/>
    <x v="0"/>
  </r>
  <r>
    <x v="282"/>
    <x v="277"/>
    <n v="2"/>
    <x v="14"/>
    <n v="2"/>
    <s v="IT-LQA"/>
    <x v="21"/>
    <m/>
    <x v="2"/>
    <x v="0"/>
    <x v="0"/>
    <s v=" DMDBS_TLSTR-ST_2.1.1.8.1.8b2"/>
    <x v="0"/>
    <x v="61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282"/>
    <x v="277"/>
    <n v="2"/>
    <x v="14"/>
    <n v="2"/>
    <s v="IT-LQA-UAT"/>
    <x v="6"/>
    <m/>
    <x v="5"/>
    <x v="0"/>
    <x v="0"/>
    <s v="NMDBS_ANTEL_4.6.1.34.2.55b1"/>
    <x v="0"/>
    <x v="4"/>
    <s v="\\192.168.3.3\Share\Releases\Projects\ANTEL\Release_For_IT\TestBuild_1.0.0.4\Server CD\DBS\Setup"/>
    <x v="0"/>
    <s v="\\192.168.3.3\Share\Releases\Projects\ANTEL\Release_For_Test\Test_Build_1.0.0.7\Server CD\DBS\Setup"/>
    <s v="Pass"/>
    <x v="0"/>
    <m/>
    <m/>
    <m/>
    <s v="Pradeep Raghav"/>
    <x v="0"/>
  </r>
  <r>
    <x v="282"/>
    <x v="277"/>
    <n v="2"/>
    <x v="14"/>
    <n v="2"/>
    <s v="LQA-UAT"/>
    <x v="3"/>
    <m/>
    <x v="1"/>
    <x v="1"/>
    <x v="0"/>
    <s v="MPE_OBT_3.2.1.8.1.26b1"/>
    <x v="0"/>
    <x v="20"/>
    <m/>
    <x v="0"/>
    <s v="\\192.168.3.3\share\Releases\Projects\OBT\Release_For_LQA\TestBuild_1.0.0.7\Server CD\MPE\Setup"/>
    <s v="Pass"/>
    <x v="0"/>
    <m/>
    <m/>
    <m/>
    <s v="Ajay Kumar Pandey"/>
    <x v="0"/>
  </r>
  <r>
    <x v="283"/>
    <x v="278"/>
    <n v="2"/>
    <x v="14"/>
    <n v="2"/>
    <s v="IT-LQA"/>
    <x v="6"/>
    <m/>
    <x v="5"/>
    <x v="0"/>
    <x v="0"/>
    <s v="NMDBS_ANTEL_4.6.1.34.2.54b1"/>
    <x v="0"/>
    <x v="4"/>
    <s v="\\192.168.3.3\Share\Releases\Projects\ANTEL\Release_For_IT\TestBuild_1.0.0.4\Server CD\DBS\Setup"/>
    <x v="2"/>
    <s v="\\192.168.3.3\Share\Releases\Projects\ANTEL\Release_For_Test\Test_Build_1.0.0.7\Server CD\DBS\Setup"/>
    <m/>
    <x v="1"/>
    <m/>
    <m/>
    <m/>
    <m/>
    <x v="2"/>
  </r>
  <r>
    <x v="283"/>
    <x v="278"/>
    <n v="2"/>
    <x v="14"/>
    <n v="2"/>
    <s v="IT-LQA-UAT"/>
    <x v="1"/>
    <m/>
    <x v="5"/>
    <x v="0"/>
    <x v="0"/>
    <s v="NMDBS_4.6.1.34b2"/>
    <x v="0"/>
    <x v="55"/>
    <s v="\\192.168.3.3\Share\Releases\Product\Netmind_4.6\Build&amp;Release\ReleaseForIT\TestBuild_4.6.1\Build4\ServerCD\DBS\Setup"/>
    <x v="0"/>
    <s v="\\192.168.3.3\Share\Releases\Product\Netmind_4.6\Build&amp;Release\ReleaseForTest\TestBuild_4.6.1\Build4\ServerCD\DBS\Setup"/>
    <s v="Pass"/>
    <x v="1"/>
    <m/>
    <m/>
    <m/>
    <s v="Pradeep Raghav"/>
    <x v="0"/>
  </r>
  <r>
    <x v="284"/>
    <x v="279"/>
    <n v="2"/>
    <x v="14"/>
    <n v="2"/>
    <s v="IT-LQA"/>
    <x v="0"/>
    <m/>
    <x v="2"/>
    <x v="0"/>
    <x v="0"/>
    <s v="DMDBS_SLT_2.0.0.25.1.215b1"/>
    <x v="0"/>
    <x v="0"/>
    <s v="\\192.168.3.3\Share\Releases\Projects\SLT\Release_For_IT\Test_Build_1.0.0.4\Server CD\DBS\Setup"/>
    <x v="0"/>
    <s v="\\192.168.3.3\Share\Releases\Projects\SLT\Release_For_LQA\Test_Build_1.0.0.24\Server CD\DBS\Setup"/>
    <m/>
    <x v="1"/>
    <m/>
    <m/>
    <m/>
    <m/>
    <x v="1"/>
  </r>
  <r>
    <x v="284"/>
    <x v="279"/>
    <n v="2"/>
    <x v="14"/>
    <n v="2"/>
    <s v="IT-LQA"/>
    <x v="0"/>
    <m/>
    <x v="4"/>
    <x v="0"/>
    <x v="0"/>
    <s v="RADBS_SLT_2.1.1.15.1.98b1"/>
    <x v="0"/>
    <x v="0"/>
    <s v="\\192.168.3.3\Share\Releases\Projects\SLT\Release_For_IT\Test_Build_1.0.0.4\Server CD\DBS\Setup"/>
    <x v="0"/>
    <s v="\\192.168.3.3\Share\Releases\Projects\SLT\Release_For_LQA\Test_Build_1.0.0.24\Server CD\DBS\Setup"/>
    <m/>
    <x v="1"/>
    <m/>
    <m/>
    <m/>
    <m/>
    <x v="1"/>
  </r>
  <r>
    <x v="284"/>
    <x v="280"/>
    <n v="2"/>
    <x v="14"/>
    <n v="2"/>
    <s v="IT-LQA"/>
    <x v="21"/>
    <m/>
    <x v="2"/>
    <x v="0"/>
    <x v="0"/>
    <s v="DMDBS_TLSTR-ST_2.1.1.8.1.23b1"/>
    <x v="0"/>
    <x v="3"/>
    <s v="\\192.168.3.3\Share\Releases\Projects\TLSTR-ST\Release_For_Test\Test_Build_1.0.1\Server CD\DBS\Setup"/>
    <x v="0"/>
    <s v="\\192.168.3.3\Share\Releases\Projects\TLSTR-ST\Release_For_Test\Test_Build_1.0.1\Server CD\DBS\Setup"/>
    <m/>
    <x v="0"/>
    <m/>
    <m/>
    <m/>
    <m/>
    <x v="1"/>
  </r>
  <r>
    <x v="284"/>
    <x v="279"/>
    <n v="2"/>
    <x v="14"/>
    <n v="2"/>
    <s v="LQA"/>
    <x v="0"/>
    <m/>
    <x v="1"/>
    <x v="1"/>
    <x v="0"/>
    <s v="MPE_SLT-1B_3.0.1.1.1.106b1"/>
    <x v="0"/>
    <x v="10"/>
    <m/>
    <x v="0"/>
    <s v="\\192.168.3.3\Share\Releases\Projects\SLT-1B\Release_For_Test\Test_Build_1.0.0.1\Server CD\MPE\Setup"/>
    <m/>
    <x v="1"/>
    <m/>
    <m/>
    <m/>
    <m/>
    <x v="1"/>
  </r>
  <r>
    <x v="285"/>
    <x v="281"/>
    <n v="2"/>
    <x v="14"/>
    <n v="2"/>
    <s v="LQA"/>
    <x v="23"/>
    <m/>
    <x v="5"/>
    <x v="0"/>
    <x v="1"/>
    <s v="NMDBS_MCC_4.7.1.3"/>
    <x v="0"/>
    <x v="39"/>
    <m/>
    <x v="0"/>
    <s v="\\192.168.3.3\Share\Releases\Projects\MCC\Release_For_Test\Test_Build_1.0.1\Server CD\DBS\Setup"/>
    <m/>
    <x v="1"/>
    <m/>
    <m/>
    <m/>
    <m/>
    <x v="1"/>
  </r>
  <r>
    <x v="285"/>
    <x v="281"/>
    <n v="2"/>
    <x v="14"/>
    <n v="2"/>
    <s v="LQA"/>
    <x v="23"/>
    <m/>
    <x v="12"/>
    <x v="2"/>
    <x v="1"/>
    <s v="WWCSGUI_MCC_2.1.21.0.2"/>
    <x v="0"/>
    <x v="21"/>
    <m/>
    <x v="0"/>
    <s v="\\192.168.3.3\Share\Releases\Projects\MCC\Release_For_Test\Test_Build_1.0.1\Server CD\GUI\Setup"/>
    <m/>
    <x v="1"/>
    <m/>
    <m/>
    <m/>
    <m/>
    <x v="1"/>
  </r>
  <r>
    <x v="285"/>
    <x v="282"/>
    <n v="2"/>
    <x v="14"/>
    <n v="2"/>
    <s v="IT-LQA"/>
    <x v="5"/>
    <m/>
    <x v="5"/>
    <x v="6"/>
    <x v="0"/>
    <s v="NMUTLMIG4_BHN_1.0.0.0.1"/>
    <x v="0"/>
    <x v="7"/>
    <s v="\\192.168.3.3\Share\Releases\Projects\BHN\Release_For_IT\TestBuild_1.0.0.1\Server CD\Utility\Setup"/>
    <x v="2"/>
    <m/>
    <m/>
    <x v="1"/>
    <m/>
    <m/>
    <m/>
    <m/>
    <x v="2"/>
  </r>
  <r>
    <x v="285"/>
    <x v="282"/>
    <n v="2"/>
    <x v="14"/>
    <n v="2"/>
    <s v="IT-LQA"/>
    <x v="5"/>
    <m/>
    <x v="5"/>
    <x v="6"/>
    <x v="0"/>
    <s v="NMUTLMIG5_BHN_1.0.0.0.1"/>
    <x v="0"/>
    <x v="7"/>
    <s v="\\192.168.3.3\Share\Releases\Projects\BHN\Release_For_IT\TestBuild_1.0.0.1\Server CD\Utility\Setup"/>
    <x v="2"/>
    <m/>
    <m/>
    <x v="1"/>
    <m/>
    <m/>
    <m/>
    <m/>
    <x v="2"/>
  </r>
  <r>
    <x v="285"/>
    <x v="281"/>
    <n v="2"/>
    <x v="14"/>
    <n v="2"/>
    <s v="IT-LQA"/>
    <x v="0"/>
    <m/>
    <x v="4"/>
    <x v="0"/>
    <x v="0"/>
    <s v="RADBS_SLT_2.1.1.15.1.99b1"/>
    <x v="0"/>
    <x v="0"/>
    <s v="\\192.168.3.3\Share\Releases\Projects\SLT\Release_For_IT\Test_Build_1.0.0.4\Server CD\DBS\Setup"/>
    <x v="0"/>
    <s v="\\192.168.3.3\Share\Releases\Projects\SLT\Release_For_LQA\Test_Build_1.0.0.24\Server CD\DBS\Setup"/>
    <m/>
    <x v="1"/>
    <m/>
    <m/>
    <m/>
    <m/>
    <x v="1"/>
  </r>
  <r>
    <x v="286"/>
    <x v="283"/>
    <n v="2"/>
    <x v="14"/>
    <n v="2"/>
    <s v="IT-LQA"/>
    <x v="21"/>
    <m/>
    <x v="2"/>
    <x v="0"/>
    <x v="0"/>
    <s v="DMDBS_TLSTR-ST_2.1.1.8.1.24b1"/>
    <x v="0"/>
    <x v="61"/>
    <s v="\\192.168.3.3\Share\Releases\Projects\TLSTR-ST\Release_For_Test\Test_Build_1.0.1\Server CD\DBS\Setup"/>
    <x v="0"/>
    <s v="\\192.168.3.3\Share\Releases\Projects\TLSTR-ST\Release_For_Test\Test_Build_1.0.1\Server CD\DBS\Setup"/>
    <m/>
    <x v="1"/>
    <m/>
    <m/>
    <m/>
    <m/>
    <x v="1"/>
  </r>
  <r>
    <x v="286"/>
    <x v="283"/>
    <n v="2"/>
    <x v="14"/>
    <n v="2"/>
    <s v="LQA"/>
    <x v="0"/>
    <m/>
    <x v="1"/>
    <x v="1"/>
    <x v="0"/>
    <s v="MPE_SLT-1B_3.0.1.1.1.107b1"/>
    <x v="0"/>
    <x v="6"/>
    <m/>
    <x v="0"/>
    <s v="\\192.168.3.3\Share\Releases\Projects\SLT-1B\Release_For_Test\Test_Build_1.0.0.1\Server CD\MPE\Setup"/>
    <m/>
    <x v="1"/>
    <m/>
    <m/>
    <m/>
    <m/>
    <x v="1"/>
  </r>
  <r>
    <x v="287"/>
    <x v="280"/>
    <n v="2"/>
    <x v="14"/>
    <n v="2"/>
    <s v="IT-LQA"/>
    <x v="6"/>
    <m/>
    <x v="5"/>
    <x v="0"/>
    <x v="0"/>
    <s v="NMDBS_ANTEL_4.6.1.34.2.54b2"/>
    <x v="0"/>
    <x v="4"/>
    <s v="\\192.168.3.3\Share\Releases\Projects\ANTEL\Release_For_IT\TestBuild_1.0.0.4\Server CD\DBS\Setup"/>
    <x v="2"/>
    <s v="\\192.168.3.3\Share\Releases\Projects\ANTEL\Release_For_Test\Test_Build_1.0.0.7\Server CD\DBS\Setup"/>
    <m/>
    <x v="0"/>
    <m/>
    <m/>
    <m/>
    <m/>
    <x v="2"/>
  </r>
  <r>
    <x v="287"/>
    <x v="280"/>
    <n v="2"/>
    <x v="14"/>
    <n v="2"/>
    <s v="IT-LQA"/>
    <x v="0"/>
    <m/>
    <x v="4"/>
    <x v="0"/>
    <x v="0"/>
    <s v="RADBS_SLT_2.1.1.15.1.100b1"/>
    <x v="0"/>
    <x v="0"/>
    <s v="\\192.168.3.3\Share\Releases\Projects\SLT\Release_For_IT\Test_Build_1.0.0.4\Server CD\DBS\Setup"/>
    <x v="0"/>
    <s v="\\192.168.3.3\Share\Releases\Projects\SLT\Release_For_LQA\Test_Build_1.0.0.24\Server CD\DBS\Setup"/>
    <m/>
    <x v="1"/>
    <m/>
    <m/>
    <m/>
    <m/>
    <x v="1"/>
  </r>
  <r>
    <x v="287"/>
    <x v="280"/>
    <n v="2"/>
    <x v="14"/>
    <n v="2"/>
    <s v="IT-LQA"/>
    <x v="0"/>
    <m/>
    <x v="4"/>
    <x v="0"/>
    <x v="0"/>
    <s v="RADBS_SLT_2.1.1.15.1.101b1"/>
    <x v="0"/>
    <x v="0"/>
    <s v="\\192.168.3.3\Share\Releases\Projects\SLT\Release_For_IT\Test_Build_1.0.0.4\Server CD\DBS\Setup"/>
    <x v="0"/>
    <s v="\\192.168.3.3\Share\Releases\Projects\SLT\Release_For_LQA\Test_Build_1.0.0.24\Server CD\DBS\Setup"/>
    <m/>
    <x v="1"/>
    <m/>
    <m/>
    <m/>
    <m/>
    <x v="1"/>
  </r>
  <r>
    <x v="287"/>
    <x v="280"/>
    <n v="2"/>
    <x v="14"/>
    <n v="2"/>
    <s v="IT-LQA"/>
    <x v="0"/>
    <m/>
    <x v="2"/>
    <x v="0"/>
    <x v="0"/>
    <s v="DMDBS_SLT_2.0.0.25.1.216b1"/>
    <x v="0"/>
    <x v="0"/>
    <s v="\\192.168.3.3\Share\Releases\Projects\SLT\Release_For_IT\Test_Build_1.0.0.4\Server CD\DBS\Setup"/>
    <x v="0"/>
    <s v="\\192.168.3.3\Share\Releases\Projects\SLT\Release_For_LQA\Test_Build_1.0.0.24\Server CD\DBS\Setup"/>
    <m/>
    <x v="1"/>
    <m/>
    <m/>
    <m/>
    <m/>
    <x v="1"/>
  </r>
  <r>
    <x v="287"/>
    <x v="280"/>
    <n v="2"/>
    <x v="14"/>
    <n v="2"/>
    <s v="LQA"/>
    <x v="0"/>
    <m/>
    <x v="1"/>
    <x v="1"/>
    <x v="0"/>
    <s v="MPE_SLT-1B_3.0.1.1.1.108b1"/>
    <x v="0"/>
    <x v="6"/>
    <m/>
    <x v="0"/>
    <s v="\\192.168.3.3\Share\Releases\Projects\SLT-1B\Release_For_Test\Test_Build_1.0.0.1\Server CD\MPE\Setup"/>
    <m/>
    <x v="1"/>
    <m/>
    <m/>
    <m/>
    <m/>
    <x v="1"/>
  </r>
  <r>
    <x v="287"/>
    <x v="280"/>
    <n v="2"/>
    <x v="14"/>
    <n v="2"/>
    <s v="IT-LQA-UAT"/>
    <x v="10"/>
    <m/>
    <x v="5"/>
    <x v="0"/>
    <x v="0"/>
    <s v="NMDBS_COM_4.6.1.32.1.90b1"/>
    <x v="0"/>
    <x v="7"/>
    <s v="\\192.168.3.3\Share\Releases\Projects\Comcast\Release_For_IT\Test_Build_4.6.1\Server CD\Database\Setup"/>
    <x v="0"/>
    <s v="\\192.168.3.3\Share\Releases\Projects\Comcast\Release_for_Test\Test_Build_4.6.7\Server CD\Database\Setup"/>
    <s v="Pass"/>
    <x v="1"/>
    <m/>
    <m/>
    <m/>
    <s v="Rudra Narayan"/>
    <x v="0"/>
  </r>
  <r>
    <x v="288"/>
    <x v="284"/>
    <n v="2"/>
    <x v="14"/>
    <n v="2"/>
    <s v="LQA-UAT"/>
    <x v="3"/>
    <m/>
    <x v="1"/>
    <x v="1"/>
    <x v="0"/>
    <s v="MPE_OBT_3.2.1.8.1.27b1"/>
    <x v="0"/>
    <x v="20"/>
    <m/>
    <x v="0"/>
    <s v="\\192.168.3.3\share\Releases\Projects\OBT\Release_For_LQA\TestBuild_1.0.0.7\Server CD\MPE\Setup"/>
    <s v="Pass"/>
    <x v="1"/>
    <m/>
    <m/>
    <m/>
    <s v="Ajay Kumar Pandey"/>
    <x v="0"/>
  </r>
  <r>
    <x v="288"/>
    <x v="284"/>
    <n v="2"/>
    <x v="14"/>
    <n v="2"/>
    <s v="LQA"/>
    <x v="0"/>
    <m/>
    <x v="1"/>
    <x v="1"/>
    <x v="0"/>
    <s v="MPE_SLT-1B_3.0.1.1.1.109b1"/>
    <x v="0"/>
    <x v="10"/>
    <m/>
    <x v="0"/>
    <s v="\\192.168.3.3\Share\Releases\Projects\SLT-1B\Release_For_Test\Test_Build_1.0.0.1\Server CD\MPE\Setup"/>
    <m/>
    <x v="1"/>
    <m/>
    <m/>
    <m/>
    <m/>
    <x v="1"/>
  </r>
  <r>
    <x v="288"/>
    <x v="284"/>
    <n v="2"/>
    <x v="14"/>
    <n v="2"/>
    <s v="LQA"/>
    <x v="0"/>
    <m/>
    <x v="11"/>
    <x v="6"/>
    <x v="0"/>
    <s v="UTLFDUP_SLT-1B_1.0.0.0.5.3b1"/>
    <x v="0"/>
    <x v="6"/>
    <m/>
    <x v="2"/>
    <s v="\\192.168.3.3\Share\Releases\Projects\SLT-1B\Release_For_Test\Test_Build_1.0.0.1\Utility\MPE\Setup"/>
    <m/>
    <x v="1"/>
    <m/>
    <m/>
    <m/>
    <m/>
    <x v="2"/>
  </r>
  <r>
    <x v="289"/>
    <x v="285"/>
    <n v="2"/>
    <x v="14"/>
    <n v="2"/>
    <s v="IT-LQA-UAT"/>
    <x v="10"/>
    <m/>
    <x v="5"/>
    <x v="0"/>
    <x v="0"/>
    <s v="NMDBS_COM_4.6.1.32.1.89b1"/>
    <x v="0"/>
    <x v="39"/>
    <s v="\\192.168.3.3\Share\Releases\Projects\Comcast\Release_For_IT\Test_Build_4.6.1\Server CD\Database\Setup"/>
    <x v="0"/>
    <s v="\\192.168.3.3\Share\Releases\Projects\Comcast\Release_for_Test\Test_Build_4.6.7\Server CD\Database\Setup"/>
    <s v="Pass"/>
    <x v="1"/>
    <m/>
    <m/>
    <m/>
    <s v="Rudra Narayan"/>
    <x v="0"/>
  </r>
  <r>
    <x v="289"/>
    <x v="285"/>
    <n v="2"/>
    <x v="14"/>
    <n v="2"/>
    <s v="IT-LQA"/>
    <x v="3"/>
    <m/>
    <x v="5"/>
    <x v="0"/>
    <x v="0"/>
    <s v="NMDBS_OBT_4.6.1.27.1.45b1"/>
    <x v="0"/>
    <x v="53"/>
    <s v="\\192.168.3.3\Share\Releases\Projects\OBT\Release_For_IT\TestBuild_1.0.0.2\Server CD\DBS\Setup"/>
    <x v="2"/>
    <s v="\\192.168.3.3\Share\Releases\Projects\OBT\Release_For_LQA\TestBuild_1.0.0.7\Server CD\DBS\Setup"/>
    <m/>
    <x v="1"/>
    <m/>
    <m/>
    <m/>
    <m/>
    <x v="2"/>
  </r>
  <r>
    <x v="289"/>
    <x v="285"/>
    <n v="2"/>
    <x v="14"/>
    <n v="2"/>
    <s v="LQA"/>
    <x v="0"/>
    <m/>
    <x v="11"/>
    <x v="6"/>
    <x v="0"/>
    <s v="UTLSEQM_SLT-1B_1.0.0.0.5.10b1"/>
    <x v="0"/>
    <x v="10"/>
    <m/>
    <x v="0"/>
    <s v="\\192.168.3.3\Share\Releases\Projects\SLT-1B\Release_For_Test\Test_Build_1.0.0.1\Utility\MPE\Setup"/>
    <m/>
    <x v="1"/>
    <m/>
    <m/>
    <m/>
    <m/>
    <x v="1"/>
  </r>
  <r>
    <x v="289"/>
    <x v="285"/>
    <n v="2"/>
    <x v="14"/>
    <n v="2"/>
    <s v="IT-LQA"/>
    <x v="21"/>
    <m/>
    <x v="2"/>
    <x v="0"/>
    <x v="0"/>
    <s v="DMDBS_TLSTR-ST_2.1.1.8.1.25b1"/>
    <x v="0"/>
    <x v="61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290"/>
    <x v="286"/>
    <n v="2"/>
    <x v="14"/>
    <n v="2"/>
    <s v="IT-LQA"/>
    <x v="21"/>
    <m/>
    <x v="2"/>
    <x v="0"/>
    <x v="0"/>
    <s v="DMDBS_TLSTR-ST_2.1.1.8.1.18b2"/>
    <x v="0"/>
    <x v="3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291"/>
    <x v="286"/>
    <n v="2"/>
    <x v="14"/>
    <n v="2"/>
    <s v="IT-LQA"/>
    <x v="6"/>
    <m/>
    <x v="5"/>
    <x v="0"/>
    <x v="0"/>
    <s v="NMDBS_ANTEL_4.6.1.34.2.56b1"/>
    <x v="0"/>
    <x v="4"/>
    <s v="\\192.168.3.3\Share\Releases\Projects\ANTEL\Release_For_IT\TestBuild_1.0.0.4\Server CD\DBS\Setup"/>
    <x v="2"/>
    <s v="\\192.168.3.3\Share\Releases\Projects\ANTEL\Release_For_Test\Test_Build_1.0.0.7\Server CD\DBS\Setup"/>
    <m/>
    <x v="1"/>
    <m/>
    <m/>
    <m/>
    <m/>
    <x v="2"/>
  </r>
  <r>
    <x v="291"/>
    <x v="286"/>
    <n v="2"/>
    <x v="14"/>
    <n v="2"/>
    <s v="IT-LQA"/>
    <x v="21"/>
    <m/>
    <x v="2"/>
    <x v="0"/>
    <x v="0"/>
    <s v="DMDBS_TLSTR-ST_2.1.1.8.1.26b1"/>
    <x v="0"/>
    <x v="3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292"/>
    <x v="287"/>
    <n v="2"/>
    <x v="14"/>
    <n v="2"/>
    <s v="IT-LQA-UAT"/>
    <x v="6"/>
    <m/>
    <x v="5"/>
    <x v="0"/>
    <x v="0"/>
    <s v="NMDBS_ANTEL_4.6.1.34.2.54b3"/>
    <x v="0"/>
    <x v="4"/>
    <s v="\\192.168.3.3\Share\Releases\Projects\ANTEL\Release_For_IT\TestBuild_1.0.0.4\Server CD\DBS\Setup"/>
    <x v="0"/>
    <s v="\\192.168.3.3\Share\Releases\Projects\ANTEL\Release_For_Test\Test_Build_1.0.0.7\Server CD\DBS\Setup"/>
    <s v="Pass"/>
    <x v="1"/>
    <m/>
    <m/>
    <m/>
    <s v="Pradeep Raghav"/>
    <x v="0"/>
  </r>
  <r>
    <x v="292"/>
    <x v="287"/>
    <n v="2"/>
    <x v="14"/>
    <n v="2"/>
    <s v="IT-LQA-UAT"/>
    <x v="4"/>
    <m/>
    <x v="5"/>
    <x v="0"/>
    <x v="0"/>
    <s v="NMDBS_TLSTR_4.0.1.0.4.321b1"/>
    <x v="0"/>
    <x v="9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Vijay Singh Daagar"/>
    <x v="0"/>
  </r>
  <r>
    <x v="293"/>
    <x v="288"/>
    <n v="2"/>
    <x v="14"/>
    <n v="2"/>
    <s v="LQA"/>
    <x v="6"/>
    <m/>
    <x v="8"/>
    <x v="2"/>
    <x v="0"/>
    <s v="WWFSGUI_ANTEL_2.1.35.0.2.1b1"/>
    <x v="0"/>
    <x v="21"/>
    <m/>
    <x v="0"/>
    <s v="\\192.168.3.3\Share\Releases\Projects\ANTEL\Release_For_Test\Test_Build_1.0.0.7\Server CD\GUI\Setup"/>
    <s v="Pass"/>
    <x v="1"/>
    <m/>
    <m/>
    <m/>
    <s v="Ajay Kumar Pandey"/>
    <x v="0"/>
  </r>
  <r>
    <x v="293"/>
    <x v="288"/>
    <n v="2"/>
    <x v="14"/>
    <n v="2"/>
    <s v="IT-LQA"/>
    <x v="1"/>
    <m/>
    <x v="0"/>
    <x v="0"/>
    <x v="1"/>
    <s v="REDBS_2.0.1b1"/>
    <x v="0"/>
    <x v="27"/>
    <m/>
    <x v="0"/>
    <s v="\\192.168.3.3\Share\Releases\Product\RE_2.0\Build&amp;Release\Release_For_LQA\Test_Build_1.0.1\Server CD\DBS\Setup"/>
    <m/>
    <x v="1"/>
    <m/>
    <m/>
    <m/>
    <m/>
    <x v="1"/>
  </r>
  <r>
    <x v="294"/>
    <x v="282"/>
    <n v="2"/>
    <x v="14"/>
    <n v="2"/>
    <s v="LQA"/>
    <x v="23"/>
    <m/>
    <x v="8"/>
    <x v="2"/>
    <x v="1"/>
    <s v="WWFSGUI_MCC_2.1.35.0.2"/>
    <x v="0"/>
    <x v="21"/>
    <m/>
    <x v="0"/>
    <s v="\\192.168.3.3\Share\Releases\Projects\MCC\Release_For_Test\Test_Build_1.0.1\Server CD\GUI\Setup"/>
    <m/>
    <x v="1"/>
    <m/>
    <m/>
    <m/>
    <m/>
    <x v="1"/>
  </r>
  <r>
    <x v="294"/>
    <x v="282"/>
    <n v="2"/>
    <x v="14"/>
    <n v="2"/>
    <s v="LQA-UAT"/>
    <x v="5"/>
    <m/>
    <x v="5"/>
    <x v="0"/>
    <x v="1"/>
    <s v="NMDBS_BHN_4.7.1.13"/>
    <x v="0"/>
    <x v="24"/>
    <m/>
    <x v="0"/>
    <s v="\\192.168.3.3\Share\Releases\Projects\BHN\Release_For_Test\Test_Build_1.0.5\Server CD\DBS\Setup"/>
    <s v="Pass"/>
    <x v="0"/>
    <m/>
    <m/>
    <m/>
    <s v="Swapnil Garg"/>
    <x v="0"/>
  </r>
  <r>
    <x v="294"/>
    <x v="282"/>
    <n v="2"/>
    <x v="14"/>
    <n v="2"/>
    <s v="IT-LQA-UAT"/>
    <x v="3"/>
    <m/>
    <x v="5"/>
    <x v="0"/>
    <x v="0"/>
    <s v="NMDBS_OBT_4.6.1.27.1.45b2"/>
    <x v="0"/>
    <x v="53"/>
    <s v="\\192.168.3.3\Share\Releases\Projects\OBT\Release_For_IT\TestBuild_1.0.0.2\Server CD\DBS\Setup"/>
    <x v="0"/>
    <s v="\\192.168.3.3\Share\Releases\Projects\OBT\Release_For_LQA\TestBuild_1.0.0.7\Server CD\DBS\Setup"/>
    <s v="Pass"/>
    <x v="1"/>
    <m/>
    <m/>
    <m/>
    <s v="Ajay Kumar Pandey"/>
    <x v="0"/>
  </r>
  <r>
    <x v="294"/>
    <x v="282"/>
    <n v="2"/>
    <x v="14"/>
    <n v="2"/>
    <s v="LQA"/>
    <x v="0"/>
    <m/>
    <x v="11"/>
    <x v="6"/>
    <x v="0"/>
    <s v="UTLFDUP_SLT-1B_1.0.0.0.5.3b2 "/>
    <x v="0"/>
    <x v="6"/>
    <m/>
    <x v="0"/>
    <s v="\\192.168.3.3\Share\Releases\Projects\SLT-1B\Release_For_Test\Test_Build_1.0.0.1\Utility\MPE\Setup"/>
    <m/>
    <x v="1"/>
    <m/>
    <m/>
    <m/>
    <m/>
    <x v="1"/>
  </r>
  <r>
    <x v="294"/>
    <x v="282"/>
    <n v="2"/>
    <x v="14"/>
    <n v="2"/>
    <s v="LQA-FAT"/>
    <x v="0"/>
    <m/>
    <x v="1"/>
    <x v="1"/>
    <x v="0"/>
    <s v="MPE_SLT-1B_3.0.1.1.1.110b1"/>
    <x v="0"/>
    <x v="6"/>
    <m/>
    <x v="0"/>
    <s v="\\192.168.3.3\Share\Releases\Projects\SLT-1B\Release_For_Test\Test_Build_1.0.0.1\Server CD\MPE\Setup"/>
    <s v="Pass"/>
    <x v="1"/>
    <m/>
    <m/>
    <m/>
    <s v="K.V. Krishnan"/>
    <x v="0"/>
  </r>
  <r>
    <x v="294"/>
    <x v="282"/>
    <n v="2"/>
    <x v="14"/>
    <n v="2"/>
    <s v="LQA-UAT"/>
    <x v="0"/>
    <m/>
    <x v="1"/>
    <x v="1"/>
    <x v="0"/>
    <s v="MPE_SLT-1B_3.0.1.1.1.111b1"/>
    <x v="0"/>
    <x v="6"/>
    <m/>
    <x v="0"/>
    <s v="\\192.168.3.3\Share\Releases\Projects\SLT-1B\Release_For_Test\Test_Build_1.0.0.1\Server CD\MPE\Setup"/>
    <s v="Pass"/>
    <x v="1"/>
    <m/>
    <m/>
    <m/>
    <s v="K.V. Krishnan"/>
    <x v="0"/>
  </r>
  <r>
    <x v="295"/>
    <x v="289"/>
    <n v="2"/>
    <x v="14"/>
    <n v="2"/>
    <s v="LQA"/>
    <x v="0"/>
    <m/>
    <x v="1"/>
    <x v="1"/>
    <x v="0"/>
    <s v="MPE_SLT-1B_3.0.1.1.1.112b1"/>
    <x v="0"/>
    <x v="6"/>
    <m/>
    <x v="0"/>
    <s v="\\192.168.3.3\Share\Releases\Projects\SLT-1B\Release_For_Test\Test_Build_1.0.0.1\Server CD\MPE\Setup"/>
    <m/>
    <x v="1"/>
    <m/>
    <m/>
    <m/>
    <m/>
    <x v="1"/>
  </r>
  <r>
    <x v="295"/>
    <x v="289"/>
    <n v="2"/>
    <x v="14"/>
    <n v="2"/>
    <s v="IT-LQA"/>
    <x v="5"/>
    <m/>
    <x v="11"/>
    <x v="6"/>
    <x v="0"/>
    <s v="NMUTLMIG5_BHN_1.0.0.0.2"/>
    <x v="0"/>
    <x v="24"/>
    <s v="\\192.168.3.3\Share\Releases\Projects\BHN\Release_For_Test\Test_Build_1.0.5\Server CD\Utility\Setup"/>
    <x v="2"/>
    <s v="\\192.168.3.3\Share\Releases\Projects\BHN\Release_For_IT\TestBuild_1.0.0.1\Server CD\Utility\Setup"/>
    <m/>
    <x v="1"/>
    <m/>
    <m/>
    <m/>
    <m/>
    <x v="2"/>
  </r>
  <r>
    <x v="295"/>
    <x v="289"/>
    <n v="2"/>
    <x v="14"/>
    <n v="2"/>
    <s v="IT-LQA"/>
    <x v="5"/>
    <m/>
    <x v="11"/>
    <x v="6"/>
    <x v="0"/>
    <s v="NMUTLMIG4_BHN_1.0.0.0.2"/>
    <x v="0"/>
    <x v="24"/>
    <s v="\\192.168.3.3\Share\Releases\Projects\BHN\Release_For_Test\Test_Build_1.0.5\Server CD\Utility\Setup"/>
    <x v="2"/>
    <s v="\\192.168.3.3\Share\Releases\Projects\BHN\Release_For_IT\TestBuild_1.0.0.1\Server CD\Utility\Setup"/>
    <m/>
    <x v="1"/>
    <m/>
    <m/>
    <m/>
    <m/>
    <x v="2"/>
  </r>
  <r>
    <x v="296"/>
    <x v="290"/>
    <n v="2"/>
    <x v="14"/>
    <n v="2"/>
    <s v="LQA-UAT"/>
    <x v="1"/>
    <m/>
    <x v="1"/>
    <x v="1"/>
    <x v="0"/>
    <s v="MPE_3.2.4.37b1 "/>
    <x v="0"/>
    <x v="14"/>
    <m/>
    <x v="0"/>
    <s v="\\192.168.3.3\Share\Releases\Product\MPE_GUI\ReleaseForLQA\TestBuild_1.0.0.2\Server CD\MPE\Setup"/>
    <s v="Pass"/>
    <x v="1"/>
    <m/>
    <m/>
    <m/>
    <s v="Pradeep Raghav"/>
    <x v="0"/>
  </r>
  <r>
    <x v="297"/>
    <x v="291"/>
    <n v="2"/>
    <x v="14"/>
    <n v="2"/>
    <s v="LQA-UAT"/>
    <x v="20"/>
    <m/>
    <x v="1"/>
    <x v="1"/>
    <x v="0"/>
    <s v="MPE_FNB_3.2.4.37.1.5b1"/>
    <x v="0"/>
    <x v="14"/>
    <m/>
    <x v="0"/>
    <s v="\\192.168.3.3\Share\Releases\Projects\FNB\Release_For_Test\Test_Build_1.0.1\Server CD\MPE\Setup"/>
    <s v="Pass"/>
    <x v="1"/>
    <m/>
    <m/>
    <m/>
    <s v="Manas Ranjan Barik"/>
    <x v="0"/>
  </r>
  <r>
    <x v="297"/>
    <x v="291"/>
    <n v="2"/>
    <x v="14"/>
    <n v="2"/>
    <s v="LQA"/>
    <x v="1"/>
    <m/>
    <x v="12"/>
    <x v="2"/>
    <x v="1"/>
    <s v="WWCSGUI_2.1.22b1"/>
    <x v="0"/>
    <x v="21"/>
    <m/>
    <x v="0"/>
    <s v="\\192.168.3.3\Share\Releases\Product\WEB_CS\Build&amp;Release\Release For Test\TestBuild_2.1.22\ServerCD\GUI\Setup"/>
    <m/>
    <x v="0"/>
    <m/>
    <m/>
    <m/>
    <m/>
    <x v="1"/>
  </r>
  <r>
    <x v="297"/>
    <x v="291"/>
    <n v="2"/>
    <x v="14"/>
    <n v="2"/>
    <s v="LQA"/>
    <x v="1"/>
    <m/>
    <x v="11"/>
    <x v="6"/>
    <x v="1"/>
    <s v="AWF_2.0.1b32"/>
    <x v="0"/>
    <x v="31"/>
    <m/>
    <x v="0"/>
    <s v="\\192.168.3.3\Share\Releases\Product\AWF\Build&amp;Release\Release For Test\TestBuild_2.0.1\Setup"/>
    <m/>
    <x v="1"/>
    <m/>
    <m/>
    <m/>
    <m/>
    <x v="1"/>
  </r>
  <r>
    <x v="297"/>
    <x v="291"/>
    <n v="2"/>
    <x v="14"/>
    <n v="2"/>
    <s v="IT-LQA"/>
    <x v="21"/>
    <m/>
    <x v="2"/>
    <x v="0"/>
    <x v="0"/>
    <s v="DMDBS_TLSTR-ST_2.1.1.8.1.27b1 "/>
    <x v="0"/>
    <x v="3"/>
    <s v="\\192.168.3.3\Share\Releases\Projects\TLSTR-ST\Release_For_Test\Test_Build_1.0.1\Server CD\DBS\Setup"/>
    <x v="0"/>
    <s v="\\192.168.3.3\Share\Releases\Projects\TLSTR-ST\Release_For_IT\TestBuild_1.0.1\Server CD\DBS\Setup"/>
    <m/>
    <x v="1"/>
    <m/>
    <m/>
    <m/>
    <m/>
    <x v="1"/>
  </r>
  <r>
    <x v="298"/>
    <x v="292"/>
    <n v="2"/>
    <x v="14"/>
    <n v="2"/>
    <s v="IT-LQA-UAT"/>
    <x v="5"/>
    <m/>
    <x v="11"/>
    <x v="6"/>
    <x v="0"/>
    <s v="NMUTLMIG4_BHN_1.0.0.0.3"/>
    <x v="0"/>
    <x v="24"/>
    <s v="\\192.168.3.3\Share\Releases\Projects\BHN\Release_For_IT\TestBuild_1.0.0.1\Server CD\Utility\Setup"/>
    <x v="0"/>
    <s v="\\192.168.3.3\Share\Releases\Projects\BHN\Release_For_Test\Test_Build_1.0.5\Server CD\Utility\Setup"/>
    <s v="Pass"/>
    <x v="0"/>
    <m/>
    <m/>
    <m/>
    <s v="Swapnil Garg"/>
    <x v="0"/>
  </r>
  <r>
    <x v="298"/>
    <x v="292"/>
    <n v="2"/>
    <x v="14"/>
    <n v="2"/>
    <s v="IT-LQA-UAT"/>
    <x v="5"/>
    <m/>
    <x v="11"/>
    <x v="6"/>
    <x v="0"/>
    <s v="NMUTLMIG5_BHN_1.0.0.0.3"/>
    <x v="0"/>
    <x v="24"/>
    <s v="\\192.168.3.3\Share\Releases\Projects\BHN\Release_For_IT\TestBuild_1.0.0.1\Server CD\Utility\Setup"/>
    <x v="0"/>
    <s v="\\192.168.3.3\Share\Releases\Projects\BHN\Release_For_Test\Test_Build_1.0.5\Server CD\Utility\Setup"/>
    <s v="Pass"/>
    <x v="0"/>
    <m/>
    <m/>
    <m/>
    <s v="Swapnil Garg"/>
    <x v="0"/>
  </r>
  <r>
    <x v="298"/>
    <x v="292"/>
    <n v="2"/>
    <x v="14"/>
    <n v="2"/>
    <s v="LQA"/>
    <x v="21"/>
    <m/>
    <x v="1"/>
    <x v="1"/>
    <x v="0"/>
    <s v="MPE_TLSTR-ST_3.2.6.1.1.15b1"/>
    <x v="0"/>
    <x v="11"/>
    <m/>
    <x v="0"/>
    <s v="\\192.168.3.3\Share\Releases\Projects\TLSTR-ST\Release_For_Test\Test_Build_1.0.1\Server CD\MPE\Setup"/>
    <m/>
    <x v="1"/>
    <m/>
    <m/>
    <m/>
    <m/>
    <x v="1"/>
  </r>
  <r>
    <x v="298"/>
    <x v="292"/>
    <n v="2"/>
    <x v="14"/>
    <n v="2"/>
    <s v="IT-LQA"/>
    <x v="21"/>
    <s v="phase1 (A+B)"/>
    <x v="2"/>
    <x v="0"/>
    <x v="0"/>
    <s v="DMDBS_TLSTR-ST_2.1.1.8.1.28b1"/>
    <x v="0"/>
    <x v="61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299"/>
    <x v="293"/>
    <n v="3"/>
    <x v="15"/>
    <n v="3"/>
    <s v="IT-LQA"/>
    <x v="6"/>
    <m/>
    <x v="5"/>
    <x v="0"/>
    <x v="0"/>
    <s v="NMDBS_ANTEL_4.6.1.34.2.57b1"/>
    <x v="0"/>
    <x v="4"/>
    <s v="\\192.168.3.3\Share\Releases\Projects\ANTEL\Release_For_IT\TestBuild_1.0.0.4\Server CD\DBS\Setup"/>
    <x v="2"/>
    <s v="\\192.168.3.3\Share\Releases\Projects\ANTEL\Release_For_Test\Test_Build_1.0.0.7\Server CD\DBS\Setup"/>
    <m/>
    <x v="1"/>
    <m/>
    <m/>
    <m/>
    <m/>
    <x v="2"/>
  </r>
  <r>
    <x v="299"/>
    <x v="293"/>
    <n v="3"/>
    <x v="15"/>
    <n v="3"/>
    <s v="IT-LQA-UAT"/>
    <x v="6"/>
    <m/>
    <x v="5"/>
    <x v="0"/>
    <x v="0"/>
    <s v="NMDBS_ANTEL_4.6.1.34.2.56b2"/>
    <x v="0"/>
    <x v="4"/>
    <s v="\\192.168.3.3\Share\Releases\Projects\ANTEL\Release_For_IT\TestBuild_1.0.0.4\Server CD\DBS\Setup"/>
    <x v="0"/>
    <s v="\\192.168.3.3\Share\Releases\Projects\ANTEL\Release_For_Test\Test_Build_1.0.0.7\Server CD\DBS\Setup"/>
    <s v="Pass"/>
    <x v="1"/>
    <m/>
    <m/>
    <m/>
    <s v="Pradeep Raghav"/>
    <x v="0"/>
  </r>
  <r>
    <x v="299"/>
    <x v="293"/>
    <n v="3"/>
    <x v="15"/>
    <n v="3"/>
    <s v="LQA-UAT"/>
    <x v="0"/>
    <m/>
    <x v="1"/>
    <x v="1"/>
    <x v="0"/>
    <s v="MPE_SLT-1B_3.0.1.1.1.113b1"/>
    <x v="0"/>
    <x v="10"/>
    <m/>
    <x v="0"/>
    <s v="\\192.168.3.3\Share\Releases\Projects\SLT-1B\Release_For_Test\Test_Build_1.0.0.1\Server CD\MPE\Setup"/>
    <s v="Pass"/>
    <x v="1"/>
    <m/>
    <m/>
    <m/>
    <s v="K.V. Krishnan"/>
    <x v="0"/>
  </r>
  <r>
    <x v="300"/>
    <x v="294"/>
    <n v="3"/>
    <x v="15"/>
    <n v="3"/>
    <s v="IT-LQA"/>
    <x v="21"/>
    <s v="phase 3"/>
    <x v="2"/>
    <x v="0"/>
    <x v="0"/>
    <s v="DMDBS_TLSTR-ST_2.1.1.8.1.29b1"/>
    <x v="0"/>
    <x v="61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301"/>
    <x v="295"/>
    <n v="3"/>
    <x v="15"/>
    <n v="3"/>
    <s v="LQA-UAT"/>
    <x v="4"/>
    <m/>
    <x v="1"/>
    <x v="1"/>
    <x v="0"/>
    <s v="MPE_TLSTR-2b_3.0.0.3.1.110b1"/>
    <x v="0"/>
    <x v="11"/>
    <m/>
    <x v="0"/>
    <s v="\\192.168.3.3\Share\Releases\Projects\Telstra-2b\Release_For_Test\Test_Build_1.0.0.1\Server CD\MPE\Setup"/>
    <s v="Pass"/>
    <x v="1"/>
    <m/>
    <m/>
    <m/>
    <s v="Gaurav Shukla"/>
    <x v="0"/>
  </r>
  <r>
    <x v="301"/>
    <x v="295"/>
    <n v="3"/>
    <x v="15"/>
    <n v="3"/>
    <s v="LQA"/>
    <x v="1"/>
    <m/>
    <x v="0"/>
    <x v="2"/>
    <x v="1"/>
    <s v="REGUI_2.0.1b1"/>
    <x v="0"/>
    <x v="40"/>
    <m/>
    <x v="0"/>
    <s v="\\192.168.3.3\Share\Releases\Product\RE_2.0\Build&amp;Release\Release_For_LQA\Test_Build_1.0.1\Server CD\GUI\Setup"/>
    <m/>
    <x v="1"/>
    <m/>
    <m/>
    <m/>
    <m/>
    <x v="1"/>
  </r>
  <r>
    <x v="301"/>
    <x v="295"/>
    <n v="3"/>
    <x v="15"/>
    <n v="3"/>
    <s v="LQA"/>
    <x v="1"/>
    <m/>
    <x v="0"/>
    <x v="0"/>
    <x v="1"/>
    <s v="REDBS_2.0.1b2"/>
    <x v="0"/>
    <x v="27"/>
    <m/>
    <x v="0"/>
    <s v="\\192.168.3.3\Share\Releases\Product\RE_2.0\Build&amp;Release\Release_For_LQA\Test_Build_1.0.1\Server CD\DBS\Setup"/>
    <m/>
    <x v="1"/>
    <m/>
    <m/>
    <m/>
    <m/>
    <x v="1"/>
  </r>
  <r>
    <x v="302"/>
    <x v="296"/>
    <n v="3"/>
    <x v="15"/>
    <n v="3"/>
    <s v="IT-LQA-UAT"/>
    <x v="0"/>
    <m/>
    <x v="2"/>
    <x v="0"/>
    <x v="0"/>
    <s v="DMDBS_SLT_2.0.0.25.1.217b1"/>
    <x v="0"/>
    <x v="0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Paritosh Ghildiyal"/>
    <x v="0"/>
  </r>
  <r>
    <x v="302"/>
    <x v="296"/>
    <n v="3"/>
    <x v="15"/>
    <n v="3"/>
    <s v="LQA"/>
    <x v="20"/>
    <m/>
    <x v="1"/>
    <x v="1"/>
    <x v="0"/>
    <s v="MPE_FNB_3.2.4.37.1.6b1"/>
    <x v="0"/>
    <x v="14"/>
    <m/>
    <x v="2"/>
    <s v="\\192.168.3.3\Share\Releases\Projects\FNB\Release_For_Test\Test_Build_1.0.1\Server CD\MPE\Setup"/>
    <m/>
    <x v="1"/>
    <m/>
    <m/>
    <m/>
    <m/>
    <x v="2"/>
  </r>
  <r>
    <x v="302"/>
    <x v="296"/>
    <n v="3"/>
    <x v="15"/>
    <n v="3"/>
    <s v="LQA-UAT"/>
    <x v="23"/>
    <m/>
    <x v="1"/>
    <x v="1"/>
    <x v="0"/>
    <s v="MPE_MCC_3.2.5.0.1.2b1 "/>
    <x v="0"/>
    <x v="46"/>
    <m/>
    <x v="0"/>
    <s v="\\192.168.3.3\Share\Releases\Projects\MCC\Release_For_Test\Test_Build_1.0.1\Server CD\MPE\Setup"/>
    <s v="Pass"/>
    <x v="1"/>
    <m/>
    <m/>
    <m/>
    <s v="Rudra Narayan"/>
    <x v="0"/>
  </r>
  <r>
    <x v="302"/>
    <x v="296"/>
    <n v="3"/>
    <x v="15"/>
    <n v="3"/>
    <s v="IT-LQA"/>
    <x v="21"/>
    <s v="phase 3"/>
    <x v="2"/>
    <x v="0"/>
    <x v="0"/>
    <s v="DMDBS_TLSTR-ST_2.1.1.8.1.31b1"/>
    <x v="0"/>
    <x v="23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302"/>
    <x v="296"/>
    <n v="3"/>
    <x v="15"/>
    <n v="3"/>
    <s v="IT-LQA"/>
    <x v="21"/>
    <s v="phase 3"/>
    <x v="2"/>
    <x v="0"/>
    <x v="0"/>
    <s v="DMDBS_TLSTR-ST_2.1.1.8.1.33b1"/>
    <x v="0"/>
    <x v="61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303"/>
    <x v="297"/>
    <n v="3"/>
    <x v="15"/>
    <n v="3"/>
    <s v="IT-LQA"/>
    <x v="21"/>
    <s v="phase1 (A+B)"/>
    <x v="2"/>
    <x v="0"/>
    <x v="0"/>
    <s v="DMDBS_TLSTR-ST_2.1.1.8.1.30b1"/>
    <x v="0"/>
    <x v="61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303"/>
    <x v="297"/>
    <n v="3"/>
    <x v="15"/>
    <n v="3"/>
    <s v="LQA-UAT"/>
    <x v="23"/>
    <m/>
    <x v="5"/>
    <x v="0"/>
    <x v="1"/>
    <s v="NMDBS_MCC_4.7.1.4"/>
    <x v="0"/>
    <x v="39"/>
    <m/>
    <x v="0"/>
    <s v="\\192.168.3.3\Share\Releases\Projects\MCC\Release_For_Test\Test_Build_1.0.1\Server CD\DBS\Setup"/>
    <s v="Pass"/>
    <x v="1"/>
    <m/>
    <m/>
    <m/>
    <s v="Rudra Narayan"/>
    <x v="0"/>
  </r>
  <r>
    <x v="304"/>
    <x v="298"/>
    <n v="3"/>
    <x v="15"/>
    <n v="3"/>
    <s v="LQA-UAT"/>
    <x v="8"/>
    <m/>
    <x v="1"/>
    <x v="1"/>
    <x v="0"/>
    <s v="MPE_TWC_3.2.1.5.2.25b1 "/>
    <x v="0"/>
    <x v="46"/>
    <m/>
    <x v="0"/>
    <s v="\\192.168.3.3\Share\Releases\Projects\TWC\Release_For_Test\Test_Build_1.0.0.4\Server CD\MPE\Setup"/>
    <s v="Pass"/>
    <x v="1"/>
    <m/>
    <m/>
    <m/>
    <s v="Mayank Sharma"/>
    <x v="0"/>
  </r>
  <r>
    <x v="304"/>
    <x v="298"/>
    <n v="3"/>
    <x v="15"/>
    <n v="3"/>
    <s v="IT-LQA-UAT"/>
    <x v="8"/>
    <m/>
    <x v="5"/>
    <x v="0"/>
    <x v="0"/>
    <s v="MPE_TWC_3.2.1.5.2.25b1 "/>
    <x v="0"/>
    <x v="7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Mayank Sharma"/>
    <x v="0"/>
  </r>
  <r>
    <x v="304"/>
    <x v="298"/>
    <n v="3"/>
    <x v="15"/>
    <n v="3"/>
    <s v="LQA-UAT"/>
    <x v="20"/>
    <m/>
    <x v="1"/>
    <x v="1"/>
    <x v="0"/>
    <s v="MPE_FNB_3.2.4.37.1.6b2"/>
    <x v="0"/>
    <x v="14"/>
    <m/>
    <x v="0"/>
    <s v="\\192.168.3.3\Share\Releases\Projects\FNB\Release_For_Test\Test_Build_1.0.1\Server CD\MPE\Setup"/>
    <s v="Pass"/>
    <x v="1"/>
    <m/>
    <m/>
    <m/>
    <s v="Manas Ranjan Barik"/>
    <x v="0"/>
  </r>
  <r>
    <x v="304"/>
    <x v="298"/>
    <n v="3"/>
    <x v="15"/>
    <n v="3"/>
    <s v="IT-LQA-UAT"/>
    <x v="3"/>
    <m/>
    <x v="5"/>
    <x v="0"/>
    <x v="0"/>
    <s v="NMDBS_OBT_4.6.1.27.1.46b1"/>
    <x v="0"/>
    <x v="53"/>
    <s v="\\192.168.3.3\Share\Releases\Projects\OBT\Release_For_IT\TestBuild_1.0.0.2\Server CD\DBS\Setup"/>
    <x v="0"/>
    <s v="\\192.168.3.3\Share\Releases\Projects\OBT\Release_For_LQA\TestBuild_1.0.0.7\Server CD\DBS\Setup"/>
    <s v="Pass"/>
    <x v="1"/>
    <m/>
    <m/>
    <m/>
    <s v="Mamta Bora"/>
    <x v="0"/>
  </r>
  <r>
    <x v="304"/>
    <x v="298"/>
    <n v="3"/>
    <x v="15"/>
    <n v="3"/>
    <s v="IT-LQA-UAT"/>
    <x v="8"/>
    <m/>
    <x v="5"/>
    <x v="0"/>
    <x v="0"/>
    <s v="NMDBS_TWC_4.6.1.11.3.57b1 "/>
    <x v="0"/>
    <x v="7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Ajay Kumar Pandey"/>
    <x v="0"/>
  </r>
  <r>
    <x v="305"/>
    <x v="299"/>
    <n v="3"/>
    <x v="15"/>
    <n v="3"/>
    <s v="LQA"/>
    <x v="23"/>
    <m/>
    <x v="7"/>
    <x v="2"/>
    <x v="0"/>
    <s v="RTGUI_MCC_4.0.25.1.2.1b1"/>
    <x v="0"/>
    <x v="60"/>
    <m/>
    <x v="0"/>
    <s v="\\192.168.3.3\Share\Releases\Projects\MCC\Release_For_Test\Test_Build_1.0.1\Server CD\GUI\Setup"/>
    <m/>
    <x v="1"/>
    <m/>
    <m/>
    <m/>
    <m/>
    <x v="1"/>
  </r>
  <r>
    <x v="305"/>
    <x v="299"/>
    <n v="3"/>
    <x v="15"/>
    <n v="3"/>
    <s v="IT-LQA"/>
    <x v="1"/>
    <s v="PROMOTED FOR SLT ONLY"/>
    <x v="2"/>
    <x v="0"/>
    <x v="0"/>
    <s v="DMDBS_2.0.0.27b1 "/>
    <x v="0"/>
    <x v="27"/>
    <s v="\\192.168.3.3\Share\Releases\Product\DataMind_2.0\Build&amp;Release\Release for IT\TestBuild_2.0.0\Server CD\DBS\Setup"/>
    <x v="0"/>
    <s v="\\192.168.3.3\Share\Releases\Product\DataMind_2.0\Build&amp;Release\Release for LQA\TestBuild_2.0.0\Server CD\DBS\Setup"/>
    <s v="Pass"/>
    <x v="0"/>
    <m/>
    <m/>
    <m/>
    <m/>
    <x v="0"/>
  </r>
  <r>
    <x v="305"/>
    <x v="299"/>
    <n v="3"/>
    <x v="15"/>
    <n v="3"/>
    <s v="LQA-UAT"/>
    <x v="20"/>
    <m/>
    <x v="1"/>
    <x v="1"/>
    <x v="0"/>
    <s v="MPE_FNB_3.2.4.37.1.7b1"/>
    <x v="0"/>
    <x v="14"/>
    <m/>
    <x v="0"/>
    <s v="\\192.168.3.3\Share\Releases\Projects\FNB\Release_For_Test\Test_Build_1.0.1\Server CD\MPE\Setup"/>
    <s v="Pass"/>
    <x v="1"/>
    <m/>
    <m/>
    <m/>
    <s v="Manas Ranjan Barik"/>
    <x v="0"/>
  </r>
  <r>
    <x v="306"/>
    <x v="300"/>
    <n v="3"/>
    <x v="15"/>
    <n v="3"/>
    <s v="LQA-UAT"/>
    <x v="8"/>
    <m/>
    <x v="1"/>
    <x v="1"/>
    <x v="0"/>
    <s v="MPE_TWC_3.2.1.5.2.26b1"/>
    <x v="0"/>
    <x v="46"/>
    <m/>
    <x v="0"/>
    <s v="\\192.168.3.3\Share\Releases\Projects\TWC\Release_For_Test\Test_Build_1.0.0.4\Server CD\MPE\Setup"/>
    <s v="Pass"/>
    <x v="1"/>
    <m/>
    <m/>
    <m/>
    <s v="Mayank Sharma"/>
    <x v="0"/>
  </r>
  <r>
    <x v="307"/>
    <x v="301"/>
    <n v="3"/>
    <x v="15"/>
    <n v="3"/>
    <s v="IT-LQA-UAT"/>
    <x v="6"/>
    <m/>
    <x v="5"/>
    <x v="0"/>
    <x v="0"/>
    <s v="NMDBS_ANTEL_4.6.1.34.2.57b2"/>
    <x v="0"/>
    <x v="4"/>
    <s v="\\192.168.3.3\Share\Releases\Projects\ANTEL\Release_For_IT\TestBuild_1.0.0.4\Server CD\DBS\Setup"/>
    <x v="0"/>
    <s v="\\192.168.3.3\Share\Releases\Projects\ANTEL\Release_For_Test\Test_Build_1.0.0.7\Server CD\DBS\Setup"/>
    <s v="Pass"/>
    <x v="0"/>
    <m/>
    <m/>
    <m/>
    <s v="Pradeep Raghav"/>
    <x v="0"/>
  </r>
  <r>
    <x v="307"/>
    <x v="301"/>
    <n v="3"/>
    <x v="15"/>
    <n v="3"/>
    <s v="LQA"/>
    <x v="1"/>
    <m/>
    <x v="7"/>
    <x v="2"/>
    <x v="0"/>
    <s v="RTGUI_4.0.36b1"/>
    <x v="0"/>
    <x v="60"/>
    <m/>
    <x v="0"/>
    <s v="\\192.168.3.3\Share\Releases\Product\RT_4.0\ReleaseForLQA\TestBuild_4.0.24\GUI\Build1\Setup"/>
    <m/>
    <x v="1"/>
    <m/>
    <m/>
    <m/>
    <m/>
    <x v="1"/>
  </r>
  <r>
    <x v="307"/>
    <x v="301"/>
    <n v="3"/>
    <x v="15"/>
    <n v="3"/>
    <s v="IT-LQA"/>
    <x v="8"/>
    <m/>
    <x v="5"/>
    <x v="0"/>
    <x v="0"/>
    <s v="NMDBS_TWC_4.6.1.11.3.58b1"/>
    <x v="0"/>
    <x v="7"/>
    <s v="\\192.168.3.3\Share\Releases\Projects\TWC\Release_For_IT\Test_Build_1.0.0.3\Server CD\DBS\Setup"/>
    <x v="0"/>
    <s v="\\192.168.3.3\Share\Releases\Projects\TWC\Release_For_Test\Test_Build_1.0.0.4\Server CD\DBS\Setup"/>
    <m/>
    <x v="1"/>
    <m/>
    <m/>
    <m/>
    <m/>
    <x v="1"/>
  </r>
  <r>
    <x v="307"/>
    <x v="301"/>
    <n v="3"/>
    <x v="15"/>
    <n v="3"/>
    <s v="IT-LQA"/>
    <x v="21"/>
    <s v="phase1 (A+B)"/>
    <x v="2"/>
    <x v="0"/>
    <x v="0"/>
    <s v="DMDBS_TLSTR-ST_2.1.1.8.1.32b1"/>
    <x v="0"/>
    <x v="3"/>
    <s v="\\192.168.3.3\Share\Releases\Projects\TLSTR-ST\Release_For_Test\Test_Build_1.0.1\Server CD\DBS\Setup"/>
    <x v="0"/>
    <s v="\\192.168.3.3\Share\Releases\Projects\TLSTR-ST\Release_For_IT\TestBuild_1.0.1\Server CD\DBS\Setup"/>
    <m/>
    <x v="1"/>
    <m/>
    <m/>
    <m/>
    <m/>
    <x v="1"/>
  </r>
  <r>
    <x v="307"/>
    <x v="301"/>
    <n v="3"/>
    <x v="15"/>
    <n v="3"/>
    <s v="LQA"/>
    <x v="1"/>
    <m/>
    <x v="1"/>
    <x v="0"/>
    <x v="1"/>
    <s v="MPEDBS_1.1.1b2"/>
    <x v="0"/>
    <x v="5"/>
    <m/>
    <x v="0"/>
    <s v="\\192.168.3.3\Share\Releases\Product\MEDGUI_1.1\Build&amp;Release\Release_For_LQA\Test_Build_1.0.1\Server CD\DBS\Setup"/>
    <m/>
    <x v="1"/>
    <m/>
    <m/>
    <m/>
    <m/>
    <x v="1"/>
  </r>
  <r>
    <x v="307"/>
    <x v="301"/>
    <n v="3"/>
    <x v="15"/>
    <n v="3"/>
    <s v="LQA"/>
    <x v="1"/>
    <m/>
    <x v="1"/>
    <x v="2"/>
    <x v="1"/>
    <s v="MPEGUI_1.1.2b6"/>
    <x v="0"/>
    <x v="16"/>
    <m/>
    <x v="0"/>
    <s v="\\192.168.3.3\Share\Releases\Product\MEDGUI_1.1\Build&amp;Release\Release_For_LQA\Test_Build_1.0.1\Server CD\GUI\Setup"/>
    <m/>
    <x v="1"/>
    <m/>
    <m/>
    <m/>
    <m/>
    <x v="1"/>
  </r>
  <r>
    <x v="307"/>
    <x v="301"/>
    <n v="3"/>
    <x v="15"/>
    <n v="3"/>
    <s v="LQA-UAT"/>
    <x v="20"/>
    <m/>
    <x v="5"/>
    <x v="0"/>
    <x v="1"/>
    <s v="NMDBS_FNB_4.7.1.3"/>
    <x v="0"/>
    <x v="24"/>
    <m/>
    <x v="0"/>
    <s v="\\192.168.3.3\Share\Releases\Projects\FNB\Release_For_Test\Test_Build_1.0.1\Server CD\DBS\Setup"/>
    <s v="Pass"/>
    <x v="0"/>
    <m/>
    <m/>
    <m/>
    <s v="Pradeep Raghav"/>
    <x v="0"/>
  </r>
  <r>
    <x v="308"/>
    <x v="302"/>
    <n v="3"/>
    <x v="15"/>
    <n v="3"/>
    <s v="LQA"/>
    <x v="1"/>
    <m/>
    <x v="1"/>
    <x v="1"/>
    <x v="1"/>
    <s v="MPE_3.2.7b2"/>
    <x v="0"/>
    <x v="14"/>
    <m/>
    <x v="2"/>
    <s v="\\192.168.3.3\Share\Releases\Product\MEDGUI_1.1\Build&amp;Release\Release_For_LQA\Test_Build_1.0.1\Server CD\MPE\Setup\RHEL_6.3"/>
    <m/>
    <x v="1"/>
    <m/>
    <m/>
    <m/>
    <m/>
    <x v="2"/>
  </r>
  <r>
    <x v="308"/>
    <x v="302"/>
    <n v="3"/>
    <x v="15"/>
    <n v="3"/>
    <s v="LQA-UAT"/>
    <x v="5"/>
    <m/>
    <x v="5"/>
    <x v="0"/>
    <x v="1"/>
    <s v="NMDBS_BHN_4.7.1.14"/>
    <x v="0"/>
    <x v="24"/>
    <m/>
    <x v="0"/>
    <s v="\\192.168.3.3\Share\Releases\Projects\BHN\Release_For_Test\Test_Build_1.0.5\Server CD\DBS\Setup"/>
    <s v="Pass"/>
    <x v="1"/>
    <m/>
    <m/>
    <m/>
    <s v="Swapnil Garg"/>
    <x v="0"/>
  </r>
  <r>
    <x v="308"/>
    <x v="302"/>
    <n v="3"/>
    <x v="15"/>
    <n v="3"/>
    <s v="LQA-UAT"/>
    <x v="0"/>
    <m/>
    <x v="1"/>
    <x v="1"/>
    <x v="0"/>
    <s v="MPE_SLT-1B_3.0.1.1.1.114b1"/>
    <x v="0"/>
    <x v="6"/>
    <m/>
    <x v="0"/>
    <s v="\\192.168.3.3\Share\Releases\Projects\SLT-1B\Release_For_Test\Test_Build_1.0.0.1\Server CD\MPE\Setup"/>
    <s v="Pass"/>
    <x v="1"/>
    <m/>
    <m/>
    <m/>
    <s v="K.V. Krishnan"/>
    <x v="0"/>
  </r>
  <r>
    <x v="308"/>
    <x v="302"/>
    <n v="3"/>
    <x v="15"/>
    <n v="3"/>
    <s v="LQA-UAT"/>
    <x v="16"/>
    <m/>
    <x v="5"/>
    <x v="1"/>
    <x v="0"/>
    <s v="NMMPE_TLN_2.0.3.51.1"/>
    <x v="0"/>
    <x v="14"/>
    <m/>
    <x v="0"/>
    <s v="\\192.168.3.3\Share\Releases\Projects\Telenet\Build&amp;Release\Release For Test\Test_Build_4.0.41\Server CD\MPE\Setup"/>
    <s v="Pass"/>
    <x v="1"/>
    <m/>
    <m/>
    <m/>
    <s v="Pradeep Raghav"/>
    <x v="0"/>
  </r>
  <r>
    <x v="308"/>
    <x v="302"/>
    <n v="3"/>
    <x v="15"/>
    <n v="3"/>
    <s v="LQA"/>
    <x v="1"/>
    <m/>
    <x v="0"/>
    <x v="0"/>
    <x v="1"/>
    <s v="REDBS_2.0.1b3"/>
    <x v="0"/>
    <x v="63"/>
    <m/>
    <x v="2"/>
    <s v="\\192.168.3.3\Share\Releases\Product\RE_2.0\Build&amp;Release\Release_For_LQA\Test_Build_1.0.1\Server CD\DBS\Setup"/>
    <m/>
    <x v="1"/>
    <m/>
    <m/>
    <m/>
    <m/>
    <x v="2"/>
  </r>
  <r>
    <x v="308"/>
    <x v="302"/>
    <n v="3"/>
    <x v="15"/>
    <n v="3"/>
    <s v="LQA-UAT"/>
    <x v="0"/>
    <m/>
    <x v="1"/>
    <x v="1"/>
    <x v="0"/>
    <s v="MPE_SLT-1B_3.0.1.1.1.115b1"/>
    <x v="0"/>
    <x v="6"/>
    <m/>
    <x v="0"/>
    <s v="\\192.168.3.3\Share\Releases\Projects\SLT-1B\Release_For_Test\Test_Build_1.0.0.1\Server CD\MPE\Setup"/>
    <s v="Pass"/>
    <x v="1"/>
    <m/>
    <m/>
    <m/>
    <s v="K.V. Krishnan"/>
    <x v="0"/>
  </r>
  <r>
    <x v="309"/>
    <x v="303"/>
    <n v="3"/>
    <x v="15"/>
    <n v="3"/>
    <s v="IT-LQA-UAT"/>
    <x v="0"/>
    <m/>
    <x v="2"/>
    <x v="0"/>
    <x v="0"/>
    <s v="DMDBS_SLT_2.0.0.25.1.218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Paritosh Ghildiyal"/>
    <x v="0"/>
  </r>
  <r>
    <x v="309"/>
    <x v="303"/>
    <n v="3"/>
    <x v="15"/>
    <n v="3"/>
    <s v="LQA-UAT"/>
    <x v="8"/>
    <m/>
    <x v="1"/>
    <x v="1"/>
    <x v="0"/>
    <s v="MPE_TWC_3.2.1.5.2.27b1"/>
    <x v="0"/>
    <x v="46"/>
    <m/>
    <x v="0"/>
    <s v="\\192.168.3.3\Share\Releases\Projects\TWC\Release_For_Test\Test_Build_1.0.0.4\Server CD\MPE\Setup"/>
    <s v="Pass"/>
    <x v="1"/>
    <m/>
    <m/>
    <m/>
    <s v="Mayank Sharma"/>
    <x v="0"/>
  </r>
  <r>
    <x v="309"/>
    <x v="303"/>
    <n v="3"/>
    <x v="15"/>
    <n v="3"/>
    <s v="IT-LQA-UAT"/>
    <x v="8"/>
    <m/>
    <x v="5"/>
    <x v="0"/>
    <x v="0"/>
    <s v="NMDBS_TWC_4.6.1.11.3.58b2"/>
    <x v="0"/>
    <x v="7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Mayank Sharma"/>
    <x v="0"/>
  </r>
  <r>
    <x v="310"/>
    <x v="304"/>
    <n v="3"/>
    <x v="15"/>
    <n v="3"/>
    <s v="LQA-UAT"/>
    <x v="20"/>
    <m/>
    <x v="1"/>
    <x v="1"/>
    <x v="0"/>
    <s v="MPE_FNB_3.2.4.37.1.8b1"/>
    <x v="0"/>
    <x v="14"/>
    <m/>
    <x v="0"/>
    <s v="\\192.168.3.3\Share\Releases\Projects\FNB\Release_For_Test\Test_Build_1.0.1\Server CD\MPE\Setup"/>
    <s v="Pass"/>
    <x v="1"/>
    <m/>
    <m/>
    <m/>
    <s v="Manas Ranjan Barik"/>
    <x v="0"/>
  </r>
  <r>
    <x v="310"/>
    <x v="304"/>
    <n v="3"/>
    <x v="15"/>
    <n v="3"/>
    <s v="LQA"/>
    <x v="21"/>
    <m/>
    <x v="1"/>
    <x v="1"/>
    <x v="0"/>
    <s v="MPE_TLSTR-ST_3.2.6.1.1.16b1"/>
    <x v="0"/>
    <x v="11"/>
    <m/>
    <x v="0"/>
    <s v="\\192.168.3.3\Share\Releases\Projects\TLSTR-ST\Release_For_Test\Test_Build_1.0.1\Server CD\MPE\Setup"/>
    <m/>
    <x v="1"/>
    <m/>
    <m/>
    <m/>
    <m/>
    <x v="1"/>
  </r>
  <r>
    <x v="310"/>
    <x v="304"/>
    <n v="3"/>
    <x v="15"/>
    <n v="3"/>
    <s v="IT-LQA-UAT"/>
    <x v="0"/>
    <m/>
    <x v="4"/>
    <x v="0"/>
    <x v="0"/>
    <s v="RADBS_SLT_2.1.1.15.1.102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Rohit Arora"/>
    <x v="0"/>
  </r>
  <r>
    <x v="311"/>
    <x v="305"/>
    <n v="3"/>
    <x v="15"/>
    <n v="3"/>
    <s v="LQA"/>
    <x v="1"/>
    <m/>
    <x v="1"/>
    <x v="1"/>
    <x v="0"/>
    <s v="MPE_3.2.4.38b1"/>
    <x v="0"/>
    <x v="14"/>
    <m/>
    <x v="0"/>
    <s v="\\192.168.3.3\Share\Releases\Product\MPE_GUI\ReleaseForLQA\TestBuild_1.0.0.2\Server CD\MPE\Setup"/>
    <m/>
    <x v="1"/>
    <m/>
    <m/>
    <m/>
    <m/>
    <x v="1"/>
  </r>
  <r>
    <x v="312"/>
    <x v="306"/>
    <n v="3"/>
    <x v="15"/>
    <n v="3"/>
    <s v="IT-LQA"/>
    <x v="1"/>
    <m/>
    <x v="9"/>
    <x v="0"/>
    <x v="0"/>
    <s v="NPDBS_1.2.3.18b1"/>
    <x v="0"/>
    <x v="54"/>
    <s v="\\192.168.3.3\share\Releases\Product\NetMindPOS_1.1\Build&amp;Release\Release for IT\TestBuild_1.2.3\Server CD\DBS\Setup"/>
    <x v="0"/>
    <s v="\\192.168.3.3\share\Releases\Product\NetMindPOS_1.1\Build&amp;Release\Release for LQA\TestBuild_1.2.3\Server CD\DBS\Setup"/>
    <m/>
    <x v="1"/>
    <m/>
    <m/>
    <m/>
    <m/>
    <x v="1"/>
  </r>
  <r>
    <x v="312"/>
    <x v="306"/>
    <n v="3"/>
    <x v="15"/>
    <n v="3"/>
    <s v="LQA-FAT"/>
    <x v="0"/>
    <m/>
    <x v="1"/>
    <x v="1"/>
    <x v="0"/>
    <s v="MPE_SLT-1B_3.0.1.1.1.116b1"/>
    <x v="0"/>
    <x v="6"/>
    <m/>
    <x v="0"/>
    <s v="\\192.168.3.3\Share\Releases\Projects\SLT-1B\Release_For_Test\Test_Build_1.0.0.1\Server CD\MPE\Setup"/>
    <s v="Pass"/>
    <x v="0"/>
    <m/>
    <m/>
    <m/>
    <s v="Rohit Arora"/>
    <x v="0"/>
  </r>
  <r>
    <x v="313"/>
    <x v="307"/>
    <n v="3"/>
    <x v="15"/>
    <n v="3"/>
    <s v="IT-LQA-UAT"/>
    <x v="7"/>
    <m/>
    <x v="5"/>
    <x v="4"/>
    <x v="0"/>
    <s v="NMCS_VON_4.0.9"/>
    <x v="0"/>
    <x v="47"/>
    <s v="\\192.168.3.3\Share\Releases\Projects\Vonage\Release_For_IT\Test_Build_4.0.17\Client CD\GUI\CS\Setup"/>
    <x v="0"/>
    <s v="\\192.168.3.3\Share\Releases\Projects\Vonage\Release_For_LQA\Test_Build_4.0.17\Client CD\GUI\CS\Setup"/>
    <s v="Pass"/>
    <x v="1"/>
    <m/>
    <m/>
    <m/>
    <s v="Rajan Sharma"/>
    <x v="0"/>
  </r>
  <r>
    <x v="313"/>
    <x v="307"/>
    <n v="3"/>
    <x v="15"/>
    <n v="3"/>
    <s v="IT-LQA-UAT"/>
    <x v="7"/>
    <m/>
    <x v="5"/>
    <x v="9"/>
    <x v="0"/>
    <s v="NMHM_VON_4.0.5"/>
    <x v="0"/>
    <x v="47"/>
    <s v="\\192.168.3.3\Share\Releases\Projects\Vonage\Release_For_IT\Test_Build_4.0.17\Client CD\GUI\CS\Setup"/>
    <x v="0"/>
    <s v="\\192.168.3.3\Share\Releases\Projects\Vonage\Release_For_LQA\Test_Build_4.0.17\Client CD\GUI\HM\Setup"/>
    <s v="Pass"/>
    <x v="1"/>
    <m/>
    <m/>
    <m/>
    <s v="Rajan Sharma"/>
    <x v="0"/>
  </r>
  <r>
    <x v="313"/>
    <x v="307"/>
    <n v="3"/>
    <x v="15"/>
    <n v="3"/>
    <s v="IT-LQA-UAT"/>
    <x v="7"/>
    <m/>
    <x v="5"/>
    <x v="8"/>
    <x v="0"/>
    <s v="NMPM_VON_4.0.7"/>
    <x v="0"/>
    <x v="47"/>
    <s v="\\192.168.3.3\Share\Releases\Projects\Vonage\Release_For_IT\Test_Build_4.0.17\Client CD\GUI\CS\Setup"/>
    <x v="0"/>
    <s v="\\192.168.3.3\Share\Releases\Projects\Vonage\Release_For_LQA\Test_Build_4.0.17\Client CD\GUI\PM\Setup"/>
    <s v="Pass"/>
    <x v="1"/>
    <m/>
    <m/>
    <m/>
    <s v="Rajan Sharma"/>
    <x v="0"/>
  </r>
  <r>
    <x v="313"/>
    <x v="307"/>
    <n v="3"/>
    <x v="15"/>
    <n v="3"/>
    <s v="IT-LQA"/>
    <x v="7"/>
    <m/>
    <x v="5"/>
    <x v="7"/>
    <x v="0"/>
    <s v="NMWFS_VON_4.0.12"/>
    <x v="0"/>
    <x v="47"/>
    <s v="\\192.168.3.3\Share\Releases\Projects\Vonage\Release_For_IT\Test_Build_4.0.17\Client CD\GUI\CS\Setup"/>
    <x v="0"/>
    <s v="\\192.168.3.3\Share\Releases\Projects\Vonage\Release_For_LQA\Test_Build_4.0.17\Client CD\GUI\WFS\Setup"/>
    <m/>
    <x v="1"/>
    <m/>
    <m/>
    <m/>
    <m/>
    <x v="1"/>
  </r>
  <r>
    <x v="313"/>
    <x v="307"/>
    <n v="3"/>
    <x v="15"/>
    <n v="3"/>
    <s v="IT-LQA"/>
    <x v="21"/>
    <s v="phase 3"/>
    <x v="2"/>
    <x v="0"/>
    <x v="0"/>
    <s v="DMDBS_TLSTR-ST_2.1.1.8.1.35b1"/>
    <x v="0"/>
    <x v="61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313"/>
    <x v="307"/>
    <n v="3"/>
    <x v="15"/>
    <n v="3"/>
    <s v="IT-LQA"/>
    <x v="8"/>
    <m/>
    <x v="5"/>
    <x v="0"/>
    <x v="0"/>
    <s v="NMDBS_TWC_4.6.1.11.3.59b1"/>
    <x v="0"/>
    <x v="7"/>
    <s v="\\192.168.3.3\Share\Releases\Projects\TWC\Release_For_Test\Test_Build_1.0.0.4\Server CD\DBS\Setup"/>
    <x v="0"/>
    <s v="\\192.168.3.3\Share\Releases\Projects\TWC\Release_For_IT\Test_Build_1.0.0.3\Server CD\DBS\Setup"/>
    <m/>
    <x v="1"/>
    <m/>
    <m/>
    <m/>
    <m/>
    <x v="1"/>
  </r>
  <r>
    <x v="313"/>
    <x v="307"/>
    <n v="3"/>
    <x v="15"/>
    <n v="3"/>
    <s v="LQA-UAT"/>
    <x v="15"/>
    <m/>
    <x v="1"/>
    <x v="1"/>
    <x v="0"/>
    <s v="MPE_CBD_3.2.1.3.2.14b1"/>
    <x v="0"/>
    <x v="46"/>
    <m/>
    <x v="0"/>
    <s v="\\192.168.3.3\share\Releases\Projects\CBD\Release_For_Test\Test_Build_1.0.0.4\Server CD\MPE\RHEL_6.3\Setup"/>
    <s v="Pass"/>
    <x v="1"/>
    <m/>
    <m/>
    <m/>
    <s v="Jitender Aggarwal"/>
    <x v="0"/>
  </r>
  <r>
    <x v="313"/>
    <x v="307"/>
    <n v="3"/>
    <x v="15"/>
    <n v="3"/>
    <s v="IT-LQA"/>
    <x v="21"/>
    <s v="phase1 (A+B)"/>
    <x v="2"/>
    <x v="0"/>
    <x v="0"/>
    <s v="DMDBS_TLSTR-ST_2.1.1.8.1.34b1"/>
    <x v="0"/>
    <x v="3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313"/>
    <x v="307"/>
    <n v="3"/>
    <x v="15"/>
    <n v="3"/>
    <s v="IT-LQA"/>
    <x v="0"/>
    <m/>
    <x v="4"/>
    <x v="0"/>
    <x v="0"/>
    <s v="RADBS_SLT_2.1.1.15.1.103b1"/>
    <x v="0"/>
    <x v="44"/>
    <s v="\\192.168.3.3\Share\Releases\Projects\SLT\Release_For_IT\Test_Build_1.0.0.4\Server CD\DBS\Setup"/>
    <x v="0"/>
    <s v="\\192.168.3.3\Share\Releases\Projects\SLT\Release_For_LQA\Test_Build_1.0.0.24\Server CD\DBS\Setup"/>
    <m/>
    <x v="1"/>
    <m/>
    <m/>
    <m/>
    <m/>
    <x v="1"/>
  </r>
  <r>
    <x v="314"/>
    <x v="308"/>
    <n v="3"/>
    <x v="15"/>
    <n v="3"/>
    <s v="LQA"/>
    <x v="0"/>
    <m/>
    <x v="1"/>
    <x v="1"/>
    <x v="0"/>
    <s v="MPE_SLT-1B_3.0.1.1.1.117b1"/>
    <x v="0"/>
    <x v="6"/>
    <m/>
    <x v="0"/>
    <s v="\\192.168.3.3\Share\Releases\Projects\SLT-1B\Release_For_Test\Test_Build_1.0.0.1\Server CD\MPE\Setup"/>
    <m/>
    <x v="1"/>
    <m/>
    <m/>
    <m/>
    <m/>
    <x v="1"/>
  </r>
  <r>
    <x v="314"/>
    <x v="308"/>
    <n v="3"/>
    <x v="15"/>
    <n v="3"/>
    <s v="LQA-UAT"/>
    <x v="20"/>
    <m/>
    <x v="1"/>
    <x v="1"/>
    <x v="0"/>
    <s v="MPE_FNB_3.2.4.38.1.9b1"/>
    <x v="0"/>
    <x v="14"/>
    <m/>
    <x v="0"/>
    <s v="\\192.168.3.3\Share\Releases\Projects\FNB\Release_For_Test\Test_Build_1.0.1\Server CD\MPE\Setup"/>
    <s v="Pass"/>
    <x v="0"/>
    <m/>
    <m/>
    <m/>
    <s v="Manas Ranjan Barik"/>
    <x v="0"/>
  </r>
  <r>
    <x v="315"/>
    <x v="309"/>
    <n v="3"/>
    <x v="15"/>
    <n v="3"/>
    <s v="IT-LQA"/>
    <x v="20"/>
    <m/>
    <x v="2"/>
    <x v="0"/>
    <x v="0"/>
    <s v="DMDBS_FNB_2.1.1.11.1.4b1"/>
    <x v="0"/>
    <x v="24"/>
    <s v="\\192.168.3.3\Share\Releases\Projects\FNB\Release_For_IT\TestBuild_1.0.1\Server CD\DBS\Setup"/>
    <x v="0"/>
    <s v="\\192.168.3.3\Share\Releases\Projects\FNB\Release_For_Test\Test_Build_1.0.1\Server CD\DBS\Setup"/>
    <s v="Pass"/>
    <x v="1"/>
    <m/>
    <m/>
    <m/>
    <m/>
    <x v="0"/>
  </r>
  <r>
    <x v="315"/>
    <x v="309"/>
    <n v="3"/>
    <x v="15"/>
    <n v="3"/>
    <s v="IT-LQA-UAT"/>
    <x v="0"/>
    <m/>
    <x v="2"/>
    <x v="0"/>
    <x v="0"/>
    <s v="DMDBS_SLT_2.0.0.25.1.219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Paritosh Ghildiyal"/>
    <x v="0"/>
  </r>
  <r>
    <x v="316"/>
    <x v="310"/>
    <n v="3"/>
    <x v="15"/>
    <n v="3"/>
    <s v="LQA"/>
    <x v="20"/>
    <m/>
    <x v="4"/>
    <x v="0"/>
    <x v="0"/>
    <s v="RADBS_FNB_2.2.1.4"/>
    <x v="0"/>
    <x v="24"/>
    <m/>
    <x v="0"/>
    <s v="\\192.168.3.3\Share\Releases\Projects\FNB\Release_For_Test\Test_Build_1.0.1\Server CD\DBS\Setup"/>
    <m/>
    <x v="1"/>
    <m/>
    <m/>
    <m/>
    <m/>
    <x v="1"/>
  </r>
  <r>
    <x v="316"/>
    <x v="310"/>
    <n v="3"/>
    <x v="15"/>
    <n v="3"/>
    <s v="IT-LQA"/>
    <x v="1"/>
    <m/>
    <x v="5"/>
    <x v="0"/>
    <x v="0"/>
    <s v="NMDBS_4.6.1.35b1"/>
    <x v="0"/>
    <x v="9"/>
    <s v="\\192.168.3.3\Share\Releases\Product\Netmind_4.6\Build&amp;Release\ReleaseForIT\TestBuild_4.6.1\Build4\ServerCD\DBS\Setup"/>
    <x v="2"/>
    <s v="\\192.168.3.3\Share\Releases\Product\Netmind_4.6\Build&amp;Release\ReleaseForTest\TestBuild_4.6.1\Build4\ServerCD\DBS\Setup"/>
    <m/>
    <x v="1"/>
    <m/>
    <m/>
    <m/>
    <m/>
    <x v="2"/>
  </r>
  <r>
    <x v="316"/>
    <x v="310"/>
    <n v="3"/>
    <x v="15"/>
    <n v="3"/>
    <s v="LQA-UAT"/>
    <x v="0"/>
    <m/>
    <x v="1"/>
    <x v="1"/>
    <x v="0"/>
    <s v="MPE_SLT-1B_3.0.1.1.1.119b1"/>
    <x v="0"/>
    <x v="6"/>
    <m/>
    <x v="0"/>
    <s v="\\192.168.3.3\Share\Releases\Projects\SLT-1B\Release_For_Test\Test_Build_1.0.0.1\Server CD\MPE\Setup"/>
    <s v="Pass"/>
    <x v="1"/>
    <m/>
    <m/>
    <m/>
    <s v="K.V. Krishnan"/>
    <x v="0"/>
  </r>
  <r>
    <x v="316"/>
    <x v="310"/>
    <n v="3"/>
    <x v="15"/>
    <n v="3"/>
    <s v="LQA-FAT"/>
    <x v="0"/>
    <m/>
    <x v="1"/>
    <x v="1"/>
    <x v="0"/>
    <s v="MPE_SLT-1B_3.0.1.1.1.118b1"/>
    <x v="0"/>
    <x v="6"/>
    <m/>
    <x v="0"/>
    <s v="\\192.168.3.3\Share\Releases\Projects\SLT-1B\Release_For_Test\Test_Build_1.0.0.1\Server CD\MPE\Setup"/>
    <s v="Pass"/>
    <x v="1"/>
    <m/>
    <m/>
    <m/>
    <s v="Rohit Arora"/>
    <x v="0"/>
  </r>
  <r>
    <x v="317"/>
    <x v="311"/>
    <n v="3"/>
    <x v="15"/>
    <n v="3"/>
    <s v="IT-LQA"/>
    <x v="10"/>
    <m/>
    <x v="9"/>
    <x v="0"/>
    <x v="0"/>
    <s v="NPDBS_COM_1.2.3.17.1.26b1"/>
    <x v="0"/>
    <x v="53"/>
    <s v="\\192.168.3.3\Share\Releases\Projects\Comcast\Release_For_IT\Test_Build_4.6.1\Server CD\Database\Setup"/>
    <x v="2"/>
    <s v="\\192.168.3.3\Share\Releases\Projects\Comcast\Release_for_Test\Test_Build_4.6.6\Server CD\Database\Setup"/>
    <m/>
    <x v="1"/>
    <m/>
    <m/>
    <m/>
    <m/>
    <x v="2"/>
  </r>
  <r>
    <x v="317"/>
    <x v="311"/>
    <n v="3"/>
    <x v="15"/>
    <n v="3"/>
    <s v="IT-LQA"/>
    <x v="10"/>
    <m/>
    <x v="5"/>
    <x v="0"/>
    <x v="0"/>
    <s v="NMDBS_COM_4.6.1.34.1.91b1"/>
    <x v="0"/>
    <x v="53"/>
    <s v="\\192.168.3.3\Share\Releases\Projects\Comcast\Release_For_IT\Test_Build_4.6.1\Server CD\Database\Setup"/>
    <x v="2"/>
    <s v="\\192.168.3.3\Share\Releases\Projects\Comcast\Release_for_Test\Test_Build_4.6.6\Server CD\Database\Setup"/>
    <m/>
    <x v="1"/>
    <m/>
    <m/>
    <m/>
    <m/>
    <x v="2"/>
  </r>
  <r>
    <x v="317"/>
    <x v="311"/>
    <n v="3"/>
    <x v="15"/>
    <n v="3"/>
    <s v="LQA-UAT"/>
    <x v="15"/>
    <m/>
    <x v="1"/>
    <x v="1"/>
    <x v="0"/>
    <s v="MPE_CBD_3.2.1.3.2.15b1"/>
    <x v="0"/>
    <x v="46"/>
    <m/>
    <x v="0"/>
    <s v="\\192.168.3.3\share\Releases\Projects\CBD\Release_For_Test\Test_Build_1.0.0.4\Server CD\MPE\RHEL_6.3\Setup"/>
    <s v="Pass"/>
    <x v="1"/>
    <m/>
    <m/>
    <m/>
    <s v="Jitender Aggarwal"/>
    <x v="0"/>
  </r>
  <r>
    <x v="317"/>
    <x v="311"/>
    <n v="3"/>
    <x v="15"/>
    <n v="3"/>
    <s v="LQA-UAT"/>
    <x v="20"/>
    <m/>
    <x v="5"/>
    <x v="0"/>
    <x v="1"/>
    <s v="NMDBS_FNB_4.7.1.4"/>
    <x v="0"/>
    <x v="7"/>
    <m/>
    <x v="0"/>
    <s v="\\192.168.3.3\Share\Releases\Projects\FNB\Release_For_Test\Test_Build_1.0.1\Server CD\DBS\Setup"/>
    <s v="Pass"/>
    <x v="1"/>
    <m/>
    <m/>
    <m/>
    <s v="Pradeep Raghav"/>
    <x v="0"/>
  </r>
  <r>
    <x v="318"/>
    <x v="312"/>
    <n v="3"/>
    <x v="15"/>
    <n v="3"/>
    <s v="LQA"/>
    <x v="20"/>
    <m/>
    <x v="4"/>
    <x v="0"/>
    <x v="1"/>
    <s v="RADBS_FNB_3.0.1.1"/>
    <x v="0"/>
    <x v="24"/>
    <m/>
    <x v="0"/>
    <s v="\\192.168.3.3\Share\Releases\Projects\FNB\Release_For_Test\Test_Build_1.0.2\Server CD\DBS\Setup"/>
    <s v="Pass"/>
    <x v="1"/>
    <m/>
    <m/>
    <m/>
    <m/>
    <x v="0"/>
  </r>
  <r>
    <x v="319"/>
    <x v="313"/>
    <n v="4"/>
    <x v="16"/>
    <n v="4"/>
    <s v="LQA-FAT"/>
    <x v="0"/>
    <m/>
    <x v="1"/>
    <x v="1"/>
    <x v="0"/>
    <s v="MPE_SLT-1B_3.0.1.1.1.120b1"/>
    <x v="0"/>
    <x v="6"/>
    <m/>
    <x v="0"/>
    <s v="\\192.168.3.3\Share\Releases\Projects\SLT-1B\Release_For_Test\Test_Build_1.0.0.1\Server CD\MPE\Setup"/>
    <s v="Pass"/>
    <x v="1"/>
    <m/>
    <m/>
    <m/>
    <s v="Rohit Arora"/>
    <x v="0"/>
  </r>
  <r>
    <x v="320"/>
    <x v="314"/>
    <n v="4"/>
    <x v="16"/>
    <n v="4"/>
    <s v="IT-LQA"/>
    <x v="10"/>
    <m/>
    <x v="5"/>
    <x v="0"/>
    <x v="0"/>
    <s v="NMDBS_COM_4.6.1.34.1.92b1"/>
    <x v="0"/>
    <x v="39"/>
    <s v="\\192.168.3.3\Share\Releases\Projects\Comcast\Release_For_IT\Test_Build_4.6.1\Server CD\Database\Setup"/>
    <x v="2"/>
    <s v="\\192.168.3.3\Share\Releases\Projects\Comcast\Release_for_Test\Test_Build_4.6.7\Server CD\Database\Setup"/>
    <m/>
    <x v="1"/>
    <m/>
    <m/>
    <m/>
    <m/>
    <x v="2"/>
  </r>
  <r>
    <x v="320"/>
    <x v="314"/>
    <n v="4"/>
    <x v="16"/>
    <n v="4"/>
    <s v="IT-LQA-UAT"/>
    <x v="17"/>
    <m/>
    <x v="1"/>
    <x v="1"/>
    <x v="0"/>
    <s v="PATCH_MPE_3.0.4.01_CPMTS.04_44.1"/>
    <x v="0"/>
    <x v="46"/>
    <s v="\\192.168.3.3\share\Releases\Projects\MTS\Release For IT\Test_Build_3.0.5.25\Server CD\MPE\Setup"/>
    <x v="0"/>
    <s v="\\192.168.3.3\Share\Releases\Projects\MTS\Release For Test\Test_Build_3.0.5.25\Server CD\MPE\Setup"/>
    <s v="Pass"/>
    <x v="1"/>
    <m/>
    <m/>
    <m/>
    <s v="Surya N Behera"/>
    <x v="0"/>
  </r>
  <r>
    <x v="320"/>
    <x v="314"/>
    <n v="4"/>
    <x v="16"/>
    <n v="4"/>
    <s v="IT-LQA"/>
    <x v="21"/>
    <s v="phase1 (A+B)"/>
    <x v="2"/>
    <x v="0"/>
    <x v="0"/>
    <s v="DMDBS_TLSTR-ST_2.1.1.8.1.36b1"/>
    <x v="0"/>
    <x v="3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320"/>
    <x v="314"/>
    <n v="4"/>
    <x v="16"/>
    <n v="4"/>
    <s v="IT-LQA-UAT"/>
    <x v="0"/>
    <m/>
    <x v="2"/>
    <x v="0"/>
    <x v="0"/>
    <s v="DMDBS_SLT_2.0.0.25.1.220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Paritosh Ghildiyal"/>
    <x v="0"/>
  </r>
  <r>
    <x v="321"/>
    <x v="315"/>
    <n v="4"/>
    <x v="16"/>
    <n v="4"/>
    <s v="IT-LQA"/>
    <x v="21"/>
    <s v="phase 3"/>
    <x v="2"/>
    <x v="0"/>
    <x v="0"/>
    <s v="DMDBS_TLSTR-ST_2.1.1.8.1.38b1"/>
    <x v="0"/>
    <x v="61"/>
    <s v="\\192.168.3.3\Share\Releases\Projects\TLSTR-ST\Release_For_Test\Test_Build_1.0.1\Server CD\DBS\Setup"/>
    <x v="0"/>
    <s v="\\192.168.3.3\Share\Releases\Projects\TLSTR-ST\Release_For_IT\TestBuild_1.0.1\Server CD\DBS\Setup"/>
    <m/>
    <x v="1"/>
    <m/>
    <m/>
    <m/>
    <m/>
    <x v="1"/>
  </r>
  <r>
    <x v="321"/>
    <x v="315"/>
    <n v="4"/>
    <x v="16"/>
    <n v="4"/>
    <s v="IT-LQA"/>
    <x v="21"/>
    <s v="phase1 (A+B)"/>
    <x v="2"/>
    <x v="0"/>
    <x v="0"/>
    <s v="DMDBS_TLSTR-ST_2.1.1.8.1.37b1"/>
    <x v="0"/>
    <x v="3"/>
    <s v="\\192.168.3.3\Share\Releases\Projects\TLSTR-ST\Release_For_Test\Test_Build_1.0.1\Server CD\DBS\Setup"/>
    <x v="0"/>
    <s v="\\192.168.3.3\Share\Releases\Projects\TLSTR-ST\Release_For_IT\TestBuild_1.0.1\Server CD\DBS\Setup"/>
    <m/>
    <x v="0"/>
    <m/>
    <m/>
    <m/>
    <m/>
    <x v="1"/>
  </r>
  <r>
    <x v="321"/>
    <x v="315"/>
    <n v="4"/>
    <x v="16"/>
    <n v="4"/>
    <s v="LQA"/>
    <x v="1"/>
    <m/>
    <x v="0"/>
    <x v="2"/>
    <x v="0"/>
    <s v="REGUI_1.0.11.1b1"/>
    <x v="0"/>
    <x v="64"/>
    <m/>
    <x v="2"/>
    <s v="\\192.168.3.3\Share\Releases\Product\RE_1.0\ReleaseForLQA\TestBuild_1.0.1\GUI\Setup"/>
    <m/>
    <x v="1"/>
    <m/>
    <m/>
    <m/>
    <m/>
    <x v="2"/>
  </r>
  <r>
    <x v="321"/>
    <x v="315"/>
    <n v="4"/>
    <x v="16"/>
    <n v="4"/>
    <s v="LQA"/>
    <x v="0"/>
    <m/>
    <x v="11"/>
    <x v="6"/>
    <x v="0"/>
    <s v="UTLFDUP_SLT-1B_1.0.0.0.5.4b1"/>
    <x v="0"/>
    <x v="6"/>
    <m/>
    <x v="0"/>
    <s v="\\192.168.3.3\Share\Releases\Projects\SLT-1B\Release_For_Test\Test_Build_1.0.0.1\Utility\MPE\Setup"/>
    <m/>
    <x v="1"/>
    <m/>
    <m/>
    <m/>
    <m/>
    <x v="1"/>
  </r>
  <r>
    <x v="321"/>
    <x v="315"/>
    <n v="4"/>
    <x v="16"/>
    <n v="4"/>
    <s v="LQA"/>
    <x v="0"/>
    <m/>
    <x v="11"/>
    <x v="6"/>
    <x v="0"/>
    <s v="UTLSEQM_SLT-1B_1.0.0.0.5.11b1"/>
    <x v="0"/>
    <x v="6"/>
    <m/>
    <x v="0"/>
    <s v="\\192.168.3.3\Share\Releases\Projects\SLT-1B\Release_For_Test\Test_Build_1.0.0.1\Utility\MPE\Setup"/>
    <m/>
    <x v="1"/>
    <m/>
    <m/>
    <m/>
    <m/>
    <x v="1"/>
  </r>
  <r>
    <x v="322"/>
    <x v="316"/>
    <n v="4"/>
    <x v="16"/>
    <n v="4"/>
    <s v="IT-LQA-UAT"/>
    <x v="3"/>
    <m/>
    <x v="5"/>
    <x v="0"/>
    <x v="0"/>
    <s v="NMDBS_OBT_4.6.1.27.1.47b1"/>
    <x v="0"/>
    <x v="24"/>
    <s v="\\192.168.3.3\Share\Releases\Projects\OBT\Release_For_IT\TestBuild_1.0.0.2\Server CD\DBS\Setup"/>
    <x v="0"/>
    <s v="\\192.168.3.3\Share\Releases\Projects\OBT\Release_For_LQA\TestBuild_1.0.0.7\Server CD\DBS\Setup"/>
    <s v="Pass"/>
    <x v="0"/>
    <m/>
    <m/>
    <m/>
    <s v="Mamta Bora"/>
    <x v="0"/>
  </r>
  <r>
    <x v="322"/>
    <x v="316"/>
    <n v="4"/>
    <x v="16"/>
    <n v="4"/>
    <s v="IT-LQA-UAT"/>
    <x v="0"/>
    <m/>
    <x v="2"/>
    <x v="0"/>
    <x v="0"/>
    <s v="DMDBS_SLT_2.0.0.26.1.221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Paritosh Ghildiyal"/>
    <x v="0"/>
  </r>
  <r>
    <x v="322"/>
    <x v="316"/>
    <n v="4"/>
    <x v="16"/>
    <n v="4"/>
    <s v="LQA-UAT"/>
    <x v="16"/>
    <m/>
    <x v="5"/>
    <x v="1"/>
    <x v="0"/>
    <s v="NMMPE_TLN_2.0.3.52.1"/>
    <x v="0"/>
    <x v="14"/>
    <m/>
    <x v="0"/>
    <s v="\\192.168.3.3\Share\Releases\Projects\Telenet\Build&amp;Release\Release For Test\Test_Build_4.0.41\Server CD\MPE\Setup"/>
    <s v="Pass"/>
    <x v="1"/>
    <m/>
    <m/>
    <m/>
    <s v="Pradeep Raghav"/>
    <x v="0"/>
  </r>
  <r>
    <x v="322"/>
    <x v="316"/>
    <n v="4"/>
    <x v="16"/>
    <n v="4"/>
    <s v="LQA"/>
    <x v="0"/>
    <m/>
    <x v="0"/>
    <x v="2"/>
    <x v="0"/>
    <s v="REGUI_SLT_1.0.11.1.2"/>
    <x v="0"/>
    <x v="64"/>
    <m/>
    <x v="2"/>
    <s v="\\192.168.3.3\Share\Releases\Projects\SLT\Release_For_LQA\Test_Build_1.0.0.24\Server CD\GUI\Setup"/>
    <m/>
    <x v="1"/>
    <m/>
    <m/>
    <m/>
    <m/>
    <x v="2"/>
  </r>
  <r>
    <x v="323"/>
    <x v="317"/>
    <n v="4"/>
    <x v="16"/>
    <n v="4"/>
    <s v="IT-LQA"/>
    <x v="1"/>
    <m/>
    <x v="5"/>
    <x v="0"/>
    <x v="0"/>
    <s v="NMDBS_4.6.1.35b2"/>
    <x v="0"/>
    <x v="9"/>
    <s v="\\192.168.3.3\Share\Releases\Product\Netmind_4.6\Build&amp;Release\ReleaseForIT\TestBuild_4.6.1\Build4\ServerCD\DBS\Setup"/>
    <x v="0"/>
    <s v="\\192.168.3.3\Share\Releases\Product\Netmind_4.6\Build&amp;Release\ReleaseForTest\TestBuild_4.6.1\Build4\ServerCD\DBS\Setup"/>
    <m/>
    <x v="1"/>
    <m/>
    <m/>
    <m/>
    <m/>
    <x v="1"/>
  </r>
  <r>
    <x v="324"/>
    <x v="318"/>
    <n v="4"/>
    <x v="16"/>
    <n v="4"/>
    <s v="LQA-UAT"/>
    <x v="20"/>
    <m/>
    <x v="1"/>
    <x v="1"/>
    <x v="0"/>
    <s v="MPE_FNB_3.2.4.38.1.10b1"/>
    <x v="0"/>
    <x v="14"/>
    <m/>
    <x v="0"/>
    <s v="\\192.168.3.3\Share\Releases\Projects\FNB\Release_For_Test\Test_Build_1.0.1\Server CD\MPE\Setup"/>
    <s v="Pass"/>
    <x v="1"/>
    <m/>
    <m/>
    <m/>
    <s v="Manas Ranjan Barik"/>
    <x v="0"/>
  </r>
  <r>
    <x v="324"/>
    <x v="318"/>
    <n v="4"/>
    <x v="16"/>
    <n v="4"/>
    <s v="LQA-UAT"/>
    <x v="20"/>
    <m/>
    <x v="5"/>
    <x v="0"/>
    <x v="1"/>
    <s v="NMDBS_FNB_4.7.1.5"/>
    <x v="0"/>
    <x v="5"/>
    <m/>
    <x v="0"/>
    <s v="\\192.168.3.3\Share\Releases\Projects\FNB\Release_For_Test\Test_Build_1.0.1\Server CD\DBS\Setup"/>
    <s v="Pass"/>
    <x v="1"/>
    <m/>
    <m/>
    <m/>
    <s v="Pradeep Raghav"/>
    <x v="0"/>
  </r>
  <r>
    <x v="325"/>
    <x v="319"/>
    <n v="4"/>
    <x v="16"/>
    <n v="4"/>
    <s v="IT-LQA-UAT"/>
    <x v="8"/>
    <m/>
    <x v="5"/>
    <x v="0"/>
    <x v="0"/>
    <s v="NMDBS_TWC_4.6.1.11.3.60b1"/>
    <x v="0"/>
    <x v="7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Ajay Kumar Pandey"/>
    <x v="0"/>
  </r>
  <r>
    <x v="325"/>
    <x v="319"/>
    <n v="4"/>
    <x v="16"/>
    <n v="4"/>
    <s v="IT-LQA-UAT"/>
    <x v="17"/>
    <m/>
    <x v="5"/>
    <x v="0"/>
    <x v="0"/>
    <s v="PATCH_DBS_3.0.5.03_CPMTS.02_88.1"/>
    <x v="0"/>
    <x v="24"/>
    <s v="\\192.168.3.3\Share\Releases\Projects\MTS\Release For IT\Test_Build_3.0.5.25\Server CD\Database\Setup"/>
    <x v="0"/>
    <s v="\\192.168.3.3\Share\Releases\Projects\MTS\Release For Test\Test_Build_3.0.5.25\Server CD\Database\Setup"/>
    <s v="Pass"/>
    <x v="1"/>
    <m/>
    <m/>
    <m/>
    <s v="Surya N Behera"/>
    <x v="0"/>
  </r>
  <r>
    <x v="325"/>
    <x v="319"/>
    <n v="4"/>
    <x v="16"/>
    <n v="4"/>
    <s v="IT-LQA-UAT"/>
    <x v="17"/>
    <m/>
    <x v="1"/>
    <x v="1"/>
    <x v="0"/>
    <s v="PATCH_MPE_3.0.4.01_CPMTS.04_45.1"/>
    <x v="0"/>
    <x v="46"/>
    <s v="\\192.168.3.3\share\Releases\Projects\MTS\Release For IT\Test_Build_3.0.5.25\Server CD\MPE\Setup"/>
    <x v="0"/>
    <s v="\\192.168.3.3\share\Releases\Projects\MTS\Release For IT\Test_Build_3.0.5.25\Server CD\MPE\Setup"/>
    <s v="Pass"/>
    <x v="1"/>
    <m/>
    <m/>
    <m/>
    <s v="Surya N Behera"/>
    <x v="0"/>
  </r>
  <r>
    <x v="325"/>
    <x v="319"/>
    <n v="4"/>
    <x v="16"/>
    <n v="4"/>
    <s v="IT-LQA-UAT"/>
    <x v="1"/>
    <m/>
    <x v="7"/>
    <x v="0"/>
    <x v="0"/>
    <s v="RTDBS_4.0.1.31b1"/>
    <x v="0"/>
    <x v="24"/>
    <s v="\\192.168.3.3\Share\Releases\Product\RT_4.0\ReleaseForIT\TestBuild_4.0.3\DBS\Setup"/>
    <x v="0"/>
    <s v="\\192.168.3.3\Share\Releases\Product\RT_4.0\ReleaseForLQA\TestBuild_4.0.24\DBS\Setup"/>
    <s v="Pass"/>
    <x v="1"/>
    <m/>
    <m/>
    <m/>
    <s v="Rajan Sharma"/>
    <x v="0"/>
  </r>
  <r>
    <x v="325"/>
    <x v="319"/>
    <n v="4"/>
    <x v="16"/>
    <n v="4"/>
    <s v="LQA"/>
    <x v="1"/>
    <m/>
    <x v="11"/>
    <x v="6"/>
    <x v="0"/>
    <s v="AWF_2.0.1b33"/>
    <x v="0"/>
    <x v="35"/>
    <m/>
    <x v="0"/>
    <s v="\\192.168.3.3\Share\Releases\Product\AWF\Build&amp;Release\Release For Test\TestBuild_2.0.1\Setup"/>
    <m/>
    <x v="1"/>
    <m/>
    <m/>
    <m/>
    <m/>
    <x v="1"/>
  </r>
  <r>
    <x v="325"/>
    <x v="319"/>
    <n v="4"/>
    <x v="16"/>
    <n v="4"/>
    <s v="LQA"/>
    <x v="1"/>
    <m/>
    <x v="9"/>
    <x v="0"/>
    <x v="1"/>
    <s v="NPDBS_1.3.2b4"/>
    <x v="0"/>
    <x v="54"/>
    <m/>
    <x v="2"/>
    <s v="\\192.168.3.3\Share\Releases\Product\NetMindPOS_1.3\Build&amp;Release\Release_For_LQA\Test_Build_1.0.3\Server CD\DBS\Setup"/>
    <m/>
    <x v="1"/>
    <m/>
    <m/>
    <m/>
    <m/>
    <x v="2"/>
  </r>
  <r>
    <x v="325"/>
    <x v="319"/>
    <n v="4"/>
    <x v="16"/>
    <n v="4"/>
    <s v="IT-LQA-UAT"/>
    <x v="7"/>
    <m/>
    <x v="5"/>
    <x v="7"/>
    <x v="0"/>
    <s v="NMWFS_VON_4.0.13"/>
    <x v="0"/>
    <x v="47"/>
    <s v="\\192.168.3.3\Share\Releases\Projects\Vonage\Release_For_IT\Test_Build_4.0.18\Client CD\GUI\WFS\Setup"/>
    <x v="0"/>
    <s v="\\192.168.3.3\Share\Releases\Projects\Vonage\Release_For_LQA\Test_Build_4.0.18\Client CD\GUI\WFS\Setup"/>
    <s v="Pass"/>
    <x v="1"/>
    <m/>
    <m/>
    <m/>
    <s v="Rajan Sharma"/>
    <x v="0"/>
  </r>
  <r>
    <x v="325"/>
    <x v="319"/>
    <n v="4"/>
    <x v="16"/>
    <n v="4"/>
    <s v="IT-LQA-UAT"/>
    <x v="0"/>
    <m/>
    <x v="2"/>
    <x v="0"/>
    <x v="0"/>
    <s v="DMDBS_SLT_2.0.0.26.1.222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Paritosh Ghildiyal"/>
    <x v="0"/>
  </r>
  <r>
    <x v="325"/>
    <x v="319"/>
    <n v="4"/>
    <x v="16"/>
    <n v="4"/>
    <s v="LQA"/>
    <x v="1"/>
    <m/>
    <x v="6"/>
    <x v="3"/>
    <x v="1"/>
    <s v="IM_1.0.6b1"/>
    <x v="0"/>
    <x v="35"/>
    <m/>
    <x v="0"/>
    <s v="\\192.168.3.3\Share\Releases\Product\IM_1.0\Build&amp;Release\Release_For_LQA\Test_Build_1.0.5\Server CD\IM\Setup"/>
    <m/>
    <x v="1"/>
    <m/>
    <m/>
    <m/>
    <m/>
    <x v="1"/>
  </r>
  <r>
    <x v="325"/>
    <x v="319"/>
    <n v="4"/>
    <x v="16"/>
    <n v="4"/>
    <s v="LQA-UAT"/>
    <x v="1"/>
    <m/>
    <x v="7"/>
    <x v="2"/>
    <x v="1"/>
    <s v="RTGUI_4.0.37b1"/>
    <x v="0"/>
    <x v="60"/>
    <m/>
    <x v="0"/>
    <s v="\\192.168.3.3\Share\Releases\Product\RT_4.0\ReleaseForLQA\TestBuild_4.0.24\GUI\Build1\Setup "/>
    <s v="Pass"/>
    <x v="0"/>
    <m/>
    <m/>
    <m/>
    <s v="Rajan Sharma"/>
    <x v="0"/>
  </r>
  <r>
    <x v="325"/>
    <x v="319"/>
    <n v="4"/>
    <x v="16"/>
    <n v="4"/>
    <s v="IT-LQA-UAT"/>
    <x v="0"/>
    <m/>
    <x v="2"/>
    <x v="0"/>
    <x v="0"/>
    <s v="DMDBS_SLT_2.0.0.26.1.223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Paritosh Ghildiyal"/>
    <x v="0"/>
  </r>
  <r>
    <x v="325"/>
    <x v="319"/>
    <n v="4"/>
    <x v="16"/>
    <n v="4"/>
    <s v="LQA-UAT"/>
    <x v="5"/>
    <m/>
    <x v="6"/>
    <x v="3"/>
    <x v="1"/>
    <s v="IM_BHN_1.0.6.0.1"/>
    <x v="0"/>
    <x v="35"/>
    <m/>
    <x v="0"/>
    <s v="\\192.168.3.3\share\Releases\Projects\BHN\Release_For_Test\Test_Build_1.0.6\Server CD\IM\Setup"/>
    <s v="Pass"/>
    <x v="1"/>
    <m/>
    <m/>
    <m/>
    <s v="Abhishek Leekha"/>
    <x v="0"/>
  </r>
  <r>
    <x v="326"/>
    <x v="320"/>
    <n v="4"/>
    <x v="16"/>
    <n v="4"/>
    <s v="LQA"/>
    <x v="0"/>
    <m/>
    <x v="1"/>
    <x v="1"/>
    <x v="0"/>
    <s v="MPE_SLT-1B_3.0.1.1.1.121b1"/>
    <x v="0"/>
    <x v="6"/>
    <m/>
    <x v="0"/>
    <s v="\\192.168.3.3\Share\Releases\Projects\SLT-1B\Release_For_Test\Test_Build_1.0.0.1\Server CD\MPE\Setup"/>
    <m/>
    <x v="1"/>
    <m/>
    <m/>
    <m/>
    <m/>
    <x v="1"/>
  </r>
  <r>
    <x v="326"/>
    <x v="320"/>
    <n v="4"/>
    <x v="16"/>
    <n v="4"/>
    <s v="LQA"/>
    <x v="1"/>
    <m/>
    <x v="1"/>
    <x v="2"/>
    <x v="1"/>
    <s v="MPEGUI_1.1.3b2"/>
    <x v="0"/>
    <x v="35"/>
    <m/>
    <x v="0"/>
    <s v="\\192.168.3.3\Share\Releases\Product\MEDGUI_1.1\Build&amp;Release\Release_For_LQA\Test_Build_1.0.2\Server CD\GUI\Setup"/>
    <m/>
    <x v="0"/>
    <m/>
    <m/>
    <m/>
    <m/>
    <x v="1"/>
  </r>
  <r>
    <x v="326"/>
    <x v="320"/>
    <n v="4"/>
    <x v="16"/>
    <n v="4"/>
    <s v="LQA"/>
    <x v="1"/>
    <m/>
    <x v="1"/>
    <x v="0"/>
    <x v="1"/>
    <s v="MPEDBS_1.1.1b3"/>
    <x v="0"/>
    <x v="5"/>
    <m/>
    <x v="2"/>
    <s v="\\192.168.3.3\Share\Releases\Product\MEDGUI_1.1\Build&amp;Release\Release_For_LQA\Test_Build_1.0.2\Server CD\DBS\Setup"/>
    <m/>
    <x v="1"/>
    <m/>
    <m/>
    <m/>
    <m/>
    <x v="2"/>
  </r>
  <r>
    <x v="327"/>
    <x v="321"/>
    <n v="4"/>
    <x v="16"/>
    <n v="4"/>
    <s v="LQA"/>
    <x v="1"/>
    <m/>
    <x v="1"/>
    <x v="1"/>
    <x v="1"/>
    <s v="MPE_3.2.7b3"/>
    <x v="0"/>
    <x v="30"/>
    <m/>
    <x v="2"/>
    <s v="\\192.168.3.3\Share\Releases\Product\MEDGUI_1.1\Build&amp;Release\Release_For_LQA\Test_Build_1.0.2\Server CD\MPE\Setup\RHEL_6.3"/>
    <m/>
    <x v="1"/>
    <m/>
    <m/>
    <m/>
    <m/>
    <x v="2"/>
  </r>
  <r>
    <x v="328"/>
    <x v="322"/>
    <n v="4"/>
    <x v="16"/>
    <n v="4"/>
    <s v="LQA"/>
    <x v="1"/>
    <m/>
    <x v="1"/>
    <x v="0"/>
    <x v="1"/>
    <s v="MPEDBS_1.1.1b4-"/>
    <x v="0"/>
    <x v="5"/>
    <m/>
    <x v="0"/>
    <s v="\\192.168.3.3\Share\Releases\Product\MEDGUI_1.1\Build&amp;Release\Release_For_LQA\Test_Build_1.0.2\Server CD\DBS\Setup"/>
    <m/>
    <x v="0"/>
    <m/>
    <m/>
    <m/>
    <m/>
    <x v="1"/>
  </r>
  <r>
    <x v="329"/>
    <x v="323"/>
    <n v="4"/>
    <x v="16"/>
    <n v="4"/>
    <s v="IT-LQA-UAT"/>
    <x v="8"/>
    <m/>
    <x v="5"/>
    <x v="0"/>
    <x v="0"/>
    <s v="NMDBS_TWC_4.6.1.11.3.61b1"/>
    <x v="0"/>
    <x v="7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Ajay Kumar Pandey"/>
    <x v="0"/>
  </r>
  <r>
    <x v="329"/>
    <x v="323"/>
    <n v="4"/>
    <x v="16"/>
    <n v="4"/>
    <s v="IT-LQA"/>
    <x v="21"/>
    <s v="phase 3"/>
    <x v="2"/>
    <x v="0"/>
    <x v="0"/>
    <s v="DMDBS_TLSTR-ST_2.1.1.8.1.39b1"/>
    <x v="0"/>
    <x v="61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329"/>
    <x v="323"/>
    <n v="4"/>
    <x v="16"/>
    <n v="4"/>
    <s v="IT-LQA"/>
    <x v="21"/>
    <s v="phase1 (A+B)"/>
    <x v="2"/>
    <x v="0"/>
    <x v="0"/>
    <s v="DMDBS_TLSTR-ST_2.1.1.8.1.39b1"/>
    <x v="0"/>
    <x v="3"/>
    <s v="\\192.168.3.3\Share\Releases\Projects\TLSTR-ST\Release_For_IT\TestBuild_1.0.1\Server CD\DBS\Setup"/>
    <x v="0"/>
    <s v="\\192.168.3.3\Share\Releases\Projects\TLSTR-ST\Release_For_Test\Test_Build_1.0.1\Server CD\DBS\Setup"/>
    <m/>
    <x v="0"/>
    <m/>
    <m/>
    <m/>
    <m/>
    <x v="1"/>
  </r>
  <r>
    <x v="329"/>
    <x v="323"/>
    <n v="4"/>
    <x v="16"/>
    <n v="4"/>
    <s v="LQA-UAT"/>
    <x v="4"/>
    <m/>
    <x v="1"/>
    <x v="1"/>
    <x v="0"/>
    <s v="MPE_TLSTR-2b_3.0.0.3.1.111b1"/>
    <x v="0"/>
    <x v="11"/>
    <m/>
    <x v="0"/>
    <s v="\\192.168.3.3\Share\Releases\Projects\Telstra-2b\Release_For_Test\Test_Build_1.0.0.1\Server CD\MPE\Setup"/>
    <s v="Pass"/>
    <x v="1"/>
    <m/>
    <m/>
    <m/>
    <s v="Gaurav Shukla"/>
    <x v="0"/>
  </r>
  <r>
    <x v="330"/>
    <x v="324"/>
    <n v="4"/>
    <x v="16"/>
    <n v="4"/>
    <s v="IT-LQA"/>
    <x v="10"/>
    <m/>
    <x v="5"/>
    <x v="0"/>
    <x v="0"/>
    <s v="NMDBS_COM_4.6.1.34.1.92b2"/>
    <x v="0"/>
    <x v="39"/>
    <s v="\\192.168.3.3\Share\Releases\Projects\Comcast\Release_For_IT\Test_Build_4.6.1\Server CD\Database\Setup"/>
    <x v="2"/>
    <s v="\\192.168.3.3\Share\Releases\Projects\Comcast\Release_for_Test\Test_Build_4.6.7\Server CD\Database\Setup"/>
    <m/>
    <x v="1"/>
    <m/>
    <m/>
    <m/>
    <m/>
    <x v="2"/>
  </r>
  <r>
    <x v="330"/>
    <x v="324"/>
    <n v="4"/>
    <x v="16"/>
    <n v="4"/>
    <s v="IT-LQA-UAT"/>
    <x v="0"/>
    <m/>
    <x v="2"/>
    <x v="0"/>
    <x v="0"/>
    <s v="DMDBS_SLT_2.0.0.26.1.224b1"/>
    <x v="0"/>
    <x v="44"/>
    <s v="\\192.168.3.3\Share\Releases\Projects\SLT\Release_For_LQA\Test_Build_1.0.0.24\Server CD\DBS\Setup"/>
    <x v="0"/>
    <s v="\\192.168.3.3\Share\Releases\Projects\SLT\Release_For_IT\Test_Build_1.0.0.4\Server CD\DBS\Setup"/>
    <s v="Pass"/>
    <x v="1"/>
    <m/>
    <m/>
    <m/>
    <s v="Paritosh Ghildiyal"/>
    <x v="0"/>
  </r>
  <r>
    <x v="330"/>
    <x v="324"/>
    <n v="4"/>
    <x v="16"/>
    <n v="4"/>
    <s v="IT-LQA"/>
    <x v="0"/>
    <m/>
    <x v="2"/>
    <x v="0"/>
    <x v="0"/>
    <s v="DMDBS_SLT_2.0.0.26.1.225b1"/>
    <x v="0"/>
    <x v="44"/>
    <s v="\\192.168.3.3\Share\Releases\Projects\SLT\Release_For_LQA\Test_Build_1.0.0.24\Server CD\DBS\Setup"/>
    <x v="0"/>
    <s v="\\192.168.3.3\Share\Releases\Projects\SLT\Release_For_IT\Test_Build_1.0.0.4\Server CD\DBS\Setup"/>
    <m/>
    <x v="1"/>
    <m/>
    <m/>
    <m/>
    <m/>
    <x v="1"/>
  </r>
  <r>
    <x v="330"/>
    <x v="324"/>
    <n v="4"/>
    <x v="16"/>
    <n v="4"/>
    <s v="LQA-UAT"/>
    <x v="4"/>
    <m/>
    <x v="1"/>
    <x v="1"/>
    <x v="0"/>
    <s v="MPE_TWC_3.2.1.5.2.28b1"/>
    <x v="0"/>
    <x v="46"/>
    <m/>
    <x v="0"/>
    <s v="\\192.168.3.3\Share\Releases\Projects\TWC\Release_For_Test\Test_Build_1.0.0.4\Server CD\MPE\Setup"/>
    <s v="Pass"/>
    <x v="1"/>
    <m/>
    <m/>
    <m/>
    <s v="Surya N Behera"/>
    <x v="0"/>
  </r>
  <r>
    <x v="330"/>
    <x v="324"/>
    <n v="4"/>
    <x v="16"/>
    <n v="4"/>
    <s v="IT-LQA"/>
    <x v="21"/>
    <s v="phase1 (A+B)"/>
    <x v="2"/>
    <x v="0"/>
    <x v="0"/>
    <s v="DMDBS_TLSTR-ST_2.1.1.8.1.41b1"/>
    <x v="0"/>
    <x v="3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330"/>
    <x v="324"/>
    <n v="4"/>
    <x v="16"/>
    <n v="4"/>
    <s v="LQA"/>
    <x v="0"/>
    <m/>
    <x v="1"/>
    <x v="1"/>
    <x v="0"/>
    <s v="MPE_SLT-1B_3.0.1.1.1.122b1"/>
    <x v="0"/>
    <x v="6"/>
    <m/>
    <x v="0"/>
    <s v="\\192.168.3.3\Share\Releases\Projects\SLT-1B\Release_For_Test\Test_Build_1.0.0.1\Server CD\MPE\Setup"/>
    <m/>
    <x v="1"/>
    <m/>
    <m/>
    <m/>
    <m/>
    <x v="1"/>
  </r>
  <r>
    <x v="331"/>
    <x v="325"/>
    <n v="4"/>
    <x v="16"/>
    <n v="4"/>
    <s v="LQA"/>
    <x v="1"/>
    <m/>
    <x v="0"/>
    <x v="2"/>
    <x v="1"/>
    <s v="REGUI_1.0.11.1b2"/>
    <x v="0"/>
    <x v="64"/>
    <m/>
    <x v="0"/>
    <s v="\\192.168.3.3\Share\Releases\Product\RE_1.0\ReleaseForLQA\TestBuild_1.0.1\GUI\Setup"/>
    <m/>
    <x v="1"/>
    <m/>
    <m/>
    <m/>
    <m/>
    <x v="1"/>
  </r>
  <r>
    <x v="331"/>
    <x v="325"/>
    <n v="4"/>
    <x v="16"/>
    <n v="4"/>
    <s v="LQA"/>
    <x v="1"/>
    <m/>
    <x v="5"/>
    <x v="0"/>
    <x v="1"/>
    <s v="NMDBS_4.8.1b1"/>
    <x v="0"/>
    <x v="9"/>
    <m/>
    <x v="2"/>
    <s v="\\192.168.3.3\Share\Releases\Product\Netmind_4.8\Build&amp;Release\Release_For_LQA\Test_Build_1.0.1\Server CD\DBS\Setup"/>
    <m/>
    <x v="1"/>
    <m/>
    <m/>
    <m/>
    <m/>
    <x v="2"/>
  </r>
  <r>
    <x v="332"/>
    <x v="326"/>
    <n v="4"/>
    <x v="16"/>
    <n v="4"/>
    <s v="LQA-UAT"/>
    <x v="0"/>
    <m/>
    <x v="0"/>
    <x v="2"/>
    <x v="1"/>
    <s v="REGUI_SLT_1.0.11.1.3"/>
    <x v="0"/>
    <x v="64"/>
    <m/>
    <x v="0"/>
    <s v="\\192.168.3.3\Share\Releases\Projects\SLT\Release_For_LQA\Test_Build_1.0.0.24\Server CD\GUI\Setup"/>
    <s v="Pass"/>
    <x v="1"/>
    <m/>
    <m/>
    <m/>
    <s v="KV krishna"/>
    <x v="0"/>
  </r>
  <r>
    <x v="333"/>
    <x v="327"/>
    <n v="4"/>
    <x v="16"/>
    <n v="4"/>
    <s v="LQA"/>
    <x v="1"/>
    <m/>
    <x v="0"/>
    <x v="0"/>
    <x v="1"/>
    <s v="REDBS_2.0.1b5"/>
    <x v="0"/>
    <x v="17"/>
    <m/>
    <x v="0"/>
    <s v="\\192.168.3.3\Share\Releases\Product\RE_2.0\Build&amp;Release\Release_For_LQA\Test_Build_1.0.1\Server CD\DBS\Setup"/>
    <m/>
    <x v="1"/>
    <m/>
    <m/>
    <m/>
    <m/>
    <x v="1"/>
  </r>
  <r>
    <x v="333"/>
    <x v="327"/>
    <n v="4"/>
    <x v="16"/>
    <n v="4"/>
    <s v="LQA"/>
    <x v="0"/>
    <m/>
    <x v="1"/>
    <x v="1"/>
    <x v="0"/>
    <s v="MPE_SLT-1B_3.0.1.1.1.123b1"/>
    <x v="0"/>
    <x v="6"/>
    <m/>
    <x v="0"/>
    <s v="\\192.168.3.3\Share\Releases\Projects\SLT-1B\Release_For_Test\Test_Build_1.0.0.1\Server CD\MPE\Setup"/>
    <m/>
    <x v="1"/>
    <m/>
    <m/>
    <m/>
    <m/>
    <x v="1"/>
  </r>
  <r>
    <x v="333"/>
    <x v="327"/>
    <n v="4"/>
    <x v="16"/>
    <n v="4"/>
    <s v="IT-LQA-UAT"/>
    <x v="0"/>
    <m/>
    <x v="4"/>
    <x v="0"/>
    <x v="0"/>
    <s v="RADBS_SLT_2.1.1.15.1.104b1"/>
    <x v="0"/>
    <x v="44"/>
    <s v="\\192.168.3.3\Share\Releases\Projects\SLT\Release_For_LQA\Test_Build_1.0.0.24\Server CD\DBS\Setup"/>
    <x v="0"/>
    <s v="\\192.168.3.3\Share\Releases\Projects\SLT\Release_For_IT\Test_Build_1.0.0.4\Server CD\DBS\Setup"/>
    <s v="Pass"/>
    <x v="1"/>
    <m/>
    <m/>
    <m/>
    <s v="Rohit Arora"/>
    <x v="0"/>
  </r>
  <r>
    <x v="333"/>
    <x v="327"/>
    <n v="4"/>
    <x v="16"/>
    <n v="4"/>
    <s v="IT-LQA"/>
    <x v="0"/>
    <m/>
    <x v="2"/>
    <x v="0"/>
    <x v="0"/>
    <s v="DMDBS_SLT_2.0.0.26.1.226b1"/>
    <x v="0"/>
    <x v="44"/>
    <s v="\\192.168.3.3\Share\Releases\Projects\SLT\Release_For_IT\Test_Build_1.0.0.4\Server CD\DBS\Setup"/>
    <x v="2"/>
    <s v="\\192.168.3.3\Share\Releases\Projects\SLT\Release_For_LQA\Test_Build_1.0.0.24\Server CD\DBS\Setup"/>
    <m/>
    <x v="1"/>
    <m/>
    <m/>
    <m/>
    <m/>
    <x v="2"/>
  </r>
  <r>
    <x v="333"/>
    <x v="327"/>
    <n v="4"/>
    <x v="16"/>
    <n v="4"/>
    <s v="LQA-UAT"/>
    <x v="20"/>
    <m/>
    <x v="5"/>
    <x v="0"/>
    <x v="1"/>
    <s v="NMDBS_FNB_4.7.1.6"/>
    <x v="0"/>
    <x v="24"/>
    <m/>
    <x v="0"/>
    <s v="\\192.168.3.3\Share\Releases\Projects\FNB\Release_For_Test\Test_Build_1.0.1\Server CD\DBS\Setup"/>
    <s v="Pass"/>
    <x v="1"/>
    <m/>
    <m/>
    <m/>
    <s v="Pradeep Raghav"/>
    <x v="0"/>
  </r>
  <r>
    <x v="333"/>
    <x v="327"/>
    <n v="4"/>
    <x v="16"/>
    <n v="4"/>
    <s v="IT-LQA"/>
    <x v="21"/>
    <s v="phase1 (A+B)"/>
    <x v="2"/>
    <x v="0"/>
    <x v="0"/>
    <s v="DMDBS_TLSTR-ST_2.1.1.8.1.43b1"/>
    <x v="0"/>
    <x v="23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334"/>
    <x v="328"/>
    <n v="4"/>
    <x v="16"/>
    <n v="4"/>
    <s v="IT-LQA"/>
    <x v="0"/>
    <m/>
    <x v="4"/>
    <x v="0"/>
    <x v="0"/>
    <s v="RADBS_SLT_2.1.1.15.1.105b1"/>
    <x v="0"/>
    <x v="44"/>
    <s v="\\192.168.3.3\Share\Releases\Projects\SLT\Release_For_IT\Test_Build_1.0.0.4\Server CD\DBS\Setup"/>
    <x v="0"/>
    <s v="\\192.168.3.3\Share\Releases\Projects\SLT\Release_For_LQA\Test_Build_1.0.0.24\Server CD\DBS\Setup"/>
    <m/>
    <x v="1"/>
    <m/>
    <m/>
    <m/>
    <m/>
    <x v="1"/>
  </r>
  <r>
    <x v="334"/>
    <x v="328"/>
    <n v="4"/>
    <x v="16"/>
    <n v="4"/>
    <s v="IT-LQA"/>
    <x v="0"/>
    <m/>
    <x v="2"/>
    <x v="0"/>
    <x v="0"/>
    <s v="DMDBS_SLT_2.0.0.26.1.227b1"/>
    <x v="0"/>
    <x v="44"/>
    <s v="\\192.168.3.3\Share\Releases\Projects\SLT\Release_For_LQA\Test_Build_1.0.0.24\Server CD\DBS\Setup"/>
    <x v="0"/>
    <s v="\\192.168.3.3\Share\Releases\Projects\SLT\Release_For_IT\Test_Build_1.0.0.4\Server CD\DBS\Setup"/>
    <m/>
    <x v="1"/>
    <m/>
    <m/>
    <m/>
    <m/>
    <x v="1"/>
  </r>
  <r>
    <x v="334"/>
    <x v="328"/>
    <n v="4"/>
    <x v="16"/>
    <n v="4"/>
    <s v="LQA"/>
    <x v="0"/>
    <m/>
    <x v="1"/>
    <x v="1"/>
    <x v="0"/>
    <s v="MPE_SLT-1B_3.0.1.1.1.124b1"/>
    <x v="0"/>
    <x v="6"/>
    <m/>
    <x v="0"/>
    <s v="\\192.168.3.3\Share\Releases\Projects\SLT-1B\Release_For_Test\Test_Build_1.0.0.1\Server CD\MPE\Setup"/>
    <m/>
    <x v="1"/>
    <m/>
    <m/>
    <m/>
    <m/>
    <x v="1"/>
  </r>
  <r>
    <x v="334"/>
    <x v="328"/>
    <n v="4"/>
    <x v="16"/>
    <n v="4"/>
    <s v="LQA"/>
    <x v="1"/>
    <m/>
    <x v="8"/>
    <x v="2"/>
    <x v="1"/>
    <s v="WWFSGUI_2.1.36b1"/>
    <x v="0"/>
    <x v="21"/>
    <m/>
    <x v="2"/>
    <s v="\\192.168.3.3\Share\Releases\Product\WEB_WFS\Build&amp;Release\Release For Test\TestBuild_2.1.36\ServerCD\GUI\Setup"/>
    <m/>
    <x v="1"/>
    <m/>
    <m/>
    <m/>
    <m/>
    <x v="2"/>
  </r>
  <r>
    <x v="334"/>
    <x v="328"/>
    <n v="4"/>
    <x v="16"/>
    <n v="4"/>
    <s v="IT-LQA"/>
    <x v="0"/>
    <m/>
    <x v="2"/>
    <x v="0"/>
    <x v="0"/>
    <s v="DMDBS_SLT_2.0.0.26.1.226b2"/>
    <x v="0"/>
    <x v="44"/>
    <s v="\\192.168.3.3\Share\Releases\Projects\SLT\Release_For_IT\Test_Build_1.0.0.4\Server CD\DBS\Setup"/>
    <x v="0"/>
    <s v="\\192.168.3.3\Share\Releases\Projects\SLT\Release_For_LQA\Test_Build_1.0.0.24\Server CD\DBS\Setup"/>
    <m/>
    <x v="1"/>
    <m/>
    <m/>
    <m/>
    <m/>
    <x v="1"/>
  </r>
  <r>
    <x v="334"/>
    <x v="328"/>
    <n v="4"/>
    <x v="16"/>
    <n v="4"/>
    <s v="IT-LQA"/>
    <x v="0"/>
    <m/>
    <x v="2"/>
    <x v="0"/>
    <x v="0"/>
    <s v="DMDBS_SLT_2.0.0.26.1.228b1 "/>
    <x v="0"/>
    <x v="44"/>
    <s v="\\192.168.3.3\Share\Releases\Projects\SLT\Release_For_IT\Test_Build_1.0.0.4\Server CD\DBS\Setup"/>
    <x v="0"/>
    <s v="\\192.168.3.3\Share\Releases\Projects\SLT\Release_For_LQA\Test_Build_1.0.0.24\Server CD\DBS\Setup"/>
    <m/>
    <x v="1"/>
    <m/>
    <m/>
    <m/>
    <m/>
    <x v="1"/>
  </r>
  <r>
    <x v="334"/>
    <x v="328"/>
    <n v="4"/>
    <x v="16"/>
    <n v="4"/>
    <s v="LQA"/>
    <x v="23"/>
    <m/>
    <x v="5"/>
    <x v="0"/>
    <x v="0"/>
    <s v="NMDBS_MCC_4.7.1.5"/>
    <x v="0"/>
    <x v="39"/>
    <m/>
    <x v="2"/>
    <s v="\\192.168.3.3\Share\Releases\Projects\MCC\Release_For_Test\Test_Build_1.0.1\Server CD\DBS\Setup"/>
    <m/>
    <x v="1"/>
    <m/>
    <m/>
    <m/>
    <m/>
    <x v="2"/>
  </r>
  <r>
    <x v="335"/>
    <x v="329"/>
    <n v="4"/>
    <x v="16"/>
    <n v="4"/>
    <s v="LQA"/>
    <x v="0"/>
    <m/>
    <x v="1"/>
    <x v="1"/>
    <x v="0"/>
    <s v="MPE_SLT-1B_3.0.1.1.1.125b1"/>
    <x v="0"/>
    <x v="6"/>
    <m/>
    <x v="0"/>
    <s v="\\192.168.3.3\Share\Releases\Projects\SLT-1B\Release_For_Test\Test_Build_1.0.0.1\Server CD\MPE\Setup"/>
    <m/>
    <x v="1"/>
    <m/>
    <m/>
    <m/>
    <m/>
    <x v="1"/>
  </r>
  <r>
    <x v="336"/>
    <x v="0"/>
    <n v="4"/>
    <x v="16"/>
    <s v="False"/>
    <s v="IT"/>
    <x v="21"/>
    <s v="phase 3"/>
    <x v="2"/>
    <x v="0"/>
    <x v="0"/>
    <s v="DMDBS_TLSTR-ST_2.1.1.8.1.42b1"/>
    <x v="0"/>
    <x v="23"/>
    <s v="\\192.168.3.3\Share\Releases\Projects\TLSTR-ST\Release_For_IT\TestBuild_1.0.1\Server CD\DBS\Setup"/>
    <x v="0"/>
    <m/>
    <m/>
    <x v="1"/>
    <m/>
    <m/>
    <m/>
    <m/>
    <x v="1"/>
  </r>
  <r>
    <x v="336"/>
    <x v="330"/>
    <n v="4"/>
    <x v="16"/>
    <n v="4"/>
    <s v="LQA"/>
    <x v="1"/>
    <m/>
    <x v="17"/>
    <x v="2"/>
    <x v="0"/>
    <s v="CSGUI_2.6.2.2b1"/>
    <x v="0"/>
    <x v="40"/>
    <m/>
    <x v="0"/>
    <s v="\\192.168.3.3\Share\Releases\Product\CSGUI_2.6\Build&amp;Release\Release_For_LQA\Test_Build_1.0.3\Server CD\GUI\Setup"/>
    <m/>
    <x v="1"/>
    <m/>
    <m/>
    <m/>
    <m/>
    <x v="1"/>
  </r>
  <r>
    <x v="337"/>
    <x v="331"/>
    <n v="4"/>
    <x v="16"/>
    <n v="4"/>
    <s v="LQA"/>
    <x v="1"/>
    <m/>
    <x v="1"/>
    <x v="1"/>
    <x v="1"/>
    <s v="MPE_3.2.7b4"/>
    <x v="0"/>
    <x v="30"/>
    <m/>
    <x v="0"/>
    <s v="\\192.168.3.3\Share\Releases\Product\MEDGUI_1.1\Build&amp;Release\Release_For_LQA\Test_Build_1.0.2\Server CD\MPE\Setup\RHEL_6.3"/>
    <m/>
    <x v="0"/>
    <m/>
    <m/>
    <m/>
    <m/>
    <x v="1"/>
  </r>
  <r>
    <x v="337"/>
    <x v="331"/>
    <n v="4"/>
    <x v="16"/>
    <n v="4"/>
    <s v="LQA"/>
    <x v="24"/>
    <m/>
    <x v="7"/>
    <x v="2"/>
    <x v="1"/>
    <s v="RTGUI_MAC_4.0.37.0.1"/>
    <x v="0"/>
    <x v="60"/>
    <m/>
    <x v="0"/>
    <s v="\\192.168.3.3\Share\Releases\Projects\MAC\Release_For_Test\Test_Build_1.0.1\Server CD\GUI\Setup"/>
    <m/>
    <x v="1"/>
    <m/>
    <m/>
    <m/>
    <m/>
    <x v="1"/>
  </r>
  <r>
    <x v="337"/>
    <x v="331"/>
    <n v="4"/>
    <x v="16"/>
    <n v="4"/>
    <s v="LQA"/>
    <x v="20"/>
    <m/>
    <x v="17"/>
    <x v="2"/>
    <x v="1"/>
    <s v="CSGUI_FNB_2.6.2.2.2"/>
    <x v="0"/>
    <x v="40"/>
    <m/>
    <x v="0"/>
    <s v="\\192.168.3.3\Share\Releases\Projects\FNB\Release_For_Test\Test_Build_1.0.1\Server CD\GUI\Setup"/>
    <m/>
    <x v="1"/>
    <m/>
    <m/>
    <m/>
    <m/>
    <x v="1"/>
  </r>
  <r>
    <x v="337"/>
    <x v="0"/>
    <n v="4"/>
    <x v="16"/>
    <s v="False"/>
    <s v="IT"/>
    <x v="21"/>
    <s v="phase 3"/>
    <x v="2"/>
    <x v="0"/>
    <x v="0"/>
    <s v="DMDBS_TLSTR-ST_2.1.1.8.1.44b1"/>
    <x v="0"/>
    <x v="61"/>
    <s v="\\192.168.3.3\Share\Releases\Projects\TLSTR-ST\Release_For_IT\TestBuild_1.0.1\Server CD\DBS\Setup"/>
    <x v="0"/>
    <m/>
    <m/>
    <x v="1"/>
    <m/>
    <m/>
    <m/>
    <m/>
    <x v="1"/>
  </r>
  <r>
    <x v="338"/>
    <x v="332"/>
    <n v="4"/>
    <x v="16"/>
    <n v="4"/>
    <s v="LQA"/>
    <x v="24"/>
    <m/>
    <x v="8"/>
    <x v="2"/>
    <x v="1"/>
    <s v="WWFSGUI_MAC_2.2.1.4.1"/>
    <x v="0"/>
    <x v="40"/>
    <m/>
    <x v="0"/>
    <s v="\\192.168.3.3\Share\Releases\Projects\MAC\Release_For_Test\Test_Build_1.0.1\Server CD\GUI\Setup"/>
    <m/>
    <x v="1"/>
    <m/>
    <m/>
    <m/>
    <m/>
    <x v="1"/>
  </r>
  <r>
    <x v="338"/>
    <x v="332"/>
    <n v="4"/>
    <x v="16"/>
    <n v="4"/>
    <s v="LQA"/>
    <x v="24"/>
    <m/>
    <x v="17"/>
    <x v="2"/>
    <x v="1"/>
    <s v="CSGUI_MAC_2.6.2.2.1"/>
    <x v="0"/>
    <x v="40"/>
    <m/>
    <x v="0"/>
    <s v="\\192.168.3.3\Share\Releases\Projects\MAC\Release_For_Test\Test_Build_1.0.1\Server CD\GUI\Setup"/>
    <m/>
    <x v="1"/>
    <m/>
    <m/>
    <m/>
    <m/>
    <x v="1"/>
  </r>
  <r>
    <x v="338"/>
    <x v="332"/>
    <n v="4"/>
    <x v="16"/>
    <n v="4"/>
    <s v="LQA"/>
    <x v="24"/>
    <m/>
    <x v="0"/>
    <x v="2"/>
    <x v="1"/>
    <s v="REGUI_MAC_1.0.11.1.1"/>
    <x v="0"/>
    <x v="40"/>
    <m/>
    <x v="0"/>
    <s v="\\192.168.3.3\Share\Releases\Projects\MAC\Release_For_Test\Test_Build_1.0.1\Server CD\GUI\Setup"/>
    <m/>
    <x v="1"/>
    <m/>
    <m/>
    <m/>
    <m/>
    <x v="1"/>
  </r>
  <r>
    <x v="338"/>
    <x v="332"/>
    <n v="4"/>
    <x v="16"/>
    <n v="4"/>
    <s v="LQA"/>
    <x v="24"/>
    <m/>
    <x v="12"/>
    <x v="2"/>
    <x v="1"/>
    <s v="WWCSGUI_MAC_2.1.21.0.1"/>
    <x v="0"/>
    <x v="60"/>
    <m/>
    <x v="0"/>
    <s v="\\192.168.3.3\Share\Releases\Projects\MAC\Release_For_Test\Test_Build_1.0.1\Server CD\GUI\Setup"/>
    <m/>
    <x v="1"/>
    <m/>
    <m/>
    <m/>
    <m/>
    <x v="1"/>
  </r>
  <r>
    <x v="338"/>
    <x v="332"/>
    <n v="4"/>
    <x v="16"/>
    <n v="4"/>
    <s v="LQA"/>
    <x v="24"/>
    <m/>
    <x v="8"/>
    <x v="2"/>
    <x v="1"/>
    <s v="WWFSGUI_MAC_2.1.35.0.1 "/>
    <x v="0"/>
    <x v="40"/>
    <m/>
    <x v="0"/>
    <s v="\\192.168.3.3\Share\Releases\Projects\MAC\Release_For_Test\Test_Build_1.0.1\Server CD\GUI\Setup"/>
    <m/>
    <x v="1"/>
    <m/>
    <m/>
    <m/>
    <m/>
    <x v="1"/>
  </r>
  <r>
    <x v="338"/>
    <x v="332"/>
    <n v="4"/>
    <x v="16"/>
    <n v="4"/>
    <s v="LQA"/>
    <x v="0"/>
    <m/>
    <x v="1"/>
    <x v="1"/>
    <x v="0"/>
    <s v="MPE_SLT-1B_3.0.1.1.1.126b1"/>
    <x v="0"/>
    <x v="6"/>
    <m/>
    <x v="0"/>
    <s v="\\192.168.3.3\Share\Releases\Projects\SLT-1B\Release_For_Test\Test_Build_1.0.0.1\Server CD\MPE\Setup"/>
    <m/>
    <x v="0"/>
    <m/>
    <m/>
    <m/>
    <m/>
    <x v="1"/>
  </r>
  <r>
    <x v="339"/>
    <x v="0"/>
    <n v="5"/>
    <x v="17"/>
    <s v="False"/>
    <s v="IT"/>
    <x v="21"/>
    <s v="phase 4"/>
    <x v="2"/>
    <x v="0"/>
    <x v="0"/>
    <s v="DMDBS_TLSTR-ST_2.1.1.8.1.45b1"/>
    <x v="0"/>
    <x v="19"/>
    <s v="\\192.168.3.3\Share\Releases\Projects\TLSTR-ST\Release_For_IT\TestBuild_1.0.1\Server CD\DBS\Setup"/>
    <x v="0"/>
    <m/>
    <m/>
    <x v="1"/>
    <m/>
    <m/>
    <m/>
    <m/>
    <x v="1"/>
  </r>
  <r>
    <x v="339"/>
    <x v="333"/>
    <n v="5"/>
    <x v="17"/>
    <n v="5"/>
    <s v="LQA"/>
    <x v="24"/>
    <m/>
    <x v="1"/>
    <x v="2"/>
    <x v="1"/>
    <s v="MPEGUI_MAC_1.0.8.0.1"/>
    <x v="0"/>
    <x v="16"/>
    <m/>
    <x v="0"/>
    <s v="\\192.168.3.3\Share\Releases\Projects\MAC\Release_For_Test\Test_Build_1.0.1\Server CD\GUI\Setup"/>
    <m/>
    <x v="1"/>
    <m/>
    <m/>
    <m/>
    <m/>
    <x v="1"/>
  </r>
  <r>
    <x v="339"/>
    <x v="333"/>
    <n v="5"/>
    <x v="17"/>
    <n v="5"/>
    <s v="IT-LQA-UAT"/>
    <x v="6"/>
    <m/>
    <x v="5"/>
    <x v="0"/>
    <x v="0"/>
    <s v="NMDBS_ANTEL_4.6.1.34.2.58b1 "/>
    <x v="0"/>
    <x v="24"/>
    <s v="\\192.168.3.3\Share\Releases\Projects\ANTEL\Release_For_IT\TestBuild_1.0.0.4\Server CD\DBS\Setup"/>
    <x v="0"/>
    <s v="\\192.168.3.3\Share\Releases\Projects\ANTEL\Release_For_Test\Test_Build_1.0.0.7\Server CD\DBS\Setup"/>
    <s v="Pass"/>
    <x v="1"/>
    <m/>
    <m/>
    <m/>
    <s v="Pradeep Raghav"/>
    <x v="0"/>
  </r>
  <r>
    <x v="339"/>
    <x v="333"/>
    <n v="5"/>
    <x v="17"/>
    <n v="5"/>
    <s v="LQA"/>
    <x v="15"/>
    <m/>
    <x v="1"/>
    <x v="1"/>
    <x v="0"/>
    <s v="MPE_CBD_3.2.1.3.2.16b1"/>
    <x v="0"/>
    <x v="11"/>
    <m/>
    <x v="0"/>
    <s v="\\192.168.3.3\share\Releases\Projects\CBD\Release_For_Test\Test_Build_1.0.0.4\Server CD\MPE\RHEL_6.3\Setup"/>
    <m/>
    <x v="1"/>
    <m/>
    <m/>
    <m/>
    <m/>
    <x v="1"/>
  </r>
  <r>
    <x v="339"/>
    <x v="333"/>
    <n v="5"/>
    <x v="17"/>
    <n v="5"/>
    <s v="IT-LQA"/>
    <x v="10"/>
    <m/>
    <x v="5"/>
    <x v="0"/>
    <x v="0"/>
    <s v="NMDBS_COM_4.6.1.34.1.91b2"/>
    <x v="0"/>
    <x v="53"/>
    <s v="\\192.168.3.3\Share\Releases\Projects\Comcast\Release_for_Test\Test_Build_4.6.7\Server CD\Database\Setup"/>
    <x v="0"/>
    <s v="\\192.168.3.3\Share\Releases\Projects\Comcast\Release_For_IT\Test_Build_4.6.1\Server CD\Database\Setup"/>
    <s v="Pass"/>
    <x v="1"/>
    <m/>
    <m/>
    <m/>
    <s v="Rudra Narayan"/>
    <x v="0"/>
  </r>
  <r>
    <x v="339"/>
    <x v="333"/>
    <n v="5"/>
    <x v="17"/>
    <n v="5"/>
    <s v="IT-LQA"/>
    <x v="10"/>
    <m/>
    <x v="9"/>
    <x v="0"/>
    <x v="0"/>
    <s v="NPDBS_COM_1.2.3.17.1.26b2"/>
    <x v="0"/>
    <x v="53"/>
    <s v="\\192.168.3.3\Share\Releases\Projects\Comcast\Release_for_Test\Test_Build_4.6.7\Server CD\Database\Setup"/>
    <x v="0"/>
    <s v="\\192.168.3.3\Share\Releases\Projects\Comcast\Release_For_IT\Test_Build_4.6.1\Server CD\Database\Setup"/>
    <s v="Pass"/>
    <x v="1"/>
    <m/>
    <m/>
    <m/>
    <s v="Rudra Narayan"/>
    <x v="0"/>
  </r>
  <r>
    <x v="339"/>
    <x v="333"/>
    <n v="5"/>
    <x v="17"/>
    <n v="5"/>
    <s v="IT-LQA"/>
    <x v="10"/>
    <m/>
    <x v="5"/>
    <x v="0"/>
    <x v="0"/>
    <s v="NMDBS_COM_4.6.1.34.1.92b3"/>
    <x v="0"/>
    <x v="7"/>
    <s v="\\192.168.3.3\Share\Releases\Projects\Comcast\Release_for_Test\Test_Build_4.6.7\Server CD\Database\Setup"/>
    <x v="0"/>
    <s v="\\192.168.3.3\Share\Releases\Projects\Comcast\Release_For_IT\Test_Build_4.6.1\Server CD\Database\Setup"/>
    <s v="Pass"/>
    <x v="1"/>
    <m/>
    <m/>
    <m/>
    <s v="Rudra Narayan"/>
    <x v="0"/>
  </r>
  <r>
    <x v="340"/>
    <x v="334"/>
    <n v="5"/>
    <x v="17"/>
    <n v="5"/>
    <s v="LQA"/>
    <x v="4"/>
    <m/>
    <x v="6"/>
    <x v="3"/>
    <x v="1"/>
    <s v="IM_TLSTR_1.0.1.1.72"/>
    <x v="0"/>
    <x v="35"/>
    <m/>
    <x v="0"/>
    <s v="\\192.168.3.3\share\Releases\Projects\Telstra\Release_For_LQA\Test_Build_1.0.0.18\Server CD\IM\Setup"/>
    <m/>
    <x v="1"/>
    <m/>
    <m/>
    <m/>
    <m/>
    <x v="1"/>
  </r>
  <r>
    <x v="341"/>
    <x v="335"/>
    <n v="5"/>
    <x v="17"/>
    <n v="5"/>
    <s v="LQA"/>
    <x v="0"/>
    <m/>
    <x v="1"/>
    <x v="1"/>
    <x v="0"/>
    <s v="MPE_SLT-1B_3.0.1.1.1.127b1"/>
    <x v="0"/>
    <x v="6"/>
    <m/>
    <x v="0"/>
    <s v="\\192.168.3.3\Share\Releases\Projects\SLT-1B\Release_For_Test\Test_Build_1.0.0.1\Server CD\MPE\Setup"/>
    <m/>
    <x v="1"/>
    <m/>
    <m/>
    <m/>
    <m/>
    <x v="1"/>
  </r>
  <r>
    <x v="342"/>
    <x v="336"/>
    <n v="5"/>
    <x v="17"/>
    <n v="5"/>
    <s v="IT-LQA"/>
    <x v="21"/>
    <s v="PHASAE -I (B-CDMA) "/>
    <x v="2"/>
    <x v="0"/>
    <x v="0"/>
    <s v="DMDBS_TLSTR-ST_2.1.1.8.1.46b1"/>
    <x v="0"/>
    <x v="23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342"/>
    <x v="336"/>
    <n v="5"/>
    <x v="17"/>
    <n v="5"/>
    <s v="LQA"/>
    <x v="24"/>
    <m/>
    <x v="1"/>
    <x v="1"/>
    <x v="1"/>
    <s v="MPE_MAC_3.2.4.37.1"/>
    <x v="0"/>
    <x v="46"/>
    <m/>
    <x v="0"/>
    <s v="\\192.168.3.3\Share\Releases\Projects\MAC\Release_For_Test\Test_Build_1.0.1\Server CD\MPE\Setup"/>
    <m/>
    <x v="1"/>
    <m/>
    <m/>
    <m/>
    <m/>
    <x v="1"/>
  </r>
  <r>
    <x v="342"/>
    <x v="336"/>
    <n v="5"/>
    <x v="17"/>
    <n v="5"/>
    <s v="LQA"/>
    <x v="1"/>
    <m/>
    <x v="0"/>
    <x v="0"/>
    <x v="1"/>
    <s v="REDBS_2.0.1b6"/>
    <x v="0"/>
    <x v="27"/>
    <m/>
    <x v="0"/>
    <s v="\\192.168.3.3\Share\Releases\Product\RE_2.0\Build&amp;Release\Release_For_LQA\Test_Build_1.0.1\Server CD\DBS\Setup"/>
    <m/>
    <x v="1"/>
    <m/>
    <m/>
    <m/>
    <m/>
    <x v="1"/>
  </r>
  <r>
    <x v="342"/>
    <x v="336"/>
    <n v="5"/>
    <x v="17"/>
    <n v="5"/>
    <s v="LQA"/>
    <x v="1"/>
    <m/>
    <x v="0"/>
    <x v="2"/>
    <x v="1"/>
    <s v="REGUI_2.0.2b1"/>
    <x v="0"/>
    <x v="64"/>
    <m/>
    <x v="0"/>
    <s v="\\192.168.3.3\Share\Releases\Product\RE_2.0\Build&amp;Release\Release_For_LQA\Test_Build_1.0.2\Server CD\GUI\Setup"/>
    <m/>
    <x v="1"/>
    <m/>
    <m/>
    <m/>
    <m/>
    <x v="1"/>
  </r>
  <r>
    <x v="343"/>
    <x v="337"/>
    <n v="5"/>
    <x v="17"/>
    <n v="5"/>
    <s v="IT-LQA-UAT"/>
    <x v="8"/>
    <m/>
    <x v="5"/>
    <x v="0"/>
    <x v="0"/>
    <s v="NMDBS_TWC_4.6.1.11.3.62b1"/>
    <x v="0"/>
    <x v="7"/>
    <s v="\\192.168.3.3\Share\Releases\Projects\TWC\Release_For_Test\Test_Build_1.0.0.4\Server CD\DBS\Setup"/>
    <x v="0"/>
    <s v="\\192.168.3.3\Share\Releases\Projects\TWC\Release_For_IT\Test_Build_1.0.0.3\Server CD\DBS\Setup"/>
    <s v="Pass"/>
    <x v="1"/>
    <m/>
    <m/>
    <m/>
    <s v="Mayank Sharma"/>
    <x v="0"/>
  </r>
  <r>
    <x v="344"/>
    <x v="338"/>
    <n v="5"/>
    <x v="17"/>
    <n v="5"/>
    <s v="LQA-UAT"/>
    <x v="16"/>
    <m/>
    <x v="5"/>
    <x v="1"/>
    <x v="1"/>
    <s v="NMMPE_TLN_2.0.3.53.1"/>
    <x v="0"/>
    <x v="14"/>
    <m/>
    <x v="0"/>
    <s v="\\192.168.3.3\Share\Releases\Projects\Telenet\Build&amp;Release\Release For Test\Test_Build_4.0.41\Server CD\MPE\Setup"/>
    <s v="Pass"/>
    <x v="1"/>
    <m/>
    <m/>
    <m/>
    <s v="Ajay Kumar Pandey"/>
    <x v="0"/>
  </r>
  <r>
    <x v="344"/>
    <x v="338"/>
    <n v="5"/>
    <x v="17"/>
    <n v="5"/>
    <s v="LQA-UAT"/>
    <x v="10"/>
    <m/>
    <x v="8"/>
    <x v="2"/>
    <x v="0"/>
    <s v="WWFSGUI_COM_2.1.35.0.3.1b1"/>
    <x v="0"/>
    <x v="21"/>
    <m/>
    <x v="0"/>
    <s v="\\192.168.3.3\Share\Releases\Projects\Comcast\Release_for_Test\Test_Build_4.6.7\Server CD\GUI\Setup"/>
    <s v="Pass"/>
    <x v="0"/>
    <m/>
    <m/>
    <m/>
    <s v="Mayank Sharma"/>
    <x v="0"/>
  </r>
  <r>
    <x v="344"/>
    <x v="338"/>
    <n v="5"/>
    <x v="17"/>
    <n v="5"/>
    <s v="IT-LQA-UAT"/>
    <x v="16"/>
    <m/>
    <x v="5"/>
    <x v="0"/>
    <x v="0"/>
    <s v="NMDBS_TLN_4.0.1.83.1"/>
    <x v="0"/>
    <x v="24"/>
    <s v="\\192.168.3.3\Share\Releases\Projects\Telenet\Build&amp;Release\Release For IT\Test_Build_4.0.41\Server CD\Database\Setup"/>
    <x v="0"/>
    <s v="\\192.168.3.3\Share\Releases\Projects\Telenet\Build&amp;Release\Release For Test\Test_Build_4.0.41\Server CD\Database\Setup"/>
    <s v="Pass"/>
    <x v="1"/>
    <m/>
    <m/>
    <m/>
    <s v="Manas Ranjan Barik"/>
    <x v="0"/>
  </r>
  <r>
    <x v="344"/>
    <x v="338"/>
    <n v="5"/>
    <x v="17"/>
    <n v="5"/>
    <s v="IT-LQA-UAT"/>
    <x v="16"/>
    <m/>
    <x v="2"/>
    <x v="0"/>
    <x v="1"/>
    <s v="DMDBS_TLN_1.0.1.11.1"/>
    <x v="0"/>
    <x v="24"/>
    <s v="\\192.168.3.3\Share\Releases\Projects\Telenet\Build&amp;Release\Release For IT\Test_Build_4.0.41\Server CD\Database\Setup"/>
    <x v="0"/>
    <s v="\\192.168.3.3\Share\Releases\Projects\Telenet\Build&amp;Release\Release For Test\Test_Build_4.0.41\Server CD\Database\Setup"/>
    <s v="Pass"/>
    <x v="1"/>
    <m/>
    <m/>
    <m/>
    <s v="Manas Ranjan Barik"/>
    <x v="0"/>
  </r>
  <r>
    <x v="345"/>
    <x v="339"/>
    <n v="5"/>
    <x v="17"/>
    <n v="5"/>
    <s v="LQA"/>
    <x v="1"/>
    <m/>
    <x v="12"/>
    <x v="2"/>
    <x v="1"/>
    <s v="WWCSGUI_2.1.23b1"/>
    <x v="0"/>
    <x v="21"/>
    <m/>
    <x v="2"/>
    <s v="\\192.168.3.3\Share\Releases\Product\WEB_CS\Build&amp;Release\Release For Test\TestBuild_2.1.23\ServerCD\GUI"/>
    <m/>
    <x v="1"/>
    <m/>
    <m/>
    <m/>
    <m/>
    <x v="2"/>
  </r>
  <r>
    <x v="346"/>
    <x v="340"/>
    <n v="5"/>
    <x v="17"/>
    <n v="5"/>
    <s v="LQA"/>
    <x v="1"/>
    <m/>
    <x v="1"/>
    <x v="1"/>
    <x v="0"/>
    <s v="MPE_3.2.7.1b1"/>
    <x v="0"/>
    <x v="30"/>
    <m/>
    <x v="0"/>
    <s v="\\192.168.3.3\Share\Releases\Product\MEDGUI_1.1\Build&amp;Release\Release_For_LQA\Test_Build_1.0.2\Server CD\MPE\Setup\RHEL_6.3"/>
    <m/>
    <x v="1"/>
    <m/>
    <m/>
    <m/>
    <m/>
    <x v="1"/>
  </r>
  <r>
    <x v="346"/>
    <x v="340"/>
    <n v="5"/>
    <x v="17"/>
    <n v="5"/>
    <s v="IT-LQA-UAT"/>
    <x v="20"/>
    <m/>
    <x v="2"/>
    <x v="0"/>
    <x v="0"/>
    <s v="DMDBS_FNB_2.1.1.11.1.5b1"/>
    <x v="0"/>
    <x v="24"/>
    <s v="\\192.168.3.3\Share\Releases\Projects\FNB\Release_For_IT\TestBuild_1.0.1\Server CD\DBS\Setup"/>
    <x v="0"/>
    <s v="\\192.168.3.3\Share\Releases\Projects\FNB\Release_For_Test\Test_Build_1.0.2\Server CD\DBS\Setup"/>
    <s v="Pass"/>
    <x v="1"/>
    <m/>
    <m/>
    <m/>
    <s v="Pradeep Raghav"/>
    <x v="0"/>
  </r>
  <r>
    <x v="346"/>
    <x v="340"/>
    <n v="5"/>
    <x v="17"/>
    <n v="5"/>
    <s v="LQA-UAT"/>
    <x v="23"/>
    <m/>
    <x v="5"/>
    <x v="0"/>
    <x v="1"/>
    <s v="NMDBS_MCC_4.7.1.6"/>
    <x v="0"/>
    <x v="39"/>
    <m/>
    <x v="0"/>
    <s v="\\192.168.3.3\Share\Releases\Projects\MCC\Release_For_Test\Test_Build_1.0.1\Server CD\DBS\Setup"/>
    <s v="Pass"/>
    <x v="1"/>
    <m/>
    <m/>
    <m/>
    <s v="Abhishek Leekha"/>
    <x v="0"/>
  </r>
  <r>
    <x v="347"/>
    <x v="341"/>
    <n v="5"/>
    <x v="17"/>
    <n v="5"/>
    <s v="IT-LQA-UAT"/>
    <x v="10"/>
    <m/>
    <x v="5"/>
    <x v="0"/>
    <x v="0"/>
    <s v="NMDBS_COM_4.6.1.34.1.94b1"/>
    <x v="0"/>
    <x v="7"/>
    <s v="\\192.168.3.3\Share\Releases\Projects\Comcast\Release_For_IT\Test_Build_4.6.1\Server CD\Database\Setup"/>
    <x v="0"/>
    <s v="\\192.168.3.3\Share\Releases\Projects\Comcast\Release_for_Test\Test_Build_4.6.7\Server CD\Database\Setup"/>
    <s v="Pass"/>
    <x v="1"/>
    <m/>
    <m/>
    <m/>
    <s v="Mayank Sharma"/>
    <x v="0"/>
  </r>
  <r>
    <x v="347"/>
    <x v="341"/>
    <n v="5"/>
    <x v="17"/>
    <n v="5"/>
    <s v="LQA"/>
    <x v="21"/>
    <m/>
    <x v="0"/>
    <x v="0"/>
    <x v="0"/>
    <s v="REDBS_TLSTR-ST_2.0.1.1"/>
    <x v="0"/>
    <x v="27"/>
    <m/>
    <x v="0"/>
    <s v="\\192.168.3.3\Share\Releases\Projects\TLSTR-ST\Release_For_Test\Test_Build_1.0.1\Server CD\DBS\Setup"/>
    <m/>
    <x v="1"/>
    <m/>
    <m/>
    <m/>
    <m/>
    <x v="1"/>
  </r>
  <r>
    <x v="348"/>
    <x v="342"/>
    <n v="5"/>
    <x v="17"/>
    <n v="5"/>
    <s v="LQA-UAT"/>
    <x v="8"/>
    <m/>
    <x v="1"/>
    <x v="1"/>
    <x v="0"/>
    <s v="MPE_TWC_3.2.1.5.2.29b1"/>
    <x v="0"/>
    <x v="46"/>
    <m/>
    <x v="0"/>
    <s v="\\192.168.3.3\Share\Releases\Projects\TWC\Release_For_Test\Test_Build_1.0.0.4\Server CD\MPE\Setup"/>
    <s v="Pass"/>
    <x v="1"/>
    <m/>
    <m/>
    <m/>
    <s v="SUNIL KATIYAR"/>
    <x v="0"/>
  </r>
  <r>
    <x v="349"/>
    <x v="343"/>
    <n v="5"/>
    <x v="17"/>
    <n v="5"/>
    <s v="LQA-UAT"/>
    <x v="20"/>
    <m/>
    <x v="5"/>
    <x v="0"/>
    <x v="0"/>
    <s v="NMDBS_FNB_4.7.1.7"/>
    <x v="0"/>
    <x v="24"/>
    <m/>
    <x v="0"/>
    <s v="\\192.168.3.3\Share\Releases\Projects\FNB\Release_For_Test\Test_Build_1.0.2\Server CD\DBS\Setup"/>
    <s v="Pass"/>
    <x v="1"/>
    <m/>
    <m/>
    <m/>
    <s v="Pradeep Raghav"/>
    <x v="0"/>
  </r>
  <r>
    <x v="349"/>
    <x v="343"/>
    <n v="5"/>
    <x v="17"/>
    <n v="5"/>
    <s v="IT-LQA-UAT"/>
    <x v="16"/>
    <m/>
    <x v="5"/>
    <x v="0"/>
    <x v="0"/>
    <s v="NMDBS_TLN_4.0.1.84.1"/>
    <x v="0"/>
    <x v="24"/>
    <s v="\\192.168.3.3\Share\Releases\Projects\Telenet\Build&amp;Release\Release For IT\Test_Build_4.0.41\Server CD\Database\Setup"/>
    <x v="0"/>
    <s v="\\192.168.3.3\Share\Releases\Projects\Telenet\Build&amp;Release\Release For Test\Test_Build_4.0.41\Server CD\Database\Setup"/>
    <s v="Pass"/>
    <x v="1"/>
    <m/>
    <m/>
    <m/>
    <s v="Manas Ranjan Barik"/>
    <x v="0"/>
  </r>
  <r>
    <x v="349"/>
    <x v="343"/>
    <n v="5"/>
    <x v="17"/>
    <n v="5"/>
    <s v="LQA"/>
    <x v="10"/>
    <m/>
    <x v="7"/>
    <x v="2"/>
    <x v="0"/>
    <s v="RTGUI_COM_4.0.25.1.1.4b1"/>
    <x v="0"/>
    <x v="16"/>
    <m/>
    <x v="0"/>
    <s v="\\192.168.3.3\share\Releases\Projects\Comcast\Release_for_Test\Test_Build_4.6.7\Server CD\GUI\Setup"/>
    <m/>
    <x v="0"/>
    <m/>
    <m/>
    <m/>
    <m/>
    <x v="1"/>
  </r>
  <r>
    <x v="350"/>
    <x v="344"/>
    <n v="5"/>
    <x v="17"/>
    <n v="5"/>
    <s v="LQA"/>
    <x v="1"/>
    <m/>
    <x v="5"/>
    <x v="0"/>
    <x v="1"/>
    <s v="NMDBS_4.8.1b2"/>
    <x v="0"/>
    <x v="9"/>
    <m/>
    <x v="2"/>
    <s v="\\192.168.3.3\Share\Releases\Product\Netmind_4.8\Build&amp;Release\Release_For_LQA\Test_Build_1.0.1\Server CD\DBS\Setup"/>
    <m/>
    <x v="1"/>
    <m/>
    <m/>
    <m/>
    <m/>
    <x v="2"/>
  </r>
  <r>
    <x v="350"/>
    <x v="344"/>
    <n v="5"/>
    <x v="17"/>
    <n v="5"/>
    <s v="LQA"/>
    <x v="1"/>
    <m/>
    <x v="8"/>
    <x v="2"/>
    <x v="1"/>
    <s v="WWFSGUI_2.1.36b2"/>
    <x v="0"/>
    <x v="21"/>
    <m/>
    <x v="2"/>
    <s v="\\192.168.3.3\Share\Releases\Product\WEB_WFS\Build&amp;Release\Release For Test\TestBuild_2.1.36\ServerCD\GUI\Setup"/>
    <m/>
    <x v="0"/>
    <m/>
    <m/>
    <m/>
    <m/>
    <x v="2"/>
  </r>
  <r>
    <x v="350"/>
    <x v="344"/>
    <n v="5"/>
    <x v="17"/>
    <n v="5"/>
    <s v="IT-LQA-UAT"/>
    <x v="7"/>
    <m/>
    <x v="5"/>
    <x v="0"/>
    <x v="0"/>
    <s v="NMDBS_VON_4.0.1.71.1"/>
    <x v="0"/>
    <x v="7"/>
    <s v="\\192.168.3.3\Share\Releases\Projects\Vonage\Release_For_LQA\Test_Build_4.0.18\Server CD\DBS\Setup"/>
    <x v="0"/>
    <s v="\\192.168.3.3\Share\Releases\Projects\Vonage\Release_For_IT\Test_Build_4.0.18\Server CD\DBS\Setup"/>
    <s v="Pass"/>
    <x v="1"/>
    <m/>
    <m/>
    <m/>
    <s v="Abhishek Leekha"/>
    <x v="0"/>
  </r>
  <r>
    <x v="350"/>
    <x v="344"/>
    <n v="5"/>
    <x v="17"/>
    <n v="5"/>
    <s v="LQA-UAT"/>
    <x v="1"/>
    <m/>
    <x v="9"/>
    <x v="0"/>
    <x v="1"/>
    <s v="NPDBS_1.3.2b5"/>
    <x v="0"/>
    <x v="54"/>
    <m/>
    <x v="2"/>
    <s v="\\192.168.3.3\Share\Releases\Product\NetMindPOS_1.3\Build&amp;Release\Release_For_LQA\Test_Build_1.0.3\Server CD\DBS\Setup"/>
    <s v="Pass"/>
    <x v="0"/>
    <m/>
    <m/>
    <m/>
    <s v="rahul kumar"/>
    <x v="2"/>
  </r>
  <r>
    <x v="351"/>
    <x v="345"/>
    <n v="5"/>
    <x v="17"/>
    <n v="5"/>
    <s v="IT-LQA-UAT"/>
    <x v="4"/>
    <m/>
    <x v="5"/>
    <x v="0"/>
    <x v="0"/>
    <s v="NMDBS_TLSTR_4.0.1.0.4.322b1"/>
    <x v="0"/>
    <x v="9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ashwani "/>
    <x v="0"/>
  </r>
  <r>
    <x v="351"/>
    <x v="345"/>
    <n v="5"/>
    <x v="17"/>
    <n v="5"/>
    <s v="LQA-UAT"/>
    <x v="4"/>
    <m/>
    <x v="1"/>
    <x v="1"/>
    <x v="0"/>
    <s v="MPE_TLSTR-2b_3.0.0.3.1.112b1"/>
    <x v="0"/>
    <x v="11"/>
    <m/>
    <x v="0"/>
    <s v="\\192.168.3.3\Share\Releases\Projects\Telstra-2b\Release_For_Test\Test_Build_1.0.0.1\Server CD\MPE\Setup"/>
    <s v="Pass"/>
    <x v="0"/>
    <m/>
    <m/>
    <m/>
    <s v="ashwani "/>
    <x v="0"/>
  </r>
  <r>
    <x v="351"/>
    <x v="345"/>
    <n v="5"/>
    <x v="17"/>
    <n v="5"/>
    <s v="LQA"/>
    <x v="1"/>
    <m/>
    <x v="1"/>
    <x v="1"/>
    <x v="0"/>
    <s v="MPE_3.2.4.39b1 "/>
    <x v="0"/>
    <x v="14"/>
    <m/>
    <x v="0"/>
    <s v="\\192.168.3.3\Share\Releases\Product\MPE_GUI\ReleaseForLQA\TestBuild_1.0.0.2\Server CD\MPE\Setup"/>
    <m/>
    <x v="1"/>
    <m/>
    <m/>
    <m/>
    <m/>
    <x v="1"/>
  </r>
  <r>
    <x v="351"/>
    <x v="345"/>
    <n v="5"/>
    <x v="17"/>
    <n v="5"/>
    <s v="LQA"/>
    <x v="1"/>
    <m/>
    <x v="0"/>
    <x v="2"/>
    <x v="1"/>
    <s v=" REGUI_2.0.3b1"/>
    <x v="0"/>
    <x v="40"/>
    <m/>
    <x v="0"/>
    <s v="\\192.168.3.3\Share\Releases\Product\RE_2.0\Build&amp;Release\Release_For_LQA\Test_Build_1.0.2\Server CD\GUI\Setup"/>
    <m/>
    <x v="1"/>
    <m/>
    <m/>
    <m/>
    <m/>
    <x v="1"/>
  </r>
  <r>
    <x v="351"/>
    <x v="345"/>
    <n v="5"/>
    <x v="17"/>
    <n v="5"/>
    <s v="LQA"/>
    <x v="1"/>
    <m/>
    <x v="0"/>
    <x v="0"/>
    <x v="1"/>
    <s v="REDBS_2.0.1b7"/>
    <x v="0"/>
    <x v="63"/>
    <m/>
    <x v="0"/>
    <s v="\\192.168.3.3\Share\Releases\Product\RE_2.0\Build&amp;Release\Release_For_LQA\Test_Build_1.0.2\Server CD\DBS\Setup"/>
    <m/>
    <x v="0"/>
    <m/>
    <m/>
    <m/>
    <m/>
    <x v="1"/>
  </r>
  <r>
    <x v="352"/>
    <x v="346"/>
    <n v="5"/>
    <x v="17"/>
    <n v="5"/>
    <s v="IT-LQA"/>
    <x v="21"/>
    <s v="phase 1"/>
    <x v="2"/>
    <x v="0"/>
    <x v="0"/>
    <s v="DMDBS_TLSTR-ST_2.1.1.8.1.47b1"/>
    <x v="0"/>
    <x v="23"/>
    <s v="\\192.168.3.3\Share\Releases\Projects\TLSTR-ST\Release_For_IT\TestBuild_1.0.1\Server CD\DBS\Setup"/>
    <x v="0"/>
    <s v="\\192.168.3.3\Share\Releases\Projects\TLSTR-ST\Release_For_Test\Test_Build_1.0.1\Server CD\DBS\Setup"/>
    <m/>
    <x v="1"/>
    <m/>
    <m/>
    <m/>
    <m/>
    <x v="1"/>
  </r>
  <r>
    <x v="352"/>
    <x v="346"/>
    <n v="5"/>
    <x v="17"/>
    <n v="5"/>
    <s v="LQA-UAT"/>
    <x v="23"/>
    <m/>
    <x v="8"/>
    <x v="2"/>
    <x v="0"/>
    <s v="WWFSGUI_MCC_2.1.35.0.2.1b1"/>
    <x v="0"/>
    <x v="21"/>
    <m/>
    <x v="0"/>
    <s v="\\192.168.3.3\Share\Releases\Projects\MCC\Release_For_Test\Test_Build_1.0.1\Server CD\GUI\Setup"/>
    <s v="Pass"/>
    <x v="1"/>
    <m/>
    <m/>
    <m/>
    <s v="Shivang"/>
    <x v="0"/>
  </r>
  <r>
    <x v="353"/>
    <x v="347"/>
    <n v="5"/>
    <x v="17"/>
    <n v="5"/>
    <s v="LQA"/>
    <x v="1"/>
    <m/>
    <x v="6"/>
    <x v="3"/>
    <x v="1"/>
    <s v="IM_1.0.7b1"/>
    <x v="0"/>
    <x v="35"/>
    <m/>
    <x v="0"/>
    <s v="\\192.168.3.3\Share\Releases\Product\IM_1.0\Build&amp;Release\Release_For_LQA\Test_Build_1.0.6\Server CD\IM\Setup"/>
    <m/>
    <x v="1"/>
    <m/>
    <m/>
    <m/>
    <m/>
    <x v="1"/>
  </r>
  <r>
    <x v="354"/>
    <x v="348"/>
    <n v="5"/>
    <x v="17"/>
    <n v="5"/>
    <s v="LQA-UAT"/>
    <x v="0"/>
    <m/>
    <x v="1"/>
    <x v="1"/>
    <x v="0"/>
    <s v="MPE_SLT-1B_3.0.1.1.1.128b1"/>
    <x v="0"/>
    <x v="6"/>
    <m/>
    <x v="0"/>
    <s v="\\192.168.3.3\Share\Releases\Projects\SLT-1B\Release_For_Test\Test_Build_1.0.0.1\Server CD\MPE\Setup"/>
    <s v="Pass"/>
    <x v="1"/>
    <m/>
    <m/>
    <m/>
    <s v="KV krishna"/>
    <x v="0"/>
  </r>
  <r>
    <x v="354"/>
    <x v="348"/>
    <n v="5"/>
    <x v="17"/>
    <n v="5"/>
    <s v="IT-LQA-UAT"/>
    <x v="20"/>
    <m/>
    <x v="2"/>
    <x v="0"/>
    <x v="0"/>
    <s v="DMDBS_FNB_2.1.1.11.1.6b1"/>
    <x v="0"/>
    <x v="24"/>
    <s v="\\192.168.3.3\Share\Releases\Projects\FNB\Release_For_IT\TestBuild_1.0.1\Server CD\DBS\Setup"/>
    <x v="0"/>
    <s v="\\192.168.3.3\Share\Releases\Projects\FNB\Release_For_Test\Test_Build_1.0.2\Server CD\DBS\Setup"/>
    <s v="Pass"/>
    <x v="1"/>
    <m/>
    <m/>
    <m/>
    <s v="Pradeep Raghav"/>
    <x v="0"/>
  </r>
  <r>
    <x v="354"/>
    <x v="348"/>
    <n v="5"/>
    <x v="17"/>
    <n v="5"/>
    <s v="IT-LQA"/>
    <x v="8"/>
    <m/>
    <x v="5"/>
    <x v="0"/>
    <x v="0"/>
    <s v="NMDBS_TWC_4.6.1.11.3.63b1"/>
    <x v="0"/>
    <x v="7"/>
    <s v="\\192.168.3.3\Share\Releases\Projects\TWC\Release_For_IT\Test_Build_1.0.0.3\Server CD\DBS\Setup"/>
    <x v="2"/>
    <s v="\\192.168.3.3\Share\Releases\Projects\TWC\Release_For_Test\Test_Build_1.0.0.4\Server CD\DBS\Setup"/>
    <m/>
    <x v="1"/>
    <m/>
    <m/>
    <m/>
    <m/>
    <x v="2"/>
  </r>
  <r>
    <x v="355"/>
    <x v="349"/>
    <n v="5"/>
    <x v="17"/>
    <n v="5"/>
    <s v="LQA"/>
    <x v="20"/>
    <m/>
    <x v="4"/>
    <x v="0"/>
    <x v="1"/>
    <s v="RADBS_FNB_3.0.1.2"/>
    <x v="0"/>
    <x v="24"/>
    <m/>
    <x v="0"/>
    <s v="\\192.168.3.3\Share\Releases\Projects\FNB\Release_For_Test\Test_Build_1.0.2\Server CD\DBS\Setup"/>
    <m/>
    <x v="1"/>
    <m/>
    <m/>
    <m/>
    <m/>
    <x v="1"/>
  </r>
  <r>
    <x v="355"/>
    <x v="349"/>
    <n v="5"/>
    <x v="17"/>
    <n v="5"/>
    <s v="LQA"/>
    <x v="1"/>
    <m/>
    <x v="1"/>
    <x v="2"/>
    <x v="1"/>
    <s v="MPEGUI_1.1.4b1"/>
    <x v="0"/>
    <x v="16"/>
    <m/>
    <x v="0"/>
    <s v="\\192.168.3.3\Share\Releases\Product\MEDGUI_1.1\Build&amp;Release\Release_For_LQA\Test_Build_1.0.2\Server CD\GUI\Setup"/>
    <m/>
    <x v="1"/>
    <m/>
    <m/>
    <m/>
    <m/>
    <x v="1"/>
  </r>
  <r>
    <x v="355"/>
    <x v="349"/>
    <n v="5"/>
    <x v="17"/>
    <n v="5"/>
    <s v="LQA-UAT"/>
    <x v="20"/>
    <m/>
    <x v="1"/>
    <x v="1"/>
    <x v="0"/>
    <s v="MPE_FNB_3.2.4.39.1.11b1"/>
    <x v="0"/>
    <x v="14"/>
    <m/>
    <x v="0"/>
    <s v="\\192.168.3.3\Share\Releases\Projects\FNB\Release_For_Test\Test_Build_1.0.2\Server CD\MPE\Setup"/>
    <s v="Pass"/>
    <x v="1"/>
    <m/>
    <m/>
    <m/>
    <s v="Manas Ranjan Barik"/>
    <x v="0"/>
  </r>
  <r>
    <x v="355"/>
    <x v="349"/>
    <n v="5"/>
    <x v="17"/>
    <n v="5"/>
    <s v="LQA"/>
    <x v="1"/>
    <m/>
    <x v="1"/>
    <x v="0"/>
    <x v="1"/>
    <s v="MPEDBS_1.1.1b5"/>
    <x v="0"/>
    <x v="5"/>
    <m/>
    <x v="0"/>
    <s v="\\192.168.3.3\Share\Releases\Product\MEDGUI_1.1\Build&amp;Release\Release_For_LQA\Test_Build_1.0.2\Server CD\DBS\Setup"/>
    <m/>
    <x v="1"/>
    <m/>
    <m/>
    <m/>
    <m/>
    <x v="1"/>
  </r>
  <r>
    <x v="356"/>
    <x v="350"/>
    <n v="6"/>
    <x v="18"/>
    <n v="6"/>
    <s v="LQA"/>
    <x v="4"/>
    <m/>
    <x v="1"/>
    <x v="1"/>
    <x v="0"/>
    <s v="MPE_TLSTR-2b_3.0.0.3.1.113b1"/>
    <x v="0"/>
    <x v="11"/>
    <m/>
    <x v="2"/>
    <s v="\\192.168.3.3\Share\Releases\Projects\Telstra-2b\Release_For_Test\Test_Build_1.0.0.1\Server CD\MPE\Setup"/>
    <m/>
    <x v="1"/>
    <m/>
    <m/>
    <m/>
    <m/>
    <x v="2"/>
  </r>
  <r>
    <x v="356"/>
    <x v="350"/>
    <n v="6"/>
    <x v="18"/>
    <n v="6"/>
    <s v="LQA-UAT"/>
    <x v="4"/>
    <m/>
    <x v="1"/>
    <x v="1"/>
    <x v="0"/>
    <s v="MPE_TLSTR-2b_3.0.0.3.1.113b2"/>
    <x v="0"/>
    <x v="11"/>
    <m/>
    <x v="0"/>
    <s v="\\192.168.3.3\Share\Releases\Projects\Telstra-2b\Release_For_Test\Test_Build_1.0.0.1\Server CD\MPE\Setup"/>
    <s v="Pass"/>
    <x v="1"/>
    <m/>
    <m/>
    <m/>
    <s v="ashwani "/>
    <x v="0"/>
  </r>
  <r>
    <x v="356"/>
    <x v="350"/>
    <n v="6"/>
    <x v="18"/>
    <n v="6"/>
    <s v="IT-LQA-UAT"/>
    <x v="4"/>
    <m/>
    <x v="20"/>
    <x v="0"/>
    <x v="0"/>
    <s v="NMDBS_TLSTR_4.0.1.0.4.323b1"/>
    <x v="0"/>
    <x v="9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Gaurav Shukla"/>
    <x v="0"/>
  </r>
  <r>
    <x v="357"/>
    <x v="351"/>
    <n v="6"/>
    <x v="18"/>
    <n v="6"/>
    <s v="IT-LQA-UAT"/>
    <x v="0"/>
    <m/>
    <x v="2"/>
    <x v="0"/>
    <x v="0"/>
    <s v="DMDBS_SLT_2.0.0.26.1.229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Paritosh Ghildiyal"/>
    <x v="0"/>
  </r>
  <r>
    <x v="357"/>
    <x v="351"/>
    <n v="6"/>
    <x v="18"/>
    <n v="6"/>
    <s v="IT-LQA-UAT"/>
    <x v="0"/>
    <m/>
    <x v="4"/>
    <x v="0"/>
    <x v="0"/>
    <s v="RADBS_SLT_2.1.1.15.1.106b1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Paritosh Ghildiyal"/>
    <x v="0"/>
  </r>
  <r>
    <x v="357"/>
    <x v="351"/>
    <n v="6"/>
    <x v="18"/>
    <n v="6"/>
    <s v="LQA-UAT"/>
    <x v="20"/>
    <m/>
    <x v="5"/>
    <x v="0"/>
    <x v="1"/>
    <s v="NMDBS_FNB_4.7.1.8"/>
    <x v="0"/>
    <x v="24"/>
    <m/>
    <x v="0"/>
    <s v="\\192.168.3.3\Share\Releases\Projects\FNB\Release_For_Test\Test_Build_1.0.2\Server CD\DBS\Setup"/>
    <s v="Pass"/>
    <x v="1"/>
    <m/>
    <m/>
    <m/>
    <s v="Pradeep Raghav"/>
    <x v="0"/>
  </r>
  <r>
    <x v="357"/>
    <x v="351"/>
    <n v="6"/>
    <x v="18"/>
    <n v="6"/>
    <s v="LQA-UAT"/>
    <x v="4"/>
    <m/>
    <x v="1"/>
    <x v="1"/>
    <x v="0"/>
    <s v="MPE_TLSTR-2b_3.0.0.3.1.114b1"/>
    <x v="0"/>
    <x v="11"/>
    <m/>
    <x v="0"/>
    <s v="\\192.168.3.3\Share\Releases\Projects\Telstra-2b\Release_For_Test\Test_Build_1.0.0.1\Server CD\MPE\Setup"/>
    <s v="Pass"/>
    <x v="0"/>
    <m/>
    <m/>
    <m/>
    <s v="Gaurav Shukla"/>
    <x v="0"/>
  </r>
  <r>
    <x v="358"/>
    <x v="352"/>
    <n v="6"/>
    <x v="18"/>
    <n v="6"/>
    <s v="IT-LQA"/>
    <x v="0"/>
    <m/>
    <x v="4"/>
    <x v="0"/>
    <x v="0"/>
    <s v="RADBS_SLT_2.1.1.15.1.107b1"/>
    <x v="0"/>
    <x v="44"/>
    <s v="\\192.168.3.3\Share\Releases\Projects\SLT\Release_For_IT\Test_Build_1.0.0.4\Server CD\DBS\Setup"/>
    <x v="2"/>
    <s v="\\192.168.3.3\Share\Releases\Projects\SLT\Release_For_LQA\Test_Build_1.0.0.24\Server CD\DBS\Setup"/>
    <m/>
    <x v="1"/>
    <m/>
    <m/>
    <m/>
    <m/>
    <x v="2"/>
  </r>
  <r>
    <x v="358"/>
    <x v="352"/>
    <n v="6"/>
    <x v="18"/>
    <n v="6"/>
    <s v="IT-LQA"/>
    <x v="0"/>
    <m/>
    <x v="2"/>
    <x v="0"/>
    <x v="0"/>
    <s v="DMDBS_SLT_2.0.0.26.1.230b1"/>
    <x v="0"/>
    <x v="44"/>
    <s v="\\192.168.3.3\Share\Releases\Projects\SLT\Release_For_IT\Test_Build_1.0.0.4\Server CD\DBS\Setup"/>
    <x v="2"/>
    <s v="\\192.168.3.3\Share\Releases\Projects\SLT\Release_For_LQA\Test_Build_1.0.0.24\Server CD\DBS\Setup"/>
    <m/>
    <x v="1"/>
    <m/>
    <m/>
    <m/>
    <m/>
    <x v="2"/>
  </r>
  <r>
    <x v="358"/>
    <x v="352"/>
    <n v="6"/>
    <x v="18"/>
    <n v="6"/>
    <s v="LQA-UAT"/>
    <x v="0"/>
    <m/>
    <x v="1"/>
    <x v="1"/>
    <x v="0"/>
    <s v="MPE_SLT-1B_3.0.1.1.1.129b1"/>
    <x v="0"/>
    <x v="6"/>
    <m/>
    <x v="0"/>
    <s v="\\192.168.3.3\Share\Releases\Projects\SLT-1B\Release_For_Test\Test_Build_1.0.0.1\Server CD\MPE\Setup"/>
    <s v="Pass"/>
    <x v="1"/>
    <m/>
    <m/>
    <m/>
    <s v="KV krishna"/>
    <x v="0"/>
  </r>
  <r>
    <x v="358"/>
    <x v="352"/>
    <n v="6"/>
    <x v="18"/>
    <n v="6"/>
    <s v="IT-LQA-UAT"/>
    <x v="0"/>
    <m/>
    <x v="4"/>
    <x v="0"/>
    <x v="0"/>
    <s v="RADBS_SLT_2.1.1.15.1.107b2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0"/>
    <m/>
    <m/>
    <m/>
    <s v="KV krishna"/>
    <x v="0"/>
  </r>
  <r>
    <x v="358"/>
    <x v="352"/>
    <n v="6"/>
    <x v="18"/>
    <n v="6"/>
    <s v="IT-LQA-UAT"/>
    <x v="0"/>
    <m/>
    <x v="2"/>
    <x v="0"/>
    <x v="0"/>
    <s v="DMDBS_SLT_2.0.0.26.1.230b2"/>
    <x v="0"/>
    <x v="44"/>
    <s v="\\192.168.3.3\Share\Releases\Projects\SLT\Release_For_IT\Test_Build_1.0.0.4\Server CD\DBS\Setup"/>
    <x v="0"/>
    <s v="\\192.168.3.3\Share\Releases\Projects\SLT\Release_For_LQA\Test_Build_1.0.0.24\Server CD\DBS\Setup"/>
    <s v="Pass"/>
    <x v="0"/>
    <m/>
    <m/>
    <m/>
    <s v="KV krishna"/>
    <x v="0"/>
  </r>
  <r>
    <x v="358"/>
    <x v="352"/>
    <n v="6"/>
    <x v="18"/>
    <n v="6"/>
    <s v="IT-LQA-UAT"/>
    <x v="20"/>
    <m/>
    <x v="2"/>
    <x v="0"/>
    <x v="0"/>
    <s v="DMDBS_FNB_2.1.1.11.1.7b1"/>
    <x v="0"/>
    <x v="24"/>
    <s v="\\192.168.3.3\Share\Releases\Projects\FNB\Release_For_IT\TestBuild_1.0.1\Server CD\DBS\Setup"/>
    <x v="0"/>
    <s v="\\192.168.3.3\Share\Releases\Projects\FNB\Release_For_Test\Test_Build_1.0.2\Server CD\DBS\Setup"/>
    <s v="Pass"/>
    <x v="1"/>
    <m/>
    <m/>
    <m/>
    <s v="Pradeep Raghav"/>
    <x v="0"/>
  </r>
  <r>
    <x v="358"/>
    <x v="352"/>
    <n v="6"/>
    <x v="18"/>
    <n v="6"/>
    <s v="LQA"/>
    <x v="8"/>
    <m/>
    <x v="1"/>
    <x v="1"/>
    <x v="0"/>
    <s v="MPE_TWC_3.2.1.5.2.30b1"/>
    <x v="0"/>
    <x v="46"/>
    <m/>
    <x v="0"/>
    <s v="\\192.168.3.3\Share\Releases\Projects\TWC\Release_For_Test\Test_Build_1.0.0.4\Server CD\MPE\Setup"/>
    <m/>
    <x v="1"/>
    <m/>
    <m/>
    <m/>
    <m/>
    <x v="1"/>
  </r>
  <r>
    <x v="359"/>
    <x v="353"/>
    <n v="6"/>
    <x v="18"/>
    <n v="6"/>
    <s v="LQA"/>
    <x v="0"/>
    <m/>
    <x v="1"/>
    <x v="1"/>
    <x v="0"/>
    <s v="MPE_SLT-1B_3.0.1.1.1.120b1_E1"/>
    <x v="0"/>
    <x v="6"/>
    <m/>
    <x v="2"/>
    <s v="\\192.168.3.3\Share\Releases\Projects\SLT-1B\Release_For_Test\Test_Build_1.0.0.1\Server CD\MPE\Setup"/>
    <m/>
    <x v="1"/>
    <m/>
    <m/>
    <m/>
    <m/>
    <x v="2"/>
  </r>
  <r>
    <x v="360"/>
    <x v="354"/>
    <n v="6"/>
    <x v="18"/>
    <n v="6"/>
    <s v="IT-LQA-UAT"/>
    <x v="8"/>
    <m/>
    <x v="5"/>
    <x v="0"/>
    <x v="0"/>
    <s v="NMDBS_TWC_4.6.1.11.3.63b2"/>
    <x v="0"/>
    <x v="7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Abhishek Leekha"/>
    <x v="0"/>
  </r>
  <r>
    <x v="360"/>
    <x v="354"/>
    <n v="6"/>
    <x v="18"/>
    <n v="6"/>
    <s v="LQA"/>
    <x v="5"/>
    <m/>
    <x v="5"/>
    <x v="0"/>
    <x v="1"/>
    <s v="NMDBS_BHN_4.7.1.15"/>
    <x v="0"/>
    <x v="24"/>
    <m/>
    <x v="0"/>
    <s v="\\192.168.3.3\Share\Releases\Projects\BHN\Release_For_Test\Test_Build_1.0.6\Server CD\DBS\Setup"/>
    <m/>
    <x v="0"/>
    <m/>
    <m/>
    <m/>
    <m/>
    <x v="1"/>
  </r>
  <r>
    <x v="361"/>
    <x v="355"/>
    <n v="6"/>
    <x v="18"/>
    <n v="6"/>
    <s v="IT-LQA"/>
    <x v="10"/>
    <m/>
    <x v="5"/>
    <x v="0"/>
    <x v="0"/>
    <s v=" NMDBS_COM_4.6.1.35.1.95b1"/>
    <x v="0"/>
    <x v="39"/>
    <s v="\\192.168.3.3\Share\Releases\Projects\Comcast\Release_For_IT\Test_Build_4.6.1\Server CD\Database\Setup"/>
    <x v="2"/>
    <s v="\\192.168.3.3\Share\Releases\Projects\Comcast\Release_for_Test\Test_Build_4.6.7\Server CD\Database\Setup"/>
    <m/>
    <x v="1"/>
    <m/>
    <m/>
    <m/>
    <m/>
    <x v="2"/>
  </r>
  <r>
    <x v="361"/>
    <x v="355"/>
    <n v="6"/>
    <x v="18"/>
    <n v="6"/>
    <s v="LQA"/>
    <x v="1"/>
    <m/>
    <x v="0"/>
    <x v="0"/>
    <x v="1"/>
    <s v="REDBS_2.0.1b8"/>
    <x v="0"/>
    <x v="63"/>
    <m/>
    <x v="0"/>
    <s v="\\192.168.3.3\Share\Releases\Product\RE_2.0\Build&amp;Release\Release_For_LQA\Test_Build_1.0.2\Server CD\DBS\Setup"/>
    <m/>
    <x v="0"/>
    <m/>
    <m/>
    <m/>
    <m/>
    <x v="1"/>
  </r>
  <r>
    <x v="361"/>
    <x v="355"/>
    <n v="6"/>
    <x v="18"/>
    <n v="6"/>
    <s v="LQA"/>
    <x v="1"/>
    <m/>
    <x v="1"/>
    <x v="1"/>
    <x v="1"/>
    <s v="MPE_3.2.8b1_CentOS_7.0 "/>
    <x v="0"/>
    <x v="30"/>
    <m/>
    <x v="2"/>
    <s v="\\192.168.3.3\Share\Releases\Product\MPE_3.2.8\Build&amp;Release\Release_For_LQA\Test_Build_1.0.1\Server CD\MPE\Setup"/>
    <m/>
    <x v="1"/>
    <m/>
    <m/>
    <m/>
    <m/>
    <x v="2"/>
  </r>
  <r>
    <x v="362"/>
    <x v="356"/>
    <n v="6"/>
    <x v="18"/>
    <n v="6"/>
    <s v="LQA"/>
    <x v="1"/>
    <m/>
    <x v="21"/>
    <x v="11"/>
    <x v="1"/>
    <s v="AWF_2.0.1b34"/>
    <x v="0"/>
    <x v="35"/>
    <m/>
    <x v="0"/>
    <s v="\\192.168.3.3\Share\Releases\Product\AWF\Build&amp;Release\Release For Test\TestBuild_2.0.1\Setup"/>
    <m/>
    <x v="1"/>
    <m/>
    <m/>
    <m/>
    <m/>
    <x v="1"/>
  </r>
  <r>
    <x v="362"/>
    <x v="356"/>
    <n v="6"/>
    <x v="18"/>
    <n v="6"/>
    <s v="LQA"/>
    <x v="1"/>
    <m/>
    <x v="12"/>
    <x v="2"/>
    <x v="1"/>
    <s v="WWCSGUI_2.1.23b2"/>
    <x v="0"/>
    <x v="21"/>
    <m/>
    <x v="2"/>
    <s v="\\192.168.3.3\Share\Releases\Product\WEB_CS\Build&amp;Release\Release For Test\TestBuild_2.1.23\ServerCD\GUI"/>
    <m/>
    <x v="1"/>
    <m/>
    <m/>
    <m/>
    <m/>
    <x v="2"/>
  </r>
  <r>
    <x v="362"/>
    <x v="356"/>
    <n v="6"/>
    <x v="18"/>
    <n v="6"/>
    <s v="LQA-UAT"/>
    <x v="4"/>
    <m/>
    <x v="1"/>
    <x v="1"/>
    <x v="0"/>
    <s v="MPE_TLSTR-2b_3.0.0.3.1.115b1"/>
    <x v="0"/>
    <x v="11"/>
    <m/>
    <x v="0"/>
    <s v="\\192.168.3.3\Share\Releases\Projects\Telstra-2b\Release_For_Test\Test_Build_1.0.0.1\Server CD\MPE\Setup"/>
    <s v="Pass"/>
    <x v="1"/>
    <m/>
    <m/>
    <m/>
    <s v="Ashwani "/>
    <x v="0"/>
  </r>
  <r>
    <x v="362"/>
    <x v="356"/>
    <n v="6"/>
    <x v="18"/>
    <n v="6"/>
    <s v="LQA-UAT"/>
    <x v="1"/>
    <m/>
    <x v="1"/>
    <x v="1"/>
    <x v="1"/>
    <s v="MPE_3.2.8b2_CentOS_7.0 "/>
    <x v="0"/>
    <x v="10"/>
    <m/>
    <x v="0"/>
    <s v="\\192.168.3.3\Share\Releases\Product\MPE_3.2.8\Build&amp;Release\Release_For_LQA\Test_Build_1.0.1\Server CD\MPE\Setup"/>
    <s v="Pass"/>
    <x v="0"/>
    <m/>
    <m/>
    <m/>
    <s v="Manas Ranjan Barik"/>
    <x v="0"/>
  </r>
  <r>
    <x v="363"/>
    <x v="357"/>
    <n v="6"/>
    <x v="18"/>
    <n v="6"/>
    <s v="IT-LQA"/>
    <x v="10"/>
    <m/>
    <x v="5"/>
    <x v="0"/>
    <x v="0"/>
    <s v="NMDBS_COM_4.6.1.35.1.95b2"/>
    <x v="0"/>
    <x v="39"/>
    <s v="\\192.168.3.3\Share\Releases\Projects\Comcast\Release_For_IT\Test_Build_4.6.1\Server CD\Database\Setup"/>
    <x v="0"/>
    <s v="\\192.168.3.3\Share\Releases\Projects\Comcast\Release_for_Test\Test_Build_4.6.7\Server CD\Database\Setup"/>
    <m/>
    <x v="1"/>
    <m/>
    <m/>
    <m/>
    <m/>
    <x v="1"/>
  </r>
  <r>
    <x v="364"/>
    <x v="358"/>
    <n v="6"/>
    <x v="18"/>
    <n v="6"/>
    <s v="LQA"/>
    <x v="1"/>
    <m/>
    <x v="12"/>
    <x v="2"/>
    <x v="1"/>
    <s v="WWFSGUI_2.1.36b3"/>
    <x v="0"/>
    <x v="21"/>
    <m/>
    <x v="0"/>
    <s v="\\192.168.3.3\Share\Releases\Product\WEB_WFS\Build&amp;Release\Release For Test\TestBuild_2.1.36\ServerCD\GUI\Setup"/>
    <m/>
    <x v="0"/>
    <m/>
    <m/>
    <m/>
    <m/>
    <x v="1"/>
  </r>
  <r>
    <x v="364"/>
    <x v="358"/>
    <n v="6"/>
    <x v="18"/>
    <n v="6"/>
    <s v="IT-LQA"/>
    <x v="4"/>
    <m/>
    <x v="5"/>
    <x v="0"/>
    <x v="0"/>
    <s v="NMDBS_TLSTR_4.0.1.0.4.324b1"/>
    <x v="0"/>
    <x v="9"/>
    <s v="\\192.168.3.3\Share\Releases\Projects\Telstra\Release_For_IT\Test_Build_1.0.0.18\Server CD\DBS\Setup"/>
    <x v="2"/>
    <s v="\\192.168.3.3\Share\Releases\Projects\Telstra\Release_For_LQA\Test_Build_1.0.0.18\Server CD\DBS\Setup"/>
    <m/>
    <x v="1"/>
    <m/>
    <m/>
    <m/>
    <m/>
    <x v="2"/>
  </r>
  <r>
    <x v="364"/>
    <x v="358"/>
    <n v="6"/>
    <x v="18"/>
    <n v="6"/>
    <s v="LQA"/>
    <x v="1"/>
    <m/>
    <x v="5"/>
    <x v="0"/>
    <x v="1"/>
    <s v="NMDBS_4.8.1b3"/>
    <x v="0"/>
    <x v="55"/>
    <m/>
    <x v="2"/>
    <s v="\\192.168.3.3\Share\Releases\Product\Netmind_4.8\Build&amp;Release\Release_For_LQA\Test_Build_1.0.1\Server CD\DBS\Setup"/>
    <m/>
    <x v="0"/>
    <m/>
    <m/>
    <m/>
    <m/>
    <x v="2"/>
  </r>
  <r>
    <x v="364"/>
    <x v="358"/>
    <n v="6"/>
    <x v="18"/>
    <n v="6"/>
    <s v="IT-LQA"/>
    <x v="8"/>
    <m/>
    <x v="5"/>
    <x v="0"/>
    <x v="0"/>
    <s v="NMDBS_TWC_4.6.1.11.3.64b1"/>
    <x v="0"/>
    <x v="7"/>
    <s v="\\192.168.3.3\Share\Releases\Projects\TWC\Release_For_IT\Test_Build_1.0.0.3\Server CD\DBS\Setup"/>
    <x v="2"/>
    <s v="\\192.168.3.3\Share\Releases\Projects\TWC\Release_For_Test\Test_Build_1.0.0.4\Server CD\DBS\Setup"/>
    <m/>
    <x v="1"/>
    <m/>
    <m/>
    <m/>
    <m/>
    <x v="2"/>
  </r>
  <r>
    <x v="364"/>
    <x v="358"/>
    <n v="6"/>
    <x v="18"/>
    <n v="6"/>
    <s v="LQA"/>
    <x v="1"/>
    <m/>
    <x v="19"/>
    <x v="0"/>
    <x v="1"/>
    <s v="LADBS_1.0.1b2"/>
    <x v="0"/>
    <x v="54"/>
    <m/>
    <x v="2"/>
    <s v="\\192.168.3.3\Share\Releases\Product\LA_1.1\Build&amp;Release\Release_For_LQA\Test_Build_1.0.1\Server CD\DBS\Setup"/>
    <s v="Fail"/>
    <x v="1"/>
    <m/>
    <m/>
    <m/>
    <m/>
    <x v="2"/>
  </r>
  <r>
    <x v="365"/>
    <x v="359"/>
    <n v="6"/>
    <x v="18"/>
    <n v="6"/>
    <s v="LQA"/>
    <x v="1"/>
    <m/>
    <x v="19"/>
    <x v="2"/>
    <x v="1"/>
    <s v="LAGUI_1.0.1b18"/>
    <x v="0"/>
    <x v="62"/>
    <m/>
    <x v="0"/>
    <s v="\\192.168.3.3\Share\Releases\Product\LA_1.1\Build&amp;Release\Release_For_LQA\Test_Build_1.0.2\Server CD\GUI\Setup"/>
    <s v="Fail"/>
    <x v="1"/>
    <m/>
    <m/>
    <m/>
    <m/>
    <x v="4"/>
  </r>
  <r>
    <x v="365"/>
    <x v="359"/>
    <n v="6"/>
    <x v="18"/>
    <n v="6"/>
    <s v="IT-LQA"/>
    <x v="1"/>
    <s v="PROMOTED FOR SLT ONLY"/>
    <x v="2"/>
    <x v="0"/>
    <x v="0"/>
    <s v="DMDBS_2.0.0.28b1"/>
    <x v="0"/>
    <x v="27"/>
    <s v="\\192.168.3.3\Share\Releases\Product\DataMind_2.0\Build&amp;Release\Release for IT\TestBuild_2.0.0\Server CD\DBS\Setup"/>
    <x v="0"/>
    <s v="\\192.168.3.3\Share\Releases\Product\DataMind_2.0\Build&amp;Release\Release for LQA\TestBuild_2.0.0\Server CD\DBS\Setup"/>
    <s v="Pass"/>
    <x v="1"/>
    <m/>
    <m/>
    <m/>
    <m/>
    <x v="0"/>
  </r>
  <r>
    <x v="366"/>
    <x v="360"/>
    <n v="6"/>
    <x v="18"/>
    <n v="6"/>
    <s v="LQA-UAT"/>
    <x v="0"/>
    <m/>
    <x v="1"/>
    <x v="1"/>
    <x v="0"/>
    <s v="MPE_SLT-1B_3.0.1.1.1.130b1"/>
    <x v="0"/>
    <x v="6"/>
    <m/>
    <x v="0"/>
    <s v="\\192.168.3.3\Share\Releases\Projects\SLT-1B\Release_For_Test\Test_Build_1.0.0.1\Server CD\MPE\Setup"/>
    <s v="Pass"/>
    <x v="0"/>
    <m/>
    <m/>
    <m/>
    <s v="KV krishna"/>
    <x v="0"/>
  </r>
  <r>
    <x v="367"/>
    <x v="361"/>
    <n v="6"/>
    <x v="18"/>
    <n v="6"/>
    <s v="IT-LQA-UAT"/>
    <x v="4"/>
    <m/>
    <x v="5"/>
    <x v="0"/>
    <x v="0"/>
    <s v="NMDBS_TLSTR_4.0.1.0.4.324b2"/>
    <x v="0"/>
    <x v="9"/>
    <s v="\\192.168.3.3\Share\Releases\Projects\Telstra\Release_For_IT\Test_Build_1.0.0.18\Server CD\DBS\Setup"/>
    <x v="0"/>
    <s v="\\192.168.3.3\Share\Releases\Projects\Telstra\Release_For_LQA\Test_Build_1.0.0.18\Server CD\DBS\Setup"/>
    <s v="Pass"/>
    <x v="1"/>
    <m/>
    <m/>
    <m/>
    <s v="Gaurav Shukla"/>
    <x v="0"/>
  </r>
  <r>
    <x v="367"/>
    <x v="361"/>
    <n v="6"/>
    <x v="18"/>
    <n v="6"/>
    <s v="LQA"/>
    <x v="1"/>
    <m/>
    <x v="0"/>
    <x v="0"/>
    <x v="1"/>
    <s v="REDBS_2.0.1b9"/>
    <x v="0"/>
    <x v="63"/>
    <m/>
    <x v="0"/>
    <s v="\\192.168.3.3\Share\Releases\Product\RE_2.0\Build&amp;Release\Release_For_LQA\Test_Build_1.0.2\Server CD\DBS\Setup"/>
    <s v="Pass"/>
    <x v="1"/>
    <m/>
    <m/>
    <m/>
    <m/>
    <x v="0"/>
  </r>
  <r>
    <x v="367"/>
    <x v="361"/>
    <n v="6"/>
    <x v="18"/>
    <n v="6"/>
    <s v="LQA-UAT"/>
    <x v="5"/>
    <m/>
    <x v="5"/>
    <x v="0"/>
    <x v="1"/>
    <s v="NMDBS_BHN_4.7.1.16"/>
    <x v="0"/>
    <x v="7"/>
    <m/>
    <x v="0"/>
    <s v="\\192.168.3.3\Share\Releases\Projects\BHN\Release_For_Test\Test_Build_1.0.6\Server CD\DBS\Setup"/>
    <s v="Pass"/>
    <x v="1"/>
    <m/>
    <m/>
    <m/>
    <s v="Abhishek Leekha"/>
    <x v="0"/>
  </r>
  <r>
    <x v="368"/>
    <x v="362"/>
    <n v="6"/>
    <x v="18"/>
    <n v="6"/>
    <s v="IT-LQA-UAT"/>
    <x v="0"/>
    <m/>
    <x v="2"/>
    <x v="0"/>
    <x v="0"/>
    <s v="DMDBS_SLT_2.0.0.26.1.231b1"/>
    <x v="0"/>
    <x v="65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Paritosh Ghildiyal"/>
    <x v="0"/>
  </r>
  <r>
    <x v="369"/>
    <x v="363"/>
    <n v="6"/>
    <x v="18"/>
    <n v="6"/>
    <s v="LQA-UAT"/>
    <x v="1"/>
    <m/>
    <x v="1"/>
    <x v="1"/>
    <x v="0"/>
    <s v="MPE_3.2.8.1b1"/>
    <x v="0"/>
    <x v="66"/>
    <m/>
    <x v="0"/>
    <s v="\\192.168.3.3\Share\Releases\Product\MPE_3.2.8\Build&amp;Release\Release_For_LQA\Test_Build_1.0.1\Server CD\MPE\Setup"/>
    <s v="Pass"/>
    <x v="0"/>
    <m/>
    <m/>
    <m/>
    <s v="Manas Ranjan Barik"/>
    <x v="0"/>
  </r>
  <r>
    <x v="369"/>
    <x v="363"/>
    <n v="6"/>
    <x v="18"/>
    <n v="6"/>
    <s v="LQA-UAT"/>
    <x v="1"/>
    <m/>
    <x v="12"/>
    <x v="2"/>
    <x v="1"/>
    <s v="WWCSGUI_2.1.23b3"/>
    <x v="0"/>
    <x v="67"/>
    <m/>
    <x v="0"/>
    <s v="\\192.168.3.3\Share\Releases\Product\WEB_CS\Build&amp;Release\Release For Test\TestBuild_2.1.23\ServerCD\GUI"/>
    <s v="Pass"/>
    <x v="1"/>
    <m/>
    <m/>
    <m/>
    <s v="Paritosh Ghildiyal"/>
    <x v="0"/>
  </r>
  <r>
    <x v="369"/>
    <x v="363"/>
    <n v="6"/>
    <x v="18"/>
    <n v="6"/>
    <s v="IT-LQA-UAT"/>
    <x v="8"/>
    <m/>
    <x v="5"/>
    <x v="0"/>
    <x v="0"/>
    <s v="NMDBS_TWC_4.6.1.11.3.64b2"/>
    <x v="0"/>
    <x v="7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Gunjan"/>
    <x v="0"/>
  </r>
  <r>
    <x v="369"/>
    <x v="363"/>
    <n v="6"/>
    <x v="18"/>
    <n v="6"/>
    <s v="IT-LQA-UAT"/>
    <x v="0"/>
    <m/>
    <x v="2"/>
    <x v="0"/>
    <x v="0"/>
    <s v="DMDBS_SLT_2.0.0.26.1.232b1"/>
    <x v="0"/>
    <x v="65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Paritosh Ghildiyal"/>
    <x v="0"/>
  </r>
  <r>
    <x v="370"/>
    <x v="364"/>
    <n v="6"/>
    <x v="18"/>
    <n v="6"/>
    <s v="LQA"/>
    <x v="1"/>
    <s v="PROMOTED ONLY FOR BHN"/>
    <x v="6"/>
    <x v="3"/>
    <x v="1"/>
    <s v="IM_1.0.8b1"/>
    <x v="0"/>
    <x v="35"/>
    <m/>
    <x v="0"/>
    <s v="\\192.168.3.3\Share\Releases\Product\IM_1.0\Build&amp;Release\Release_For_LQA\Test_Build_1.0.7\Server CD\IM\Setup"/>
    <m/>
    <x v="1"/>
    <m/>
    <m/>
    <m/>
    <m/>
    <x v="1"/>
  </r>
  <r>
    <x v="370"/>
    <x v="364"/>
    <n v="6"/>
    <x v="18"/>
    <n v="6"/>
    <s v="LQA"/>
    <x v="0"/>
    <m/>
    <x v="1"/>
    <x v="1"/>
    <x v="0"/>
    <s v="MPE_SLT-1B_3.0.1.1.1.120b1_E2"/>
    <x v="0"/>
    <x v="6"/>
    <m/>
    <x v="2"/>
    <s v="\\192.168.3.3\Share\Releases\Projects\SLT-1B\Release_For_Test\Test_Build_1.0.0.1\Server CD\MPE\Setup"/>
    <m/>
    <x v="1"/>
    <m/>
    <m/>
    <m/>
    <m/>
    <x v="2"/>
  </r>
  <r>
    <x v="370"/>
    <x v="364"/>
    <n v="6"/>
    <x v="18"/>
    <n v="6"/>
    <s v="LQA-UAT"/>
    <x v="1"/>
    <m/>
    <x v="0"/>
    <x v="2"/>
    <x v="1"/>
    <s v="REGUI_2.0.3b2"/>
    <x v="0"/>
    <x v="40"/>
    <m/>
    <x v="0"/>
    <s v="\\192.168.3.3\Share\Releases\Product\RE_2.0\Build&amp;Release\Release_For_LQA\Test_Build_1.0.2\Server CD\GUI\Setup"/>
    <s v="Pass"/>
    <x v="1"/>
    <m/>
    <m/>
    <m/>
    <s v="ajay -Gera"/>
    <x v="0"/>
  </r>
  <r>
    <x v="370"/>
    <x v="364"/>
    <n v="6"/>
    <x v="18"/>
    <n v="6"/>
    <s v="LQA-UAT"/>
    <x v="0"/>
    <m/>
    <x v="1"/>
    <x v="1"/>
    <x v="0"/>
    <s v="MPE_SLT-1B_3.0.1.1.1.131b1"/>
    <x v="0"/>
    <x v="6"/>
    <m/>
    <x v="0"/>
    <s v="\\192.168.3.3\Share\Releases\Projects\SLT-1B\Release_For_Test\Test_Build_1.0.0.1\Server CD\MPE\Setup"/>
    <s v="Pass"/>
    <x v="1"/>
    <m/>
    <m/>
    <m/>
    <s v="KV krishna"/>
    <x v="0"/>
  </r>
  <r>
    <x v="371"/>
    <x v="365"/>
    <n v="6"/>
    <x v="18"/>
    <n v="6"/>
    <s v="LQA-UAT"/>
    <x v="1"/>
    <m/>
    <x v="12"/>
    <x v="2"/>
    <x v="1"/>
    <s v="WWFSGUI_2.1.36b4"/>
    <x v="0"/>
    <x v="21"/>
    <m/>
    <x v="0"/>
    <s v="\\192.168.3.3\Share\Releases\Product\WEB_WFS\Build&amp;Release\Release For Test\TestBuild_2.1.36\ServerCD\GUI\Setup"/>
    <s v="Pass"/>
    <x v="1"/>
    <m/>
    <m/>
    <m/>
    <s v="Paritosh Ghildiyal"/>
    <x v="0"/>
  </r>
  <r>
    <x v="371"/>
    <x v="365"/>
    <n v="6"/>
    <x v="18"/>
    <n v="6"/>
    <s v="LQA-UAT"/>
    <x v="1"/>
    <m/>
    <x v="5"/>
    <x v="0"/>
    <x v="1"/>
    <s v="NMDBS_4.8.1b4"/>
    <x v="0"/>
    <x v="9"/>
    <m/>
    <x v="0"/>
    <s v="\\192.168.3.3\Share\Releases\Product\Netmind_4.8\Build&amp;Release\Release_For_LQA\Test_Build_1.0.1\Server CD\DBS\Setup"/>
    <s v="Pass"/>
    <x v="1"/>
    <m/>
    <m/>
    <m/>
    <s v="Paritosh Ghildiyal"/>
    <x v="0"/>
  </r>
  <r>
    <x v="371"/>
    <x v="365"/>
    <n v="6"/>
    <x v="18"/>
    <n v="6"/>
    <s v="LQA-UAT"/>
    <x v="0"/>
    <m/>
    <x v="1"/>
    <x v="1"/>
    <x v="0"/>
    <s v="MPE_SLT-1B_3.0.1.1.1.132b1"/>
    <x v="0"/>
    <x v="6"/>
    <m/>
    <x v="0"/>
    <s v="\\192.168.3.3\Share\Releases\Projects\SLT-1B\Release_For_Test\Test_Build_1.0.0.1\Server CD\MPE\Setup"/>
    <s v="Pass"/>
    <x v="1"/>
    <m/>
    <m/>
    <m/>
    <s v="KV krishna"/>
    <x v="0"/>
  </r>
  <r>
    <x v="371"/>
    <x v="365"/>
    <n v="6"/>
    <x v="18"/>
    <n v="6"/>
    <s v="IT-LQA-UAT"/>
    <x v="0"/>
    <m/>
    <x v="2"/>
    <x v="0"/>
    <x v="0"/>
    <s v="DMDBS_SLT_2.0.0.26.1.233b1"/>
    <x v="0"/>
    <x v="65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V krishna"/>
    <x v="0"/>
  </r>
  <r>
    <x v="371"/>
    <x v="365"/>
    <n v="6"/>
    <x v="18"/>
    <n v="6"/>
    <s v="LQA"/>
    <x v="0"/>
    <m/>
    <x v="1"/>
    <x v="1"/>
    <x v="0"/>
    <s v="MPE_SLT-1B_3.0.1.1.1.133b1"/>
    <x v="0"/>
    <x v="6"/>
    <m/>
    <x v="0"/>
    <s v="\\192.168.3.3\Share\Releases\Projects\SLT-1B\Release_For_Test\Test_Build_1.0.0.1\Server CD\MPE\Setup"/>
    <m/>
    <x v="1"/>
    <m/>
    <m/>
    <m/>
    <m/>
    <x v="1"/>
  </r>
  <r>
    <x v="372"/>
    <x v="366"/>
    <n v="6"/>
    <x v="18"/>
    <n v="6"/>
    <s v="LQA-UAT"/>
    <x v="5"/>
    <m/>
    <x v="5"/>
    <x v="0"/>
    <x v="1"/>
    <s v="NMDBS_BHN_4.7.1.17"/>
    <x v="0"/>
    <x v="7"/>
    <m/>
    <x v="0"/>
    <s v="\\192.168.3.3\Share\Releases\Projects\BHN\Release_For_Test\Test_Build_1.0.6\Server CD\DBS\Setup"/>
    <s v="Pass"/>
    <x v="1"/>
    <m/>
    <m/>
    <m/>
    <s v="Abhishek Leekha"/>
    <x v="0"/>
  </r>
  <r>
    <x v="372"/>
    <x v="366"/>
    <n v="6"/>
    <x v="18"/>
    <n v="6"/>
    <s v="LQA-UAT"/>
    <x v="20"/>
    <m/>
    <x v="1"/>
    <x v="1"/>
    <x v="0"/>
    <s v="MPE_FNB_3.2.4.39.1.12b1"/>
    <x v="0"/>
    <x v="14"/>
    <m/>
    <x v="0"/>
    <s v="\\192.168.3.3\Share\Releases\Projects\FNB\Release_For_Test\Test_Build_1.0.2\Server CD\MPE\Setup"/>
    <s v="Pass"/>
    <x v="1"/>
    <m/>
    <m/>
    <m/>
    <s v="Pradeep Raghav"/>
    <x v="0"/>
  </r>
  <r>
    <x v="373"/>
    <x v="367"/>
    <n v="6"/>
    <x v="18"/>
    <n v="6"/>
    <s v="LQA"/>
    <x v="10"/>
    <m/>
    <x v="12"/>
    <x v="2"/>
    <x v="1"/>
    <s v="WWCSGUI_COM_2.1.23.0.1"/>
    <x v="0"/>
    <x v="21"/>
    <m/>
    <x v="0"/>
    <s v="\\192.168.3.3\Share\Releases\Projects\Comcast\Release_for_Test\Test_Build_4.6.8\Server CD\GUI\Setup"/>
    <m/>
    <x v="1"/>
    <m/>
    <m/>
    <m/>
    <m/>
    <x v="1"/>
  </r>
  <r>
    <x v="373"/>
    <x v="367"/>
    <n v="6"/>
    <x v="18"/>
    <n v="6"/>
    <s v="IT-LQA-UAT"/>
    <x v="0"/>
    <m/>
    <x v="4"/>
    <x v="0"/>
    <x v="0"/>
    <s v="RADBS_SLT_2.1.1.15.1.108b1"/>
    <x v="0"/>
    <x v="65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V krishna"/>
    <x v="0"/>
  </r>
  <r>
    <x v="373"/>
    <x v="367"/>
    <n v="6"/>
    <x v="18"/>
    <n v="6"/>
    <s v="IT-LQA-UAT"/>
    <x v="0"/>
    <m/>
    <x v="2"/>
    <x v="0"/>
    <x v="0"/>
    <s v="DMDBS_SLT_2.0.0.28.1.234b1"/>
    <x v="0"/>
    <x v="65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V krishna"/>
    <x v="0"/>
  </r>
  <r>
    <x v="373"/>
    <x v="367"/>
    <n v="6"/>
    <x v="18"/>
    <n v="6"/>
    <s v="IT-LQA-UAT"/>
    <x v="0"/>
    <m/>
    <x v="4"/>
    <x v="0"/>
    <x v="0"/>
    <s v="RADBS_SLT_2.1.1.15.1.109b1"/>
    <x v="0"/>
    <x v="65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V krishna"/>
    <x v="0"/>
  </r>
  <r>
    <x v="373"/>
    <x v="367"/>
    <n v="6"/>
    <x v="18"/>
    <n v="6"/>
    <s v="LQA"/>
    <x v="10"/>
    <m/>
    <x v="8"/>
    <x v="2"/>
    <x v="1"/>
    <s v="WWFSGUI_COM_2.1.36.0.1"/>
    <x v="0"/>
    <x v="21"/>
    <m/>
    <x v="2"/>
    <s v="\\192.168.3.3\Share\Releases\Projects\Comcast\Release_for_Test\Test_Build_4.6.8\Server CD\GUI\Setup"/>
    <m/>
    <x v="1"/>
    <m/>
    <m/>
    <m/>
    <m/>
    <x v="2"/>
  </r>
  <r>
    <x v="374"/>
    <x v="368"/>
    <n v="6"/>
    <x v="18"/>
    <n v="6"/>
    <s v="IT-LQA-UAT"/>
    <x v="0"/>
    <m/>
    <x v="2"/>
    <x v="0"/>
    <x v="0"/>
    <s v="DMDBS_SLT_2.0.0.28.1.235b1"/>
    <x v="0"/>
    <x v="65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V krishna"/>
    <x v="0"/>
  </r>
  <r>
    <x v="374"/>
    <x v="368"/>
    <n v="6"/>
    <x v="18"/>
    <n v="6"/>
    <s v="LQA"/>
    <x v="10"/>
    <m/>
    <x v="5"/>
    <x v="0"/>
    <x v="0"/>
    <s v="NMDBS_COM_4.8.1.1"/>
    <x v="0"/>
    <x v="39"/>
    <m/>
    <x v="0"/>
    <s v="\\192.168.3.3\Share\Releases\Projects\Comcast\Release_for_Test\Test_Build_4.6.8\Server CD\Database\Setup"/>
    <m/>
    <x v="1"/>
    <m/>
    <m/>
    <m/>
    <m/>
    <x v="1"/>
  </r>
  <r>
    <x v="375"/>
    <x v="369"/>
    <n v="7"/>
    <x v="19"/>
    <n v="7"/>
    <s v="LQA"/>
    <x v="0"/>
    <m/>
    <x v="1"/>
    <x v="1"/>
    <x v="0"/>
    <s v="MPE_SLT-1B_3.0.1.1.1.120b1_E3"/>
    <x v="0"/>
    <x v="6"/>
    <m/>
    <x v="2"/>
    <s v="\\192.168.3.3\Share\Releases\Projects\SLT-1B\Release_For_Test\Test_Build_1.0.0.1\Server CD\MPE\Setup"/>
    <s v="Fail"/>
    <x v="1"/>
    <m/>
    <m/>
    <m/>
    <m/>
    <x v="2"/>
  </r>
  <r>
    <x v="375"/>
    <x v="369"/>
    <n v="7"/>
    <x v="19"/>
    <n v="7"/>
    <s v="LQA-UAT"/>
    <x v="4"/>
    <m/>
    <x v="1"/>
    <x v="1"/>
    <x v="0"/>
    <s v="MPE_TLSTR-2b_3.0.0.3.1.116b1"/>
    <x v="0"/>
    <x v="11"/>
    <m/>
    <x v="0"/>
    <s v="\\192.168.3.3\Share\Releases\Projects\Telstra-2b\Release_For_Test\Test_Build_1.0.0.1\Server CD\MPE\Setup"/>
    <s v="Pass"/>
    <x v="1"/>
    <m/>
    <m/>
    <m/>
    <s v="ashwani "/>
    <x v="0"/>
  </r>
  <r>
    <x v="375"/>
    <x v="369"/>
    <n v="7"/>
    <x v="19"/>
    <n v="7"/>
    <s v="LQA-UAT"/>
    <x v="6"/>
    <m/>
    <x v="1"/>
    <x v="1"/>
    <x v="0"/>
    <s v="MPE_ANTEL_3.2.4.37.1.18b1"/>
    <x v="0"/>
    <x v="14"/>
    <m/>
    <x v="0"/>
    <s v="\\192.168.3.3\Share\Releases\Projects\ANTEL\Release_For_Test\Test_Build_1.0.0.7\Server CD\MPE\Setup"/>
    <s v="Pass"/>
    <x v="1"/>
    <m/>
    <m/>
    <m/>
    <s v="Rajesh bihari Mishra"/>
    <x v="0"/>
  </r>
  <r>
    <x v="375"/>
    <x v="369"/>
    <n v="7"/>
    <x v="19"/>
    <n v="7"/>
    <s v="IT-LQA"/>
    <x v="1"/>
    <m/>
    <x v="7"/>
    <x v="0"/>
    <x v="0"/>
    <s v="RTDBS_4.0.1.32b1"/>
    <x v="0"/>
    <x v="61"/>
    <s v="\\192.168.3.3\Share\Releases\Product\RT_4.0\ReleaseForIT\TestBuild_4.0.3\DBS\Setup"/>
    <x v="2"/>
    <s v="\\192.168.3.3\Share\Releases\Product\RT_4.0\ReleaseForLQA\TestBuild_4.0.24\DBS\Setup"/>
    <m/>
    <x v="1"/>
    <m/>
    <m/>
    <m/>
    <m/>
    <x v="2"/>
  </r>
  <r>
    <x v="376"/>
    <x v="370"/>
    <n v="7"/>
    <x v="19"/>
    <n v="7"/>
    <s v="LQA"/>
    <x v="4"/>
    <m/>
    <x v="1"/>
    <x v="1"/>
    <x v="0"/>
    <s v="MPE_TLSTR-2b_3.0.0.3.1.117b1"/>
    <x v="0"/>
    <x v="11"/>
    <m/>
    <x v="0"/>
    <s v="\\192.168.3.3\Share\Releases\Projects\Telstra-2b\Release_For_Test\Test_Build_1.0.0.1\Server CD\MPE\Setup"/>
    <m/>
    <x v="0"/>
    <m/>
    <m/>
    <m/>
    <m/>
    <x v="1"/>
  </r>
  <r>
    <x v="377"/>
    <x v="371"/>
    <n v="7"/>
    <x v="19"/>
    <n v="7"/>
    <s v="IT-LQA-UAT"/>
    <x v="0"/>
    <m/>
    <x v="4"/>
    <x v="0"/>
    <x v="0"/>
    <s v="RADBS_SLT_2.1.1.15.1.110b1"/>
    <x v="0"/>
    <x v="65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V krishna"/>
    <x v="0"/>
  </r>
  <r>
    <x v="377"/>
    <x v="371"/>
    <n v="7"/>
    <x v="19"/>
    <n v="7"/>
    <s v="IT-LQA-UAT"/>
    <x v="0"/>
    <m/>
    <x v="2"/>
    <x v="0"/>
    <x v="0"/>
    <s v="DMDBS_SLT_2.0.0.28.1.236b1"/>
    <x v="0"/>
    <x v="65"/>
    <s v="\\192.168.3.3\Share\Releases\Projects\SLT\Release_For_IT\Test_Build_1.0.0.4\Server CD\DBS\Setup"/>
    <x v="0"/>
    <s v="\\192.168.3.3\Share\Releases\Projects\SLT\Release_For_LQA\Test_Build_1.0.0.24\Server CD\DBS\Setup"/>
    <s v="Pass"/>
    <x v="1"/>
    <m/>
    <m/>
    <m/>
    <s v="KV krishna"/>
    <x v="0"/>
  </r>
  <r>
    <x v="377"/>
    <x v="371"/>
    <n v="7"/>
    <x v="19"/>
    <n v="7"/>
    <s v="LQA"/>
    <x v="1"/>
    <m/>
    <x v="6"/>
    <x v="3"/>
    <x v="1"/>
    <s v="IM_1.0.9b1"/>
    <x v="0"/>
    <x v="35"/>
    <m/>
    <x v="0"/>
    <s v="\\192.168.3.3\Share\Releases\Product\IM_1.0\Build&amp;Release\Release_For_LQA\Test_Build_1.0.8\Server CD\IM\Setupp"/>
    <m/>
    <x v="1"/>
    <m/>
    <m/>
    <m/>
    <m/>
    <x v="1"/>
  </r>
  <r>
    <x v="378"/>
    <x v="372"/>
    <n v="7"/>
    <x v="19"/>
    <n v="7"/>
    <s v="LQA-UAT"/>
    <x v="5"/>
    <m/>
    <x v="6"/>
    <x v="3"/>
    <x v="1"/>
    <s v="IM_BHN_1.0.9.0.1             "/>
    <x v="0"/>
    <x v="35"/>
    <m/>
    <x v="0"/>
    <s v="\\192.168.3.3\share\Releases\Projects\BHN\Release_For_Test\Test_Build_1.0.8\Server CD\IM\Setup"/>
    <s v="Pass"/>
    <x v="1"/>
    <m/>
    <m/>
    <m/>
    <s v="Abhishek Leekha"/>
    <x v="0"/>
  </r>
  <r>
    <x v="378"/>
    <x v="372"/>
    <n v="7"/>
    <x v="19"/>
    <n v="7"/>
    <s v="LQA"/>
    <x v="0"/>
    <m/>
    <x v="1"/>
    <x v="1"/>
    <x v="0"/>
    <s v="MPE_SLT-1B_3.0.1.1.1.120b1_E4"/>
    <x v="0"/>
    <x v="6"/>
    <m/>
    <x v="2"/>
    <s v="\\192.168.3.3\Share\Releases\Projects\SLT-1B\Release_For_Test\Test_Build_1.0.0.1\Server CD\MPE\Setup"/>
    <s v="Fail"/>
    <x v="1"/>
    <m/>
    <m/>
    <m/>
    <m/>
    <x v="2"/>
  </r>
  <r>
    <x v="379"/>
    <x v="373"/>
    <n v="7"/>
    <x v="19"/>
    <n v="7"/>
    <s v="IT"/>
    <x v="1"/>
    <m/>
    <x v="7"/>
    <x v="0"/>
    <x v="0"/>
    <s v="RTDBS_ 4.0.1.32b2"/>
    <x v="0"/>
    <x v="61"/>
    <s v="\\192.168.3.3\Share\Releases\Product\RT_4.0\ReleaseForIT\TestBuild_4.0.3\DBS\Setup"/>
    <x v="0"/>
    <m/>
    <m/>
    <x v="0"/>
    <m/>
    <m/>
    <m/>
    <m/>
    <x v="1"/>
  </r>
  <r>
    <x v="379"/>
    <x v="373"/>
    <n v="7"/>
    <x v="19"/>
    <n v="7"/>
    <s v="IT"/>
    <x v="1"/>
    <m/>
    <x v="7"/>
    <x v="0"/>
    <x v="1"/>
    <s v="RTDBS_ 4.0.2b1"/>
    <x v="0"/>
    <x v="61"/>
    <s v="\\192.168.3.3\Share\Releases\Product\RT_4.0\ReleaseForIT\TestBuild_4.0.4\DBS\Setup"/>
    <x v="0"/>
    <m/>
    <m/>
    <x v="1"/>
    <m/>
    <m/>
    <m/>
    <m/>
    <x v="1"/>
  </r>
  <r>
    <x v="380"/>
    <x v="374"/>
    <n v="7"/>
    <x v="19"/>
    <n v="7"/>
    <s v="LQA"/>
    <x v="1"/>
    <m/>
    <x v="11"/>
    <x v="6"/>
    <x v="1"/>
    <s v="AWF_2.0.2b1"/>
    <x v="0"/>
    <x v="31"/>
    <m/>
    <x v="2"/>
    <s v="\\192.168.3.3\Share\Releases\Product\AWF\Build&amp;Release\Release For Test\TestBuild_2.0.2\Setup"/>
    <m/>
    <x v="1"/>
    <m/>
    <m/>
    <m/>
    <m/>
    <x v="2"/>
  </r>
  <r>
    <x v="381"/>
    <x v="375"/>
    <n v="7"/>
    <x v="19"/>
    <n v="7"/>
    <s v="LQA-UAT"/>
    <x v="1"/>
    <m/>
    <x v="8"/>
    <x v="2"/>
    <x v="0"/>
    <s v="WWCSGUI_2.1.23.1b1"/>
    <x v="0"/>
    <x v="21"/>
    <m/>
    <x v="0"/>
    <s v="\\192.168.3.3\Share\Releases\Product\WEB_CS\Build&amp;Release\Release For Test\TestBuild_2.1.23\ServerCD\GUI"/>
    <s v="Pass"/>
    <x v="1"/>
    <m/>
    <m/>
    <m/>
    <m/>
    <x v="0"/>
  </r>
  <r>
    <x v="381"/>
    <x v="375"/>
    <n v="7"/>
    <x v="19"/>
    <n v="7"/>
    <s v="LQA"/>
    <x v="1"/>
    <m/>
    <x v="7"/>
    <x v="0"/>
    <x v="0"/>
    <s v="RTDBS_4.0.1.32b2"/>
    <x v="0"/>
    <x v="61"/>
    <m/>
    <x v="0"/>
    <s v="\\192.168.3.3\Share\Releases\Product\RT_4.0\ReleaseForLQA\TestBuild_4.0.24\DBS\Setup"/>
    <s v="Fail"/>
    <x v="1"/>
    <m/>
    <m/>
    <m/>
    <m/>
    <x v="4"/>
  </r>
  <r>
    <x v="381"/>
    <x v="375"/>
    <n v="7"/>
    <x v="19"/>
    <n v="7"/>
    <s v="LQA"/>
    <x v="10"/>
    <m/>
    <x v="5"/>
    <x v="0"/>
    <x v="0"/>
    <s v="NMDBS_COM_4.8.1.2"/>
    <x v="0"/>
    <x v="53"/>
    <m/>
    <x v="0"/>
    <s v="\\192.168.3.3\Share\Releases\Projects\Comcast\Release_for_Test\Test_Build_4.6.8\Server CD\Database\Setup"/>
    <m/>
    <x v="1"/>
    <m/>
    <m/>
    <m/>
    <m/>
    <x v="1"/>
  </r>
  <r>
    <x v="381"/>
    <x v="375"/>
    <n v="7"/>
    <x v="19"/>
    <n v="7"/>
    <s v="LQA"/>
    <x v="1"/>
    <m/>
    <x v="11"/>
    <x v="6"/>
    <x v="1"/>
    <s v="AWF_2.0.2b2"/>
    <x v="0"/>
    <x v="31"/>
    <m/>
    <x v="0"/>
    <s v="\\192.168.3.3\Share\Releases\Product\AWF\Build&amp;Release\Release For Test\TestBuild_2.0.2\Setup"/>
    <m/>
    <x v="1"/>
    <m/>
    <m/>
    <m/>
    <m/>
    <x v="1"/>
  </r>
  <r>
    <x v="381"/>
    <x v="375"/>
    <n v="7"/>
    <x v="19"/>
    <n v="7"/>
    <s v="LQA"/>
    <x v="1"/>
    <m/>
    <x v="7"/>
    <x v="2"/>
    <x v="1"/>
    <s v="RTGUI_4.0.38b1"/>
    <x v="0"/>
    <x v="68"/>
    <m/>
    <x v="0"/>
    <s v="\\192.168.3.3\Share\Releases\Product\RT_4.0\ReleaseForLQA\TestBuild_4.0.24\GUI\Build1\Setup"/>
    <s v="Fail"/>
    <x v="1"/>
    <m/>
    <m/>
    <m/>
    <m/>
    <x v="4"/>
  </r>
  <r>
    <x v="382"/>
    <x v="376"/>
    <n v="7"/>
    <x v="19"/>
    <n v="7"/>
    <s v="LQA"/>
    <x v="10"/>
    <m/>
    <x v="12"/>
    <x v="2"/>
    <x v="1"/>
    <s v="WWCSGUI_COM_2.1.23.0.2"/>
    <x v="0"/>
    <x v="21"/>
    <m/>
    <x v="0"/>
    <s v="\\192.168.3.3\Share\Releases\Projects\Comcast\Release_for_Test\Test_Build_4.6.9\Server CD\GUI\Setup"/>
    <m/>
    <x v="1"/>
    <m/>
    <m/>
    <m/>
    <m/>
    <x v="1"/>
  </r>
  <r>
    <x v="383"/>
    <x v="377"/>
    <n v="7"/>
    <x v="19"/>
    <n v="7"/>
    <s v="LQA"/>
    <x v="1"/>
    <m/>
    <x v="1"/>
    <x v="2"/>
    <x v="1"/>
    <s v="MPEGUI_1.1.5b1"/>
    <x v="0"/>
    <x v="16"/>
    <m/>
    <x v="0"/>
    <s v="\\192.168.3.3\Share\Releases\Product\MEDGUI_1.1\Build&amp;Release\Release_For_LQA\Test_Build_1.0.1\Server CD\GUI\Setup"/>
    <m/>
    <x v="1"/>
    <m/>
    <m/>
    <m/>
    <m/>
    <x v="1"/>
  </r>
  <r>
    <x v="383"/>
    <x v="377"/>
    <n v="7"/>
    <x v="19"/>
    <n v="7"/>
    <s v="LQA-UAT"/>
    <x v="20"/>
    <m/>
    <x v="1"/>
    <x v="1"/>
    <x v="0"/>
    <s v="MPE_FNB_3.2.4.39.1.13b1"/>
    <x v="0"/>
    <x v="14"/>
    <m/>
    <x v="0"/>
    <s v="\\192.168.3.3\Share\Releases\Projects\FNB\Release_For_Test\Test_Build_1.0.2\Server CD\MPE\Setup"/>
    <s v="Pass"/>
    <x v="0"/>
    <m/>
    <m/>
    <m/>
    <s v="Pradeep Raghav"/>
    <x v="0"/>
  </r>
  <r>
    <x v="383"/>
    <x v="377"/>
    <n v="7"/>
    <x v="19"/>
    <n v="7"/>
    <s v="LQA-UAT"/>
    <x v="1"/>
    <m/>
    <x v="0"/>
    <x v="2"/>
    <x v="1"/>
    <s v="REGUI_2.0.4b1"/>
    <x v="0"/>
    <x v="40"/>
    <m/>
    <x v="0"/>
    <s v="\\192.168.3.3\Share\Releases\Product\RE_2.0\Build&amp;Release\Release_For_LQA\Test_Build_1.0.3\Server CD\GUI\Setup"/>
    <s v="Pass"/>
    <x v="1"/>
    <m/>
    <m/>
    <m/>
    <s v="aditya mani sharma"/>
    <x v="0"/>
  </r>
  <r>
    <x v="383"/>
    <x v="377"/>
    <n v="7"/>
    <x v="19"/>
    <n v="7"/>
    <s v="LQA-UAT"/>
    <x v="20"/>
    <m/>
    <x v="5"/>
    <x v="0"/>
    <x v="1"/>
    <s v="NMDBS_FNB_4.7.1.9"/>
    <x v="0"/>
    <x v="53"/>
    <m/>
    <x v="0"/>
    <s v="\\192.168.3.3\Share\Releases\Projects\FNB\Release_For_Test\Test_Build_1.0.2\Server CD\DBS\Setup"/>
    <s v="Pass"/>
    <x v="0"/>
    <m/>
    <m/>
    <m/>
    <s v="ajay pandey"/>
    <x v="0"/>
  </r>
  <r>
    <x v="383"/>
    <x v="377"/>
    <n v="7"/>
    <x v="19"/>
    <n v="7"/>
    <s v="LQA"/>
    <x v="10"/>
    <m/>
    <x v="8"/>
    <x v="2"/>
    <x v="1"/>
    <s v="WWFSGUI_COM_2.1.36.0.2"/>
    <x v="0"/>
    <x v="64"/>
    <m/>
    <x v="0"/>
    <s v="\\192.168.3.3\Share\Releases\Projects\Comcast\Release_for_Test\Test_Build_4.6.10\Server CD\GUI\Setup"/>
    <m/>
    <x v="0"/>
    <m/>
    <m/>
    <m/>
    <m/>
    <x v="1"/>
  </r>
  <r>
    <x v="384"/>
    <x v="378"/>
    <n v="7"/>
    <x v="19"/>
    <n v="7"/>
    <s v="LQA"/>
    <x v="1"/>
    <m/>
    <x v="12"/>
    <x v="2"/>
    <x v="1"/>
    <s v="WWCSGUI_2.1.24b1"/>
    <x v="0"/>
    <x v="69"/>
    <m/>
    <x v="2"/>
    <s v="\\192.168.3.3\Share\Releases\Product\WEB_CS\Build&amp;Release\Release For Test\TestBuild_2.1.24\ServerCD\GUI\Setup"/>
    <s v="Fail"/>
    <x v="1"/>
    <m/>
    <m/>
    <m/>
    <m/>
    <x v="2"/>
  </r>
  <r>
    <x v="385"/>
    <x v="379"/>
    <n v="7"/>
    <x v="19"/>
    <n v="7"/>
    <s v="LQA-UAT"/>
    <x v="16"/>
    <m/>
    <x v="5"/>
    <x v="1"/>
    <x v="0"/>
    <s v="NMMPE_TLN_2.0.3.54.1"/>
    <x v="0"/>
    <x v="14"/>
    <m/>
    <x v="0"/>
    <s v="\\192.168.3.3\Share\Releases\Projects\Telenet\Build&amp;Release\Release For Test\Test_Build_4.0.41\Server CD\MPE\Setup"/>
    <s v="Pass"/>
    <x v="1"/>
    <m/>
    <m/>
    <m/>
    <s v="Pradeep Raghav"/>
    <x v="0"/>
  </r>
  <r>
    <x v="385"/>
    <x v="379"/>
    <n v="7"/>
    <x v="19"/>
    <n v="7"/>
    <s v="LQA"/>
    <x v="1"/>
    <m/>
    <x v="8"/>
    <x v="2"/>
    <x v="1"/>
    <s v="WWFSGUI_2.1.37b1"/>
    <x v="0"/>
    <x v="69"/>
    <m/>
    <x v="2"/>
    <s v="\\192.168.3.3\Share\Releases\Product\WEB_WFS\Build&amp;Release\Release For Test\TestBuild_2.1.37\ServerCD\GUI\Setup"/>
    <s v="Fail"/>
    <x v="1"/>
    <m/>
    <m/>
    <m/>
    <m/>
    <x v="2"/>
  </r>
  <r>
    <x v="385"/>
    <x v="379"/>
    <n v="7"/>
    <x v="19"/>
    <n v="7"/>
    <s v="LQA"/>
    <x v="1"/>
    <s v="Revmind"/>
    <x v="8"/>
    <x v="2"/>
    <x v="0"/>
    <s v="WWFSGUI_2.2.1.5b1"/>
    <x v="0"/>
    <x v="40"/>
    <m/>
    <x v="0"/>
    <s v="\\192.168.3.3\Share\Releases\Product\WEB_WFS\Build&amp;Release\Release For Test\TestBuild_2.2.1\Build4\ServerCD\GUI\Setup"/>
    <m/>
    <x v="0"/>
    <m/>
    <m/>
    <m/>
    <m/>
    <x v="1"/>
  </r>
  <r>
    <x v="385"/>
    <x v="379"/>
    <n v="7"/>
    <x v="19"/>
    <n v="7"/>
    <s v="LQA"/>
    <x v="1"/>
    <s v="Revmind"/>
    <x v="12"/>
    <x v="2"/>
    <x v="1"/>
    <s v="CSGUI_2.6.3b1"/>
    <x v="0"/>
    <x v="40"/>
    <m/>
    <x v="0"/>
    <s v="\\192.168.3.3\Share\Releases\Product\CSGUI_2.6\Build&amp;Release\Release_For_LQA\Test_Build_1.0.4\Server CD\GUI\Setup"/>
    <m/>
    <x v="0"/>
    <m/>
    <m/>
    <m/>
    <m/>
    <x v="1"/>
  </r>
  <r>
    <x v="386"/>
    <x v="380"/>
    <n v="7"/>
    <x v="19"/>
    <n v="7"/>
    <s v="LQA"/>
    <x v="1"/>
    <m/>
    <x v="19"/>
    <x v="0"/>
    <x v="1"/>
    <s v="LADBS_1.0.1b3"/>
    <x v="0"/>
    <x v="54"/>
    <m/>
    <x v="0"/>
    <s v="\\192.168.3.3\Share\Releases\Product\LA_1.1\Build&amp;Release\Release_For_LQA\Test_Build_1.0.3\Server CD\DBS\Setup"/>
    <s v="Fail"/>
    <x v="1"/>
    <m/>
    <m/>
    <m/>
    <m/>
    <x v="4"/>
  </r>
  <r>
    <x v="386"/>
    <x v="380"/>
    <n v="7"/>
    <x v="19"/>
    <n v="7"/>
    <s v="IT-LQA"/>
    <x v="17"/>
    <m/>
    <x v="5"/>
    <x v="0"/>
    <x v="0"/>
    <s v=" PATCH_DBS_3.0.5.03_CPMTS.02_89.1"/>
    <x v="0"/>
    <x v="53"/>
    <s v="\\192.168.3.3\Share\Releases\Projects\MTS\Release For IT\Test_Build_3.0.5.25\Server CD\Database\Setup"/>
    <x v="0"/>
    <s v="\\192.168.3.3\Share\Releases\Projects\MTS\Release For Test\Test_Build_3.0.5.25\Server CD\Database\Setup"/>
    <s v="Pass"/>
    <x v="1"/>
    <m/>
    <m/>
    <m/>
    <s v="Surya N Behera"/>
    <x v="0"/>
  </r>
  <r>
    <x v="386"/>
    <x v="380"/>
    <n v="7"/>
    <x v="19"/>
    <n v="7"/>
    <s v="LQA"/>
    <x v="1"/>
    <m/>
    <x v="19"/>
    <x v="2"/>
    <x v="1"/>
    <s v="LAGUI_1.0.1b20"/>
    <x v="0"/>
    <x v="62"/>
    <m/>
    <x v="0"/>
    <s v="\\192.168.3.3\Share\Releases\Product\LA_1.1\Build&amp;Release\Release_For_LQA\Test_Build_1.0.3\Server CD\GUI\Setup"/>
    <s v="Fail"/>
    <x v="1"/>
    <m/>
    <m/>
    <m/>
    <m/>
    <x v="4"/>
  </r>
  <r>
    <x v="387"/>
    <x v="381"/>
    <n v="7"/>
    <x v="19"/>
    <n v="7"/>
    <s v="IT"/>
    <x v="20"/>
    <m/>
    <x v="2"/>
    <x v="0"/>
    <x v="0"/>
    <s v="DMDBS_FNB_2.1.1.11.1.8b1"/>
    <x v="0"/>
    <x v="53"/>
    <s v="\\192.168.3.3\Share\Releases\Projects\FNB\Release_For_IT\TestBuild_1.0.1\Server CD\DBS\Setup"/>
    <x v="0"/>
    <s v="\\192.168.3.3\Share\Releases\Projects\FNB\Release_For_Test\Test_Build_1.0.2\Server CD\DBS\Setup"/>
    <m/>
    <x v="1"/>
    <m/>
    <m/>
    <m/>
    <m/>
    <x v="1"/>
  </r>
  <r>
    <x v="387"/>
    <x v="381"/>
    <n v="7"/>
    <x v="19"/>
    <n v="7"/>
    <s v="LQA"/>
    <x v="5"/>
    <m/>
    <x v="5"/>
    <x v="0"/>
    <x v="1"/>
    <s v="NMDBS_BHN_4.8.1.1"/>
    <x v="0"/>
    <x v="24"/>
    <m/>
    <x v="0"/>
    <s v="\\192.168.3.3\Share\Releases\Projects\BHN\Release_For_Test\Test_Build_1.0.8\Server CD\DBS\Setup"/>
    <m/>
    <x v="1"/>
    <m/>
    <m/>
    <m/>
    <m/>
    <x v="1"/>
  </r>
  <r>
    <x v="387"/>
    <x v="381"/>
    <n v="7"/>
    <x v="19"/>
    <n v="7"/>
    <s v="LQA"/>
    <x v="5"/>
    <m/>
    <x v="8"/>
    <x v="2"/>
    <x v="1"/>
    <s v="WWFSGUI_BHN_2.1.36.0.1"/>
    <x v="0"/>
    <x v="64"/>
    <m/>
    <x v="0"/>
    <s v="\\192.168.3.3\Share\Releases\Projects\BHN\Release_For_Test\Test_Build_1.0.8\Server CD\GUI\Setup"/>
    <m/>
    <x v="1"/>
    <m/>
    <m/>
    <m/>
    <m/>
    <x v="1"/>
  </r>
  <r>
    <x v="387"/>
    <x v="381"/>
    <n v="7"/>
    <x v="19"/>
    <n v="7"/>
    <s v="LQA"/>
    <x v="5"/>
    <m/>
    <x v="12"/>
    <x v="2"/>
    <x v="1"/>
    <s v="WWCSGUI_BHN_2.1.23.0.1"/>
    <x v="0"/>
    <x v="67"/>
    <m/>
    <x v="0"/>
    <s v="\\192.168.3.3\Share\Releases\Projects\BHN\Release_For_Test\Test_Build_1.0.8\Server CD\GUI\Setup"/>
    <m/>
    <x v="1"/>
    <m/>
    <m/>
    <m/>
    <m/>
    <x v="1"/>
  </r>
  <r>
    <x v="388"/>
    <x v="382"/>
    <n v="7"/>
    <x v="19"/>
    <n v="7"/>
    <s v="IT-LQA-UAT"/>
    <x v="3"/>
    <m/>
    <x v="5"/>
    <x v="0"/>
    <x v="0"/>
    <s v="NMDBS_OBT_4.6.1.27.1.48b1"/>
    <x v="0"/>
    <x v="53"/>
    <s v="\\192.168.3.3\Share\Releases\Projects\OBT\Release_For_IT\TestBuild_1.0.0.2\Server CD\DBS\Setup"/>
    <x v="0"/>
    <s v="\\192.168.3.3\Share\Releases\Projects\OBT\Release_For_LQA\TestBuild_1.0.0.7\Server CD\DBS\Setup"/>
    <s v="Pass"/>
    <x v="1"/>
    <m/>
    <m/>
    <m/>
    <s v="Pradeep Raghav"/>
    <x v="0"/>
  </r>
  <r>
    <x v="389"/>
    <x v="383"/>
    <n v="7"/>
    <x v="19"/>
    <n v="7"/>
    <s v="LQA-UAT"/>
    <x v="0"/>
    <m/>
    <x v="1"/>
    <x v="1"/>
    <x v="0"/>
    <s v="MPE_SLT-1B_3.0.1.1.1.120b1_E5"/>
    <x v="0"/>
    <x v="66"/>
    <m/>
    <x v="0"/>
    <s v="\\192.168.3.3\Share\Releases\Projects\SLT-1B\Release_For_Test\Test_Build_1.0.0.1\Server CD\MPE\Setup"/>
    <s v="Pass"/>
    <x v="1"/>
    <m/>
    <m/>
    <m/>
    <s v="KV krishna"/>
    <x v="0"/>
  </r>
  <r>
    <x v="390"/>
    <x v="384"/>
    <n v="7"/>
    <x v="19"/>
    <n v="7"/>
    <s v="LQA-UAT"/>
    <x v="8"/>
    <m/>
    <x v="1"/>
    <x v="1"/>
    <x v="0"/>
    <s v="MPE_TWC_3.2.1.5.2.31b1"/>
    <x v="0"/>
    <x v="46"/>
    <m/>
    <x v="0"/>
    <s v="\\192.168.3.3\Share\Releases\Projects\TWC\Release_For_Test\Test_Build_1.0.0.4\Server CD\MPE\Setup"/>
    <s v="Pass"/>
    <x v="1"/>
    <m/>
    <m/>
    <m/>
    <s v="Gunjan"/>
    <x v="0"/>
  </r>
  <r>
    <x v="390"/>
    <x v="384"/>
    <n v="7"/>
    <x v="19"/>
    <n v="7"/>
    <s v="LQA"/>
    <x v="4"/>
    <m/>
    <x v="1"/>
    <x v="1"/>
    <x v="0"/>
    <s v="MPE_TLSTR-2b_3.0.0.3.1.118b1"/>
    <x v="0"/>
    <x v="11"/>
    <m/>
    <x v="0"/>
    <s v="\\192.168.3.3\Share\Releases\Projects\Telstra-2b\Release_For_Test\Test_Build_1.0.0.1\Server CD\MPE\Setup"/>
    <m/>
    <x v="1"/>
    <m/>
    <m/>
    <m/>
    <m/>
    <x v="1"/>
  </r>
  <r>
    <x v="390"/>
    <x v="384"/>
    <n v="7"/>
    <x v="19"/>
    <n v="7"/>
    <s v="IT-LQA-UAT"/>
    <x v="8"/>
    <m/>
    <x v="5"/>
    <x v="0"/>
    <x v="0"/>
    <s v="NMDBS_TWC_4.6.1.11.3.65b1"/>
    <x v="0"/>
    <x v="7"/>
    <s v="\\192.168.3.3\Share\Releases\Projects\TWC\Release_For_IT\Test_Build_1.0.0.3\Server CD\DBS\Setup"/>
    <x v="0"/>
    <s v="\\192.168.3.3\Share\Releases\Projects\TWC\Release_For_Test\Test_Build_1.0.0.4\Server CD\DBS\Setup"/>
    <s v="Pass"/>
    <x v="1"/>
    <m/>
    <m/>
    <m/>
    <s v="Gunjan"/>
    <x v="0"/>
  </r>
  <r>
    <x v="391"/>
    <x v="385"/>
    <n v="7"/>
    <x v="19"/>
    <n v="7"/>
    <s v="IT-LQA-UAT"/>
    <x v="1"/>
    <m/>
    <x v="7"/>
    <x v="0"/>
    <x v="0"/>
    <s v="RTDBS_4.0.1.33b1  "/>
    <x v="0"/>
    <x v="61"/>
    <s v="\\192.168.3.3\Share\Releases\Product\RT_4.0\ReleaseForIT\TestBuild_4.0.3\DBS\Setup"/>
    <x v="0"/>
    <s v="\\192.168.3.3\Share\Releases\Product\RT_4.0\ReleaseForLQA\TestBuild_4.0.24\DBS\Setup"/>
    <s v="Pass"/>
    <x v="1"/>
    <m/>
    <m/>
    <m/>
    <s v="Rajan"/>
    <x v="0"/>
  </r>
  <r>
    <x v="391"/>
    <x v="385"/>
    <n v="7"/>
    <x v="19"/>
    <n v="7"/>
    <s v="LQA"/>
    <x v="1"/>
    <m/>
    <x v="12"/>
    <x v="2"/>
    <x v="1"/>
    <s v="CSGUI_2.6.4b1"/>
    <x v="0"/>
    <x v="40"/>
    <m/>
    <x v="0"/>
    <s v="\\192.168.3.3\Share\Releases\Product\CSGUI_2.6\Build&amp;Release\Release_For_LQA\Test_Build_1.0.5\Server CD\GUI\Setup"/>
    <m/>
    <x v="0"/>
    <m/>
    <m/>
    <m/>
    <m/>
    <x v="1"/>
  </r>
  <r>
    <x v="391"/>
    <x v="385"/>
    <n v="7"/>
    <x v="19"/>
    <n v="7"/>
    <s v="LQA"/>
    <x v="10"/>
    <m/>
    <x v="8"/>
    <x v="2"/>
    <x v="1"/>
    <s v="WWFSGUI_COM_2.1.36.0.2.1b1"/>
    <x v="0"/>
    <x v="67"/>
    <m/>
    <x v="0"/>
    <s v="\\192.168.3.3\Share\Releases\Projects\Comcast\Release_for_Test\Test_Build_4.6.10\Server CD\GUI\Setup"/>
    <m/>
    <x v="1"/>
    <m/>
    <m/>
    <m/>
    <m/>
    <x v="1"/>
  </r>
  <r>
    <x v="391"/>
    <x v="385"/>
    <n v="7"/>
    <x v="19"/>
    <n v="7"/>
    <s v="LQA"/>
    <x v="1"/>
    <m/>
    <x v="8"/>
    <x v="2"/>
    <x v="0"/>
    <s v="WWFSGUI_2.2.1.6b1"/>
    <x v="0"/>
    <x v="40"/>
    <m/>
    <x v="0"/>
    <s v="\\192.168.3.3\Share\Releases\Product\WEB_WFS\Build&amp;Release\Release For Test\TestBuild_2.2.1\Build4\ServerCD\GUI\Setup"/>
    <m/>
    <x v="1"/>
    <m/>
    <m/>
    <m/>
    <m/>
    <x v="1"/>
  </r>
  <r>
    <x v="392"/>
    <x v="386"/>
    <n v="7"/>
    <x v="19"/>
    <n v="7"/>
    <s v="LQA-UAT"/>
    <x v="1"/>
    <m/>
    <x v="8"/>
    <x v="2"/>
    <x v="1"/>
    <s v="WWFSGUI_2.1.37b2"/>
    <x v="0"/>
    <x v="69"/>
    <m/>
    <x v="0"/>
    <s v="\\192.168.3.3\Share\Releases\Product\WEB_WFS\Build&amp;Release\Release For Test\TestBuild_2.1.37\ServerCD\GUI\Setup"/>
    <s v="Pass"/>
    <x v="1"/>
    <m/>
    <m/>
    <m/>
    <s v="Jitender Aggarwal"/>
    <x v="0"/>
  </r>
  <r>
    <x v="392"/>
    <x v="386"/>
    <n v="7"/>
    <x v="19"/>
    <n v="7"/>
    <s v="LQA-UAT"/>
    <x v="1"/>
    <m/>
    <x v="7"/>
    <x v="2"/>
    <x v="1"/>
    <s v="RTGUI_4.0.39b1"/>
    <x v="0"/>
    <x v="60"/>
    <m/>
    <x v="2"/>
    <s v="\\192.168.3.3\Share\Releases\Product\RT_4.0\ReleaseForLQA\TestBuild_4.0.24\GUI\Build1\Setup "/>
    <s v="Fail"/>
    <x v="0"/>
    <m/>
    <m/>
    <m/>
    <m/>
    <x v="2"/>
  </r>
  <r>
    <x v="392"/>
    <x v="386"/>
    <n v="7"/>
    <x v="19"/>
    <n v="7"/>
    <s v="LQA"/>
    <x v="10"/>
    <m/>
    <x v="5"/>
    <x v="0"/>
    <x v="0"/>
    <s v="NMDBS_COM_4.8.1.3"/>
    <x v="0"/>
    <x v="39"/>
    <m/>
    <x v="0"/>
    <s v="\\192.168.3.3\Share\Releases\Projects\Comcast\Release_for_Test\Test_Build_4.6.10\Server CD\Database\Setup"/>
    <m/>
    <x v="1"/>
    <m/>
    <m/>
    <m/>
    <m/>
    <x v="1"/>
  </r>
  <r>
    <x v="392"/>
    <x v="386"/>
    <n v="7"/>
    <x v="19"/>
    <n v="7"/>
    <s v="LQA-UAT"/>
    <x v="6"/>
    <m/>
    <x v="1"/>
    <x v="1"/>
    <x v="0"/>
    <s v="MPE_ANTEL_3.2.4.37.1.19b1"/>
    <x v="0"/>
    <x v="14"/>
    <m/>
    <x v="0"/>
    <s v="\\192.168.3.3\Share\Releases\Projects\ANTEL\Release_For_Test\Test_Build_1.0.0.7\Server CD\MPE\Setup"/>
    <s v="Pass"/>
    <x v="1"/>
    <m/>
    <m/>
    <m/>
    <m/>
    <x v="0"/>
  </r>
  <r>
    <x v="392"/>
    <x v="386"/>
    <n v="7"/>
    <x v="19"/>
    <n v="7"/>
    <s v="LQA-UAT"/>
    <x v="1"/>
    <m/>
    <x v="12"/>
    <x v="2"/>
    <x v="1"/>
    <s v="WWCSGUI_2.1.24b2"/>
    <x v="0"/>
    <x v="67"/>
    <m/>
    <x v="0"/>
    <s v="\\192.168.3.3\Share\Releases\Product\WEB_CS\Build&amp;Release\Release For Test\TestBuild_2.1.24\ServerCD\GUI\Setup"/>
    <s v="Pass"/>
    <x v="1"/>
    <m/>
    <m/>
    <m/>
    <s v="Jitender Aggarwal"/>
    <x v="0"/>
  </r>
  <r>
    <x v="393"/>
    <x v="387"/>
    <n v="7"/>
    <x v="19"/>
    <n v="7"/>
    <s v="LQA"/>
    <x v="5"/>
    <m/>
    <x v="8"/>
    <x v="2"/>
    <x v="0"/>
    <s v="WWFSGUI_BHN_2.1.36.0.1.1b1"/>
    <x v="0"/>
    <x v="67"/>
    <m/>
    <x v="0"/>
    <s v="\\192.168.3.3\Share\Releases\Projects\BHN\Release_For_Test\Test_Build_1.0.8\Server CD\GUI\Setup"/>
    <m/>
    <x v="1"/>
    <m/>
    <m/>
    <m/>
    <m/>
    <x v="1"/>
  </r>
  <r>
    <x v="393"/>
    <x v="387"/>
    <n v="7"/>
    <x v="19"/>
    <n v="7"/>
    <s v="LQA"/>
    <x v="5"/>
    <m/>
    <x v="5"/>
    <x v="0"/>
    <x v="1"/>
    <s v="NMDBS_BHN_4.8.1.2"/>
    <x v="0"/>
    <x v="24"/>
    <m/>
    <x v="0"/>
    <s v="\\192.168.3.3\Share\Releases\Projects\BHN\Release_For_Test\Test_Build_1.0.8\Server CD\DBS\Setup"/>
    <m/>
    <x v="0"/>
    <m/>
    <m/>
    <m/>
    <m/>
    <x v="1"/>
  </r>
  <r>
    <x v="393"/>
    <x v="387"/>
    <n v="7"/>
    <x v="19"/>
    <n v="7"/>
    <s v="LQA-UAT"/>
    <x v="1"/>
    <m/>
    <x v="7"/>
    <x v="2"/>
    <x v="0"/>
    <s v="RTGUI_4.0.39.1b1"/>
    <x v="0"/>
    <x v="60"/>
    <m/>
    <x v="0"/>
    <s v="\\192.168.3.3\Share\Releases\Product\RT_4.0\ReleaseForLQA\TestBuild_4.0.24\GUI\Build1\Setup "/>
    <s v="Pass"/>
    <x v="1"/>
    <m/>
    <m/>
    <m/>
    <s v="Rajan"/>
    <x v="0"/>
  </r>
  <r>
    <x v="394"/>
    <x v="388"/>
    <n v="7"/>
    <x v="19"/>
    <n v="7"/>
    <s v="IT-LQA"/>
    <x v="0"/>
    <m/>
    <x v="4"/>
    <x v="0"/>
    <x v="0"/>
    <s v="RADBS_SLT_2.1.1.15.1.111b1"/>
    <x v="0"/>
    <x v="65"/>
    <s v="\\192.168.3.3\Share\Releases\Projects\SLT\Release_For_IT\Test_Build_1.0.0.4\Server CD\DBS\Setup"/>
    <x v="0"/>
    <s v="\\192.168.3.3\Share\Releases\Projects\SLT\Release_For_LQA\Test_Build_1.0.0.24\Server CD\DBS\Setup"/>
    <m/>
    <x v="1"/>
    <m/>
    <m/>
    <m/>
    <m/>
    <x v="1"/>
  </r>
  <r>
    <x v="394"/>
    <x v="388"/>
    <n v="7"/>
    <x v="19"/>
    <n v="7"/>
    <s v="IT-LQA"/>
    <x v="0"/>
    <m/>
    <x v="2"/>
    <x v="0"/>
    <x v="0"/>
    <s v="DMDBS_SLT_2.0.0.28.1.237b1"/>
    <x v="0"/>
    <x v="65"/>
    <s v="\\192.168.3.3\Share\Releases\Projects\SLT\Release_For_IT\Test_Build_1.0.0.4\Server CD\DBS\Setup"/>
    <x v="0"/>
    <s v="\\192.168.3.3\Share\Releases\Projects\SLT\Release_For_LQA\Test_Build_1.0.0.24\Server CD\DBS\Setup"/>
    <m/>
    <x v="1"/>
    <m/>
    <m/>
    <m/>
    <m/>
    <x v="1"/>
  </r>
  <r>
    <x v="395"/>
    <x v="389"/>
    <n v="8"/>
    <x v="20"/>
    <n v="8"/>
    <s v="LQA"/>
    <x v="0"/>
    <m/>
    <x v="7"/>
    <x v="2"/>
    <x v="1"/>
    <s v="RTGUI_SLT_ 4.0.39.1.1"/>
    <x v="0"/>
    <x v="60"/>
    <m/>
    <x v="0"/>
    <s v="\\192.168.3.3\Share\Releases\Projects\SLT\Release_For_LQA\Test_Build_1.0.0.25\Server CD\GUI\Setup"/>
    <m/>
    <x v="1"/>
    <m/>
    <m/>
    <m/>
    <m/>
    <x v="1"/>
  </r>
  <r>
    <x v="395"/>
    <x v="389"/>
    <n v="8"/>
    <x v="20"/>
    <n v="8"/>
    <s v="LQA"/>
    <x v="0"/>
    <m/>
    <x v="1"/>
    <x v="1"/>
    <x v="0"/>
    <s v="MPE_SLT-1B_3.0.1.1.1.134b1"/>
    <x v="0"/>
    <x v="10"/>
    <m/>
    <x v="0"/>
    <s v="\\192.168.3.3\Share\Releases\Projects\SLT-1B\Release_For_Test\Test_Build_1.0.0.1\Server CD\MPE\Setup"/>
    <m/>
    <x v="1"/>
    <m/>
    <m/>
    <m/>
    <m/>
    <x v="1"/>
  </r>
  <r>
    <x v="396"/>
    <x v="390"/>
    <n v="8"/>
    <x v="20"/>
    <n v="8"/>
    <s v="LQA"/>
    <x v="1"/>
    <m/>
    <x v="1"/>
    <x v="1"/>
    <x v="0"/>
    <s v="MPE_3.2.4.40b1"/>
    <x v="0"/>
    <x v="14"/>
    <m/>
    <x v="0"/>
    <s v="\\192.168.3.3\Share\Releases\Product\MPE_GUI\ReleaseForLQA\TestBuild_1.0.0.2\Server CD\MPE\Setup"/>
    <m/>
    <x v="1"/>
    <m/>
    <m/>
    <m/>
    <m/>
    <x v="1"/>
  </r>
  <r>
    <x v="397"/>
    <x v="391"/>
    <n v="8"/>
    <x v="20"/>
    <n v="8"/>
    <s v="LQA"/>
    <x v="20"/>
    <m/>
    <x v="1"/>
    <x v="1"/>
    <x v="0"/>
    <s v="MPE_FNB_3.2.4.40.1.14b1"/>
    <x v="0"/>
    <x v="14"/>
    <m/>
    <x v="0"/>
    <s v="\\192.168.3.3\Share\Releases\Projects\FNB\Release_For_Test\Test_Build_1.0.2\Server CD\MPE\Setup"/>
    <m/>
    <x v="0"/>
    <m/>
    <m/>
    <m/>
    <m/>
    <x v="1"/>
  </r>
  <r>
    <x v="397"/>
    <x v="391"/>
    <n v="8"/>
    <x v="20"/>
    <n v="8"/>
    <s v="LQA"/>
    <x v="10"/>
    <m/>
    <x v="5"/>
    <x v="0"/>
    <x v="0"/>
    <s v="NMDBS_COM_4.8.1.4"/>
    <x v="0"/>
    <x v="39"/>
    <m/>
    <x v="0"/>
    <s v="\\192.168.3.3\Share\Releases\Projects\Comcast\Release_for_Test\Test_Build_4.6.10\Server CD\Database\Setup"/>
    <m/>
    <x v="1"/>
    <m/>
    <m/>
    <m/>
    <m/>
    <x v="1"/>
  </r>
  <r>
    <x v="397"/>
    <x v="391"/>
    <n v="8"/>
    <x v="20"/>
    <n v="8"/>
    <s v="IT-LQA"/>
    <x v="20"/>
    <m/>
    <x v="2"/>
    <x v="0"/>
    <x v="0"/>
    <s v="DMDBS_FNB_2.1.1.11.1.9b1"/>
    <x v="0"/>
    <x v="24"/>
    <s v="\\192.168.3.3\Share\Releases\Projects\FNB\Release_For_IT\TestBuild_1.0.1\Server CD\DBS\Setup"/>
    <x v="0"/>
    <s v="\\192.168.3.3\Share\Releases\Projects\FNB\Release_For_Test\Test_Build_1.0.2\Server CD\DBS\Setup"/>
    <m/>
    <x v="1"/>
    <m/>
    <m/>
    <m/>
    <m/>
    <x v="1"/>
  </r>
  <r>
    <x v="397"/>
    <x v="391"/>
    <n v="8"/>
    <x v="20"/>
    <n v="8"/>
    <s v="LQA"/>
    <x v="5"/>
    <m/>
    <x v="1"/>
    <x v="1"/>
    <x v="0"/>
    <s v="MPE_BHN_3.2.5.0.1.6b1"/>
    <x v="0"/>
    <x v="46"/>
    <m/>
    <x v="0"/>
    <s v="\\192.168.3.3\Share\Releases\Projects\BHN\Release_For_Test\Test_Build_1.0.8\Server CD\MPE\Setup"/>
    <m/>
    <x v="1"/>
    <m/>
    <m/>
    <m/>
    <m/>
    <x v="1"/>
  </r>
  <r>
    <x v="397"/>
    <x v="391"/>
    <n v="8"/>
    <x v="20"/>
    <n v="8"/>
    <s v="LQA"/>
    <x v="20"/>
    <m/>
    <x v="4"/>
    <x v="0"/>
    <x v="1"/>
    <s v="RADBS_FNB_3.0.1.3"/>
    <x v="0"/>
    <x v="24"/>
    <m/>
    <x v="0"/>
    <s v="\\192.168.3.3\Share\Releases\Projects\FNB\Release_For_Test\Test_Build_1.0.2\Server CD\DBS\Setup"/>
    <m/>
    <x v="1"/>
    <m/>
    <m/>
    <m/>
    <m/>
    <x v="1"/>
  </r>
  <r>
    <x v="398"/>
    <x v="392"/>
    <n v="8"/>
    <x v="20"/>
    <n v="8"/>
    <s v="LQA"/>
    <x v="1"/>
    <m/>
    <x v="1"/>
    <x v="2"/>
    <x v="0"/>
    <s v="MPEGUI_1.1.5.1b1"/>
    <x v="0"/>
    <x v="16"/>
    <m/>
    <x v="0"/>
    <s v="\\192.168.3.3\Share\Releases\Product\MEDGUI_1.1\Build&amp;Release\Release_For_LQA\Test_Build_1.0.2\Server CD\GUI\Setup"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1"/>
  </r>
  <r>
    <x v="91"/>
    <x v="0"/>
    <m/>
    <x v="5"/>
    <m/>
    <m/>
    <x v="19"/>
    <m/>
    <x v="15"/>
    <x v="10"/>
    <x v="2"/>
    <m/>
    <x v="3"/>
    <x v="51"/>
    <m/>
    <x v="0"/>
    <m/>
    <m/>
    <x v="1"/>
    <m/>
    <m/>
    <m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6" cacheId="3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38">
  <location ref="I106:K128" firstHeaderRow="1" firstDataRow="2" firstDataCol="1" rowPageCount="3" colPageCount="1"/>
  <pivotFields count="24">
    <pivotField multipleItemSelectionAllowed="1" showAll="0"/>
    <pivotField showAll="0"/>
    <pivotField showAll="0"/>
    <pivotField axis="axisRow" outline="0" multipleItemSelectionAllowed="1" showAll="0" defaultSubtotal="0">
      <items count="51">
        <item m="1" x="36"/>
        <item m="1" x="39"/>
        <item m="1" x="49"/>
        <item m="1" x="50"/>
        <item m="1" x="31"/>
        <item m="1" x="43"/>
        <item m="1" x="45"/>
        <item m="1" x="38"/>
        <item m="1" x="24"/>
        <item m="1" x="47"/>
        <item m="1" x="32"/>
        <item m="1" x="25"/>
        <item m="1" x="42"/>
        <item m="1" x="23"/>
        <item x="5"/>
        <item m="1" x="35"/>
        <item m="1" x="34"/>
        <item m="1" x="44"/>
        <item m="1" x="33"/>
        <item m="1" x="22"/>
        <item m="1" x="41"/>
        <item m="1" x="37"/>
        <item m="1" x="48"/>
        <item m="1" x="21"/>
        <item m="1" x="27"/>
        <item m="1" x="46"/>
        <item m="1" x="26"/>
        <item m="1" x="30"/>
        <item m="1" x="29"/>
        <item m="1" x="40"/>
        <item m="1" x="28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showAll="0"/>
    <pivotField showAll="0"/>
    <pivotField axis="axisPage" outline="0" showAll="0">
      <items count="36">
        <item m="1" x="27"/>
        <item x="1"/>
        <item m="1" x="34"/>
        <item x="5"/>
        <item x="11"/>
        <item m="1" x="32"/>
        <item x="10"/>
        <item m="1" x="28"/>
        <item m="1" x="26"/>
        <item m="1" x="25"/>
        <item m="1" x="29"/>
        <item m="1" x="33"/>
        <item x="17"/>
        <item x="2"/>
        <item x="16"/>
        <item x="4"/>
        <item m="1" x="30"/>
        <item x="8"/>
        <item x="7"/>
        <item m="1" x="31"/>
        <item x="18"/>
        <item x="19"/>
        <item x="0"/>
        <item x="14"/>
        <item x="12"/>
        <item x="6"/>
        <item x="15"/>
        <item x="22"/>
        <item x="3"/>
        <item x="9"/>
        <item x="13"/>
        <item x="20"/>
        <item x="21"/>
        <item x="23"/>
        <item x="24"/>
        <item t="default"/>
      </items>
    </pivotField>
    <pivotField showAll="0" defaultSubtotal="0"/>
    <pivotField axis="axisPage" showAll="0">
      <items count="30">
        <item m="1" x="24"/>
        <item m="1" x="28"/>
        <item m="1" x="23"/>
        <item x="2"/>
        <item x="6"/>
        <item m="1" x="26"/>
        <item x="1"/>
        <item m="1" x="25"/>
        <item x="5"/>
        <item x="9"/>
        <item x="13"/>
        <item x="4"/>
        <item m="1" x="27"/>
        <item x="3"/>
        <item x="7"/>
        <item x="10"/>
        <item x="14"/>
        <item x="11"/>
        <item x="16"/>
        <item x="12"/>
        <item x="8"/>
        <item x="15"/>
        <item m="1" x="22"/>
        <item x="0"/>
        <item x="17"/>
        <item x="18"/>
        <item x="19"/>
        <item x="20"/>
        <item x="21"/>
        <item t="default"/>
      </items>
    </pivotField>
    <pivotField axis="axisPage" outline="0" showAll="0">
      <items count="24">
        <item x="5"/>
        <item m="1" x="12"/>
        <item m="1" x="21"/>
        <item x="4"/>
        <item x="0"/>
        <item m="1" x="14"/>
        <item x="2"/>
        <item x="9"/>
        <item m="1" x="18"/>
        <item x="1"/>
        <item m="1" x="13"/>
        <item x="8"/>
        <item m="1" x="16"/>
        <item m="1" x="15"/>
        <item m="1" x="22"/>
        <item x="6"/>
        <item m="1" x="19"/>
        <item x="7"/>
        <item m="1" x="20"/>
        <item x="10"/>
        <item m="1" x="17"/>
        <item x="3"/>
        <item x="11"/>
        <item t="default"/>
      </items>
    </pivotField>
    <pivotField outline="0" showAll="0"/>
    <pivotField showAll="0"/>
    <pivotField outline="0" multipleItemSelectionAllowed="1" showAll="0"/>
    <pivotField showAll="0" defaultSubtotal="0"/>
    <pivotField showAll="0"/>
    <pivotField showAll="0" defaultSubtotal="0"/>
    <pivotField showAll="0"/>
    <pivotField showAll="0"/>
    <pivotField axis="axisCol" dataField="1" outline="0" showAll="0">
      <items count="17">
        <item m="1" x="3"/>
        <item m="1" x="2"/>
        <item m="1" x="12"/>
        <item m="1" x="8"/>
        <item m="1" x="9"/>
        <item x="0"/>
        <item m="1" x="7"/>
        <item h="1" x="1"/>
        <item m="1" x="15"/>
        <item m="1" x="11"/>
        <item h="1" m="1" x="10"/>
        <item h="1" m="1" x="4"/>
        <item h="1" m="1" x="14"/>
        <item h="1" m="1" x="6"/>
        <item h="1" m="1" x="5"/>
        <item h="1" m="1" x="13"/>
        <item t="default"/>
      </items>
    </pivotField>
    <pivotField showAll="0"/>
    <pivotField showAll="0"/>
    <pivotField showAll="0"/>
    <pivotField showAll="0"/>
    <pivotField multipleItemSelectionAllowed="1" showAll="0"/>
  </pivotFields>
  <rowFields count="1">
    <field x="3"/>
  </rowFields>
  <rowItems count="21"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1">
    <field x="18"/>
  </colFields>
  <colItems count="2">
    <i>
      <x v="5"/>
    </i>
    <i t="grand">
      <x/>
    </i>
  </colItems>
  <pageFields count="3">
    <pageField fld="8" hier="-1"/>
    <pageField fld="9" hier="-1"/>
    <pageField fld="6" hier="-1"/>
  </pageFields>
  <dataFields count="1">
    <dataField name="Count of Release Defect" fld="18" subtotal="count" baseField="0" baseItem="0"/>
  </dataFields>
  <chartFormats count="32">
    <chartFormat chart="30" format="14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0"/>
          </reference>
        </references>
      </pivotArea>
    </chartFormat>
    <chartFormat chart="30" format="15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1"/>
          </reference>
        </references>
      </pivotArea>
    </chartFormat>
    <chartFormat chart="30" format="16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2"/>
          </reference>
        </references>
      </pivotArea>
    </chartFormat>
    <chartFormat chart="30" format="17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3"/>
          </reference>
        </references>
      </pivotArea>
    </chartFormat>
    <chartFormat chart="30" format="18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4"/>
          </reference>
        </references>
      </pivotArea>
    </chartFormat>
    <chartFormat chart="30" format="19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5"/>
          </reference>
        </references>
      </pivotArea>
    </chartFormat>
    <chartFormat chart="30" format="20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6"/>
          </reference>
        </references>
      </pivotArea>
    </chartFormat>
    <chartFormat chart="30" format="21">
      <pivotArea type="data" outline="0" fieldPosition="0">
        <references count="3">
          <reference field="4294967294" count="1" selected="0">
            <x v="0"/>
          </reference>
          <reference field="6" count="1" selected="0">
            <x v="23"/>
          </reference>
          <reference field="18" count="1" selected="0">
            <x v="0"/>
          </reference>
        </references>
      </pivotArea>
    </chartFormat>
    <chartFormat chart="30" format="22">
      <pivotArea type="data" outline="0" fieldPosition="0">
        <references count="3">
          <reference field="4294967294" count="1" selected="0">
            <x v="0"/>
          </reference>
          <reference field="6" count="1" selected="0">
            <x v="23"/>
          </reference>
          <reference field="18" count="1" selected="0">
            <x v="1"/>
          </reference>
        </references>
      </pivotArea>
    </chartFormat>
    <chartFormat chart="30" format="23">
      <pivotArea type="data" outline="0" fieldPosition="0">
        <references count="3">
          <reference field="4294967294" count="1" selected="0">
            <x v="0"/>
          </reference>
          <reference field="6" count="1" selected="0">
            <x v="23"/>
          </reference>
          <reference field="18" count="1" selected="0">
            <x v="2"/>
          </reference>
        </references>
      </pivotArea>
    </chartFormat>
    <chartFormat chart="30" format="24">
      <pivotArea type="data" outline="0" fieldPosition="0">
        <references count="3">
          <reference field="4294967294" count="1" selected="0">
            <x v="0"/>
          </reference>
          <reference field="6" count="1" selected="0">
            <x v="23"/>
          </reference>
          <reference field="18" count="1" selected="0">
            <x v="3"/>
          </reference>
        </references>
      </pivotArea>
    </chartFormat>
    <chartFormat chart="30" format="25">
      <pivotArea type="data" outline="0" fieldPosition="0">
        <references count="3">
          <reference field="4294967294" count="1" selected="0">
            <x v="0"/>
          </reference>
          <reference field="6" count="1" selected="0">
            <x v="23"/>
          </reference>
          <reference field="18" count="1" selected="0">
            <x v="4"/>
          </reference>
        </references>
      </pivotArea>
    </chartFormat>
    <chartFormat chart="30" format="26">
      <pivotArea type="data" outline="0" fieldPosition="0">
        <references count="3">
          <reference field="4294967294" count="1" selected="0">
            <x v="0"/>
          </reference>
          <reference field="6" count="1" selected="0">
            <x v="23"/>
          </reference>
          <reference field="18" count="1" selected="0">
            <x v="5"/>
          </reference>
        </references>
      </pivotArea>
    </chartFormat>
    <chartFormat chart="30" format="27">
      <pivotArea type="data" outline="0" fieldPosition="0">
        <references count="3">
          <reference field="4294967294" count="1" selected="0">
            <x v="0"/>
          </reference>
          <reference field="6" count="1" selected="0">
            <x v="23"/>
          </reference>
          <reference field="18" count="1" selected="0">
            <x v="6"/>
          </reference>
        </references>
      </pivotArea>
    </chartFormat>
    <chartFormat chart="30" format="28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8"/>
          </reference>
        </references>
      </pivotArea>
    </chartFormat>
    <chartFormat chart="30" format="29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9"/>
          </reference>
        </references>
      </pivotArea>
    </chartFormat>
    <chartFormat chart="32" format="35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1"/>
          </reference>
        </references>
      </pivotArea>
    </chartFormat>
    <chartFormat chart="32" format="36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4"/>
          </reference>
        </references>
      </pivotArea>
    </chartFormat>
    <chartFormat chart="32" format="37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5"/>
          </reference>
        </references>
      </pivotArea>
    </chartFormat>
    <chartFormat chart="32" format="38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6"/>
          </reference>
        </references>
      </pivotArea>
    </chartFormat>
    <chartFormat chart="32" format="39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9"/>
          </reference>
        </references>
      </pivotArea>
    </chartFormat>
    <chartFormat chart="33" format="40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1"/>
          </reference>
        </references>
      </pivotArea>
    </chartFormat>
    <chartFormat chart="33" format="41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4"/>
          </reference>
        </references>
      </pivotArea>
    </chartFormat>
    <chartFormat chart="33" format="42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5"/>
          </reference>
        </references>
      </pivotArea>
    </chartFormat>
    <chartFormat chart="33" format="43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6"/>
          </reference>
        </references>
      </pivotArea>
    </chartFormat>
    <chartFormat chart="33" format="44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9"/>
          </reference>
        </references>
      </pivotArea>
    </chartFormat>
    <chartFormat chart="34" format="45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1"/>
          </reference>
        </references>
      </pivotArea>
    </chartFormat>
    <chartFormat chart="34" format="46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4"/>
          </reference>
        </references>
      </pivotArea>
    </chartFormat>
    <chartFormat chart="34" format="47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5"/>
          </reference>
        </references>
      </pivotArea>
    </chartFormat>
    <chartFormat chart="34" format="48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6"/>
          </reference>
        </references>
      </pivotArea>
    </chartFormat>
    <chartFormat chart="34" format="49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9"/>
          </reference>
        </references>
      </pivotArea>
    </chartFormat>
    <chartFormat chart="34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8" cacheId="3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32">
  <location ref="T69:U95" firstHeaderRow="1" firstDataRow="2" firstDataCol="1" rowPageCount="2" colPageCount="1"/>
  <pivotFields count="24">
    <pivotField multipleItemSelectionAllowed="1" showAll="0"/>
    <pivotField axis="axisPage" multipleItemSelectionAllowed="1" showAll="0">
      <items count="961">
        <item h="1" m="1" x="408"/>
        <item h="1" m="1" x="685"/>
        <item h="1" m="1" x="415"/>
        <item h="1" m="1" x="690"/>
        <item h="1" m="1" x="421"/>
        <item h="1" m="1" x="699"/>
        <item h="1" m="1" x="428"/>
        <item h="1" m="1" x="705"/>
        <item h="1" m="1" x="435"/>
        <item h="1" m="1" x="711"/>
        <item h="1" m="1" x="444"/>
        <item h="1" m="1" x="723"/>
        <item h="1" m="1" x="451"/>
        <item h="1" m="1" x="732"/>
        <item h="1" m="1" x="459"/>
        <item h="1" m="1" x="745"/>
        <item h="1" m="1" x="474"/>
        <item h="1" m="1" x="755"/>
        <item h="1" m="1" x="767"/>
        <item h="1" m="1" x="507"/>
        <item h="1" m="1" x="791"/>
        <item h="1" m="1" x="691"/>
        <item h="1" m="1" x="423"/>
        <item h="1" m="1" x="697"/>
        <item h="1" m="1" x="430"/>
        <item h="1" m="1" x="707"/>
        <item h="1" m="1" x="436"/>
        <item h="1" m="1" x="712"/>
        <item h="1" m="1" x="439"/>
        <item m="1" x="717"/>
        <item m="1" x="446"/>
        <item h="1" m="1" x="725"/>
        <item h="1" m="1" x="453"/>
        <item h="1" m="1" x="733"/>
        <item h="1" m="1" x="460"/>
        <item h="1" m="1" x="476"/>
        <item h="1" m="1" x="757"/>
        <item h="1" m="1" x="485"/>
        <item h="1" m="1" x="768"/>
        <item h="1" m="1" x="496"/>
        <item h="1" m="1" x="793"/>
        <item h="1" m="1" x="520"/>
        <item h="1" m="1" x="804"/>
        <item h="1" m="1" x="702"/>
        <item h="1" m="1" x="432"/>
        <item m="1" x="709"/>
        <item h="1" m="1" x="713"/>
        <item h="1" m="1" x="440"/>
        <item h="1" m="1" x="719"/>
        <item h="1" m="1" x="727"/>
        <item h="1" m="1" x="461"/>
        <item h="1" m="1" x="740"/>
        <item h="1" m="1" x="468"/>
        <item h="1" m="1" x="748"/>
        <item h="1" m="1" x="478"/>
        <item m="1" x="759"/>
        <item h="1" m="1" x="769"/>
        <item h="1" m="1" x="497"/>
        <item h="1" m="1" x="781"/>
        <item h="1" m="1" x="510"/>
        <item h="1" m="1" x="795"/>
        <item m="1" x="522"/>
        <item h="1" m="1" x="531"/>
        <item h="1" m="1" x="815"/>
        <item h="1" m="1" x="544"/>
        <item h="1" m="1" x="827"/>
        <item h="1" m="1" x="556"/>
        <item m="1" x="842"/>
        <item h="1" m="1" x="442"/>
        <item h="1" m="1" x="721"/>
        <item h="1" m="1" x="449"/>
        <item h="1" m="1" x="728"/>
        <item h="1" m="1" x="455"/>
        <item m="1" x="736"/>
        <item m="1" x="463"/>
        <item h="1" m="1" x="742"/>
        <item h="1" m="1" x="470"/>
        <item h="1" m="1" x="750"/>
        <item h="1" m="1" x="479"/>
        <item h="1" m="1" x="760"/>
        <item m="1" x="488"/>
        <item m="1" x="771"/>
        <item h="1" m="1" x="499"/>
        <item h="1" m="1" x="783"/>
        <item h="1" m="1" x="512"/>
        <item h="1" m="1" x="796"/>
        <item h="1" m="1" x="524"/>
        <item m="1" x="806"/>
        <item m="1" x="533"/>
        <item h="1" m="1" x="816"/>
        <item h="1" m="1" x="546"/>
        <item h="1" m="1" x="829"/>
        <item h="1" m="1" x="557"/>
        <item h="1" m="1" x="844"/>
        <item m="1" x="566"/>
        <item m="1" x="854"/>
        <item h="1" m="1" x="576"/>
        <item h="1" m="1" x="730"/>
        <item h="1" m="1" x="457"/>
        <item h="1" m="1" x="737"/>
        <item h="1" m="1" x="465"/>
        <item h="1" m="1" x="752"/>
        <item h="1" m="1" x="481"/>
        <item h="1" m="1" x="761"/>
        <item h="1" m="1" x="489"/>
        <item h="1" m="1" x="773"/>
        <item m="1" x="501"/>
        <item h="1" m="1" x="514"/>
        <item h="1" m="1" x="797"/>
        <item h="1" m="1" x="525"/>
        <item h="1" m="1" x="807"/>
        <item h="1" m="1" x="535"/>
        <item m="1" x="818"/>
        <item m="1" x="548"/>
        <item h="1" m="1" x="831"/>
        <item h="1" m="1" x="559"/>
        <item h="1" m="1" x="845"/>
        <item h="1" m="1" x="567"/>
        <item h="1" m="1" x="856"/>
        <item m="1" x="578"/>
        <item m="1" x="868"/>
        <item h="1" m="1" x="588"/>
        <item h="1" m="1" x="877"/>
        <item h="1" m="1" x="599"/>
        <item h="1" m="1" x="891"/>
        <item h="1" m="1" x="744"/>
        <item m="1" x="473"/>
        <item h="1" m="1" x="483"/>
        <item h="1" m="1" x="763"/>
        <item h="1" m="1" x="491"/>
        <item h="1" m="1" x="775"/>
        <item h="1" m="1" x="503"/>
        <item m="1" x="786"/>
        <item m="1" x="516"/>
        <item h="1" m="1" x="799"/>
        <item h="1" m="1" x="527"/>
        <item h="1" m="1" x="809"/>
        <item h="1" m="1" x="537"/>
        <item h="1" m="1" x="820"/>
        <item h="1" m="1" x="561"/>
        <item h="1" m="1" x="847"/>
        <item h="1" m="1" x="569"/>
        <item h="1" m="1" x="857"/>
        <item h="1" m="1" x="579"/>
        <item m="1" x="870"/>
        <item h="1" m="1" x="879"/>
        <item h="1" m="1" x="601"/>
        <item h="1" m="1" x="893"/>
        <item h="1" m="1" x="611"/>
        <item h="1" m="1" x="904"/>
        <item m="1" x="622"/>
        <item m="1" x="765"/>
        <item h="1" m="1" x="493"/>
        <item h="1" m="1" x="777"/>
        <item h="1" m="1" x="505"/>
        <item h="1" m="1" x="787"/>
        <item h="1" m="1" x="518"/>
        <item m="1" x="801"/>
        <item h="1" m="1" x="811"/>
        <item h="1" m="1" x="539"/>
        <item h="1" m="1" x="821"/>
        <item h="1" m="1" x="550"/>
        <item h="1" m="1" x="834"/>
        <item m="1" x="563"/>
        <item h="1" m="1" x="571"/>
        <item h="1" m="1" x="859"/>
        <item h="1" m="1" x="580"/>
        <item h="1" m="1" x="871"/>
        <item h="1" m="1" x="591"/>
        <item m="1" x="881"/>
        <item h="1" m="1" x="895"/>
        <item h="1" m="1" x="613"/>
        <item h="1" m="1" x="906"/>
        <item h="1" m="1" x="623"/>
        <item h="1" m="1" x="917"/>
        <item m="1" x="631"/>
        <item m="1" x="927"/>
        <item h="1" m="1" x="639"/>
        <item h="1" m="1" x="935"/>
        <item h="1" x="0"/>
        <item h="1" m="1" x="789"/>
        <item h="1" m="1" x="803"/>
        <item m="1" x="530"/>
        <item h="1" m="1" x="541"/>
        <item h="1" m="1" x="823"/>
        <item h="1" m="1" x="552"/>
        <item h="1" m="1" x="836"/>
        <item h="1" m="1" x="593"/>
        <item h="1" m="1" x="861"/>
        <item h="1" m="1" x="582"/>
        <item h="1" m="1" x="873"/>
        <item h="1" m="1" x="882"/>
        <item h="1" m="1" x="615"/>
        <item h="1" m="1" x="625"/>
        <item h="1" m="1" x="908"/>
        <item h="1" m="1" x="919"/>
        <item h="1" m="1" x="632"/>
        <item h="1" m="1" x="929"/>
        <item h="1" m="1" x="649"/>
        <item h="1" m="1" x="641"/>
        <item h="1" m="1" x="937"/>
        <item h="1" m="1" x="944"/>
        <item h="1" m="1" x="657"/>
        <item h="1" m="1" x="952"/>
        <item h="1" m="1" x="825"/>
        <item h="1" m="1" x="554"/>
        <item h="1" m="1" x="838"/>
        <item h="1" m="1" x="564"/>
        <item h="1" m="1" x="850"/>
        <item h="1" m="1" x="584"/>
        <item h="1" m="1" x="874"/>
        <item h="1" m="1" x="595"/>
        <item h="1" m="1" x="884"/>
        <item h="1" m="1" x="604"/>
        <item h="1" m="1" x="910"/>
        <item h="1" m="1" x="627"/>
        <item h="1" m="1" x="921"/>
        <item h="1" m="1" x="633"/>
        <item h="1" m="1" x="930"/>
        <item h="1" m="1" x="643"/>
        <item h="1" m="1" x="650"/>
        <item h="1" m="1" x="946"/>
        <item h="1" m="1" x="659"/>
        <item h="1" m="1" x="954"/>
        <item h="1" m="1" x="665"/>
        <item h="1" m="1" x="393"/>
        <item h="1" m="1" x="671"/>
        <item h="1" m="1" x="840"/>
        <item h="1" m="1" x="852"/>
        <item h="1" m="1" x="574"/>
        <item h="1" m="1" x="864"/>
        <item h="1" m="1" x="586"/>
        <item h="1" m="1" x="597"/>
        <item h="1" m="1" x="886"/>
        <item h="1" m="1" x="606"/>
        <item h="1" m="1" x="898"/>
        <item h="1" m="1" x="617"/>
        <item h="1" m="1" x="912"/>
        <item h="1" m="1" x="923"/>
        <item h="1" m="1" x="635"/>
        <item h="1" m="1" x="931"/>
        <item h="1" m="1" x="644"/>
        <item h="1" m="1" x="940"/>
        <item h="1" m="1" x="652"/>
        <item h="1" m="1" x="948"/>
        <item h="1" m="1" x="661"/>
        <item h="1" m="1" x="956"/>
        <item h="1" m="1" x="394"/>
        <item h="1" m="1" x="673"/>
        <item h="1" m="1" x="400"/>
        <item h="1" m="1" x="404"/>
        <item h="1" m="1" x="681"/>
        <item h="1" m="1" x="410"/>
        <item h="1" m="1" x="866"/>
        <item h="1" m="1" x="587"/>
        <item h="1" m="1" x="888"/>
        <item h="1" m="1" x="608"/>
        <item h="1" m="1" x="900"/>
        <item h="1" m="1" x="618"/>
        <item h="1" m="1" x="913"/>
        <item h="1" m="1" x="637"/>
        <item h="1" m="1" x="653"/>
        <item h="1" m="1" x="958"/>
        <item h="1" m="1" x="668"/>
        <item h="1" m="1" x="396"/>
        <item h="1" m="1" x="674"/>
        <item h="1" m="1" x="401"/>
        <item h="1" m="1" x="683"/>
        <item h="1" m="1" x="412"/>
        <item h="1" m="1" x="417"/>
        <item h="1" m="1" x="693"/>
        <item h="1" m="1" x="890"/>
        <item h="1" m="1" x="902"/>
        <item h="1" m="1" x="620"/>
        <item h="1" m="1" x="915"/>
        <item h="1" m="1" x="629"/>
        <item h="1" m="1" x="926"/>
        <item h="1" m="1" x="647"/>
        <item h="1" m="1" x="942"/>
        <item h="1" m="1" x="655"/>
        <item h="1" m="1" x="950"/>
        <item h="1" m="1" x="664"/>
        <item h="1" m="1" x="398"/>
        <item h="1" m="1" x="676"/>
        <item h="1" m="1" x="402"/>
        <item h="1" m="1" x="679"/>
        <item h="1" m="1" x="407"/>
        <item h="1" m="1" x="688"/>
        <item h="1" m="1" x="419"/>
        <item h="1" m="1" x="694"/>
        <item h="1" m="1" x="424"/>
        <item h="1" m="1" x="698"/>
        <item h="1" m="1" x="433"/>
        <item h="1" m="1" x="409"/>
        <item h="1" m="1" x="686"/>
        <item h="1" m="1" x="416"/>
        <item h="1" m="1" x="422"/>
        <item h="1" m="1" x="696"/>
        <item h="1" m="1" x="426"/>
        <item h="1" m="1" x="700"/>
        <item h="1" m="1" x="429"/>
        <item h="1" m="1" x="706"/>
        <item h="1" m="1" x="716"/>
        <item h="1" m="1" x="445"/>
        <item h="1" m="1" x="724"/>
        <item h="1" m="1" x="452"/>
        <item h="1" m="1" x="739"/>
        <item h="1" m="1" x="466"/>
        <item h="1" m="1" x="746"/>
        <item h="1" m="1" x="756"/>
        <item h="1" m="1" x="475"/>
        <item h="1" m="1" x="495"/>
        <item h="1" m="1" x="779"/>
        <item h="1" m="1" x="508"/>
        <item h="1" m="1" x="792"/>
        <item h="1" m="1" x="692"/>
        <item h="1" m="1" x="427"/>
        <item h="1" m="1" x="701"/>
        <item h="1" m="1" x="431"/>
        <item h="1" m="1" x="708"/>
        <item h="1" m="1" x="437"/>
        <item h="1" m="1" x="718"/>
        <item h="1" m="1" x="447"/>
        <item h="1" m="1" x="734"/>
        <item h="1" m="1" x="726"/>
        <item h="1" m="1" x="454"/>
        <item h="1" m="1" x="467"/>
        <item h="1" m="1" x="747"/>
        <item h="1" m="1" x="477"/>
        <item h="1" m="1" x="758"/>
        <item h="1" m="1" x="486"/>
        <item h="1" m="1" x="780"/>
        <item h="1" m="1" x="509"/>
        <item h="1" m="1" x="794"/>
        <item h="1" m="1" x="521"/>
        <item h="1" m="1" x="703"/>
        <item h="1" m="1" x="710"/>
        <item h="1" m="1" x="438"/>
        <item h="1" m="1" x="714"/>
        <item h="1" m="1" x="441"/>
        <item h="1" m="1" x="720"/>
        <item h="1" m="1" x="448"/>
        <item h="1" m="1" x="735"/>
        <item h="1" m="1" x="462"/>
        <item h="1" m="1" x="741"/>
        <item h="1" m="1" x="469"/>
        <item h="1" m="1" x="749"/>
        <item h="1" m="1" x="487"/>
        <item h="1" m="1" x="770"/>
        <item h="1" m="1" x="498"/>
        <item h="1" m="1" x="782"/>
        <item h="1" m="1" x="511"/>
        <item h="1" m="1" x="805"/>
        <item h="1" m="1" x="523"/>
        <item h="1" m="1" x="532"/>
        <item h="1" m="1" x="545"/>
        <item h="1" m="1" x="828"/>
        <item h="1" m="1" x="843"/>
        <item h="1" m="1" x="715"/>
        <item h="1" m="1" x="443"/>
        <item h="1" m="1" x="722"/>
        <item h="1" m="1" x="450"/>
        <item h="1" m="1" x="729"/>
        <item h="1" m="1" x="456"/>
        <item h="1" m="1" x="464"/>
        <item h="1" m="1" x="743"/>
        <item h="1" m="1" x="471"/>
        <item h="1" m="1" x="751"/>
        <item h="1" m="1" x="480"/>
        <item h="1" m="1" x="772"/>
        <item h="1" m="1" x="500"/>
        <item h="1" m="1" x="784"/>
        <item h="1" m="1" x="513"/>
        <item h="1" m="1" x="817"/>
        <item h="1" m="1" x="534"/>
        <item h="1" m="1" x="547"/>
        <item h="1" m="1" x="830"/>
        <item h="1" m="1" x="558"/>
        <item h="1" m="1" x="855"/>
        <item h="1" m="1" x="577"/>
        <item h="1" m="1" x="731"/>
        <item h="1" m="1" x="458"/>
        <item h="1" m="1" x="738"/>
        <item h="1" m="1" x="472"/>
        <item h="1" m="1" x="753"/>
        <item h="1" m="1" x="482"/>
        <item h="1" m="1" x="762"/>
        <item h="1" m="1" x="490"/>
        <item h="1" m="1" x="502"/>
        <item h="1" m="1" x="774"/>
        <item h="1" m="1" x="785"/>
        <item h="1" m="1" x="515"/>
        <item h="1" m="1" x="798"/>
        <item h="1" m="1" x="526"/>
        <item h="1" m="1" x="808"/>
        <item h="1" m="1" x="536"/>
        <item h="1" m="1" x="819"/>
        <item h="1" m="1" x="549"/>
        <item h="1" m="1" x="832"/>
        <item h="1" m="1" x="560"/>
        <item h="1" m="1" x="846"/>
        <item h="1" m="1" x="568"/>
        <item h="1" m="1" x="869"/>
        <item h="1" m="1" x="589"/>
        <item h="1" m="1" x="878"/>
        <item h="1" m="1" x="600"/>
        <item h="1" m="1" x="892"/>
        <item h="1" m="1" x="754"/>
        <item h="1" m="1" x="484"/>
        <item h="1" m="1" x="764"/>
        <item h="1" m="1" x="492"/>
        <item h="1" m="1" x="776"/>
        <item h="1" m="1" x="504"/>
        <item h="1" m="1" x="517"/>
        <item h="1" m="1" x="800"/>
        <item h="1" m="1" x="528"/>
        <item h="1" m="1" x="810"/>
        <item h="1" m="1" x="538"/>
        <item h="1" m="1" x="833"/>
        <item h="1" m="1" x="562"/>
        <item h="1" m="1" x="570"/>
        <item h="1" m="1" x="848"/>
        <item h="1" m="1" x="858"/>
        <item h="1" m="1" x="590"/>
        <item h="1" m="1" x="880"/>
        <item h="1" m="1" x="602"/>
        <item h="1" m="1" x="894"/>
        <item h="1" m="1" x="612"/>
        <item h="1" m="1" x="905"/>
        <item h="1" m="1" x="766"/>
        <item h="1" m="1" x="494"/>
        <item h="1" m="1" x="778"/>
        <item h="1" m="1" x="506"/>
        <item h="1" m="1" x="788"/>
        <item h="1" m="1" x="802"/>
        <item h="1" m="1" x="529"/>
        <item h="1" m="1" x="812"/>
        <item h="1" m="1" x="540"/>
        <item h="1" m="1" x="551"/>
        <item h="1" m="1" x="572"/>
        <item h="1" m="1" x="872"/>
        <item h="1" m="1" x="849"/>
        <item h="1" m="1" x="822"/>
        <item h="1" m="1" x="835"/>
        <item h="1" m="1" x="860"/>
        <item h="1" m="1" x="581"/>
        <item h="1" m="1" x="603"/>
        <item h="1" m="1" x="592"/>
        <item h="1" m="1" x="896"/>
        <item h="1" m="1" x="614"/>
        <item h="1" m="1" x="907"/>
        <item h="1" m="1" x="624"/>
        <item h="1" m="1" x="918"/>
        <item h="1" m="1" x="640"/>
        <item h="1" m="1" x="928"/>
        <item h="1" m="1" x="936"/>
        <item h="1" m="1" x="813"/>
        <item h="1" m="1" x="790"/>
        <item h="1" m="1" x="519"/>
        <item h="1" m="1" x="824"/>
        <item h="1" m="1" x="542"/>
        <item h="1" m="1" x="553"/>
        <item h="1" m="1" x="837"/>
        <item h="1" m="1" x="573"/>
        <item h="1" m="1" x="862"/>
        <item h="1" m="1" x="583"/>
        <item h="1" m="1" x="594"/>
        <item h="1" m="1" x="883"/>
        <item h="1" m="1" x="897"/>
        <item h="1" m="1" x="909"/>
        <item h="1" m="1" x="626"/>
        <item h="1" m="1" x="920"/>
        <item h="1" m="1" x="642"/>
        <item h="1" m="1" x="938"/>
        <item h="1" m="1" x="945"/>
        <item h="1" m="1" x="658"/>
        <item h="1" m="1" x="953"/>
        <item h="1" m="1" x="814"/>
        <item h="1" m="1" x="543"/>
        <item h="1" m="1" x="826"/>
        <item h="1" m="1" x="555"/>
        <item h="1" m="1" x="839"/>
        <item h="1" m="1" x="565"/>
        <item h="1" m="1" x="851"/>
        <item h="1" m="1" x="863"/>
        <item h="1" m="1" x="585"/>
        <item h="1" m="1" x="875"/>
        <item h="1" m="1" x="596"/>
        <item h="1" m="1" x="885"/>
        <item h="1" m="1" x="605"/>
        <item h="1" m="1" x="616"/>
        <item h="1" m="1" x="911"/>
        <item h="1" m="1" x="922"/>
        <item h="1" m="1" x="628"/>
        <item h="1" m="1" x="634"/>
        <item h="1" m="1" x="939"/>
        <item h="1" m="1" x="651"/>
        <item h="1" m="1" x="947"/>
        <item h="1" m="1" x="660"/>
        <item h="1" m="1" x="955"/>
        <item h="1" m="1" x="666"/>
        <item h="1" m="1" x="672"/>
        <item h="1" m="1" x="841"/>
        <item h="1" m="1" x="853"/>
        <item h="1" m="1" x="575"/>
        <item h="1" m="1" x="865"/>
        <item h="1" m="1" x="876"/>
        <item h="1" m="1" x="598"/>
        <item h="1" m="1" x="887"/>
        <item h="1" m="1" x="607"/>
        <item h="1" m="1" x="899"/>
        <item h="1" m="1" x="924"/>
        <item h="1" m="1" x="636"/>
        <item h="1" m="1" x="932"/>
        <item h="1" m="1" x="645"/>
        <item h="1" m="1" x="949"/>
        <item h="1" m="1" x="662"/>
        <item h="1" m="1" x="957"/>
        <item h="1" m="1" x="667"/>
        <item h="1" m="1" x="395"/>
        <item h="1" m="1" x="678"/>
        <item h="1" m="1" x="405"/>
        <item h="1" m="1" x="682"/>
        <item h="1" m="1" x="411"/>
        <item h="1" m="1" x="867"/>
        <item h="1" m="1" x="889"/>
        <item h="1" m="1" x="609"/>
        <item h="1" m="1" x="901"/>
        <item h="1" m="1" x="925"/>
        <item h="1" m="1" x="619"/>
        <item h="1" m="1" x="914"/>
        <item h="1" m="1" x="638"/>
        <item h="1" m="1" x="933"/>
        <item h="1" m="1" x="646"/>
        <item h="1" m="1" x="941"/>
        <item h="1" m="1" x="654"/>
        <item h="1" m="1" x="663"/>
        <item h="1" m="1" x="959"/>
        <item h="1" m="1" x="397"/>
        <item h="1" m="1" x="669"/>
        <item h="1" m="1" x="675"/>
        <item h="1" m="1" x="406"/>
        <item h="1" m="1" x="684"/>
        <item h="1" m="1" x="413"/>
        <item h="1" m="1" x="687"/>
        <item h="1" m="1" x="418"/>
        <item h="1" m="1" x="610"/>
        <item h="1" m="1" x="903"/>
        <item h="1" m="1" x="621"/>
        <item h="1" m="1" x="916"/>
        <item h="1" m="1" x="630"/>
        <item h="1" m="1" x="934"/>
        <item h="1" m="1" x="648"/>
        <item h="1" m="1" x="943"/>
        <item h="1" m="1" x="656"/>
        <item h="1" m="1" x="951"/>
        <item h="1" m="1" x="670"/>
        <item h="1" m="1" x="399"/>
        <item h="1" m="1" x="677"/>
        <item h="1" m="1" x="414"/>
        <item h="1" m="1" x="403"/>
        <item h="1" m="1" x="680"/>
        <item h="1" m="1" x="689"/>
        <item h="1" m="1" x="420"/>
        <item h="1" m="1" x="695"/>
        <item h="1" m="1" x="434"/>
        <item h="1" m="1" x="425"/>
        <item h="1" m="1" x="704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3"/>
        <item h="1" x="54"/>
        <item h="1" x="56"/>
        <item h="1" x="57"/>
        <item h="1" x="58"/>
        <item h="1" x="59"/>
        <item h="1" x="55"/>
        <item h="1" x="60"/>
        <item h="1" x="61"/>
        <item h="1" x="62"/>
        <item h="1" x="80"/>
        <item h="1" x="5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1"/>
        <item h="1" x="110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80"/>
        <item h="1" x="179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3"/>
        <item h="1" x="244"/>
        <item h="1" x="242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t="default"/>
      </items>
    </pivotField>
    <pivotField showAll="0"/>
    <pivotField axis="axisCol" outline="0" showAll="0" defaultSubtotal="0">
      <items count="51">
        <item m="1" x="36"/>
        <item m="1" x="39"/>
        <item m="1" x="49"/>
        <item x="5"/>
        <item m="1" x="38"/>
        <item m="1" x="43"/>
        <item m="1" x="25"/>
        <item m="1" x="24"/>
        <item m="1" x="45"/>
        <item m="1" x="42"/>
        <item m="1" x="50"/>
        <item m="1" x="23"/>
        <item m="1" x="32"/>
        <item m="1" x="47"/>
        <item m="1" x="31"/>
        <item m="1" x="35"/>
        <item m="1" x="34"/>
        <item m="1" x="44"/>
        <item m="1" x="33"/>
        <item m="1" x="22"/>
        <item m="1" x="41"/>
        <item m="1" x="37"/>
        <item m="1" x="48"/>
        <item m="1" x="21"/>
        <item m="1" x="27"/>
        <item m="1" x="46"/>
        <item m="1" x="26"/>
        <item m="1" x="30"/>
        <item m="1" x="29"/>
        <item m="1" x="40"/>
        <item m="1" x="28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showAll="0"/>
    <pivotField showAll="0"/>
    <pivotField axis="axisRow" outline="0">
      <items count="36">
        <item m="1" x="27"/>
        <item x="1"/>
        <item m="1" x="34"/>
        <item x="5"/>
        <item x="11"/>
        <item m="1" x="32"/>
        <item x="10"/>
        <item m="1" x="28"/>
        <item m="1" x="26"/>
        <item m="1" x="25"/>
        <item m="1" x="29"/>
        <item m="1" x="33"/>
        <item x="17"/>
        <item x="2"/>
        <item x="16"/>
        <item x="4"/>
        <item m="1" x="30"/>
        <item x="8"/>
        <item x="7"/>
        <item m="1" x="31"/>
        <item x="18"/>
        <item h="1" x="19"/>
        <item x="0"/>
        <item x="14"/>
        <item x="12"/>
        <item h="1" x="6"/>
        <item h="1" x="15"/>
        <item h="1" x="22"/>
        <item h="1" x="3"/>
        <item h="1" x="9"/>
        <item h="1" x="13"/>
        <item h="1" x="20"/>
        <item h="1" x="21"/>
        <item h="1" x="23"/>
        <item h="1" x="24"/>
        <item t="default"/>
      </items>
    </pivotField>
    <pivotField showAll="0" defaultSubtotal="0"/>
    <pivotField showAll="0"/>
    <pivotField outline="0" showAll="0"/>
    <pivotField outline="0" showAll="0"/>
    <pivotField showAll="0"/>
    <pivotField axis="axisPage" outline="0" multipleItemSelectionAllowed="1" showAll="0">
      <items count="25">
        <item h="1" m="1" x="16"/>
        <item h="1" m="1" x="7"/>
        <item h="1" m="1" x="14"/>
        <item h="1" m="1" x="22"/>
        <item h="1" m="1" x="4"/>
        <item h="1" m="1" x="17"/>
        <item x="0"/>
        <item h="1" m="1" x="23"/>
        <item h="1" m="1" x="20"/>
        <item h="1" m="1" x="6"/>
        <item h="1" m="1" x="9"/>
        <item h="1" m="1" x="10"/>
        <item h="1" m="1" x="18"/>
        <item h="1" m="1" x="13"/>
        <item h="1" m="1" x="21"/>
        <item h="1" x="2"/>
        <item h="1" m="1" x="8"/>
        <item h="1" x="3"/>
        <item h="1" m="1" x="19"/>
        <item h="1" m="1" x="5"/>
        <item h="1" m="1" x="12"/>
        <item h="1" m="1" x="15"/>
        <item h="1" m="1" x="11"/>
        <item h="1" x="1"/>
        <item t="default"/>
      </items>
    </pivotField>
    <pivotField showAll="0" defaultSubtotal="0"/>
    <pivotField showAll="0"/>
    <pivotField showAll="0" defaultSubtotal="0"/>
    <pivotField dataField="1" showAll="0"/>
    <pivotField showAll="0"/>
    <pivotField showAll="0"/>
    <pivotField showAll="0"/>
    <pivotField showAll="0"/>
    <pivotField showAll="0"/>
    <pivotField showAll="0"/>
    <pivotField multipleItemSelectionAllowed="1" showAll="0"/>
  </pivotFields>
  <rowFields count="1">
    <field x="6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 t="grand">
      <x/>
    </i>
  </rowItems>
  <colFields count="1">
    <field x="3"/>
  </colFields>
  <colItems count="1">
    <i t="grand">
      <x/>
    </i>
  </colItems>
  <pageFields count="2">
    <pageField fld="1" hier="-1"/>
    <pageField fld="12" hier="-1"/>
  </pageFields>
  <dataFields count="1">
    <dataField name="Release For LQA" fld="16" subtotal="count" baseField="0" baseItem="0"/>
  </dataFields>
  <chartFormats count="6">
    <chartFormat chart="21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51">
      <pivotArea type="data" outline="0" fieldPosition="0">
        <references count="3">
          <reference field="4294967294" count="1" selected="0">
            <x v="0"/>
          </reference>
          <reference field="3" count="1" selected="0">
            <x v="12"/>
          </reference>
          <reference field="6" count="1" selected="0">
            <x v="15"/>
          </reference>
        </references>
      </pivotArea>
    </chartFormat>
    <chartFormat chart="29" format="5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6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4" cacheId="3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19">
  <location ref="I3:P7" firstHeaderRow="1" firstDataRow="2" firstDataCol="2" rowPageCount="1" colPageCount="1"/>
  <pivotFields count="24">
    <pivotField showAll="0"/>
    <pivotField showAll="0"/>
    <pivotField showAll="0"/>
    <pivotField axis="axisRow" outline="0" showAll="0" defaultSubtotal="0">
      <items count="51">
        <item m="1" x="36"/>
        <item m="1" x="39"/>
        <item m="1" x="49"/>
        <item x="5"/>
        <item m="1" x="38"/>
        <item m="1" x="43"/>
        <item m="1" x="25"/>
        <item m="1" x="24"/>
        <item m="1" x="45"/>
        <item m="1" x="42"/>
        <item m="1" x="50"/>
        <item m="1" x="23"/>
        <item m="1" x="32"/>
        <item m="1" x="47"/>
        <item m="1" x="31"/>
        <item m="1" x="35"/>
        <item m="1" x="34"/>
        <item m="1" x="44"/>
        <item m="1" x="33"/>
        <item m="1" x="22"/>
        <item m="1" x="41"/>
        <item m="1" x="37"/>
        <item m="1" x="48"/>
        <item m="1" x="21"/>
        <item m="1" x="27"/>
        <item m="1" x="46"/>
        <item m="1" x="26"/>
        <item m="1" x="30"/>
        <item m="1" x="29"/>
        <item m="1" x="40"/>
        <item m="1" x="28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showAll="0"/>
    <pivotField showAll="0"/>
    <pivotField outline="0" showAll="0"/>
    <pivotField showAll="0" defaultSubtotal="0"/>
    <pivotField axis="axisPage" showAll="0">
      <items count="30">
        <item m="1" x="24"/>
        <item m="1" x="23"/>
        <item x="2"/>
        <item x="6"/>
        <item m="1" x="26"/>
        <item x="1"/>
        <item x="5"/>
        <item x="9"/>
        <item x="4"/>
        <item m="1" x="27"/>
        <item x="7"/>
        <item x="10"/>
        <item x="14"/>
        <item x="11"/>
        <item x="12"/>
        <item x="8"/>
        <item x="15"/>
        <item m="1" x="28"/>
        <item x="16"/>
        <item m="1" x="25"/>
        <item x="3"/>
        <item x="13"/>
        <item m="1" x="22"/>
        <item x="0"/>
        <item x="17"/>
        <item x="18"/>
        <item x="19"/>
        <item x="20"/>
        <item x="21"/>
        <item t="default"/>
      </items>
    </pivotField>
    <pivotField outline="0" showAll="0"/>
    <pivotField axis="axisRow" outline="0" showAll="0">
      <items count="4">
        <item sd="0" x="1"/>
        <item sd="0" x="0"/>
        <item h="1" x="2"/>
        <item t="default"/>
      </items>
    </pivotField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axis="axisCol" dataField="1" multipleItemSelectionAllowed="1" showAll="0">
      <items count="6">
        <item x="2"/>
        <item x="0"/>
        <item x="1"/>
        <item x="3"/>
        <item x="4"/>
        <item t="default"/>
      </items>
    </pivotField>
  </pivotFields>
  <rowFields count="2">
    <field x="10"/>
    <field x="3"/>
  </rowFields>
  <rowItems count="3">
    <i>
      <x/>
    </i>
    <i>
      <x v="1"/>
    </i>
    <i t="grand">
      <x/>
    </i>
  </rowItems>
  <colFields count="1">
    <field x="23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8" hier="-1"/>
  </pageFields>
  <dataFields count="1">
    <dataField name="Count of Status" fld="23" subtotal="count" baseField="0" baseItem="0"/>
  </dataFields>
  <chartFormats count="4">
    <chartFormat chart="18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8" format="7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8" format="8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18" format="1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15">
  <location ref="A5:G49" firstHeaderRow="1" firstDataRow="2" firstDataCol="2" rowPageCount="3" colPageCount="1"/>
  <pivotFields count="24">
    <pivotField showAll="0"/>
    <pivotField showAll="0"/>
    <pivotField showAll="0"/>
    <pivotField axis="axisRow" outline="0" showAll="0" defaultSubtotal="0">
      <items count="51">
        <item m="1" x="36"/>
        <item m="1" x="39"/>
        <item m="1" x="49"/>
        <item x="5"/>
        <item m="1" x="38"/>
        <item m="1" x="43"/>
        <item m="1" x="25"/>
        <item m="1" x="24"/>
        <item m="1" x="45"/>
        <item m="1" x="42"/>
        <item m="1" x="50"/>
        <item m="1" x="23"/>
        <item m="1" x="32"/>
        <item m="1" x="47"/>
        <item m="1" x="31"/>
        <item m="1" x="35"/>
        <item m="1" x="34"/>
        <item m="1" x="44"/>
        <item m="1" x="33"/>
        <item m="1" x="22"/>
        <item m="1" x="41"/>
        <item m="1" x="37"/>
        <item m="1" x="48"/>
        <item m="1" x="21"/>
        <item m="1" x="27"/>
        <item n="2013-July" m="1" x="46"/>
        <item m="1" x="26"/>
        <item m="1" x="30"/>
        <item m="1" x="29"/>
        <item m="1" x="40"/>
        <item m="1" x="28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showAll="0"/>
    <pivotField showAll="0"/>
    <pivotField axis="axisPage" outline="0" showAll="0">
      <items count="36">
        <item m="1" x="27"/>
        <item m="1" x="34"/>
        <item x="5"/>
        <item x="11"/>
        <item m="1" x="32"/>
        <item x="10"/>
        <item m="1" x="26"/>
        <item m="1" x="29"/>
        <item x="17"/>
        <item x="16"/>
        <item x="4"/>
        <item m="1" x="30"/>
        <item x="8"/>
        <item x="7"/>
        <item m="1" x="31"/>
        <item x="18"/>
        <item x="19"/>
        <item m="1" x="28"/>
        <item m="1" x="25"/>
        <item x="1"/>
        <item x="2"/>
        <item m="1" x="33"/>
        <item x="0"/>
        <item x="14"/>
        <item x="12"/>
        <item x="6"/>
        <item x="15"/>
        <item x="22"/>
        <item x="3"/>
        <item x="9"/>
        <item x="13"/>
        <item x="20"/>
        <item x="21"/>
        <item x="23"/>
        <item x="24"/>
        <item t="default"/>
      </items>
    </pivotField>
    <pivotField showAll="0" defaultSubtotal="0"/>
    <pivotField axis="axisPage" showAll="0">
      <items count="30">
        <item m="1" x="24"/>
        <item m="1" x="28"/>
        <item m="1" x="23"/>
        <item x="2"/>
        <item x="6"/>
        <item m="1" x="26"/>
        <item x="1"/>
        <item x="5"/>
        <item x="9"/>
        <item x="4"/>
        <item m="1" x="27"/>
        <item x="7"/>
        <item x="10"/>
        <item x="14"/>
        <item x="11"/>
        <item x="16"/>
        <item x="12"/>
        <item x="8"/>
        <item x="15"/>
        <item m="1" x="25"/>
        <item x="3"/>
        <item x="13"/>
        <item m="1" x="22"/>
        <item x="0"/>
        <item x="17"/>
        <item x="18"/>
        <item x="19"/>
        <item x="20"/>
        <item x="21"/>
        <item t="default"/>
      </items>
    </pivotField>
    <pivotField axis="axisPage" outline="0" showAll="0">
      <items count="24">
        <item x="5"/>
        <item m="1" x="12"/>
        <item x="0"/>
        <item m="1" x="14"/>
        <item x="2"/>
        <item m="1" x="18"/>
        <item x="1"/>
        <item m="1" x="13"/>
        <item m="1" x="15"/>
        <item m="1" x="22"/>
        <item x="6"/>
        <item m="1" x="19"/>
        <item m="1" x="20"/>
        <item x="10"/>
        <item m="1" x="16"/>
        <item x="7"/>
        <item x="4"/>
        <item x="9"/>
        <item x="8"/>
        <item m="1" x="21"/>
        <item m="1" x="17"/>
        <item x="3"/>
        <item x="11"/>
        <item t="default"/>
      </items>
    </pivotField>
    <pivotField axis="axisRow" outline="0" showAll="0">
      <items count="4">
        <item x="1"/>
        <item x="0"/>
        <item h="1" x="2"/>
        <item t="default"/>
      </items>
    </pivotField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h="1" x="3"/>
        <item x="1"/>
        <item x="2"/>
        <item x="0"/>
        <item x="4"/>
        <item t="default"/>
      </items>
    </pivotField>
  </pivotFields>
  <rowFields count="2">
    <field x="10"/>
    <field x="3"/>
  </rowFields>
  <rowItems count="43">
    <i>
      <x/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t="default">
      <x/>
    </i>
    <i>
      <x v="1"/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t="default">
      <x v="1"/>
    </i>
    <i t="grand">
      <x/>
    </i>
  </rowItems>
  <colFields count="1">
    <field x="23"/>
  </colFields>
  <colItems count="5">
    <i>
      <x v="1"/>
    </i>
    <i>
      <x v="2"/>
    </i>
    <i>
      <x v="3"/>
    </i>
    <i>
      <x v="4"/>
    </i>
    <i t="grand">
      <x/>
    </i>
  </colItems>
  <pageFields count="3">
    <pageField fld="8" hier="-1"/>
    <pageField fld="9" hier="-1"/>
    <pageField fld="6" hier="-1"/>
  </pageFields>
  <dataFields count="1">
    <dataField name="Count of Status" fld="23" subtotal="count" baseField="0" baseItem="0"/>
  </dataFields>
  <chartFormats count="6"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9" format="57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  <chartFormat chart="9" format="58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9" format="59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9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6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22">
  <location ref="A248:D320" firstHeaderRow="1" firstDataRow="2" firstDataCol="2" rowPageCount="4" colPageCount="1"/>
  <pivotFields count="24">
    <pivotField showAll="0"/>
    <pivotField showAll="0"/>
    <pivotField showAll="0"/>
    <pivotField axis="axisPage" showAll="0" defaultSubtotal="0">
      <items count="51">
        <item m="1" x="36"/>
        <item m="1" x="39"/>
        <item m="1" x="49"/>
        <item x="5"/>
        <item m="1" x="38"/>
        <item m="1" x="43"/>
        <item m="1" x="25"/>
        <item m="1" x="24"/>
        <item m="1" x="45"/>
        <item m="1" x="42"/>
        <item m="1" x="50"/>
        <item m="1" x="23"/>
        <item m="1" x="32"/>
        <item m="1" x="47"/>
        <item m="1" x="31"/>
        <item m="1" x="35"/>
        <item m="1" x="34"/>
        <item m="1" x="44"/>
        <item m="1" x="33"/>
        <item m="1" x="22"/>
        <item m="1" x="41"/>
        <item m="1" x="37"/>
        <item m="1" x="48"/>
        <item m="1" x="21"/>
        <item m="1" x="27"/>
        <item m="1" x="46"/>
        <item m="1" x="26"/>
        <item m="1" x="30"/>
        <item m="1" x="29"/>
        <item m="1" x="40"/>
        <item m="1" x="28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showAll="0"/>
    <pivotField dataField="1" showAll="0"/>
    <pivotField axis="axisPage" outline="0" showAll="0">
      <items count="36">
        <item m="1" x="27"/>
        <item x="1"/>
        <item m="1" x="34"/>
        <item x="5"/>
        <item x="11"/>
        <item m="1" x="32"/>
        <item x="10"/>
        <item m="1" x="28"/>
        <item m="1" x="26"/>
        <item m="1" x="25"/>
        <item m="1" x="29"/>
        <item x="17"/>
        <item x="16"/>
        <item x="4"/>
        <item m="1" x="30"/>
        <item x="8"/>
        <item x="7"/>
        <item m="1" x="31"/>
        <item x="18"/>
        <item x="19"/>
        <item x="2"/>
        <item m="1" x="33"/>
        <item x="0"/>
        <item x="14"/>
        <item x="12"/>
        <item x="6"/>
        <item x="15"/>
        <item x="22"/>
        <item x="3"/>
        <item x="9"/>
        <item x="13"/>
        <item x="20"/>
        <item x="21"/>
        <item x="23"/>
        <item x="24"/>
        <item t="default"/>
      </items>
    </pivotField>
    <pivotField showAll="0" defaultSubtotal="0"/>
    <pivotField axis="axisPage" showAll="0">
      <items count="30">
        <item m="1" x="24"/>
        <item m="1" x="28"/>
        <item m="1" x="23"/>
        <item x="2"/>
        <item x="6"/>
        <item m="1" x="26"/>
        <item x="1"/>
        <item x="5"/>
        <item x="9"/>
        <item x="4"/>
        <item m="1" x="27"/>
        <item x="7"/>
        <item x="10"/>
        <item x="14"/>
        <item x="11"/>
        <item x="16"/>
        <item x="12"/>
        <item x="8"/>
        <item x="15"/>
        <item m="1" x="25"/>
        <item x="3"/>
        <item x="13"/>
        <item m="1" x="22"/>
        <item x="0"/>
        <item x="17"/>
        <item x="18"/>
        <item x="19"/>
        <item x="20"/>
        <item x="21"/>
        <item t="default"/>
      </items>
    </pivotField>
    <pivotField axis="axisPage" showAll="0">
      <items count="24">
        <item x="5"/>
        <item m="1" x="12"/>
        <item x="0"/>
        <item m="1" x="14"/>
        <item x="2"/>
        <item m="1" x="18"/>
        <item x="1"/>
        <item m="1" x="13"/>
        <item m="1" x="15"/>
        <item m="1" x="22"/>
        <item x="6"/>
        <item m="1" x="19"/>
        <item m="1" x="20"/>
        <item x="10"/>
        <item m="1" x="16"/>
        <item x="7"/>
        <item x="4"/>
        <item x="9"/>
        <item x="8"/>
        <item m="1" x="21"/>
        <item m="1" x="17"/>
        <item x="3"/>
        <item x="11"/>
        <item t="default"/>
      </items>
    </pivotField>
    <pivotField axis="axisRow" outline="0" showAll="0">
      <items count="4">
        <item x="1"/>
        <item x="0"/>
        <item x="2"/>
        <item t="default"/>
      </items>
    </pivotField>
    <pivotField showAll="0"/>
    <pivotField showAll="0"/>
    <pivotField axis="axisRow" outline="0" multipleItemSelectionAllowed="1" showAll="0" defaultSubtotal="0">
      <items count="114">
        <item x="23"/>
        <item x="10"/>
        <item x="16"/>
        <item x="40"/>
        <item x="53"/>
        <item x="6"/>
        <item x="22"/>
        <item m="1" x="91"/>
        <item m="1" x="89"/>
        <item m="1" x="110"/>
        <item m="1" x="95"/>
        <item x="32"/>
        <item x="30"/>
        <item x="9"/>
        <item m="1" x="97"/>
        <item x="36"/>
        <item m="1" x="76"/>
        <item x="47"/>
        <item x="20"/>
        <item x="34"/>
        <item x="25"/>
        <item x="54"/>
        <item x="12"/>
        <item x="35"/>
        <item x="28"/>
        <item m="1" x="109"/>
        <item x="11"/>
        <item m="1" x="104"/>
        <item m="1" x="78"/>
        <item x="0"/>
        <item m="1" x="84"/>
        <item x="39"/>
        <item x="24"/>
        <item m="1" x="87"/>
        <item m="1" x="70"/>
        <item m="1" x="83"/>
        <item m="1" x="82"/>
        <item h="1" x="51"/>
        <item m="1" x="96"/>
        <item m="1" x="113"/>
        <item m="1" x="99"/>
        <item m="1" x="108"/>
        <item m="1" x="111"/>
        <item x="18"/>
        <item m="1" x="80"/>
        <item x="21"/>
        <item x="19"/>
        <item m="1" x="90"/>
        <item m="1" x="92"/>
        <item m="1" x="103"/>
        <item x="45"/>
        <item m="1" x="72"/>
        <item x="3"/>
        <item m="1" x="105"/>
        <item m="1" x="106"/>
        <item x="63"/>
        <item m="1" x="81"/>
        <item m="1" x="100"/>
        <item m="1" x="88"/>
        <item x="4"/>
        <item x="44"/>
        <item x="14"/>
        <item x="29"/>
        <item m="1" x="98"/>
        <item m="1" x="93"/>
        <item m="1" x="71"/>
        <item x="42"/>
        <item m="1" x="85"/>
        <item x="38"/>
        <item x="27"/>
        <item m="1" x="79"/>
        <item x="26"/>
        <item x="41"/>
        <item m="1" x="101"/>
        <item m="1" x="112"/>
        <item m="1" x="77"/>
        <item x="43"/>
        <item x="13"/>
        <item x="46"/>
        <item h="1" m="1" x="107"/>
        <item h="1" m="1" x="94"/>
        <item h="1" x="5"/>
        <item h="1" m="1" x="74"/>
        <item h="1" m="1" x="75"/>
        <item h="1" x="33"/>
        <item h="1" m="1" x="73"/>
        <item h="1" m="1" x="86"/>
        <item h="1" m="1" x="102"/>
        <item h="1" x="1"/>
        <item h="1" x="2"/>
        <item h="1" x="7"/>
        <item h="1" x="8"/>
        <item h="1" x="15"/>
        <item h="1" x="17"/>
        <item h="1" x="31"/>
        <item h="1" x="37"/>
        <item h="1" x="48"/>
        <item h="1" x="49"/>
        <item h="1" x="50"/>
        <item h="1" x="52"/>
        <item h="1" x="55"/>
        <item h="1" x="56"/>
        <item h="1" x="57"/>
        <item h="1" x="58"/>
        <item h="1" x="59"/>
        <item h="1" x="60"/>
        <item h="1" x="61"/>
        <item h="1" x="62"/>
        <item h="1" x="64"/>
        <item h="1" x="65"/>
        <item h="1" x="66"/>
        <item h="1" x="67"/>
        <item h="1" x="68"/>
        <item h="1" x="69"/>
      </items>
    </pivotField>
    <pivotField showAll="0"/>
    <pivotField dataField="1" showAll="0" defaultSubtota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0"/>
    <field x="13"/>
  </rowFields>
  <rowItems count="7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11"/>
    </i>
    <i r="1">
      <x v="12"/>
    </i>
    <i r="1">
      <x v="13"/>
    </i>
    <i r="1">
      <x v="17"/>
    </i>
    <i r="1">
      <x v="19"/>
    </i>
    <i r="1">
      <x v="21"/>
    </i>
    <i r="1">
      <x v="23"/>
    </i>
    <i r="1">
      <x v="29"/>
    </i>
    <i r="1">
      <x v="31"/>
    </i>
    <i r="1">
      <x v="32"/>
    </i>
    <i r="1">
      <x v="45"/>
    </i>
    <i r="1">
      <x v="46"/>
    </i>
    <i r="1">
      <x v="50"/>
    </i>
    <i r="1">
      <x v="52"/>
    </i>
    <i r="1">
      <x v="55"/>
    </i>
    <i r="1">
      <x v="61"/>
    </i>
    <i r="1">
      <x v="62"/>
    </i>
    <i r="1">
      <x v="66"/>
    </i>
    <i r="1">
      <x v="68"/>
    </i>
    <i r="1">
      <x v="69"/>
    </i>
    <i r="1">
      <x v="76"/>
    </i>
    <i r="1">
      <x v="77"/>
    </i>
    <i r="1">
      <x v="78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11"/>
    </i>
    <i r="1">
      <x v="12"/>
    </i>
    <i r="1">
      <x v="13"/>
    </i>
    <i r="1">
      <x v="15"/>
    </i>
    <i r="1">
      <x v="17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9"/>
    </i>
    <i r="1">
      <x v="31"/>
    </i>
    <i r="1">
      <x v="32"/>
    </i>
    <i r="1">
      <x v="43"/>
    </i>
    <i r="1">
      <x v="45"/>
    </i>
    <i r="1">
      <x v="46"/>
    </i>
    <i r="1">
      <x v="50"/>
    </i>
    <i r="1">
      <x v="52"/>
    </i>
    <i r="1">
      <x v="59"/>
    </i>
    <i r="1">
      <x v="60"/>
    </i>
    <i r="1">
      <x v="61"/>
    </i>
    <i r="1">
      <x v="66"/>
    </i>
    <i r="1">
      <x v="68"/>
    </i>
    <i r="1">
      <x v="69"/>
    </i>
    <i r="1">
      <x v="71"/>
    </i>
    <i r="1">
      <x v="72"/>
    </i>
    <i r="1">
      <x v="76"/>
    </i>
    <i r="1">
      <x v="77"/>
    </i>
    <i r="1">
      <x v="78"/>
    </i>
    <i t="default">
      <x v="1"/>
    </i>
    <i t="grand">
      <x/>
    </i>
  </rowItems>
  <colFields count="1">
    <field x="-2"/>
  </colFields>
  <colItems count="2">
    <i>
      <x/>
    </i>
    <i i="1">
      <x v="1"/>
    </i>
  </colItems>
  <pageFields count="4">
    <pageField fld="8" hier="-1"/>
    <pageField fld="3" hier="-1"/>
    <pageField fld="6" hier="-1"/>
    <pageField fld="9" hier="-1"/>
  </pageFields>
  <dataFields count="2">
    <dataField name="Number of Release" fld="5" subtotal="count" baseField="0" baseItem="0"/>
    <dataField name="Number of Obsolete" fld="15" subtotal="count" baseField="0" baseItem="0"/>
  </dataFields>
  <chartFormats count="6">
    <chartFormat chart="13" format="3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4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4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4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4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13">
  <location ref="I22:N26" firstHeaderRow="1" firstDataRow="2" firstDataCol="2" rowPageCount="3" colPageCount="1"/>
  <pivotFields count="24">
    <pivotField showAll="0"/>
    <pivotField showAll="0"/>
    <pivotField showAll="0"/>
    <pivotField axis="axisRow" outline="0" showAll="0" defaultSubtotal="0">
      <items count="51">
        <item m="1" x="36"/>
        <item m="1" x="39"/>
        <item m="1" x="49"/>
        <item x="5"/>
        <item m="1" x="38"/>
        <item m="1" x="43"/>
        <item m="1" x="25"/>
        <item m="1" x="24"/>
        <item m="1" x="45"/>
        <item m="1" x="42"/>
        <item m="1" x="50"/>
        <item m="1" x="23"/>
        <item m="1" x="32"/>
        <item m="1" x="47"/>
        <item m="1" x="31"/>
        <item m="1" x="35"/>
        <item m="1" x="34"/>
        <item m="1" x="44"/>
        <item m="1" x="33"/>
        <item m="1" x="22"/>
        <item m="1" x="41"/>
        <item m="1" x="37"/>
        <item m="1" x="48"/>
        <item m="1" x="21"/>
        <item m="1" x="27"/>
        <item m="1" x="46"/>
        <item m="1" x="26"/>
        <item m="1" x="30"/>
        <item m="1" x="29"/>
        <item m="1" x="40"/>
        <item m="1" x="28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showAll="0"/>
    <pivotField showAll="0"/>
    <pivotField axis="axisPage" outline="0" showAll="0">
      <items count="36">
        <item m="1" x="27"/>
        <item m="1" x="34"/>
        <item x="5"/>
        <item x="11"/>
        <item m="1" x="32"/>
        <item x="10"/>
        <item m="1" x="26"/>
        <item m="1" x="29"/>
        <item x="17"/>
        <item x="16"/>
        <item x="4"/>
        <item m="1" x="30"/>
        <item x="8"/>
        <item x="7"/>
        <item m="1" x="31"/>
        <item x="18"/>
        <item x="19"/>
        <item m="1" x="28"/>
        <item m="1" x="25"/>
        <item x="1"/>
        <item x="2"/>
        <item m="1" x="33"/>
        <item x="0"/>
        <item x="14"/>
        <item x="12"/>
        <item x="6"/>
        <item x="15"/>
        <item x="22"/>
        <item x="3"/>
        <item x="9"/>
        <item x="13"/>
        <item x="20"/>
        <item x="21"/>
        <item x="23"/>
        <item x="24"/>
        <item t="default"/>
      </items>
    </pivotField>
    <pivotField showAll="0" defaultSubtotal="0"/>
    <pivotField axis="axisPage" showAll="0">
      <items count="30">
        <item m="1" x="24"/>
        <item m="1" x="28"/>
        <item m="1" x="23"/>
        <item x="2"/>
        <item x="6"/>
        <item m="1" x="26"/>
        <item x="1"/>
        <item x="5"/>
        <item x="9"/>
        <item x="4"/>
        <item m="1" x="27"/>
        <item x="7"/>
        <item x="10"/>
        <item x="14"/>
        <item x="11"/>
        <item x="16"/>
        <item x="12"/>
        <item x="8"/>
        <item x="15"/>
        <item m="1" x="25"/>
        <item x="3"/>
        <item x="13"/>
        <item m="1" x="22"/>
        <item x="0"/>
        <item x="17"/>
        <item x="18"/>
        <item x="19"/>
        <item x="20"/>
        <item x="21"/>
        <item t="default"/>
      </items>
    </pivotField>
    <pivotField axis="axisPage" outline="0" showAll="0">
      <items count="24">
        <item x="5"/>
        <item m="1" x="12"/>
        <item x="0"/>
        <item m="1" x="14"/>
        <item x="2"/>
        <item m="1" x="18"/>
        <item x="1"/>
        <item m="1" x="13"/>
        <item m="1" x="15"/>
        <item m="1" x="22"/>
        <item x="6"/>
        <item m="1" x="19"/>
        <item m="1" x="20"/>
        <item x="10"/>
        <item m="1" x="16"/>
        <item x="7"/>
        <item x="4"/>
        <item x="9"/>
        <item x="8"/>
        <item m="1" x="21"/>
        <item m="1" x="17"/>
        <item x="3"/>
        <item x="11"/>
        <item t="default"/>
      </items>
    </pivotField>
    <pivotField axis="axisRow" outline="0" showAll="0">
      <items count="4">
        <item sd="0" x="1"/>
        <item sd="0" x="0"/>
        <item h="1" x="2"/>
        <item t="default"/>
      </items>
    </pivotField>
    <pivotField showAll="0"/>
    <pivotField showAll="0"/>
    <pivotField showAll="0" defaultSubtotal="0"/>
    <pivotField showAll="0"/>
    <pivotField axis="axisCol" dataField="1" showAll="0" defaultSubtotal="0">
      <items count="6">
        <item m="1" x="5"/>
        <item x="3"/>
        <item x="1"/>
        <item x="2"/>
        <item h="1" x="0"/>
        <item h="1" x="4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0"/>
    <field x="3"/>
  </rowFields>
  <rowItems count="3">
    <i>
      <x/>
    </i>
    <i>
      <x v="1"/>
    </i>
    <i t="grand">
      <x/>
    </i>
  </rowItems>
  <colFields count="1">
    <field x="15"/>
  </colFields>
  <colItems count="4">
    <i>
      <x v="1"/>
    </i>
    <i>
      <x v="2"/>
    </i>
    <i>
      <x v="3"/>
    </i>
    <i t="grand">
      <x/>
    </i>
  </colItems>
  <pageFields count="3">
    <pageField fld="8" hier="-1"/>
    <pageField fld="9" hier="-1"/>
    <pageField fld="6" hier="-1"/>
  </pageFields>
  <dataFields count="1">
    <dataField name="Count of Obsolete" fld="15" subtotal="count" baseField="0" baseItem="0"/>
  </dataFields>
  <chartFormats count="4">
    <chartFormat chart="12" format="59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12" format="6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12" format="61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chartFormat>
    <chartFormat chart="12" format="6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7" cacheId="3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32">
  <location ref="I71:J97" firstHeaderRow="1" firstDataRow="2" firstDataCol="1" rowPageCount="2" colPageCount="1"/>
  <pivotFields count="24">
    <pivotField axis="axisPage" multipleItemSelectionAllowed="1" showAll="0">
      <items count="969">
        <item h="1" m="1" x="414"/>
        <item h="1" m="1" x="691"/>
        <item h="1" m="1" x="421"/>
        <item h="1" m="1" x="696"/>
        <item h="1" m="1" x="427"/>
        <item h="1" m="1" x="705"/>
        <item h="1" m="1" x="434"/>
        <item h="1" m="1" x="712"/>
        <item h="1" m="1" x="442"/>
        <item h="1" m="1" x="718"/>
        <item h="1" m="1" x="451"/>
        <item h="1" m="1" x="730"/>
        <item h="1" m="1" x="458"/>
        <item h="1" m="1" x="739"/>
        <item h="1" m="1" x="466"/>
        <item m="1" x="472"/>
        <item h="1" m="1" x="753"/>
        <item h="1" m="1" x="481"/>
        <item h="1" m="1" x="763"/>
        <item h="1" m="1" x="775"/>
        <item m="1" x="787"/>
        <item h="1" m="1" x="514"/>
        <item h="1" m="1" x="800"/>
        <item h="1" m="1" x="697"/>
        <item h="1" m="1" x="428"/>
        <item h="1" m="1" x="703"/>
        <item m="1" x="432"/>
        <item m="1" x="707"/>
        <item h="1" m="1" x="436"/>
        <item h="1" m="1" x="714"/>
        <item h="1" m="1" x="443"/>
        <item h="1" m="1" x="719"/>
        <item h="1" m="1" x="446"/>
        <item m="1" x="724"/>
        <item m="1" x="453"/>
        <item h="1" m="1" x="732"/>
        <item h="1" m="1" x="460"/>
        <item h="1" m="1" x="740"/>
        <item h="1" m="1" x="467"/>
        <item h="1" m="1" x="747"/>
        <item h="1" m="1" x="483"/>
        <item h="1" m="1" x="765"/>
        <item h="1" m="1" x="492"/>
        <item h="1" m="1" x="776"/>
        <item h="1" m="1" x="503"/>
        <item h="1" m="1" x="802"/>
        <item h="1" m="1" x="526"/>
        <item h="1" m="1" x="813"/>
        <item h="1" m="1" x="709"/>
        <item h="1" m="1" x="438"/>
        <item m="1" x="716"/>
        <item h="1" m="1" x="720"/>
        <item h="1" m="1" x="447"/>
        <item h="1" m="1" x="726"/>
        <item h="1" m="1" x="734"/>
        <item h="1" m="1" x="468"/>
        <item h="1" m="1" x="748"/>
        <item h="1" m="1" x="475"/>
        <item h="1" m="1" x="756"/>
        <item h="1" m="1" x="485"/>
        <item m="1" x="767"/>
        <item h="1" m="1" x="777"/>
        <item h="1" m="1" x="504"/>
        <item h="1" m="1" x="790"/>
        <item h="1" m="1" x="516"/>
        <item h="1" m="1" x="804"/>
        <item m="1" x="528"/>
        <item h="1" m="1" x="537"/>
        <item h="1" m="1" x="824"/>
        <item h="1" m="1" x="550"/>
        <item h="1" m="1" x="836"/>
        <item h="1" m="1" x="562"/>
        <item m="1" x="851"/>
        <item h="1" m="1" x="449"/>
        <item h="1" m="1" x="728"/>
        <item h="1" m="1" x="456"/>
        <item h="1" m="1" x="735"/>
        <item h="1" m="1" x="462"/>
        <item m="1" x="743"/>
        <item h="1" m="1" x="750"/>
        <item h="1" m="1" x="477"/>
        <item h="1" m="1" x="758"/>
        <item h="1" m="1" x="486"/>
        <item h="1" m="1" x="768"/>
        <item m="1" x="495"/>
        <item m="1" x="779"/>
        <item h="1" m="1" x="506"/>
        <item h="1" m="1" x="792"/>
        <item h="1" m="1" x="518"/>
        <item h="1" m="1" x="805"/>
        <item h="1" m="1" x="530"/>
        <item m="1" x="815"/>
        <item m="1" x="539"/>
        <item h="1" m="1" x="825"/>
        <item h="1" m="1" x="552"/>
        <item h="1" m="1" x="838"/>
        <item h="1" m="1" x="563"/>
        <item h="1" m="1" x="853"/>
        <item m="1" x="572"/>
        <item m="1" x="863"/>
        <item h="1" m="1" x="582"/>
        <item h="1" m="1" x="737"/>
        <item h="1" m="1" x="464"/>
        <item h="1" m="1" x="744"/>
        <item h="1" m="1" x="471"/>
        <item h="1" m="1" x="760"/>
        <item h="1" m="1" x="488"/>
        <item h="1" m="1" x="769"/>
        <item h="1" m="1" x="496"/>
        <item h="1" m="1" x="781"/>
        <item m="1" x="508"/>
        <item h="1" m="1" x="520"/>
        <item h="1" m="1" x="806"/>
        <item h="1" m="1" x="531"/>
        <item h="1" m="1" x="816"/>
        <item h="1" m="1" x="541"/>
        <item m="1" x="827"/>
        <item m="1" x="554"/>
        <item h="1" m="1" x="840"/>
        <item h="1" m="1" x="565"/>
        <item h="1" m="1" x="854"/>
        <item h="1" m="1" x="573"/>
        <item h="1" m="1" x="865"/>
        <item m="1" x="584"/>
        <item m="1" x="878"/>
        <item h="1" m="1" x="594"/>
        <item h="1" m="1" x="887"/>
        <item h="1" m="1" x="606"/>
        <item h="1" m="1" x="899"/>
        <item h="1" m="1" x="752"/>
        <item m="1" x="480"/>
        <item h="1" m="1" x="490"/>
        <item h="1" m="1" x="771"/>
        <item h="1" m="1" x="498"/>
        <item h="1" x="91"/>
        <item h="1" m="1" x="783"/>
        <item h="1" m="1" x="510"/>
        <item m="1" x="795"/>
        <item m="1" x="522"/>
        <item h="1" m="1" x="808"/>
        <item h="1" m="1" x="533"/>
        <item h="1" m="1" x="818"/>
        <item h="1" m="1" x="543"/>
        <item h="1" m="1" x="829"/>
        <item h="1" m="1" x="567"/>
        <item h="1" m="1" x="856"/>
        <item h="1" m="1" x="575"/>
        <item h="1" m="1" x="866"/>
        <item h="1" m="1" x="585"/>
        <item m="1" x="880"/>
        <item h="1" m="1" x="596"/>
        <item h="1" m="1" x="889"/>
        <item h="1" m="1" x="608"/>
        <item h="1" m="1" x="901"/>
        <item h="1" m="1" x="617"/>
        <item h="1" m="1" x="912"/>
        <item m="1" x="628"/>
        <item m="1" x="773"/>
        <item h="1" m="1" x="500"/>
        <item h="1" m="1" x="785"/>
        <item h="1" m="1" x="512"/>
        <item h="1" m="1" x="796"/>
        <item h="1" m="1" x="524"/>
        <item m="1" x="810"/>
        <item h="1" m="1" x="820"/>
        <item h="1" m="1" x="545"/>
        <item h="1" m="1" x="830"/>
        <item h="1" m="1" x="556"/>
        <item h="1" m="1" x="843"/>
        <item m="1" x="569"/>
        <item h="1" m="1" x="577"/>
        <item h="1" m="1" x="868"/>
        <item h="1" m="1" x="586"/>
        <item h="1" m="1" x="881"/>
        <item h="1" m="1" x="598"/>
        <item h="1" m="1" x="903"/>
        <item h="1" m="1" x="619"/>
        <item h="1" m="1" x="914"/>
        <item h="1" m="1" x="629"/>
        <item h="1" m="1" x="925"/>
        <item h="1" m="1" x="637"/>
        <item h="1" m="1" x="935"/>
        <item h="1" m="1" x="645"/>
        <item h="1" m="1" x="943"/>
        <item h="1" m="1" x="798"/>
        <item h="1" m="1" x="812"/>
        <item m="1" x="536"/>
        <item h="1" m="1" x="547"/>
        <item h="1" m="1" x="832"/>
        <item h="1" m="1" x="558"/>
        <item h="1" m="1" x="845"/>
        <item h="1" m="1" x="870"/>
        <item h="1" m="1" x="588"/>
        <item h="1" m="1" x="883"/>
        <item h="1" m="1" x="600"/>
        <item h="1" m="1" x="891"/>
        <item h="1" m="1" x="621"/>
        <item h="1" m="1" x="916"/>
        <item h="1" m="1" x="631"/>
        <item h="1" m="1" x="927"/>
        <item h="1" m="1" x="638"/>
        <item h="1" m="1" x="937"/>
        <item h="1" m="1" x="647"/>
        <item h="1" m="1" x="945"/>
        <item h="1" m="1" x="655"/>
        <item h="1" m="1" x="663"/>
        <item h="1" m="1" x="960"/>
        <item h="1" m="1" x="834"/>
        <item h="1" m="1" x="560"/>
        <item h="1" m="1" x="847"/>
        <item h="1" m="1" x="570"/>
        <item h="1" m="1" x="859"/>
        <item h="1" m="1" x="872"/>
        <item h="1" m="1" x="590"/>
        <item h="1" m="1" x="884"/>
        <item h="1" m="1" x="602"/>
        <item h="1" m="1" x="893"/>
        <item h="1" m="1" x="611"/>
        <item h="1" m="1" x="918"/>
        <item h="1" m="1" x="633"/>
        <item h="1" m="1" x="929"/>
        <item h="1" m="1" x="639"/>
        <item h="1" m="1" x="938"/>
        <item h="1" m="1" x="649"/>
        <item h="1" m="1" x="656"/>
        <item h="1" m="1" x="954"/>
        <item h="1" m="1" x="665"/>
        <item h="1" m="1" x="962"/>
        <item h="1" m="1" x="671"/>
        <item h="1" m="1" x="399"/>
        <item h="1" m="1" x="677"/>
        <item h="1" m="1" x="849"/>
        <item h="1" m="1" x="861"/>
        <item h="1" m="1" x="580"/>
        <item h="1" m="1" x="874"/>
        <item h="1" m="1" x="592"/>
        <item h="1" m="1" x="604"/>
        <item h="1" m="1" x="895"/>
        <item h="1" m="1" x="612"/>
        <item h="1" m="1" x="906"/>
        <item h="1" m="1" x="623"/>
        <item h="1" m="1" x="920"/>
        <item h="1" m="1" x="931"/>
        <item h="1" m="1" x="641"/>
        <item h="1" m="1" x="939"/>
        <item h="1" m="1" x="650"/>
        <item h="1" m="1" x="948"/>
        <item h="1" m="1" x="658"/>
        <item h="1" m="1" x="956"/>
        <item h="1" m="1" x="667"/>
        <item h="1" m="1" x="964"/>
        <item h="1" m="1" x="400"/>
        <item h="1" m="1" x="679"/>
        <item h="1" m="1" x="406"/>
        <item h="1" m="1" x="410"/>
        <item h="1" m="1" x="687"/>
        <item h="1" m="1" x="416"/>
        <item h="1" m="1" x="876"/>
        <item h="1" m="1" x="593"/>
        <item h="1" m="1" x="897"/>
        <item h="1" m="1" x="614"/>
        <item h="1" m="1" x="908"/>
        <item h="1" m="1" x="624"/>
        <item h="1" m="1" x="921"/>
        <item h="1" m="1" x="643"/>
        <item h="1" m="1" x="949"/>
        <item h="1" m="1" x="659"/>
        <item h="1" m="1" x="966"/>
        <item h="1" m="1" x="674"/>
        <item h="1" m="1" x="402"/>
        <item h="1" m="1" x="680"/>
        <item h="1" m="1" x="407"/>
        <item h="1" m="1" x="689"/>
        <item h="1" m="1" x="418"/>
        <item h="1" m="1" x="423"/>
        <item h="1" m="1" x="699"/>
        <item h="1" m="1" x="898"/>
        <item h="1" m="1" x="910"/>
        <item h="1" m="1" x="626"/>
        <item h="1" m="1" x="923"/>
        <item h="1" m="1" x="635"/>
        <item h="1" m="1" x="934"/>
        <item h="1" m="1" x="653"/>
        <item h="1" m="1" x="951"/>
        <item h="1" m="1" x="661"/>
        <item h="1" m="1" x="958"/>
        <item h="1" m="1" x="670"/>
        <item h="1" m="1" x="404"/>
        <item h="1" m="1" x="682"/>
        <item h="1" m="1" x="408"/>
        <item h="1" m="1" x="685"/>
        <item h="1" m="1" x="413"/>
        <item h="1" m="1" x="694"/>
        <item h="1" m="1" x="425"/>
        <item h="1" m="1" x="700"/>
        <item h="1" m="1" x="429"/>
        <item h="1" m="1" x="704"/>
        <item h="1" m="1" x="440"/>
        <item h="1" m="1" x="415"/>
        <item h="1" m="1" x="692"/>
        <item h="1" m="1" x="422"/>
        <item h="1" m="1" x="702"/>
        <item h="1" m="1" x="431"/>
        <item h="1" m="1" x="706"/>
        <item h="1" m="1" x="435"/>
        <item h="1" m="1" x="713"/>
        <item h="1" m="1" x="723"/>
        <item h="1" m="1" x="452"/>
        <item h="1" m="1" x="731"/>
        <item h="1" m="1" x="459"/>
        <item h="1" m="1" x="746"/>
        <item h="1" m="1" x="473"/>
        <item h="1" m="1" x="754"/>
        <item h="1" m="1" x="482"/>
        <item h="1" m="1" x="764"/>
        <item h="1" m="1" x="502"/>
        <item h="1" m="1" x="788"/>
        <item h="1" m="1" x="801"/>
        <item h="1" m="1" x="698"/>
        <item h="1" m="1" x="433"/>
        <item h="1" m="1" x="708"/>
        <item h="1" m="1" x="437"/>
        <item h="1" m="1" x="715"/>
        <item h="1" m="1" x="444"/>
        <item h="1" m="1" x="725"/>
        <item h="1" m="1" x="454"/>
        <item h="1" m="1" x="733"/>
        <item h="1" m="1" x="461"/>
        <item h="1" m="1" x="741"/>
        <item h="1" m="1" x="474"/>
        <item h="1" m="1" x="755"/>
        <item h="1" m="1" x="484"/>
        <item h="1" m="1" x="766"/>
        <item h="1" m="1" x="493"/>
        <item h="1" m="1" x="789"/>
        <item h="1" m="1" x="515"/>
        <item h="1" m="1" x="803"/>
        <item h="1" m="1" x="527"/>
        <item h="1" m="1" x="710"/>
        <item h="1" m="1" x="439"/>
        <item h="1" m="1" x="717"/>
        <item h="1" m="1" x="445"/>
        <item h="1" m="1" x="721"/>
        <item h="1" m="1" x="448"/>
        <item h="1" m="1" x="727"/>
        <item h="1" m="1" x="455"/>
        <item h="1" m="1" x="742"/>
        <item h="1" m="1" x="469"/>
        <item h="1" m="1" x="749"/>
        <item h="1" m="1" x="476"/>
        <item h="1" m="1" x="757"/>
        <item h="1" m="1" x="494"/>
        <item h="1" m="1" x="778"/>
        <item h="1" m="1" x="505"/>
        <item h="1" m="1" x="791"/>
        <item h="1" m="1" x="517"/>
        <item h="1" m="1" x="529"/>
        <item h="1" m="1" x="814"/>
        <item h="1" m="1" x="538"/>
        <item h="1" m="1" x="551"/>
        <item h="1" m="1" x="837"/>
        <item h="1" m="1" x="852"/>
        <item h="1" m="1" x="722"/>
        <item h="1" m="1" x="450"/>
        <item h="1" m="1" x="729"/>
        <item h="1" m="1" x="457"/>
        <item h="1" m="1" x="736"/>
        <item h="1" m="1" x="463"/>
        <item h="1" m="1" x="470"/>
        <item h="1" m="1" x="751"/>
        <item h="1" m="1" x="478"/>
        <item h="1" m="1" x="759"/>
        <item h="1" m="1" x="487"/>
        <item h="1" m="1" x="780"/>
        <item h="1" m="1" x="507"/>
        <item h="1" m="1" x="793"/>
        <item h="1" m="1" x="519"/>
        <item h="1" m="1" x="540"/>
        <item h="1" m="1" x="826"/>
        <item h="1" m="1" x="553"/>
        <item h="1" m="1" x="839"/>
        <item h="1" m="1" x="564"/>
        <item h="1" m="1" x="864"/>
        <item h="1" m="1" x="583"/>
        <item h="1" m="1" x="738"/>
        <item h="1" m="1" x="465"/>
        <item h="1" m="1" x="745"/>
        <item h="1" m="1" x="479"/>
        <item h="1" m="1" x="761"/>
        <item h="1" m="1" x="489"/>
        <item h="1" m="1" x="770"/>
        <item h="1" m="1" x="497"/>
        <item h="1" m="1" x="782"/>
        <item h="1" m="1" x="509"/>
        <item h="1" m="1" x="794"/>
        <item h="1" m="1" x="521"/>
        <item h="1" m="1" x="807"/>
        <item h="1" m="1" x="532"/>
        <item h="1" m="1" x="817"/>
        <item h="1" m="1" x="542"/>
        <item h="1" m="1" x="828"/>
        <item h="1" m="1" x="555"/>
        <item h="1" m="1" x="841"/>
        <item h="1" m="1" x="566"/>
        <item h="1" m="1" x="855"/>
        <item h="1" m="1" x="574"/>
        <item h="1" m="1" x="879"/>
        <item h="1" m="1" x="595"/>
        <item h="1" m="1" x="888"/>
        <item h="1" m="1" x="607"/>
        <item h="1" m="1" x="900"/>
        <item h="1" m="1" x="762"/>
        <item h="1" m="1" x="491"/>
        <item h="1" m="1" x="772"/>
        <item h="1" m="1" x="499"/>
        <item h="1" m="1" x="784"/>
        <item h="1" m="1" x="511"/>
        <item h="1" m="1" x="523"/>
        <item h="1" m="1" x="809"/>
        <item h="1" m="1" x="534"/>
        <item h="1" m="1" x="819"/>
        <item h="1" m="1" x="544"/>
        <item h="1" m="1" x="842"/>
        <item h="1" m="1" x="568"/>
        <item h="1" m="1" x="857"/>
        <item h="1" m="1" x="576"/>
        <item h="1" m="1" x="867"/>
        <item h="1" m="1" x="597"/>
        <item h="1" m="1" x="890"/>
        <item h="1" m="1" x="609"/>
        <item h="1" m="1" x="902"/>
        <item h="1" m="1" x="618"/>
        <item h="1" m="1" x="913"/>
        <item h="1" m="1" x="774"/>
        <item h="1" m="1" x="501"/>
        <item h="1" m="1" x="786"/>
        <item h="1" m="1" x="513"/>
        <item h="1" m="1" x="797"/>
        <item h="1" m="1" x="811"/>
        <item h="1" m="1" x="535"/>
        <item h="1" m="1" x="821"/>
        <item h="1" m="1" x="546"/>
        <item h="1" m="1" x="831"/>
        <item h="1" m="1" x="557"/>
        <item h="1" m="1" x="844"/>
        <item h="1" m="1" x="858"/>
        <item h="1" m="1" x="578"/>
        <item h="1" m="1" x="869"/>
        <item h="1" m="1" x="587"/>
        <item h="1" m="1" x="882"/>
        <item h="1" m="1" x="599"/>
        <item h="1" m="1" x="610"/>
        <item h="1" m="1" x="904"/>
        <item h="1" m="1" x="620"/>
        <item h="1" m="1" x="915"/>
        <item h="1" m="1" x="630"/>
        <item h="1" m="1" x="926"/>
        <item h="1" m="1" x="936"/>
        <item h="1" m="1" x="646"/>
        <item h="1" m="1" x="944"/>
        <item h="1" m="1" x="799"/>
        <item h="1" m="1" x="525"/>
        <item h="1" m="1" x="822"/>
        <item h="1" m="1" x="548"/>
        <item h="1" m="1" x="833"/>
        <item h="1" m="1" x="559"/>
        <item h="1" m="1" x="846"/>
        <item h="1" m="1" x="579"/>
        <item h="1" m="1" x="871"/>
        <item h="1" m="1" x="589"/>
        <item h="1" m="1" x="601"/>
        <item h="1" m="1" x="892"/>
        <item h="1" m="1" x="905"/>
        <item h="1" m="1" x="917"/>
        <item h="1" m="1" x="632"/>
        <item h="1" m="1" x="928"/>
        <item h="1" m="1" x="648"/>
        <item h="1" m="1" x="946"/>
        <item h="1" m="1" x="953"/>
        <item h="1" m="1" x="664"/>
        <item h="1" m="1" x="961"/>
        <item h="1" m="1" x="823"/>
        <item h="1" m="1" x="549"/>
        <item h="1" m="1" x="835"/>
        <item h="1" m="1" x="561"/>
        <item h="1" m="1" x="848"/>
        <item h="1" m="1" x="571"/>
        <item h="1" m="1" x="860"/>
        <item h="1" m="1" x="873"/>
        <item h="1" m="1" x="591"/>
        <item h="1" m="1" x="885"/>
        <item h="1" m="1" x="603"/>
        <item h="1" m="1" x="894"/>
        <item h="1" m="1" x="622"/>
        <item h="1" m="1" x="919"/>
        <item h="1" m="1" x="634"/>
        <item h="1" m="1" x="930"/>
        <item h="1" m="1" x="640"/>
        <item h="1" m="1" x="947"/>
        <item h="1" m="1" x="657"/>
        <item h="1" m="1" x="955"/>
        <item h="1" m="1" x="666"/>
        <item h="1" m="1" x="963"/>
        <item h="1" m="1" x="672"/>
        <item h="1" m="1" x="678"/>
        <item h="1" m="1" x="850"/>
        <item h="1" m="1" x="862"/>
        <item h="1" m="1" x="581"/>
        <item h="1" m="1" x="875"/>
        <item h="1" m="1" x="886"/>
        <item h="1" m="1" x="605"/>
        <item h="1" m="1" x="896"/>
        <item h="1" m="1" x="613"/>
        <item h="1" m="1" x="907"/>
        <item h="1" m="1" x="932"/>
        <item h="1" m="1" x="642"/>
        <item h="1" m="1" x="940"/>
        <item h="1" m="1" x="651"/>
        <item h="1" m="1" x="957"/>
        <item h="1" m="1" x="668"/>
        <item h="1" m="1" x="965"/>
        <item h="1" m="1" x="673"/>
        <item h="1" m="1" x="401"/>
        <item h="1" m="1" x="684"/>
        <item h="1" m="1" x="411"/>
        <item h="1" m="1" x="688"/>
        <item h="1" m="1" x="417"/>
        <item h="1" m="1" x="877"/>
        <item h="1" m="1" x="615"/>
        <item h="1" m="1" x="909"/>
        <item h="1" m="1" x="625"/>
        <item h="1" m="1" x="922"/>
        <item h="1" m="1" x="933"/>
        <item h="1" m="1" x="644"/>
        <item h="1" m="1" x="941"/>
        <item h="1" m="1" x="652"/>
        <item h="1" m="1" x="950"/>
        <item h="1" m="1" x="660"/>
        <item h="1" m="1" x="669"/>
        <item h="1" m="1" x="967"/>
        <item h="1" m="1" x="675"/>
        <item h="1" m="1" x="403"/>
        <item h="1" m="1" x="681"/>
        <item h="1" m="1" x="412"/>
        <item h="1" m="1" x="690"/>
        <item h="1" m="1" x="419"/>
        <item h="1" m="1" x="693"/>
        <item h="1" m="1" x="424"/>
        <item h="1" m="1" x="616"/>
        <item h="1" m="1" x="911"/>
        <item h="1" m="1" x="627"/>
        <item h="1" m="1" x="924"/>
        <item h="1" m="1" x="636"/>
        <item h="1" m="1" x="942"/>
        <item h="1" m="1" x="654"/>
        <item h="1" m="1" x="952"/>
        <item h="1" m="1" x="662"/>
        <item h="1" m="1" x="959"/>
        <item h="1" m="1" x="676"/>
        <item h="1" m="1" x="405"/>
        <item h="1" m="1" x="683"/>
        <item h="1" m="1" x="409"/>
        <item h="1" m="1" x="686"/>
        <item h="1" m="1" x="420"/>
        <item h="1" m="1" x="695"/>
        <item h="1" m="1" x="701"/>
        <item h="1" m="1" x="426"/>
        <item h="1" m="1" x="430"/>
        <item h="1" m="1" x="711"/>
        <item h="1" m="1" x="441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6"/>
        <item h="1" x="185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h="1" x="393"/>
        <item h="1" x="394"/>
        <item h="1" x="395"/>
        <item h="1" x="396"/>
        <item h="1" x="397"/>
        <item h="1" x="398"/>
        <item t="default"/>
      </items>
    </pivotField>
    <pivotField showAll="0"/>
    <pivotField showAll="0"/>
    <pivotField axis="axisCol" outline="0" showAll="0" defaultSubtotal="0">
      <items count="51">
        <item m="1" x="36"/>
        <item m="1" x="39"/>
        <item m="1" x="49"/>
        <item h="1" x="5"/>
        <item m="1" x="38"/>
        <item m="1" x="43"/>
        <item m="1" x="25"/>
        <item m="1" x="24"/>
        <item m="1" x="45"/>
        <item m="1" x="42"/>
        <item m="1" x="50"/>
        <item m="1" x="23"/>
        <item m="1" x="32"/>
        <item m="1" x="47"/>
        <item h="1" m="1" x="31"/>
        <item h="1" m="1" x="35"/>
        <item h="1" m="1" x="34"/>
        <item h="1" m="1" x="44"/>
        <item h="1" m="1" x="33"/>
        <item h="1" m="1" x="22"/>
        <item h="1" m="1" x="41"/>
        <item h="1" m="1" x="37"/>
        <item h="1" m="1" x="48"/>
        <item h="1" m="1" x="21"/>
        <item h="1" m="1" x="27"/>
        <item h="1" m="1" x="46"/>
        <item h="1" m="1" x="26"/>
        <item h="1" m="1" x="30"/>
        <item h="1" m="1" x="29"/>
        <item h="1" m="1" x="40"/>
        <item h="1" m="1" x="28"/>
        <item h="1" x="0"/>
        <item h="1" x="1"/>
        <item h="1" x="2"/>
        <item h="1" x="3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</items>
    </pivotField>
    <pivotField showAll="0"/>
    <pivotField showAll="0"/>
    <pivotField axis="axisRow" outline="0">
      <items count="36">
        <item m="1" x="27"/>
        <item x="1"/>
        <item m="1" x="34"/>
        <item x="5"/>
        <item x="11"/>
        <item m="1" x="32"/>
        <item x="10"/>
        <item m="1" x="28"/>
        <item m="1" x="26"/>
        <item m="1" x="25"/>
        <item m="1" x="29"/>
        <item m="1" x="33"/>
        <item x="17"/>
        <item x="2"/>
        <item x="16"/>
        <item x="4"/>
        <item m="1" x="30"/>
        <item x="8"/>
        <item x="7"/>
        <item m="1" x="31"/>
        <item x="18"/>
        <item h="1" x="19"/>
        <item x="0"/>
        <item x="14"/>
        <item x="12"/>
        <item h="1" x="6"/>
        <item h="1" x="15"/>
        <item h="1" x="22"/>
        <item h="1" x="3"/>
        <item h="1" x="9"/>
        <item h="1" x="13"/>
        <item h="1" x="20"/>
        <item h="1" x="21"/>
        <item h="1" x="23"/>
        <item h="1" x="24"/>
        <item t="default"/>
      </items>
    </pivotField>
    <pivotField showAll="0" defaultSubtotal="0"/>
    <pivotField showAll="0"/>
    <pivotField outline="0" showAll="0"/>
    <pivotField outline="0" showAll="0"/>
    <pivotField showAll="0"/>
    <pivotField axis="axisPage" outline="0" multipleItemSelectionAllowed="1" showAll="0">
      <items count="25">
        <item h="1" m="1" x="16"/>
        <item h="1" m="1" x="7"/>
        <item h="1" m="1" x="14"/>
        <item h="1" m="1" x="22"/>
        <item h="1" m="1" x="4"/>
        <item h="1" m="1" x="17"/>
        <item x="0"/>
        <item h="1" m="1" x="23"/>
        <item h="1" m="1" x="20"/>
        <item h="1" m="1" x="6"/>
        <item h="1" m="1" x="9"/>
        <item h="1" m="1" x="10"/>
        <item h="1" m="1" x="18"/>
        <item h="1" m="1" x="13"/>
        <item h="1" m="1" x="21"/>
        <item h="1" x="2"/>
        <item h="1" m="1" x="8"/>
        <item h="1" x="3"/>
        <item h="1" m="1" x="19"/>
        <item h="1" m="1" x="5"/>
        <item h="1" m="1" x="12"/>
        <item h="1" m="1" x="15"/>
        <item h="1" m="1" x="11"/>
        <item h="1" x="1"/>
        <item t="default"/>
      </items>
    </pivotField>
    <pivotField showAll="0" defaultSubtotal="0"/>
    <pivotField dataField="1"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</pivotFields>
  <rowFields count="1">
    <field x="6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 t="grand">
      <x/>
    </i>
  </rowItems>
  <colFields count="1">
    <field x="3"/>
  </colFields>
  <colItems count="1">
    <i t="grand">
      <x/>
    </i>
  </colItems>
  <pageFields count="2">
    <pageField fld="0" hier="-1"/>
    <pageField fld="12" hier="-1"/>
  </pageFields>
  <dataFields count="1">
    <dataField name="Release For IT" fld="14" subtotal="count" baseField="0" baseItem="0"/>
  </dataFields>
  <chartFormats count="6">
    <chartFormat chart="21" format="4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50">
      <pivotArea type="data" outline="0" fieldPosition="0">
        <references count="3">
          <reference field="4294967294" count="1" selected="0">
            <x v="0"/>
          </reference>
          <reference field="3" count="1" selected="0">
            <x v="12"/>
          </reference>
          <reference field="6" count="1" selected="0">
            <x v="15"/>
          </reference>
        </references>
      </pivotArea>
    </chartFormat>
    <chartFormat chart="29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5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6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9" cacheId="3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31">
  <location ref="Q3:T47" firstHeaderRow="1" firstDataRow="2" firstDataCol="2" rowPageCount="1" colPageCount="1"/>
  <pivotFields count="24">
    <pivotField showAll="0"/>
    <pivotField showAll="0"/>
    <pivotField showAll="0"/>
    <pivotField axis="axisRow" outline="0" showAll="0" defaultSubtotal="0">
      <items count="51">
        <item m="1" x="36"/>
        <item m="1" x="39"/>
        <item m="1" x="49"/>
        <item x="5"/>
        <item m="1" x="38"/>
        <item m="1" x="43"/>
        <item m="1" x="25"/>
        <item m="1" x="24"/>
        <item m="1" x="45"/>
        <item m="1" x="42"/>
        <item m="1" x="50"/>
        <item m="1" x="23"/>
        <item m="1" x="32"/>
        <item m="1" x="47"/>
        <item m="1" x="31"/>
        <item m="1" x="35"/>
        <item m="1" x="34"/>
        <item m="1" x="44"/>
        <item m="1" x="33"/>
        <item m="1" x="22"/>
        <item m="1" x="41"/>
        <item m="1" x="37"/>
        <item m="1" x="48"/>
        <item m="1" x="21"/>
        <item m="1" x="27"/>
        <item m="1" x="46"/>
        <item m="1" x="26"/>
        <item m="1" x="30"/>
        <item m="1" x="29"/>
        <item m="1" x="40"/>
        <item m="1" x="28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showAll="0"/>
    <pivotField showAll="0"/>
    <pivotField outline="0" showAll="0"/>
    <pivotField showAll="0" defaultSubtotal="0"/>
    <pivotField axis="axisPage" showAll="0">
      <items count="30">
        <item m="1" x="24"/>
        <item m="1" x="23"/>
        <item x="2"/>
        <item x="6"/>
        <item m="1" x="26"/>
        <item x="1"/>
        <item x="5"/>
        <item x="9"/>
        <item x="4"/>
        <item m="1" x="27"/>
        <item x="7"/>
        <item x="10"/>
        <item x="14"/>
        <item x="11"/>
        <item x="12"/>
        <item x="8"/>
        <item x="15"/>
        <item m="1" x="28"/>
        <item x="16"/>
        <item m="1" x="25"/>
        <item x="3"/>
        <item x="13"/>
        <item m="1" x="22"/>
        <item x="0"/>
        <item x="17"/>
        <item x="18"/>
        <item x="19"/>
        <item x="20"/>
        <item x="21"/>
        <item t="default"/>
      </items>
    </pivotField>
    <pivotField outline="0" showAll="0"/>
    <pivotField axis="axisRow" outline="0" showAll="0">
      <items count="4">
        <item x="1"/>
        <item x="0"/>
        <item h="1" x="2"/>
        <item t="default"/>
      </items>
    </pivotField>
    <pivotField showAll="0"/>
    <pivotField showAll="0"/>
    <pivotField showAll="0" defaultSubtotal="0"/>
    <pivotField showAll="0"/>
    <pivotField dataField="1" showAll="0" defaultSubtota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</pivotFields>
  <rowFields count="2">
    <field x="10"/>
    <field x="3"/>
  </rowFields>
  <rowItems count="43">
    <i>
      <x/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t="default">
      <x/>
    </i>
    <i>
      <x v="1"/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t="default"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8" hier="-1"/>
  </pageFields>
  <dataFields count="2">
    <dataField name="Total Releases" fld="23" subtotal="count" baseField="3" baseItem="14"/>
    <dataField name="Obsolete Releases" fld="15" subtotal="count" baseField="3" baseItem="14"/>
  </dataFields>
  <chartFormats count="12">
    <chartFormat chart="1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10">
      <pivotArea type="data" outline="0" fieldPosition="0">
        <references count="3">
          <reference field="4294967294" count="1" selected="0">
            <x v="0"/>
          </reference>
          <reference field="3" count="1" selected="0">
            <x v="21"/>
          </reference>
          <reference field="10" count="1" selected="0">
            <x v="1"/>
          </reference>
        </references>
      </pivotArea>
    </chartFormat>
    <chartFormat chart="23" format="11">
      <pivotArea type="data" outline="0" fieldPosition="0">
        <references count="3">
          <reference field="4294967294" count="1" selected="0">
            <x v="1"/>
          </reference>
          <reference field="3" count="1" selected="0">
            <x v="21"/>
          </reference>
          <reference field="10" count="1" selected="0">
            <x v="1"/>
          </reference>
        </references>
      </pivotArea>
    </chartFormat>
    <chartFormat chart="2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19">
  <location ref="I138:J140" firstHeaderRow="1" firstDataRow="2" firstDataCol="1"/>
  <pivotFields count="24">
    <pivotField showAll="0"/>
    <pivotField showAll="0"/>
    <pivotField showAll="0"/>
    <pivotField axis="axisRow" outline="0" showAll="0" defaultSubtotal="0">
      <items count="51">
        <item m="1" x="36"/>
        <item m="1" x="39"/>
        <item m="1" x="49"/>
        <item h="1" x="5"/>
        <item m="1" x="38"/>
        <item m="1" x="43"/>
        <item m="1" x="25"/>
        <item m="1" x="24"/>
        <item m="1" x="45"/>
        <item m="1" x="42"/>
        <item m="1" x="50"/>
        <item m="1" x="23"/>
        <item m="1" x="32"/>
        <item m="1" x="47"/>
        <item m="1" x="31"/>
        <item m="1" x="35"/>
        <item m="1" x="34"/>
        <item m="1" x="44"/>
        <item m="1" x="33"/>
        <item m="1" x="22"/>
        <item m="1" x="41"/>
        <item m="1" x="37"/>
        <item m="1" x="48"/>
        <item m="1" x="21"/>
        <item m="1" x="27"/>
        <item m="1" x="46"/>
        <item m="1" x="26"/>
        <item m="1" x="30"/>
        <item m="1" x="29"/>
        <item h="1" m="1" x="40"/>
        <item h="1" m="1" x="28"/>
        <item h="1" x="0"/>
        <item h="1" x="1"/>
        <item h="1" x="2"/>
        <item h="1" x="3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</items>
    </pivotField>
    <pivotField showAll="0"/>
    <pivotField showAll="0"/>
    <pivotField outline="0" showAll="0"/>
    <pivotField showAll="0" defaultSubtotal="0"/>
    <pivotField showAll="0"/>
    <pivotField outline="0" showAll="0"/>
    <pivotField outline="0" showAll="0"/>
    <pivotField showAll="0"/>
    <pivotField axis="axisCol" dataField="1" outline="0" showAll="0">
      <items count="25">
        <item h="1" m="1" x="16"/>
        <item h="1" m="1" x="7"/>
        <item h="1" m="1" x="14"/>
        <item h="1" m="1" x="22"/>
        <item h="1" m="1" x="4"/>
        <item h="1" m="1" x="17"/>
        <item x="0"/>
        <item h="1" m="1" x="23"/>
        <item h="1" m="1" x="20"/>
        <item h="1" m="1" x="6"/>
        <item h="1" m="1" x="9"/>
        <item h="1" m="1" x="10"/>
        <item h="1" m="1" x="18"/>
        <item h="1" m="1" x="13"/>
        <item h="1" m="1" x="21"/>
        <item h="1" x="2"/>
        <item h="1" m="1" x="8"/>
        <item h="1" x="3"/>
        <item h="1" m="1" x="19"/>
        <item h="1" m="1" x="5"/>
        <item h="1" m="1" x="12"/>
        <item h="1" m="1" x="15"/>
        <item h="1" m="1" x="11"/>
        <item h="1" x="1"/>
        <item t="default"/>
      </items>
    </pivotField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</pivotFields>
  <rowFields count="1">
    <field x="3"/>
  </rowFields>
  <rowItems count="1">
    <i t="grand">
      <x/>
    </i>
  </rowItems>
  <colFields count="1">
    <field x="12"/>
  </colFields>
  <colItems count="1">
    <i t="grand">
      <x/>
    </i>
  </colItems>
  <dataFields count="1">
    <dataField name="Count of Released By" fld="12" subtotal="count" baseField="0" baseItem="0"/>
  </dataField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10" cacheId="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4">
  <location ref="A4:P114" firstHeaderRow="1" firstDataRow="2" firstDataCol="1" rowPageCount="2" colPageCount="1"/>
  <pivotFields count="27">
    <pivotField showAll="0"/>
    <pivotField showAll="0"/>
    <pivotField showAll="0"/>
    <pivotField showAll="0"/>
    <pivotField showAll="0"/>
    <pivotField showAll="0"/>
    <pivotField axis="axisCol" showAll="0">
      <items count="34">
        <item x="1"/>
        <item m="1" x="32"/>
        <item x="5"/>
        <item x="11"/>
        <item m="1" x="30"/>
        <item x="10"/>
        <item m="1" x="26"/>
        <item m="1" x="25"/>
        <item m="1" x="27"/>
        <item m="1" x="31"/>
        <item x="17"/>
        <item x="2"/>
        <item x="0"/>
        <item x="16"/>
        <item x="4"/>
        <item m="1" x="28"/>
        <item x="8"/>
        <item x="7"/>
        <item x="14"/>
        <item m="1" x="29"/>
        <item x="18"/>
        <item x="19"/>
        <item x="12"/>
        <item x="6"/>
        <item x="15"/>
        <item x="22"/>
        <item x="3"/>
        <item x="9"/>
        <item x="13"/>
        <item x="20"/>
        <item x="21"/>
        <item x="23"/>
        <item x="24"/>
        <item t="default"/>
      </items>
    </pivotField>
    <pivotField showAll="0"/>
    <pivotField showAll="0"/>
    <pivotField showAll="0"/>
    <pivotField axis="axisRow" dataField="1" showAll="0">
      <items count="4">
        <item x="1"/>
        <item x="0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6">
        <item x="2"/>
        <item x="0"/>
        <item x="1"/>
        <item x="3"/>
        <item x="4"/>
        <item t="default"/>
      </items>
    </pivotField>
    <pivotField showAll="0"/>
    <pivotField axis="axisRow" showAll="0" sortType="ascending">
      <items count="184">
        <item x="0"/>
        <item x="5"/>
        <item m="1" x="126"/>
        <item m="1" x="124"/>
        <item m="1" x="122"/>
        <item m="1" x="120"/>
        <item m="1" x="118"/>
        <item m="1" x="115"/>
        <item m="1" x="112"/>
        <item m="1" x="108"/>
        <item m="1" x="105"/>
        <item m="1" x="165"/>
        <item m="1" x="163"/>
        <item m="1" x="161"/>
        <item m="1" x="159"/>
        <item m="1" x="157"/>
        <item m="1" x="156"/>
        <item m="1" x="154"/>
        <item m="1" x="152"/>
        <item m="1" x="149"/>
        <item m="1" x="147"/>
        <item m="1" x="94"/>
        <item m="1" x="92"/>
        <item m="1" x="91"/>
        <item m="1" x="90"/>
        <item m="1" x="89"/>
        <item m="1" x="88"/>
        <item m="1" x="87"/>
        <item m="1" x="86"/>
        <item m="1" x="84"/>
        <item m="1" x="82"/>
        <item m="1" x="131"/>
        <item m="1" x="129"/>
        <item m="1" x="127"/>
        <item m="1" x="125"/>
        <item m="1" x="123"/>
        <item m="1" x="121"/>
        <item m="1" x="119"/>
        <item m="1" x="117"/>
        <item m="1" x="114"/>
        <item m="1" x="111"/>
        <item m="1" x="169"/>
        <item m="1" x="167"/>
        <item m="1" x="164"/>
        <item m="1" x="162"/>
        <item m="1" x="160"/>
        <item m="1" x="158"/>
        <item m="1" x="155"/>
        <item m="1" x="153"/>
        <item m="1" x="151"/>
        <item m="1" x="98"/>
        <item m="1" x="96"/>
        <item m="1" x="93"/>
        <item m="1" x="145"/>
        <item m="1" x="143"/>
        <item m="1" x="141"/>
        <item m="1" x="139"/>
        <item m="1" x="137"/>
        <item m="1" x="135"/>
        <item m="1" x="133"/>
        <item m="1" x="130"/>
        <item m="1" x="128"/>
        <item m="1" x="81"/>
        <item m="1" x="79"/>
        <item m="1" x="181"/>
        <item m="1" x="179"/>
        <item m="1" x="177"/>
        <item m="1" x="175"/>
        <item m="1" x="173"/>
        <item m="1" x="171"/>
        <item m="1" x="168"/>
        <item m="1" x="166"/>
        <item m="1" x="110"/>
        <item m="1" x="107"/>
        <item m="1" x="104"/>
        <item m="1" x="103"/>
        <item m="1" x="102"/>
        <item m="1" x="101"/>
        <item m="1" x="100"/>
        <item m="1" x="99"/>
        <item m="1" x="97"/>
        <item m="1" x="95"/>
        <item m="1" x="150"/>
        <item m="1" x="148"/>
        <item m="1" x="146"/>
        <item m="1" x="144"/>
        <item m="1" x="142"/>
        <item m="1" x="140"/>
        <item m="1" x="138"/>
        <item m="1" x="136"/>
        <item m="1" x="134"/>
        <item m="1" x="132"/>
        <item m="1" x="85"/>
        <item m="1" x="83"/>
        <item m="1" x="80"/>
        <item m="1" x="182"/>
        <item m="1" x="180"/>
        <item m="1" x="178"/>
        <item m="1" x="176"/>
        <item m="1" x="174"/>
        <item m="1" x="172"/>
        <item m="1" x="170"/>
        <item m="1" x="116"/>
        <item m="1" x="113"/>
        <item m="1" x="109"/>
        <item m="1" x="106"/>
        <item x="1"/>
        <item x="2"/>
        <item x="3"/>
        <item x="6"/>
        <item x="7"/>
        <item x="9"/>
        <item x="8"/>
        <item x="10"/>
        <item x="11"/>
        <item x="12"/>
        <item x="13"/>
        <item x="16"/>
        <item x="15"/>
        <item x="17"/>
        <item x="18"/>
        <item x="14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60"/>
        <item x="61"/>
        <item x="59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4"/>
        <item t="default"/>
      </items>
    </pivotField>
    <pivotField axis="axisPage" multipleItemSelectionAllowed="1" showAll="0" defaultSubtotal="0">
      <items count="7">
        <item h="1" m="1" x="5"/>
        <item m="1" x="6"/>
        <item h="1" x="0"/>
        <item h="1" x="2"/>
        <item h="1" x="3"/>
        <item x="1"/>
        <item x="4"/>
      </items>
    </pivotField>
  </pivotFields>
  <rowFields count="2">
    <field x="10"/>
    <field x="25"/>
  </rowFields>
  <rowItems count="109">
    <i>
      <x/>
    </i>
    <i r="1">
      <x v="110"/>
    </i>
    <i r="1">
      <x v="112"/>
    </i>
    <i r="1">
      <x v="114"/>
    </i>
    <i r="1">
      <x v="116"/>
    </i>
    <i r="1">
      <x v="117"/>
    </i>
    <i r="1">
      <x v="120"/>
    </i>
    <i r="1">
      <x v="123"/>
    </i>
    <i r="1">
      <x v="124"/>
    </i>
    <i r="1">
      <x v="130"/>
    </i>
    <i r="1">
      <x v="133"/>
    </i>
    <i r="1">
      <x v="135"/>
    </i>
    <i r="1">
      <x v="136"/>
    </i>
    <i r="1">
      <x v="140"/>
    </i>
    <i r="1">
      <x v="143"/>
    </i>
    <i r="1">
      <x v="144"/>
    </i>
    <i r="1">
      <x v="145"/>
    </i>
    <i r="1">
      <x v="146"/>
    </i>
    <i r="1">
      <x v="148"/>
    </i>
    <i r="1">
      <x v="151"/>
    </i>
    <i r="1">
      <x v="152"/>
    </i>
    <i r="1">
      <x v="154"/>
    </i>
    <i r="1">
      <x v="155"/>
    </i>
    <i r="1">
      <x v="158"/>
    </i>
    <i r="1">
      <x v="159"/>
    </i>
    <i r="1">
      <x v="160"/>
    </i>
    <i r="1">
      <x v="161"/>
    </i>
    <i r="1">
      <x v="166"/>
    </i>
    <i r="1">
      <x v="169"/>
    </i>
    <i r="1">
      <x v="170"/>
    </i>
    <i r="1">
      <x v="171"/>
    </i>
    <i r="1">
      <x v="172"/>
    </i>
    <i r="1">
      <x v="173"/>
    </i>
    <i r="1">
      <x v="176"/>
    </i>
    <i r="1">
      <x v="178"/>
    </i>
    <i r="1">
      <x v="179"/>
    </i>
    <i r="1">
      <x v="180"/>
    </i>
    <i r="1">
      <x v="181"/>
    </i>
    <i>
      <x v="1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1"/>
    </i>
    <i r="1">
      <x v="162"/>
    </i>
    <i r="1">
      <x v="163"/>
    </i>
    <i r="1">
      <x v="164"/>
    </i>
    <i r="1">
      <x v="165"/>
    </i>
    <i r="1">
      <x v="167"/>
    </i>
    <i r="1">
      <x v="168"/>
    </i>
    <i r="1">
      <x v="169"/>
    </i>
    <i r="1">
      <x v="170"/>
    </i>
    <i r="1">
      <x v="171"/>
    </i>
    <i r="1">
      <x v="174"/>
    </i>
    <i r="1">
      <x v="175"/>
    </i>
    <i r="1">
      <x v="176"/>
    </i>
    <i r="1">
      <x v="177"/>
    </i>
    <i r="1">
      <x v="178"/>
    </i>
    <i r="1">
      <x v="179"/>
    </i>
    <i t="grand">
      <x/>
    </i>
  </rowItems>
  <colFields count="1">
    <field x="6"/>
  </colFields>
  <colItems count="15">
    <i>
      <x/>
    </i>
    <i>
      <x v="2"/>
    </i>
    <i>
      <x v="5"/>
    </i>
    <i>
      <x v="12"/>
    </i>
    <i>
      <x v="13"/>
    </i>
    <i>
      <x v="14"/>
    </i>
    <i>
      <x v="16"/>
    </i>
    <i>
      <x v="18"/>
    </i>
    <i>
      <x v="22"/>
    </i>
    <i>
      <x v="23"/>
    </i>
    <i>
      <x v="26"/>
    </i>
    <i>
      <x v="29"/>
    </i>
    <i>
      <x v="30"/>
    </i>
    <i>
      <x v="31"/>
    </i>
    <i t="grand">
      <x/>
    </i>
  </colItems>
  <pageFields count="2">
    <pageField fld="23" item="0" hier="-1"/>
    <pageField fld="26" hier="-1"/>
  </pageFields>
  <dataFields count="1">
    <dataField name="Count of Release Type" fld="10" subtotal="count" baseField="0" baseItem="0"/>
  </dataFields>
  <chartFormats count="19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1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1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1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1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1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1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1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1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1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2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21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22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23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24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25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2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27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28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29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30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31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32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33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34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35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36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37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38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39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40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41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42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43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44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45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46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47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48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49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50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51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52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62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6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64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65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66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67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68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0" format="7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0" format="7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0" format="7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9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0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3" format="2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3" format="2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3" format="2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4" format="2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4" format="3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4" format="3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4" format="3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5" format="3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5" format="3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5" format="3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5" format="3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5" format="4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2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2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3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4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4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1" format="1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6"/>
          </reference>
        </references>
      </pivotArea>
    </chartFormat>
    <chartFormat chart="7" format="3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7" format="3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7" format="3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7" format="3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7" format="4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7" format="4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7" format="4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7" format="4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7" format="4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7" format="4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7" format="4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7" format="4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7" format="4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7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2"/>
          </reference>
        </references>
      </pivotArea>
    </chartFormat>
    <chartFormat chart="7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3"/>
          </reference>
        </references>
      </pivotArea>
    </chartFormat>
    <chartFormat chart="7" format="5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4"/>
          </reference>
        </references>
      </pivotArea>
    </chartFormat>
    <chartFormat chart="7" format="5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7" format="5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6"/>
          </reference>
        </references>
      </pivotArea>
    </chartFormat>
    <chartFormat chart="4" format="4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6"/>
          </reference>
        </references>
      </pivotArea>
    </chartFormat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4" format="4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8" format="4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4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4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4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8" format="4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8" format="4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8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8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8" format="5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8" format="5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8" format="5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8" format="5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8" format="5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8" format="5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8" format="5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2"/>
          </reference>
        </references>
      </pivotArea>
    </chartFormat>
    <chartFormat chart="8" format="5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3"/>
          </reference>
        </references>
      </pivotArea>
    </chartFormat>
    <chartFormat chart="8" format="5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4"/>
          </reference>
        </references>
      </pivotArea>
    </chartFormat>
    <chartFormat chart="8" format="6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8" format="6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6"/>
          </reference>
        </references>
      </pivotArea>
    </chartFormat>
    <chartFormat chart="11" format="4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1" format="4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1" format="4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1" format="4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1" format="4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11" format="4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11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11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11" format="5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11" format="5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11" format="5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11" format="5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11" format="5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11" format="5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11" format="5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2"/>
          </reference>
        </references>
      </pivotArea>
    </chartFormat>
    <chartFormat chart="11" format="5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3"/>
          </reference>
        </references>
      </pivotArea>
    </chartFormat>
    <chartFormat chart="11" format="5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4"/>
          </reference>
        </references>
      </pivotArea>
    </chartFormat>
    <chartFormat chart="11" format="6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11" format="6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6"/>
          </reference>
        </references>
      </pivotArea>
    </chartFormat>
    <chartFormat chart="4" format="4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0"/>
          </reference>
        </references>
      </pivotArea>
    </chartFormat>
    <chartFormat chart="1" format="3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0"/>
          </reference>
        </references>
      </pivotArea>
    </chartFormat>
    <chartFormat chart="4" format="4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9"/>
          </reference>
        </references>
      </pivotArea>
    </chartFormat>
    <chartFormat chart="4" format="4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1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9"/>
          </reference>
        </references>
      </pivotArea>
    </chartFormat>
    <chartFormat chart="1" format="4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mergeItem="1" createdVersion="4" indent="0" compact="0" compactData="0" gridDropZones="1" multipleFieldFilters="0">
  <location ref="A3:AD82" firstHeaderRow="1" firstDataRow="2" firstDataCol="3" rowPageCount="1" colPageCount="1"/>
  <pivotFields count="6">
    <pivotField axis="axisRow" compact="0" outline="0" showAll="0" defaultSubtotal="0">
      <items count="26">
        <item x="1"/>
        <item x="14"/>
        <item x="2"/>
        <item x="3"/>
        <item x="15"/>
        <item x="20"/>
        <item x="4"/>
        <item x="5"/>
        <item m="1" x="23"/>
        <item m="1" x="25"/>
        <item m="1" x="21"/>
        <item x="6"/>
        <item n="NETMIND-WFS" m="1" x="24"/>
        <item n="NETMIND-CS" m="1" x="22"/>
        <item x="7"/>
        <item x="8"/>
        <item x="10"/>
        <item x="0"/>
        <item x="11"/>
        <item x="12"/>
        <item x="16"/>
        <item x="18"/>
        <item x="17"/>
        <item x="19"/>
        <item x="9"/>
        <item x="13"/>
      </items>
    </pivotField>
    <pivotField axis="axisRow" compact="0" outline="0" showAll="0" defaultSubtotal="0">
      <items count="61">
        <item x="5"/>
        <item x="0"/>
        <item x="15"/>
        <item x="6"/>
        <item x="32"/>
        <item x="7"/>
        <item x="33"/>
        <item x="34"/>
        <item x="35"/>
        <item x="37"/>
        <item x="38"/>
        <item x="40"/>
        <item x="41"/>
        <item x="1"/>
        <item x="19"/>
        <item x="2"/>
        <item m="1" x="49"/>
        <item x="20"/>
        <item x="21"/>
        <item x="8"/>
        <item x="3"/>
        <item x="46"/>
        <item x="22"/>
        <item x="11"/>
        <item x="4"/>
        <item x="30"/>
        <item x="23"/>
        <item m="1" x="48"/>
        <item x="24"/>
        <item x="14"/>
        <item m="1" x="60"/>
        <item x="12"/>
        <item x="13"/>
        <item x="31"/>
        <item m="1" x="47"/>
        <item x="25"/>
        <item m="1" x="52"/>
        <item m="1" x="58"/>
        <item m="1" x="59"/>
        <item m="1" x="51"/>
        <item m="1" x="50"/>
        <item m="1" x="56"/>
        <item x="36"/>
        <item m="1" x="53"/>
        <item x="10"/>
        <item x="16"/>
        <item m="1" x="54"/>
        <item x="26"/>
        <item x="27"/>
        <item m="1" x="55"/>
        <item x="28"/>
        <item x="42"/>
        <item x="45"/>
        <item x="17"/>
        <item x="18"/>
        <item m="1" x="57"/>
        <item x="29"/>
        <item x="43"/>
        <item x="9"/>
        <item x="39"/>
        <item x="44"/>
      </items>
    </pivotField>
    <pivotField name="Comp" axis="axisRow" compact="0" outline="0" showAll="0" defaultSubtotal="0">
      <items count="6">
        <item x="0"/>
        <item x="1"/>
        <item x="2"/>
        <item x="3"/>
        <item h="1" m="1" x="4"/>
        <item h="1" m="1" x="5"/>
      </items>
    </pivotField>
    <pivotField name="Cust" axis="axisCol" compact="0" outline="0" showAll="0" defaultSubtotal="0">
      <items count="31">
        <item x="12"/>
        <item x="22"/>
        <item x="5"/>
        <item x="23"/>
        <item x="13"/>
        <item x="14"/>
        <item x="21"/>
        <item x="6"/>
        <item x="11"/>
        <item x="16"/>
        <item x="7"/>
        <item x="17"/>
        <item x="8"/>
        <item x="9"/>
        <item m="1" x="30"/>
        <item x="0"/>
        <item x="4"/>
        <item m="1" x="28"/>
        <item x="1"/>
        <item m="1" x="27"/>
        <item x="19"/>
        <item x="10"/>
        <item x="15"/>
        <item x="26"/>
        <item m="1" x="29"/>
        <item x="2"/>
        <item x="3"/>
        <item x="18"/>
        <item x="20"/>
        <item x="24"/>
        <item x="25"/>
      </items>
    </pivotField>
    <pivotField axis="axisPage" compact="0" outline="0" showAll="0" defaultSubtotal="0">
      <items count="2">
        <item x="0"/>
        <item m="1" x="1"/>
      </items>
    </pivotField>
    <pivotField dataField="1" compact="0" outline="0" showAll="0" defaultSubtotal="0"/>
  </pivotFields>
  <rowFields count="3">
    <field x="0"/>
    <field x="1"/>
    <field x="2"/>
  </rowFields>
  <rowItems count="78">
    <i>
      <x/>
      <x v="13"/>
      <x v="1"/>
    </i>
    <i r="1">
      <x v="14"/>
      <x v="2"/>
    </i>
    <i r="1">
      <x v="15"/>
      <x v="1"/>
    </i>
    <i r="1">
      <x v="17"/>
      <x v="2"/>
    </i>
    <i r="1">
      <x v="18"/>
      <x v="2"/>
    </i>
    <i r="1">
      <x v="20"/>
      <x v="1"/>
    </i>
    <i r="2">
      <x v="2"/>
    </i>
    <i r="1">
      <x v="22"/>
      <x v="2"/>
    </i>
    <i r="1">
      <x v="24"/>
      <x v="1"/>
    </i>
    <i r="1">
      <x v="25"/>
      <x v="2"/>
    </i>
    <i r="1">
      <x v="26"/>
      <x v="2"/>
    </i>
    <i r="1">
      <x v="28"/>
      <x v="2"/>
    </i>
    <i r="1">
      <x v="35"/>
      <x v="2"/>
    </i>
    <i r="1">
      <x v="47"/>
      <x v="2"/>
    </i>
    <i r="1">
      <x v="48"/>
      <x v="2"/>
    </i>
    <i r="1">
      <x v="50"/>
      <x v="2"/>
    </i>
    <i r="1">
      <x v="56"/>
      <x v="2"/>
    </i>
    <i>
      <x v="1"/>
      <x/>
      <x v="2"/>
    </i>
    <i>
      <x v="2"/>
      <x/>
      <x v="1"/>
    </i>
    <i>
      <x v="3"/>
      <x/>
      <x v="1"/>
    </i>
    <i r="1">
      <x v="3"/>
      <x v="1"/>
    </i>
    <i r="1">
      <x v="5"/>
      <x v="1"/>
    </i>
    <i>
      <x v="4"/>
      <x v="33"/>
      <x v="2"/>
    </i>
    <i>
      <x v="5"/>
      <x v="3"/>
      <x v="3"/>
    </i>
    <i r="1">
      <x v="5"/>
      <x v="3"/>
    </i>
    <i r="1">
      <x v="15"/>
      <x v="3"/>
    </i>
    <i r="1">
      <x v="20"/>
      <x v="3"/>
    </i>
    <i r="1">
      <x v="21"/>
      <x v="3"/>
    </i>
    <i>
      <x v="6"/>
      <x/>
      <x v="1"/>
    </i>
    <i r="2">
      <x v="2"/>
    </i>
    <i>
      <x v="7"/>
      <x v="19"/>
      <x v="1"/>
    </i>
    <i r="1">
      <x v="23"/>
      <x v="1"/>
    </i>
    <i r="1">
      <x v="29"/>
      <x v="1"/>
    </i>
    <i r="1">
      <x v="31"/>
      <x v="1"/>
    </i>
    <i r="1">
      <x v="32"/>
      <x v="1"/>
    </i>
    <i r="1">
      <x v="44"/>
      <x v="1"/>
    </i>
    <i r="1">
      <x v="58"/>
      <x v="1"/>
    </i>
    <i>
      <x v="11"/>
      <x/>
      <x v="1"/>
    </i>
    <i r="2">
      <x v="2"/>
    </i>
    <i r="1">
      <x v="2"/>
      <x v="1"/>
    </i>
    <i r="1">
      <x v="45"/>
      <x v="1"/>
    </i>
    <i>
      <x v="14"/>
      <x/>
      <x v="1"/>
    </i>
    <i r="2">
      <x v="2"/>
    </i>
    <i r="1">
      <x v="3"/>
      <x v="1"/>
    </i>
    <i>
      <x v="15"/>
      <x/>
      <x v="1"/>
    </i>
    <i r="1">
      <x v="3"/>
      <x v="1"/>
    </i>
    <i r="1">
      <x v="5"/>
      <x v="1"/>
    </i>
    <i r="1">
      <x v="54"/>
      <x v="1"/>
    </i>
    <i>
      <x v="16"/>
      <x v="3"/>
      <x v="2"/>
    </i>
    <i r="1">
      <x v="5"/>
      <x v="1"/>
    </i>
    <i>
      <x v="17"/>
      <x v="1"/>
      <x/>
    </i>
    <i r="2">
      <x v="1"/>
    </i>
    <i>
      <x v="18"/>
      <x v="3"/>
      <x v="1"/>
    </i>
    <i r="2">
      <x v="2"/>
    </i>
    <i>
      <x v="19"/>
      <x/>
      <x v="1"/>
    </i>
    <i r="1">
      <x v="3"/>
      <x v="2"/>
    </i>
    <i>
      <x v="20"/>
      <x v="29"/>
      <x v="2"/>
    </i>
    <i>
      <x v="21"/>
      <x v="4"/>
      <x v="2"/>
    </i>
    <i r="1">
      <x v="10"/>
      <x v="2"/>
    </i>
    <i r="1">
      <x v="11"/>
      <x v="2"/>
    </i>
    <i r="1">
      <x v="12"/>
      <x v="2"/>
    </i>
    <i r="1">
      <x v="51"/>
      <x v="2"/>
    </i>
    <i r="1">
      <x v="57"/>
      <x v="2"/>
    </i>
    <i r="1">
      <x v="60"/>
      <x v="2"/>
    </i>
    <i>
      <x v="22"/>
      <x v="4"/>
      <x v="2"/>
    </i>
    <i r="1">
      <x v="6"/>
      <x v="2"/>
    </i>
    <i r="1">
      <x v="7"/>
      <x v="2"/>
    </i>
    <i r="1">
      <x v="8"/>
      <x v="2"/>
    </i>
    <i r="1">
      <x v="9"/>
      <x v="2"/>
    </i>
    <i r="1">
      <x v="10"/>
      <x v="2"/>
    </i>
    <i r="1">
      <x v="11"/>
      <x v="2"/>
    </i>
    <i r="1">
      <x v="12"/>
      <x v="2"/>
    </i>
    <i r="1">
      <x v="42"/>
      <x v="2"/>
    </i>
    <i r="1">
      <x v="59"/>
      <x v="2"/>
    </i>
    <i>
      <x v="23"/>
      <x v="52"/>
      <x v="2"/>
    </i>
    <i>
      <x v="24"/>
      <x v="53"/>
      <x v="2"/>
    </i>
    <i>
      <x v="25"/>
      <x/>
      <x v="1"/>
    </i>
    <i r="2">
      <x v="2"/>
    </i>
  </rowItems>
  <colFields count="1">
    <field x="3"/>
  </colFields>
  <col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>
      <x v="18"/>
    </i>
    <i>
      <x v="20"/>
    </i>
    <i>
      <x v="21"/>
    </i>
    <i>
      <x v="22"/>
    </i>
    <i>
      <x v="23"/>
    </i>
    <i>
      <x v="25"/>
    </i>
    <i>
      <x v="26"/>
    </i>
    <i>
      <x v="27"/>
    </i>
    <i>
      <x v="28"/>
    </i>
    <i>
      <x v="29"/>
    </i>
    <i>
      <x v="30"/>
    </i>
  </colItems>
  <pageFields count="1">
    <pageField fld="4" hier="-1"/>
  </pageFields>
  <dataFields count="1">
    <dataField name="Sum of Rating" fld="5" baseField="3" baseItem="1"/>
  </dataFields>
  <formats count="88">
    <format dxfId="578">
      <pivotArea type="topRight" dataOnly="0" labelOnly="1" outline="0" fieldPosition="0"/>
    </format>
    <format dxfId="577">
      <pivotArea dataOnly="0" labelOnly="1" outline="0" fieldPosition="0">
        <references count="1">
          <reference field="3" count="19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</reference>
        </references>
      </pivotArea>
    </format>
    <format dxfId="576">
      <pivotArea dataOnly="0" labelOnly="1" grandCol="1" outline="0" fieldPosition="0"/>
    </format>
    <format dxfId="575">
      <pivotArea outline="0" collapsedLevelsAreSubtotals="1" fieldPosition="0"/>
    </format>
    <format dxfId="574">
      <pivotArea field="0" type="button" dataOnly="0" labelOnly="1" outline="0" axis="axisRow" fieldPosition="0"/>
    </format>
    <format dxfId="573">
      <pivotArea field="1" type="button" dataOnly="0" labelOnly="1" outline="0" axis="axisRow" fieldPosition="1"/>
    </format>
    <format dxfId="572">
      <pivotArea field="2" type="button" dataOnly="0" labelOnly="1" outline="0" axis="axisRow" fieldPosition="2"/>
    </format>
    <format dxfId="571">
      <pivotArea dataOnly="0" labelOnly="1" outline="0" fieldPosition="0">
        <references count="1">
          <reference field="0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570">
      <pivotArea dataOnly="0" labelOnly="1" grandRow="1" outline="0" fieldPosition="0"/>
    </format>
    <format dxfId="569">
      <pivotArea dataOnly="0" labelOnly="1" outline="0" fieldPosition="0">
        <references count="2">
          <reference field="0" count="1" selected="0">
            <x v="0"/>
          </reference>
          <reference field="1" count="11">
            <x v="13"/>
            <x v="14"/>
            <x v="15"/>
            <x v="16"/>
            <x v="18"/>
            <x v="20"/>
            <x v="22"/>
            <x v="24"/>
            <x v="26"/>
            <x v="27"/>
            <x v="28"/>
          </reference>
        </references>
      </pivotArea>
    </format>
    <format dxfId="568">
      <pivotArea dataOnly="0" labelOnly="1" outline="0" fieldPosition="0">
        <references count="2">
          <reference field="0" count="1" selected="0">
            <x v="1"/>
          </reference>
          <reference field="1" count="3">
            <x v="0"/>
            <x v="3"/>
            <x v="5"/>
          </reference>
        </references>
      </pivotArea>
    </format>
    <format dxfId="567">
      <pivotArea dataOnly="0" labelOnly="1" outline="0" fieldPosition="0">
        <references count="2">
          <reference field="0" count="1" selected="0">
            <x v="4"/>
          </reference>
          <reference field="1" count="1">
            <x v="33"/>
          </reference>
        </references>
      </pivotArea>
    </format>
    <format dxfId="566">
      <pivotArea dataOnly="0" labelOnly="1" outline="0" fieldPosition="0">
        <references count="2">
          <reference field="0" count="1" selected="0">
            <x v="5"/>
          </reference>
          <reference field="1" count="6">
            <x v="0"/>
            <x v="3"/>
            <x v="5"/>
            <x v="15"/>
            <x v="20"/>
            <x v="21"/>
          </reference>
        </references>
      </pivotArea>
    </format>
    <format dxfId="565">
      <pivotArea dataOnly="0" labelOnly="1" outline="0" fieldPosition="0">
        <references count="2">
          <reference field="0" count="1" selected="0">
            <x v="6"/>
          </reference>
          <reference field="1" count="1">
            <x v="0"/>
          </reference>
        </references>
      </pivotArea>
    </format>
    <format dxfId="564">
      <pivotArea dataOnly="0" labelOnly="1" outline="0" fieldPosition="0">
        <references count="2">
          <reference field="0" count="1" selected="0">
            <x v="7"/>
          </reference>
          <reference field="1" count="2">
            <x v="31"/>
            <x v="32"/>
          </reference>
        </references>
      </pivotArea>
    </format>
    <format dxfId="563">
      <pivotArea dataOnly="0" labelOnly="1" outline="0" fieldPosition="0">
        <references count="2">
          <reference field="0" count="1" selected="0">
            <x v="8"/>
          </reference>
          <reference field="1" count="1">
            <x v="19"/>
          </reference>
        </references>
      </pivotArea>
    </format>
    <format dxfId="562">
      <pivotArea dataOnly="0" labelOnly="1" outline="0" fieldPosition="0">
        <references count="2">
          <reference field="0" count="1" selected="0">
            <x v="9"/>
          </reference>
          <reference field="1" count="1">
            <x v="23"/>
          </reference>
        </references>
      </pivotArea>
    </format>
    <format dxfId="561">
      <pivotArea dataOnly="0" labelOnly="1" outline="0" fieldPosition="0">
        <references count="2">
          <reference field="0" count="1" selected="0">
            <x v="10"/>
          </reference>
          <reference field="1" count="1">
            <x v="30"/>
          </reference>
        </references>
      </pivotArea>
    </format>
    <format dxfId="560">
      <pivotArea dataOnly="0" labelOnly="1" outline="0" fieldPosition="0">
        <references count="2">
          <reference field="0" count="1" selected="0">
            <x v="11"/>
          </reference>
          <reference field="1" count="2">
            <x v="0"/>
            <x v="2"/>
          </reference>
        </references>
      </pivotArea>
    </format>
    <format dxfId="559">
      <pivotArea dataOnly="0" labelOnly="1" outline="0" fieldPosition="0">
        <references count="2">
          <reference field="0" count="1" selected="0">
            <x v="12"/>
          </reference>
          <reference field="1" count="5">
            <x v="4"/>
            <x v="6"/>
            <x v="7"/>
            <x v="8"/>
            <x v="9"/>
          </reference>
        </references>
      </pivotArea>
    </format>
    <format dxfId="558">
      <pivotArea dataOnly="0" labelOnly="1" outline="0" fieldPosition="0">
        <references count="2">
          <reference field="0" count="1" selected="0">
            <x v="13"/>
          </reference>
          <reference field="1" count="3">
            <x v="4"/>
            <x v="11"/>
            <x v="12"/>
          </reference>
        </references>
      </pivotArea>
    </format>
    <format dxfId="557">
      <pivotArea dataOnly="0" labelOnly="1" outline="0" fieldPosition="0">
        <references count="2">
          <reference field="0" count="1" selected="0">
            <x v="14"/>
          </reference>
          <reference field="1" count="3">
            <x v="0"/>
            <x v="3"/>
            <x v="5"/>
          </reference>
        </references>
      </pivotArea>
    </format>
    <format dxfId="556">
      <pivotArea dataOnly="0" labelOnly="1" outline="0" fieldPosition="0">
        <references count="2">
          <reference field="0" count="1" selected="0">
            <x v="17"/>
          </reference>
          <reference field="1" count="1">
            <x v="1"/>
          </reference>
        </references>
      </pivotArea>
    </format>
    <format dxfId="555">
      <pivotArea dataOnly="0" labelOnly="1" outline="0" fieldPosition="0">
        <references count="2">
          <reference field="0" count="1" selected="0">
            <x v="18"/>
          </reference>
          <reference field="1" count="1">
            <x v="3"/>
          </reference>
        </references>
      </pivotArea>
    </format>
    <format dxfId="554">
      <pivotArea dataOnly="0" labelOnly="1" outline="0" fieldPosition="0">
        <references count="2">
          <reference field="0" count="1" selected="0">
            <x v="19"/>
          </reference>
          <reference field="1" count="2">
            <x v="0"/>
            <x v="3"/>
          </reference>
        </references>
      </pivotArea>
    </format>
    <format dxfId="553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3"/>
          </reference>
          <reference field="2" count="2">
            <x v="1"/>
            <x v="2"/>
          </reference>
        </references>
      </pivotArea>
    </format>
    <format dxfId="552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4"/>
          </reference>
          <reference field="2" count="1">
            <x v="2"/>
          </reference>
        </references>
      </pivotArea>
    </format>
    <format dxfId="551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5"/>
          </reference>
          <reference field="2" count="1">
            <x v="1"/>
          </reference>
        </references>
      </pivotArea>
    </format>
    <format dxfId="55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6"/>
          </reference>
          <reference field="2" count="1">
            <x v="2"/>
          </reference>
        </references>
      </pivotArea>
    </format>
    <format dxfId="54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8"/>
          </reference>
          <reference field="2" count="1">
            <x v="2"/>
          </reference>
        </references>
      </pivotArea>
    </format>
    <format dxfId="548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0"/>
          </reference>
          <reference field="2" count="2">
            <x v="1"/>
            <x v="2"/>
          </reference>
        </references>
      </pivotArea>
    </format>
    <format dxfId="547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2"/>
          </reference>
          <reference field="2" count="1">
            <x v="2"/>
          </reference>
        </references>
      </pivotArea>
    </format>
    <format dxfId="54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4"/>
          </reference>
          <reference field="2" count="1">
            <x v="1"/>
          </reference>
        </references>
      </pivotArea>
    </format>
    <format dxfId="545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6"/>
          </reference>
          <reference field="2" count="1">
            <x v="2"/>
          </reference>
        </references>
      </pivotArea>
    </format>
    <format dxfId="544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7"/>
          </reference>
          <reference field="2" count="1">
            <x v="2"/>
          </reference>
        </references>
      </pivotArea>
    </format>
    <format dxfId="543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8"/>
          </reference>
          <reference field="2" count="1">
            <x v="2"/>
          </reference>
        </references>
      </pivotArea>
    </format>
    <format dxfId="542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0"/>
          </reference>
          <reference field="2" count="1">
            <x v="2"/>
          </reference>
        </references>
      </pivotArea>
    </format>
    <format dxfId="541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0"/>
          </reference>
          <reference field="2" count="1">
            <x v="1"/>
          </reference>
        </references>
      </pivotArea>
    </format>
    <format dxfId="540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0"/>
          </reference>
          <reference field="2" count="1">
            <x v="1"/>
          </reference>
        </references>
      </pivotArea>
    </format>
    <format dxfId="539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"/>
          </reference>
          <reference field="2" count="1">
            <x v="1"/>
          </reference>
        </references>
      </pivotArea>
    </format>
    <format dxfId="538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5"/>
          </reference>
          <reference field="2" count="1">
            <x v="1"/>
          </reference>
        </references>
      </pivotArea>
    </format>
    <format dxfId="537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3"/>
          </reference>
          <reference field="2" count="1">
            <x v="2"/>
          </reference>
        </references>
      </pivotArea>
    </format>
    <format dxfId="53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0"/>
          </reference>
          <reference field="2" count="1">
            <x v="3"/>
          </reference>
        </references>
      </pivotArea>
    </format>
    <format dxfId="53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"/>
          </reference>
          <reference field="2" count="1">
            <x v="3"/>
          </reference>
        </references>
      </pivotArea>
    </format>
    <format dxfId="53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"/>
          </reference>
          <reference field="2" count="1">
            <x v="3"/>
          </reference>
        </references>
      </pivotArea>
    </format>
    <format dxfId="53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5"/>
          </reference>
          <reference field="2" count="1">
            <x v="3"/>
          </reference>
        </references>
      </pivotArea>
    </format>
    <format dxfId="53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0"/>
          </reference>
          <reference field="2" count="1">
            <x v="3"/>
          </reference>
        </references>
      </pivotArea>
    </format>
    <format dxfId="53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1"/>
          </reference>
          <reference field="2" count="1">
            <x v="3"/>
          </reference>
        </references>
      </pivotArea>
    </format>
    <format dxfId="530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0"/>
          </reference>
          <reference field="2" count="2">
            <x v="1"/>
            <x v="2"/>
          </reference>
        </references>
      </pivotArea>
    </format>
    <format dxfId="529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31"/>
          </reference>
          <reference field="2" count="1">
            <x v="1"/>
          </reference>
        </references>
      </pivotArea>
    </format>
    <format dxfId="528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32"/>
          </reference>
          <reference field="2" count="1">
            <x v="1"/>
          </reference>
        </references>
      </pivotArea>
    </format>
    <format dxfId="527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19"/>
          </reference>
          <reference field="2" count="1">
            <x v="1"/>
          </reference>
        </references>
      </pivotArea>
    </format>
    <format dxfId="526">
      <pivotArea dataOnly="0" labelOnly="1" outline="0" fieldPosition="0">
        <references count="3">
          <reference field="0" count="1" selected="0">
            <x v="9"/>
          </reference>
          <reference field="1" count="1" selected="0">
            <x v="23"/>
          </reference>
          <reference field="2" count="1">
            <x v="1"/>
          </reference>
        </references>
      </pivotArea>
    </format>
    <format dxfId="525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30"/>
          </reference>
          <reference field="2" count="2">
            <x v="1"/>
            <x v="2"/>
          </reference>
        </references>
      </pivotArea>
    </format>
    <format dxfId="524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0"/>
          </reference>
          <reference field="2" count="2">
            <x v="1"/>
            <x v="2"/>
          </reference>
        </references>
      </pivotArea>
    </format>
    <format dxfId="523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2"/>
          </reference>
          <reference field="2" count="1">
            <x v="1"/>
          </reference>
        </references>
      </pivotArea>
    </format>
    <format dxfId="522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4"/>
          </reference>
          <reference field="2" count="1">
            <x v="2"/>
          </reference>
        </references>
      </pivotArea>
    </format>
    <format dxfId="521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6"/>
          </reference>
          <reference field="2" count="1">
            <x v="2"/>
          </reference>
        </references>
      </pivotArea>
    </format>
    <format dxfId="520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7"/>
          </reference>
          <reference field="2" count="1">
            <x v="2"/>
          </reference>
        </references>
      </pivotArea>
    </format>
    <format dxfId="519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8"/>
          </reference>
          <reference field="2" count="1">
            <x v="2"/>
          </reference>
        </references>
      </pivotArea>
    </format>
    <format dxfId="518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9"/>
          </reference>
          <reference field="2" count="1">
            <x v="2"/>
          </reference>
        </references>
      </pivotArea>
    </format>
    <format dxfId="517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4"/>
          </reference>
          <reference field="2" count="1">
            <x v="2"/>
          </reference>
        </references>
      </pivotArea>
    </format>
    <format dxfId="516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11"/>
          </reference>
          <reference field="2" count="1">
            <x v="2"/>
          </reference>
        </references>
      </pivotArea>
    </format>
    <format dxfId="515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12"/>
          </reference>
          <reference field="2" count="1">
            <x v="2"/>
          </reference>
        </references>
      </pivotArea>
    </format>
    <format dxfId="514">
      <pivotArea dataOnly="0" labelOnly="1" outline="0" fieldPosition="0">
        <references count="3">
          <reference field="0" count="1" selected="0">
            <x v="14"/>
          </reference>
          <reference field="1" count="1" selected="0">
            <x v="0"/>
          </reference>
          <reference field="2" count="2">
            <x v="1"/>
            <x v="2"/>
          </reference>
        </references>
      </pivotArea>
    </format>
    <format dxfId="513">
      <pivotArea dataOnly="0" labelOnly="1" outline="0" fieldPosition="0">
        <references count="3">
          <reference field="0" count="1" selected="0">
            <x v="15"/>
          </reference>
          <reference field="1" count="1" selected="0">
            <x v="0"/>
          </reference>
          <reference field="2" count="1">
            <x v="1"/>
          </reference>
        </references>
      </pivotArea>
    </format>
    <format dxfId="512">
      <pivotArea dataOnly="0" labelOnly="1" outline="0" fieldPosition="0">
        <references count="3">
          <reference field="0" count="1" selected="0">
            <x v="15"/>
          </reference>
          <reference field="1" count="1" selected="0">
            <x v="3"/>
          </reference>
          <reference field="2" count="1">
            <x v="1"/>
          </reference>
        </references>
      </pivotArea>
    </format>
    <format dxfId="511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3"/>
          </reference>
          <reference field="2" count="1">
            <x v="2"/>
          </reference>
        </references>
      </pivotArea>
    </format>
    <format dxfId="510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5"/>
          </reference>
          <reference field="2" count="1">
            <x v="1"/>
          </reference>
        </references>
      </pivotArea>
    </format>
    <format dxfId="509">
      <pivotArea dataOnly="0" labelOnly="1" outline="0" fieldPosition="0">
        <references count="3">
          <reference field="0" count="1" selected="0">
            <x v="17"/>
          </reference>
          <reference field="1" count="1" selected="0">
            <x v="1"/>
          </reference>
          <reference field="2" count="2">
            <x v="0"/>
            <x v="1"/>
          </reference>
        </references>
      </pivotArea>
    </format>
    <format dxfId="508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3"/>
          </reference>
          <reference field="2" count="2">
            <x v="1"/>
            <x v="2"/>
          </reference>
        </references>
      </pivotArea>
    </format>
    <format dxfId="507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0"/>
          </reference>
          <reference field="2" count="1">
            <x v="1"/>
          </reference>
        </references>
      </pivotArea>
    </format>
    <format dxfId="506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3"/>
          </reference>
          <reference field="2" count="1">
            <x v="2"/>
          </reference>
        </references>
      </pivotArea>
    </format>
    <format dxfId="505">
      <pivotArea dataOnly="0" labelOnly="1" outline="0" fieldPosition="0">
        <references count="1">
          <reference field="3" count="19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</reference>
        </references>
      </pivotArea>
    </format>
    <format dxfId="504">
      <pivotArea dataOnly="0" labelOnly="1" grandCol="1" outline="0" fieldPosition="0"/>
    </format>
    <format dxfId="503">
      <pivotArea field="4" type="button" dataOnly="0" labelOnly="1" outline="0" axis="axisPage" fieldPosition="0"/>
    </format>
    <format dxfId="502">
      <pivotArea dataOnly="0" labelOnly="1" grandRow="1" outline="0" fieldPosition="0"/>
    </format>
    <format dxfId="501">
      <pivotArea field="4" type="button" dataOnly="0" labelOnly="1" outline="0" axis="axisPage" fieldPosition="0"/>
    </format>
    <format dxfId="500">
      <pivotArea dataOnly="0" labelOnly="1" outline="0" fieldPosition="0">
        <references count="1">
          <reference field="4" count="1">
            <x v="0"/>
          </reference>
        </references>
      </pivotArea>
    </format>
    <format dxfId="499">
      <pivotArea dataOnly="0" labelOnly="1" outline="0" fieldPosition="0">
        <references count="2">
          <reference field="0" count="1" selected="0">
            <x v="14"/>
          </reference>
          <reference field="1" count="1">
            <x v="0"/>
          </reference>
        </references>
      </pivotArea>
    </format>
    <format dxfId="498">
      <pivotArea dataOnly="0" labelOnly="1" outline="0" fieldPosition="0">
        <references count="2">
          <reference field="0" count="1" selected="0">
            <x v="15"/>
          </reference>
          <reference field="1" count="1">
            <x v="3"/>
          </reference>
        </references>
      </pivotArea>
    </format>
    <format dxfId="497">
      <pivotArea dataOnly="0" labelOnly="1" outline="0" fieldPosition="0">
        <references count="2">
          <reference field="0" count="1" selected="0">
            <x v="1"/>
          </reference>
          <reference field="1" count="1">
            <x v="0"/>
          </reference>
        </references>
      </pivotArea>
    </format>
    <format dxfId="496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495">
      <pivotArea dataOnly="0" labelOnly="1" outline="0" fieldPosition="0">
        <references count="2">
          <reference field="0" count="1" selected="0">
            <x v="3"/>
          </reference>
          <reference field="1" count="1">
            <x v="5"/>
          </reference>
        </references>
      </pivotArea>
    </format>
    <format dxfId="494">
      <pivotArea field="4" type="button" dataOnly="0" labelOnly="1" outline="0" axis="axisPage" fieldPosition="0"/>
    </format>
    <format dxfId="493">
      <pivotArea type="origin" dataOnly="0" labelOnly="1" outline="0" fieldPosition="0"/>
    </format>
    <format dxfId="492">
      <pivotArea field="0" type="button" dataOnly="0" labelOnly="1" outline="0" axis="axisRow" fieldPosition="0"/>
    </format>
    <format dxfId="491">
      <pivotArea dataOnly="0" labelOnly="1" outline="0" fieldPosition="0">
        <references count="1">
          <reference field="0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</formats>
  <conditionalFormats count="2">
    <conditionalFormat priority="17">
      <pivotAreas count="1">
        <pivotArea type="data" outline="0" collapsedLevelsAreSubtotals="1" fieldPosition="0">
          <references count="5">
            <reference field="4294967294" count="1" selected="0">
              <x v="0"/>
            </reference>
            <reference field="0" count="1" selected="0">
              <x v="6"/>
            </reference>
            <reference field="1" count="1" selected="0">
              <x v="0"/>
            </reference>
            <reference field="2" count="1" selected="0">
              <x v="2"/>
            </reference>
            <reference field="3" count="1" selected="0">
              <x v="8"/>
            </reference>
          </references>
        </pivotArea>
      </pivotAreas>
    </conditionalFormat>
    <conditionalFormat priority="18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mergeItem="1" createdVersion="4" indent="0" compact="0" compactData="0" gridDropZones="1" multipleFieldFilters="0">
  <location ref="A3:AF84" firstHeaderRow="1" firstDataRow="2" firstDataCol="3" rowPageCount="1" colPageCount="1"/>
  <pivotFields count="6">
    <pivotField axis="axisRow" compact="0" outline="0" showAll="0" defaultSubtotal="0">
      <items count="22">
        <item x="1"/>
        <item x="14"/>
        <item x="2"/>
        <item x="3"/>
        <item x="15"/>
        <item x="20"/>
        <item x="4"/>
        <item x="5"/>
        <item x="6"/>
        <item x="7"/>
        <item x="8"/>
        <item x="10"/>
        <item x="0"/>
        <item x="11"/>
        <item x="12"/>
        <item x="16"/>
        <item x="18"/>
        <item x="17"/>
        <item x="19"/>
        <item x="9"/>
        <item m="1" x="21"/>
        <item x="13"/>
      </items>
    </pivotField>
    <pivotField axis="axisRow" compact="0" outline="0" showAll="0" defaultSubtotal="0">
      <items count="55">
        <item x="5"/>
        <item x="0"/>
        <item x="15"/>
        <item x="6"/>
        <item x="32"/>
        <item x="7"/>
        <item x="33"/>
        <item x="34"/>
        <item x="35"/>
        <item x="37"/>
        <item x="38"/>
        <item x="40"/>
        <item x="41"/>
        <item x="1"/>
        <item x="19"/>
        <item x="2"/>
        <item x="20"/>
        <item x="21"/>
        <item x="8"/>
        <item x="3"/>
        <item x="46"/>
        <item x="22"/>
        <item x="11"/>
        <item x="4"/>
        <item x="30"/>
        <item x="23"/>
        <item x="24"/>
        <item x="14"/>
        <item x="12"/>
        <item x="13"/>
        <item x="31"/>
        <item m="1" x="49"/>
        <item m="1" x="53"/>
        <item x="10"/>
        <item x="16"/>
        <item x="25"/>
        <item x="26"/>
        <item x="27"/>
        <item m="1" x="52"/>
        <item x="36"/>
        <item m="1" x="50"/>
        <item m="1" x="51"/>
        <item x="28"/>
        <item x="42"/>
        <item x="45"/>
        <item x="17"/>
        <item x="18"/>
        <item m="1" x="54"/>
        <item x="29"/>
        <item x="43"/>
        <item h="1" m="1" x="48"/>
        <item x="9"/>
        <item x="39"/>
        <item x="44"/>
        <item x="47"/>
      </items>
    </pivotField>
    <pivotField name="Comp" axis="axisRow" compact="0" outline="0" showAll="0" defaultSubtotal="0">
      <items count="6">
        <item x="0"/>
        <item x="1"/>
        <item x="2"/>
        <item x="3"/>
        <item x="4"/>
        <item m="1" x="5"/>
      </items>
    </pivotField>
    <pivotField name="Cust" axis="axisCol" compact="0" outline="0" showAll="0" defaultSubtotal="0">
      <items count="31">
        <item x="12"/>
        <item x="22"/>
        <item x="5"/>
        <item x="23"/>
        <item x="13"/>
        <item x="14"/>
        <item x="21"/>
        <item x="6"/>
        <item x="11"/>
        <item x="16"/>
        <item x="7"/>
        <item x="17"/>
        <item x="8"/>
        <item x="9"/>
        <item m="1" x="30"/>
        <item x="0"/>
        <item x="4"/>
        <item x="1"/>
        <item x="28"/>
        <item x="19"/>
        <item x="10"/>
        <item x="15"/>
        <item m="1" x="29"/>
        <item x="26"/>
        <item x="2"/>
        <item x="3"/>
        <item x="18"/>
        <item x="27"/>
        <item x="20"/>
        <item x="24"/>
        <item x="25"/>
      </items>
    </pivotField>
    <pivotField axis="axisPage" compact="0" outline="0" showAll="0" defaultSubtotal="0">
      <items count="2">
        <item x="0"/>
        <item x="1"/>
      </items>
    </pivotField>
    <pivotField dataField="1" compact="0" outline="0" showAll="0" defaultSubtotal="0"/>
  </pivotFields>
  <rowFields count="3">
    <field x="0"/>
    <field x="1"/>
    <field x="2"/>
  </rowFields>
  <rowItems count="80">
    <i>
      <x/>
      <x v="13"/>
      <x v="1"/>
    </i>
    <i r="1">
      <x v="14"/>
      <x v="2"/>
    </i>
    <i r="1">
      <x v="15"/>
      <x v="1"/>
    </i>
    <i r="1">
      <x v="16"/>
      <x v="2"/>
    </i>
    <i r="1">
      <x v="17"/>
      <x v="2"/>
    </i>
    <i r="1">
      <x v="19"/>
      <x v="1"/>
    </i>
    <i r="2">
      <x v="2"/>
    </i>
    <i r="1">
      <x v="21"/>
      <x v="2"/>
    </i>
    <i r="1">
      <x v="23"/>
      <x v="1"/>
    </i>
    <i r="1">
      <x v="24"/>
      <x v="2"/>
    </i>
    <i r="1">
      <x v="25"/>
      <x v="2"/>
    </i>
    <i r="1">
      <x v="26"/>
      <x v="2"/>
    </i>
    <i r="1">
      <x v="35"/>
      <x v="2"/>
    </i>
    <i r="1">
      <x v="36"/>
      <x v="2"/>
    </i>
    <i r="1">
      <x v="37"/>
      <x v="2"/>
    </i>
    <i r="1">
      <x v="42"/>
      <x v="2"/>
    </i>
    <i r="1">
      <x v="48"/>
      <x v="2"/>
    </i>
    <i>
      <x v="1"/>
      <x/>
      <x v="2"/>
    </i>
    <i r="2">
      <x v="4"/>
    </i>
    <i>
      <x v="2"/>
      <x/>
      <x v="1"/>
    </i>
    <i>
      <x v="3"/>
      <x/>
      <x v="1"/>
    </i>
    <i r="1">
      <x v="3"/>
      <x v="1"/>
    </i>
    <i r="1">
      <x v="5"/>
      <x v="1"/>
    </i>
    <i>
      <x v="4"/>
      <x v="30"/>
      <x v="2"/>
    </i>
    <i>
      <x v="5"/>
      <x v="3"/>
      <x v="3"/>
    </i>
    <i r="1">
      <x v="5"/>
      <x v="3"/>
    </i>
    <i r="1">
      <x v="15"/>
      <x v="3"/>
    </i>
    <i r="1">
      <x v="19"/>
      <x v="3"/>
    </i>
    <i r="1">
      <x v="20"/>
      <x v="3"/>
    </i>
    <i>
      <x v="6"/>
      <x/>
      <x v="1"/>
    </i>
    <i r="2">
      <x v="2"/>
    </i>
    <i>
      <x v="7"/>
      <x v="18"/>
      <x v="1"/>
    </i>
    <i r="1">
      <x v="22"/>
      <x v="1"/>
    </i>
    <i r="1">
      <x v="27"/>
      <x v="1"/>
    </i>
    <i r="1">
      <x v="28"/>
      <x v="1"/>
    </i>
    <i r="1">
      <x v="29"/>
      <x v="1"/>
    </i>
    <i r="1">
      <x v="33"/>
      <x v="1"/>
    </i>
    <i r="1">
      <x v="51"/>
      <x v="1"/>
    </i>
    <i>
      <x v="8"/>
      <x/>
      <x v="1"/>
    </i>
    <i r="2">
      <x v="2"/>
    </i>
    <i r="1">
      <x v="2"/>
      <x v="1"/>
    </i>
    <i r="1">
      <x v="34"/>
      <x v="1"/>
    </i>
    <i>
      <x v="9"/>
      <x/>
      <x v="1"/>
    </i>
    <i r="2">
      <x v="2"/>
    </i>
    <i r="1">
      <x v="3"/>
      <x v="1"/>
    </i>
    <i>
      <x v="10"/>
      <x/>
      <x v="1"/>
    </i>
    <i r="1">
      <x v="3"/>
      <x v="1"/>
    </i>
    <i r="1">
      <x v="5"/>
      <x v="1"/>
    </i>
    <i r="1">
      <x v="46"/>
      <x v="1"/>
    </i>
    <i>
      <x v="11"/>
      <x v="3"/>
      <x v="2"/>
    </i>
    <i r="1">
      <x v="5"/>
      <x v="1"/>
    </i>
    <i>
      <x v="12"/>
      <x v="1"/>
      <x/>
    </i>
    <i r="2">
      <x v="1"/>
    </i>
    <i>
      <x v="13"/>
      <x v="3"/>
      <x v="1"/>
    </i>
    <i r="2">
      <x v="2"/>
    </i>
    <i>
      <x v="14"/>
      <x/>
      <x v="1"/>
    </i>
    <i r="1">
      <x v="3"/>
      <x v="2"/>
    </i>
    <i>
      <x v="15"/>
      <x v="27"/>
      <x v="2"/>
    </i>
    <i>
      <x v="16"/>
      <x v="4"/>
      <x v="2"/>
    </i>
    <i r="1">
      <x v="10"/>
      <x v="2"/>
    </i>
    <i r="1">
      <x v="11"/>
      <x v="2"/>
    </i>
    <i r="1">
      <x v="12"/>
      <x v="2"/>
    </i>
    <i r="1">
      <x v="43"/>
      <x v="2"/>
    </i>
    <i r="1">
      <x v="49"/>
      <x v="2"/>
    </i>
    <i r="1">
      <x v="53"/>
      <x v="2"/>
    </i>
    <i>
      <x v="17"/>
      <x v="4"/>
      <x v="2"/>
    </i>
    <i r="1">
      <x v="6"/>
      <x v="2"/>
    </i>
    <i r="1">
      <x v="7"/>
      <x v="2"/>
    </i>
    <i r="1">
      <x v="8"/>
      <x v="2"/>
    </i>
    <i r="1">
      <x v="9"/>
      <x v="2"/>
    </i>
    <i r="1">
      <x v="10"/>
      <x v="2"/>
    </i>
    <i r="1">
      <x v="11"/>
      <x v="2"/>
    </i>
    <i r="1">
      <x v="12"/>
      <x v="2"/>
    </i>
    <i r="1">
      <x v="39"/>
      <x v="2"/>
    </i>
    <i r="1">
      <x v="52"/>
      <x v="2"/>
    </i>
    <i>
      <x v="18"/>
      <x v="44"/>
      <x v="2"/>
    </i>
    <i>
      <x v="19"/>
      <x v="45"/>
      <x v="2"/>
    </i>
    <i r="1">
      <x v="54"/>
      <x v="2"/>
    </i>
    <i>
      <x v="21"/>
      <x/>
      <x v="1"/>
    </i>
    <i r="2">
      <x v="2"/>
    </i>
  </rowItems>
  <colFields count="1">
    <field x="3"/>
  </colFields>
  <col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>
      <x v="17"/>
    </i>
    <i>
      <x v="18"/>
    </i>
    <i>
      <x v="19"/>
    </i>
    <i>
      <x v="20"/>
    </i>
    <i>
      <x v="21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</colItems>
  <pageFields count="1">
    <pageField fld="4" hier="-1"/>
  </pageFields>
  <dataFields count="1">
    <dataField name="Sum of Rating" fld="5" baseField="3" baseItem="1"/>
  </dataFields>
  <formats count="70">
    <format dxfId="443">
      <pivotArea type="topRight" dataOnly="0" labelOnly="1" outline="0" fieldPosition="0"/>
    </format>
    <format dxfId="442">
      <pivotArea dataOnly="0" labelOnly="1" outline="0" fieldPosition="0">
        <references count="1">
          <reference field="3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441">
      <pivotArea dataOnly="0" labelOnly="1" grandCol="1" outline="0" fieldPosition="0"/>
    </format>
    <format dxfId="440">
      <pivotArea outline="0" collapsedLevelsAreSubtotals="1" fieldPosition="0"/>
    </format>
    <format dxfId="439">
      <pivotArea field="0" type="button" dataOnly="0" labelOnly="1" outline="0" axis="axisRow" fieldPosition="0"/>
    </format>
    <format dxfId="438">
      <pivotArea field="1" type="button" dataOnly="0" labelOnly="1" outline="0" axis="axisRow" fieldPosition="1"/>
    </format>
    <format dxfId="437">
      <pivotArea field="2" type="button" dataOnly="0" labelOnly="1" outline="0" axis="axisRow" fieldPosition="2"/>
    </format>
    <format dxfId="436">
      <pivotArea dataOnly="0" labelOnly="1" outline="0" fieldPosition="0">
        <references count="1">
          <reference field="0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435">
      <pivotArea dataOnly="0" labelOnly="1" grandRow="1" outline="0" fieldPosition="0"/>
    </format>
    <format dxfId="434">
      <pivotArea dataOnly="0" labelOnly="1" outline="0" fieldPosition="0">
        <references count="2">
          <reference field="0" count="1" selected="0">
            <x v="0"/>
          </reference>
          <reference field="1" count="9">
            <x v="13"/>
            <x v="14"/>
            <x v="15"/>
            <x v="17"/>
            <x v="19"/>
            <x v="21"/>
            <x v="23"/>
            <x v="25"/>
            <x v="26"/>
          </reference>
        </references>
      </pivotArea>
    </format>
    <format dxfId="433">
      <pivotArea dataOnly="0" labelOnly="1" outline="0" fieldPosition="0">
        <references count="2">
          <reference field="0" count="1" selected="0">
            <x v="1"/>
          </reference>
          <reference field="1" count="3">
            <x v="0"/>
            <x v="3"/>
            <x v="5"/>
          </reference>
        </references>
      </pivotArea>
    </format>
    <format dxfId="432">
      <pivotArea dataOnly="0" labelOnly="1" outline="0" fieldPosition="0">
        <references count="2">
          <reference field="0" count="1" selected="0">
            <x v="4"/>
          </reference>
          <reference field="1" count="1">
            <x v="30"/>
          </reference>
        </references>
      </pivotArea>
    </format>
    <format dxfId="431">
      <pivotArea dataOnly="0" labelOnly="1" outline="0" fieldPosition="0">
        <references count="2">
          <reference field="0" count="1" selected="0">
            <x v="5"/>
          </reference>
          <reference field="1" count="6">
            <x v="0"/>
            <x v="3"/>
            <x v="5"/>
            <x v="15"/>
            <x v="19"/>
            <x v="20"/>
          </reference>
        </references>
      </pivotArea>
    </format>
    <format dxfId="430">
      <pivotArea dataOnly="0" labelOnly="1" outline="0" fieldPosition="0">
        <references count="2">
          <reference field="0" count="1" selected="0">
            <x v="6"/>
          </reference>
          <reference field="1" count="1">
            <x v="0"/>
          </reference>
        </references>
      </pivotArea>
    </format>
    <format dxfId="429">
      <pivotArea dataOnly="0" labelOnly="1" outline="0" fieldPosition="0">
        <references count="2">
          <reference field="0" count="1" selected="0">
            <x v="7"/>
          </reference>
          <reference field="1" count="2">
            <x v="28"/>
            <x v="29"/>
          </reference>
        </references>
      </pivotArea>
    </format>
    <format dxfId="428">
      <pivotArea dataOnly="0" labelOnly="1" outline="0" fieldPosition="0">
        <references count="2">
          <reference field="0" count="1" selected="0">
            <x v="8"/>
          </reference>
          <reference field="1" count="2">
            <x v="0"/>
            <x v="2"/>
          </reference>
        </references>
      </pivotArea>
    </format>
    <format dxfId="427">
      <pivotArea dataOnly="0" labelOnly="1" outline="0" fieldPosition="0">
        <references count="2">
          <reference field="0" count="1" selected="0">
            <x v="9"/>
          </reference>
          <reference field="1" count="3">
            <x v="0"/>
            <x v="3"/>
            <x v="5"/>
          </reference>
        </references>
      </pivotArea>
    </format>
    <format dxfId="426">
      <pivotArea dataOnly="0" labelOnly="1" outline="0" fieldPosition="0">
        <references count="2">
          <reference field="0" count="1" selected="0">
            <x v="12"/>
          </reference>
          <reference field="1" count="1">
            <x v="1"/>
          </reference>
        </references>
      </pivotArea>
    </format>
    <format dxfId="425">
      <pivotArea dataOnly="0" labelOnly="1" outline="0" fieldPosition="0">
        <references count="2">
          <reference field="0" count="1" selected="0">
            <x v="13"/>
          </reference>
          <reference field="1" count="1">
            <x v="3"/>
          </reference>
        </references>
      </pivotArea>
    </format>
    <format dxfId="424">
      <pivotArea dataOnly="0" labelOnly="1" outline="0" fieldPosition="0">
        <references count="2">
          <reference field="0" count="1" selected="0">
            <x v="14"/>
          </reference>
          <reference field="1" count="2">
            <x v="0"/>
            <x v="3"/>
          </reference>
        </references>
      </pivotArea>
    </format>
    <format dxfId="423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3"/>
          </reference>
          <reference field="2" count="2">
            <x v="1"/>
            <x v="2"/>
          </reference>
        </references>
      </pivotArea>
    </format>
    <format dxfId="422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4"/>
          </reference>
          <reference field="2" count="1">
            <x v="2"/>
          </reference>
        </references>
      </pivotArea>
    </format>
    <format dxfId="421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5"/>
          </reference>
          <reference field="2" count="1">
            <x v="1"/>
          </reference>
        </references>
      </pivotArea>
    </format>
    <format dxfId="42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7"/>
          </reference>
          <reference field="2" count="1">
            <x v="2"/>
          </reference>
        </references>
      </pivotArea>
    </format>
    <format dxfId="41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9"/>
          </reference>
          <reference field="2" count="2">
            <x v="1"/>
            <x v="2"/>
          </reference>
        </references>
      </pivotArea>
    </format>
    <format dxfId="418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1"/>
          </reference>
          <reference field="2" count="1">
            <x v="2"/>
          </reference>
        </references>
      </pivotArea>
    </format>
    <format dxfId="417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3"/>
          </reference>
          <reference field="2" count="1">
            <x v="1"/>
          </reference>
        </references>
      </pivotArea>
    </format>
    <format dxfId="41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5"/>
          </reference>
          <reference field="2" count="1">
            <x v="2"/>
          </reference>
        </references>
      </pivotArea>
    </format>
    <format dxfId="415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6"/>
          </reference>
          <reference field="2" count="1">
            <x v="2"/>
          </reference>
        </references>
      </pivotArea>
    </format>
    <format dxfId="414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0"/>
          </reference>
          <reference field="2" count="1">
            <x v="2"/>
          </reference>
        </references>
      </pivotArea>
    </format>
    <format dxfId="413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0"/>
          </reference>
          <reference field="2" count="1">
            <x v="1"/>
          </reference>
        </references>
      </pivotArea>
    </format>
    <format dxfId="412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0"/>
          </reference>
          <reference field="2" count="1">
            <x v="1"/>
          </reference>
        </references>
      </pivotArea>
    </format>
    <format dxfId="411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"/>
          </reference>
          <reference field="2" count="1">
            <x v="1"/>
          </reference>
        </references>
      </pivotArea>
    </format>
    <format dxfId="410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5"/>
          </reference>
          <reference field="2" count="1">
            <x v="1"/>
          </reference>
        </references>
      </pivotArea>
    </format>
    <format dxfId="409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0"/>
          </reference>
          <reference field="2" count="1">
            <x v="2"/>
          </reference>
        </references>
      </pivotArea>
    </format>
    <format dxfId="40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0"/>
          </reference>
          <reference field="2" count="1">
            <x v="3"/>
          </reference>
        </references>
      </pivotArea>
    </format>
    <format dxfId="40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"/>
          </reference>
          <reference field="2" count="1">
            <x v="3"/>
          </reference>
        </references>
      </pivotArea>
    </format>
    <format dxfId="40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"/>
          </reference>
          <reference field="2" count="1">
            <x v="3"/>
          </reference>
        </references>
      </pivotArea>
    </format>
    <format dxfId="40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5"/>
          </reference>
          <reference field="2" count="1">
            <x v="3"/>
          </reference>
        </references>
      </pivotArea>
    </format>
    <format dxfId="40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9"/>
          </reference>
          <reference field="2" count="1">
            <x v="3"/>
          </reference>
        </references>
      </pivotArea>
    </format>
    <format dxfId="40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0"/>
          </reference>
          <reference field="2" count="1">
            <x v="3"/>
          </reference>
        </references>
      </pivotArea>
    </format>
    <format dxfId="402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0"/>
          </reference>
          <reference field="2" count="2">
            <x v="1"/>
            <x v="2"/>
          </reference>
        </references>
      </pivotArea>
    </format>
    <format dxfId="401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28"/>
          </reference>
          <reference field="2" count="1">
            <x v="1"/>
          </reference>
        </references>
      </pivotArea>
    </format>
    <format dxfId="400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29"/>
          </reference>
          <reference field="2" count="1">
            <x v="1"/>
          </reference>
        </references>
      </pivotArea>
    </format>
    <format dxfId="399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2" count="2">
            <x v="1"/>
            <x v="2"/>
          </reference>
        </references>
      </pivotArea>
    </format>
    <format dxfId="398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2"/>
          </reference>
          <reference field="2" count="1">
            <x v="1"/>
          </reference>
        </references>
      </pivotArea>
    </format>
    <format dxfId="397">
      <pivotArea dataOnly="0" labelOnly="1" outline="0" fieldPosition="0">
        <references count="3">
          <reference field="0" count="1" selected="0">
            <x v="9"/>
          </reference>
          <reference field="1" count="1" selected="0">
            <x v="0"/>
          </reference>
          <reference field="2" count="2">
            <x v="1"/>
            <x v="2"/>
          </reference>
        </references>
      </pivotArea>
    </format>
    <format dxfId="396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0"/>
          </reference>
          <reference field="2" count="1">
            <x v="1"/>
          </reference>
        </references>
      </pivotArea>
    </format>
    <format dxfId="395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3"/>
          </reference>
          <reference field="2" count="1">
            <x v="1"/>
          </reference>
        </references>
      </pivotArea>
    </format>
    <format dxfId="394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3"/>
          </reference>
          <reference field="2" count="1">
            <x v="2"/>
          </reference>
        </references>
      </pivotArea>
    </format>
    <format dxfId="393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5"/>
          </reference>
          <reference field="2" count="1">
            <x v="1"/>
          </reference>
        </references>
      </pivotArea>
    </format>
    <format dxfId="392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1"/>
          </reference>
          <reference field="2" count="2">
            <x v="0"/>
            <x v="1"/>
          </reference>
        </references>
      </pivotArea>
    </format>
    <format dxfId="391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3"/>
          </reference>
          <reference field="2" count="2">
            <x v="1"/>
            <x v="2"/>
          </reference>
        </references>
      </pivotArea>
    </format>
    <format dxfId="390">
      <pivotArea dataOnly="0" labelOnly="1" outline="0" fieldPosition="0">
        <references count="3">
          <reference field="0" count="1" selected="0">
            <x v="14"/>
          </reference>
          <reference field="1" count="1" selected="0">
            <x v="0"/>
          </reference>
          <reference field="2" count="1">
            <x v="1"/>
          </reference>
        </references>
      </pivotArea>
    </format>
    <format dxfId="389">
      <pivotArea dataOnly="0" labelOnly="1" outline="0" fieldPosition="0">
        <references count="3">
          <reference field="0" count="1" selected="0">
            <x v="14"/>
          </reference>
          <reference field="1" count="1" selected="0">
            <x v="3"/>
          </reference>
          <reference field="2" count="1">
            <x v="2"/>
          </reference>
        </references>
      </pivotArea>
    </format>
    <format dxfId="388">
      <pivotArea dataOnly="0" labelOnly="1" outline="0" fieldPosition="0">
        <references count="1">
          <reference field="3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387">
      <pivotArea dataOnly="0" labelOnly="1" grandCol="1" outline="0" fieldPosition="0"/>
    </format>
    <format dxfId="386">
      <pivotArea field="4" type="button" dataOnly="0" labelOnly="1" outline="0" axis="axisPage" fieldPosition="0"/>
    </format>
    <format dxfId="385">
      <pivotArea dataOnly="0" labelOnly="1" grandRow="1" outline="0" fieldPosition="0"/>
    </format>
    <format dxfId="384">
      <pivotArea field="4" type="button" dataOnly="0" labelOnly="1" outline="0" axis="axisPage" fieldPosition="0"/>
    </format>
    <format dxfId="383">
      <pivotArea dataOnly="0" labelOnly="1" outline="0" fieldPosition="0">
        <references count="1">
          <reference field="4" count="1">
            <x v="0"/>
          </reference>
        </references>
      </pivotArea>
    </format>
    <format dxfId="382">
      <pivotArea dataOnly="0" labelOnly="1" outline="0" fieldPosition="0">
        <references count="2">
          <reference field="0" count="1" selected="0">
            <x v="9"/>
          </reference>
          <reference field="1" count="1">
            <x v="0"/>
          </reference>
        </references>
      </pivotArea>
    </format>
    <format dxfId="381">
      <pivotArea dataOnly="0" labelOnly="1" outline="0" fieldPosition="0">
        <references count="2">
          <reference field="0" count="1" selected="0">
            <x v="10"/>
          </reference>
          <reference field="1" count="1">
            <x v="3"/>
          </reference>
        </references>
      </pivotArea>
    </format>
    <format dxfId="380">
      <pivotArea dataOnly="0" labelOnly="1" outline="0" fieldPosition="0">
        <references count="2">
          <reference field="0" count="1" selected="0">
            <x v="1"/>
          </reference>
          <reference field="1" count="1">
            <x v="0"/>
          </reference>
        </references>
      </pivotArea>
    </format>
    <format dxfId="379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78">
      <pivotArea dataOnly="0" labelOnly="1" outline="0" fieldPosition="0">
        <references count="2">
          <reference field="0" count="1" selected="0">
            <x v="3"/>
          </reference>
          <reference field="1" count="1">
            <x v="5"/>
          </reference>
        </references>
      </pivotArea>
    </format>
    <format dxfId="377">
      <pivotArea field="4" type="button" dataOnly="0" labelOnly="1" outline="0" axis="axisPage" fieldPosition="0"/>
    </format>
    <format dxfId="376">
      <pivotArea type="origin" dataOnly="0" labelOnly="1" outline="0" fieldPosition="0"/>
    </format>
    <format dxfId="375">
      <pivotArea field="0" type="button" dataOnly="0" labelOnly="1" outline="0" axis="axisRow" fieldPosition="0"/>
    </format>
    <format dxfId="374">
      <pivotArea dataOnly="0" labelOnly="1" outline="0" fieldPosition="0">
        <references count="1">
          <reference field="0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</formats>
  <conditionalFormats count="5">
    <conditionalFormat priority="40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39">
      <pivotAreas count="1">
        <pivotArea type="data" outline="0" collapsedLevelsAreSubtotals="1" fieldPosition="0">
          <references count="5">
            <reference field="4294967294" count="1" selected="0">
              <x v="0"/>
            </reference>
            <reference field="0" count="1" selected="0">
              <x v="6"/>
            </reference>
            <reference field="1" count="1" selected="0">
              <x v="0"/>
            </reference>
            <reference field="2" count="1" selected="0">
              <x v="2"/>
            </reference>
            <reference field="3" count="1" selected="0">
              <x v="8"/>
            </reference>
          </references>
        </pivotArea>
      </pivotAreas>
    </conditionalFormat>
    <conditionalFormat priority="2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2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20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522" Type="http://schemas.openxmlformats.org/officeDocument/2006/relationships/hyperlink" Target="../../../../../../../../../Releases/Projects/Comcast/Release_for_Test/Test_Build_4.6.6/Server%20CD/GUI/Setup" TargetMode="External"/><Relationship Id="rId1827" Type="http://schemas.openxmlformats.org/officeDocument/2006/relationships/hyperlink" Target="../../../../../../../../../Releases/Projects/Telstra/Release_For_IT/Test_Build_1.0.0.18/Server%20CD/DBS/Setup" TargetMode="External"/><Relationship Id="rId21" Type="http://schemas.openxmlformats.org/officeDocument/2006/relationships/hyperlink" Target="../../../../../../../../../Releases/Projects/Telstra-2b/Release_For_Test/Test_Build_1.0.0.1/Server%20CD/MPE/Setup" TargetMode="External"/><Relationship Id="rId2089" Type="http://schemas.openxmlformats.org/officeDocument/2006/relationships/hyperlink" Target="../../../../../../../../../Releases/Projects/ANTEL/Release_For_Test/Test_Build_1.0.0.7/Server%20CD/DBS/Setup" TargetMode="External"/><Relationship Id="rId170" Type="http://schemas.openxmlformats.org/officeDocument/2006/relationships/hyperlink" Target="../../../../../../../../../Releases/Projects/Telstra/Release_For_IT/Test_Build_1.0.0.18/Server%20CD/DBS/Setup" TargetMode="External"/><Relationship Id="rId2296" Type="http://schemas.openxmlformats.org/officeDocument/2006/relationships/hyperlink" Target="../../../../../../../../../Releases/Projects/TLSTR-ST/Release_For_IT/TestBuild_1.0.1/Server%20CD/DBS/Setup" TargetMode="External"/><Relationship Id="rId268" Type="http://schemas.openxmlformats.org/officeDocument/2006/relationships/hyperlink" Target="../../../../../../../../../Releases/Product/RT_4.0/ReleaseForLQA/TestBuild_4.0.21/DBS/Setup" TargetMode="External"/><Relationship Id="rId475" Type="http://schemas.openxmlformats.org/officeDocument/2006/relationships/hyperlink" Target="../../../../../../../../../Releases/Projects/Telstra/Release_For_LQA/Test_Build_1.0.0.18/Server%20CD/DBS/Setup" TargetMode="External"/><Relationship Id="rId682" Type="http://schemas.openxmlformats.org/officeDocument/2006/relationships/hyperlink" Target="../../../../../../../../../Releases/Product/WEB_CS/Build&amp;Release/Release%20For%20Test/TestBuild_2.1.17/ServerCD/GUI/Setup" TargetMode="External"/><Relationship Id="rId2156" Type="http://schemas.openxmlformats.org/officeDocument/2006/relationships/hyperlink" Target="../../../../../../../../../Releases/Projects/FNB/Release_For_Test/Test_Build_1.0.1/Server%20CD/MPE/Setup" TargetMode="External"/><Relationship Id="rId2363" Type="http://schemas.openxmlformats.org/officeDocument/2006/relationships/hyperlink" Target="../../../../../../../../../Releases/Projects/Vonage/Release_For_LQA/Test_Build_4.0.17/Client%20CD/GUI/WFS/Setup" TargetMode="External"/><Relationship Id="rId2570" Type="http://schemas.openxmlformats.org/officeDocument/2006/relationships/hyperlink" Target="../../../../../../../../../Releases/Projects/SLT/Release_For_IT/Test_Build_1.0.0.4/Server%20CD/DBS/Setup" TargetMode="External"/><Relationship Id="rId128" Type="http://schemas.openxmlformats.org/officeDocument/2006/relationships/hyperlink" Target="../../../../../../../../../Releases/Projects/Telstra/Release_For_LQA/Test_Build_1.0.0.18/Utility/Setup" TargetMode="External"/><Relationship Id="rId335" Type="http://schemas.openxmlformats.org/officeDocument/2006/relationships/hyperlink" Target="../../../../../../../../../Releases/Projects/OBT/Release_For_LQA/TestBuild_1.0.0.4/Server%20CD/DBS/Setup" TargetMode="External"/><Relationship Id="rId542" Type="http://schemas.openxmlformats.org/officeDocument/2006/relationships/hyperlink" Target="../../../../../../../../../Releases/Projects/SLT/Release_For_LQA/Test_Build_1.0.0.19/Server%20CD/DBS/Setup" TargetMode="External"/><Relationship Id="rId987" Type="http://schemas.openxmlformats.org/officeDocument/2006/relationships/hyperlink" Target="../../../../../../../../../Releases/Projects/Comcast/Release_For_IT/Test_Build_4.6.1/Server%20CD/Database/Setup" TargetMode="External"/><Relationship Id="rId1172" Type="http://schemas.openxmlformats.org/officeDocument/2006/relationships/hyperlink" Target="../../../../../../../../../Releases/Product/RT_4.0/ReleaseForLQA/TestBuild_4.0.24/DBS/Setup" TargetMode="External"/><Relationship Id="rId2016" Type="http://schemas.openxmlformats.org/officeDocument/2006/relationships/hyperlink" Target="../../../../../../../../../Releases/Projects/SLT/Release_For_LQA/Test_Build_1.0.0.24/Server%20CD/DBS/Setup" TargetMode="External"/><Relationship Id="rId2223" Type="http://schemas.openxmlformats.org/officeDocument/2006/relationships/hyperlink" Target="../../../../../../../../../Releases/Projects/BHN/Release_For_IT/TestBuild_1.0.0.1/Server%20CD/Utility/Setup" TargetMode="External"/><Relationship Id="rId2430" Type="http://schemas.openxmlformats.org/officeDocument/2006/relationships/hyperlink" Target="../../../../../../../../../Releases/Product/RT_4.0/ReleaseForLQA/TestBuild_4.0.24/GUI/Build1/Setup" TargetMode="External"/><Relationship Id="rId2668" Type="http://schemas.openxmlformats.org/officeDocument/2006/relationships/hyperlink" Target="../../../../../../../../../Releases/Product/CSGUI_2.6/Build&amp;Release/Release_For_LQA/Test_Build_1.0.4/Server%20CD/GUI/Setup" TargetMode="External"/><Relationship Id="rId402" Type="http://schemas.openxmlformats.org/officeDocument/2006/relationships/hyperlink" Target="../../../../../../../../../Releases/Product/MPE_GUI/ReleaseForLQA/TestBuild_1.0.0.2/Server%20CD/MPE/Setup" TargetMode="External"/><Relationship Id="rId847" Type="http://schemas.openxmlformats.org/officeDocument/2006/relationships/hyperlink" Target="../../../../../../../../../Releases/Projects/SLT/Release_For_IT/Test_Build_1.0.0.4/Server%20CD/DBS/Setup" TargetMode="External"/><Relationship Id="rId1032" Type="http://schemas.openxmlformats.org/officeDocument/2006/relationships/hyperlink" Target="../../../../../../../../../Releases/Projects/SLT/Release_For_LQA/Test_Build_1.0.0.23/Server%20CD/DBS/Setup" TargetMode="External"/><Relationship Id="rId1477" Type="http://schemas.openxmlformats.org/officeDocument/2006/relationships/hyperlink" Target="../../../../../../../../../Releases/Projects/Comcast/Release_for_Test/Test_Build_4.6.6/Server%20CD/GUI/Setup" TargetMode="External"/><Relationship Id="rId1684" Type="http://schemas.openxmlformats.org/officeDocument/2006/relationships/hyperlink" Target="../../../../../../../../../Releases/Projects/SLT-1B/Release_For_Test/Test_Build_1.0.0.1/Server%20CD/MPE/Setup" TargetMode="External"/><Relationship Id="rId1891" Type="http://schemas.openxmlformats.org/officeDocument/2006/relationships/hyperlink" Target="../../../../../../../../../Releases/Projects/TWC/Release_For_IT/Test_Build_1.0.0.3/Server%20CD/DBS/Setup" TargetMode="External"/><Relationship Id="rId2528" Type="http://schemas.openxmlformats.org/officeDocument/2006/relationships/hyperlink" Target="../../../../../../../../../Releases/Projects/Telenet/Build&amp;Release/Release%20For%20IT/Test_Build_4.0.41/Server%20CD/Database/Setup" TargetMode="External"/><Relationship Id="rId2735" Type="http://schemas.openxmlformats.org/officeDocument/2006/relationships/hyperlink" Target="file:///\\192.168.3.3\share\Releases\Projects\CBD\Release_For_Test\Test_Build_1.0.0.4\Server%20CD\MPE\RHEL_6.3\Setup" TargetMode="External"/><Relationship Id="rId707" Type="http://schemas.openxmlformats.org/officeDocument/2006/relationships/hyperlink" Target="../../../../../../../../../Releases/Product/Netmind_4.7/Build&amp;Release/Release_For_LQA/Test_Build_1.0.1/Server%20CD/DBS/Setup" TargetMode="External"/><Relationship Id="rId914" Type="http://schemas.openxmlformats.org/officeDocument/2006/relationships/hyperlink" Target="../../../../../../../../../Releases/Product/DataMind_2.0/Build&amp;Release/Release%20for%20IT/TestBuild_2.0.0/Server%20CD/DBS/Setup" TargetMode="External"/><Relationship Id="rId1337" Type="http://schemas.openxmlformats.org/officeDocument/2006/relationships/hyperlink" Target="../../../../../../../../../Releases/Projects/Comcast/Release_For_IT/Test_Build_4.6.1/Server%20CD/Database/Setup" TargetMode="External"/><Relationship Id="rId1544" Type="http://schemas.openxmlformats.org/officeDocument/2006/relationships/hyperlink" Target="../../../../../../../../../Projects/Neustar/BHN/Build&amp;Release/Release%20For%20Test/Test_Build_3.5.37/Server%20CD/Database/Setup" TargetMode="External"/><Relationship Id="rId1751" Type="http://schemas.openxmlformats.org/officeDocument/2006/relationships/hyperlink" Target="../../../../../../../../../Releases/Projects/Comcast/Release_For_IT/Test_Build_4.6.1/Server%20CD/Database/Setup" TargetMode="External"/><Relationship Id="rId1989" Type="http://schemas.openxmlformats.org/officeDocument/2006/relationships/hyperlink" Target="../../../../../../../../../Releases/Projects/BHN/Release_For_Test/Test_Build_1.0.3/Server%20CD/DBS/Setup" TargetMode="External"/><Relationship Id="rId2802" Type="http://schemas.openxmlformats.org/officeDocument/2006/relationships/hyperlink" Target="../../../../../../../../../Releases/Projects/SLT/Release_For_IT/Test_Build_1.0.0.4/Server%20CD/DBS/Setup" TargetMode="External"/><Relationship Id="rId43" Type="http://schemas.openxmlformats.org/officeDocument/2006/relationships/hyperlink" Target="../../../../../../../../../Releases/Projects/TWC/Release_For_Test/Test_Build_1.0.0.4/Server%20CD/DBS/Setup" TargetMode="External"/><Relationship Id="rId1404" Type="http://schemas.openxmlformats.org/officeDocument/2006/relationships/hyperlink" Target="../../../../../../../../../Releases/Projects/Telstra/Release_For_LQA/Test_Build_1.0.0.18/Server%20CD/DBS/Setup" TargetMode="External"/><Relationship Id="rId1611" Type="http://schemas.openxmlformats.org/officeDocument/2006/relationships/hyperlink" Target="../../../../../../../../../Releases/Projects/Comcast/Release_For_IT/Test_Build_4.6.1/Server%20CD/Database/Setup" TargetMode="External"/><Relationship Id="rId1849" Type="http://schemas.openxmlformats.org/officeDocument/2006/relationships/hyperlink" Target="../../../../../../../../../Releases/Projects/ANTEL/Release_For_IT/TestBuild_1.0.0.4/Server%20CD/DBS/Setup" TargetMode="External"/><Relationship Id="rId192" Type="http://schemas.openxmlformats.org/officeDocument/2006/relationships/hyperlink" Target="../../../../../../../../../Releases/Projects/SLT/Release_For_IT/Test_Build_1.0.0.4/Server%20CD/DBS/Setup" TargetMode="External"/><Relationship Id="rId1709" Type="http://schemas.openxmlformats.org/officeDocument/2006/relationships/hyperlink" Target="../../../../../../../../../Releases/Projects/BHN/Release_For_IT/TestBuild_1.0.0.1/Server%20CD/Utility/Setup" TargetMode="External"/><Relationship Id="rId1916" Type="http://schemas.openxmlformats.org/officeDocument/2006/relationships/hyperlink" Target="../../../../../../../../../Releases/Projects/Comcast/Release_for_Test/Test_Build_4.6.6/Server%20CD/Database/Setup" TargetMode="External"/><Relationship Id="rId497" Type="http://schemas.openxmlformats.org/officeDocument/2006/relationships/hyperlink" Target="../../../../../../../../../Releases/Projects/SLT/Release_For_IT/Test_Build_1.0.0.4/Server%20CD/DBS/Setup" TargetMode="External"/><Relationship Id="rId2080" Type="http://schemas.openxmlformats.org/officeDocument/2006/relationships/hyperlink" Target="../../../../../../../../../Releases/Projects/SLT/Release_For_LQA/Test_Build_1.0.0.24/Server%20CD/GUI/Setup" TargetMode="External"/><Relationship Id="rId2178" Type="http://schemas.openxmlformats.org/officeDocument/2006/relationships/hyperlink" Target="../../../../../../../../../Releases/Projects/SLT/Release_For_LQA/Test_Build_1.0.0.24/Server%20CD/DBS/Setup" TargetMode="External"/><Relationship Id="rId2385" Type="http://schemas.openxmlformats.org/officeDocument/2006/relationships/hyperlink" Target="file:///\\192.168.3.3\share\Releases\Projects\CBD\Release_For_Test\Test_Build_1.0.0.4\Server%20CD\MPE\RHEL_6.3\Setup" TargetMode="External"/><Relationship Id="rId357" Type="http://schemas.openxmlformats.org/officeDocument/2006/relationships/hyperlink" Target="../../../../../../../../../Releases/Projects/Comcast/Release_For_IT/Test_Build_4.6.1/Server%20CD/Database/Setup" TargetMode="External"/><Relationship Id="rId1194" Type="http://schemas.openxmlformats.org/officeDocument/2006/relationships/hyperlink" Target="../../../../../../../../../Releases/Projects/TWC/Release_For_Test/Test_Build_1.0.0.4/Server%20CD/MPE/Setup" TargetMode="External"/><Relationship Id="rId2038" Type="http://schemas.openxmlformats.org/officeDocument/2006/relationships/hyperlink" Target="../../../../../../../../../Releases/Projects/SLT/Release_For_LQA/Test_Build_1.0.0.24/Server%20CD/DBS/Setup" TargetMode="External"/><Relationship Id="rId2592" Type="http://schemas.openxmlformats.org/officeDocument/2006/relationships/hyperlink" Target="../../../../../../../../../Releases/Projects/Telstra/Release_For_IT/Test_Build_1.0.0.18/Server%20CD/DBS/Setup" TargetMode="External"/><Relationship Id="rId217" Type="http://schemas.openxmlformats.org/officeDocument/2006/relationships/hyperlink" Target="../../../../../../../../../Releases/Projects/SLT/Release_For_IT/Test_Build_1.0.0.4/Server%20CD/DBS/Setup" TargetMode="External"/><Relationship Id="rId564" Type="http://schemas.openxmlformats.org/officeDocument/2006/relationships/hyperlink" Target="../../../../../../../../../Releases/Product/Netmind_4.7/Build&amp;Release/Release_For_LQA/Test_Build_1.0.1/Server%20CD/DBS/Setup" TargetMode="External"/><Relationship Id="rId771" Type="http://schemas.openxmlformats.org/officeDocument/2006/relationships/hyperlink" Target="../../../../../../../../../Releases/Projects/Comcast/Release_for_Test/Test_Build_4.6.4/Server%20CD/GUI/Setup" TargetMode="External"/><Relationship Id="rId869" Type="http://schemas.openxmlformats.org/officeDocument/2006/relationships/hyperlink" Target="../../../../../../../../../Releases/Product/RevMind_2.1/Build&amp;Release/Release_For_LQA/Test_Build_1.0.2/Server%20CD/DBS/Setup" TargetMode="External"/><Relationship Id="rId1499" Type="http://schemas.openxmlformats.org/officeDocument/2006/relationships/hyperlink" Target="../../../../../../../../../Releases/Projects/Comcast/Release_for_Test/Test_Build_4.6.6/Server%20CD/Database/Setup" TargetMode="External"/><Relationship Id="rId2245" Type="http://schemas.openxmlformats.org/officeDocument/2006/relationships/hyperlink" Target="../../../../../../../../../Releases/Projects/Comcast/Release_for_Test/Test_Build_4.6.7/Server%20CD/Database/Setup" TargetMode="External"/><Relationship Id="rId2452" Type="http://schemas.openxmlformats.org/officeDocument/2006/relationships/hyperlink" Target="../../../../../../../../../Releases/Projects/TWC/Release_For_Test/Test_Build_1.0.0.4/Server%20CD/MPE/Setup" TargetMode="External"/><Relationship Id="rId424" Type="http://schemas.openxmlformats.org/officeDocument/2006/relationships/hyperlink" Target="../../../../../../../../../Releases/Projects/SLT/Release_For_LQA/Test_Build_1.0.0.19/Server%20CD/DBS/Setup" TargetMode="External"/><Relationship Id="rId631" Type="http://schemas.openxmlformats.org/officeDocument/2006/relationships/hyperlink" Target="../../../../../../../../../Releases/Projects/Comcast/Release_For_IT/Test_Build_4.6.1/Server%20CD/Database/Setup" TargetMode="External"/><Relationship Id="rId729" Type="http://schemas.openxmlformats.org/officeDocument/2006/relationships/hyperlink" Target="../../../../../../../../../Releases/Projects/SLT-1B/Release_For_Test/Test_Build_1.0.0.1/Utility/MPE/Setup" TargetMode="External"/><Relationship Id="rId1054" Type="http://schemas.openxmlformats.org/officeDocument/2006/relationships/hyperlink" Target="../../../../../../../../../Releases/Projects/Comcast/Release_For_IT/Test_Build_4.6.1/Server%20CD/Database/Setup" TargetMode="External"/><Relationship Id="rId1261" Type="http://schemas.openxmlformats.org/officeDocument/2006/relationships/hyperlink" Target="../../../../../../../../../Releases/Projects/Comcast/Release_for_Test/Test_Build_4.6.5/Server%20CD/Database/Setup" TargetMode="External"/><Relationship Id="rId1359" Type="http://schemas.openxmlformats.org/officeDocument/2006/relationships/hyperlink" Target="../../../../../../../../../Releases/Product/NetMindPOS_1.1/Build&amp;Release/Release%20for%20LQA/TestBuild_1.2.3/Server%20CD/DBS/Setup" TargetMode="External"/><Relationship Id="rId2105" Type="http://schemas.openxmlformats.org/officeDocument/2006/relationships/hyperlink" Target="../../../../../../../../../Releases/Projects/TLSTR-ST/Release_For_Test/Test_Build_1.0.1/Server%20CD/MPE/Setup" TargetMode="External"/><Relationship Id="rId2312" Type="http://schemas.openxmlformats.org/officeDocument/2006/relationships/hyperlink" Target="../../../../../../../../../Releases/Projects/TWC/Release_For_Test/Test_Build_1.0.0.4/Server%20CD/MPE/Setup" TargetMode="External"/><Relationship Id="rId2757" Type="http://schemas.openxmlformats.org/officeDocument/2006/relationships/hyperlink" Target="../../../../../../../../../Releases/Projects/TWC/Release_For_IT/Test_Build_1.0.0.3/Server%20CD/DBS/Setup" TargetMode="External"/><Relationship Id="rId936" Type="http://schemas.openxmlformats.org/officeDocument/2006/relationships/hyperlink" Target="../../../../../../../../../Releases/Projects/Comcast/Release_for_Test/Test_Build_4.6.4/Server%20CD/Database/Setup" TargetMode="External"/><Relationship Id="rId1121" Type="http://schemas.openxmlformats.org/officeDocument/2006/relationships/hyperlink" Target="../../../../../../../../../Releases/Projects/SLT-1B/Release_For_Test/Test_Build_1.0.0.1/Server%20CD/MPE/Setup" TargetMode="External"/><Relationship Id="rId1219" Type="http://schemas.openxmlformats.org/officeDocument/2006/relationships/hyperlink" Target="../../../../../../../../../Releases/Projects/SLT/Release_For_LQA/Test_Build_1.0.0.23/Server%20CD/DBS/Setup" TargetMode="External"/><Relationship Id="rId1566" Type="http://schemas.openxmlformats.org/officeDocument/2006/relationships/hyperlink" Target="../../../../../../../../../Releases/Projects/DRC/Release_For_LQA/Test_Build_1.0.0.3/Server%20CD/DBS/Setup" TargetMode="External"/><Relationship Id="rId1773" Type="http://schemas.openxmlformats.org/officeDocument/2006/relationships/hyperlink" Target="../../../../../../../../../Releases/Product/RT_4.0/ReleaseForIT/TestBuild_4.0.3/DBS/Setup" TargetMode="External"/><Relationship Id="rId1980" Type="http://schemas.openxmlformats.org/officeDocument/2006/relationships/hyperlink" Target="../../../../../../../../../Releases/Product/RT_4.0/ReleaseForIT/TestBuild_4.0.3/DBS/Setup" TargetMode="External"/><Relationship Id="rId2617" Type="http://schemas.openxmlformats.org/officeDocument/2006/relationships/hyperlink" Target="../../../../../../../../../Releases/Product/WEB_WFS/Build&amp;Release/Release%20For%20Test/TestBuild_2.1.36/ServerCD/GUI/Setup" TargetMode="External"/><Relationship Id="rId65" Type="http://schemas.openxmlformats.org/officeDocument/2006/relationships/hyperlink" Target="../../../../../../../../../Releases/Projects/SLT/Release_For_IT/Test_Build_1.0.0.4/Server%20CD/DBS/Setup" TargetMode="External"/><Relationship Id="rId1426" Type="http://schemas.openxmlformats.org/officeDocument/2006/relationships/hyperlink" Target="../../../../../../../../../Releases/Projects/OBT/Release_For_LQA/TestBuild_1.0.0.6/Server%20CD/MPE/Setup" TargetMode="External"/><Relationship Id="rId1633" Type="http://schemas.openxmlformats.org/officeDocument/2006/relationships/hyperlink" Target="../../../../../../../../../Releases/Projects/BHN/Release_For_Test/Test_Build_1.0.1/Server%20CD/Utility/Setup" TargetMode="External"/><Relationship Id="rId1840" Type="http://schemas.openxmlformats.org/officeDocument/2006/relationships/hyperlink" Target="../../../../../../../../../Releases/Projects/BHN/Release_For_Test/Test_Build_1.0.2/Server%20CD/MPE/Setup" TargetMode="External"/><Relationship Id="rId1700" Type="http://schemas.openxmlformats.org/officeDocument/2006/relationships/hyperlink" Target="../../../../../../../../../Releases/Projects/TWC/Release_For_Test/Test_Build_1.0.0.4/Server%20CD/DBS/Setup" TargetMode="External"/><Relationship Id="rId1938" Type="http://schemas.openxmlformats.org/officeDocument/2006/relationships/hyperlink" Target="../../../../../../../../../Releases/Projects/SLT/Release_For_LQA/Test_Build_1.0.0.24/Client%20CD/WFS/Setup" TargetMode="External"/><Relationship Id="rId281" Type="http://schemas.openxmlformats.org/officeDocument/2006/relationships/hyperlink" Target="../../../../../../../../../Releases/Product/RT_4.0/ReleaseForLQA/TestBuild_4.0.21/DBS/Setup" TargetMode="External"/><Relationship Id="rId141" Type="http://schemas.openxmlformats.org/officeDocument/2006/relationships/hyperlink" Target="../../../../../../../../../Releases/Projects/Comcast/Release_For_IT/Test_Build_3.5.50/Server%20CD/Database/Setup" TargetMode="External"/><Relationship Id="rId379" Type="http://schemas.openxmlformats.org/officeDocument/2006/relationships/hyperlink" Target="../../../../../../../../../Releases/Projects/ANTEL/Release_For_Test/Test_Build_1.0.0.7/Server%20CD/DBS/Setup" TargetMode="External"/><Relationship Id="rId586" Type="http://schemas.openxmlformats.org/officeDocument/2006/relationships/hyperlink" Target="../../../../../../../../../Releases/Product/RE_1.0/ReleaseForLQA/TestBuild_1.0.1/GUI/Setup" TargetMode="External"/><Relationship Id="rId793" Type="http://schemas.openxmlformats.org/officeDocument/2006/relationships/hyperlink" Target="../../../../../../../../../Releases/Projects/Telstra/Release_For_LQA/Test_Build_1.0.0.18/Server%20CD/DBS/Setup" TargetMode="External"/><Relationship Id="rId2267" Type="http://schemas.openxmlformats.org/officeDocument/2006/relationships/hyperlink" Target="../../../../../../../../../Releases/Projects/SLT/Release_For_LQA/Test_Build_1.0.0.24/Server%20CD/DBS/Setup" TargetMode="External"/><Relationship Id="rId2474" Type="http://schemas.openxmlformats.org/officeDocument/2006/relationships/hyperlink" Target="../../../../../../../../../Releases/Projects/SLT/Release_For_IT/Test_Build_1.0.0.4/Server%20CD/DBS/Setup" TargetMode="External"/><Relationship Id="rId2681" Type="http://schemas.openxmlformats.org/officeDocument/2006/relationships/hyperlink" Target="../../../../../../../../../Releases/Projects/TWC/Release_For_Test/Test_Build_1.0.0.4/Server%20CD/MPE/Setup" TargetMode="External"/><Relationship Id="rId7" Type="http://schemas.openxmlformats.org/officeDocument/2006/relationships/hyperlink" Target="../../../../../../../../../Releases/Projects/OBT/Release_For_IT/TestBuild_1.0.0.2/Server%20CD/DBS/Setup" TargetMode="External"/><Relationship Id="rId239" Type="http://schemas.openxmlformats.org/officeDocument/2006/relationships/hyperlink" Target="../../../../../../../../../Releases/Product/RT_4.0/ReleaseForLQA/TestBuild_4.0.20/GUI/Build1/Setup" TargetMode="External"/><Relationship Id="rId446" Type="http://schemas.openxmlformats.org/officeDocument/2006/relationships/hyperlink" Target="../../../../../../../../../Releases/Projects/Telstra/Release_For_IT/Test_Build_1.0.0.18/Server%20CD/DBS/Setup" TargetMode="External"/><Relationship Id="rId653" Type="http://schemas.openxmlformats.org/officeDocument/2006/relationships/hyperlink" Target="../../../../../../../../../Releases/Projects/SLT/Release_For_IT/Test_Build_1.0.0.4/Server%20CD/DBS/Setup" TargetMode="External"/><Relationship Id="rId1076" Type="http://schemas.openxmlformats.org/officeDocument/2006/relationships/hyperlink" Target="../../../../../../../../../Releases/Projects/SLT/Release_For_IT/Test_Build_1.0.0.4/Server%20CD/DBS/Setup" TargetMode="External"/><Relationship Id="rId1283" Type="http://schemas.openxmlformats.org/officeDocument/2006/relationships/hyperlink" Target="../../../../../../../../../Releases/Product/Netmind_4.6/Build&amp;Release/ReleaseForIT/TestBuild_4.6.1/Build4/ServerCD/DBS/Setup" TargetMode="External"/><Relationship Id="rId1490" Type="http://schemas.openxmlformats.org/officeDocument/2006/relationships/hyperlink" Target="../../../../../../../../../Releases/Projects/Comcast/Release_for_Test/Test_Build_4.6.6/Server%20CD/Database/Setup" TargetMode="External"/><Relationship Id="rId2127" Type="http://schemas.openxmlformats.org/officeDocument/2006/relationships/hyperlink" Target="../../../../../../../../../Releases/Projects/TWC/Release_For_IT/Test_Build_1.0.0.3/Server%20CD/DBS/Setup" TargetMode="External"/><Relationship Id="rId2334" Type="http://schemas.openxmlformats.org/officeDocument/2006/relationships/hyperlink" Target="../../../../../../../../../Releases/Projects/FNB/Release_For_Test/Test_Build_1.0.1/Server%20CD/DBS/Setup" TargetMode="External"/><Relationship Id="rId2779" Type="http://schemas.openxmlformats.org/officeDocument/2006/relationships/hyperlink" Target="../../../../../../../../../Releases/Projects/NM48/Release_For_Test/Test_Build_1.0.0.1/Server%20CD/MPE/Setup" TargetMode="External"/><Relationship Id="rId306" Type="http://schemas.openxmlformats.org/officeDocument/2006/relationships/hyperlink" Target="../../../../../../../../../Releases/Projects/Comcast/Release_For_IT/Test_Build_4.6.1/Server%20CD/Database/Setup" TargetMode="External"/><Relationship Id="rId860" Type="http://schemas.openxmlformats.org/officeDocument/2006/relationships/hyperlink" Target="../../../../../../../../../Releases/Projects/OBT/Release_For_IT/TestBuild_1.0.0.2/Server%20CD/DBS/Setup" TargetMode="External"/><Relationship Id="rId958" Type="http://schemas.openxmlformats.org/officeDocument/2006/relationships/hyperlink" Target="../../../../../../../../../Releases/Product/WEB_WFS/Build&amp;Release/Release%20For%20Test/TestBuild_2.1.26/ServerCD/GUI/Setup" TargetMode="External"/><Relationship Id="rId1143" Type="http://schemas.openxmlformats.org/officeDocument/2006/relationships/hyperlink" Target="../../../../../../../../../Releases/Projects/Comcast/Release_For_IT/Test_Build_4.6.1/Server%20CD/Database/Setup" TargetMode="External"/><Relationship Id="rId1588" Type="http://schemas.openxmlformats.org/officeDocument/2006/relationships/hyperlink" Target="../../../../../../../../../Releases/Projects/SLT/Release_For_LQA/Test_Build_1.0.0.24/Server%20CD/DBS/Setup" TargetMode="External"/><Relationship Id="rId1795" Type="http://schemas.openxmlformats.org/officeDocument/2006/relationships/hyperlink" Target="../../../../../../../../../Releases/Projects/TLSTR-ST/Release_For_Test/Test_Build_1.0.1/Server%20CD/DBS/Setup" TargetMode="External"/><Relationship Id="rId2541" Type="http://schemas.openxmlformats.org/officeDocument/2006/relationships/hyperlink" Target="../../../../../../../../../Releases/Product/RE_2.0/Build&amp;Release/Release_For_LQA/Test_Build_1.0.2/Server%20CD/DBS/Setup" TargetMode="External"/><Relationship Id="rId2639" Type="http://schemas.openxmlformats.org/officeDocument/2006/relationships/hyperlink" Target="../../../../../../../../../Releases/Projects/ANTEL/Release_For_Test/Test_Build_1.0.0.7/Server%20CD/MPE/Setup%0d" TargetMode="External"/><Relationship Id="rId87" Type="http://schemas.openxmlformats.org/officeDocument/2006/relationships/hyperlink" Target="../../../../../../../../../Releases/Product/MPE_GUI/ReleaseForLQA/TestBuild_1.0.0.2/Server%20CD/MPE/Setup" TargetMode="External"/><Relationship Id="rId513" Type="http://schemas.openxmlformats.org/officeDocument/2006/relationships/hyperlink" Target="../../../../../../../../../Releases/Projects/OBT/Release_For_LQA/TestBuild_1.0.0.4/Server%20CD/DBS/Setup" TargetMode="External"/><Relationship Id="rId720" Type="http://schemas.openxmlformats.org/officeDocument/2006/relationships/hyperlink" Target="../../../../../../../../../Releases/Projects/SLT/Release_For_LQA/Test_Build_1.0.0.22/Server%20CD/DBS/Setup" TargetMode="External"/><Relationship Id="rId818" Type="http://schemas.openxmlformats.org/officeDocument/2006/relationships/hyperlink" Target="../../../../../../../../../Releases/Product/RE_1.0/ReleaseForIT/TestBuild_1.0.1/DBS/Build4/Setup" TargetMode="External"/><Relationship Id="rId1350" Type="http://schemas.openxmlformats.org/officeDocument/2006/relationships/hyperlink" Target="../../../../../../../../../Releases/Projects/Telstra-2b/Release_For_Test/Test_Build_1.0.0.1/Server%20CD/MPE/Setup" TargetMode="External"/><Relationship Id="rId1448" Type="http://schemas.openxmlformats.org/officeDocument/2006/relationships/hyperlink" Target="../../../../../../../../../Releases/Projects/Telstra/Release_For_IT/Test_Build_1.0.0.18/Server%20CD/DBS/Setup" TargetMode="External"/><Relationship Id="rId1655" Type="http://schemas.openxmlformats.org/officeDocument/2006/relationships/hyperlink" Target="../../../../../../../../../Releases/Projects/TWC/Release_For_Test/Test_Build_1.0.0.4/Server%20CD/DBS/Setup" TargetMode="External"/><Relationship Id="rId2401" Type="http://schemas.openxmlformats.org/officeDocument/2006/relationships/hyperlink" Target="../../../../../../../../../Releases/Projects/TLSTR-ST/Release_For_IT/TestBuild_1.0.1/Server%20CD/DBS/Setup" TargetMode="External"/><Relationship Id="rId2706" Type="http://schemas.openxmlformats.org/officeDocument/2006/relationships/hyperlink" Target="../../../../../../../../../Releases/Projects/Comcast/Release_for_Test/Test_Build_4.6.10/Server%20CD/Database/Setup" TargetMode="External"/><Relationship Id="rId1003" Type="http://schemas.openxmlformats.org/officeDocument/2006/relationships/hyperlink" Target="../../../../../../../../../Releases/Projects/SLT/Release_For_IT/Test_Build_1.0.0.4/Server%20CD/DBS/Setup" TargetMode="External"/><Relationship Id="rId1210" Type="http://schemas.openxmlformats.org/officeDocument/2006/relationships/hyperlink" Target="../../../../../../../../../Releases/Projects/SLT/Release_For_LQA/Test_Build_1.0.0.23/Server%20CD/DBS/Setup" TargetMode="External"/><Relationship Id="rId1308" Type="http://schemas.openxmlformats.org/officeDocument/2006/relationships/hyperlink" Target="../../../../../../../../../Releases/Projects/SLT/Release_For_IT/Test_Build_1.0.0.4/Server%20CD/DBS/Setup" TargetMode="External"/><Relationship Id="rId1862" Type="http://schemas.openxmlformats.org/officeDocument/2006/relationships/hyperlink" Target="../../../../../../../../../Releases/Projects/SLT/Release_For_LQA/Test_Build_1.0.0.24/Server%20CD/DBS/Setup" TargetMode="External"/><Relationship Id="rId1515" Type="http://schemas.openxmlformats.org/officeDocument/2006/relationships/hyperlink" Target="../../../../../../../../../Releases/Product/RT_4.0/ReleaseForIT/TestBuild_4.0.3/DBS/Setup" TargetMode="External"/><Relationship Id="rId1722" Type="http://schemas.openxmlformats.org/officeDocument/2006/relationships/hyperlink" Target="../../../../../../../../../Releases/Projects/SLT/Release_For_LQA/Test_Build_1.0.0.24/Server%20CD/DBS/Setup" TargetMode="External"/><Relationship Id="rId14" Type="http://schemas.openxmlformats.org/officeDocument/2006/relationships/hyperlink" Target="../../../../../../../../../Releases/Projects/Telstra/Release_For_LQA/Test_Build_1.0.0.18/Server%20CD/DBS/Setup" TargetMode="External"/><Relationship Id="rId2191" Type="http://schemas.openxmlformats.org/officeDocument/2006/relationships/hyperlink" Target="../../../../../../../../../Releases/Projects/BHN/Release_For_Test/Test_Build_1.0.5/Server%20CD/GUI/Setup" TargetMode="External"/><Relationship Id="rId163" Type="http://schemas.openxmlformats.org/officeDocument/2006/relationships/hyperlink" Target="../../../../../../../../../Releases/Projects/Telstra/Release_For_LQA/Test_Build_1.0.0.18/Server%20CD/DBS/Setup" TargetMode="External"/><Relationship Id="rId370" Type="http://schemas.openxmlformats.org/officeDocument/2006/relationships/hyperlink" Target="../../../../../../../../../Releases/Projects/Comcast/Release_For_IT/Test_Build_4.6.1/Server%20CD/Database/Setup" TargetMode="External"/><Relationship Id="rId2051" Type="http://schemas.openxmlformats.org/officeDocument/2006/relationships/hyperlink" Target="../../../../../../../../../Releases/Projects/MCC/Release_For_Test/Test_Build_1.0.1/Server%20CD/GUI/Setup" TargetMode="External"/><Relationship Id="rId2289" Type="http://schemas.openxmlformats.org/officeDocument/2006/relationships/hyperlink" Target="../../../../../../../../../Releases/Projects/TLSTR-ST/Release_For_IT/TestBuild_1.0.1/Server%20CD/DBS/Setup" TargetMode="External"/><Relationship Id="rId2496" Type="http://schemas.openxmlformats.org/officeDocument/2006/relationships/hyperlink" Target="../../../../../../../../../Releases/Projects/Comcast/Release_for_Test/Test_Build_4.6.7/Server%20CD/Database/Setup" TargetMode="External"/><Relationship Id="rId230" Type="http://schemas.openxmlformats.org/officeDocument/2006/relationships/hyperlink" Target="../../../../../../../../../Releases/Projects/Telstra/Release_For_IT/Test_Build_1.0.0.18/Server%20CD/DBS/Setup" TargetMode="External"/><Relationship Id="rId468" Type="http://schemas.openxmlformats.org/officeDocument/2006/relationships/hyperlink" Target="../../../../../../../../../Releases/Projects/Comcast/Release_for_Test/Test_Build_4.6.1/Server%20CD/MPE/Setup" TargetMode="External"/><Relationship Id="rId675" Type="http://schemas.openxmlformats.org/officeDocument/2006/relationships/hyperlink" Target="../../../../../../../../../Releases/Projects/Comcast/Release_For_IT/Test_Build_4.6.1/Server%20CD/Database/Setup" TargetMode="External"/><Relationship Id="rId882" Type="http://schemas.openxmlformats.org/officeDocument/2006/relationships/hyperlink" Target="../../../../../../../../../Releases/Projects/SLT-1B/Release_For_Test/Test_Build_1.0.0.1/Server%20CD/MPE/Setup" TargetMode="External"/><Relationship Id="rId1098" Type="http://schemas.openxmlformats.org/officeDocument/2006/relationships/hyperlink" Target="../../../../../../../../../Releases/Projects/OBT/Release_For_LQA/TestBuild_1.0.0.6/Server%20CD/DBS/Setup" TargetMode="External"/><Relationship Id="rId2149" Type="http://schemas.openxmlformats.org/officeDocument/2006/relationships/hyperlink" Target="../../../../../../../../../Releases/Projects/TLSTR-ST/Release_For_IT/TestBuild_1.0.1/Server%20CD/DBS/Setup" TargetMode="External"/><Relationship Id="rId2356" Type="http://schemas.openxmlformats.org/officeDocument/2006/relationships/hyperlink" Target="../../../../../../../../../Releases/Projects/Vonage/Release_For_IT/Test_Build_4.0.17/Client%20CD/GUI/CS/Setup" TargetMode="External"/><Relationship Id="rId2563" Type="http://schemas.openxmlformats.org/officeDocument/2006/relationships/hyperlink" Target="../../../../../../../../../Releases/Projects/FNB/Release_For_Test/Test_Build_1.0.2/Server%20CD/DBS/Setup" TargetMode="External"/><Relationship Id="rId2770" Type="http://schemas.openxmlformats.org/officeDocument/2006/relationships/hyperlink" Target="../../../../../../../../../Releases/Projects/SLT/Release_For_LQA/Test_Build_1.0.0.26/Server%20CD/DBS/Setup" TargetMode="External"/><Relationship Id="rId328" Type="http://schemas.openxmlformats.org/officeDocument/2006/relationships/hyperlink" Target="../../../../../../../../../Releases/Projects/NM46/Release_For_Test/Test_Build_1.0.0.1/Server%20CD/MPE/Setup" TargetMode="External"/><Relationship Id="rId535" Type="http://schemas.openxmlformats.org/officeDocument/2006/relationships/hyperlink" Target="../../../../../../../../../Releases/Projects/SLT/Release_For_IT/Test_Build_1.0.0.4/Server%20CD/DBS/Setup" TargetMode="External"/><Relationship Id="rId742" Type="http://schemas.openxmlformats.org/officeDocument/2006/relationships/hyperlink" Target="../../../../../../../../../Releases/Projects/Comcast/Release_For_IT/Test_Build_4.6.1/Server%20CD/Database/Setup" TargetMode="External"/><Relationship Id="rId1165" Type="http://schemas.openxmlformats.org/officeDocument/2006/relationships/hyperlink" Target="../../../../../../../../../Releases/Product/DataMind_2.0/Build&amp;Release/Release%20for%20IT/TestBuild_2.0.0/Server%20CD/DBS/Setup" TargetMode="External"/><Relationship Id="rId1372" Type="http://schemas.openxmlformats.org/officeDocument/2006/relationships/hyperlink" Target="../../../../../../../../../Releases/Product/RevMind_2.2/Build&amp;Release/Release_For_LQA/Test_Build_1.0.1/Server%20CD/DBS/Setup" TargetMode="External"/><Relationship Id="rId2009" Type="http://schemas.openxmlformats.org/officeDocument/2006/relationships/hyperlink" Target="../../../../../../../../../Releases/Projects/SLT/Release_For_LQA/Test_Build_1.0.0.24/Server%20CD/GUI/Setup" TargetMode="External"/><Relationship Id="rId2216" Type="http://schemas.openxmlformats.org/officeDocument/2006/relationships/hyperlink" Target="../../../../../../../../../Releases/Projects/SLT/Release_For_IT/Test_Build_1.0.0.4/Server%20CD/DBS/Setup" TargetMode="External"/><Relationship Id="rId2423" Type="http://schemas.openxmlformats.org/officeDocument/2006/relationships/hyperlink" Target="../../../../../../../../../Releases/Product/AWF/Build&amp;Release/Release%20For%20Test/TestBuild_2.0.1/Setup" TargetMode="External"/><Relationship Id="rId2630" Type="http://schemas.openxmlformats.org/officeDocument/2006/relationships/hyperlink" Target="../../../../../../../../../Releases/Projects/SLT/Release_For_LQA/Test_Build_1.0.0.24/Server%20CD/DBS/Setup" TargetMode="External"/><Relationship Id="rId602" Type="http://schemas.openxmlformats.org/officeDocument/2006/relationships/hyperlink" Target="../../../../../../../../../Releases/Product/Netmind_4.6/Build&amp;Release/ReleaseForTest/TestBuild_4.6.1/Build4/ServerCD/DBS/Setup" TargetMode="External"/><Relationship Id="rId1025" Type="http://schemas.openxmlformats.org/officeDocument/2006/relationships/hyperlink" Target="../../../../../../../../../Releases/Projects/Comcast/Release_For_IT/Test_Build_4.6.1/Server%20CD/Database/Setup" TargetMode="External"/><Relationship Id="rId1232" Type="http://schemas.openxmlformats.org/officeDocument/2006/relationships/hyperlink" Target="../../../../../../../../../Releases/Product/Netmind_4.7/Build&amp;Release/Release_For_LQA/Test_Build_1.0.1/Server%20CD/DBS/Setup" TargetMode="External"/><Relationship Id="rId1677" Type="http://schemas.openxmlformats.org/officeDocument/2006/relationships/hyperlink" Target="../../../../../../../../../Projects/Neustar/BHN/Build&amp;Release/Release%20For%20Test/Test_Build_3.5.37/Server%20CD/Database/Setup" TargetMode="External"/><Relationship Id="rId1884" Type="http://schemas.openxmlformats.org/officeDocument/2006/relationships/hyperlink" Target="../../../../../../../../../Releases/Projects/ANTEL/Release_For_IT/TestBuild_1.0.0.4/Server%20CD/DBS/Setup" TargetMode="External"/><Relationship Id="rId2728" Type="http://schemas.openxmlformats.org/officeDocument/2006/relationships/hyperlink" Target="../../../../../../../../../Releases/Projects/TLSTR-ST/Release_For_Test/Test_Build_1.0.1/Server%20CD/DBS/Setup" TargetMode="External"/><Relationship Id="rId907" Type="http://schemas.openxmlformats.org/officeDocument/2006/relationships/hyperlink" Target="../../../../../../../../../Releases/Projects/Telstra/Release_For_LQA/Test_Build_1.0.0.18/Server%20CD/DBS/Setup" TargetMode="External"/><Relationship Id="rId1537" Type="http://schemas.openxmlformats.org/officeDocument/2006/relationships/hyperlink" Target="../../../../../../../../../Releases/Projects/Comcast/Release_For_IT/Test_Build_4.6.1/Server%20CD/Database/Setup" TargetMode="External"/><Relationship Id="rId1744" Type="http://schemas.openxmlformats.org/officeDocument/2006/relationships/hyperlink" Target="../../../../../../../../../Releases/Projects/BHN/Release_For_Test/Test_Build_1.0.1/Server%20CD/DBS/Setup" TargetMode="External"/><Relationship Id="rId1951" Type="http://schemas.openxmlformats.org/officeDocument/2006/relationships/hyperlink" Target="../../../../../../../../../Releases/Projects/FNB/Release_For_Test/Test_Build_1.0.1/Server%20CD/DBS/Setup" TargetMode="External"/><Relationship Id="rId36" Type="http://schemas.openxmlformats.org/officeDocument/2006/relationships/hyperlink" Target="../../../../../../../../../Releases/Projects/SLT/Release_For_IT/Test_Build_1.0.0.4/Server%20CD/DBS/Setup" TargetMode="External"/><Relationship Id="rId1604" Type="http://schemas.openxmlformats.org/officeDocument/2006/relationships/hyperlink" Target="../../../../../../../../../Releases/Projects/Comcast/Release_for_Test/Test_Build_4.6.6/Server%20CD/Database/Setup" TargetMode="External"/><Relationship Id="rId185" Type="http://schemas.openxmlformats.org/officeDocument/2006/relationships/hyperlink" Target="../../../../../../../../../Releases/Projects/SLT/Release_For_LQA/Test_Build_1.0.0.17/Server%20CD/DBS/Setup" TargetMode="External"/><Relationship Id="rId1811" Type="http://schemas.openxmlformats.org/officeDocument/2006/relationships/hyperlink" Target="../../../../../../../../../Releases/Projects/Comcast/Release_for_Test/Test_Build_4.6.6/Server%20CD/Database/Setup" TargetMode="External"/><Relationship Id="rId1909" Type="http://schemas.openxmlformats.org/officeDocument/2006/relationships/hyperlink" Target="../../../../../../../../../Releases/Projects/SLT/Release_For_LQA/Test_Build_1.0.0.24/Server%20CD/DBS/Setup" TargetMode="External"/><Relationship Id="rId392" Type="http://schemas.openxmlformats.org/officeDocument/2006/relationships/hyperlink" Target="../../../../../../../../../Releases/Projects/SLT-1B/Release_For_Test/Test_Build_1.0.0.1/Utility/MPE/Setup" TargetMode="External"/><Relationship Id="rId697" Type="http://schemas.openxmlformats.org/officeDocument/2006/relationships/hyperlink" Target="../../../../../../../../../Releases/Projects/Comcast/Release_for_Test/Test_Build_4.6.3/Server%20CD/GUI/Setup" TargetMode="External"/><Relationship Id="rId2073" Type="http://schemas.openxmlformats.org/officeDocument/2006/relationships/hyperlink" Target="../../../../../../../../../Releases/Product/RT_4.0/ReleaseForLQA/TestBuild_4.0.24/DBS/Setup" TargetMode="External"/><Relationship Id="rId2280" Type="http://schemas.openxmlformats.org/officeDocument/2006/relationships/hyperlink" Target="../../../../../../../../../Releases/Product/WEB_CS/Build&amp;Release/Release%20For%20Test/TestBuild_2.1.22/ServerCD/GUI/Setup" TargetMode="External"/><Relationship Id="rId2378" Type="http://schemas.openxmlformats.org/officeDocument/2006/relationships/hyperlink" Target="../../../../../../../../../Releases/Product/Netmind_4.6/Build&amp;Release/ReleaseForIT/TestBuild_4.6.1/Build4/ServerCD/DBS/Setup" TargetMode="External"/><Relationship Id="rId252" Type="http://schemas.openxmlformats.org/officeDocument/2006/relationships/hyperlink" Target="../../../../../../../../../Releases/Projects/TWC/Release_For_IT/Test_Build_1.0.0.3/Server%20CD/DBS/Setup" TargetMode="External"/><Relationship Id="rId1187" Type="http://schemas.openxmlformats.org/officeDocument/2006/relationships/hyperlink" Target="../../../../../../../../../Releases/Projects/Comcast/Release_For_IT/Test_Build_4.6.1/Server%20CD/Database/Setup" TargetMode="External"/><Relationship Id="rId2140" Type="http://schemas.openxmlformats.org/officeDocument/2006/relationships/hyperlink" Target="../../../../../../../../../Releases/Projects/FNB/Release_For_Test/Test_Build_1.0.1/Server%20CD/DBS/Setup" TargetMode="External"/><Relationship Id="rId2585" Type="http://schemas.openxmlformats.org/officeDocument/2006/relationships/hyperlink" Target="../../../../../../../../../Releases/Product/AWF/Build&amp;Release/Release%20For%20Test/TestBuild_2.0.1/Setup" TargetMode="External"/><Relationship Id="rId2792" Type="http://schemas.openxmlformats.org/officeDocument/2006/relationships/hyperlink" Target="../../../../../../../../../Releases/Product/WEB_CS/Build&amp;Release/Release%20For%20Test/TestBuild_2.1.25/ServerCD/GUI/Setup" TargetMode="External"/><Relationship Id="rId112" Type="http://schemas.openxmlformats.org/officeDocument/2006/relationships/hyperlink" Target="../../../../../../../../../Releases/Projects/SHAW/Release_For_LQA/Test_Build_1.0.0.28/Client%20CD/RM/Setup" TargetMode="External"/><Relationship Id="rId557" Type="http://schemas.openxmlformats.org/officeDocument/2006/relationships/hyperlink" Target="../../../../../../../../../Releases/Projects/Comcast/Release_for_Test/Test_Build_4.6.1/Server%20CD/Database/Setup" TargetMode="External"/><Relationship Id="rId764" Type="http://schemas.openxmlformats.org/officeDocument/2006/relationships/hyperlink" Target="../../../../../../../../../Releases/Product/Netmind_4.6/Build&amp;Release/ReleaseForIT/TestBuild_4.6.1/Build4/ServerCD/DBS/Setup" TargetMode="External"/><Relationship Id="rId971" Type="http://schemas.openxmlformats.org/officeDocument/2006/relationships/hyperlink" Target="../../../../../../../../../Releases/Projects/Comcast/Release_for_Test/Test_Build_4.6.5/Server%20CD/Database/Setup" TargetMode="External"/><Relationship Id="rId1394" Type="http://schemas.openxmlformats.org/officeDocument/2006/relationships/hyperlink" Target="../../../../../../../../../Releases/Projects/Comcast/Release_for_Test/Test_Build_4.6.6/Server%20CD/Database/Setup" TargetMode="External"/><Relationship Id="rId1699" Type="http://schemas.openxmlformats.org/officeDocument/2006/relationships/hyperlink" Target="../../../../../../../../../Releases/Projects/BHN/Release_For_IT/TestBuild_1.0.0.1/Server%20CD/Utility/Setup" TargetMode="External"/><Relationship Id="rId2000" Type="http://schemas.openxmlformats.org/officeDocument/2006/relationships/hyperlink" Target="../../../../../../../../../Releases/Projects/Comcast/Release_for_Test/Test_Build_4.6.6/Server%20CD/GUI/Setup" TargetMode="External"/><Relationship Id="rId2238" Type="http://schemas.openxmlformats.org/officeDocument/2006/relationships/hyperlink" Target="../../../../../../../../../Releases/Projects/SLT-1B/Release_For_Test/Test_Build_1.0.0.1/Server%20CD/MPE/Setup" TargetMode="External"/><Relationship Id="rId2445" Type="http://schemas.openxmlformats.org/officeDocument/2006/relationships/hyperlink" Target="../../../../../../../../../Releases/Projects/Telstra-2b/Release_For_Test/Test_Build_1.0.0.1/Server%20CD/MPE/Setup" TargetMode="External"/><Relationship Id="rId2652" Type="http://schemas.openxmlformats.org/officeDocument/2006/relationships/hyperlink" Target="../../../../../../../../../Releases/Product/AWF/Build&amp;Release/Release%20For%20Test/TestBuild_2.0.2/Setup" TargetMode="External"/><Relationship Id="rId417" Type="http://schemas.openxmlformats.org/officeDocument/2006/relationships/hyperlink" Target="../../../../../../../../../Releases/Projects/TWC/Release_For_IT/Test_Build_1.0.0.3/Server%20CD/DBS/Setup" TargetMode="External"/><Relationship Id="rId624" Type="http://schemas.openxmlformats.org/officeDocument/2006/relationships/hyperlink" Target="../../../../../../../../../Releases/Projects/SLT/Release_For_IT/Test_Build_1.0.0.4/Server%20CD/DBS/Setup" TargetMode="External"/><Relationship Id="rId831" Type="http://schemas.openxmlformats.org/officeDocument/2006/relationships/hyperlink" Target="../../../../../../../../../Releases/Projects/SLT/Release_For_IT/Test_Build_1.0.0.4/Server%20CD/DBS/Setup" TargetMode="External"/><Relationship Id="rId1047" Type="http://schemas.openxmlformats.org/officeDocument/2006/relationships/hyperlink" Target="../../../../../../../../../Releases/Projects/SLT/Release_For_IT/Test_Build_1.0.0.4/Server%20CD/DBS/Setup" TargetMode="External"/><Relationship Id="rId1254" Type="http://schemas.openxmlformats.org/officeDocument/2006/relationships/hyperlink" Target="../../../../../../../../../Releases/Projects/SLT/Release_For_LQA/Test_Build_1.0.0.23/Server%20CD/DBS/Setup" TargetMode="External"/><Relationship Id="rId1461" Type="http://schemas.openxmlformats.org/officeDocument/2006/relationships/hyperlink" Target="../../../../../../../../../Releases/Product/WEB_WFS/Build&amp;Release/Release%20For%20Test/TestBuild_2.2.1/Build4/ServerCD/GUI/Setup" TargetMode="External"/><Relationship Id="rId2305" Type="http://schemas.openxmlformats.org/officeDocument/2006/relationships/hyperlink" Target="../../../../../../../../../Releases/Projects/TLSTR-ST/Release_For_IT/TestBuild_1.0.1/Server%20CD/DBS/Setup" TargetMode="External"/><Relationship Id="rId2512" Type="http://schemas.openxmlformats.org/officeDocument/2006/relationships/hyperlink" Target="../../../../../../../../../Releases/Projects/Telenet/Build&amp;Release/Release%20For%20Test/Test_Build_4.0.41/Server%20CD/MPE/Setup" TargetMode="External"/><Relationship Id="rId929" Type="http://schemas.openxmlformats.org/officeDocument/2006/relationships/hyperlink" Target="../../../../../../../../../Releases/Projects/SLT/Release_For_LQA/Test_Build_1.0.0.23/Server%20CD/DBS/Setup" TargetMode="External"/><Relationship Id="rId1114" Type="http://schemas.openxmlformats.org/officeDocument/2006/relationships/hyperlink" Target="../../../../../../../../../Releases/Projects/Comcast/Release_for_Test/Test_Build_4.6.5/Server%20CD/Database/Setup" TargetMode="External"/><Relationship Id="rId1321" Type="http://schemas.openxmlformats.org/officeDocument/2006/relationships/hyperlink" Target="../../../../../../../../../Releases/Projects/Comcast/Release_For_IT/Test_Build_4.6.1/Server%20CD/Database/Setup" TargetMode="External"/><Relationship Id="rId1559" Type="http://schemas.openxmlformats.org/officeDocument/2006/relationships/hyperlink" Target="../../../../../../../../../Releases/Projects/Telstra-2b/Release_For_Test/Test_Build_1.0.0.1/Server%20CD/MPE/Setup" TargetMode="External"/><Relationship Id="rId1766" Type="http://schemas.openxmlformats.org/officeDocument/2006/relationships/hyperlink" Target="../../../../../../../../../Releases/Projects/SLT/Release_For_IT/Test_Build_1.0.0.4/Server%20CD/DBS/Setup" TargetMode="External"/><Relationship Id="rId1973" Type="http://schemas.openxmlformats.org/officeDocument/2006/relationships/hyperlink" Target="../../../../../../../../../Releases/Projects/BHN/Release_For_IT/TestBuild_1.0.0.1/Server%20CD/Utility/Setup" TargetMode="External"/><Relationship Id="rId2817" Type="http://schemas.openxmlformats.org/officeDocument/2006/relationships/comments" Target="../comments1.xml"/><Relationship Id="rId58" Type="http://schemas.openxmlformats.org/officeDocument/2006/relationships/hyperlink" Target="../../../../../../../../../Releases/Projects/OBT/Release_For_LQA/TestBuild_1.0.0.3/Server%20CD/DBS/Setup" TargetMode="External"/><Relationship Id="rId1419" Type="http://schemas.openxmlformats.org/officeDocument/2006/relationships/hyperlink" Target="../../../../../../../../../Releases/Projects/SLT/Release_For_LQA/Test_Build_1.0.0.24/Server%20CD/DBS/Setup" TargetMode="External"/><Relationship Id="rId1626" Type="http://schemas.openxmlformats.org/officeDocument/2006/relationships/hyperlink" Target="../../../../../../../../../Projects/Neustar/BHN/Build&amp;Release/Release%20For%20Test/Test_Build_3.5.37/Server%20CD/Database/Setup" TargetMode="External"/><Relationship Id="rId1833" Type="http://schemas.openxmlformats.org/officeDocument/2006/relationships/hyperlink" Target="../../../../../../../../../Releases/Projects/SLT/Release_For_LQA/Test_Build_1.0.0.24/Server%20CD/DBS/Setup" TargetMode="External"/><Relationship Id="rId1900" Type="http://schemas.openxmlformats.org/officeDocument/2006/relationships/hyperlink" Target="../../../../../../../../../Releases/Projects/SLT/Release_For_LQA/Test_Build_1.0.0.24/Server%20CD/DBS/Setup" TargetMode="External"/><Relationship Id="rId2095" Type="http://schemas.openxmlformats.org/officeDocument/2006/relationships/hyperlink" Target="../../../../../../../../../Releases/Projects/ANTEL/Release_For_Test/Test_Build_1.0.0.7/Server%20CD/GUI/Setup" TargetMode="External"/><Relationship Id="rId274" Type="http://schemas.openxmlformats.org/officeDocument/2006/relationships/hyperlink" Target="../../../../../../../../../Releases/Projects/SLT/Release_For_LQA/Test_Build_1.0.0.18/Server%20CD/DBS/Setup" TargetMode="External"/><Relationship Id="rId481" Type="http://schemas.openxmlformats.org/officeDocument/2006/relationships/hyperlink" Target="../../../../../../../../../Releases/Projects/Telstra/Release_For_IT/Test_Build_1.0.0.18/Server%20CD/DBS/Setup" TargetMode="External"/><Relationship Id="rId2162" Type="http://schemas.openxmlformats.org/officeDocument/2006/relationships/hyperlink" Target="../../../../../../../../../Releases/Projects/FNB/Release_For_IT/TestBuild_1.0.1/Server%20CD/DBS/Setup" TargetMode="External"/><Relationship Id="rId134" Type="http://schemas.openxmlformats.org/officeDocument/2006/relationships/hyperlink" Target="../../../../../../../../../Releases/Product/WEB_WFS/Build&amp;Release/Release%20For%20Test/TestBuild_2.1.22/Build1/ServerCD/GUI/Setup" TargetMode="External"/><Relationship Id="rId579" Type="http://schemas.openxmlformats.org/officeDocument/2006/relationships/hyperlink" Target="../../../../../../../../../Releases/Projects/OBT/Release_For_LQA/TestBuild_1.0.0.4/Server%20CD/DBS/Setup" TargetMode="External"/><Relationship Id="rId786" Type="http://schemas.openxmlformats.org/officeDocument/2006/relationships/hyperlink" Target="../../../../../../../../../Releases/Projects/SLT/Release_For_LQA/Test_Build_1.0.0.23/Server%20CD/DBS/Setup" TargetMode="External"/><Relationship Id="rId993" Type="http://schemas.openxmlformats.org/officeDocument/2006/relationships/hyperlink" Target="../../../../../../../../../Releases/Projects/SLT/Release_For_LQA/Test_Build_1.0.0.23/Server%20CD/DBS/Setup" TargetMode="External"/><Relationship Id="rId2467" Type="http://schemas.openxmlformats.org/officeDocument/2006/relationships/hyperlink" Target="../../../../../../../../../Releases/Projects/TLSTR-ST/Release_For_Test/Test_Build_1.0.1/Server%20CD/DBS/Setup" TargetMode="External"/><Relationship Id="rId2674" Type="http://schemas.openxmlformats.org/officeDocument/2006/relationships/hyperlink" Target="../../../../../../../../../Releases/Projects/FNB/Release_For_Test/Test_Build_1.0.2/Server%20CD/DBS/Setup" TargetMode="External"/><Relationship Id="rId341" Type="http://schemas.openxmlformats.org/officeDocument/2006/relationships/hyperlink" Target="../../../../../../../../../Releases/Projects/SLT/Release_For_LQA/Test_Build_1.0.0.19/Server%20CD/DBS/Setup" TargetMode="External"/><Relationship Id="rId439" Type="http://schemas.openxmlformats.org/officeDocument/2006/relationships/hyperlink" Target="../../../../../../../../../Releases/Projects/SLT/Release_For_IT/Test_Build_1.0.0.4/Server%20CD/DBS/Setup" TargetMode="External"/><Relationship Id="rId646" Type="http://schemas.openxmlformats.org/officeDocument/2006/relationships/hyperlink" Target="../../../../../../../../../Releases/Product/RE_1.0/ReleaseForLQA/TestBuild_1.0.1/DBS/Build4/Setup" TargetMode="External"/><Relationship Id="rId1069" Type="http://schemas.openxmlformats.org/officeDocument/2006/relationships/hyperlink" Target="../../../../../../../../../Releases/Projects/SLT/Release_For_IT/Test_Build_1.0.0.4/Server%20CD/DBS/Setup" TargetMode="External"/><Relationship Id="rId1276" Type="http://schemas.openxmlformats.org/officeDocument/2006/relationships/hyperlink" Target="../../../../../../../../../Releases/Product/WEB_CS/Build&amp;Release/Release%20For%20Test/TestBuild_2.1.19/ServerCD/GUI/Setup" TargetMode="External"/><Relationship Id="rId1483" Type="http://schemas.openxmlformats.org/officeDocument/2006/relationships/hyperlink" Target="../../../../../../../../../Releases/Projects/SLT/Release_For_IT/Test_Build_1.0.0.4/Server%20CD/DBS/Setup" TargetMode="External"/><Relationship Id="rId2022" Type="http://schemas.openxmlformats.org/officeDocument/2006/relationships/hyperlink" Target="../../../../../../../../../Releases/Product/RT_4.0/ReleaseForIT/TestBuild_4.0.3/DBS/Setup" TargetMode="External"/><Relationship Id="rId2327" Type="http://schemas.openxmlformats.org/officeDocument/2006/relationships/hyperlink" Target="../../../../../../../../../Releases/Product/RT_4.0/ReleaseForLQA/TestBuild_4.0.24/GUI/Build1/Setup" TargetMode="External"/><Relationship Id="rId201" Type="http://schemas.openxmlformats.org/officeDocument/2006/relationships/hyperlink" Target="../../../../../../../../../Releases/Projects/SHAW/Release_For_LQA/Test_Build_1.0.0.28/Server%20CD/DBS/Setup" TargetMode="External"/><Relationship Id="rId506" Type="http://schemas.openxmlformats.org/officeDocument/2006/relationships/hyperlink" Target="../../../../../../../../../Releases/Projects/SLT/Release_For_IT/Test_Build_1.0.0.4/Server%20CD/DBS/Setup" TargetMode="External"/><Relationship Id="rId853" Type="http://schemas.openxmlformats.org/officeDocument/2006/relationships/hyperlink" Target="../../../../../../../../../Releases/Projects/Comcast/Release_for_Test/Test_Build_4.6.4/Server%20CD/Database/Setup" TargetMode="External"/><Relationship Id="rId1136" Type="http://schemas.openxmlformats.org/officeDocument/2006/relationships/hyperlink" Target="../../../../../../../../../Releases/Projects/SLT/Release_For_LQA/Test_Build_1.0.0.23/Server%20CD/DBS/Setup" TargetMode="External"/><Relationship Id="rId1690" Type="http://schemas.openxmlformats.org/officeDocument/2006/relationships/hyperlink" Target="../../../../../../../../../Releases/Projects/SLT/Release_For_IT/Test_Build_1.0.0.4/Server%20CD/DBS/Setup" TargetMode="External"/><Relationship Id="rId1788" Type="http://schemas.openxmlformats.org/officeDocument/2006/relationships/hyperlink" Target="../../../../../../../../../Releases/Projects/SLT/Release_For_LQA/Test_Build_1.0.0.24/Server%20CD/DBS/Setup" TargetMode="External"/><Relationship Id="rId1995" Type="http://schemas.openxmlformats.org/officeDocument/2006/relationships/hyperlink" Target="../../../../../../../../../Releases/Projects/Telstra/Release_For_LQA/Test_Build_1.0.0.18/Server%20CD/DBS/Setup" TargetMode="External"/><Relationship Id="rId2534" Type="http://schemas.openxmlformats.org/officeDocument/2006/relationships/hyperlink" Target="../../../../../../../../../Releases/Projects/Vonage/Release_For_IT/Test_Build_4.0.18/Server%20CD/DBS/Setup" TargetMode="External"/><Relationship Id="rId2741" Type="http://schemas.openxmlformats.org/officeDocument/2006/relationships/hyperlink" Target="../../../../../../../../../Releases/Projects/Comcast/Release_for_Test/Test_Build_4.6.10/Server%20CD/Database/Setup" TargetMode="External"/><Relationship Id="rId713" Type="http://schemas.openxmlformats.org/officeDocument/2006/relationships/hyperlink" Target="../../../../../../../../../Releases/Projects/SLT/Release_For_IT/Test_Build_1.0.0.4/Server%20CD/DBS/Setup" TargetMode="External"/><Relationship Id="rId920" Type="http://schemas.openxmlformats.org/officeDocument/2006/relationships/hyperlink" Target="../../../../../../../../../Releases/Projects/SLT/Release_For_IT/Test_Build_1.0.0.4/Server%20CD/DBS/Setup" TargetMode="External"/><Relationship Id="rId1343" Type="http://schemas.openxmlformats.org/officeDocument/2006/relationships/hyperlink" Target="../../../../../../../../../Releases/Product/Netmind_4.6/Build&amp;Release/ReleaseForIT/TestBuild_4.6.1/Build4/ServerCD/DBS/Setup" TargetMode="External"/><Relationship Id="rId1550" Type="http://schemas.openxmlformats.org/officeDocument/2006/relationships/hyperlink" Target="../../../../../../../../../Projects/Neustar/BHN/Build&amp;Release/Release%20For%20Test/Test_Build_3.5.37/Server%20CD/Database/Setup" TargetMode="External"/><Relationship Id="rId1648" Type="http://schemas.openxmlformats.org/officeDocument/2006/relationships/hyperlink" Target="../../../../../../../../../Releases/Projects/SLT/Release_For_IT/Test_Build_1.0.0.4/Server%20CD/DBS/Setup" TargetMode="External"/><Relationship Id="rId2601" Type="http://schemas.openxmlformats.org/officeDocument/2006/relationships/hyperlink" Target="../../../../../../../../../Releases/Projects/SLT-1B/Release_For_Test/Test_Build_1.0.0.1/Server%20CD/MPE/Setup" TargetMode="External"/><Relationship Id="rId1203" Type="http://schemas.openxmlformats.org/officeDocument/2006/relationships/hyperlink" Target="../../../../../../../../../Releases/Projects/SLT/Release_For_IT/Test_Build_1.0.0.4/Server%20CD/DBS/Setup" TargetMode="External"/><Relationship Id="rId1410" Type="http://schemas.openxmlformats.org/officeDocument/2006/relationships/hyperlink" Target="../../../../../../../../../Releases/Product/RT_4.0/ReleaseForLQA/TestBuild_4.0.24/DBS/Setup" TargetMode="External"/><Relationship Id="rId1508" Type="http://schemas.openxmlformats.org/officeDocument/2006/relationships/hyperlink" Target="../../../../../../../../../Releases/Projects/OBT/Release_For_LQA/TestBuild_1.0.0.6/Server%20CD/DBS/Setup" TargetMode="External"/><Relationship Id="rId1855" Type="http://schemas.openxmlformats.org/officeDocument/2006/relationships/hyperlink" Target="../../../../../../../../../Releases/Projects/Telstra/Release_For_LQA/Test_Build_1.0.0.18/Server%20CD/DBS/Setup" TargetMode="External"/><Relationship Id="rId1715" Type="http://schemas.openxmlformats.org/officeDocument/2006/relationships/hyperlink" Target="../../../../../../../../../Releases/Projects/SLT/Release_For_LQA/Test_Build_1.0.0.24/Server%20CD/DBS/Setup" TargetMode="External"/><Relationship Id="rId1922" Type="http://schemas.openxmlformats.org/officeDocument/2006/relationships/hyperlink" Target="../../../../../../../../../Releases/Projects/Comcast/Release_for_Test/Test_Build_4.6.6/Server%20CD/Database/Setup" TargetMode="External"/><Relationship Id="rId296" Type="http://schemas.openxmlformats.org/officeDocument/2006/relationships/hyperlink" Target="../../../../../../../../../Releases/Projects/VzB/Release_For_LQA/Test_Build_1.0.0.1/Server%20CD/DBS/Setup" TargetMode="External"/><Relationship Id="rId2184" Type="http://schemas.openxmlformats.org/officeDocument/2006/relationships/hyperlink" Target="../../../../../../../../../Releases/Projects/BHN/Release_For_Test/Test_Build_1.0.5/Server%20CD/GUI/Setup" TargetMode="External"/><Relationship Id="rId2391" Type="http://schemas.openxmlformats.org/officeDocument/2006/relationships/hyperlink" Target="../../../../../../../../../Releases/Projects/Comcast/Release_for_Test/Test_Build_4.6.7/Server%20CD/Database/Setup" TargetMode="External"/><Relationship Id="rId156" Type="http://schemas.openxmlformats.org/officeDocument/2006/relationships/hyperlink" Target="../../../../../../../../../Releases/Projects/TWC/Release_For_IT/Test_Build_1.0.0.3/Server%20CD/DBS/Setup" TargetMode="External"/><Relationship Id="rId363" Type="http://schemas.openxmlformats.org/officeDocument/2006/relationships/hyperlink" Target="../../../../../../../../../Releases/Projects/DRC/Release_For_LQA/Test_Build_1.0.0.3/Server%20CD/MPE/Setup" TargetMode="External"/><Relationship Id="rId570" Type="http://schemas.openxmlformats.org/officeDocument/2006/relationships/hyperlink" Target="../../../../../../../../../Releases/Projects/SLT/Release_For_IT/Test_Build_1.0.0.4/Server%20CD/DBS/Setup" TargetMode="External"/><Relationship Id="rId2044" Type="http://schemas.openxmlformats.org/officeDocument/2006/relationships/hyperlink" Target="../../../../../../../../../Releases/Projects/MCC/Release_For_Test/Test_Build_1.0.1/Server%20CD/DBS/Setup" TargetMode="External"/><Relationship Id="rId2251" Type="http://schemas.openxmlformats.org/officeDocument/2006/relationships/hyperlink" Target="../../../../../../../../../Releases/Projects/TLSTR-ST/Release_For_IT/TestBuild_1.0.1/Server%20CD/DBS/Setup" TargetMode="External"/><Relationship Id="rId2489" Type="http://schemas.openxmlformats.org/officeDocument/2006/relationships/hyperlink" Target="../../../../../../../../../Releases/Projects/MAC/Release_For_Test/Test_Build_1.0.1/Server%20CD/GUI/Setup" TargetMode="External"/><Relationship Id="rId2696" Type="http://schemas.openxmlformats.org/officeDocument/2006/relationships/hyperlink" Target="../../../../../../../../../Releases/Projects/BHN/Release_For_Test/Test_Build_1.0.8/Server%20CD/DBS/Setup" TargetMode="External"/><Relationship Id="rId223" Type="http://schemas.openxmlformats.org/officeDocument/2006/relationships/hyperlink" Target="../../../../../../../../../Releases/Projects/Comcast/Release_for_Test/Test_Build_3.5.50/Utility/Setup" TargetMode="External"/><Relationship Id="rId430" Type="http://schemas.openxmlformats.org/officeDocument/2006/relationships/hyperlink" Target="../../../../../../../../../Releases/Projects/MTS/Release%20For%20IT/Test_Build_3.0.5.25/Server%20CD/Database/Setup" TargetMode="External"/><Relationship Id="rId668" Type="http://schemas.openxmlformats.org/officeDocument/2006/relationships/hyperlink" Target="../../../../../../../../../Projects/Neustar/BHN/Build&amp;Release/Release%20For%20Test/Test_Build_3.5.37/Server%20CD/Database/Setup" TargetMode="External"/><Relationship Id="rId875" Type="http://schemas.openxmlformats.org/officeDocument/2006/relationships/hyperlink" Target="../../../../../../../../../Releases/Projects/SLT/Release_For_LQA/Test_Build_1.0.0.23/Server%20CD/DBS/Setup" TargetMode="External"/><Relationship Id="rId1060" Type="http://schemas.openxmlformats.org/officeDocument/2006/relationships/hyperlink" Target="../../../../../../../../../Releases/Projects/DRC/Release_For_LQA/Test_Build_1.0.0.3/Server%20CD/MPE/Setup" TargetMode="External"/><Relationship Id="rId1298" Type="http://schemas.openxmlformats.org/officeDocument/2006/relationships/hyperlink" Target="../../../../../../../../../Releases/Projects/Comcast/Release_For_IT/Test_Build_4.6.1/Server%20CD/Database/Setup" TargetMode="External"/><Relationship Id="rId2111" Type="http://schemas.openxmlformats.org/officeDocument/2006/relationships/hyperlink" Target="../../../../../../../../../Releases/Projects/Comcast/Release_for_Test/Test_Build_4.6.7/Server%20CD/GUI/Setup" TargetMode="External"/><Relationship Id="rId2349" Type="http://schemas.openxmlformats.org/officeDocument/2006/relationships/hyperlink" Target="../../../../../../../../../Releases/Projects/SLT/Release_For_LQA/Test_Build_1.0.0.24/Server%20CD/DBS/Setup" TargetMode="External"/><Relationship Id="rId2556" Type="http://schemas.openxmlformats.org/officeDocument/2006/relationships/hyperlink" Target="../../../../../../../../../Releases/Projects/Telstra-2b/Release_For_Test/Test_Build_1.0.0.1/Server%20CD/MPE/Setup" TargetMode="External"/><Relationship Id="rId2763" Type="http://schemas.openxmlformats.org/officeDocument/2006/relationships/hyperlink" Target="../../../../../../../../../Releases/Projects/Telenet/Build&amp;Release/Release%20For%20IT/Test_Build_4.0.41/Server%20CD/Database/Setup" TargetMode="External"/><Relationship Id="rId528" Type="http://schemas.openxmlformats.org/officeDocument/2006/relationships/hyperlink" Target="../../../../../../../../../Releases/Projects/Comcast/Release_For_IT/Test_Build_4.6.1/Server%20CD/Database/Setup" TargetMode="External"/><Relationship Id="rId735" Type="http://schemas.openxmlformats.org/officeDocument/2006/relationships/hyperlink" Target="../../../../../../../../../Releases/Product/RT_4.0/ReleaseForIT/TestBuild_4.0.3/DBS/Setup" TargetMode="External"/><Relationship Id="rId942" Type="http://schemas.openxmlformats.org/officeDocument/2006/relationships/hyperlink" Target="../../../../../../../../../Releases/Projects/Comcast/Release_for_Test/Test_Build_4.6.4/Server%20CD/Database/Setup" TargetMode="External"/><Relationship Id="rId1158" Type="http://schemas.openxmlformats.org/officeDocument/2006/relationships/hyperlink" Target="../../../../../../../../../Releases/Projects/ANTEL/Release_For_Test/Test_Build_1.0.0.7/Server%20CD/DBS/Setup" TargetMode="External"/><Relationship Id="rId1365" Type="http://schemas.openxmlformats.org/officeDocument/2006/relationships/hyperlink" Target="../../../../../../../../../Releases/Projects/SLT/Release_For_LQA/Test_Build_1.0.0.24/Server%20CD/DBS/Setup" TargetMode="External"/><Relationship Id="rId1572" Type="http://schemas.openxmlformats.org/officeDocument/2006/relationships/hyperlink" Target="../../../../../../../../../Releases/Product/RE_1.0/ReleaseForLQA/TestBuild_1.0.1/DBS/Build4/Setup" TargetMode="External"/><Relationship Id="rId2209" Type="http://schemas.openxmlformats.org/officeDocument/2006/relationships/hyperlink" Target="file:///\\192.168.3.3\share\Releases\Projects\OBT\Release_For_LQA\TestBuild_1.0.0.7\Server%20CD\MPE\Setup" TargetMode="External"/><Relationship Id="rId2416" Type="http://schemas.openxmlformats.org/officeDocument/2006/relationships/hyperlink" Target="../../../../../../../../../Releases/Projects/TWC/Release_For_Test/Test_Build_1.0.0.4/Server%20CD/DBS/Setup" TargetMode="External"/><Relationship Id="rId2623" Type="http://schemas.openxmlformats.org/officeDocument/2006/relationships/hyperlink" Target="../../../../../../../../../Releases/Projects/SLT-1B/Release_For_Test/Test_Build_1.0.0.1/Server%20CD/MPE/Setup" TargetMode="External"/><Relationship Id="rId1018" Type="http://schemas.openxmlformats.org/officeDocument/2006/relationships/hyperlink" Target="../../../../../../../../../Releases/Projects/SLT/Release_For_IT/Test_Build_1.0.0.4/Server%20CD/DBS/Setup" TargetMode="External"/><Relationship Id="rId1225" Type="http://schemas.openxmlformats.org/officeDocument/2006/relationships/hyperlink" Target="../../../../../../../../../Releases/Projects/Comcast/Release_for_Test/Test_Build_4.6.5/Server%20CD/Database/Setup" TargetMode="External"/><Relationship Id="rId1432" Type="http://schemas.openxmlformats.org/officeDocument/2006/relationships/hyperlink" Target="../../../../../../../../../Releases/Projects/Comcast/Release_for_Test/Test_Build_4.6.6/Server%20CD/GUI/Setup" TargetMode="External"/><Relationship Id="rId1877" Type="http://schemas.openxmlformats.org/officeDocument/2006/relationships/hyperlink" Target="../../../../../../../../../Releases/Projects/TLSTR-ST/Release_For_IT/TestBuild_1.0.1/Server%20CD/DBS/Setup" TargetMode="External"/><Relationship Id="rId71" Type="http://schemas.openxmlformats.org/officeDocument/2006/relationships/hyperlink" Target="../../../../../../../../../Releases/Projects/OBT/Release_For_IT/TestBuild_1.0.0.2/Server%20CD/DBS/Setup" TargetMode="External"/><Relationship Id="rId802" Type="http://schemas.openxmlformats.org/officeDocument/2006/relationships/hyperlink" Target="../../../../../../../../../Releases/Projects/SLT/Release_For_LQA/Test_Build_1.0.0.23/Server%20CD/DBS/Setup" TargetMode="External"/><Relationship Id="rId1737" Type="http://schemas.openxmlformats.org/officeDocument/2006/relationships/hyperlink" Target="../../../../../../../../../Releases/Projects/TWC/Release_For_Test/Test_Build_1.0.0.4/Server%20CD/DBS/Setup" TargetMode="External"/><Relationship Id="rId1944" Type="http://schemas.openxmlformats.org/officeDocument/2006/relationships/hyperlink" Target="../../../../../../../../../Releases/Projects/FNB/Release_For_Test/Test_Build_1.0.1/Server%20CD/DBS/Setup" TargetMode="External"/><Relationship Id="rId29" Type="http://schemas.openxmlformats.org/officeDocument/2006/relationships/hyperlink" Target="../../../../../../../../../Releases/Projects/SLT-1B/Release_For_Test/Test_Build_1.0.0.1/Server%20CD/MPE/Setup" TargetMode="External"/><Relationship Id="rId178" Type="http://schemas.openxmlformats.org/officeDocument/2006/relationships/hyperlink" Target="../../../../../../../../../Releases/Projects/MAX/Release_For_Test/Test_Build_1.0.0.1/Server%20CD/GUI/Setup" TargetMode="External"/><Relationship Id="rId1804" Type="http://schemas.openxmlformats.org/officeDocument/2006/relationships/hyperlink" Target="../../../../../../../../../Releases/Projects/Comcast/Release_For_IT/Test_Build_4.6.1/Server%20CD/Database/Setup" TargetMode="External"/><Relationship Id="rId385" Type="http://schemas.openxmlformats.org/officeDocument/2006/relationships/hyperlink" Target="../../../../../../../../../Releases/Projects/Telstra-2b/Release_For_Test/Test_Build_1.0.0.1/Server%20CD/MPE/Setup" TargetMode="External"/><Relationship Id="rId592" Type="http://schemas.openxmlformats.org/officeDocument/2006/relationships/hyperlink" Target="../../../../../../../../../Releases/Product/RevMind_2.1/Build&amp;Release/Release_For_IT/TestBuild_1.0.1/Server%20CD/DBS/Setup" TargetMode="External"/><Relationship Id="rId2066" Type="http://schemas.openxmlformats.org/officeDocument/2006/relationships/hyperlink" Target="../../../../../../../../../Releases/Product/RevMind_2.1/Build&amp;Release/Release_For_LQA/Test_Build_1.0.2/Server%20CD/GUI/CS/Setup" TargetMode="External"/><Relationship Id="rId2273" Type="http://schemas.openxmlformats.org/officeDocument/2006/relationships/hyperlink" Target="../../../../../../../../../Releases/Projects/SLT-1B/Release_For_Test/Test_Build_1.0.0.1/Server%20CD/MPE/Setup" TargetMode="External"/><Relationship Id="rId2480" Type="http://schemas.openxmlformats.org/officeDocument/2006/relationships/hyperlink" Target="../../../../../../../../../Releases/Projects/TLSTR-ST/Release_For_IT/TestBuild_1.0.1/Server%20CD/DBS/Setup" TargetMode="External"/><Relationship Id="rId245" Type="http://schemas.openxmlformats.org/officeDocument/2006/relationships/hyperlink" Target="../../../../../../../../../Releases/Product/RT_4.0/ReleaseForLQA/TestBuild_4.0.20/DBS/Setup" TargetMode="External"/><Relationship Id="rId452" Type="http://schemas.openxmlformats.org/officeDocument/2006/relationships/hyperlink" Target="../../../../../../../../../Releases/Projects/Telenet/Build&amp;Release/Release%20For%20IT/Test_Build_4.0.40/Client%20CD/GUI/Workflow%20System/Setup" TargetMode="External"/><Relationship Id="rId897" Type="http://schemas.openxmlformats.org/officeDocument/2006/relationships/hyperlink" Target="../../../../../../../../../Releases/Projects/SLT-1B/Release_For_Test/Test_Build_1.0.0.1/Server%20CD/MPE/Setup" TargetMode="External"/><Relationship Id="rId1082" Type="http://schemas.openxmlformats.org/officeDocument/2006/relationships/hyperlink" Target="../../../../../../../../../Releases/Projects/SLT/Release_For_LQA/Test_Build_1.0.0.23/Server%20CD/DBS/Setup" TargetMode="External"/><Relationship Id="rId2133" Type="http://schemas.openxmlformats.org/officeDocument/2006/relationships/hyperlink" Target="../../../../../../../../../Releases/Projects/Telenet/Build&amp;Release/Release%20For%20IT/Test_Build_4.0.41/Server%20CD/Database/Setup" TargetMode="External"/><Relationship Id="rId2340" Type="http://schemas.openxmlformats.org/officeDocument/2006/relationships/hyperlink" Target="../../../../../../../../../Releases/Projects/SLT-1B/Release_For_Test/Test_Build_1.0.0.1/Server%20CD/MPE/Setup" TargetMode="External"/><Relationship Id="rId2578" Type="http://schemas.openxmlformats.org/officeDocument/2006/relationships/hyperlink" Target="../../../../../../../../../Releases/Projects/TWC/Release_For_IT/Test_Build_1.0.0.3/Server%20CD/DBS/Setup" TargetMode="External"/><Relationship Id="rId2785" Type="http://schemas.openxmlformats.org/officeDocument/2006/relationships/hyperlink" Target="../../../../../../../../../Releases/Projects/TWC/Release_For_Test/Test_Build_1.0.0.4/Server%20CD/MPE/Setup" TargetMode="External"/><Relationship Id="rId105" Type="http://schemas.openxmlformats.org/officeDocument/2006/relationships/hyperlink" Target="../../../../../../../../../Releases/Product/Netmind_4.6/Build&amp;Release/ReleaseForIT/TestBuild_4.6.1/Build4/ServerCD/DBS/Setup" TargetMode="External"/><Relationship Id="rId312" Type="http://schemas.openxmlformats.org/officeDocument/2006/relationships/hyperlink" Target="../../../../../../../../../Releases/Product/RE_1.0/ReleaseForIT/TestBuild_1.0.1/DBS/Build4/Setup" TargetMode="External"/><Relationship Id="rId757" Type="http://schemas.openxmlformats.org/officeDocument/2006/relationships/hyperlink" Target="../../../../../../../../../Releases/Projects/Comcast/Release_for_Test/Test_Build_4.6.3/Server%20CD/Database/Setup" TargetMode="External"/><Relationship Id="rId964" Type="http://schemas.openxmlformats.org/officeDocument/2006/relationships/hyperlink" Target="../../../../../../../../../Releases/Projects/OBT/Release_For_LQA/TestBuild_1.0.0.6/Server%20CD/GUI/Setup" TargetMode="External"/><Relationship Id="rId1387" Type="http://schemas.openxmlformats.org/officeDocument/2006/relationships/hyperlink" Target="../../../../../../../../../Releases/Projects/OBT/Release_For_LQA/TestBuild_1.0.0.6/Server%20CD/MPE/Setup" TargetMode="External"/><Relationship Id="rId1594" Type="http://schemas.openxmlformats.org/officeDocument/2006/relationships/hyperlink" Target="../../../../../../../../../Releases/Product/MPE_3.2/ReleaseForLQA/TestBuild_3.2.6/Server%20CD/MPE/Setup" TargetMode="External"/><Relationship Id="rId2200" Type="http://schemas.openxmlformats.org/officeDocument/2006/relationships/hyperlink" Target="../../../../../../../../../Releases/Product/LA_1.1/Build&amp;Release/Release_For_LQA/Test_Build_1.0.1/Server%20CD/DBS/Setup" TargetMode="External"/><Relationship Id="rId2438" Type="http://schemas.openxmlformats.org/officeDocument/2006/relationships/hyperlink" Target="../../../../../../../../../Releases/Product/MEDGUI_1.1/Build&amp;Release/Release_For_LQA/Test_Build_1.0.2/Server%20CD/DBS/Setup" TargetMode="External"/><Relationship Id="rId2645" Type="http://schemas.openxmlformats.org/officeDocument/2006/relationships/hyperlink" Target="../../../../../../../../../Releases/Projects/SLT/Release_For_IT/Test_Build_1.0.0.4/Server%20CD/DBS/Setup" TargetMode="External"/><Relationship Id="rId93" Type="http://schemas.openxmlformats.org/officeDocument/2006/relationships/hyperlink" Target="../../../../../../../../../Releases/Projects/OBT/Release_For_LQA/TestBuild_1.0.0.3/Server%20CD/DBS/Setup" TargetMode="External"/><Relationship Id="rId617" Type="http://schemas.openxmlformats.org/officeDocument/2006/relationships/hyperlink" Target="../../../../../../../../../Releases/Product/RevMind_2.1/Build&amp;Release/Release_For_LQA/Test_Build_1.0.2/Server%20CD/DBS/Setup" TargetMode="External"/><Relationship Id="rId824" Type="http://schemas.openxmlformats.org/officeDocument/2006/relationships/hyperlink" Target="../../../../../../../../../Releases/Projects/OBT/Release_For_LQA/TestBuild_1.0.0.4/Server%20CD/DBS/Setup" TargetMode="External"/><Relationship Id="rId1247" Type="http://schemas.openxmlformats.org/officeDocument/2006/relationships/hyperlink" Target="../../../../../../../../../Releases/Projects/TWC/Release_For_IT/Test_Build_1.0.0.3/Server%20CD/DBS/Setup" TargetMode="External"/><Relationship Id="rId1454" Type="http://schemas.openxmlformats.org/officeDocument/2006/relationships/hyperlink" Target="../../../../../../../../../Releases/Projects/SLT/Release_For_LQA/Test_Build_1.0.0.24/Server%20CD/DBS/Setup" TargetMode="External"/><Relationship Id="rId1661" Type="http://schemas.openxmlformats.org/officeDocument/2006/relationships/hyperlink" Target="../../../../../../../../../Releases/Projects/SLT/Release_For_LQA/Test_Build_1.0.0.24/Server%20CD/DBS/Setup" TargetMode="External"/><Relationship Id="rId1899" Type="http://schemas.openxmlformats.org/officeDocument/2006/relationships/hyperlink" Target="../../../../../../../../../Releases/Projects/SLT/Release_For_IT/Test_Build_1.0.0.4/Server%20CD/DBS/Setup" TargetMode="External"/><Relationship Id="rId2505" Type="http://schemas.openxmlformats.org/officeDocument/2006/relationships/hyperlink" Target="../../../../../../../../../Releases/Projects/TLSTR-ST/Release_For_IT/TestBuild_1.0.1/Server%20CD/DBS/Setup" TargetMode="External"/><Relationship Id="rId2712" Type="http://schemas.openxmlformats.org/officeDocument/2006/relationships/hyperlink" Target="../../../../../../../../../Releases/Projects/BHN/Release_For_Test/Test_Build_1.0.8/Server%20CD/GUI/Setup" TargetMode="External"/><Relationship Id="rId1107" Type="http://schemas.openxmlformats.org/officeDocument/2006/relationships/hyperlink" Target="../../../../../../../../../Releases/Projects/SLT/Release_For_IT/Test_Build_1.0.0.4/Server%20CD/DBS/Setup" TargetMode="External"/><Relationship Id="rId1314" Type="http://schemas.openxmlformats.org/officeDocument/2006/relationships/hyperlink" Target="../../../../../../../../../Releases/Product/RT_4.0/ReleaseForLQA/TestBuild_4.0.24/DBS/Setup" TargetMode="External"/><Relationship Id="rId1521" Type="http://schemas.openxmlformats.org/officeDocument/2006/relationships/hyperlink" Target="../../../../../../../../../Releases/Projects/SLT/Release_For_LQA/Test_Build_1.0.0.24/Server%20CD/DBS/Setup" TargetMode="External"/><Relationship Id="rId1759" Type="http://schemas.openxmlformats.org/officeDocument/2006/relationships/hyperlink" Target="../../../../../../../../../Releases/Projects/SLT/Release_For_LQA/Test_Build_1.0.0.24/Server%20CD/DBS/Setup" TargetMode="External"/><Relationship Id="rId1966" Type="http://schemas.openxmlformats.org/officeDocument/2006/relationships/hyperlink" Target="../../../../../../../../../Releases/Projects/TWC/Release_For_IT/Test_Build_1.0.0.3/Server%20CD/DBS/Setup" TargetMode="External"/><Relationship Id="rId1619" Type="http://schemas.openxmlformats.org/officeDocument/2006/relationships/hyperlink" Target="../../../../../../../../../Releases/Projects/TWC/Release_For_Test/Test_Build_1.0.0.4/Server%20CD/MPE/Setup" TargetMode="External"/><Relationship Id="rId1826" Type="http://schemas.openxmlformats.org/officeDocument/2006/relationships/hyperlink" Target="../../../../../../../../../Releases/Projects/ANTEL/Release_For_Test/Test_Build_1.0.0.7/Server%20CD/DBS/Setup" TargetMode="External"/><Relationship Id="rId20" Type="http://schemas.openxmlformats.org/officeDocument/2006/relationships/hyperlink" Target="../../../../../../../../../Releases/Projects/SLT-1B/Release_For_Test/Test_Build_1.0.0.1/Server%20CD/MPE/Setup" TargetMode="External"/><Relationship Id="rId2088" Type="http://schemas.openxmlformats.org/officeDocument/2006/relationships/hyperlink" Target="../../../../../../../../../Releases/Projects/ANTEL/Release_For_IT/TestBuild_1.0.0.4/Server%20CD/DBS/Setup" TargetMode="External"/><Relationship Id="rId2295" Type="http://schemas.openxmlformats.org/officeDocument/2006/relationships/hyperlink" Target="../../../../../../../../../Releases/Projects/SLT-1B/Release_For_Test/Test_Build_1.0.0.1/Server%20CD/MPE/Setup" TargetMode="External"/><Relationship Id="rId267" Type="http://schemas.openxmlformats.org/officeDocument/2006/relationships/hyperlink" Target="../../../../../../../../../Releases/Product/RT_4.0/ReleaseForIT/TestBuild_4.0.3/DBS/Setup" TargetMode="External"/><Relationship Id="rId474" Type="http://schemas.openxmlformats.org/officeDocument/2006/relationships/hyperlink" Target="../../../../../../../../../Releases/Projects/Telstra/Release_For_IT/Test_Build_1.0.0.18/Server%20CD/DBS/Setup" TargetMode="External"/><Relationship Id="rId2155" Type="http://schemas.openxmlformats.org/officeDocument/2006/relationships/hyperlink" Target="../../../../../../../../../Releases/Projects/TLSTR-ST/Release_For_IT/TestBuild_1.0.1/Server%20CD/DBS/Setup" TargetMode="External"/><Relationship Id="rId127" Type="http://schemas.openxmlformats.org/officeDocument/2006/relationships/hyperlink" Target="../../../../../../../../../Releases/Product/RE_1.0/ReleaseForLQA/TestBuild_1.0.1/DBS/Build4/Setup" TargetMode="External"/><Relationship Id="rId681" Type="http://schemas.openxmlformats.org/officeDocument/2006/relationships/hyperlink" Target="../../../../../../../../../Releases/Projects/Comcast/Release_for_Test/Test_Build_4.6.2/Server%20CD/Database/Setup" TargetMode="External"/><Relationship Id="rId779" Type="http://schemas.openxmlformats.org/officeDocument/2006/relationships/hyperlink" Target="../../../../../../../../../Releases/Projects/SLT/Release_For_LQA/Test_Build_1.0.0.23/Server%20CD/DBS/Setup" TargetMode="External"/><Relationship Id="rId986" Type="http://schemas.openxmlformats.org/officeDocument/2006/relationships/hyperlink" Target="../../../../../../../../../Releases/Product/Netmind_4.6/Build&amp;Release/ReleaseForIT/TestBuild_4.6.1/Build4/ServerCD/DBS/Setup" TargetMode="External"/><Relationship Id="rId2362" Type="http://schemas.openxmlformats.org/officeDocument/2006/relationships/hyperlink" Target="../../../../../../../../../Releases/Projects/Vonage/Release_For_LQA/Test_Build_4.0.17/Client%20CD/GUI/PM/Setup" TargetMode="External"/><Relationship Id="rId2667" Type="http://schemas.openxmlformats.org/officeDocument/2006/relationships/hyperlink" Target="../../../../../../../../../Releases/Product/WEB_WFS/Build&amp;Release/Release%20For%20Test/TestBuild_2.2.1/Build4/ServerCD/GUI/Setup" TargetMode="External"/><Relationship Id="rId334" Type="http://schemas.openxmlformats.org/officeDocument/2006/relationships/hyperlink" Target="../../../../../../../../../Releases/Projects/OBT/Release_For_IT/TestBuild_1.0.0.2/Server%20CD/DBS/Setup" TargetMode="External"/><Relationship Id="rId541" Type="http://schemas.openxmlformats.org/officeDocument/2006/relationships/hyperlink" Target="../../../../../../../../../Releases/Projects/SLT/Release_For_IT/Test_Build_1.0.0.4/Server%20CD/DBS/Setup" TargetMode="External"/><Relationship Id="rId639" Type="http://schemas.openxmlformats.org/officeDocument/2006/relationships/hyperlink" Target="../../../../../../../../../Releases/Product/RevMind_2.1/Build&amp;Release/Release_For_LQA/Test_Build_1.0.2/Server%20CD/GUI/CS/Setup" TargetMode="External"/><Relationship Id="rId1171" Type="http://schemas.openxmlformats.org/officeDocument/2006/relationships/hyperlink" Target="../../../../../../../../../Releases/Product/RT_4.0/ReleaseForIT/TestBuild_4.0.3/DBS/Setup" TargetMode="External"/><Relationship Id="rId1269" Type="http://schemas.openxmlformats.org/officeDocument/2006/relationships/hyperlink" Target="../../../../../../../../../Releases/Projects/TWC/Release_For_Test/Test_Build_1.0.0.4/Server%20CD/MPE/Setup" TargetMode="External"/><Relationship Id="rId1476" Type="http://schemas.openxmlformats.org/officeDocument/2006/relationships/hyperlink" Target="../../../../../../../../../Releases/Product/WEB_WFS/Build&amp;Release/Release%20For%20Test/TestBuild_2.1.33/ServerCD/GUI/Setup" TargetMode="External"/><Relationship Id="rId2015" Type="http://schemas.openxmlformats.org/officeDocument/2006/relationships/hyperlink" Target="../../../../../../../../../Releases/Projects/SLT/Release_For_IT/Test_Build_1.0.0.4/Server%20CD/DBS/Setup" TargetMode="External"/><Relationship Id="rId2222" Type="http://schemas.openxmlformats.org/officeDocument/2006/relationships/hyperlink" Target="../../../../../../../../../Releases/Projects/BHN/Release_For_IT/TestBuild_1.0.0.1/Server%20CD/Utility/Setup" TargetMode="External"/><Relationship Id="rId401" Type="http://schemas.openxmlformats.org/officeDocument/2006/relationships/hyperlink" Target="../../../../../../../../../Releases/Projects/SLT/Release_For_LQA/Test_Build_1.0.0.19/Server%20CD/DBS/Setup" TargetMode="External"/><Relationship Id="rId846" Type="http://schemas.openxmlformats.org/officeDocument/2006/relationships/hyperlink" Target="../../../../../../../../../Releases/Projects/SLT/Release_For_LQA/Test_Build_1.0.0.23/Server%20CD/DBS/Setup" TargetMode="External"/><Relationship Id="rId1031" Type="http://schemas.openxmlformats.org/officeDocument/2006/relationships/hyperlink" Target="../../../../../../../../../Releases/Projects/SLT/Release_For_IT/Test_Build_1.0.0.4/Server%20CD/DBS/Setup" TargetMode="External"/><Relationship Id="rId1129" Type="http://schemas.openxmlformats.org/officeDocument/2006/relationships/hyperlink" Target="../../../../../../../../../Releases/Projects/Comcast/Release_For_IT/Test_Build_4.6.1/Server%20CD/Database/Setup" TargetMode="External"/><Relationship Id="rId1683" Type="http://schemas.openxmlformats.org/officeDocument/2006/relationships/hyperlink" Target="../../../../../../../../../Projects/Neustar/BHN/Build&amp;Release/Release%20For%20Test/Test_Build_3.5.37/Server%20CD/Database/Setup" TargetMode="External"/><Relationship Id="rId1890" Type="http://schemas.openxmlformats.org/officeDocument/2006/relationships/hyperlink" Target="../../../../../../../../../Releases/Projects/SLT/Release_For_LQA/Test_Build_1.0.0.24/Server%20CD/DBS/Setup" TargetMode="External"/><Relationship Id="rId1988" Type="http://schemas.openxmlformats.org/officeDocument/2006/relationships/hyperlink" Target="../../../../../../../../../Releases/Projects/SLT/Release_For_LQA/Test_Build_1.0.0.24/Server%20CD/GUI/Setup" TargetMode="External"/><Relationship Id="rId2527" Type="http://schemas.openxmlformats.org/officeDocument/2006/relationships/hyperlink" Target="../../../../../../../../../Releases/Projects/FNB/Release_For_Test/Test_Build_1.0.2/Server%20CD/DBS/Setup" TargetMode="External"/><Relationship Id="rId2734" Type="http://schemas.openxmlformats.org/officeDocument/2006/relationships/hyperlink" Target="../../../../../../../../../Releases/Projects/FNB/Release_For_Test/Test_Build_1.0.2/Server%20CD/DBS/Setup" TargetMode="External"/><Relationship Id="rId706" Type="http://schemas.openxmlformats.org/officeDocument/2006/relationships/hyperlink" Target="../../../../../../../../../Releases/Product/NetMindPOS_1.3/Build&amp;Release/Release_For_LQA/Test_Build_1.0.1/Server%20CD/DBS/Setup" TargetMode="External"/><Relationship Id="rId913" Type="http://schemas.openxmlformats.org/officeDocument/2006/relationships/hyperlink" Target="../../../../../../../../../Releases/Projects/SLT/Release_For_LQA/Test_Build_1.0.0.23/Server%20CD/DBS/Setup" TargetMode="External"/><Relationship Id="rId1336" Type="http://schemas.openxmlformats.org/officeDocument/2006/relationships/hyperlink" Target="../../../../../../../../../Releases/Projects/Comcast/Release_for_Test/Test_Build_4.6.6/Server%20CD/Database/Setup" TargetMode="External"/><Relationship Id="rId1543" Type="http://schemas.openxmlformats.org/officeDocument/2006/relationships/hyperlink" Target="../../../../../../../../../Projects/Neustar/BHN/Build&amp;Release/Release%20For%20IT/Test_Build_3.5.37/Server%20CD/Database/Setup" TargetMode="External"/><Relationship Id="rId1750" Type="http://schemas.openxmlformats.org/officeDocument/2006/relationships/hyperlink" Target="../../../../../../../../../Releases/Projects/Comcast/Release_for_Test/Test_Build_4.6.6/Server%20CD/Database/Setup" TargetMode="External"/><Relationship Id="rId2801" Type="http://schemas.openxmlformats.org/officeDocument/2006/relationships/hyperlink" Target="../../../../../../../../../Releases/Projects/BHN/Release_For_Test/Test_Build_1.0.8/Server%20CD/MPE/Setup" TargetMode="External"/><Relationship Id="rId42" Type="http://schemas.openxmlformats.org/officeDocument/2006/relationships/hyperlink" Target="../../../../../../../../../Releases/Projects/TWC/Release_For_IT/Test_Build_1.0.0.3/Server%20CD/DBS/Setup" TargetMode="External"/><Relationship Id="rId1403" Type="http://schemas.openxmlformats.org/officeDocument/2006/relationships/hyperlink" Target="../../../../../../../../../Releases/Projects/Telstra/Release_For_IT/Test_Build_1.0.0.18/Server%20CD/DBS/Setup" TargetMode="External"/><Relationship Id="rId1610" Type="http://schemas.openxmlformats.org/officeDocument/2006/relationships/hyperlink" Target="../../../../../../../../../Releases/Projects/Comcast/Release_for_Test/Test_Build_4.6.6/Server%20CD/GUI/Setup" TargetMode="External"/><Relationship Id="rId1848" Type="http://schemas.openxmlformats.org/officeDocument/2006/relationships/hyperlink" Target="../../../../../../../../../Releases/Projects/SLT/Release_For_LQA/Test_Build_1.0.0.24/Server%20CD/DBS/Setup" TargetMode="External"/><Relationship Id="rId191" Type="http://schemas.openxmlformats.org/officeDocument/2006/relationships/hyperlink" Target="../../../../../../../../../Releases/Projects/SLT/Release_For_LQA/Test_Build_1.0.0.17/Server%20CD/DBS/Setup" TargetMode="External"/><Relationship Id="rId1708" Type="http://schemas.openxmlformats.org/officeDocument/2006/relationships/hyperlink" Target="../../../../../../../../../Releases/Projects/BHN/Release_For_Test/Test_Build_1.0.1/Server%20CD/Utility/Setup" TargetMode="External"/><Relationship Id="rId1915" Type="http://schemas.openxmlformats.org/officeDocument/2006/relationships/hyperlink" Target="../../../../../../../../../Releases/Projects/Comcast/Release_For_IT/Test_Build_4.6.1/Server%20CD/Database/Setup" TargetMode="External"/><Relationship Id="rId289" Type="http://schemas.openxmlformats.org/officeDocument/2006/relationships/hyperlink" Target="../../../../../../../../../Releases/Product/RT_4.0/ReleaseForIT/TestBuild_4.0.3/DBS/Setup" TargetMode="External"/><Relationship Id="rId496" Type="http://schemas.openxmlformats.org/officeDocument/2006/relationships/hyperlink" Target="../../../../../../../../../Releases/Projects/Comcast/Release_for_Test/Test_Build_4.6.1/Server%20CD/IM/Setup" TargetMode="External"/><Relationship Id="rId2177" Type="http://schemas.openxmlformats.org/officeDocument/2006/relationships/hyperlink" Target="../../../../../../../../../Releases/Projects/SLT/Release_For_IT/Test_Build_1.0.0.4/Server%20CD/DBS/Setup" TargetMode="External"/><Relationship Id="rId2384" Type="http://schemas.openxmlformats.org/officeDocument/2006/relationships/hyperlink" Target="../../../../../../../../../Releases/Projects/Comcast/Release_for_Test/Test_Build_4.6.6/Server%20CD/Database/Setup" TargetMode="External"/><Relationship Id="rId2591" Type="http://schemas.openxmlformats.org/officeDocument/2006/relationships/hyperlink" Target="../../../../../../../../../Releases/Product/WEB_WFS/Build&amp;Release/Release%20For%20Test/TestBuild_2.1.36/ServerCD/GUI/Setup" TargetMode="External"/><Relationship Id="rId149" Type="http://schemas.openxmlformats.org/officeDocument/2006/relationships/hyperlink" Target="../../../../../../../../../Releases/Projects/OBT/Release_For_IT/TestBuild_1.0.0.2/Server%20CD/DBS/Setup" TargetMode="External"/><Relationship Id="rId356" Type="http://schemas.openxmlformats.org/officeDocument/2006/relationships/hyperlink" Target="../../../../../../../../../Releases/Projects/Comcast/Release_For_IT/Test_Build_4.6.1/Server%20CD/Database/Setup" TargetMode="External"/><Relationship Id="rId563" Type="http://schemas.openxmlformats.org/officeDocument/2006/relationships/hyperlink" Target="../../../../../../../../../Releases/Projects/Comcast/Release_for_Test/Test_Build_4.6.1/Server%20CD/Database/Setup" TargetMode="External"/><Relationship Id="rId770" Type="http://schemas.openxmlformats.org/officeDocument/2006/relationships/hyperlink" Target="../../../../../../../../../Releases/Product/WEB_WFS/Build&amp;Release/Release%20For%20Test/TestBuild_2.2.1/Build4/ServerCD/GUI/Setup" TargetMode="External"/><Relationship Id="rId1193" Type="http://schemas.openxmlformats.org/officeDocument/2006/relationships/hyperlink" Target="../../../../../../../../../Releases/Projects/SLT/Release_For_LQA/Test_Build_1.0.0.23/Server%20CD/DBS/Setup" TargetMode="External"/><Relationship Id="rId2037" Type="http://schemas.openxmlformats.org/officeDocument/2006/relationships/hyperlink" Target="../../../../../../../../../Releases/Projects/SLT/Release_For_IT/Test_Build_1.0.0.4/Server%20CD/DBS/Setup" TargetMode="External"/><Relationship Id="rId2244" Type="http://schemas.openxmlformats.org/officeDocument/2006/relationships/hyperlink" Target="../../../../../../../../../Releases/Projects/Comcast/Release_For_IT/Test_Build_4.6.1/Server%20CD/Database/Setup" TargetMode="External"/><Relationship Id="rId2451" Type="http://schemas.openxmlformats.org/officeDocument/2006/relationships/hyperlink" Target="../../../../../../../../../Releases/Projects/SLT/Release_For_IT/Test_Build_1.0.0.4/Server%20CD/DBS/Setup" TargetMode="External"/><Relationship Id="rId2689" Type="http://schemas.openxmlformats.org/officeDocument/2006/relationships/hyperlink" Target="../../../../../../../../../Releases/Product/WEB_WFS/Build&amp;Release/Release%20For%20Test/TestBuild_2.2.1/Build4/ServerCD/GUI/Setup" TargetMode="External"/><Relationship Id="rId216" Type="http://schemas.openxmlformats.org/officeDocument/2006/relationships/hyperlink" Target="../../../../../../../../../Releases/Projects/SLT/Release_For_LQA/Test_Build_1.0.0.17/Server%20CD/DBS/Setup" TargetMode="External"/><Relationship Id="rId423" Type="http://schemas.openxmlformats.org/officeDocument/2006/relationships/hyperlink" Target="../../../../../../../../../Releases/Projects/SLT/Release_For_IT/Test_Build_1.0.0.4/Server%20CD/DBS/Setup" TargetMode="External"/><Relationship Id="rId868" Type="http://schemas.openxmlformats.org/officeDocument/2006/relationships/hyperlink" Target="../../../../../../../../../Releases/Product/RevMind_2.1/Build&amp;Release/Release_For_IT/TestBuild_1.0.1/Server%20CD/DBS/Setup" TargetMode="External"/><Relationship Id="rId1053" Type="http://schemas.openxmlformats.org/officeDocument/2006/relationships/hyperlink" Target="../../../../../../../../../Releases/Projects/SLT/Release_For_LQA/Test_Build_1.0.0.23/Server%20CD/DBS/Setup" TargetMode="External"/><Relationship Id="rId1260" Type="http://schemas.openxmlformats.org/officeDocument/2006/relationships/hyperlink" Target="../../../../../../../../../Releases/Projects/Comcast/Release_For_IT/Test_Build_4.6.1/Server%20CD/Database/Setup" TargetMode="External"/><Relationship Id="rId1498" Type="http://schemas.openxmlformats.org/officeDocument/2006/relationships/hyperlink" Target="../../../../../../../../../Releases/Projects/Comcast/Release_for_Test/Test_Build_4.6.6/Server%20CD/Database/Setup" TargetMode="External"/><Relationship Id="rId2104" Type="http://schemas.openxmlformats.org/officeDocument/2006/relationships/hyperlink" Target="../../../../../../../../../Releases/Product/MPE_3.2/ReleaseForLQA/TestBuild_3.2.1/Build2/ServerCD/Setup/RHEL_6.3" TargetMode="External"/><Relationship Id="rId2549" Type="http://schemas.openxmlformats.org/officeDocument/2006/relationships/hyperlink" Target="../../../../../../../../../Releases/Projects/TWC/Release_For_IT/Test_Build_1.0.0.3/Server%20CD/DBS/Setup" TargetMode="External"/><Relationship Id="rId2756" Type="http://schemas.openxmlformats.org/officeDocument/2006/relationships/hyperlink" Target="../../../../../../../../../Releases/Projects/ANTEL/Release_For_Test/Test_Build_1.0.0.7/Server%20CD/DBS/Setup" TargetMode="External"/><Relationship Id="rId630" Type="http://schemas.openxmlformats.org/officeDocument/2006/relationships/hyperlink" Target="../../../../../../../../../Releases/Projects/COM/Release_For_Test/Test_Build_1.0.0.1/Server%20CD/DBS/Setup" TargetMode="External"/><Relationship Id="rId728" Type="http://schemas.openxmlformats.org/officeDocument/2006/relationships/hyperlink" Target="../../../../../../../../../Releases/Projects/SLT-1B/Release_For_Test/Test_Build_1.0.0.1/Server%20CD/MPE/Setup" TargetMode="External"/><Relationship Id="rId935" Type="http://schemas.openxmlformats.org/officeDocument/2006/relationships/hyperlink" Target="../../../../../../../../../Releases/Projects/Comcast/Release_For_IT/Test_Build_4.6.1/Server%20CD/Database/Setup" TargetMode="External"/><Relationship Id="rId1358" Type="http://schemas.openxmlformats.org/officeDocument/2006/relationships/hyperlink" Target="../../../../../../../../../Releases/Product/NetMindPOS_1.1/Build&amp;Release/Release%20for%20IT/TestBuild_1.2.3/Server%20CD/DBS/Setup" TargetMode="External"/><Relationship Id="rId1565" Type="http://schemas.openxmlformats.org/officeDocument/2006/relationships/hyperlink" Target="../../../../../../../../../Releases/Projects/DRC/Release_For_IT/Test_Build_1.0.0.3/Server%20CD/DBS/Setup" TargetMode="External"/><Relationship Id="rId1772" Type="http://schemas.openxmlformats.org/officeDocument/2006/relationships/hyperlink" Target="file:///\\192.168.3.3\share\Releases\Projects\BHN\Release_For_Test\Test_Build_1.0.2\Server%20CD\IM\Setup" TargetMode="External"/><Relationship Id="rId2311" Type="http://schemas.openxmlformats.org/officeDocument/2006/relationships/hyperlink" Target="../../../../../../../../../Releases/Projects/MCC/Release_For_Test/Test_Build_1.0.1/Server%20CD/DBS/Setup" TargetMode="External"/><Relationship Id="rId2409" Type="http://schemas.openxmlformats.org/officeDocument/2006/relationships/hyperlink" Target="../../../../../../../../../Releases/Projects/Telenet/Build&amp;Release/Release%20For%20Test/Test_Build_4.0.41/Server%20CD/MPE/Setup" TargetMode="External"/><Relationship Id="rId2616" Type="http://schemas.openxmlformats.org/officeDocument/2006/relationships/hyperlink" Target="../../../../../../../../../Releases/Product/RE_2.0/Build&amp;Release/Release_For_LQA/Test_Build_1.0.2/Server%20CD/GUI/Setup" TargetMode="External"/><Relationship Id="rId64" Type="http://schemas.openxmlformats.org/officeDocument/2006/relationships/hyperlink" Target="../../../../../../../../../Releases/Projects/SHAW/Release_For_LQA/Test_Build_1.0.0.28/Server%20CD/DBS/Setup" TargetMode="External"/><Relationship Id="rId1120" Type="http://schemas.openxmlformats.org/officeDocument/2006/relationships/hyperlink" Target="../../../../../../../../../Releases/Projects/Telstra-2b/Release_For_Test/Test_Build_1.0.0.1/Server%20CD/MPE/Setup" TargetMode="External"/><Relationship Id="rId1218" Type="http://schemas.openxmlformats.org/officeDocument/2006/relationships/hyperlink" Target="../../../../../../../../../Releases/Projects/SLT/Release_For_IT/Test_Build_1.0.0.4/Server%20CD/DBS/Setup" TargetMode="External"/><Relationship Id="rId1425" Type="http://schemas.openxmlformats.org/officeDocument/2006/relationships/hyperlink" Target="../../../../../../../../../Releases/Projects/SLT-1B/Release_For_Test/Test_Build_1.0.0.1/Server%20CD/MPE/Setup" TargetMode="External"/><Relationship Id="rId1632" Type="http://schemas.openxmlformats.org/officeDocument/2006/relationships/hyperlink" Target="../../../../../../../../../Projects/Neustar/BHN/Build&amp;Release/Release%20For%20Test/Test_Build_3.5.37/Server%20CD/Database/Setup" TargetMode="External"/><Relationship Id="rId1937" Type="http://schemas.openxmlformats.org/officeDocument/2006/relationships/hyperlink" Target="../../../../../../../../../Releases/Projects/SLT/Release_For_IT/Test_Build_1.0.0.4/Client%20CD/WFS/Setup" TargetMode="External"/><Relationship Id="rId2199" Type="http://schemas.openxmlformats.org/officeDocument/2006/relationships/hyperlink" Target="../../../../../../../../../Releases/Product/LA_1.1/Build&amp;Release/Release_For_LQA/Test_Build_1.0.1/Server%20CD/GUI/Setup" TargetMode="External"/><Relationship Id="rId280" Type="http://schemas.openxmlformats.org/officeDocument/2006/relationships/hyperlink" Target="../../../../../../../../../Releases/Product/RT_4.0/ReleaseForIT/TestBuild_4.0.3/DBS/Setup" TargetMode="External"/><Relationship Id="rId140" Type="http://schemas.openxmlformats.org/officeDocument/2006/relationships/hyperlink" Target="../../../../../../../../../Releases/Projects/Comcast/Release_For_IT/Test_Build_3.5.50/Server%20CD/Database/Setup" TargetMode="External"/><Relationship Id="rId378" Type="http://schemas.openxmlformats.org/officeDocument/2006/relationships/hyperlink" Target="../../../../../../../../../Releases/Projects/ANTEL/Release_For_IT/TestBuild_1.0.0.4/Server%20CD/DBS/Setup" TargetMode="External"/><Relationship Id="rId585" Type="http://schemas.openxmlformats.org/officeDocument/2006/relationships/hyperlink" Target="../../../../../../../../../Releases/Projects/SLT/Release_For_LQA/Test_Build_1.0.0.20/Server%20CD/DBS/Setup" TargetMode="External"/><Relationship Id="rId792" Type="http://schemas.openxmlformats.org/officeDocument/2006/relationships/hyperlink" Target="../../../../../../../../../Releases/Projects/SLT/Release_For_IT/Test_Build_1.0.0.4/Server%20CD/DBS/Setup" TargetMode="External"/><Relationship Id="rId2059" Type="http://schemas.openxmlformats.org/officeDocument/2006/relationships/hyperlink" Target="../../../../../../../../../Releases/Product/MPE_GUI/ReleaseForLQA/TestBuild_1.0.0.2/Server%20CD/MPE/Setup" TargetMode="External"/><Relationship Id="rId2266" Type="http://schemas.openxmlformats.org/officeDocument/2006/relationships/hyperlink" Target="../../../../../../../../../Releases/Projects/SLT/Release_For_IT/Test_Build_1.0.0.4/Server%20CD/DBS/Setup" TargetMode="External"/><Relationship Id="rId2473" Type="http://schemas.openxmlformats.org/officeDocument/2006/relationships/hyperlink" Target="../../../../../../../../../Releases/Product/WEB_WFS/Build&amp;Release/Release%20For%20Test/TestBuild_2.1.36/ServerCD/GUI/Setup" TargetMode="External"/><Relationship Id="rId2680" Type="http://schemas.openxmlformats.org/officeDocument/2006/relationships/hyperlink" Target="../../../../../../../../../Releases/Projects/SLT-1B/Release_For_Test/Test_Build_1.0.0.1/Server%20CD/MPE/Setup" TargetMode="External"/><Relationship Id="rId6" Type="http://schemas.openxmlformats.org/officeDocument/2006/relationships/hyperlink" Target="../../../../../../../../../Releases/Projects/SLT/Release_For_LQA/Test_Build_1.0.0.15/Server%20CD/DBS/Setup" TargetMode="External"/><Relationship Id="rId238" Type="http://schemas.openxmlformats.org/officeDocument/2006/relationships/hyperlink" Target="../../../../../../../../../Releases/Projects/SLT/Release_For_LQA/Test_Build_1.0.0.17/Server%20CD/DBS/Setup" TargetMode="External"/><Relationship Id="rId445" Type="http://schemas.openxmlformats.org/officeDocument/2006/relationships/hyperlink" Target="../../../../../../../../../Releases/Product/NetMindPOS_1.3/Build&amp;Release/Release_For_LQA/Test_Build_1.0.1/Server%20CD/DBS/Setup" TargetMode="External"/><Relationship Id="rId652" Type="http://schemas.openxmlformats.org/officeDocument/2006/relationships/hyperlink" Target="../../../../../../../../../Releases/Projects/SLT/Release_For_LQA/Test_Build_1.0.0.22/Server%20CD/DBS/Setup" TargetMode="External"/><Relationship Id="rId1075" Type="http://schemas.openxmlformats.org/officeDocument/2006/relationships/hyperlink" Target="../../../../../../../../../Releases/Projects/TWC/Release_For_Test/Test_Build_1.0.0.4/Server%20CD/DBS/Setup" TargetMode="External"/><Relationship Id="rId1282" Type="http://schemas.openxmlformats.org/officeDocument/2006/relationships/hyperlink" Target="../../../../../../../../../Releases/Projects/Telstra/Release_For_IT/Test_Build_1.0.0.18/Server%20CD/DBS/Setup" TargetMode="External"/><Relationship Id="rId2126" Type="http://schemas.openxmlformats.org/officeDocument/2006/relationships/hyperlink" Target="../../../../../../../../../Releases/Product/RevMind_3.0.1/Build&amp;Release/Release_For_LQA/Test_Build_1.0.1/Server%20CD/DBS/Setup" TargetMode="External"/><Relationship Id="rId2333" Type="http://schemas.openxmlformats.org/officeDocument/2006/relationships/hyperlink" Target="../../../../../../../../../Releases/Product/MEDGUI_1.1/Build&amp;Release/Release_For_LQA/Test_Build_1.0.1/Server%20CD/GUI/Setup" TargetMode="External"/><Relationship Id="rId2540" Type="http://schemas.openxmlformats.org/officeDocument/2006/relationships/hyperlink" Target="../../../../../../../../../Releases/Product/RE_2.0/Build&amp;Release/Release_For_LQA/Test_Build_1.0.2/Server%20CD/GUI/Setup" TargetMode="External"/><Relationship Id="rId2778" Type="http://schemas.openxmlformats.org/officeDocument/2006/relationships/hyperlink" Target="../../../../../../../../../Releases/Projects/ANTEL/Release_For_Test/Test_Build_1.0.0.7/Server%20CD/DBS/Setup" TargetMode="External"/><Relationship Id="rId305" Type="http://schemas.openxmlformats.org/officeDocument/2006/relationships/hyperlink" Target="../../../../../../../../../Releases/Projects/Comcast/Release_For_IT/Test_Build_4.6.1/Server%20CD/Database/Setup" TargetMode="External"/><Relationship Id="rId512" Type="http://schemas.openxmlformats.org/officeDocument/2006/relationships/hyperlink" Target="../../../../../../../../../Releases/Projects/OBT/Release_For_IT/TestBuild_1.0.0.2/Server%20CD/DBS/Setup" TargetMode="External"/><Relationship Id="rId957" Type="http://schemas.openxmlformats.org/officeDocument/2006/relationships/hyperlink" Target="../../../../../../../../../Releases/Product/AWF/Build&amp;Release/Release%20For%20Test/TestBuild_2.0.1/Setup" TargetMode="External"/><Relationship Id="rId1142" Type="http://schemas.openxmlformats.org/officeDocument/2006/relationships/hyperlink" Target="../../../../../../../../../Releases/Projects/DRC/Release_For_LQA/Test_Build_1.0.0.3/Server%20CD/DBS/Setup" TargetMode="External"/><Relationship Id="rId1587" Type="http://schemas.openxmlformats.org/officeDocument/2006/relationships/hyperlink" Target="../../../../../../../../../Releases/Projects/SLT/Release_For_IT/Test_Build_1.0.0.4/Server%20CD/DBS/Setup" TargetMode="External"/><Relationship Id="rId1794" Type="http://schemas.openxmlformats.org/officeDocument/2006/relationships/hyperlink" Target="../../../../../../../../../Releases/Projects/TLSTR-ST/Release_For_IT/TestBuild_1.0.1/Server%20CD/DBS/Setup" TargetMode="External"/><Relationship Id="rId2400" Type="http://schemas.openxmlformats.org/officeDocument/2006/relationships/hyperlink" Target="../../../../../../../../../Releases/Projects/TLSTR-ST/Release_For_Test/Test_Build_1.0.1/Server%20CD/DBS/Setup" TargetMode="External"/><Relationship Id="rId2638" Type="http://schemas.openxmlformats.org/officeDocument/2006/relationships/hyperlink" Target="../../../../../../../../../Releases/Projects/Telstra-2b/Release_For_Test/Test_Build_1.0.0.1/Server%20CD/MPE/Setup" TargetMode="External"/><Relationship Id="rId86" Type="http://schemas.openxmlformats.org/officeDocument/2006/relationships/hyperlink" Target="../../../../../../../../../Releases/Product/RevMind_2.1/Build&amp;Release/Release_For_LQA/Test_Build_1.0.1/Server%20CD/GUI/CS/Setup" TargetMode="External"/><Relationship Id="rId817" Type="http://schemas.openxmlformats.org/officeDocument/2006/relationships/hyperlink" Target="../../../../../../../../../Releases/Projects/Comcast/Release_for_Test/Test_Build_4.6.4/Server%20CD/MPE/Setup" TargetMode="External"/><Relationship Id="rId1002" Type="http://schemas.openxmlformats.org/officeDocument/2006/relationships/hyperlink" Target="../../../../../../../../../Releases/Projects/SLT/Release_For_LQA/Test_Build_1.0.0.23/Server%20CD/DBS/Setup" TargetMode="External"/><Relationship Id="rId1447" Type="http://schemas.openxmlformats.org/officeDocument/2006/relationships/hyperlink" Target="../../../../../../../../../Releases/Projects/Comcast/Release_for_Test/Test_Build_4.6.6/Server%20CD/GUI/Setup" TargetMode="External"/><Relationship Id="rId1654" Type="http://schemas.openxmlformats.org/officeDocument/2006/relationships/hyperlink" Target="../../../../../../../../../Releases/Projects/TWC/Release_For_IT/Test_Build_1.0.0.3/Server%20CD/DBS/Setup" TargetMode="External"/><Relationship Id="rId1861" Type="http://schemas.openxmlformats.org/officeDocument/2006/relationships/hyperlink" Target="../../../../../../../../../Releases/Projects/SLT/Release_For_IT/Test_Build_1.0.0.4/Server%20CD/DBS/Setup" TargetMode="External"/><Relationship Id="rId2705" Type="http://schemas.openxmlformats.org/officeDocument/2006/relationships/hyperlink" Target="../../../../../../../../../Releases/Projects/FNB/Release_For_Test/Test_Build_1.0.2/Server%20CD/MPE/Setup" TargetMode="External"/><Relationship Id="rId1307" Type="http://schemas.openxmlformats.org/officeDocument/2006/relationships/hyperlink" Target="../../../../../../../../../Releases/Projects/Comcast/Release_for_Test/Test_Build_4.6.6/Server%20CD/GUI/Setup" TargetMode="External"/><Relationship Id="rId1514" Type="http://schemas.openxmlformats.org/officeDocument/2006/relationships/hyperlink" Target="../../../../../../../../../Releases/Projects/Comcast/Release_for_Test/Test_Build_3.5.50/Server%20CD/Database/Setup" TargetMode="External"/><Relationship Id="rId1721" Type="http://schemas.openxmlformats.org/officeDocument/2006/relationships/hyperlink" Target="../../../../../../../../../Releases/Projects/SLT/Release_For_IT/Test_Build_1.0.0.4/Server%20CD/DBS/Setup" TargetMode="External"/><Relationship Id="rId1959" Type="http://schemas.openxmlformats.org/officeDocument/2006/relationships/hyperlink" Target="../../../../../../../../../Releases/Product/RT_4.0/ReleaseForLQA/TestBuild_4.0.24/GUI/Build1/Setup" TargetMode="External"/><Relationship Id="rId13" Type="http://schemas.openxmlformats.org/officeDocument/2006/relationships/hyperlink" Target="../../../../../../../../../Releases/Projects/Telstra/Release_For_IT/Test_Build_1.0.0.18/Server%20CD/DBS/Setup" TargetMode="External"/><Relationship Id="rId1819" Type="http://schemas.openxmlformats.org/officeDocument/2006/relationships/hyperlink" Target="../../../../../../../../../Releases/Projects/TLSTR-ST/Release_For_Test/Test_Build_1.0.1/Server%20CD/DBS/Setup" TargetMode="External"/><Relationship Id="rId2190" Type="http://schemas.openxmlformats.org/officeDocument/2006/relationships/hyperlink" Target="../../../../../../../../../Releases/Projects/SLT/Release_For_LQA/Test_Build_1.0.0.24/Server%20CD/DBS/Setup" TargetMode="External"/><Relationship Id="rId2288" Type="http://schemas.openxmlformats.org/officeDocument/2006/relationships/hyperlink" Target="../../../../../../../../../Releases/Projects/TLSTR-ST/Release_For_Test/Test_Build_1.0.1/Server%20CD/MPE/Setup" TargetMode="External"/><Relationship Id="rId2495" Type="http://schemas.openxmlformats.org/officeDocument/2006/relationships/hyperlink" Target="file:///\\192.168.3.3\share\Releases\Projects\CBD\Release_For_Test\Test_Build_1.0.0.4\Server%20CD\MPE\RHEL_6.3\Setup" TargetMode="External"/><Relationship Id="rId162" Type="http://schemas.openxmlformats.org/officeDocument/2006/relationships/hyperlink" Target="../../../../../../../../../Releases/Projects/SLT/Release_For_LQA/Test_Build_1.0.0.17/Server%20CD/DBS/Setup" TargetMode="External"/><Relationship Id="rId467" Type="http://schemas.openxmlformats.org/officeDocument/2006/relationships/hyperlink" Target="../../../../../../../../../Releases/Projects/SLT/Release_For_LQA/Test_Build_1.0.0.19/Server%20CD/DBS/Setup" TargetMode="External"/><Relationship Id="rId1097" Type="http://schemas.openxmlformats.org/officeDocument/2006/relationships/hyperlink" Target="../../../../../../../../../Releases/Projects/OBT/Release_For_IT/TestBuild_1.0.0.2/Server%20CD/DBS/Setup" TargetMode="External"/><Relationship Id="rId2050" Type="http://schemas.openxmlformats.org/officeDocument/2006/relationships/hyperlink" Target="../../../../../../../../../Releases/Projects/BHN/Release_For_Test/Test_Build_1.0.3/Server%20CD/DBS/Setup" TargetMode="External"/><Relationship Id="rId2148" Type="http://schemas.openxmlformats.org/officeDocument/2006/relationships/hyperlink" Target="../../../../../../../../../Releases/Product/Netmind_4.6/Build&amp;Release/ReleaseForTest/TestBuild_4.6.1/Build4/ServerCD/DBS/Setup" TargetMode="External"/><Relationship Id="rId674" Type="http://schemas.openxmlformats.org/officeDocument/2006/relationships/hyperlink" Target="../../../../../../../../../Releases/Projects/Comcast/Release_for_Test/Test_Build_4.6.2/Server%20CD/Database/Setup" TargetMode="External"/><Relationship Id="rId881" Type="http://schemas.openxmlformats.org/officeDocument/2006/relationships/hyperlink" Target="../../../../../../../../../Releases/Projects/Comcast/Release_for_Test/Test_Build_4.6.4/Server%20CD/Database/Setup" TargetMode="External"/><Relationship Id="rId979" Type="http://schemas.openxmlformats.org/officeDocument/2006/relationships/hyperlink" Target="../../../../../../../../../Releases/Projects/SLT/Release_For_IT/Test_Build_1.0.0.4/Server%20CD/DBS/Setup" TargetMode="External"/><Relationship Id="rId2355" Type="http://schemas.openxmlformats.org/officeDocument/2006/relationships/hyperlink" Target="../../../../../../../../../Releases/Projects/Vonage/Release_For_IT/Test_Build_4.0.17/Client%20CD/GUI/CS/Setup" TargetMode="External"/><Relationship Id="rId2562" Type="http://schemas.openxmlformats.org/officeDocument/2006/relationships/hyperlink" Target="../../../../../../../../../Releases/Projects/SLT/Release_For_LQA/Test_Build_1.0.0.24/Server%20CD/DBS/Setup" TargetMode="External"/><Relationship Id="rId327" Type="http://schemas.openxmlformats.org/officeDocument/2006/relationships/hyperlink" Target="../../../../../../../../../Releases/Projects/Telstra-2b/Release_For_Test/Test_Build_1.0.0.1/Server%20CD/MPE/Setup" TargetMode="External"/><Relationship Id="rId534" Type="http://schemas.openxmlformats.org/officeDocument/2006/relationships/hyperlink" Target="../../../../../../../../../Releases/Projects/Telstra-2b/Release_For_Test/Test_Build_1.0.0.1/Server%20CD/MPE/Setup" TargetMode="External"/><Relationship Id="rId741" Type="http://schemas.openxmlformats.org/officeDocument/2006/relationships/hyperlink" Target="../../../../../../../../../Releases/Product/MPE_GUI/ReleaseForLQA/TestBuild_1.0.0.2/Server%20CD/MPE/Setup" TargetMode="External"/><Relationship Id="rId839" Type="http://schemas.openxmlformats.org/officeDocument/2006/relationships/hyperlink" Target="../../../../../../../../../Releases/Projects/SLT/Release_For_LQA/Test_Build_1.0.0.23/Server%20CD/DBS/Setup" TargetMode="External"/><Relationship Id="rId1164" Type="http://schemas.openxmlformats.org/officeDocument/2006/relationships/hyperlink" Target="../../../../../../../../../Releases/Projects/SLT/Release_For_LQA/Test_Build_1.0.0.23/Server%20CD/DBS/Setup" TargetMode="External"/><Relationship Id="rId1371" Type="http://schemas.openxmlformats.org/officeDocument/2006/relationships/hyperlink" Target="../../../../../../../../../Releases/Projects/Comcast/Release_for_Test/Test_Build_4.6.6/Server%20CD/Database/Setup" TargetMode="External"/><Relationship Id="rId1469" Type="http://schemas.openxmlformats.org/officeDocument/2006/relationships/hyperlink" Target="../../../../../../../../../Releases/Product/NetMindPOS_1.1/Build&amp;Release/Release%20for%20IT/TestBuild_1.2.3/Server%20CD/DBS/Setup" TargetMode="External"/><Relationship Id="rId2008" Type="http://schemas.openxmlformats.org/officeDocument/2006/relationships/hyperlink" Target="../../../../../../../../../Releases/Product/RT_4.0/ReleaseForLQA/TestBuild_4.0.24/GUI/Build1/Setup" TargetMode="External"/><Relationship Id="rId2215" Type="http://schemas.openxmlformats.org/officeDocument/2006/relationships/hyperlink" Target="../../../../../../../../../Releases/Projects/SLT/Release_For_LQA/Test_Build_1.0.0.24/Server%20CD/DBS/Setup" TargetMode="External"/><Relationship Id="rId2422" Type="http://schemas.openxmlformats.org/officeDocument/2006/relationships/hyperlink" Target="file:///\\192.168.3.3\share\Releases\Projects\MTS\Release%20For%20IT\Test_Build_3.0.5.25\Server%20CD\MPE\Setup" TargetMode="External"/><Relationship Id="rId601" Type="http://schemas.openxmlformats.org/officeDocument/2006/relationships/hyperlink" Target="../../../../../../../../../Releases/Product/Netmind_4.6/Build&amp;Release/ReleaseForIT/TestBuild_4.6.1/Build4/ServerCD/DBS/Setup" TargetMode="External"/><Relationship Id="rId1024" Type="http://schemas.openxmlformats.org/officeDocument/2006/relationships/hyperlink" Target="../../../../../../../../../Releases/Projects/Comcast/Release_for_Test/Test_Build_3.5.50/Server%20CD/Database/Setup" TargetMode="External"/><Relationship Id="rId1231" Type="http://schemas.openxmlformats.org/officeDocument/2006/relationships/hyperlink" Target="../../../../../../../../../Releases/Projects/SLT/Release_For_IT/Test_Build_1.0.0.4/Server%20CD/DBS/Setup" TargetMode="External"/><Relationship Id="rId1676" Type="http://schemas.openxmlformats.org/officeDocument/2006/relationships/hyperlink" Target="../../../../../../../../../Projects/Neustar/BHN/Build&amp;Release/Release%20For%20IT/Test_Build_3.5.37/Server%20CD/Database/Setup" TargetMode="External"/><Relationship Id="rId1883" Type="http://schemas.openxmlformats.org/officeDocument/2006/relationships/hyperlink" Target="../../../../../../../../../Releases/Projects/MOBSA/Release_For_LQA/Test_Build_1.0.0.3/Server%20CD/MPE/Setup" TargetMode="External"/><Relationship Id="rId2727" Type="http://schemas.openxmlformats.org/officeDocument/2006/relationships/hyperlink" Target="../../../../../../../../../Releases/Projects/TLSTR-ST/Release_For_IT/TestBuild_1.0.1/Server%20CD/DBS/Setup" TargetMode="External"/><Relationship Id="rId906" Type="http://schemas.openxmlformats.org/officeDocument/2006/relationships/hyperlink" Target="../../../../../../../../../Releases/Projects/Telstra/Release_For_IT/Test_Build_1.0.0.18/Server%20CD/DBS/Setup" TargetMode="External"/><Relationship Id="rId1329" Type="http://schemas.openxmlformats.org/officeDocument/2006/relationships/hyperlink" Target="../../../../../../../../../Releases/Product/WEB_WFS/Build&amp;Release/Release%20For%20Test/TestBuild_2.1.30/ServerCD/GUI/Setup" TargetMode="External"/><Relationship Id="rId1536" Type="http://schemas.openxmlformats.org/officeDocument/2006/relationships/hyperlink" Target="../../../../../../../../../Releases/Projects/BHN/Release_For_Test/Test_Build_1.0.0.1/Server%20CD/GUI/Setup" TargetMode="External"/><Relationship Id="rId1743" Type="http://schemas.openxmlformats.org/officeDocument/2006/relationships/hyperlink" Target="file:///\\192.168.3.3\share\Releases\Projects\BHN\Release_For_Test\Test_Build_1.0.1\Server%20CD\IM\Setup" TargetMode="External"/><Relationship Id="rId1950" Type="http://schemas.openxmlformats.org/officeDocument/2006/relationships/hyperlink" Target="../../../../../../../../../Releases/Projects/FNB/Release_For_IT/TestBuild_1.0.1/Server%20CD/DBS/Setup" TargetMode="External"/><Relationship Id="rId35" Type="http://schemas.openxmlformats.org/officeDocument/2006/relationships/hyperlink" Target="../../../../../../../../../Releases/Projects/SLT/Release_For_IT/Test_Build_1.0.0.4/Server%20CD/DBS/Setup" TargetMode="External"/><Relationship Id="rId1603" Type="http://schemas.openxmlformats.org/officeDocument/2006/relationships/hyperlink" Target="../../../../../../../../../Releases/Projects/Comcast/Release_For_IT/Test_Build_4.6.1/Server%20CD/Database/Setup" TargetMode="External"/><Relationship Id="rId1810" Type="http://schemas.openxmlformats.org/officeDocument/2006/relationships/hyperlink" Target="../../../../../../../../../Releases/Projects/Comcast/Release_For_IT/Test_Build_4.6.1/Server%20CD/Database/Setup" TargetMode="External"/><Relationship Id="rId184" Type="http://schemas.openxmlformats.org/officeDocument/2006/relationships/hyperlink" Target="../../../../../../../../../Releases/Projects/SLT/Release_For_IT/Test_Build_1.0.0.4/Server%20CD/DBS/Setup" TargetMode="External"/><Relationship Id="rId391" Type="http://schemas.openxmlformats.org/officeDocument/2006/relationships/hyperlink" Target="../../../../../../../../../Releases/Projects/DRC/Release_For_LQA/Test_Build_1.0.0.3/Server%20CD/DBS/Setup" TargetMode="External"/><Relationship Id="rId1908" Type="http://schemas.openxmlformats.org/officeDocument/2006/relationships/hyperlink" Target="../../../../../../../../../Releases/Projects/SLT/Release_For_IT/Test_Build_1.0.0.4/Server%20CD/DBS/Setup" TargetMode="External"/><Relationship Id="rId2072" Type="http://schemas.openxmlformats.org/officeDocument/2006/relationships/hyperlink" Target="../../../../../../../../../Releases/Projects/SLT/Release_For_LQA/Test_Build_1.0.0.24/Server%20CD/DBS/Setup" TargetMode="External"/><Relationship Id="rId251" Type="http://schemas.openxmlformats.org/officeDocument/2006/relationships/hyperlink" Target="../../../../../../../../../Releases/Projects/ANTEL/Release_For_Test/Test_Build_1.0.0.7/Server%20CD/GUI/Setup" TargetMode="External"/><Relationship Id="rId489" Type="http://schemas.openxmlformats.org/officeDocument/2006/relationships/hyperlink" Target="../../../../../../../../../Releases/Projects/SLT/Release_For_IT/Test_Build_1.0.0.4/Server%20CD/DBS/Setup" TargetMode="External"/><Relationship Id="rId696" Type="http://schemas.openxmlformats.org/officeDocument/2006/relationships/hyperlink" Target="../../../../../../../../../Releases/Projects/SLT/Release_For_LQA/Test_Build_1.0.0.22/Server%20CD/DBS/Setup" TargetMode="External"/><Relationship Id="rId2377" Type="http://schemas.openxmlformats.org/officeDocument/2006/relationships/hyperlink" Target="../../../../../../../../../Releases/Projects/FNB/Release_For_Test/Test_Build_1.0.1/Server%20CD/DBS/Setup" TargetMode="External"/><Relationship Id="rId2584" Type="http://schemas.openxmlformats.org/officeDocument/2006/relationships/hyperlink" Target="../../../../../../../../../Releases/Product/RE_2.0/Build&amp;Release/Release_For_LQA/Test_Build_1.0.2/Server%20CD/DBS/Setup" TargetMode="External"/><Relationship Id="rId2791" Type="http://schemas.openxmlformats.org/officeDocument/2006/relationships/hyperlink" Target="../../../../../../../../../Releases/Projects/SLT/Release_For_LQA/Test_Build_1.0.0.26/Server%20CD/DBS/Setup" TargetMode="External"/><Relationship Id="rId349" Type="http://schemas.openxmlformats.org/officeDocument/2006/relationships/hyperlink" Target="../../../../../../../../../Releases/Projects/Telstra-2b/Release_For_Test/Test_Build_1.0.0.1/Server%20CD/MPE/Setup" TargetMode="External"/><Relationship Id="rId556" Type="http://schemas.openxmlformats.org/officeDocument/2006/relationships/hyperlink" Target="../../../../../../../../../Releases/Projects/Comcast/Release_For_IT/Test_Build_4.6.1/Server%20CD/Database/Setup" TargetMode="External"/><Relationship Id="rId763" Type="http://schemas.openxmlformats.org/officeDocument/2006/relationships/hyperlink" Target="../../../../../../../../../Releases/Projects/Comcast/Release_for_Test/Test_Build_4.6.3/Server%20CD/Database/Setup" TargetMode="External"/><Relationship Id="rId1186" Type="http://schemas.openxmlformats.org/officeDocument/2006/relationships/hyperlink" Target="../../../../../../../../../Releases/Projects/SLT/Release_For_LQA/Test_Build_1.0.0.23/Server%20CD/DBS/Setup" TargetMode="External"/><Relationship Id="rId1393" Type="http://schemas.openxmlformats.org/officeDocument/2006/relationships/hyperlink" Target="../../../../../../../../../Releases/Projects/Comcast/Release_For_IT/Test_Build_4.6.1/Server%20CD/Database/Setup" TargetMode="External"/><Relationship Id="rId2237" Type="http://schemas.openxmlformats.org/officeDocument/2006/relationships/hyperlink" Target="../../../../../../../../../Releases/Projects/SLT/Release_For_LQA/Test_Build_1.0.0.24/Server%20CD/DBS/Setup" TargetMode="External"/><Relationship Id="rId2444" Type="http://schemas.openxmlformats.org/officeDocument/2006/relationships/hyperlink" Target="../../../../../../../../../Releases/Projects/TLSTR-ST/Release_For_Test/Test_Build_1.0.1/Server%20CD/DBS/Setup" TargetMode="External"/><Relationship Id="rId111" Type="http://schemas.openxmlformats.org/officeDocument/2006/relationships/hyperlink" Target="../../../../../../../../../Releases/Product/AWF/Build&amp;Release/Release%20For%20Test/TestBuild_2.0.1/Setup" TargetMode="External"/><Relationship Id="rId209" Type="http://schemas.openxmlformats.org/officeDocument/2006/relationships/hyperlink" Target="../../../../../../../../../Releases/Projects/SLT/Release_For_LQA/Test_Build_1.0.0.17/Server%20CD/DBS/Setup" TargetMode="External"/><Relationship Id="rId416" Type="http://schemas.openxmlformats.org/officeDocument/2006/relationships/hyperlink" Target="../../../../../../../../../Projects/Neustar/BHN/Build&amp;Release/Release%20For%20Test/Test_Build_3.5.37/Server%20CD/Database/Setup" TargetMode="External"/><Relationship Id="rId970" Type="http://schemas.openxmlformats.org/officeDocument/2006/relationships/hyperlink" Target="../../../../../../../../../Releases/Projects/Comcast/Release_For_IT/Test_Build_4.6.1/Server%20CD/Database/Setup" TargetMode="External"/><Relationship Id="rId1046" Type="http://schemas.openxmlformats.org/officeDocument/2006/relationships/hyperlink" Target="../../../../../../../../../Releases/Product/RT_4.0/ReleaseForLQA/TestBuild_4.0.24/DBS/Setup" TargetMode="External"/><Relationship Id="rId1253" Type="http://schemas.openxmlformats.org/officeDocument/2006/relationships/hyperlink" Target="../../../../../../../../../Releases/Projects/SLT/Release_For_IT/Test_Build_1.0.0.4/Server%20CD/DBS/Setup" TargetMode="External"/><Relationship Id="rId1698" Type="http://schemas.openxmlformats.org/officeDocument/2006/relationships/hyperlink" Target="../../../../../../../../../Releases/Projects/BHN/Release_For_Test/Test_Build_1.0.1/Server%20CD/Utility/Setup" TargetMode="External"/><Relationship Id="rId2651" Type="http://schemas.openxmlformats.org/officeDocument/2006/relationships/hyperlink" Target="../../../../../../../../../Releases/Product/RT_4.0/ReleaseForIT/TestBuild_4.0.4/DBS/Setup" TargetMode="External"/><Relationship Id="rId2749" Type="http://schemas.openxmlformats.org/officeDocument/2006/relationships/hyperlink" Target="../../../../../../../../../Releases/Projects/SLT-1B/Release_For_Test/Test_Build_1.0.0.1/Utility/MPE/Setup" TargetMode="External"/><Relationship Id="rId623" Type="http://schemas.openxmlformats.org/officeDocument/2006/relationships/hyperlink" Target="../../../../../../../../../Releases/Projects/SLT/Release_For_LQA/Test_Build_1.0.0.21/Server%20CD/DBS/Setup" TargetMode="External"/><Relationship Id="rId830" Type="http://schemas.openxmlformats.org/officeDocument/2006/relationships/hyperlink" Target="../../../../../../../../../Releases/Projects/SLT/Release_For_LQA/Test_Build_1.0.0.23/Server%20CD/DBS/Setup" TargetMode="External"/><Relationship Id="rId928" Type="http://schemas.openxmlformats.org/officeDocument/2006/relationships/hyperlink" Target="../../../../../../../../../Releases/Projects/SLT/Release_For_IT/Test_Build_1.0.0.4/Server%20CD/DBS/Setup" TargetMode="External"/><Relationship Id="rId1460" Type="http://schemas.openxmlformats.org/officeDocument/2006/relationships/hyperlink" Target="../../../../../../../../../Releases/Product/CSGUI_2.6/Build&amp;Release/Release_For_LQA/Test_Build_1.0.1/Server%20CD/GUI/Setup" TargetMode="External"/><Relationship Id="rId1558" Type="http://schemas.openxmlformats.org/officeDocument/2006/relationships/hyperlink" Target="../../../../../../../../../Releases/Projects/Telstra/Release_For_LQA/Test_Build_1.0.0.18/Server%20CD/DBS/Setup" TargetMode="External"/><Relationship Id="rId1765" Type="http://schemas.openxmlformats.org/officeDocument/2006/relationships/hyperlink" Target="../../../../../../../../../Releases/Projects/SLT/Release_For_LQA/Test_Build_1.0.0.24/Server%20CD/DBS/Setup" TargetMode="External"/><Relationship Id="rId2304" Type="http://schemas.openxmlformats.org/officeDocument/2006/relationships/hyperlink" Target="../../../../../../../../../Releases/Projects/MCC/Release_For_Test/Test_Build_1.0.1/Server%20CD/MPE/Setup" TargetMode="External"/><Relationship Id="rId2511" Type="http://schemas.openxmlformats.org/officeDocument/2006/relationships/hyperlink" Target="../../../../../../../../../Releases/Projects/TWC/Release_For_IT/Test_Build_1.0.0.3/Server%20CD/DBS/Setup" TargetMode="External"/><Relationship Id="rId2609" Type="http://schemas.openxmlformats.org/officeDocument/2006/relationships/hyperlink" Target="../../../../../../../../../Releases/Product/WEB_CS/Build&amp;Release/Release%20For%20Test/TestBuild_2.1.23/ServerCD/GUI" TargetMode="External"/><Relationship Id="rId57" Type="http://schemas.openxmlformats.org/officeDocument/2006/relationships/hyperlink" Target="../../../../../../../../../Releases/Projects/OBT/Release_For_LQA/TestBuild_1.0.0.3/Server%20CD/DBS/Setup" TargetMode="External"/><Relationship Id="rId1113" Type="http://schemas.openxmlformats.org/officeDocument/2006/relationships/hyperlink" Target="../../../../../../../../../Releases/Projects/Comcast/Release_For_IT/Test_Build_4.6.1/Server%20CD/Database/Setup" TargetMode="External"/><Relationship Id="rId1320" Type="http://schemas.openxmlformats.org/officeDocument/2006/relationships/hyperlink" Target="../../../../../../../../../Releases/Projects/TWC/Release_For_Test/Test_Build_1.0.0.4/Server%20CD/DBS/Setup" TargetMode="External"/><Relationship Id="rId1418" Type="http://schemas.openxmlformats.org/officeDocument/2006/relationships/hyperlink" Target="../../../../../../../../../Releases/Projects/SLT/Release_For_IT/Test_Build_1.0.0.4/Server%20CD/DBS/Setup" TargetMode="External"/><Relationship Id="rId1972" Type="http://schemas.openxmlformats.org/officeDocument/2006/relationships/hyperlink" Target="../../../../../../../../../Releases/Projects/FNB/Release_For_Test/Test_Build_1.0.1/Server%20CD/MPE/Setup" TargetMode="External"/><Relationship Id="rId2816" Type="http://schemas.openxmlformats.org/officeDocument/2006/relationships/vmlDrawing" Target="../drawings/vmlDrawing2.vml"/><Relationship Id="rId1625" Type="http://schemas.openxmlformats.org/officeDocument/2006/relationships/hyperlink" Target="../../../../../../../../../Projects/Neustar/BHN/Build&amp;Release/Release%20For%20IT/Test_Build_3.5.37/Server%20CD/Database/Setup" TargetMode="External"/><Relationship Id="rId1832" Type="http://schemas.openxmlformats.org/officeDocument/2006/relationships/hyperlink" Target="../../../../../../../../../Releases/Projects/SLT/Release_For_IT/Test_Build_1.0.0.4/Server%20CD/DBS/Setup" TargetMode="External"/><Relationship Id="rId2094" Type="http://schemas.openxmlformats.org/officeDocument/2006/relationships/hyperlink" Target="../../../../../../../../../Releases/Projects/ANTEL/Release_For_IT/TestBuild_1.0.0.4/Server%20CD/DBS/Setup" TargetMode="External"/><Relationship Id="rId273" Type="http://schemas.openxmlformats.org/officeDocument/2006/relationships/hyperlink" Target="../../../../../../../../../Releases/Projects/SLT/Release_For_IT/Test_Build_1.0.0.4/Server%20CD/DBS/Setup" TargetMode="External"/><Relationship Id="rId480" Type="http://schemas.openxmlformats.org/officeDocument/2006/relationships/hyperlink" Target="../../../../../../../../../Releases/Projects/SLT-1B/Release_For_Test/Test_Build_1.0.0.1/Server%20CD/MPE/Setup" TargetMode="External"/><Relationship Id="rId2161" Type="http://schemas.openxmlformats.org/officeDocument/2006/relationships/hyperlink" Target="../../../../../../../../../Releases/Projects/ANTEL/Release_For_Test/Test_Build_1.0.0.7/Server%20CD/GUI/Setup" TargetMode="External"/><Relationship Id="rId2399" Type="http://schemas.openxmlformats.org/officeDocument/2006/relationships/hyperlink" Target="../../../../../../../../../Releases/Projects/TLSTR-ST/Release_For_IT/TestBuild_1.0.1/Server%20CD/DBS/Setup" TargetMode="External"/><Relationship Id="rId133" Type="http://schemas.openxmlformats.org/officeDocument/2006/relationships/hyperlink" Target="../../../../../../../../../Releases/Projects/TWC/Release_For_Test/Test_Build_1.0.0.4/Server%20CD/DBS/Setup" TargetMode="External"/><Relationship Id="rId340" Type="http://schemas.openxmlformats.org/officeDocument/2006/relationships/hyperlink" Target="../../../../../../../../../Releases/Projects/SLT-1B/Release_For_Test/Test_Build_1.0.0.1/Server%20CD/MPE/Setup" TargetMode="External"/><Relationship Id="rId578" Type="http://schemas.openxmlformats.org/officeDocument/2006/relationships/hyperlink" Target="../../../../../../../../../Releases/Projects/OBT/Release_For_LQA/TestBuild_1.0.0.4/Server%20CD/DBS/Setup" TargetMode="External"/><Relationship Id="rId785" Type="http://schemas.openxmlformats.org/officeDocument/2006/relationships/hyperlink" Target="../../../../../../../../../Releases/Projects/SLT/Release_For_IT/Test_Build_1.0.0.4/Server%20CD/DBS/Setup" TargetMode="External"/><Relationship Id="rId992" Type="http://schemas.openxmlformats.org/officeDocument/2006/relationships/hyperlink" Target="../../../../../../../../../Releases/Projects/SLT/Release_For_IT/Test_Build_1.0.0.4/Server%20CD/DBS/Setup" TargetMode="External"/><Relationship Id="rId2021" Type="http://schemas.openxmlformats.org/officeDocument/2006/relationships/hyperlink" Target="../../../../../../../../../Releases/Product/RT_4.0/ReleaseForLQA/TestBuild_4.0.24/GUI/Build1/Setup" TargetMode="External"/><Relationship Id="rId2259" Type="http://schemas.openxmlformats.org/officeDocument/2006/relationships/hyperlink" Target="../../../../../../../../../Releases/Projects/ANTEL/Release_For_Test/Test_Build_1.0.0.7/Server%20CD/DBS/Setup" TargetMode="External"/><Relationship Id="rId2466" Type="http://schemas.openxmlformats.org/officeDocument/2006/relationships/hyperlink" Target="../../../../../../../../../Releases/Projects/TLSTR-ST/Release_For_IT/TestBuild_1.0.1/Server%20CD/DBS/Setup" TargetMode="External"/><Relationship Id="rId2673" Type="http://schemas.openxmlformats.org/officeDocument/2006/relationships/hyperlink" Target="../../../../../../../../../Releases/Projects/FNB/Release_For_IT/TestBuild_1.0.1/Server%20CD/DBS/Setup" TargetMode="External"/><Relationship Id="rId200" Type="http://schemas.openxmlformats.org/officeDocument/2006/relationships/hyperlink" Target="../../../../../../../../../Releases/Projects/SHAW/Release_For_IT/Test_Build_1.0.0.27/Server%20CD/DBS/Setup" TargetMode="External"/><Relationship Id="rId438" Type="http://schemas.openxmlformats.org/officeDocument/2006/relationships/hyperlink" Target="../../../../../../../../../Releases/Product/RT_4.0/ReleaseForIT/TestBuild_4.0.3/DBS/Setup" TargetMode="External"/><Relationship Id="rId645" Type="http://schemas.openxmlformats.org/officeDocument/2006/relationships/hyperlink" Target="../../../../../../../../../Releases/Product/RE_1.0/ReleaseForIT/TestBuild_1.0.1/DBS/Build4/Setup" TargetMode="External"/><Relationship Id="rId852" Type="http://schemas.openxmlformats.org/officeDocument/2006/relationships/hyperlink" Target="../../../../../../../../../Releases/Projects/Comcast/Release_For_IT/Test_Build_4.6.1/Server%20CD/Database/Setup" TargetMode="External"/><Relationship Id="rId1068" Type="http://schemas.openxmlformats.org/officeDocument/2006/relationships/hyperlink" Target="../../../../../../../../../Releases/Projects/Comcast/Release_for_Test/Test_Build_4.6.5/Server%20CD/Database/Setup" TargetMode="External"/><Relationship Id="rId1275" Type="http://schemas.openxmlformats.org/officeDocument/2006/relationships/hyperlink" Target="../../../../../../../../../Releases/Projects/ANTEL/Release_For_Test/Test_Build_1.0.0.7/Server%20CD/DBS/Setup" TargetMode="External"/><Relationship Id="rId1482" Type="http://schemas.openxmlformats.org/officeDocument/2006/relationships/hyperlink" Target="../../../../../../../../../Releases/Product/DataMind_2.0/Build&amp;Release/Release%20for%20LQA/TestBuild_2.0.0/Server%20CD/DBS/Setup" TargetMode="External"/><Relationship Id="rId2119" Type="http://schemas.openxmlformats.org/officeDocument/2006/relationships/hyperlink" Target="../../../../../../../../../Releases/Projects/SLT/Release_For_IT/Test_Build_1.0.0.4/Server%20CD/DBS/Setup" TargetMode="External"/><Relationship Id="rId2326" Type="http://schemas.openxmlformats.org/officeDocument/2006/relationships/hyperlink" Target="../../../../../../../../../Releases/Projects/ANTEL/Release_For_Test/Test_Build_1.0.0.7/Server%20CD/DBS/Setup" TargetMode="External"/><Relationship Id="rId2533" Type="http://schemas.openxmlformats.org/officeDocument/2006/relationships/hyperlink" Target="../../../../../../../../../Releases/Projects/Vonage/Release_For_LQA/Test_Build_4.0.18/Server%20CD/DBS/Setup" TargetMode="External"/><Relationship Id="rId2740" Type="http://schemas.openxmlformats.org/officeDocument/2006/relationships/hyperlink" Target="../../../../../../../../../Releases/Projects/TWC/Release_For_Test/Test_Build_1.0.0.4/Server%20CD/DBS/Setup" TargetMode="External"/><Relationship Id="rId505" Type="http://schemas.openxmlformats.org/officeDocument/2006/relationships/hyperlink" Target="../../../../../../../../../Releases/Product/WEB_WFS/Build&amp;Release/Release%20For%20Test/TestBuild_2.2.1/Build2/ServerCD/GUI/Setup" TargetMode="External"/><Relationship Id="rId712" Type="http://schemas.openxmlformats.org/officeDocument/2006/relationships/hyperlink" Target="../../../../../../../../../Releases/Projects/SLT/Release_For_LQA/Test_Build_1.0.0.22/Server%20CD/DBS/Setup" TargetMode="External"/><Relationship Id="rId1135" Type="http://schemas.openxmlformats.org/officeDocument/2006/relationships/hyperlink" Target="../../../../../../../../../Releases/Projects/SLT/Release_For_IT/Test_Build_1.0.0.4/Server%20CD/DBS/Setup" TargetMode="External"/><Relationship Id="rId1342" Type="http://schemas.openxmlformats.org/officeDocument/2006/relationships/hyperlink" Target="../../../../../../../../../Releases/Projects/Telenet/Build&amp;Release/Release%20For%20Test/Test_Build_4.0.41/Server%20CD/MPE/Setup" TargetMode="External"/><Relationship Id="rId1787" Type="http://schemas.openxmlformats.org/officeDocument/2006/relationships/hyperlink" Target="../../../../../../../../../Releases/Projects/Comcast/Release_for_Test/Test_Build_4.6.6/Server%20CD/Database/Setup" TargetMode="External"/><Relationship Id="rId1994" Type="http://schemas.openxmlformats.org/officeDocument/2006/relationships/hyperlink" Target="../../../../../../../../../Releases/Projects/FNB/Release_For_Test/Test_Build_1.0.1/Server%20CD/DBS/Setup" TargetMode="External"/><Relationship Id="rId79" Type="http://schemas.openxmlformats.org/officeDocument/2006/relationships/hyperlink" Target="../../../../../../../../../Releases/Projects/SLT-1B/Release_For_Test/Test_Build_1.0.0.1/Server%20CD/MPE/Setup" TargetMode="External"/><Relationship Id="rId1202" Type="http://schemas.openxmlformats.org/officeDocument/2006/relationships/hyperlink" Target="../../../../../../../../../Releases/Projects/OBT/Release_For_LQA/TestBuild_1.0.0.6/Server%20CD/DBS/Setup" TargetMode="External"/><Relationship Id="rId1647" Type="http://schemas.openxmlformats.org/officeDocument/2006/relationships/hyperlink" Target="../../../../../../../../../Releases/Projects/Comcast/Release_for_Test/Test_Build_4.6.6/Server%20CD/GUI/Setup" TargetMode="External"/><Relationship Id="rId1854" Type="http://schemas.openxmlformats.org/officeDocument/2006/relationships/hyperlink" Target="file:///\\192.168.3.3\share\Releases\Projects\BHN\Release_For_Test\Test_Build_1.0.2\Server%20CD\IM\Setup" TargetMode="External"/><Relationship Id="rId2600" Type="http://schemas.openxmlformats.org/officeDocument/2006/relationships/hyperlink" Target="../../../../../../../../../Releases/Product/DataMind_2.0/Build&amp;Release/Release%20for%20LQA/TestBuild_2.0.0/Server%20CD/DBS/Setup" TargetMode="External"/><Relationship Id="rId1507" Type="http://schemas.openxmlformats.org/officeDocument/2006/relationships/hyperlink" Target="../../../../../../../../../Releases/Projects/OBT/Release_For_IT/TestBuild_1.0.0.2/Server%20CD/DBS/Setup" TargetMode="External"/><Relationship Id="rId1714" Type="http://schemas.openxmlformats.org/officeDocument/2006/relationships/hyperlink" Target="../../../../../../../../../Releases/Projects/SLT/Release_For_IT/Test_Build_1.0.0.4/Server%20CD/DBS/Setup" TargetMode="External"/><Relationship Id="rId295" Type="http://schemas.openxmlformats.org/officeDocument/2006/relationships/hyperlink" Target="../../../../../../../../../Releases/Projects/VzB/Release_For_IT/Test_Build_1.0.0.1/Server%20CD/DBS/Setup" TargetMode="External"/><Relationship Id="rId1921" Type="http://schemas.openxmlformats.org/officeDocument/2006/relationships/hyperlink" Target="../../../../../../../../../Releases/Projects/Comcast/Release_For_IT/Test_Build_4.6.1/Server%20CD/Database/Setup" TargetMode="External"/><Relationship Id="rId2183" Type="http://schemas.openxmlformats.org/officeDocument/2006/relationships/hyperlink" Target="../../../../../../../../../Releases/Product/RT_4.0/ReleaseForLQA/TestBuild_4.0.24/GUI/Build1/Setup" TargetMode="External"/><Relationship Id="rId2390" Type="http://schemas.openxmlformats.org/officeDocument/2006/relationships/hyperlink" Target="../../../../../../../../../Releases/Projects/Comcast/Release_For_IT/Test_Build_4.6.1/Server%20CD/Database/Setup" TargetMode="External"/><Relationship Id="rId2488" Type="http://schemas.openxmlformats.org/officeDocument/2006/relationships/hyperlink" Target="../../../../../../../../../Releases/Projects/MAC/Release_For_Test/Test_Build_1.0.1/Server%20CD/GUI/Setup" TargetMode="External"/><Relationship Id="rId155" Type="http://schemas.openxmlformats.org/officeDocument/2006/relationships/hyperlink" Target="../../../../../../../../../Releases/Projects/MAX/Release_For_Test/Test_Build_1.0.0.1/Server%20CD/DBS/Setup" TargetMode="External"/><Relationship Id="rId362" Type="http://schemas.openxmlformats.org/officeDocument/2006/relationships/hyperlink" Target="../../../../../../../../../Releases/Projects/Comcast/Release_for_Test/Test_Build_4.6.1/Server%20CD/Database/Setup" TargetMode="External"/><Relationship Id="rId1297" Type="http://schemas.openxmlformats.org/officeDocument/2006/relationships/hyperlink" Target="../../../../../../../../../Releases/Product/WEB_WFS/Build&amp;Release/Release%20For%20Test/TestBuild_2.1.29/ServerCD/GUI/Setup" TargetMode="External"/><Relationship Id="rId2043" Type="http://schemas.openxmlformats.org/officeDocument/2006/relationships/hyperlink" Target="../../../../../../../../../Releases/Projects/MCC/Release_For_Test/Test_Build_1.0.1/Server%20CD/DBS/Setup" TargetMode="External"/><Relationship Id="rId2250" Type="http://schemas.openxmlformats.org/officeDocument/2006/relationships/hyperlink" Target="../../../../../../../../../Releases/Projects/TLSTR-ST/Release_For_Test/Test_Build_1.0.1/Server%20CD/DBS/Setup" TargetMode="External"/><Relationship Id="rId2695" Type="http://schemas.openxmlformats.org/officeDocument/2006/relationships/hyperlink" Target="../../../../../../../../../Releases/Projects/BHN/Release_For_Test/Test_Build_1.0.8/Server%20CD/GUI/Setup" TargetMode="External"/><Relationship Id="rId222" Type="http://schemas.openxmlformats.org/officeDocument/2006/relationships/hyperlink" Target="../../../../../../../../../Releases/Projects/Comcast/Release_For_IT/Test_Build_3.5.50/Utility/Setup" TargetMode="External"/><Relationship Id="rId667" Type="http://schemas.openxmlformats.org/officeDocument/2006/relationships/hyperlink" Target="../../../../../../../../../Projects/Neustar/BHN/Build&amp;Release/Release%20For%20IT/Test_Build_3.5.37/Server%20CD/Database/Setup" TargetMode="External"/><Relationship Id="rId874" Type="http://schemas.openxmlformats.org/officeDocument/2006/relationships/hyperlink" Target="../../../../../../../../../Releases/Projects/SLT/Release_For_IT/Test_Build_1.0.0.4/Server%20CD/DBS/Setup" TargetMode="External"/><Relationship Id="rId2110" Type="http://schemas.openxmlformats.org/officeDocument/2006/relationships/hyperlink" Target="../../../../../../../../../Releases/Projects/ANTEL/Release_For_Test/Test_Build_1.0.0.7/Server%20CD/DBS/Setup" TargetMode="External"/><Relationship Id="rId2348" Type="http://schemas.openxmlformats.org/officeDocument/2006/relationships/hyperlink" Target="../../../../../../../../../Releases/Projects/SLT/Release_For_IT/Test_Build_1.0.0.4/Server%20CD/DBS/Setup" TargetMode="External"/><Relationship Id="rId2555" Type="http://schemas.openxmlformats.org/officeDocument/2006/relationships/hyperlink" Target="../../../../../../../../../Releases/Projects/Telstra-2b/Release_For_Test/Test_Build_1.0.0.1/Server%20CD/MPE/Setup" TargetMode="External"/><Relationship Id="rId2762" Type="http://schemas.openxmlformats.org/officeDocument/2006/relationships/hyperlink" Target="file:///\\192.168.3.3\share\Releases\Projects\Telstra\Release_For_LQA\Test_Build_1.0.0.19\Server%20CD\IM\Setup" TargetMode="External"/><Relationship Id="rId527" Type="http://schemas.openxmlformats.org/officeDocument/2006/relationships/hyperlink" Target="../../../../../../../../../Releases/Product/NetMindPOS_1.1/Build&amp;Release/Release%20for%20LQA/TestBuild_1.2.3/Server%20CD/DBS/Setup" TargetMode="External"/><Relationship Id="rId734" Type="http://schemas.openxmlformats.org/officeDocument/2006/relationships/hyperlink" Target="../../../../../../../../../Releases/Product/MPE_GUI/ReleaseForLQA/TestBuild_1.0.0.2/Server%20CD/MPE/Setup" TargetMode="External"/><Relationship Id="rId941" Type="http://schemas.openxmlformats.org/officeDocument/2006/relationships/hyperlink" Target="../../../../../../../../../Releases/Projects/Comcast/Release_For_IT/Test_Build_4.6.1/Server%20CD/Database/Setup" TargetMode="External"/><Relationship Id="rId1157" Type="http://schemas.openxmlformats.org/officeDocument/2006/relationships/hyperlink" Target="../../../../../../../../../Releases/Projects/ANTEL/Release_For_IT/TestBuild_1.0.0.4/Server%20CD/DBS/Setup" TargetMode="External"/><Relationship Id="rId1364" Type="http://schemas.openxmlformats.org/officeDocument/2006/relationships/hyperlink" Target="../../../../../../../../../Releases/Projects/SLT-1B/Release_For_Test/Test_Build_1.0.0.1/Server%20CD/MPE/Setup" TargetMode="External"/><Relationship Id="rId1571" Type="http://schemas.openxmlformats.org/officeDocument/2006/relationships/hyperlink" Target="../../../../../../../../../Releases/Product/RE_1.0/ReleaseForIT/TestBuild_1.0.1/DBS/Build4/Setup" TargetMode="External"/><Relationship Id="rId2208" Type="http://schemas.openxmlformats.org/officeDocument/2006/relationships/hyperlink" Target="../../../../../../../../../Releases/Projects/ANTEL/Release_For_Test/Test_Build_1.0.0.7/Server%20CD/DBS/Setup" TargetMode="External"/><Relationship Id="rId2415" Type="http://schemas.openxmlformats.org/officeDocument/2006/relationships/hyperlink" Target="../../../../../../../../../Releases/Projects/TWC/Release_For_IT/Test_Build_1.0.0.3/Server%20CD/DBS/Setup" TargetMode="External"/><Relationship Id="rId2622" Type="http://schemas.openxmlformats.org/officeDocument/2006/relationships/hyperlink" Target="../../../../../../../../../Releases/Projects/SLT/Release_For_LQA/Test_Build_1.0.0.24/Server%20CD/DBS/Setup" TargetMode="External"/><Relationship Id="rId70" Type="http://schemas.openxmlformats.org/officeDocument/2006/relationships/hyperlink" Target="../../../../../../../../../Releases/Projects/SHAW/Release_For_IT/Test_Build_1.0.0.26/Server%20CD/DBS/Setup" TargetMode="External"/><Relationship Id="rId801" Type="http://schemas.openxmlformats.org/officeDocument/2006/relationships/hyperlink" Target="../../../../../../../../../Releases/Projects/SLT/Release_For_LQA/Test_Build_1.0.0.23/Server%20CD/DBS/Setup" TargetMode="External"/><Relationship Id="rId1017" Type="http://schemas.openxmlformats.org/officeDocument/2006/relationships/hyperlink" Target="../../../../../../../../../Releases/Projects/Comcast/Release_for_Test/Test_Build_4.6.5/Server%20CD/Database/Setup" TargetMode="External"/><Relationship Id="rId1224" Type="http://schemas.openxmlformats.org/officeDocument/2006/relationships/hyperlink" Target="../../../../../../../../../Releases/Projects/Comcast/Release_For_IT/Test_Build_4.6.1/Server%20CD/Database/Setup" TargetMode="External"/><Relationship Id="rId1431" Type="http://schemas.openxmlformats.org/officeDocument/2006/relationships/hyperlink" Target="../../../../../../../../../Releases/Product/WEB_WFS/Build&amp;Release/Release" TargetMode="External"/><Relationship Id="rId1669" Type="http://schemas.openxmlformats.org/officeDocument/2006/relationships/hyperlink" Target="../../../../../../../../../Releases/Projects/Telenet/Build&amp;Release/Release%20For%20IT/Test_Build_4.0.41/Server%20CD/Database/Setup" TargetMode="External"/><Relationship Id="rId1876" Type="http://schemas.openxmlformats.org/officeDocument/2006/relationships/hyperlink" Target="../../../../../../../../../Releases/Projects/Comcast/Release_for_Test/Test_Build_4.6.6/Server%20CD/Database/Setup" TargetMode="External"/><Relationship Id="rId1529" Type="http://schemas.openxmlformats.org/officeDocument/2006/relationships/hyperlink" Target="../../../../../../../../../Releases/Projects/SLT/Release_For_IT/Test_Build_1.0.0.4/Server%20CD/DBS/Setup" TargetMode="External"/><Relationship Id="rId1736" Type="http://schemas.openxmlformats.org/officeDocument/2006/relationships/hyperlink" Target="../../../../../../../../../Releases/Product/IM_1.0/Build&amp;Release/Release_For_LQA/Test_Build_1.0.1/Server%20CD/IM/Setup" TargetMode="External"/><Relationship Id="rId1943" Type="http://schemas.openxmlformats.org/officeDocument/2006/relationships/hyperlink" Target="../../../../../../../../../Releases/Projects/TLSTR-ST/Release_For_Test/Test_Build_1.0.1/Server%20CD/MPE/Setup" TargetMode="External"/><Relationship Id="rId28" Type="http://schemas.openxmlformats.org/officeDocument/2006/relationships/hyperlink" Target="../../../../../../../../../Projects/Neustar/BHN/Build&amp;Release/Release%20For%20Test/Test_Build_3.5.37/Server%20CD/Database/Setup" TargetMode="External"/><Relationship Id="rId1803" Type="http://schemas.openxmlformats.org/officeDocument/2006/relationships/hyperlink" Target="../../../../../../../../../Releases/Product/AWF/Build&amp;Release/Release%20For%20Test/TestBuild_2.0.1/Setup" TargetMode="External"/><Relationship Id="rId177" Type="http://schemas.openxmlformats.org/officeDocument/2006/relationships/hyperlink" Target="../../../../../../../../../Releases/Projects/Telstra/Release_For_LQA/Test_Build_1.0.0.18/Server%20CD/DBS/Setup" TargetMode="External"/><Relationship Id="rId384" Type="http://schemas.openxmlformats.org/officeDocument/2006/relationships/hyperlink" Target="../../../../../../../../../Releases/Projects/CBD/Release_For_Test/Test_Build_1.0.0.4/Server%20CD/MPE/RHEL_6.3/Setup" TargetMode="External"/><Relationship Id="rId591" Type="http://schemas.openxmlformats.org/officeDocument/2006/relationships/hyperlink" Target="../../../../../../../../../Releases/Product/RevMind_2.1/Build&amp;Release/Release_For_LQA/Test_Build_1.0.2/Server%20CD/GUI/CS/Setup" TargetMode="External"/><Relationship Id="rId2065" Type="http://schemas.openxmlformats.org/officeDocument/2006/relationships/hyperlink" Target="../../../../../../../../../Releases/Projects/FNB/Release_For_Test/Test_Build_1.0.1/Server%20CD/DBS/Setup" TargetMode="External"/><Relationship Id="rId2272" Type="http://schemas.openxmlformats.org/officeDocument/2006/relationships/hyperlink" Target="../../../../../../../../../Releases/Projects/SLT-1B/Release_For_Test/Test_Build_1.0.0.1/Server%20CD/MPE/Setup" TargetMode="External"/><Relationship Id="rId244" Type="http://schemas.openxmlformats.org/officeDocument/2006/relationships/hyperlink" Target="../../../../../../../../../Releases/Product/RT_4.0/ReleaseForIT/TestBuild_4.0.3/DBS/Setup" TargetMode="External"/><Relationship Id="rId689" Type="http://schemas.openxmlformats.org/officeDocument/2006/relationships/hyperlink" Target="../../../../../../../../../Releases/Projects/Telstra/Release_For_IT/Test_Build_1.0.0.18/Server%20CD/DBS/Setup" TargetMode="External"/><Relationship Id="rId896" Type="http://schemas.openxmlformats.org/officeDocument/2006/relationships/hyperlink" Target="../../../../../../../../../Releases/Projects/SLT/Release_For_LQA/Test_Build_1.0.0.23/Server%20CD/DBS/Setup" TargetMode="External"/><Relationship Id="rId1081" Type="http://schemas.openxmlformats.org/officeDocument/2006/relationships/hyperlink" Target="../../../../../../../../../Releases/Projects/SLT/Release_For_IT/Test_Build_1.0.0.4/Server%20CD/DBS/Setup" TargetMode="External"/><Relationship Id="rId2577" Type="http://schemas.openxmlformats.org/officeDocument/2006/relationships/hyperlink" Target="../../../../../../../../../Releases/Projects/SLT-1B/Release_For_Test/Test_Build_1.0.0.1/Server%20CD/MPE/Setup" TargetMode="External"/><Relationship Id="rId2784" Type="http://schemas.openxmlformats.org/officeDocument/2006/relationships/hyperlink" Target="../../../../../../../../../Releases/Projects/BHN/Release_For_Test/Test_Build_1.0.8/Server%20CD/MPE/Setup" TargetMode="External"/><Relationship Id="rId451" Type="http://schemas.openxmlformats.org/officeDocument/2006/relationships/hyperlink" Target="../../../../../../../../../Releases/Projects/Telenet/Build&amp;Release/Release%20For%20IT/Test_Build_4.0.40/Client%20CD/GUI/Profile%20Manager/Setup" TargetMode="External"/><Relationship Id="rId549" Type="http://schemas.openxmlformats.org/officeDocument/2006/relationships/hyperlink" Target="../../../../../../../../../Releases/Projects/TWC/Release_For_Test/Test_Build_1.0.0.4/Server%20CD/DBS/Setup" TargetMode="External"/><Relationship Id="rId756" Type="http://schemas.openxmlformats.org/officeDocument/2006/relationships/hyperlink" Target="../../../../../../../../../Releases/Projects/Comcast/Release_For_IT/Test_Build_4.6.1/Server%20CD/Database/Setup" TargetMode="External"/><Relationship Id="rId1179" Type="http://schemas.openxmlformats.org/officeDocument/2006/relationships/hyperlink" Target="../../../../../../../../../Releases/Product/Netmind_4.6/Build&amp;Release/ReleaseForIT/TestBuild_4.6.1/Build4/ServerCD/DBS/Setup" TargetMode="External"/><Relationship Id="rId1386" Type="http://schemas.openxmlformats.org/officeDocument/2006/relationships/hyperlink" Target="../../../../../../../../../Releases/Projects/OBT/Release_For_LQA/TestBuild_1.0.0.6/Server%20CD/DBS/Setup" TargetMode="External"/><Relationship Id="rId1593" Type="http://schemas.openxmlformats.org/officeDocument/2006/relationships/hyperlink" Target="../../../../../../../../../Releases/Projects/Telenet/Build&amp;Release/Release%20For%20Test/Test_Build_4.0.41/Server%20CD/Database/Setup" TargetMode="External"/><Relationship Id="rId2132" Type="http://schemas.openxmlformats.org/officeDocument/2006/relationships/hyperlink" Target="../../../../../../../../../Releases/Product/WEB_WFS/Build&amp;Release/Release%20For%20Test/TestBuild_2.2.1/Build4/ServerCD/GUI/Setup" TargetMode="External"/><Relationship Id="rId2437" Type="http://schemas.openxmlformats.org/officeDocument/2006/relationships/hyperlink" Target="../../../../../../../../../Releases/Product/MEDGUI_1.1/Build&amp;Release/Release_For_LQA/Test_Build_1.0.2/Server%20CD/MPE/Setup/RHEL_6.3" TargetMode="External"/><Relationship Id="rId104" Type="http://schemas.openxmlformats.org/officeDocument/2006/relationships/hyperlink" Target="../../../../../../../../../Releases/Product/NetMindPOS_1.1/Build&amp;Release/Release%20for%20IT/TestBuild_1.2.3/Server%20CD/DBS/Setup" TargetMode="External"/><Relationship Id="rId311" Type="http://schemas.openxmlformats.org/officeDocument/2006/relationships/hyperlink" Target="../../../../../../../../../Releases/Projects/Comcast/Release_For_IT/Test_Build_4.6.1/Server%20CD/Database/Setup" TargetMode="External"/><Relationship Id="rId409" Type="http://schemas.openxmlformats.org/officeDocument/2006/relationships/hyperlink" Target="../../../../../../../../../Projects/Neustar/BHN/Build&amp;Release/Release%20For%20IT/Test_Build_3.5.37/Server%20CD/Database/Setup" TargetMode="External"/><Relationship Id="rId963" Type="http://schemas.openxmlformats.org/officeDocument/2006/relationships/hyperlink" Target="../../../../../../../../../Releases/Product/RT_4.0/ReleaseForLQA/TestBuild_4.0.23/DBS/Setup" TargetMode="External"/><Relationship Id="rId1039" Type="http://schemas.openxmlformats.org/officeDocument/2006/relationships/hyperlink" Target="../../../../../../../../../Releases/Projects/Comcast/Release_for_Test/Test_Build_4.6.5/Server%20CD/Database/Setup" TargetMode="External"/><Relationship Id="rId1246" Type="http://schemas.openxmlformats.org/officeDocument/2006/relationships/hyperlink" Target="../../../../../../../../../Releases/Projects/SLT/Release_For_LQA/Test_Build_1.0.0.23/Server%20CD/DBS/Setup" TargetMode="External"/><Relationship Id="rId1898" Type="http://schemas.openxmlformats.org/officeDocument/2006/relationships/hyperlink" Target="../../../../../../../../../Releases/Projects/SLT/Release_For_LQA/Test_Build_1.0.0.24/Server%20CD/DBS/Setup" TargetMode="External"/><Relationship Id="rId2644" Type="http://schemas.openxmlformats.org/officeDocument/2006/relationships/hyperlink" Target="../../../../../../../../../Releases/Projects/SLT/Release_For_LQA/Test_Build_1.0.0.24/Server%20CD/DBS/Setup" TargetMode="External"/><Relationship Id="rId92" Type="http://schemas.openxmlformats.org/officeDocument/2006/relationships/hyperlink" Target="../../../../../../../../../Releases/Projects/OBT/Release_For_IT/TestBuild_1.0.0.2/Server%20CD/DBS/Setup" TargetMode="External"/><Relationship Id="rId616" Type="http://schemas.openxmlformats.org/officeDocument/2006/relationships/hyperlink" Target="../../../../../../../../../Releases/Product/RevMind_2.1/Build&amp;Release/Release_For_IT/TestBuild_1.0.1/Server%20CD/DBS/Setup" TargetMode="External"/><Relationship Id="rId823" Type="http://schemas.openxmlformats.org/officeDocument/2006/relationships/hyperlink" Target="../../../../../../../../../Releases/Projects/Comcast/Release_for_Test/Test_Build_4.6.4/Server%20CD/Database/Setup" TargetMode="External"/><Relationship Id="rId1453" Type="http://schemas.openxmlformats.org/officeDocument/2006/relationships/hyperlink" Target="../../../../../../../../../Releases/Projects/SLT/Release_For_IT/Test_Build_1.0.0.4/Server%20CD/DBS/Setup" TargetMode="External"/><Relationship Id="rId1660" Type="http://schemas.openxmlformats.org/officeDocument/2006/relationships/hyperlink" Target="../../../../../../../../../Releases/Projects/SLT/Release_For_IT/Test_Build_1.0.0.4/Server%20CD/DBS/Setup" TargetMode="External"/><Relationship Id="rId1758" Type="http://schemas.openxmlformats.org/officeDocument/2006/relationships/hyperlink" Target="../../../../../../../../../Releases/Projects/SLT/Release_For_IT/Test_Build_1.0.0.4/Server%20CD/DBS/Setup" TargetMode="External"/><Relationship Id="rId2504" Type="http://schemas.openxmlformats.org/officeDocument/2006/relationships/hyperlink" Target="../../../../../../../../../Releases/Projects/SLT-1B/Release_For_Test/Test_Build_1.0.0.1/Server%20CD/MPE/Setup" TargetMode="External"/><Relationship Id="rId2711" Type="http://schemas.openxmlformats.org/officeDocument/2006/relationships/hyperlink" Target="../../../../../../../../../Releases/Product/MEDGUI_1.1/Build&amp;Release/Release_For_LQA/Test_Build_1.0.2/Server%20CD/GUI/Setup" TargetMode="External"/><Relationship Id="rId2809" Type="http://schemas.openxmlformats.org/officeDocument/2006/relationships/hyperlink" Target="../../../../../../../../../Releases/Product/WEB_WFS/Build&amp;Release/Release%20For%20Test/TestBuild_2.1.38/ServerCD/GUI/Setup" TargetMode="External"/><Relationship Id="rId1106" Type="http://schemas.openxmlformats.org/officeDocument/2006/relationships/hyperlink" Target="../../../../../../../../../Releases/Projects/Telstra/Release_For_LQA/Test_Build_1.0.0.18/Server%20CD/DBS/Setup" TargetMode="External"/><Relationship Id="rId1313" Type="http://schemas.openxmlformats.org/officeDocument/2006/relationships/hyperlink" Target="../../../../../../../../../Releases/Product/RT_4.0/ReleaseForIT/TestBuild_4.0.3/DBS/Setup" TargetMode="External"/><Relationship Id="rId1520" Type="http://schemas.openxmlformats.org/officeDocument/2006/relationships/hyperlink" Target="../../../../../../../../../Releases/Projects/SLT/Release_For_IT/Test_Build_1.0.0.4/Server%20CD/DBS/Setup" TargetMode="External"/><Relationship Id="rId1965" Type="http://schemas.openxmlformats.org/officeDocument/2006/relationships/hyperlink" Target="../../../../../../../../../Releases/Projects/SLT/Release_For_LQA/Test_Build_1.0.0.24/Server%20CD/DBS/Setup" TargetMode="External"/><Relationship Id="rId1618" Type="http://schemas.openxmlformats.org/officeDocument/2006/relationships/hyperlink" Target="../../../../../../../../../Releases/Projects/SLT/Release_For_LQA/Test_Build_1.0.0.24/Server%20CD/DBS/Setup" TargetMode="External"/><Relationship Id="rId1825" Type="http://schemas.openxmlformats.org/officeDocument/2006/relationships/hyperlink" Target="../../../../../../../../../Releases/Projects/ANTEL/Release_For_IT/TestBuild_1.0.0.4/Server%20CD/DBS/Setup" TargetMode="External"/><Relationship Id="rId199" Type="http://schemas.openxmlformats.org/officeDocument/2006/relationships/hyperlink" Target="../../../../../../../../../Releases/Projects/MAX/Release_For_Test/Test_Build_1.0.0.1/Server%20CD/DBS/Setup" TargetMode="External"/><Relationship Id="rId2087" Type="http://schemas.openxmlformats.org/officeDocument/2006/relationships/hyperlink" Target="../../../../../../../../../Releases/Projects/ANTEL/Release_For_Test/Test_Build_1.0.0.7/Server%20CD/DBS/Setup" TargetMode="External"/><Relationship Id="rId2294" Type="http://schemas.openxmlformats.org/officeDocument/2006/relationships/hyperlink" Target="../../../../../../../../../Releases/Projects/ANTEL/Release_For_Test/Test_Build_1.0.0.7/Server%20CD/DBS/Setup" TargetMode="External"/><Relationship Id="rId266" Type="http://schemas.openxmlformats.org/officeDocument/2006/relationships/hyperlink" Target="../../../../../../../../../Releases/Projects/SLT/Release_For_IT/Test_Build_1.0.0.4/Server%20CD/DBS/Setup" TargetMode="External"/><Relationship Id="rId473" Type="http://schemas.openxmlformats.org/officeDocument/2006/relationships/hyperlink" Target="../../../../../../../../../Releases/Projects/Comcast/Release_for_Test/Test_Build_4.6.1/Server%20CD/MPE/Setup" TargetMode="External"/><Relationship Id="rId680" Type="http://schemas.openxmlformats.org/officeDocument/2006/relationships/hyperlink" Target="../../../../../../../../../Releases/Projects/Comcast/Release_For_IT/Test_Build_4.6.1/Server%20CD/Database/Setup" TargetMode="External"/><Relationship Id="rId2154" Type="http://schemas.openxmlformats.org/officeDocument/2006/relationships/hyperlink" Target="../../../../../../../../../Releases/Projects/TLSTR-ST/Release_For_IT/TestBuild_1.0.1/Server%20CD/DBS/Setup" TargetMode="External"/><Relationship Id="rId2361" Type="http://schemas.openxmlformats.org/officeDocument/2006/relationships/hyperlink" Target="../../../../../../../../../Releases/Projects/Vonage/Release_For_LQA/Test_Build_4.0.17/Client%20CD/GUI/HM/Setup" TargetMode="External"/><Relationship Id="rId2599" Type="http://schemas.openxmlformats.org/officeDocument/2006/relationships/hyperlink" Target="../../../../../../../../../Releases/Product/DataMind_2.0/Build&amp;Release/Release%20for%20IT/TestBuild_2.0.0/Server%20CD/DBS/Setup" TargetMode="External"/><Relationship Id="rId126" Type="http://schemas.openxmlformats.org/officeDocument/2006/relationships/hyperlink" Target="../../../../../../../../../Releases/Product/RE_1.0/ReleaseForIT/TestBuild_1.0.1/DBS/Build4/Setup" TargetMode="External"/><Relationship Id="rId333" Type="http://schemas.openxmlformats.org/officeDocument/2006/relationships/hyperlink" Target="../../../../../../../../../Releases/Projects/TWC/Release_For_Test/Test_Build_1.0.0.4/Server%20CD/MPE/Setup" TargetMode="External"/><Relationship Id="rId540" Type="http://schemas.openxmlformats.org/officeDocument/2006/relationships/hyperlink" Target="../../../../../../../../../Releases/Projects/Comcast/Release_for_Test/Test_Build_4.6.1/Server%20CD/Database/Setup" TargetMode="External"/><Relationship Id="rId778" Type="http://schemas.openxmlformats.org/officeDocument/2006/relationships/hyperlink" Target="../../../../../../../../../Releases/Projects/SLT/Release_For_IT/Test_Build_1.0.0.4/Server%20CD/DBS/Setup" TargetMode="External"/><Relationship Id="rId985" Type="http://schemas.openxmlformats.org/officeDocument/2006/relationships/hyperlink" Target="../../../../../../../../../Releases/Projects/SLT/Release_For_LQA/Test_Build_1.0.0.23/Server%20CD/DBS/Setup" TargetMode="External"/><Relationship Id="rId1170" Type="http://schemas.openxmlformats.org/officeDocument/2006/relationships/hyperlink" Target="../../../../../../../../../Releases/Projects/SLT-1B/Release_For_Test/Test_Build_1.0.0.1/Server%20CD/MPE/Setup" TargetMode="External"/><Relationship Id="rId2014" Type="http://schemas.openxmlformats.org/officeDocument/2006/relationships/hyperlink" Target="../../../../../../../../../Releases/Projects/FNB/Release_For_Test/Test_Build_1.0.1/Server%20CD/MPE/Setup" TargetMode="External"/><Relationship Id="rId2221" Type="http://schemas.openxmlformats.org/officeDocument/2006/relationships/hyperlink" Target="../../../../../../../../../Releases/Projects/MCC/Release_For_Test/Test_Build_1.0.1/Server%20CD/GUI/Setup" TargetMode="External"/><Relationship Id="rId2459" Type="http://schemas.openxmlformats.org/officeDocument/2006/relationships/hyperlink" Target="../../../../../../../../../Releases/Product/RE_2.0/Build&amp;Release/Release_For_LQA/Test_Build_1.0.1/Server%20CD/DBS/Setup" TargetMode="External"/><Relationship Id="rId2666" Type="http://schemas.openxmlformats.org/officeDocument/2006/relationships/hyperlink" Target="../../../../../../../../../Releases/Product/WEB_WFS/Build&amp;Release/Release%20For%20Test/TestBuild_2.1.37/ServerCD/GUI/Setup" TargetMode="External"/><Relationship Id="rId638" Type="http://schemas.openxmlformats.org/officeDocument/2006/relationships/hyperlink" Target="../../../../../../../../../Releases/Projects/Comcast/Release_for_Test/Test_Build_4.6.2/Server%20CD/Database/Setup" TargetMode="External"/><Relationship Id="rId845" Type="http://schemas.openxmlformats.org/officeDocument/2006/relationships/hyperlink" Target="../../../../../../../../../Releases/Projects/SLT/Release_For_IT/Test_Build_1.0.0.4/Server%20CD/DBS/Setup" TargetMode="External"/><Relationship Id="rId1030" Type="http://schemas.openxmlformats.org/officeDocument/2006/relationships/hyperlink" Target="../../../../../../../../../Releases/Product/RevMind_2.1/Build&amp;Release/Release_For_LQA/Test_Build_1.0.2/Server%20CD/DBS/Setup" TargetMode="External"/><Relationship Id="rId1268" Type="http://schemas.openxmlformats.org/officeDocument/2006/relationships/hyperlink" Target="../../../../../../../../../Releases/Product/NetMindPOS_1.1/Build&amp;Release/Release%20for%20IT/TestBuild_1.2.3/Server%20CD/DBS/Setup" TargetMode="External"/><Relationship Id="rId1475" Type="http://schemas.openxmlformats.org/officeDocument/2006/relationships/hyperlink" Target="../../../../../../../../../Releases/Projects/Comcast/Release_for_Test/Test_Build_4.6.6/Server%20CD/Database/Setup" TargetMode="External"/><Relationship Id="rId1682" Type="http://schemas.openxmlformats.org/officeDocument/2006/relationships/hyperlink" Target="../../../../../../../../../Projects/Neustar/BHN/Build&amp;Release/Release%20For%20IT/Test_Build_3.5.37/Server%20CD/Database/Setup" TargetMode="External"/><Relationship Id="rId2319" Type="http://schemas.openxmlformats.org/officeDocument/2006/relationships/hyperlink" Target="../../../../../../../../../Releases/Projects/TWC/Release_For_Test/Test_Build_1.0.0.4/Server%20CD/DBS/Setup" TargetMode="External"/><Relationship Id="rId2526" Type="http://schemas.openxmlformats.org/officeDocument/2006/relationships/hyperlink" Target="../../../../../../../../../Releases/Projects/TWC/Release_For_Test/Test_Build_1.0.0.4/Server%20CD/MPE/Setup" TargetMode="External"/><Relationship Id="rId2733" Type="http://schemas.openxmlformats.org/officeDocument/2006/relationships/hyperlink" Target="../../../../../../../../../Releases/Projects/FNB/Release_For_Test/Test_Build_1.0.2/Server%20CD/DBS/Setup" TargetMode="External"/><Relationship Id="rId400" Type="http://schemas.openxmlformats.org/officeDocument/2006/relationships/hyperlink" Target="../../../../../../../../../Releases/Projects/SLT/Release_For_IT/Test_Build_1.0.0.4/Server%20CD/DBS/Setup" TargetMode="External"/><Relationship Id="rId705" Type="http://schemas.openxmlformats.org/officeDocument/2006/relationships/hyperlink" Target="../../../../../../../../../Releases/Projects/SLT/Release_For_LQA/Test_Build_1.0.0.22/Server%20CD/DBS/Setup" TargetMode="External"/><Relationship Id="rId1128" Type="http://schemas.openxmlformats.org/officeDocument/2006/relationships/hyperlink" Target="../../../../../../../../../Releases/Product/WEB_WFS/Build&amp;Release/Release%20For%20Test/TestBuild_2.1.27/ServerCD/GUI/Setup" TargetMode="External"/><Relationship Id="rId1335" Type="http://schemas.openxmlformats.org/officeDocument/2006/relationships/hyperlink" Target="../../../../../../../../../Releases/Projects/Comcast/Release_For_IT/Test_Build_4.6.1/Server%20CD/Database/Setup" TargetMode="External"/><Relationship Id="rId1542" Type="http://schemas.openxmlformats.org/officeDocument/2006/relationships/hyperlink" Target="../../../../../../../../../Releases/Projects/Comcast/Release_for_Test/Test_Build_4.6.6/Server%20CD/Database/Setup" TargetMode="External"/><Relationship Id="rId1987" Type="http://schemas.openxmlformats.org/officeDocument/2006/relationships/hyperlink" Target="../../../../../../../../../Releases/Projects/SLT/Release_For_LQA/Test_Build_1.0.0.24/Server%20CD/DBS/Setup" TargetMode="External"/><Relationship Id="rId912" Type="http://schemas.openxmlformats.org/officeDocument/2006/relationships/hyperlink" Target="../../../../../../../../../Releases/Projects/SLT/Release_For_IT/Test_Build_1.0.0.4/Server%20CD/DBS/Setup" TargetMode="External"/><Relationship Id="rId1847" Type="http://schemas.openxmlformats.org/officeDocument/2006/relationships/hyperlink" Target="../../../../../../../../../Releases/Projects/SLT/Release_For_IT/Test_Build_1.0.0.4/Server%20CD/DBS/Setup" TargetMode="External"/><Relationship Id="rId2800" Type="http://schemas.openxmlformats.org/officeDocument/2006/relationships/hyperlink" Target="../../../../../../../../../Releases/Projects/TLSTR-ST/Release_For_Test/Test_Build_1.0.1/Server%20CD/DBS/Setup" TargetMode="External"/><Relationship Id="rId41" Type="http://schemas.openxmlformats.org/officeDocument/2006/relationships/hyperlink" Target="../../../../../../../../../Releases/Projects/SLT/Release_For_LQA/Test_Build_1.0.0.16/Server%20CD/DBS/Setup" TargetMode="External"/><Relationship Id="rId1402" Type="http://schemas.openxmlformats.org/officeDocument/2006/relationships/hyperlink" Target="../../../../../../../../../Releases/Projects/TWC/Release_For_Test/Test_Build_1.0.0.4/Server%20CD/MPE/Setup" TargetMode="External"/><Relationship Id="rId1707" Type="http://schemas.openxmlformats.org/officeDocument/2006/relationships/hyperlink" Target="../../../../../../../../../Releases/Projects/TWC/Release_For_Test/Test_Build_1.0.0.4/Server%20CD/DBS/Setup" TargetMode="External"/><Relationship Id="rId190" Type="http://schemas.openxmlformats.org/officeDocument/2006/relationships/hyperlink" Target="../../../../../../../../../Releases/Projects/SLT/Release_For_IT/Test_Build_1.0.0.4/Server%20CD/DBS/Setup" TargetMode="External"/><Relationship Id="rId288" Type="http://schemas.openxmlformats.org/officeDocument/2006/relationships/hyperlink" Target="../../../../../../../../../Releases/Projects/SLT/Release_For_LQA/Test_Build_1.0.0.18/Server%20CD/DBS/Setup" TargetMode="External"/><Relationship Id="rId1914" Type="http://schemas.openxmlformats.org/officeDocument/2006/relationships/hyperlink" Target="../../../../../../../../../Releases/Projects/Comcast/Release_for_Test/Test_Build_4.6.6/Server%20CD/Database/Setup" TargetMode="External"/><Relationship Id="rId495" Type="http://schemas.openxmlformats.org/officeDocument/2006/relationships/hyperlink" Target="../../../../../../../../../Releases/Projects/Telstra/Release_For_LQA/Test_Build_1.0.0.18/Server%20CD/DBS/Setup" TargetMode="External"/><Relationship Id="rId2176" Type="http://schemas.openxmlformats.org/officeDocument/2006/relationships/hyperlink" Target="../../../../../../../../../Releases/Projects/FNB/Release_For_Test/Test_Build_1.0.1/Server%20CD/MPE/Setup" TargetMode="External"/><Relationship Id="rId2383" Type="http://schemas.openxmlformats.org/officeDocument/2006/relationships/hyperlink" Target="../../../../../../../../../Releases/Projects/Comcast/Release_For_IT/Test_Build_4.6.1/Server%20CD/Database/Setup" TargetMode="External"/><Relationship Id="rId2590" Type="http://schemas.openxmlformats.org/officeDocument/2006/relationships/hyperlink" Target="../../../../../../../../../Releases/Projects/Comcast/Release_for_Test/Test_Build_4.6.7/Server%20CD/Database/Setup" TargetMode="External"/><Relationship Id="rId148" Type="http://schemas.openxmlformats.org/officeDocument/2006/relationships/hyperlink" Target="../../../../../../../../../Releases/Projects/Telstra/Release_For_LQA/Test_Build_1.0.0.18/Server%20CD/DBS/Setup" TargetMode="External"/><Relationship Id="rId355" Type="http://schemas.openxmlformats.org/officeDocument/2006/relationships/hyperlink" Target="../../../../../../../../../Releases/Projects/Telstra/Release_For_IT/Test_Build_1.0.0.18/Server%20CD/DBS/Setup" TargetMode="External"/><Relationship Id="rId562" Type="http://schemas.openxmlformats.org/officeDocument/2006/relationships/hyperlink" Target="../../../../../../../../../Releases/Projects/Comcast/Release_For_IT/Test_Build_4.6.1/Server%20CD/Database/Setup" TargetMode="External"/><Relationship Id="rId1192" Type="http://schemas.openxmlformats.org/officeDocument/2006/relationships/hyperlink" Target="../../../../../../../../../Releases/Projects/SLT/Release_For_IT/Test_Build_1.0.0.4/Server%20CD/DBS/Setup" TargetMode="External"/><Relationship Id="rId2036" Type="http://schemas.openxmlformats.org/officeDocument/2006/relationships/hyperlink" Target="../../../../../../../../../Releases/Projects/SLT-1B/Release_For_Test/Test_Build_1.0.0.1/Server%20CD/MPE/Setup" TargetMode="External"/><Relationship Id="rId2243" Type="http://schemas.openxmlformats.org/officeDocument/2006/relationships/hyperlink" Target="../../../../../../../../../Releases/Projects/SLT-1B/Release_For_Test/Test_Build_1.0.0.1/Utility/MPE/Setup" TargetMode="External"/><Relationship Id="rId2450" Type="http://schemas.openxmlformats.org/officeDocument/2006/relationships/hyperlink" Target="../../../../../../../../../Releases/Projects/SLT/Release_For_LQA/Test_Build_1.0.0.24/Server%20CD/DBS/Setup" TargetMode="External"/><Relationship Id="rId2688" Type="http://schemas.openxmlformats.org/officeDocument/2006/relationships/hyperlink" Target="../../../../../../../../../Releases/Projects/Comcast/Release_for_Test/Test_Build_4.6.10/Server%20CD/GUI/Setup" TargetMode="External"/><Relationship Id="rId215" Type="http://schemas.openxmlformats.org/officeDocument/2006/relationships/hyperlink" Target="../../../../../../../../../Releases/Projects/SLT/Release_For_IT/Test_Build_1.0.0.4/Server%20CD/DBS/Setup" TargetMode="External"/><Relationship Id="rId422" Type="http://schemas.openxmlformats.org/officeDocument/2006/relationships/hyperlink" Target="../../../../../../../../../Releases/Projects/Comcast/Release_for_Test/Test_Build_4.6.1/Server%20CD/Database/Setup" TargetMode="External"/><Relationship Id="rId867" Type="http://schemas.openxmlformats.org/officeDocument/2006/relationships/hyperlink" Target="../../../../../../../../../Releases/Projects/Comcast/Release_for_Test/Test_Build_4.6.4/Server%20CD/Database/Setup" TargetMode="External"/><Relationship Id="rId1052" Type="http://schemas.openxmlformats.org/officeDocument/2006/relationships/hyperlink" Target="../../../../../../../../../Releases/Projects/SLT/Release_For_IT/Test_Build_1.0.0.4/Server%20CD/DBS/Setup" TargetMode="External"/><Relationship Id="rId1497" Type="http://schemas.openxmlformats.org/officeDocument/2006/relationships/hyperlink" Target="../../../../../../../../../Releases/Projects/Comcast/Release_for_Test/Test_Build_4.6.6/Server%20CD/Database/Setup" TargetMode="External"/><Relationship Id="rId2103" Type="http://schemas.openxmlformats.org/officeDocument/2006/relationships/hyperlink" Target="../../../../../../../../../Releases/Product/MPE_3.2/ReleaseForLQA/TestBuild_3.2.1/Build2/ServerCD/Setup/Oracle_Linux_6.2" TargetMode="External"/><Relationship Id="rId2310" Type="http://schemas.openxmlformats.org/officeDocument/2006/relationships/hyperlink" Target="../../../../../../../../../Releases/Projects/TLSTR-ST/Release_For_Test/Test_Build_1.0.1/Server%20CD/DBS/Setup" TargetMode="External"/><Relationship Id="rId2548" Type="http://schemas.openxmlformats.org/officeDocument/2006/relationships/hyperlink" Target="../../../../../../../../../Releases/Projects/FNB/Release_For_Test/Test_Build_1.0.2/Server%20CD/DBS/Setup" TargetMode="External"/><Relationship Id="rId2755" Type="http://schemas.openxmlformats.org/officeDocument/2006/relationships/hyperlink" Target="../../../../../../../../../Releases/Projects/ANTEL/Release_For_IT/TestBuild_1.0.0.4/Server%20CD/DBS/Setup" TargetMode="External"/><Relationship Id="rId727" Type="http://schemas.openxmlformats.org/officeDocument/2006/relationships/hyperlink" Target="../../../../../../../../../Releases/Projects/Comcast/Release_for_Test/Test_Build_4.6.3/Server%20CD/Database/Setup" TargetMode="External"/><Relationship Id="rId934" Type="http://schemas.openxmlformats.org/officeDocument/2006/relationships/hyperlink" Target="../../../../../../../../../Releases/Projects/SLT-1B/Release_For_Test/Test_Build_1.0.0.1/Utility/MPE/Setup" TargetMode="External"/><Relationship Id="rId1357" Type="http://schemas.openxmlformats.org/officeDocument/2006/relationships/hyperlink" Target="../../../../../../../../../Releases/Product/NetMindPOS_1.3/Build&amp;Release/Release_For_LQA/Test_Build_1.0.2/Server%20CD/DBS/Setup" TargetMode="External"/><Relationship Id="rId1564" Type="http://schemas.openxmlformats.org/officeDocument/2006/relationships/hyperlink" Target="../../../../../../../../../Releases/Projects/Comcast/Release_for_Test/Test_Build_4.6.6/Server%20CD/Database/Setup" TargetMode="External"/><Relationship Id="rId1771" Type="http://schemas.openxmlformats.org/officeDocument/2006/relationships/hyperlink" Target="../../../../../../../../../Releases/Projects/TLSTR-ST/Release_For_Test/Test_Build_1.0.1/Server%20CD/DBS/Setup" TargetMode="External"/><Relationship Id="rId2408" Type="http://schemas.openxmlformats.org/officeDocument/2006/relationships/hyperlink" Target="../../../../../../../../../Releases/Projects/SLT/Release_For_LQA/Test_Build_1.0.0.24/Server%20CD/DBS/Setup" TargetMode="External"/><Relationship Id="rId2615" Type="http://schemas.openxmlformats.org/officeDocument/2006/relationships/hyperlink" Target="../../../../../../../../../Releases/Projects/SLT-1B/Release_For_Test/Test_Build_1.0.0.1/Server%20CD/MPE/Setup" TargetMode="External"/><Relationship Id="rId63" Type="http://schemas.openxmlformats.org/officeDocument/2006/relationships/hyperlink" Target="../../../../../../../../../Releases/Projects/SHAW/Release_For_IT/Test_Build_1.0.0.26/Server%20CD/DBS/Setup" TargetMode="External"/><Relationship Id="rId1217" Type="http://schemas.openxmlformats.org/officeDocument/2006/relationships/hyperlink" Target="../../../../../../../../../Releases/Projects/ANTEL/Release_For_Test/Test_Build_1.0.0.7/Server%20CD/DBS/Setup" TargetMode="External"/><Relationship Id="rId1424" Type="http://schemas.openxmlformats.org/officeDocument/2006/relationships/hyperlink" Target="../../../../../../../../../Releases/Projects/SLT/Release_For_LQA/Test_Build_1.0.0.24/Server%20CD/DBS/Setup" TargetMode="External"/><Relationship Id="rId1631" Type="http://schemas.openxmlformats.org/officeDocument/2006/relationships/hyperlink" Target="../../../../../../../../../Projects/Neustar/BHN/Build&amp;Release/Release%20For%20IT/Test_Build_3.5.37/Server%20CD/Database/Setup" TargetMode="External"/><Relationship Id="rId1869" Type="http://schemas.openxmlformats.org/officeDocument/2006/relationships/hyperlink" Target="../../../../../../../../../Releases/Projects/ANTEL/Release_For_IT/TestBuild_1.0.0.4/Server%20CD/DBS/Setup" TargetMode="External"/><Relationship Id="rId1729" Type="http://schemas.openxmlformats.org/officeDocument/2006/relationships/hyperlink" Target="../../../../../../../../../Releases/Projects/BHN/Release_For_IT/TestBuild_1.0.0.1/Server%20CD/Utility/Setup" TargetMode="External"/><Relationship Id="rId1936" Type="http://schemas.openxmlformats.org/officeDocument/2006/relationships/hyperlink" Target="../../../../../../../../../Releases/Product/RT_4.0/ReleaseForLQA/TestBuild_4.0.24/DBS/Setup" TargetMode="External"/><Relationship Id="rId2198" Type="http://schemas.openxmlformats.org/officeDocument/2006/relationships/hyperlink" Target="../../../../../../../../../Releases/Projects/TLSTR-ST/Release_For_Test/Test_Build_1.0.1/Server%20CD/DBS/Setup" TargetMode="External"/><Relationship Id="rId377" Type="http://schemas.openxmlformats.org/officeDocument/2006/relationships/hyperlink" Target="../../../../../../../../../Releases/Projects/Telstra/Release_For_LQA/Test_Build_1.0.0.18/Server%20CD/DBS/Setup" TargetMode="External"/><Relationship Id="rId584" Type="http://schemas.openxmlformats.org/officeDocument/2006/relationships/hyperlink" Target="../../../../../../../../../Releases/Projects/SLT/Release_For_IT/Test_Build_1.0.0.4/Server%20CD/DBS/Setup" TargetMode="External"/><Relationship Id="rId2058" Type="http://schemas.openxmlformats.org/officeDocument/2006/relationships/hyperlink" Target="../../../../../../../../../Releases/Projects/Comcast/Release_for_Test/Test_Build_4.6.7/Server%20CD/GUI/Setup" TargetMode="External"/><Relationship Id="rId2265" Type="http://schemas.openxmlformats.org/officeDocument/2006/relationships/hyperlink" Target="../../../../../../../../../Releases/Projects/BHN/Release_For_Test/Test_Build_1.0.5/Server%20CD/DBS/Setup" TargetMode="External"/><Relationship Id="rId5" Type="http://schemas.openxmlformats.org/officeDocument/2006/relationships/hyperlink" Target="../../../../../../../../../Releases/Projects/SLT/Release_For_IT/Test_Build_1.0.0.4/Server%20CD/DBS/Setup" TargetMode="External"/><Relationship Id="rId237" Type="http://schemas.openxmlformats.org/officeDocument/2006/relationships/hyperlink" Target="../../../../../../../../../Releases/Projects/SLT/Release_For_IT/Test_Build_1.0.0.4/Server%20CD/DBS/Setup" TargetMode="External"/><Relationship Id="rId791" Type="http://schemas.openxmlformats.org/officeDocument/2006/relationships/hyperlink" Target="../../../../../../../../../Releases/Projects/SLT/Release_For_LQA/Test_Build_1.0.0.23/Server%20CD/DBS/Setup" TargetMode="External"/><Relationship Id="rId889" Type="http://schemas.openxmlformats.org/officeDocument/2006/relationships/hyperlink" Target="../../../../../../../../../Releases/Product/RevMind_2.1/Build&amp;Release/Release_For_LQA/Test_Build_1.0.2/Server%20CD/DBS/Setup" TargetMode="External"/><Relationship Id="rId1074" Type="http://schemas.openxmlformats.org/officeDocument/2006/relationships/hyperlink" Target="../../../../../../../../../Releases/Projects/TWC/Release_For_IT/Test_Build_1.0.0.3/Server%20CD/DBS/Setup" TargetMode="External"/><Relationship Id="rId2472" Type="http://schemas.openxmlformats.org/officeDocument/2006/relationships/hyperlink" Target="../../../../../../../../../Releases/Projects/SLT-1B/Release_For_Test/Test_Build_1.0.0.1/Server%20CD/MPE/Setup" TargetMode="External"/><Relationship Id="rId2777" Type="http://schemas.openxmlformats.org/officeDocument/2006/relationships/hyperlink" Target="../../../../../../../../../Releases/Projects/ANTEL/Release_For_IT/TestBuild_1.0.0.4/Server%20CD/DBS/Setup" TargetMode="External"/><Relationship Id="rId444" Type="http://schemas.openxmlformats.org/officeDocument/2006/relationships/hyperlink" Target="../../../../../../../../../Releases/Product/Netmind_4.7/Build&amp;Release/Release_For_LQA/Test_Build_1.0.1/Server%20CD/DBS/Setup" TargetMode="External"/><Relationship Id="rId651" Type="http://schemas.openxmlformats.org/officeDocument/2006/relationships/hyperlink" Target="../../../../../../../../../Releases/Projects/SLT/Release_For_IT/Test_Build_1.0.0.4/Server%20CD/DBS/Setup" TargetMode="External"/><Relationship Id="rId749" Type="http://schemas.openxmlformats.org/officeDocument/2006/relationships/hyperlink" Target="../../../../../../../../../Releases/Product/RevMind_2.1/Build&amp;Release/Release_For_LQA/Test_Build_1.0.2/Server%20CD/GUI/CS/Setup" TargetMode="External"/><Relationship Id="rId1281" Type="http://schemas.openxmlformats.org/officeDocument/2006/relationships/hyperlink" Target="../../../../../../../../../Releases/Product/RT_4.0/ReleaseForLQA/TestBuild_4.0.24/GUI/Build1/Setup" TargetMode="External"/><Relationship Id="rId1379" Type="http://schemas.openxmlformats.org/officeDocument/2006/relationships/hyperlink" Target="../../../../../../../../../Releases/Product/NetMindPOS_1.1/Build&amp;Release/Release%20for%20LQA/TestBuild_1.2.3/Server%20CD/DBS/Setup" TargetMode="External"/><Relationship Id="rId1586" Type="http://schemas.openxmlformats.org/officeDocument/2006/relationships/hyperlink" Target="../../../../../../../../../Releases/Projects/SLT/Release_For_LQA/Test_Build_1.0.0.24/Server%20CD/DBS/Setup" TargetMode="External"/><Relationship Id="rId2125" Type="http://schemas.openxmlformats.org/officeDocument/2006/relationships/hyperlink" Target="../../../../../../../../../Releases/Projects/TLSTR-ST/Release_For_Test/Test_Build_1.0.1/Server%20CD/DBS/Setup" TargetMode="External"/><Relationship Id="rId2332" Type="http://schemas.openxmlformats.org/officeDocument/2006/relationships/hyperlink" Target="../../../../../../../../../Releases/Product/MEDGUI_1.1/Build&amp;Release/Release_For_LQA/Test_Build_1.0.1/Server%20CD/DBS/Setup" TargetMode="External"/><Relationship Id="rId304" Type="http://schemas.openxmlformats.org/officeDocument/2006/relationships/hyperlink" Target="../../../../../../../../../Releases/Projects/Comcast/Release_For_IT/Test_Build_3.5.50/Utility/Setup" TargetMode="External"/><Relationship Id="rId511" Type="http://schemas.openxmlformats.org/officeDocument/2006/relationships/hyperlink" Target="../../../../../../../../../Releases/Projects/Comcast/Release_for_Test/Test_Build_4.6.1/Utility/Setup" TargetMode="External"/><Relationship Id="rId609" Type="http://schemas.openxmlformats.org/officeDocument/2006/relationships/hyperlink" Target="../../../../../../../../../Releases/Product/WEB_CS/Build&amp;Release/Release%20For%20Test/TestBuild_2.1.16/Build3/ServerCD/GUI/Setup" TargetMode="External"/><Relationship Id="rId956" Type="http://schemas.openxmlformats.org/officeDocument/2006/relationships/hyperlink" Target="../../../../../../../../../Releases/Projects/Comcast/Release_for_Test/Test_Build_4.6.4/Server%20CD/Database/Setup" TargetMode="External"/><Relationship Id="rId1141" Type="http://schemas.openxmlformats.org/officeDocument/2006/relationships/hyperlink" Target="../../../../../../../../../Releases/Projects/DRC/Release_For_IT/Test_Build_1.0.0.3/Server%20CD/DBS/Setup" TargetMode="External"/><Relationship Id="rId1239" Type="http://schemas.openxmlformats.org/officeDocument/2006/relationships/hyperlink" Target="../../../../../../../../../Releases/Projects/Comcast/Release_for_Test/Test_Build_4.6.5/Utility/Setup" TargetMode="External"/><Relationship Id="rId1793" Type="http://schemas.openxmlformats.org/officeDocument/2006/relationships/hyperlink" Target="../../../../../../../../../Releases/Product/RT_4.0/ReleaseForLQA/TestBuild_4.0.24/GUI/Build1/Setup" TargetMode="External"/><Relationship Id="rId2637" Type="http://schemas.openxmlformats.org/officeDocument/2006/relationships/hyperlink" Target="../../../../../../../../../Releases/Projects/SLT-1B/Release_For_Test/Test_Build_1.0.0.1/Server%20CD/MPE/Setup" TargetMode="External"/><Relationship Id="rId85" Type="http://schemas.openxmlformats.org/officeDocument/2006/relationships/hyperlink" Target="../../../../../../../../../Releases/Product/RevMind_2.1/Build&amp;Release/Release_For_LQA/Test_Build_1.0.0/Server%20CD/DBS/Setup" TargetMode="External"/><Relationship Id="rId816" Type="http://schemas.openxmlformats.org/officeDocument/2006/relationships/hyperlink" Target="../../../../../../../../../Releases/Projects/OBT/Release_For_IT/TestBuild_1.0.0.2/Server%20CD/DBS/Setup" TargetMode="External"/><Relationship Id="rId1001" Type="http://schemas.openxmlformats.org/officeDocument/2006/relationships/hyperlink" Target="../../../../../../../../../Releases/Projects/TWC/Release_For_Test/Test_Build_1.0.0.4/Server%20CD/DBS/Setup" TargetMode="External"/><Relationship Id="rId1446" Type="http://schemas.openxmlformats.org/officeDocument/2006/relationships/hyperlink" Target="../../../../../../../../../Releases/Projects/SLT/Release_For_LQA/Test_Build_1.0.0.24/Server%20CD/DBS/Setup" TargetMode="External"/><Relationship Id="rId1653" Type="http://schemas.openxmlformats.org/officeDocument/2006/relationships/hyperlink" Target="../../../../../../../../../Releases/Projects/SLT-1B/Release_For_Test/Test_Build_1.0.0.1/Server%20CD/MPE/Setup" TargetMode="External"/><Relationship Id="rId1860" Type="http://schemas.openxmlformats.org/officeDocument/2006/relationships/hyperlink" Target="../../../../../../../../../Releases/Projects/SLT/Release_For_LQA/Test_Build_1.0.0.24/Server%20CD/DBS/Setup" TargetMode="External"/><Relationship Id="rId2704" Type="http://schemas.openxmlformats.org/officeDocument/2006/relationships/hyperlink" Target="../../../../../../../../../Releases/Product/MPE_GUI/ReleaseForLQA/TestBuild_1.0.0.2/Server%20CD/MPE/Setup" TargetMode="External"/><Relationship Id="rId1306" Type="http://schemas.openxmlformats.org/officeDocument/2006/relationships/hyperlink" Target="../../../../../../../../../Releases/Projects/Comcast/Release_for_Test/Test_Build_4.6.5/Server%20CD/Database/Setup" TargetMode="External"/><Relationship Id="rId1513" Type="http://schemas.openxmlformats.org/officeDocument/2006/relationships/hyperlink" Target="../../../../../../../../../Releases/Projects/Comcast/Release_For_IT/Test_Build_3.5.50/Server%20CD/Database/Setup" TargetMode="External"/><Relationship Id="rId1720" Type="http://schemas.openxmlformats.org/officeDocument/2006/relationships/hyperlink" Target="../../../../../../../../../Releases/Projects/BHN/Release_For_Test/Test_Build_1.0.1/Server%20CD/Utility/Setup" TargetMode="External"/><Relationship Id="rId1958" Type="http://schemas.openxmlformats.org/officeDocument/2006/relationships/hyperlink" Target="../../../../../../../../../Releases/Product/MPE_GUI/ReleaseForLQA/TestBuild_1.0.0.2/Server%20CD/MPE/Setup" TargetMode="External"/><Relationship Id="rId12" Type="http://schemas.openxmlformats.org/officeDocument/2006/relationships/hyperlink" Target="../../../../../../../../../Releases/Product/DataMind_2.0/Build&amp;Release/Release%20for%20LQA/TestBuild_2.0.0/Server%20CD/DBS/Setup" TargetMode="External"/><Relationship Id="rId1818" Type="http://schemas.openxmlformats.org/officeDocument/2006/relationships/hyperlink" Target="../../../../../../../../../Releases/Projects/TLSTR-ST/Release_For_IT/TestBuild_1.0.1/Server%20CD/DBS/Setup" TargetMode="External"/><Relationship Id="rId161" Type="http://schemas.openxmlformats.org/officeDocument/2006/relationships/hyperlink" Target="../../../../../../../../../Releases/Projects/SLT/Release_For_IT/Test_Build_1.0.0.4/Server%20CD/DBS/Setup" TargetMode="External"/><Relationship Id="rId399" Type="http://schemas.openxmlformats.org/officeDocument/2006/relationships/hyperlink" Target="../../../../../../../../../Releases/Projects/Comcast/Release_for_Test/Test_Build_4.6.1/Server%20CD/Database/Setup" TargetMode="External"/><Relationship Id="rId2287" Type="http://schemas.openxmlformats.org/officeDocument/2006/relationships/hyperlink" Target="../../../../../../../../../Releases/Projects/BHN/Release_For_Test/Test_Build_1.0.5/Server%20CD/Utility/Setup" TargetMode="External"/><Relationship Id="rId2494" Type="http://schemas.openxmlformats.org/officeDocument/2006/relationships/hyperlink" Target="../../../../../../../../../Releases/Projects/ANTEL/Release_For_IT/TestBuild_1.0.0.4/Server%20CD/DBS/Setup" TargetMode="External"/><Relationship Id="rId259" Type="http://schemas.openxmlformats.org/officeDocument/2006/relationships/hyperlink" Target="../../../../../../../../../Releases/Projects/SLT/Release_For_LQA/Test_Build_1.0.0.17/Server%20CD/DBS/Setup" TargetMode="External"/><Relationship Id="rId466" Type="http://schemas.openxmlformats.org/officeDocument/2006/relationships/hyperlink" Target="../../../../../../../../../Releases/Projects/SLT/Release_For_IT/Test_Build_1.0.0.4/Server%20CD/DBS/Setup" TargetMode="External"/><Relationship Id="rId673" Type="http://schemas.openxmlformats.org/officeDocument/2006/relationships/hyperlink" Target="../../../../../../../../../Releases/Projects/Comcast/Release_For_IT/Test_Build_4.6.1/Server%20CD/Database/Setup" TargetMode="External"/><Relationship Id="rId880" Type="http://schemas.openxmlformats.org/officeDocument/2006/relationships/hyperlink" Target="../../../../../../../../../Releases/Projects/Comcast/Release_For_IT/Test_Build_4.6.1/Server%20CD/Database/Setup" TargetMode="External"/><Relationship Id="rId1096" Type="http://schemas.openxmlformats.org/officeDocument/2006/relationships/hyperlink" Target="../../../../../../../../../Releases/Projects/TWC/Release_For_Test/Test_Build_1.0.0.4/Server%20CD/DBS/Setup" TargetMode="External"/><Relationship Id="rId2147" Type="http://schemas.openxmlformats.org/officeDocument/2006/relationships/hyperlink" Target="../../../../../../../../../Releases/Product/Netmind_4.6/Build&amp;Release/ReleaseForIT/TestBuild_4.6.1/Build4/ServerCD/DBS/Setup" TargetMode="External"/><Relationship Id="rId2354" Type="http://schemas.openxmlformats.org/officeDocument/2006/relationships/hyperlink" Target="../../../../../../../../../Releases/Projects/Vonage/Release_For_IT/Test_Build_4.0.17/Client%20CD/GUI/CS/Setup" TargetMode="External"/><Relationship Id="rId2561" Type="http://schemas.openxmlformats.org/officeDocument/2006/relationships/hyperlink" Target="../../../../../../../../../Releases/Projects/SLT/Release_For_IT/Test_Build_1.0.0.4/Server%20CD/DBS/Setup" TargetMode="External"/><Relationship Id="rId2799" Type="http://schemas.openxmlformats.org/officeDocument/2006/relationships/hyperlink" Target="../../../../../../../../../Releases/Projects/TLSTR-ST/Release_For_IT/TestBuild_1.0.1/Server%20CD/DBS/Setup" TargetMode="External"/><Relationship Id="rId119" Type="http://schemas.openxmlformats.org/officeDocument/2006/relationships/hyperlink" Target="../../../../../../../../../Releases/Projects/SHAW/Release_For_IT/Test_Build_1.0.0.27/Server%20CD/DBS/Setup" TargetMode="External"/><Relationship Id="rId326" Type="http://schemas.openxmlformats.org/officeDocument/2006/relationships/hyperlink" Target="../../../../../../../../../Releases/Projects/TWC/Release_For_Test/Test_Build_1.0.0.4/Server%20CD/DBS/Setup" TargetMode="External"/><Relationship Id="rId533" Type="http://schemas.openxmlformats.org/officeDocument/2006/relationships/hyperlink" Target="../../../../../../../../../Releases/Product/WEB_WFS/Build&amp;Release/Release%20For%20Test/TestBuild_2.1.21/Build1/ServerCD/GUI/Setup" TargetMode="External"/><Relationship Id="rId978" Type="http://schemas.openxmlformats.org/officeDocument/2006/relationships/hyperlink" Target="../../../../../../../../../Releases/Projects/SLT-1B/Release_For_Test/Test_Build_1.0.0.1/Server%20CD/MPE/Setup" TargetMode="External"/><Relationship Id="rId1163" Type="http://schemas.openxmlformats.org/officeDocument/2006/relationships/hyperlink" Target="../../../../../../../../../Releases/Projects/SLT/Release_For_IT/Test_Build_1.0.0.4/Server%20CD/DBS/Setup" TargetMode="External"/><Relationship Id="rId1370" Type="http://schemas.openxmlformats.org/officeDocument/2006/relationships/hyperlink" Target="../../../../../../../../../Releases/Projects/Comcast/Release_For_IT/Test_Build_4.6.1/Server%20CD/Database/Setup" TargetMode="External"/><Relationship Id="rId2007" Type="http://schemas.openxmlformats.org/officeDocument/2006/relationships/hyperlink" Target="../../../../../../../../../Releases/Projects/OBT/Release_For_LQA/TestBuild_1.0.0.7/Server%20CD/DBS/Setup" TargetMode="External"/><Relationship Id="rId2214" Type="http://schemas.openxmlformats.org/officeDocument/2006/relationships/hyperlink" Target="../../../../../../../../../Releases/Projects/SLT/Release_For_IT/Test_Build_1.0.0.4/Server%20CD/DBS/Setup" TargetMode="External"/><Relationship Id="rId2659" Type="http://schemas.openxmlformats.org/officeDocument/2006/relationships/hyperlink" Target="../../../../../../../../../Releases/Product/MEDGUI_1.1/Build&amp;Release/Release_For_LQA/Test_Build_1.0.1/Server%20CD/GUI/Setup" TargetMode="External"/><Relationship Id="rId740" Type="http://schemas.openxmlformats.org/officeDocument/2006/relationships/hyperlink" Target="../../../../../../../../../Projects/Neustar/BHN/Build&amp;Release/Release%20For%20Test/Test_Build_3.5.37/Server%20CD/Database/Setup" TargetMode="External"/><Relationship Id="rId838" Type="http://schemas.openxmlformats.org/officeDocument/2006/relationships/hyperlink" Target="../../../../../../../../../Releases/Projects/SLT/Release_For_IT/Test_Build_1.0.0.4/Server%20CD/DBS/Setup" TargetMode="External"/><Relationship Id="rId1023" Type="http://schemas.openxmlformats.org/officeDocument/2006/relationships/hyperlink" Target="../../../../../../../../../Releases/Projects/Comcast/Release_For_IT/Test_Build_3.5.50/Server%20CD/Database/Setup" TargetMode="External"/><Relationship Id="rId1468" Type="http://schemas.openxmlformats.org/officeDocument/2006/relationships/hyperlink" Target="../../../../../../../../../Releases/Product/RevMind_2.2/Build&amp;Release/Release_For_LQA/Test_Build_1.0.1/Server%20CD/DBS/Setup" TargetMode="External"/><Relationship Id="rId1675" Type="http://schemas.openxmlformats.org/officeDocument/2006/relationships/hyperlink" Target="../../../../../../../../../Releases/Projects/SLT/Release_For_LQA/Test_Build_1.0.0.24/Server%20CD/DBS/Setup" TargetMode="External"/><Relationship Id="rId1882" Type="http://schemas.openxmlformats.org/officeDocument/2006/relationships/hyperlink" Target="../../../../../../../../../Releases/Projects/SLT/Release_For_LQA/Test_Build_1.0.0.24/Server%20CD/DBS/Setup" TargetMode="External"/><Relationship Id="rId2421" Type="http://schemas.openxmlformats.org/officeDocument/2006/relationships/hyperlink" Target="../../../../../../../../../Releases/Projects/MTS/Release%20For%20Test/Test_Build_3.0.5.25/Server%20CD/Database/Setup" TargetMode="External"/><Relationship Id="rId2519" Type="http://schemas.openxmlformats.org/officeDocument/2006/relationships/hyperlink" Target="../../../../../../../../../Releases/Product/MEDGUI_1.1/Build&amp;Release/Release_For_LQA/Test_Build_1.0.2/Server%20CD/MPE/Setup/RHEL_6.3" TargetMode="External"/><Relationship Id="rId2726" Type="http://schemas.openxmlformats.org/officeDocument/2006/relationships/hyperlink" Target="../../../../../../../../../Releases/Projects/SLT/Release_For_LQA/Test_Build_1.0.0.26/Server%20CD/DBS/Setup" TargetMode="External"/><Relationship Id="rId600" Type="http://schemas.openxmlformats.org/officeDocument/2006/relationships/hyperlink" Target="../../../../../../../../../Releases/Projects/Telstra/Release_For_LQA/Test_Build_1.0.0.18/Server%20CD/DBS/Setup" TargetMode="External"/><Relationship Id="rId1230" Type="http://schemas.openxmlformats.org/officeDocument/2006/relationships/hyperlink" Target="../../../../../../../../../Releases/Projects/SLT/Release_For_LQA/Test_Build_1.0.0.23/Server%20CD/DBS/Setup" TargetMode="External"/><Relationship Id="rId1328" Type="http://schemas.openxmlformats.org/officeDocument/2006/relationships/hyperlink" Target="../../../../../../../../../Releases/Product/WEB_WFS/Build&amp;Release/Release%20For%20Test/TestBuild_2.1.30/ServerCD/GUI/Setup" TargetMode="External"/><Relationship Id="rId1535" Type="http://schemas.openxmlformats.org/officeDocument/2006/relationships/hyperlink" Target="../../../../../../../../../Releases/Projects/FNB/Release_For_Test/Test_Build_1.0.0.1/Server%20CD/GUI/Setup" TargetMode="External"/><Relationship Id="rId905" Type="http://schemas.openxmlformats.org/officeDocument/2006/relationships/hyperlink" Target="../../../../../../../../../Releases/Projects/ANTEL/Release_For_Test/Test_Build_1.0.0.7/Server%20CD/MPE/Setup%0d" TargetMode="External"/><Relationship Id="rId1742" Type="http://schemas.openxmlformats.org/officeDocument/2006/relationships/hyperlink" Target="../../../../../../../../../Releases/Projects/TLSTR-ST/Release_For_Test/Test_Build_1.0.1/Server%20CD/MPE/Setup" TargetMode="External"/><Relationship Id="rId34" Type="http://schemas.openxmlformats.org/officeDocument/2006/relationships/hyperlink" Target="../../../../../../../../../Releases/Projects/OBT/Release_For_LQA/TestBuild_1.0.0.3/Server%20CD/GUI/Setup" TargetMode="External"/><Relationship Id="rId1602" Type="http://schemas.openxmlformats.org/officeDocument/2006/relationships/hyperlink" Target="../../../../../../../../../Releases/Projects/Comcast/Release_for_Test/Test_Build_4.6.6/Server%20CD/Database/Setup" TargetMode="External"/><Relationship Id="rId183" Type="http://schemas.openxmlformats.org/officeDocument/2006/relationships/hyperlink" Target="../../../../../../../../../Releases/Projects/SLT/Release_For_LQA/Test_Build_1.0.0.17/Server%20CD/DBS/Setup" TargetMode="External"/><Relationship Id="rId390" Type="http://schemas.openxmlformats.org/officeDocument/2006/relationships/hyperlink" Target="../../../../../../../../../Releases/Projects/MAX/Release_For_Test/Test_Build_1.0.0.1/Server%20CD/MPE/Setup" TargetMode="External"/><Relationship Id="rId1907" Type="http://schemas.openxmlformats.org/officeDocument/2006/relationships/hyperlink" Target="../../../../../../../../../Releases/Projects/SLT/Release_For_LQA/Test_Build_1.0.0.24/Server%20CD/DBS/Setup" TargetMode="External"/><Relationship Id="rId2071" Type="http://schemas.openxmlformats.org/officeDocument/2006/relationships/hyperlink" Target="../../../../../../../../../Releases/Projects/SLT/Release_For_IT/Test_Build_1.0.0.4/Server%20CD/DBS/Setup" TargetMode="External"/><Relationship Id="rId250" Type="http://schemas.openxmlformats.org/officeDocument/2006/relationships/hyperlink" Target="../../../../../../../../../Releases/Projects/SLT/Release_For_LQA/Test_Build_1.0.0.17/Server%20CD/DBS/Setup" TargetMode="External"/><Relationship Id="rId488" Type="http://schemas.openxmlformats.org/officeDocument/2006/relationships/hyperlink" Target="../../../../../../../../../Releases/Projects/SLT/Release_For_LQA/Test_Build_1.0.0.19/Server%20CD/DBS/Setup" TargetMode="External"/><Relationship Id="rId695" Type="http://schemas.openxmlformats.org/officeDocument/2006/relationships/hyperlink" Target="../../../../../../../../../Releases/Projects/SLT/Release_For_IT/Test_Build_1.0.0.4/Server%20CD/DBS/Setup" TargetMode="External"/><Relationship Id="rId2169" Type="http://schemas.openxmlformats.org/officeDocument/2006/relationships/hyperlink" Target="../../../../../../../../../Releases/Product/RT_4.0/ReleaseForLQA/TestBuild_4.0.24/DBS/Setup" TargetMode="External"/><Relationship Id="rId2376" Type="http://schemas.openxmlformats.org/officeDocument/2006/relationships/hyperlink" Target="../../../../../../../../../Releases/Projects/SLT/Release_For_LQA/Test_Build_1.0.0.24/Server%20CD/DBS/Setup" TargetMode="External"/><Relationship Id="rId2583" Type="http://schemas.openxmlformats.org/officeDocument/2006/relationships/hyperlink" Target="../../../../../../../../../Releases/Product/MPE_3.2.8/Build&amp;Release/Release_For_LQA/Test_Build_1.0.1/Server%20CD/MPE/Setup" TargetMode="External"/><Relationship Id="rId2790" Type="http://schemas.openxmlformats.org/officeDocument/2006/relationships/hyperlink" Target="../../../../../../../../../Releases/Projects/SLT/Release_For_IT/Test_Build_1.0.0.4/Server%20CD/DBS/Setup" TargetMode="External"/><Relationship Id="rId110" Type="http://schemas.openxmlformats.org/officeDocument/2006/relationships/hyperlink" Target="../../../../../../../../../Releases/Projects/ANTEL/Release_For_Test/Test_Build_1.0.0.6/Server%20CD/DBS/Setup" TargetMode="External"/><Relationship Id="rId348" Type="http://schemas.openxmlformats.org/officeDocument/2006/relationships/hyperlink" Target="../../../../../../../../../Releases/Projects/SLT/Release_For_LQA/Test_Build_1.0.0.16/Server%20CD/DBS/Setup" TargetMode="External"/><Relationship Id="rId555" Type="http://schemas.openxmlformats.org/officeDocument/2006/relationships/hyperlink" Target="../../../../../../../../../Releases/Projects/SLT-1B/Release_For_Test/Test_Build_1.0.0.1/Server%20CD/MPE/Setup" TargetMode="External"/><Relationship Id="rId762" Type="http://schemas.openxmlformats.org/officeDocument/2006/relationships/hyperlink" Target="../../../../../../../../../Releases/Projects/Comcast/Release_For_IT/Test_Build_4.6.1/Server%20CD/Database/Setup" TargetMode="External"/><Relationship Id="rId1185" Type="http://schemas.openxmlformats.org/officeDocument/2006/relationships/hyperlink" Target="../../../../../../../../../Releases/Projects/SLT/Release_For_IT/Test_Build_1.0.0.4/Server%20CD/DBS/Setup" TargetMode="External"/><Relationship Id="rId1392" Type="http://schemas.openxmlformats.org/officeDocument/2006/relationships/hyperlink" Target="../../../../../../../../../Releases/Projects/SLT/Release_For_IT/Test_Build_1.0.0.4/Server%20CD/DBS/Setup" TargetMode="External"/><Relationship Id="rId2029" Type="http://schemas.openxmlformats.org/officeDocument/2006/relationships/hyperlink" Target="../../../../../../../../../Releases/Projects/ANTEL/Release_For_Test/Test_Build_1.0.0.7/Server%20CD/GUI/Setup" TargetMode="External"/><Relationship Id="rId2236" Type="http://schemas.openxmlformats.org/officeDocument/2006/relationships/hyperlink" Target="../../../../../../../../../Releases/Projects/SLT/Release_For_IT/Test_Build_1.0.0.4/Server%20CD/DBS/Setup" TargetMode="External"/><Relationship Id="rId2443" Type="http://schemas.openxmlformats.org/officeDocument/2006/relationships/hyperlink" Target="../../../../../../../../../Releases/Projects/TLSTR-ST/Release_For_IT/TestBuild_1.0.1/Server%20CD/DBS/Setup" TargetMode="External"/><Relationship Id="rId2650" Type="http://schemas.openxmlformats.org/officeDocument/2006/relationships/hyperlink" Target="../../../../../../../../../Releases/Product/RT_4.0/ReleaseForIT/TestBuild_4.0.3/DBS/Setup" TargetMode="External"/><Relationship Id="rId208" Type="http://schemas.openxmlformats.org/officeDocument/2006/relationships/hyperlink" Target="../../../../../../../../../Releases/Projects/SLT/Release_For_IT/Test_Build_1.0.0.4/Server%20CD/DBS/Setup" TargetMode="External"/><Relationship Id="rId415" Type="http://schemas.openxmlformats.org/officeDocument/2006/relationships/hyperlink" Target="../../../../../../../../../Projects/Neustar/BHN/Build&amp;Release/Release%20For%20IT/Test_Build_3.5.37/Server%20CD/Database/Setup" TargetMode="External"/><Relationship Id="rId622" Type="http://schemas.openxmlformats.org/officeDocument/2006/relationships/hyperlink" Target="../../../../../../../../../Releases/Projects/SLT/Release_For_IT/Test_Build_1.0.0.4/Server%20CD/DBS/Setup" TargetMode="External"/><Relationship Id="rId1045" Type="http://schemas.openxmlformats.org/officeDocument/2006/relationships/hyperlink" Target="../../../../../../../../../Releases/Product/RT_4.0/ReleaseForIT/TestBuild_4.0.3/DBS/Setup" TargetMode="External"/><Relationship Id="rId1252" Type="http://schemas.openxmlformats.org/officeDocument/2006/relationships/hyperlink" Target="../../../../../../../../../Releases/Projects/OBT/Release_For_LQA/TestBuild_1.0.0.6/Server%20CD/DBS/Setup" TargetMode="External"/><Relationship Id="rId1697" Type="http://schemas.openxmlformats.org/officeDocument/2006/relationships/hyperlink" Target="../../../../../../../../../Releases/Projects/BHN/Release_For_IT/TestBuild_1.0.0.1/Server%20CD/Utility/Setup" TargetMode="External"/><Relationship Id="rId2303" Type="http://schemas.openxmlformats.org/officeDocument/2006/relationships/hyperlink" Target="../../../../../../../../../Releases/Projects/FNB/Release_For_Test/Test_Build_1.0.1/Server%20CD/MPE/Setup" TargetMode="External"/><Relationship Id="rId2510" Type="http://schemas.openxmlformats.org/officeDocument/2006/relationships/hyperlink" Target="../../../../../../../../../Releases/Projects/TWC/Release_For_Test/Test_Build_1.0.0.4/Server%20CD/DBS/Setup" TargetMode="External"/><Relationship Id="rId2748" Type="http://schemas.openxmlformats.org/officeDocument/2006/relationships/hyperlink" Target="../../../../../../../../../Releases/Projects/SLT-1B/Release_For_Test/Test_Build_1.0.0.1/Server%20CD/MPE/Setup" TargetMode="External"/><Relationship Id="rId927" Type="http://schemas.openxmlformats.org/officeDocument/2006/relationships/hyperlink" Target="../../../../../../../../../Releases/Projects/Comcast/Release_for_Test/Test_Build_4.6.4/Server%20CD/Database/Setup" TargetMode="External"/><Relationship Id="rId1112" Type="http://schemas.openxmlformats.org/officeDocument/2006/relationships/hyperlink" Target="../../../../../../../../../Releases/Projects/Comcast/Release_for_Test/Test_Build_4.6.5/Server%20CD/Database/Setup" TargetMode="External"/><Relationship Id="rId1557" Type="http://schemas.openxmlformats.org/officeDocument/2006/relationships/hyperlink" Target="../../../../../../../../../Releases/Projects/Telstra/Release_For_IT/Test_Build_1.0.0.18/Server%20CD/DBS/Setup" TargetMode="External"/><Relationship Id="rId1764" Type="http://schemas.openxmlformats.org/officeDocument/2006/relationships/hyperlink" Target="../../../../../../../../../Releases/Projects/SLT/Release_For_IT/Test_Build_1.0.0.4/Server%20CD/DBS/Setup" TargetMode="External"/><Relationship Id="rId1971" Type="http://schemas.openxmlformats.org/officeDocument/2006/relationships/hyperlink" Target="../../../../../../../../../Releases/Product/RevMind_3.0.1/Build&amp;Release/Release_For_LQA/Test_Build_1.0.1/Server%20CD/DBS/Setup" TargetMode="External"/><Relationship Id="rId2608" Type="http://schemas.openxmlformats.org/officeDocument/2006/relationships/hyperlink" Target="../../../../../../../../../Releases/Product/MPE_3.2.8/Build&amp;Release/Release_For_LQA/Test_Build_1.0.1/Server%20CD/MPE/Setup" TargetMode="External"/><Relationship Id="rId2815" Type="http://schemas.openxmlformats.org/officeDocument/2006/relationships/printerSettings" Target="../printerSettings/printerSettings2.bin"/><Relationship Id="rId56" Type="http://schemas.openxmlformats.org/officeDocument/2006/relationships/hyperlink" Target="../../../../../../../../../Releases/Projects/OBT/Release_For_LQA/TestBuild_1.0.0.3/Server%20CD/DBS/Setup" TargetMode="External"/><Relationship Id="rId1417" Type="http://schemas.openxmlformats.org/officeDocument/2006/relationships/hyperlink" Target="../../../../../../../../../Releases/Projects/SLT/Release_For_LQA/Test_Build_1.0.0.24/Server%20CD/DBS/Setup" TargetMode="External"/><Relationship Id="rId1624" Type="http://schemas.openxmlformats.org/officeDocument/2006/relationships/hyperlink" Target="../../../../../../../../../Releases/Projects/BHN/Release_For_Test/Test_Build_1.0.1/Server%20CD/MPE/Setup" TargetMode="External"/><Relationship Id="rId1831" Type="http://schemas.openxmlformats.org/officeDocument/2006/relationships/hyperlink" Target="../../../../../../../../../Releases/Projects/SLT-1B/Release_For_Test/Test_Build_1.0.0.1/Server%20CD/MPE/Setup" TargetMode="External"/><Relationship Id="rId1929" Type="http://schemas.openxmlformats.org/officeDocument/2006/relationships/hyperlink" Target="../../../../../../../../../Releases/Projects/SLT/Release_For_LQA/Test_Build_1.0.0.24/Server%20CD/DBS/Setup" TargetMode="External"/><Relationship Id="rId2093" Type="http://schemas.openxmlformats.org/officeDocument/2006/relationships/hyperlink" Target="../../../../../../../../../Releases/Projects/ANTEL/Release_For_Test/Test_Build_1.0.0.7/Server%20CD/DBS/Setup" TargetMode="External"/><Relationship Id="rId2398" Type="http://schemas.openxmlformats.org/officeDocument/2006/relationships/hyperlink" Target="../../../../../../../../../Releases/Projects/TLSTR-ST/Release_For_Test/Test_Build_1.0.1/Server%20CD/DBS/Setup" TargetMode="External"/><Relationship Id="rId272" Type="http://schemas.openxmlformats.org/officeDocument/2006/relationships/hyperlink" Target="../../../../../../../../../Releases/Product/RE_1.0/ReleaseForIT/TestBuild_1.0.1/DBS/Build4/Setup" TargetMode="External"/><Relationship Id="rId577" Type="http://schemas.openxmlformats.org/officeDocument/2006/relationships/hyperlink" Target="../../../../../../../../../Releases/Projects/OBT/Release_For_LQA/TestBuild_1.0.0.4/Server%20CD/DBS/Setup" TargetMode="External"/><Relationship Id="rId2160" Type="http://schemas.openxmlformats.org/officeDocument/2006/relationships/hyperlink" Target="../../../../../../../../../Releases/Projects/FNB/Release_For_Test/Test_Build_1.0.1/Server%20CD/GUI/Setup" TargetMode="External"/><Relationship Id="rId2258" Type="http://schemas.openxmlformats.org/officeDocument/2006/relationships/hyperlink" Target="../../../../../../../../../Releases/Projects/ANTEL/Release_For_IT/TestBuild_1.0.0.4/Server%20CD/DBS/Setup" TargetMode="External"/><Relationship Id="rId132" Type="http://schemas.openxmlformats.org/officeDocument/2006/relationships/hyperlink" Target="../../../../../../../../../Releases/Projects/TWC/Release_For_IT/Test_Build_1.0.0.3/Server%20CD/DBS/Setup" TargetMode="External"/><Relationship Id="rId784" Type="http://schemas.openxmlformats.org/officeDocument/2006/relationships/hyperlink" Target="../../../../../../../../../Releases/Projects/SLT/Release_For_LQA/Test_Build_1.0.0.23/Server%20CD/GUI/Setup" TargetMode="External"/><Relationship Id="rId991" Type="http://schemas.openxmlformats.org/officeDocument/2006/relationships/hyperlink" Target="../../../../../../../../../Releases/Projects/SLT/Release_For_LQA/Test_Build_1.0.0.23/Server%20CD/DBS/Setup" TargetMode="External"/><Relationship Id="rId1067" Type="http://schemas.openxmlformats.org/officeDocument/2006/relationships/hyperlink" Target="../../../../../../../../../Releases/Projects/Comcast/Release_For_IT/Test_Build_4.6.1/Server%20CD/Database/Setup" TargetMode="External"/><Relationship Id="rId2020" Type="http://schemas.openxmlformats.org/officeDocument/2006/relationships/hyperlink" Target="../../../../../../../../../Releases/Product/RT_4.0/ReleaseForLQA/TestBuild_4.0.24/DBS/Setup" TargetMode="External"/><Relationship Id="rId2465" Type="http://schemas.openxmlformats.org/officeDocument/2006/relationships/hyperlink" Target="../../../../../../../../../Releases/Projects/FNB/Release_For_Test/Test_Build_1.0.1/Server%20CD/DBS/Setup" TargetMode="External"/><Relationship Id="rId2672" Type="http://schemas.openxmlformats.org/officeDocument/2006/relationships/hyperlink" Target="../../../../../../../../../Releases/Product/LA_1.1/Build&amp;Release/Release_For_LQA/Test_Build_1.0.3/Server%20CD/GUI/Setup" TargetMode="External"/><Relationship Id="rId437" Type="http://schemas.openxmlformats.org/officeDocument/2006/relationships/hyperlink" Target="../../../../../../../../../Releases/Product/WEB_CS/Build&amp;Release/Release%20For%20Test/TestBuild_2.1.16/Build3/ServerCD/GUI/Setup" TargetMode="External"/><Relationship Id="rId644" Type="http://schemas.openxmlformats.org/officeDocument/2006/relationships/hyperlink" Target="../../../../../../../../../Releases/Projects/SLT/Release_For_LQA/Test_Build_1.0.0.20/Server%20CD/DBS/Setup" TargetMode="External"/><Relationship Id="rId851" Type="http://schemas.openxmlformats.org/officeDocument/2006/relationships/hyperlink" Target="../../../../../../../../../Releases/Projects/SLT-1B/Release_For_Test/Test_Build_1.0.0.1/Server%20CD/MPE/Setup" TargetMode="External"/><Relationship Id="rId1274" Type="http://schemas.openxmlformats.org/officeDocument/2006/relationships/hyperlink" Target="../../../../../../../../../Releases/Projects/ANTEL/Release_For_IT/TestBuild_1.0.0.4/Server%20CD/DBS/Setup" TargetMode="External"/><Relationship Id="rId1481" Type="http://schemas.openxmlformats.org/officeDocument/2006/relationships/hyperlink" Target="../../../../../../../../../Releases/Product/DataMind_2.0/Build&amp;Release/Release%20for%20IT/TestBuild_2.0.0/Server%20CD/DBS/Setup" TargetMode="External"/><Relationship Id="rId1579" Type="http://schemas.openxmlformats.org/officeDocument/2006/relationships/hyperlink" Target="../../../../../../../../../Releases/Projects/SLT/Release_For_IT/Test_Build_1.0.0.4/Server%20CD/DBS/Setup" TargetMode="External"/><Relationship Id="rId2118" Type="http://schemas.openxmlformats.org/officeDocument/2006/relationships/hyperlink" Target="../../../../../../../../../Releases/Projects/OBT/Release_For_LQA/TestBuild_1.0.0.7/Server%20CD/DBS/Setup" TargetMode="External"/><Relationship Id="rId2325" Type="http://schemas.openxmlformats.org/officeDocument/2006/relationships/hyperlink" Target="../../../../../../../../../Releases/Projects/ANTEL/Release_For_IT/TestBuild_1.0.0.4/Server%20CD/DBS/Setup" TargetMode="External"/><Relationship Id="rId2532" Type="http://schemas.openxmlformats.org/officeDocument/2006/relationships/hyperlink" Target="../../../../../../../../../Releases/Product/WEB_WFS/Build&amp;Release/Release%20For%20Test/TestBuild_2.1.36/ServerCD/GUI/Setup" TargetMode="External"/><Relationship Id="rId504" Type="http://schemas.openxmlformats.org/officeDocument/2006/relationships/hyperlink" Target="../../../../../../../../../Releases/Product/RevMind_2.1/Build&amp;Release/Release_For_LQA/Test_Build_1.0.2/Server%20CD/DBS/Setup" TargetMode="External"/><Relationship Id="rId711" Type="http://schemas.openxmlformats.org/officeDocument/2006/relationships/hyperlink" Target="../../../../../../../../../Releases/Projects/Comcast/Release_for_Test/Test_Build_4.6.3/Server%20CD/Database/Setup" TargetMode="External"/><Relationship Id="rId949" Type="http://schemas.openxmlformats.org/officeDocument/2006/relationships/hyperlink" Target="../../../../../../../../../Releases/Projects/SLT/Release_For_IT/Test_Build_1.0.0.4/Server%20CD/DBS/Setup" TargetMode="External"/><Relationship Id="rId1134" Type="http://schemas.openxmlformats.org/officeDocument/2006/relationships/hyperlink" Target="../../../../../../../../../Releases/Projects/ANTEL/Release_For_Test/Test_Build_1.0.0.7/Server%20CD/DBS/Setup" TargetMode="External"/><Relationship Id="rId1341" Type="http://schemas.openxmlformats.org/officeDocument/2006/relationships/hyperlink" Target="../../../../../../../../../Releases/Projects/Comcast/Release_for_Test/Test_Build_4.6.6/Server%20CD/GUI/Setup" TargetMode="External"/><Relationship Id="rId1786" Type="http://schemas.openxmlformats.org/officeDocument/2006/relationships/hyperlink" Target="../../../../../../../../../Releases/Projects/Comcast/Release_For_IT/Test_Build_4.6.1/Server%20CD/Database/Setup" TargetMode="External"/><Relationship Id="rId1993" Type="http://schemas.openxmlformats.org/officeDocument/2006/relationships/hyperlink" Target="../../../../../../../../../Releases/Projects/FNB/Release_For_IT/TestBuild_1.0.1/Server%20CD/DBS/Setup" TargetMode="External"/><Relationship Id="rId78" Type="http://schemas.openxmlformats.org/officeDocument/2006/relationships/hyperlink" Target="../../../../../../../../../Releases/Projects/TWC/Release_For_Test/Test_Build_1.0.0.4/Server%20CD/DBS/Setup" TargetMode="External"/><Relationship Id="rId809" Type="http://schemas.openxmlformats.org/officeDocument/2006/relationships/hyperlink" Target="../../../../../../../../../Releases/Projects/WIS/Release_For_IT/TestBuild_1.0.0.1/Client%20CD/Setup" TargetMode="External"/><Relationship Id="rId1201" Type="http://schemas.openxmlformats.org/officeDocument/2006/relationships/hyperlink" Target="../../../../../../../../../Releases/Projects/OBT/Release_For_IT/TestBuild_1.0.0.2/Server%20CD/DBS/Setup" TargetMode="External"/><Relationship Id="rId1439" Type="http://schemas.openxmlformats.org/officeDocument/2006/relationships/hyperlink" Target="../../../../../../../../../Releases/Projects/Comcast/Release_for_Test/Test_Build_4.6.6/Server%20CD/Database/Setup" TargetMode="External"/><Relationship Id="rId1646" Type="http://schemas.openxmlformats.org/officeDocument/2006/relationships/hyperlink" Target="../../../../../../../../../Projects/Neustar/BHN/Build&amp;Release/Release%20For%20Test/Test_Build_3.5.37/Server%20CD/Database/Setup" TargetMode="External"/><Relationship Id="rId1853" Type="http://schemas.openxmlformats.org/officeDocument/2006/relationships/hyperlink" Target="../../../../../../../../../Releases/Projects/Telstra/Release_For_IT/Test_Build_1.0.0.18/Server%20CD/DBS/Setup" TargetMode="External"/><Relationship Id="rId1506" Type="http://schemas.openxmlformats.org/officeDocument/2006/relationships/hyperlink" Target="../../../../../../../../../Releases/Projects/Comcast/Release_for_Test/Test_Build_3.5.50/Server%20CD/Database/Setup" TargetMode="External"/><Relationship Id="rId1713" Type="http://schemas.openxmlformats.org/officeDocument/2006/relationships/hyperlink" Target="../../../../../../../../../Releases/Projects/BHN/Release_For_IT/TestBuild_1.0.0.1/Server%20CD/Utility/Setup" TargetMode="External"/><Relationship Id="rId1920" Type="http://schemas.openxmlformats.org/officeDocument/2006/relationships/hyperlink" Target="../../../../../../../../../Releases/Product/Netmind4.1/Build&amp;Release/ReleaseForTest/TestBuild_4.1.1/Build5/Client%20CD/GUI/Workflow%20System/Setup" TargetMode="External"/><Relationship Id="rId294" Type="http://schemas.openxmlformats.org/officeDocument/2006/relationships/hyperlink" Target="../../../../../../../../../Releases/Projects/ANTEL/Release_For_IT/TestBuild_1.0.0.4/Server%20CD/DBS/Setup" TargetMode="External"/><Relationship Id="rId2182" Type="http://schemas.openxmlformats.org/officeDocument/2006/relationships/hyperlink" Target="../../../../../../../../../Releases/Product/RT_4.0/ReleaseForLQA/TestBuild_4.0.24/GUI/Build1/Setup" TargetMode="External"/><Relationship Id="rId154" Type="http://schemas.openxmlformats.org/officeDocument/2006/relationships/hyperlink" Target="../../../../../../../../../Releases/Projects/MAX/Release_For_Test/Test_Build_1.0.0.1/Server%20CD/DBS/Setup" TargetMode="External"/><Relationship Id="rId361" Type="http://schemas.openxmlformats.org/officeDocument/2006/relationships/hyperlink" Target="../../../../../../../../../Releases/Projects/Comcast/Release_for_Test/Test_Build_4.6.1/Server%20CD/Database/Setup" TargetMode="External"/><Relationship Id="rId599" Type="http://schemas.openxmlformats.org/officeDocument/2006/relationships/hyperlink" Target="../../../../../../../../../Releases/Projects/Telstra/Release_For_IT/Test_Build_1.0.0.18/Server%20CD/DBS/Setup" TargetMode="External"/><Relationship Id="rId2042" Type="http://schemas.openxmlformats.org/officeDocument/2006/relationships/hyperlink" Target="../../../../../../../../../Releases/Product/Netmind_4.7/Build&amp;Release/Release_For_LQA/Test_Build_1.0.1/Server%20CD/DBS/Setup" TargetMode="External"/><Relationship Id="rId2487" Type="http://schemas.openxmlformats.org/officeDocument/2006/relationships/hyperlink" Target="../../../../../../../../../Releases/Projects/MAC/Release_For_Test/Test_Build_1.0.1/Server%20CD/GUI/Setup" TargetMode="External"/><Relationship Id="rId2694" Type="http://schemas.openxmlformats.org/officeDocument/2006/relationships/hyperlink" Target="../../../../../../../../../Releases/Product/WEB_CS/Build&amp;Release/Release%20For%20Test/TestBuild_2.1.24/ServerCD/GUI/Setup" TargetMode="External"/><Relationship Id="rId459" Type="http://schemas.openxmlformats.org/officeDocument/2006/relationships/hyperlink" Target="../../../../../../../../../Releases/Projects/SLT/Release_For_IT/Test_Build_1.0.0.4/Server%20CD/DBS/Setup" TargetMode="External"/><Relationship Id="rId666" Type="http://schemas.openxmlformats.org/officeDocument/2006/relationships/hyperlink" Target="../../../../../../../../../Projects/Neustar/BHN/Build&amp;Release/Release%20For%20Test/Test_Build_3.5.37/Server%20CD/Database/Setup" TargetMode="External"/><Relationship Id="rId873" Type="http://schemas.openxmlformats.org/officeDocument/2006/relationships/hyperlink" Target="../../../../../../../../../Releases/Projects/SLT-1B/Release_For_Test/Test_Build_1.0.0.1/Server%20CD/MPE/Setup" TargetMode="External"/><Relationship Id="rId1089" Type="http://schemas.openxmlformats.org/officeDocument/2006/relationships/hyperlink" Target="../../../../../../../../../Releases/Product/DataMind_2.0/Build&amp;Release/Release%20for%20IT/TestBuild_2.0.0/Server%20CD/DBS/Setup" TargetMode="External"/><Relationship Id="rId1296" Type="http://schemas.openxmlformats.org/officeDocument/2006/relationships/hyperlink" Target="../../../../../../../../../Releases/Projects/Comcast/Release_for_Test/Test_Build_4.6.5/Server%20CD/Database/Setup" TargetMode="External"/><Relationship Id="rId2347" Type="http://schemas.openxmlformats.org/officeDocument/2006/relationships/hyperlink" Target="../../../../../../../../../Releases/Projects/TLSTR-ST/Release_For_Test/Test_Build_1.0.1/Server%20CD/MPE/Setup" TargetMode="External"/><Relationship Id="rId2554" Type="http://schemas.openxmlformats.org/officeDocument/2006/relationships/hyperlink" Target="../../../../../../../../../Releases/Product/MEDGUI_1.1/Build&amp;Release/Release_For_LQA/Test_Build_1.0.2/Server%20CD/GUI/Setup" TargetMode="External"/><Relationship Id="rId221" Type="http://schemas.openxmlformats.org/officeDocument/2006/relationships/hyperlink" Target="../../../../../../../../../Releases/Projects/Comcast/Release_for_Test/Test_Build_3.5.50/Utility/Setup" TargetMode="External"/><Relationship Id="rId319" Type="http://schemas.openxmlformats.org/officeDocument/2006/relationships/hyperlink" Target="../../../../../../../../../Releases/Product/RT_4.0/ReleaseForIT/TestBuild_4.0.3/DBS/Setup" TargetMode="External"/><Relationship Id="rId526" Type="http://schemas.openxmlformats.org/officeDocument/2006/relationships/hyperlink" Target="../../../../../../../../../Releases/Product/NetMindPOS_1.1/Build&amp;Release/Release%20for%20IT/TestBuild_1.2.3/Server%20CD/DBS/Setup" TargetMode="External"/><Relationship Id="rId1156" Type="http://schemas.openxmlformats.org/officeDocument/2006/relationships/hyperlink" Target="../../../../../../../../../Releases/Projects/SLT/Release_For_LQA/Test_Build_1.0.0.23/Server%20CD/DBS/Setup" TargetMode="External"/><Relationship Id="rId1363" Type="http://schemas.openxmlformats.org/officeDocument/2006/relationships/hyperlink" Target="../../../../../../../../../Releases/Product/NetMindPOS_1.1/Build&amp;Release/Release%20for%20LQA/TestBuild_1.2.3/Server%20CD/DBS/Setup" TargetMode="External"/><Relationship Id="rId2207" Type="http://schemas.openxmlformats.org/officeDocument/2006/relationships/hyperlink" Target="../../../../../../../../../Releases/Projects/ANTEL/Release_For_IT/TestBuild_1.0.0.4/Server%20CD/DBS/Setup" TargetMode="External"/><Relationship Id="rId2761" Type="http://schemas.openxmlformats.org/officeDocument/2006/relationships/hyperlink" Target="../../../../../../../../../Releases/Projects/FNB/Release_For_Test/Test_Build_1.0.2/Server%20CD/MPE/Setup" TargetMode="External"/><Relationship Id="rId733" Type="http://schemas.openxmlformats.org/officeDocument/2006/relationships/hyperlink" Target="../../../../../../../../../Releases/Product/RE_1.0/ReleaseForIT/TestBuild_1.0.1/DBS/Build4/Setup" TargetMode="External"/><Relationship Id="rId940" Type="http://schemas.openxmlformats.org/officeDocument/2006/relationships/hyperlink" Target="../../../../../../../../../Releases/Projects/DRC/Release_For_LQA/Test_Build_1.0.0.3/Server%20CD/DBS/Setup" TargetMode="External"/><Relationship Id="rId1016" Type="http://schemas.openxmlformats.org/officeDocument/2006/relationships/hyperlink" Target="../../../../../../../../../Releases/Projects/Comcast/Release_For_IT/Test_Build_4.6.1/Server%20CD/Database/Setup" TargetMode="External"/><Relationship Id="rId1570" Type="http://schemas.openxmlformats.org/officeDocument/2006/relationships/hyperlink" Target="../../../../../../../../../Releases/Projects/SLT/Release_For_LQA/Test_Build_1.0.0.24/Server%20CD/DBS/Setup" TargetMode="External"/><Relationship Id="rId1668" Type="http://schemas.openxmlformats.org/officeDocument/2006/relationships/hyperlink" Target="../../../../../../../../../Releases/Projects/TLSTR-ST/Release_For_Test/Test_Build_1.0.1/Server%20CD/MPE/Setup" TargetMode="External"/><Relationship Id="rId1875" Type="http://schemas.openxmlformats.org/officeDocument/2006/relationships/hyperlink" Target="../../../../../../../../../Releases/Projects/Comcast/Release_For_IT/Test_Build_4.6.1/Server%20CD/Database/Setup" TargetMode="External"/><Relationship Id="rId2414" Type="http://schemas.openxmlformats.org/officeDocument/2006/relationships/hyperlink" Target="../../../../../../../../../Releases/Projects/FNB/Release_For_Test/Test_Build_1.0.1/Server%20CD/DBS/Setup" TargetMode="External"/><Relationship Id="rId2621" Type="http://schemas.openxmlformats.org/officeDocument/2006/relationships/hyperlink" Target="../../../../../../../../../Releases/Projects/SLT/Release_For_IT/Test_Build_1.0.0.4/Server%20CD/DBS/Setup" TargetMode="External"/><Relationship Id="rId2719" Type="http://schemas.openxmlformats.org/officeDocument/2006/relationships/hyperlink" Target="../../../../../../../../../Releases/Projects/SLT/Release_For_IT/Test_Build_1.0.0.4/Server%20CD/DBS/Setup" TargetMode="External"/><Relationship Id="rId800" Type="http://schemas.openxmlformats.org/officeDocument/2006/relationships/hyperlink" Target="../../../../../../../../../Releases/Projects/SLT/Release_For_IT/Test_Build_1.0.0.4/Server%20CD/DBS/Setup" TargetMode="External"/><Relationship Id="rId1223" Type="http://schemas.openxmlformats.org/officeDocument/2006/relationships/hyperlink" Target="../../../../../../../../../Releases/Projects/ANTEL/Release_For_Test/Test_Build_1.0.0.7/Server%20CD/DBS/Setup" TargetMode="External"/><Relationship Id="rId1430" Type="http://schemas.openxmlformats.org/officeDocument/2006/relationships/hyperlink" Target="../../../../../../../../../Releases/Projects/Comcast/Release_for_Test/Test_Build_4.6.6/Server%20CD/Database/Setup" TargetMode="External"/><Relationship Id="rId1528" Type="http://schemas.openxmlformats.org/officeDocument/2006/relationships/hyperlink" Target="../../../../../../../../../Releases/Projects/OBT/Release_For_LQA/TestBuild_1.0.0.7/Server%20CD/GUI/Setup" TargetMode="External"/><Relationship Id="rId1735" Type="http://schemas.openxmlformats.org/officeDocument/2006/relationships/hyperlink" Target="../../../../../../../../../Releases/Projects/SLT/Release_For_LQA/Test_Build_1.0.0.24/Server%20CD/DBS/Setup" TargetMode="External"/><Relationship Id="rId1942" Type="http://schemas.openxmlformats.org/officeDocument/2006/relationships/hyperlink" Target="../../../../../../../../../Releases/Projects/FNB/Release_For_Test/Test_Build_1.0.1/Server%20CD/GUI/Setup" TargetMode="External"/><Relationship Id="rId27" Type="http://schemas.openxmlformats.org/officeDocument/2006/relationships/hyperlink" Target="../../../../../../../../../Projects/Neustar/BHN/Build&amp;Release/Release%20For%20IT/Test_Build_3.5.37/Server%20CD/Database/Setup" TargetMode="External"/><Relationship Id="rId1802" Type="http://schemas.openxmlformats.org/officeDocument/2006/relationships/hyperlink" Target="../../../../../../../../../Releases/Projects/SLT-1B/Release_For_Test/Test_Build_1.0.0.1/Server%20CD/MPE/Setup" TargetMode="External"/><Relationship Id="rId176" Type="http://schemas.openxmlformats.org/officeDocument/2006/relationships/hyperlink" Target="../../../../../../../../../Releases/Projects/SHAW/Release_For_LQA/Test_Build_1.0.0.28/Client%20CD/RM/Setup" TargetMode="External"/><Relationship Id="rId383" Type="http://schemas.openxmlformats.org/officeDocument/2006/relationships/hyperlink" Target="../../../../../../../../../Releases/Projects/OBT/Release_For_LQA/TestBuild_1.0.0.4/Server%20CD/DBS/Setup" TargetMode="External"/><Relationship Id="rId590" Type="http://schemas.openxmlformats.org/officeDocument/2006/relationships/hyperlink" Target="../../../../../../../../../Releases/Projects/SLT/Release_For_LQA/Test_Build_1.0.0.21/Server%20CD/GUI/Setup" TargetMode="External"/><Relationship Id="rId2064" Type="http://schemas.openxmlformats.org/officeDocument/2006/relationships/hyperlink" Target="../../../../../../../../../Releases/Projects/Comcast/Release_for_Test/Test_Build_4.6.7/Server%20CD/Database/Setup" TargetMode="External"/><Relationship Id="rId2271" Type="http://schemas.openxmlformats.org/officeDocument/2006/relationships/hyperlink" Target="../../../../../../../../../Releases/Projects/SLT-1B/Release_For_Test/Test_Build_1.0.0.1/Server%20CD/MPE/Setup" TargetMode="External"/><Relationship Id="rId243" Type="http://schemas.openxmlformats.org/officeDocument/2006/relationships/hyperlink" Target="../../../../../../../../../Releases/Projects/SLT/Release_For_IT/Test_Build_1.0.0.4/Server%20CD/DBS/Setup" TargetMode="External"/><Relationship Id="rId450" Type="http://schemas.openxmlformats.org/officeDocument/2006/relationships/hyperlink" Target="../../../../../../../../../Releases/Projects/Telenet/Build&amp;Release/Release%20For%20IT/Test_Build_4.0.40/Client%20CD/GUI/Hotlist%20Manager/Setup" TargetMode="External"/><Relationship Id="rId688" Type="http://schemas.openxmlformats.org/officeDocument/2006/relationships/hyperlink" Target="../../../../../../../../../Releases/Projects/SLT/Release_For_LQA/Test_Build_1.0.0.22/Server%20CD/DBS/Setup" TargetMode="External"/><Relationship Id="rId895" Type="http://schemas.openxmlformats.org/officeDocument/2006/relationships/hyperlink" Target="../../../../../../../../../Releases/Projects/SLT/Release_For_IT/Test_Build_1.0.0.4/Server%20CD/DBS/Setup" TargetMode="External"/><Relationship Id="rId1080" Type="http://schemas.openxmlformats.org/officeDocument/2006/relationships/hyperlink" Target="../../../../../../../../../Releases/Product/RevMind_2.1/Build&amp;Release/Release_For_LQA/Test_Build_1.0.2/Server%20CD/DBS/Setup" TargetMode="External"/><Relationship Id="rId2131" Type="http://schemas.openxmlformats.org/officeDocument/2006/relationships/hyperlink" Target="../../../../../../../../../Releases/Product/CSGUI_2.6/Build&amp;Release/Release_For_LQA/Test_Build_1.0.3/Server%20CD/GUI/Setup" TargetMode="External"/><Relationship Id="rId2369" Type="http://schemas.openxmlformats.org/officeDocument/2006/relationships/hyperlink" Target="../../../../../../../../../Releases/Projects/SLT/Release_For_IT/Test_Build_1.0.0.4/Server%20CD/DBS/Setup" TargetMode="External"/><Relationship Id="rId2576" Type="http://schemas.openxmlformats.org/officeDocument/2006/relationships/hyperlink" Target="../../../../../../../../../Releases/Projects/TWC/Release_For_Test/Test_Build_1.0.0.4/Server%20CD/MPE/Setup" TargetMode="External"/><Relationship Id="rId2783" Type="http://schemas.openxmlformats.org/officeDocument/2006/relationships/hyperlink" Target="../../../../../../../../../Releases/Projects/TLSTR-ST/Release_For_Test/Test_Build_1.0.1/Server%20CD/DBS/Setup" TargetMode="External"/><Relationship Id="rId103" Type="http://schemas.openxmlformats.org/officeDocument/2006/relationships/hyperlink" Target="../../../../../../../../../Releases/Product/SAC/Build&amp;Release/ReleaseforLQA/TestBuild_1.3.0/Build1/ServerCD/AGENT/Setup/RHEL_4.8_x86_64" TargetMode="External"/><Relationship Id="rId310" Type="http://schemas.openxmlformats.org/officeDocument/2006/relationships/hyperlink" Target="../../../../../../../../../Releases/Projects/Comcast/Release_For_IT/Test_Build_4.6.1/Server%20CD/Database/Setup" TargetMode="External"/><Relationship Id="rId548" Type="http://schemas.openxmlformats.org/officeDocument/2006/relationships/hyperlink" Target="../../../../../../../../../Releases/Product/WEB_WFS/Build&amp;Release/Release%20For%20Test/TestBuild_2.0.4/Build4/ServerCD/GUI/Setup" TargetMode="External"/><Relationship Id="rId755" Type="http://schemas.openxmlformats.org/officeDocument/2006/relationships/hyperlink" Target="../../../../../../../../../Releases/Projects/Comcast/Release_for_Test/Test_Build_4.6.3/Server%20CD/Database/Setup" TargetMode="External"/><Relationship Id="rId962" Type="http://schemas.openxmlformats.org/officeDocument/2006/relationships/hyperlink" Target="../../../../../../../../../Releases/Product/RT_4.0/ReleaseForIT/TestBuild_4.0.3/DBS/Setup" TargetMode="External"/><Relationship Id="rId1178" Type="http://schemas.openxmlformats.org/officeDocument/2006/relationships/hyperlink" Target="../../../../../../../../../Releases/Projects/Comcast/Release_for_Test/Test_Build_4.6.5/Server%20CD/GUI/Setup" TargetMode="External"/><Relationship Id="rId1385" Type="http://schemas.openxmlformats.org/officeDocument/2006/relationships/hyperlink" Target="../../../../../../../../../Releases/Projects/OBT/Release_For_IT/TestBuild_1.0.0.2/Server%20CD/DBS/Setup" TargetMode="External"/><Relationship Id="rId1592" Type="http://schemas.openxmlformats.org/officeDocument/2006/relationships/hyperlink" Target="../../../../../../../../../Releases/Projects/Telenet/Build&amp;Release/Release%20For%20IT/Test_Build_4.0.41/Server%20CD/Database/Setup" TargetMode="External"/><Relationship Id="rId2229" Type="http://schemas.openxmlformats.org/officeDocument/2006/relationships/hyperlink" Target="../../../../../../../../../Releases/Projects/TLSTR-ST/Release_For_Test/Test_Build_1.0.1/Server%20CD/DBS/Setup" TargetMode="External"/><Relationship Id="rId2436" Type="http://schemas.openxmlformats.org/officeDocument/2006/relationships/hyperlink" Target="../../../../../../../../../Releases/Product/MEDGUI_1.1/Build&amp;Release/Release_For_LQA/Test_Build_1.0.2/Server%20CD/DBS/Setup" TargetMode="External"/><Relationship Id="rId2643" Type="http://schemas.openxmlformats.org/officeDocument/2006/relationships/hyperlink" Target="../../../../../../../../../Releases/Projects/SLT/Release_For_IT/Test_Build_1.0.0.4/Server%20CD/DBS/Setup" TargetMode="External"/><Relationship Id="rId91" Type="http://schemas.openxmlformats.org/officeDocument/2006/relationships/hyperlink" Target="../../../../../../../../../Releases/Projects/SHAW/Release_For_LQA/Test_Build_1.0.0.28/Server%20CD/DBS/Setup" TargetMode="External"/><Relationship Id="rId408" Type="http://schemas.openxmlformats.org/officeDocument/2006/relationships/hyperlink" Target="../../../../../../../../../Releases/Projects/TWC/Release_For_Test/Test_Build_1.0.0.4/Server%20CD/DBS/Setup" TargetMode="External"/><Relationship Id="rId615" Type="http://schemas.openxmlformats.org/officeDocument/2006/relationships/hyperlink" Target="../../../../../../../../../Releases/Product/RevMind_2.1/Build&amp;Release/Release_For_LQA/Test_Build_1.0.2/Server%20CD/GUI/CS/Setup" TargetMode="External"/><Relationship Id="rId822" Type="http://schemas.openxmlformats.org/officeDocument/2006/relationships/hyperlink" Target="../../../../../../../../../Releases/Projects/Comcast/Release_For_IT/Test_Build_4.6.1/Server%20CD/Database/Setup" TargetMode="External"/><Relationship Id="rId1038" Type="http://schemas.openxmlformats.org/officeDocument/2006/relationships/hyperlink" Target="../../../../../../../../../Releases/Projects/Comcast/Release_For_IT/Test_Build_4.6.1/Server%20CD/Database/Setup" TargetMode="External"/><Relationship Id="rId1245" Type="http://schemas.openxmlformats.org/officeDocument/2006/relationships/hyperlink" Target="../../../../../../../../../Releases/Projects/SLT/Release_For_IT/Test_Build_1.0.0.4/Server%20CD/DBS/Setup" TargetMode="External"/><Relationship Id="rId1452" Type="http://schemas.openxmlformats.org/officeDocument/2006/relationships/hyperlink" Target="../../../../../../../../../Releases/Projects/SLT/Release_For_LQA/Test_Build_1.0.0.24/Server%20CD/DBS/Setup" TargetMode="External"/><Relationship Id="rId1897" Type="http://schemas.openxmlformats.org/officeDocument/2006/relationships/hyperlink" Target="../../../../../../../../../Releases/Projects/SLT/Release_For_IT/Test_Build_1.0.0.4/Server%20CD/DBS/Setup" TargetMode="External"/><Relationship Id="rId2503" Type="http://schemas.openxmlformats.org/officeDocument/2006/relationships/hyperlink" Target="file:///\\192.168.3.3\share\Releases\Projects\Telstra\Release_For_LQA\Test_Build_1.0.0.18\Server%20CD\IM\Setup" TargetMode="External"/><Relationship Id="rId1105" Type="http://schemas.openxmlformats.org/officeDocument/2006/relationships/hyperlink" Target="../../../../../../../../../Releases/Projects/Telstra/Release_For_IT/Test_Build_1.0.0.18/Server%20CD/DBS/Setup" TargetMode="External"/><Relationship Id="rId1312" Type="http://schemas.openxmlformats.org/officeDocument/2006/relationships/hyperlink" Target="../../../../../../../../../Releases/Projects/Comcast/Release_for_Test/Test_Build_4.6.6/Server%20CD/Database/Setup" TargetMode="External"/><Relationship Id="rId1757" Type="http://schemas.openxmlformats.org/officeDocument/2006/relationships/hyperlink" Target="../../../../../../../../../Releases/Projects/Comcast/Release_For_IT/Test_Build_4.6.1/Server%20CD/Database/Setup" TargetMode="External"/><Relationship Id="rId1964" Type="http://schemas.openxmlformats.org/officeDocument/2006/relationships/hyperlink" Target="../../../../../../../../../Releases/Projects/SLT/Release_For_IT/Test_Build_1.0.0.4/Server%20CD/DBS/Setup" TargetMode="External"/><Relationship Id="rId2710" Type="http://schemas.openxmlformats.org/officeDocument/2006/relationships/hyperlink" Target="../../../../../../../../../Releases/Projects/FNB/Release_For_Test/Test_Build_1.0.2/Server%20CD/DBS/Setup" TargetMode="External"/><Relationship Id="rId2808" Type="http://schemas.openxmlformats.org/officeDocument/2006/relationships/hyperlink" Target="../../../../../../../../../Releases/Projects/TWC/Release_For_Test/Test_Build_1.0.0.4/Server%20CD/MPE/Setup" TargetMode="External"/><Relationship Id="rId49" Type="http://schemas.openxmlformats.org/officeDocument/2006/relationships/hyperlink" Target="../../../../../../../../../Releases/Projects/OBT/Release_For_LQA/TestBuild_1.0.0.3/Server%20CD/MPE/Setup" TargetMode="External"/><Relationship Id="rId1617" Type="http://schemas.openxmlformats.org/officeDocument/2006/relationships/hyperlink" Target="../../../../../../../../../Releases/Projects/SLT/Release_For_IT/Test_Build_1.0.0.4/Server%20CD/DBS/Setup" TargetMode="External"/><Relationship Id="rId1824" Type="http://schemas.openxmlformats.org/officeDocument/2006/relationships/hyperlink" Target="../../../../../../../../../Releases/Projects/SLT-1B/Release_For_Test/Test_Build_1.0.0.1/Server%20CD/MPE/Setup" TargetMode="External"/><Relationship Id="rId198" Type="http://schemas.openxmlformats.org/officeDocument/2006/relationships/hyperlink" Target="../../../../../../../../../Releases/Projects/SLT/Release_For_LQA/Test_Build_1.0.0.16/Server%20CD/DBS/Setup" TargetMode="External"/><Relationship Id="rId2086" Type="http://schemas.openxmlformats.org/officeDocument/2006/relationships/hyperlink" Target="../../../../../../../../../Releases/Projects/ANTEL/Release_For_IT/TestBuild_1.0.0.4/Server%20CD/DBS/Setup" TargetMode="External"/><Relationship Id="rId2293" Type="http://schemas.openxmlformats.org/officeDocument/2006/relationships/hyperlink" Target="../../../../../../../../../Releases/Projects/ANTEL/Release_For_IT/TestBuild_1.0.0.4/Server%20CD/DBS/Setup" TargetMode="External"/><Relationship Id="rId2598" Type="http://schemas.openxmlformats.org/officeDocument/2006/relationships/hyperlink" Target="../../../../../../../../../Releases/Product/LA_1.1/Build&amp;Release/Release_For_LQA/Test_Build_1.0.2/Server%20CD/GUI/Setup" TargetMode="External"/><Relationship Id="rId265" Type="http://schemas.openxmlformats.org/officeDocument/2006/relationships/hyperlink" Target="../../../../../../../../../Releases/Projects/TWC/Release_For_Test/Test_Build_1.0.0.4/Server%20CD/DBS/Setup" TargetMode="External"/><Relationship Id="rId472" Type="http://schemas.openxmlformats.org/officeDocument/2006/relationships/hyperlink" Target="../../../../../../../../../Releases/Projects/Telstra/Release_For_LQA/Test_Build_1.0.0.18/Server%20CD/DBS/Setup" TargetMode="External"/><Relationship Id="rId2153" Type="http://schemas.openxmlformats.org/officeDocument/2006/relationships/hyperlink" Target="file:///\\192.168.3.3\share\Releases\Projects\Telstra\Release_For_LQA\Test_Build_1.0.0.18\Server%20CD\IM\Setup" TargetMode="External"/><Relationship Id="rId2360" Type="http://schemas.openxmlformats.org/officeDocument/2006/relationships/hyperlink" Target="../../../../../../../../../Releases/Projects/Vonage/Release_For_LQA/Test_Build_4.0.17/Client%20CD/GUI/CS/Setup" TargetMode="External"/><Relationship Id="rId125" Type="http://schemas.openxmlformats.org/officeDocument/2006/relationships/hyperlink" Target="../../../../../../../../../Releases/Projects/SLT/Release_For_LQA/Test_Build_1.0.0.17/Server%20CD/DBS/Setup" TargetMode="External"/><Relationship Id="rId332" Type="http://schemas.openxmlformats.org/officeDocument/2006/relationships/hyperlink" Target="../../../../../../../../../Releases/Projects/OBT/Release_For_LQA/TestBuild_1.0.0.4/Server%20CD/DBS/Setup" TargetMode="External"/><Relationship Id="rId777" Type="http://schemas.openxmlformats.org/officeDocument/2006/relationships/hyperlink" Target="../../../../../../../../../Releases/Projects/SLT/Release_For_IT/Test_Build_1.0.0.4/Server%20CD/DBS/Setup" TargetMode="External"/><Relationship Id="rId984" Type="http://schemas.openxmlformats.org/officeDocument/2006/relationships/hyperlink" Target="../../../../../../../../../Releases/Projects/SLT/Release_For_IT/Test_Build_1.0.0.4/Server%20CD/DBS/Setup" TargetMode="External"/><Relationship Id="rId2013" Type="http://schemas.openxmlformats.org/officeDocument/2006/relationships/hyperlink" Target="../../../../../../../../../Releases/Product/WEB_WFS/Build&amp;Release/Release%20For%20Test/TestBuild_2.1.35/ServerCD/GUI/Setup" TargetMode="External"/><Relationship Id="rId2220" Type="http://schemas.openxmlformats.org/officeDocument/2006/relationships/hyperlink" Target="../../../../../../../../../Releases/Projects/MCC/Release_For_Test/Test_Build_1.0.1/Server%20CD/DBS/Setup" TargetMode="External"/><Relationship Id="rId2458" Type="http://schemas.openxmlformats.org/officeDocument/2006/relationships/hyperlink" Target="../../../../../../../../../Releases/Projects/SLT/Release_For_LQA/Test_Build_1.0.0.24/Server%20CD/GUI/Setup" TargetMode="External"/><Relationship Id="rId2665" Type="http://schemas.openxmlformats.org/officeDocument/2006/relationships/hyperlink" Target="../../../../../../../../../Releases/Projects/Telenet/Build&amp;Release/Release%20For%20Test/Test_Build_4.0.41/Server%20CD/MPE/Setup" TargetMode="External"/><Relationship Id="rId637" Type="http://schemas.openxmlformats.org/officeDocument/2006/relationships/hyperlink" Target="../../../../../../../../../Releases/Projects/Comcast/Release_For_IT/Test_Build_4.6.1/Server%20CD/Database/Setup" TargetMode="External"/><Relationship Id="rId844" Type="http://schemas.openxmlformats.org/officeDocument/2006/relationships/hyperlink" Target="../../../../../../../../../Releases/Projects/SLT/Release_For_LQA/Test_Build_1.0.0.23/Server%20CD/DBS/Setup" TargetMode="External"/><Relationship Id="rId1267" Type="http://schemas.openxmlformats.org/officeDocument/2006/relationships/hyperlink" Target="../../../../../../../../../Releases/Product/NetMindPOS_1.1/Build&amp;Release/Release%20for%20LQA/TestBuild_1.2.3/Server%20CD/DBS/Setup" TargetMode="External"/><Relationship Id="rId1474" Type="http://schemas.openxmlformats.org/officeDocument/2006/relationships/hyperlink" Target="../../../../../../../../../Releases/Projects/Comcast/Release_For_IT/Test_Build_4.6.1/Server%20CD/Database/Setup" TargetMode="External"/><Relationship Id="rId1681" Type="http://schemas.openxmlformats.org/officeDocument/2006/relationships/hyperlink" Target="../../../../../../../../../Releases/Projects/SLT/Release_For_LQA/Test_Build_1.0.0.24/Server%20CD/DBS/Setup" TargetMode="External"/><Relationship Id="rId2318" Type="http://schemas.openxmlformats.org/officeDocument/2006/relationships/hyperlink" Target="../../../../../../../../../Releases/Projects/TWC/Release_For_IT/Test_Build_1.0.0.3/Server%20CD/DBS/Setup" TargetMode="External"/><Relationship Id="rId2525" Type="http://schemas.openxmlformats.org/officeDocument/2006/relationships/hyperlink" Target="../../../../../../../../../Releases/Projects/TLSTR-ST/Release_For_Test/Test_Build_1.0.1/Server%20CD/DBS/Setup" TargetMode="External"/><Relationship Id="rId2732" Type="http://schemas.openxmlformats.org/officeDocument/2006/relationships/hyperlink" Target="../../../../../../../../../Releases/Projects/FNB/Release_For_IT/TestBuild_1.0.1/Server%20CD/DBS/Setup" TargetMode="External"/><Relationship Id="rId704" Type="http://schemas.openxmlformats.org/officeDocument/2006/relationships/hyperlink" Target="../../../../../../../../../Releases/Projects/SLT/Release_For_IT/Test_Build_1.0.0.4/Server%20CD/DBS/Setup" TargetMode="External"/><Relationship Id="rId911" Type="http://schemas.openxmlformats.org/officeDocument/2006/relationships/hyperlink" Target="../../../../../../../../../Releases/Product/DataMind_2.0/Build&amp;Release/Release%20for%20LQA/TestBuild_2.0.0/Server%20CD/DBS/Setup" TargetMode="External"/><Relationship Id="rId1127" Type="http://schemas.openxmlformats.org/officeDocument/2006/relationships/hyperlink" Target="../../../../../../../../../Releases/Projects/Comcast/Release_for_Test/Test_Build_4.6.5/Server%20CD/Database/Setup" TargetMode="External"/><Relationship Id="rId1334" Type="http://schemas.openxmlformats.org/officeDocument/2006/relationships/hyperlink" Target="../../../../../../../../../Releases/Projects/OBT/Release_For_LQA/TestBuild_1.0.0.6/Server%20CD/MPE/Setup" TargetMode="External"/><Relationship Id="rId1541" Type="http://schemas.openxmlformats.org/officeDocument/2006/relationships/hyperlink" Target="../../../../../../../../../Releases/Projects/Comcast/Release_For_IT/Test_Build_4.6.1/Server%20CD/Database/Setup" TargetMode="External"/><Relationship Id="rId1779" Type="http://schemas.openxmlformats.org/officeDocument/2006/relationships/hyperlink" Target="../../../../../../../../../Releases/Projects/SLT/Release_For_IT/Test_Build_1.0.0.4/Server%20CD/DBS/Setup" TargetMode="External"/><Relationship Id="rId1986" Type="http://schemas.openxmlformats.org/officeDocument/2006/relationships/hyperlink" Target="../../../../../../../../../Releases/Projects/SLT/Release_For_IT/Test_Build_1.0.0.4/Server%20CD/DBS/Setup" TargetMode="External"/><Relationship Id="rId40" Type="http://schemas.openxmlformats.org/officeDocument/2006/relationships/hyperlink" Target="../../../../../../../../../Releases/Projects/Telstra-2b/Release_For_Test/Test_Build_1.0.0.1/Server%20CD/MPE/Setup" TargetMode="External"/><Relationship Id="rId1401" Type="http://schemas.openxmlformats.org/officeDocument/2006/relationships/hyperlink" Target="../../../../../../../../../Releases/Projects/SLT/Release_For_LQA/Test_Build_1.0.0.24/Server%20CD/DBS/Setup" TargetMode="External"/><Relationship Id="rId1639" Type="http://schemas.openxmlformats.org/officeDocument/2006/relationships/hyperlink" Target="../../../../../../../../../Releases/Projects/BHN/Release_For_Test/Test_Build_1.0.1/Server%20CD/Utility/Setup" TargetMode="External"/><Relationship Id="rId1846" Type="http://schemas.openxmlformats.org/officeDocument/2006/relationships/hyperlink" Target="../../../../../../../../../Releases/Projects/SLT/Release_For_LQA/Test_Build_1.0.0.24/Server%20CD/DBS/Setup" TargetMode="External"/><Relationship Id="rId1706" Type="http://schemas.openxmlformats.org/officeDocument/2006/relationships/hyperlink" Target="../../../../../../../../../Releases/Projects/TWC/Release_For_IT/Test_Build_1.0.0.3/Server%20CD/DBS/Setup" TargetMode="External"/><Relationship Id="rId1913" Type="http://schemas.openxmlformats.org/officeDocument/2006/relationships/hyperlink" Target="../../../../../../../../../Releases/Projects/Comcast/Release_For_IT/Test_Build_4.6.1/Server%20CD/Database/Setup" TargetMode="External"/><Relationship Id="rId287" Type="http://schemas.openxmlformats.org/officeDocument/2006/relationships/hyperlink" Target="../../../../../../../../../Releases/Projects/SLT/Release_For_IT/Test_Build_1.0.0.4/Server%20CD/DBS/Setup" TargetMode="External"/><Relationship Id="rId494" Type="http://schemas.openxmlformats.org/officeDocument/2006/relationships/hyperlink" Target="../../../../../../../../../Releases/Projects/Telstra/Release_For_IT/Test_Build_1.0.0.18/Server%20CD/DBS/Setup" TargetMode="External"/><Relationship Id="rId2175" Type="http://schemas.openxmlformats.org/officeDocument/2006/relationships/hyperlink" Target="../../../../../../../../../Releases/Projects/TWC/Release_For_IT/Test_Build_1.0.0.3/Server%20CD/DBS/Setup" TargetMode="External"/><Relationship Id="rId2382" Type="http://schemas.openxmlformats.org/officeDocument/2006/relationships/hyperlink" Target="../../../../../../../../../Releases/Projects/Comcast/Release_for_Test/Test_Build_4.6.6/Server%20CD/Database/Setup" TargetMode="External"/><Relationship Id="rId147" Type="http://schemas.openxmlformats.org/officeDocument/2006/relationships/hyperlink" Target="../../../../../../../../../Releases/Projects/BMB/Release_For_Test/Test_Build_3.0.2.35/Server%20CD/Database/Setup" TargetMode="External"/><Relationship Id="rId354" Type="http://schemas.openxmlformats.org/officeDocument/2006/relationships/hyperlink" Target="../../../../../../../../../Releases/Product/RE_1.0/ReleaseForLQA/TestBuild_1.0.1/DBS/Build4/Setup" TargetMode="External"/><Relationship Id="rId799" Type="http://schemas.openxmlformats.org/officeDocument/2006/relationships/hyperlink" Target="../../../../../../../../../Releases/Product/Netmind_4.7/Build&amp;Release/Release_For_LQA/Test_Build_1.0.1/Server%20CD/DBS/Setup" TargetMode="External"/><Relationship Id="rId1191" Type="http://schemas.openxmlformats.org/officeDocument/2006/relationships/hyperlink" Target="../../../../../../../../../Releases/Projects/OBT/Release_For_LQA/TestBuild_1.0.0.6/Server%20CD/MPE/Setup" TargetMode="External"/><Relationship Id="rId2035" Type="http://schemas.openxmlformats.org/officeDocument/2006/relationships/hyperlink" Target="../../../../../../../../../Releases/Product/WEB_WFS/Build&amp;Release/Release%20For%20Test/TestBuild_2.1.35/ServerCD/GUI/Setup" TargetMode="External"/><Relationship Id="rId2687" Type="http://schemas.openxmlformats.org/officeDocument/2006/relationships/hyperlink" Target="../../../../../../../../../Releases/Product/RT_4.0/ReleaseForLQA/TestBuild_4.0.24/DBS/Setup" TargetMode="External"/><Relationship Id="rId561" Type="http://schemas.openxmlformats.org/officeDocument/2006/relationships/hyperlink" Target="../../../../../../../../../Releases/Projects/Comcast/Release_for_Test/Test_Build_4.6.1/Server%20CD/Database/Setup" TargetMode="External"/><Relationship Id="rId659" Type="http://schemas.openxmlformats.org/officeDocument/2006/relationships/hyperlink" Target="../../../../../../../../../Releases/Product/WEB_WFS/Build&amp;Release/Release%20For%20Test/TestBuild_2.2.1/Build4/ServerCD/GUI/Setup" TargetMode="External"/><Relationship Id="rId866" Type="http://schemas.openxmlformats.org/officeDocument/2006/relationships/hyperlink" Target="../../../../../../../../../Releases/Projects/Comcast/Release_For_IT/Test_Build_4.6.1/Server%20CD/Database/Setup" TargetMode="External"/><Relationship Id="rId1289" Type="http://schemas.openxmlformats.org/officeDocument/2006/relationships/hyperlink" Target="../../../../../../../../../Releases/Projects/SLT-1B/Release_For_Test/Test_Build_1.0.0.1/Server%20CD/MPE/Setup" TargetMode="External"/><Relationship Id="rId1496" Type="http://schemas.openxmlformats.org/officeDocument/2006/relationships/hyperlink" Target="../../../../../../../../../Releases/Projects/Comcast/Release_for_Test/Test_Build_4.6.6/Server%20CD/Database/Setup" TargetMode="External"/><Relationship Id="rId2242" Type="http://schemas.openxmlformats.org/officeDocument/2006/relationships/hyperlink" Target="../../../../../../../../../Releases/Projects/SLT-1B/Release_For_Test/Test_Build_1.0.0.1/Server%20CD/MPE/Setup" TargetMode="External"/><Relationship Id="rId2547" Type="http://schemas.openxmlformats.org/officeDocument/2006/relationships/hyperlink" Target="../../../../../../../../../Releases/Projects/FNB/Release_For_IT/TestBuild_1.0.1/Server%20CD/DBS/Setup" TargetMode="External"/><Relationship Id="rId214" Type="http://schemas.openxmlformats.org/officeDocument/2006/relationships/hyperlink" Target="../../../../../../../../../Releases/Projects/SHAW/Release_For_LQA/Test_Build_1.0.0.28/Client%20CD/RM/Setup" TargetMode="External"/><Relationship Id="rId421" Type="http://schemas.openxmlformats.org/officeDocument/2006/relationships/hyperlink" Target="../../../../../../../../../Releases/Projects/Comcast/Release_For_IT/Test_Build_4.6.1/Server%20CD/Database/Setup" TargetMode="External"/><Relationship Id="rId519" Type="http://schemas.openxmlformats.org/officeDocument/2006/relationships/hyperlink" Target="../../../../../../../../../Releases/Projects/OBT/Release_For_IT/TestBuild_1.0.0.2/Server%20CD/DBS/Setup" TargetMode="External"/><Relationship Id="rId1051" Type="http://schemas.openxmlformats.org/officeDocument/2006/relationships/hyperlink" Target="../../../../../../../../../Releases/Projects/DRC/Release_For_IT/Test_Build_1.0.0.3/Server%20CD/DBS/Setup" TargetMode="External"/><Relationship Id="rId1149" Type="http://schemas.openxmlformats.org/officeDocument/2006/relationships/hyperlink" Target="../../../../../../../../../Releases/Projects/Comcast/Release_For_IT/Test_Build_4.6.1/Utility/Setup" TargetMode="External"/><Relationship Id="rId1356" Type="http://schemas.openxmlformats.org/officeDocument/2006/relationships/hyperlink" Target="../../../../../../../../../Releases/Projects/Comcast/Release_for_Test/Test_Build_4.6.6/Server%20CD/Database/Setup" TargetMode="External"/><Relationship Id="rId2102" Type="http://schemas.openxmlformats.org/officeDocument/2006/relationships/hyperlink" Target="../../../../../../../../../Releases/Product/RevMind_2.1/Build&amp;Release/Release_For_LQA/Test_Build_1.0.2/Server%20CD/GUI/CS/Setup" TargetMode="External"/><Relationship Id="rId2754" Type="http://schemas.openxmlformats.org/officeDocument/2006/relationships/hyperlink" Target="../../../../../../../../../Releases/Projects/Telstra-2b/Release_For_Test/Test_Build_1.0.0.1/Server%20CD/MPE/Setup" TargetMode="External"/><Relationship Id="rId726" Type="http://schemas.openxmlformats.org/officeDocument/2006/relationships/hyperlink" Target="../../../../../../../../../Releases/Projects/Comcast/Release_For_IT/Test_Build_4.6.1/Server%20CD/Database/Setup" TargetMode="External"/><Relationship Id="rId933" Type="http://schemas.openxmlformats.org/officeDocument/2006/relationships/hyperlink" Target="../../../../../../../../../Releases/Projects/Telstra/Release_For_LQA/Test_Build_1.0.0.18/Server%20CD/DBS/Setup" TargetMode="External"/><Relationship Id="rId1009" Type="http://schemas.openxmlformats.org/officeDocument/2006/relationships/hyperlink" Target="../../../../../../../../../Releases/Projects/SLT/Release_For_IT/Test_Build_1.0.0.4/Server%20CD/DBS/Setup" TargetMode="External"/><Relationship Id="rId1563" Type="http://schemas.openxmlformats.org/officeDocument/2006/relationships/hyperlink" Target="../../../../../../../../../Releases/Projects/Comcast/Release_for_Test/Test_Build_4.6.6/Server%20CD/Database/Setup" TargetMode="External"/><Relationship Id="rId1770" Type="http://schemas.openxmlformats.org/officeDocument/2006/relationships/hyperlink" Target="../../../../../../../../../Releases/Projects/TLSTR-ST/Release_For_IT/TestBuild_1.0.1/Server%20CD/DBS/Setup" TargetMode="External"/><Relationship Id="rId1868" Type="http://schemas.openxmlformats.org/officeDocument/2006/relationships/hyperlink" Target="../../../../../../../../../Releases/Projects/SLT/Release_For_LQA/Test_Build_1.0.0.24/Server%20CD/DBS/Setup" TargetMode="External"/><Relationship Id="rId2407" Type="http://schemas.openxmlformats.org/officeDocument/2006/relationships/hyperlink" Target="../../../../../../../../../Releases/Projects/SLT/Release_For_IT/Test_Build_1.0.0.4/Server%20CD/DBS/Setup" TargetMode="External"/><Relationship Id="rId2614" Type="http://schemas.openxmlformats.org/officeDocument/2006/relationships/hyperlink" Target="../../../../../../../../../Releases/Product/IM_1.0/Build&amp;Release/Release_For_LQA/Test_Build_1.0.7/Server%20CD/IM/Setup" TargetMode="External"/><Relationship Id="rId62" Type="http://schemas.openxmlformats.org/officeDocument/2006/relationships/hyperlink" Target="../../../../../../../../../Releases/Projects/OBT/Release_For_LQA/TestBuild_1.0.0.3/Server%20CD/GUI/Setup" TargetMode="External"/><Relationship Id="rId1216" Type="http://schemas.openxmlformats.org/officeDocument/2006/relationships/hyperlink" Target="../../../../../../../../../Releases/Projects/ANTEL/Release_For_IT/TestBuild_1.0.0.4/Server%20CD/DBS/Setup" TargetMode="External"/><Relationship Id="rId1423" Type="http://schemas.openxmlformats.org/officeDocument/2006/relationships/hyperlink" Target="../../../../../../../../../Releases/Projects/SLT/Release_For_IT/Test_Build_1.0.0.4/Server%20CD/DBS/Setup" TargetMode="External"/><Relationship Id="rId1630" Type="http://schemas.openxmlformats.org/officeDocument/2006/relationships/hyperlink" Target="../../../../../../../../../Releases/Projects/SLT/Release_For_LQA/Test_Build_1.0.0.24/Server%20CD/DBS/Setup" TargetMode="External"/><Relationship Id="rId1728" Type="http://schemas.openxmlformats.org/officeDocument/2006/relationships/hyperlink" Target="../../../../../../../../../Releases/Projects/BHN/Release_For_Test/Test_Build_1.0.1/Server%20CD/Utility/Setup" TargetMode="External"/><Relationship Id="rId1935" Type="http://schemas.openxmlformats.org/officeDocument/2006/relationships/hyperlink" Target="../../../../../../../../../Releases/Product/RT_4.0/ReleaseForIT/TestBuild_4.0.3/DBS/Setup" TargetMode="External"/><Relationship Id="rId2197" Type="http://schemas.openxmlformats.org/officeDocument/2006/relationships/hyperlink" Target="../../../../../../../../../Releases/Projects/TLSTR-ST/Release_For_IT/TestBuild_1.0.1/Server%20CD/DBS/Setup" TargetMode="External"/><Relationship Id="rId169" Type="http://schemas.openxmlformats.org/officeDocument/2006/relationships/hyperlink" Target="../../../../../../../../../Releases/Projects/SHAW/Release_For_IT/Test_Build_1.0.0.27/Client%20CD/RM/Setup" TargetMode="External"/><Relationship Id="rId376" Type="http://schemas.openxmlformats.org/officeDocument/2006/relationships/hyperlink" Target="../../../../../../../../../Releases/Projects/Telstra/Release_For_IT/Test_Build_1.0.0.18/Server%20CD/DBS/Setup" TargetMode="External"/><Relationship Id="rId583" Type="http://schemas.openxmlformats.org/officeDocument/2006/relationships/hyperlink" Target="../../../../../../../../../Releases/Projects/OBT/Release_For_LQA/TestBuild_1.0.0.4/Server%20CD/MPE/Setup" TargetMode="External"/><Relationship Id="rId790" Type="http://schemas.openxmlformats.org/officeDocument/2006/relationships/hyperlink" Target="../../../../../../../../../Releases/Projects/SLT/Release_For_IT/Test_Build_1.0.0.4/Server%20CD/DBS/Setup" TargetMode="External"/><Relationship Id="rId2057" Type="http://schemas.openxmlformats.org/officeDocument/2006/relationships/hyperlink" Target="../../../../../../../../../Releases/Projects/FNB/Release_For_Test/Test_Build_1.0.1/Server%20CD/DBS/Setup" TargetMode="External"/><Relationship Id="rId2264" Type="http://schemas.openxmlformats.org/officeDocument/2006/relationships/hyperlink" Target="../../../../../../../../../Releases/Projects/MCC/Release_For_Test/Test_Build_1.0.1/Server%20CD/GUI/Setup" TargetMode="External"/><Relationship Id="rId2471" Type="http://schemas.openxmlformats.org/officeDocument/2006/relationships/hyperlink" Target="../../../../../../../../../Releases/Projects/SLT/Release_For_IT/Test_Build_1.0.0.4/Server%20CD/DBS/Setup" TargetMode="External"/><Relationship Id="rId4" Type="http://schemas.openxmlformats.org/officeDocument/2006/relationships/hyperlink" Target="../../../../../../../../../Releases/Projects/SHAW/Release_For_IT/Test_Build_1.0.0.26/Client%20CD/RM/Setup" TargetMode="External"/><Relationship Id="rId236" Type="http://schemas.openxmlformats.org/officeDocument/2006/relationships/hyperlink" Target="../../../../../../../../../Releases/Projects/SLT/Release_For_IT/Test_Build_1.0.0.4/Server%20CD/DBS/Setup" TargetMode="External"/><Relationship Id="rId443" Type="http://schemas.openxmlformats.org/officeDocument/2006/relationships/hyperlink" Target="../../../../../../../../../Releases/Product/RevMind_2.1/Build&amp;Release/Release_For_IT/TestBuild_1.0.1/Server%20CD/DBS/Setup" TargetMode="External"/><Relationship Id="rId650" Type="http://schemas.openxmlformats.org/officeDocument/2006/relationships/hyperlink" Target="../../../../../../../../../Releases/Projects/Comcast/Release_for_Test/Test_Build_4.6.2/Server%20CD/MPE/Setup" TargetMode="External"/><Relationship Id="rId888" Type="http://schemas.openxmlformats.org/officeDocument/2006/relationships/hyperlink" Target="../../../../../../../../../Releases/Product/RevMind_2.1/Build&amp;Release/Release_For_IT/TestBuild_1.0.1/Server%20CD/DBS/Setup" TargetMode="External"/><Relationship Id="rId1073" Type="http://schemas.openxmlformats.org/officeDocument/2006/relationships/hyperlink" Target="../../../../../../../../../Releases/Projects/DRC/Release_For_LQA/Test_Build_1.0.0.3/Server%20CD/DBS/Setup" TargetMode="External"/><Relationship Id="rId1280" Type="http://schemas.openxmlformats.org/officeDocument/2006/relationships/hyperlink" Target="../../../../../../../../../Releases/Projects/Comcast/Release_For_IT/Test_Build_4.6.1/Utility/Setup" TargetMode="External"/><Relationship Id="rId2124" Type="http://schemas.openxmlformats.org/officeDocument/2006/relationships/hyperlink" Target="../../../../../../../../../Releases/Projects/TLSTR-ST/Release_For_IT/TestBuild_1.0.1/Server%20CD/DBS/Setup" TargetMode="External"/><Relationship Id="rId2331" Type="http://schemas.openxmlformats.org/officeDocument/2006/relationships/hyperlink" Target="../../../../../../../../../Releases/Projects/TLSTR-ST/Release_For_IT/TestBuild_1.0.1/Server%20CD/DBS/Setup" TargetMode="External"/><Relationship Id="rId2569" Type="http://schemas.openxmlformats.org/officeDocument/2006/relationships/hyperlink" Target="../../../../../../../../../Releases/Projects/SLT-1B/Release_For_Test/Test_Build_1.0.0.1/Server%20CD/MPE/Setup" TargetMode="External"/><Relationship Id="rId2776" Type="http://schemas.openxmlformats.org/officeDocument/2006/relationships/hyperlink" Target="../../../../../../../../../Releases/Projects/BHN/Release_For_Test/Test_Build_1.0.8/Server%20CD/MPE/Setup" TargetMode="External"/><Relationship Id="rId303" Type="http://schemas.openxmlformats.org/officeDocument/2006/relationships/hyperlink" Target="../../../../../../../../../Releases/Projects/Comcast/Release_For_IT/Test_Build_3.5.50/Utility/Setup" TargetMode="External"/><Relationship Id="rId748" Type="http://schemas.openxmlformats.org/officeDocument/2006/relationships/hyperlink" Target="../../../../../../../../../Releases/Projects/SLT/Release_For_LQA/Test_Build_1.0.0.23/Server%20CD/DBS/Setup" TargetMode="External"/><Relationship Id="rId955" Type="http://schemas.openxmlformats.org/officeDocument/2006/relationships/hyperlink" Target="../../../../../../../../../Releases/Projects/Comcast/Release_For_IT/Test_Build_4.6.1/Server%20CD/Database/Setup" TargetMode="External"/><Relationship Id="rId1140" Type="http://schemas.openxmlformats.org/officeDocument/2006/relationships/hyperlink" Target="../../../../../../../../../Releases/Projects/OBT/Release_For_LQA/TestBuild_1.0.0.6/Server%20CD/MPE/Setup" TargetMode="External"/><Relationship Id="rId1378" Type="http://schemas.openxmlformats.org/officeDocument/2006/relationships/hyperlink" Target="../../../../../../../../../Releases/Product/NetMindPOS_1.1/Build&amp;Release/Release%20for%20IT/TestBuild_1.2.3/Server%20CD/DBS/Setup" TargetMode="External"/><Relationship Id="rId1585" Type="http://schemas.openxmlformats.org/officeDocument/2006/relationships/hyperlink" Target="../../../../../../../../../Releases/Projects/SLT/Release_For_IT/Test_Build_1.0.0.4/Server%20CD/DBS/Setup" TargetMode="External"/><Relationship Id="rId1792" Type="http://schemas.openxmlformats.org/officeDocument/2006/relationships/hyperlink" Target="../../../../../../../../../Releases/Projects/TWC/Release_For_Test/Test_Build_1.0.0.4/Utility/Setup" TargetMode="External"/><Relationship Id="rId2429" Type="http://schemas.openxmlformats.org/officeDocument/2006/relationships/hyperlink" Target="../../../../../../../../../Releases/Product/IM_1.0/Build&amp;Release/Release_For_LQA/Test_Build_1.0.5/Server%20CD/IM/Setup" TargetMode="External"/><Relationship Id="rId2636" Type="http://schemas.openxmlformats.org/officeDocument/2006/relationships/hyperlink" Target="../../../../../../../../../Releases/Projects/Comcast/Release_for_Test/Test_Build_4.6.8/Server%20CD/Database/Setup" TargetMode="External"/><Relationship Id="rId84" Type="http://schemas.openxmlformats.org/officeDocument/2006/relationships/hyperlink" Target="../../../../../../../../../Releases/Product/RevMind_2.1/Build&amp;Release/Release_For_IT/TestBuild_1.0.1/Server%20CD/DBS/Setup" TargetMode="External"/><Relationship Id="rId510" Type="http://schemas.openxmlformats.org/officeDocument/2006/relationships/hyperlink" Target="../../../../../../../../../Releases/Projects/Comcast/Release_For_IT/Test_Build_4.6.1/Utility/Setup" TargetMode="External"/><Relationship Id="rId608" Type="http://schemas.openxmlformats.org/officeDocument/2006/relationships/hyperlink" Target="../../../../../../../../../Releases/Product/WEB_WFS/Build&amp;Release/Release%20For%20Test/TestBuild_2.1.23/Build1/ServerCD/GUI/Setup" TargetMode="External"/><Relationship Id="rId815" Type="http://schemas.openxmlformats.org/officeDocument/2006/relationships/hyperlink" Target="../../../../../../../../../Releases/Projects/TWC/Release_For_Test/Test_Build_1.0.0.4/Server%20CD/MPE/Setup" TargetMode="External"/><Relationship Id="rId1238" Type="http://schemas.openxmlformats.org/officeDocument/2006/relationships/hyperlink" Target="../../../../../../../../../Releases/Projects/Comcast/Release_For_IT/Test_Build_4.6.1/Utility/Setup" TargetMode="External"/><Relationship Id="rId1445" Type="http://schemas.openxmlformats.org/officeDocument/2006/relationships/hyperlink" Target="../../../../../../../../../Releases/Projects/SLT/Release_For_IT/Test_Build_1.0.0.4/Server%20CD/DBS/Setup" TargetMode="External"/><Relationship Id="rId1652" Type="http://schemas.openxmlformats.org/officeDocument/2006/relationships/hyperlink" Target="../../../../../../../../../Releases/Projects/Comcast/Release_for_Test/Test_Build_4.6.6/Server%20CD/GUI/Setup" TargetMode="External"/><Relationship Id="rId1000" Type="http://schemas.openxmlformats.org/officeDocument/2006/relationships/hyperlink" Target="../../../../../../../../../Releases/Projects/TWC/Release_For_IT/Test_Build_1.0.0.3/Server%20CD/DBS/Setup" TargetMode="External"/><Relationship Id="rId1305" Type="http://schemas.openxmlformats.org/officeDocument/2006/relationships/hyperlink" Target="../../../../../../../../../Releases/Projects/Comcast/Release_For_IT/Test_Build_4.6.1/Server%20CD/Database/Setup" TargetMode="External"/><Relationship Id="rId1957" Type="http://schemas.openxmlformats.org/officeDocument/2006/relationships/hyperlink" Target="file:///\\192.168.3.3\share\Releases\Projects\BHN\Release_For_Test\Test_Build_1.0.3\Server%20CD\IM\Setup" TargetMode="External"/><Relationship Id="rId2703" Type="http://schemas.openxmlformats.org/officeDocument/2006/relationships/hyperlink" Target="../../../../../../../../../Releases/Projects/SLT-1B/Release_For_Test/Test_Build_1.0.0.1/Server%20CD/MPE/Setup" TargetMode="External"/><Relationship Id="rId1512" Type="http://schemas.openxmlformats.org/officeDocument/2006/relationships/hyperlink" Target="../../../../../../../../../Releases/Projects/SLT-1B/Release_For_Test/Test_Build_1.0.0.1/Server%20CD/MPE/Setup" TargetMode="External"/><Relationship Id="rId1817" Type="http://schemas.openxmlformats.org/officeDocument/2006/relationships/hyperlink" Target="../../../../../../../../../Releases/Projects/Comcast/Release_for_Test/Test_Build_4.6.6/Server%20CD/GUI/Setup" TargetMode="External"/><Relationship Id="rId11" Type="http://schemas.openxmlformats.org/officeDocument/2006/relationships/hyperlink" Target="../../../../../../../../../Releases/Projects/OBT/Release_For_IT/TestBuild_1.0.0.2/Server%20CD/DBS/Setup" TargetMode="External"/><Relationship Id="rId398" Type="http://schemas.openxmlformats.org/officeDocument/2006/relationships/hyperlink" Target="../../../../../../../../../Releases/Projects/Comcast/Release_For_IT/Test_Build_4.6.1/Server%20CD/Database/Setup" TargetMode="External"/><Relationship Id="rId2079" Type="http://schemas.openxmlformats.org/officeDocument/2006/relationships/hyperlink" Target="../../../../../../../../../Releases/Product/RT_4.0/ReleaseForLQA/TestBuild_4.0.24/GUI/Build1/Setup" TargetMode="External"/><Relationship Id="rId160" Type="http://schemas.openxmlformats.org/officeDocument/2006/relationships/hyperlink" Target="../../../../../../../../../Releases/Projects/Telstra/Release_For_IT/Test_Build_1.0.0.18/Server%20CD/DBS/Setup" TargetMode="External"/><Relationship Id="rId2286" Type="http://schemas.openxmlformats.org/officeDocument/2006/relationships/hyperlink" Target="../../../../../../../../../Releases/Projects/BHN/Release_For_IT/TestBuild_1.0.0.1/Server%20CD/Utility/Setup" TargetMode="External"/><Relationship Id="rId2493" Type="http://schemas.openxmlformats.org/officeDocument/2006/relationships/hyperlink" Target="../../../../../../../../../Releases/Projects/MAC/Release_For_Test/Test_Build_1.0.1/Server%20CD/GUI/Setup" TargetMode="External"/><Relationship Id="rId258" Type="http://schemas.openxmlformats.org/officeDocument/2006/relationships/hyperlink" Target="../../../../../../../../../Releases/Product/RT_4.0/ReleaseForLQA/TestBuild_4.0.20/GUI/Build1/Setup" TargetMode="External"/><Relationship Id="rId465" Type="http://schemas.openxmlformats.org/officeDocument/2006/relationships/hyperlink" Target="../../../../../../../../../Releases/Product/RT_4.0/ReleaseForLQA/TestBuild_4.0.22/DBS/Setup" TargetMode="External"/><Relationship Id="rId672" Type="http://schemas.openxmlformats.org/officeDocument/2006/relationships/hyperlink" Target="../../../../../../../../../Releases/Projects/Telstra/Release_For_LQA/Test_Build_1.0.0.18/Server%20CD/DBS/Setup" TargetMode="External"/><Relationship Id="rId1095" Type="http://schemas.openxmlformats.org/officeDocument/2006/relationships/hyperlink" Target="../../../../../../../../../Releases/Projects/TWC/Release_For_IT/Test_Build_1.0.0.3/Server%20CD/DBS/Setup" TargetMode="External"/><Relationship Id="rId2146" Type="http://schemas.openxmlformats.org/officeDocument/2006/relationships/hyperlink" Target="../../../../../../../../../Releases/Projects/Telenet/Build&amp;Release/Release%20For%20Test/Test_Build_4.0.41/Server%20CD/Database/Setup" TargetMode="External"/><Relationship Id="rId2353" Type="http://schemas.openxmlformats.org/officeDocument/2006/relationships/hyperlink" Target="../../../../../../../../../Releases/Projects/SLT-1B/Release_For_Test/Test_Build_1.0.0.1/Server%20CD/MPE/Setup" TargetMode="External"/><Relationship Id="rId2560" Type="http://schemas.openxmlformats.org/officeDocument/2006/relationships/hyperlink" Target="../../../../../../../../../Releases/Projects/SLT/Release_For_LQA/Test_Build_1.0.0.24/Server%20CD/DBS/Setup" TargetMode="External"/><Relationship Id="rId2798" Type="http://schemas.openxmlformats.org/officeDocument/2006/relationships/hyperlink" Target="../../../../../../../../../Releases/Projects/TWC/Release_For_Test/Test_Build_1.0.0.4/Server%20CD/DBS/Setup" TargetMode="External"/><Relationship Id="rId118" Type="http://schemas.openxmlformats.org/officeDocument/2006/relationships/hyperlink" Target="../../../../../../../../../Releases/Product/WEB_CS/Build&amp;Release/Release%20For%20Test/TestBuild_2.1.15/Build4/ServerCD/GUI/Setup" TargetMode="External"/><Relationship Id="rId325" Type="http://schemas.openxmlformats.org/officeDocument/2006/relationships/hyperlink" Target="../../../../../../../../../Releases/Projects/TWC/Release_For_IT/Test_Build_1.0.0.3/Server%20CD/DBS/Setup" TargetMode="External"/><Relationship Id="rId532" Type="http://schemas.openxmlformats.org/officeDocument/2006/relationships/hyperlink" Target="../../../../../../../../../Releases/Projects/OBT/Release_For_LQA/TestBuild_1.0.0.4/Server%20CD/GUI/Setup" TargetMode="External"/><Relationship Id="rId977" Type="http://schemas.openxmlformats.org/officeDocument/2006/relationships/hyperlink" Target="../../../../../../../../../Releases/Projects/SLT/Release_For_LQA/Test_Build_1.0.0.23/Server%20CD/DBS/Setup" TargetMode="External"/><Relationship Id="rId1162" Type="http://schemas.openxmlformats.org/officeDocument/2006/relationships/hyperlink" Target="../../../../../../../../../Releases/Projects/SLT/Release_For_LQA/Test_Build_1.0.0.23/Server%20CD/DBS/Setup" TargetMode="External"/><Relationship Id="rId2006" Type="http://schemas.openxmlformats.org/officeDocument/2006/relationships/hyperlink" Target="../../../../../../../../../Releases/Projects/OBT/Release_For_IT/TestBuild_1.0.0.2/Server%20CD/DBS/Setup" TargetMode="External"/><Relationship Id="rId2213" Type="http://schemas.openxmlformats.org/officeDocument/2006/relationships/hyperlink" Target="../../../../../../../../../Releases/Product/Netmind_4.6/Build&amp;Release/ReleaseForTest/TestBuild_4.6.1/Build4/ServerCD/DBS/Setup" TargetMode="External"/><Relationship Id="rId2420" Type="http://schemas.openxmlformats.org/officeDocument/2006/relationships/hyperlink" Target="../../../../../../../../../Releases/Product/RT_4.0/ReleaseForLQA/TestBuild_4.0.24/DBS/Setup" TargetMode="External"/><Relationship Id="rId2658" Type="http://schemas.openxmlformats.org/officeDocument/2006/relationships/hyperlink" Target="../../../../../../../../../Releases/Projects/Comcast/Release_for_Test/Test_Build_4.6.9/Server%20CD/GUI/Setup" TargetMode="External"/><Relationship Id="rId837" Type="http://schemas.openxmlformats.org/officeDocument/2006/relationships/hyperlink" Target="../../../../../../../../../Releases/Projects/Comcast/Release_for_Test/Test_Build_4.6.4/Server%20CD/Database/Setup" TargetMode="External"/><Relationship Id="rId1022" Type="http://schemas.openxmlformats.org/officeDocument/2006/relationships/hyperlink" Target="../../../../../../../../../Releases/Projects/SLT/Release_For_LQA/Test_Build_1.0.0.23/Server%20CD/DBS/Setup" TargetMode="External"/><Relationship Id="rId1467" Type="http://schemas.openxmlformats.org/officeDocument/2006/relationships/hyperlink" Target="../../../../../../../../../Releases/Projects/SLT/Release_For_LQA/Test_Build_1.0.0.24/Server%20CD/DBS/Setup" TargetMode="External"/><Relationship Id="rId1674" Type="http://schemas.openxmlformats.org/officeDocument/2006/relationships/hyperlink" Target="../../../../../../../../../Releases/Projects/SLT/Release_For_IT/Test_Build_1.0.0.4/Server%20CD/DBS/Setup" TargetMode="External"/><Relationship Id="rId1881" Type="http://schemas.openxmlformats.org/officeDocument/2006/relationships/hyperlink" Target="../../../../../../../../../Releases/Projects/SLT/Release_For_IT/Test_Build_1.0.0.4/Server%20CD/DBS/Setup" TargetMode="External"/><Relationship Id="rId2518" Type="http://schemas.openxmlformats.org/officeDocument/2006/relationships/hyperlink" Target="../../../../../../../../../Releases/Product/WEB_CS/Build&amp;Release/Release%20For%20Test/TestBuild_2.1.23/ServerCD/GUI" TargetMode="External"/><Relationship Id="rId2725" Type="http://schemas.openxmlformats.org/officeDocument/2006/relationships/hyperlink" Target="../../../../../../../../../Releases/Projects/SLT/Release_For_IT/Test_Build_1.0.0.4/Server%20CD/DBS/Setup" TargetMode="External"/><Relationship Id="rId904" Type="http://schemas.openxmlformats.org/officeDocument/2006/relationships/hyperlink" Target="../../../../../../../../../Releases/Product/RevMind_2.1/Build&amp;Release/Release_For_LQA/Test_Build_1.0.2/Server%20CD/DBS/Setup" TargetMode="External"/><Relationship Id="rId1327" Type="http://schemas.openxmlformats.org/officeDocument/2006/relationships/hyperlink" Target="../../../../../../../../../Releases/Projects/Comcast/Release_for_Test/Test_Build_4.6.6/Server%20CD/Database/Setup" TargetMode="External"/><Relationship Id="rId1534" Type="http://schemas.openxmlformats.org/officeDocument/2006/relationships/hyperlink" Target="../../../../../../../../../Releases/Projects/TWC/Release_For_IT/Test_Build_1.0.0.3/Utility/Setup" TargetMode="External"/><Relationship Id="rId1741" Type="http://schemas.openxmlformats.org/officeDocument/2006/relationships/hyperlink" Target="../../../../../../../../../Releases/Projects/Comcast/Release_for_Test/Test_Build_4.6.6/Server%20CD/MPE/Setup" TargetMode="External"/><Relationship Id="rId1979" Type="http://schemas.openxmlformats.org/officeDocument/2006/relationships/hyperlink" Target="../../../../../../../../../Releases/Projects/TWC/Release_For_Test/Test_Build_1.0.0.4/Server%20CD/MPE/Setup" TargetMode="External"/><Relationship Id="rId33" Type="http://schemas.openxmlformats.org/officeDocument/2006/relationships/hyperlink" Target="../../../../../../../../../Releases/Projects/SLT-1B/Release_For_Test/Test_Build_1.0.0.1/Server%20CD/MPE/Setup" TargetMode="External"/><Relationship Id="rId1601" Type="http://schemas.openxmlformats.org/officeDocument/2006/relationships/hyperlink" Target="../../../../../../../../../Releases/Projects/Comcast/Release_For_IT/Test_Build_4.6.1/Server%20CD/Database/Setup" TargetMode="External"/><Relationship Id="rId1839" Type="http://schemas.openxmlformats.org/officeDocument/2006/relationships/hyperlink" Target="../../../../../../../../../Releases/Projects/Comcast/Release_for_Test/Test_Build_4.6.6/Server%20CD/Database/Setup" TargetMode="External"/><Relationship Id="rId182" Type="http://schemas.openxmlformats.org/officeDocument/2006/relationships/hyperlink" Target="../../../../../../../../../Releases/Projects/SLT/Release_For_IT/Test_Build_1.0.0.4/Server%20CD/DBS/Setup" TargetMode="External"/><Relationship Id="rId1906" Type="http://schemas.openxmlformats.org/officeDocument/2006/relationships/hyperlink" Target="../../../../../../../../../Releases/Projects/SLT/Release_For_IT/Test_Build_1.0.0.4/Server%20CD/DBS/Setup" TargetMode="External"/><Relationship Id="rId487" Type="http://schemas.openxmlformats.org/officeDocument/2006/relationships/hyperlink" Target="../../../../../../../../../Releases/Projects/SLT/Release_For_IT/Test_Build_1.0.0.4/Server%20CD/DBS/Setup" TargetMode="External"/><Relationship Id="rId694" Type="http://schemas.openxmlformats.org/officeDocument/2006/relationships/hyperlink" Target="../../../../../../../../../Releases/Projects/Comcast/Release_for_Test/Test_Build_4.6.2/Server%20CD/Database/Setup" TargetMode="External"/><Relationship Id="rId2070" Type="http://schemas.openxmlformats.org/officeDocument/2006/relationships/hyperlink" Target="../../../../../../../../../Releases/Projects/SLT/Release_For_LQA/Test_Build_1.0.0.24/Server%20CD/GUI/Setup" TargetMode="External"/><Relationship Id="rId2168" Type="http://schemas.openxmlformats.org/officeDocument/2006/relationships/hyperlink" Target="../../../../../../../../../Releases/Product/RT_4.0/ReleaseForIT/TestBuild_4.0.3/DBS/Setup" TargetMode="External"/><Relationship Id="rId2375" Type="http://schemas.openxmlformats.org/officeDocument/2006/relationships/hyperlink" Target="../../../../../../../../../Releases/Projects/SLT/Release_For_IT/Test_Build_1.0.0.4/Server%20CD/DBS/Setup" TargetMode="External"/><Relationship Id="rId347" Type="http://schemas.openxmlformats.org/officeDocument/2006/relationships/hyperlink" Target="../../../../../../../../../Releases/Projects/Comcast/Release_for_Test/Test_Build_4.6.1/Utility/Setup" TargetMode="External"/><Relationship Id="rId999" Type="http://schemas.openxmlformats.org/officeDocument/2006/relationships/hyperlink" Target="../../../../../../../../../Releases/Projects/Comcast/Release_for_Test/Test_Build_4.6.5/Server%20CD/Database/Setup" TargetMode="External"/><Relationship Id="rId1184" Type="http://schemas.openxmlformats.org/officeDocument/2006/relationships/hyperlink" Target="../../../../../../../../../Releases/Projects/SLT-1B/Release_For_Test/Test_Build_1.0.0.1/Server%20CD/MPE/Setup" TargetMode="External"/><Relationship Id="rId2028" Type="http://schemas.openxmlformats.org/officeDocument/2006/relationships/hyperlink" Target="../../../../../../../../../Releases/Projects/TLSTR-ST/Release_For_Test/Test_Build_1.0.1/Server%20CD/DBS/Setup" TargetMode="External"/><Relationship Id="rId2582" Type="http://schemas.openxmlformats.org/officeDocument/2006/relationships/hyperlink" Target="../../../../../../../../../Releases/Projects/Comcast/Release_for_Test/Test_Build_4.6.7/Server%20CD/Database/Setup" TargetMode="External"/><Relationship Id="rId554" Type="http://schemas.openxmlformats.org/officeDocument/2006/relationships/hyperlink" Target="../../../../../../../../../Releases/Projects/Telstra/Release_For_LQA/Test_Build_1.0.0.18/Server%20CD/DBS/Setup" TargetMode="External"/><Relationship Id="rId761" Type="http://schemas.openxmlformats.org/officeDocument/2006/relationships/hyperlink" Target="../../../../../../../../../Releases/Projects/SLT/Release_For_LQA/Test_Build_1.0.0.23/Server%20CD/DBS/Setup" TargetMode="External"/><Relationship Id="rId859" Type="http://schemas.openxmlformats.org/officeDocument/2006/relationships/hyperlink" Target="../../../../../../../../../Releases/Product/RE_1.0/ReleaseForLQA/TestBuild_1.0.1/GUI/Setup" TargetMode="External"/><Relationship Id="rId1391" Type="http://schemas.openxmlformats.org/officeDocument/2006/relationships/hyperlink" Target="../../../../../../../../../Releases/Projects/OBT/Release_For_LQA/TestBuild_1.0.0.6/Server%20CD/DBS/Setup" TargetMode="External"/><Relationship Id="rId1489" Type="http://schemas.openxmlformats.org/officeDocument/2006/relationships/hyperlink" Target="../../../../../../../../../Releases/Projects/TWC/Release_For_Test/Test_Build_1.0.0.4/Utility/Setup" TargetMode="External"/><Relationship Id="rId1696" Type="http://schemas.openxmlformats.org/officeDocument/2006/relationships/hyperlink" Target="../../../../../../../../../Releases/Projects/BHN/Release_For_Test/Test_Build_1.0.1/Server%20CD/Utility/Setup" TargetMode="External"/><Relationship Id="rId2235" Type="http://schemas.openxmlformats.org/officeDocument/2006/relationships/hyperlink" Target="../../../../../../../../../Releases/Projects/SLT/Release_For_LQA/Test_Build_1.0.0.24/Server%20CD/DBS/Setup" TargetMode="External"/><Relationship Id="rId2442" Type="http://schemas.openxmlformats.org/officeDocument/2006/relationships/hyperlink" Target="../../../../../../../../../Releases/Projects/TLSTR-ST/Release_For_Test/Test_Build_1.0.1/Server%20CD/DBS/Setup" TargetMode="External"/><Relationship Id="rId207" Type="http://schemas.openxmlformats.org/officeDocument/2006/relationships/hyperlink" Target="../../../../../../../../../Releases/Projects/TWC/Release_For_Test/Test_Build_1.0.0.4/Server%20CD/GUI/Setup" TargetMode="External"/><Relationship Id="rId414" Type="http://schemas.openxmlformats.org/officeDocument/2006/relationships/hyperlink" Target="../../../../../../../../../Projects/Neustar/BHN/Build&amp;Release/Release%20For%20Test/Test_Build_3.5.37/Server%20CD/Database/Setup" TargetMode="External"/><Relationship Id="rId621" Type="http://schemas.openxmlformats.org/officeDocument/2006/relationships/hyperlink" Target="../../../../../../../../../Releases/Projects/Comcast/Release_for_Test/Test_Build_4.6.2/Server%20CD/GUI/Setup" TargetMode="External"/><Relationship Id="rId1044" Type="http://schemas.openxmlformats.org/officeDocument/2006/relationships/hyperlink" Target="../../../../../../../../../Releases/Projects/Comcast/Release_for_Test/Test_Build_4.6.5/Server%20CD/Database/Setup" TargetMode="External"/><Relationship Id="rId1251" Type="http://schemas.openxmlformats.org/officeDocument/2006/relationships/hyperlink" Target="../../../../../../../../../Releases/Projects/OBT/Release_For_IT/TestBuild_1.0.0.2/Server%20CD/DBS/Setup" TargetMode="External"/><Relationship Id="rId1349" Type="http://schemas.openxmlformats.org/officeDocument/2006/relationships/hyperlink" Target="../../../../../../../../../Releases/Projects/Telstra-2b/Release_For_Test/Test_Build_1.0.0.1/Server%20CD/MPE/Setup" TargetMode="External"/><Relationship Id="rId2302" Type="http://schemas.openxmlformats.org/officeDocument/2006/relationships/hyperlink" Target="../../../../../../../../../Releases/Projects/SLT/Release_For_LQA/Test_Build_1.0.0.24/Server%20CD/DBS/Setup" TargetMode="External"/><Relationship Id="rId2747" Type="http://schemas.openxmlformats.org/officeDocument/2006/relationships/hyperlink" Target="../../../../../../../../../Releases/Projects/OBT/Release_For_LQA/TestBuild_1.0.0.7/Server%20CD/DBS/Setup" TargetMode="External"/><Relationship Id="rId719" Type="http://schemas.openxmlformats.org/officeDocument/2006/relationships/hyperlink" Target="../../../../../../../../../Releases/Projects/OBT/Release_For_LQA/TestBuild_1.0.0.4/Utility/Setup" TargetMode="External"/><Relationship Id="rId926" Type="http://schemas.openxmlformats.org/officeDocument/2006/relationships/hyperlink" Target="../../../../../../../../../Releases/Projects/Comcast/Release_For_IT/Test_Build_4.6.1/Server%20CD/Database/Setup" TargetMode="External"/><Relationship Id="rId1111" Type="http://schemas.openxmlformats.org/officeDocument/2006/relationships/hyperlink" Target="../../../../../../../../../Releases/Projects/Comcast/Release_For_IT/Test_Build_4.6.1/Server%20CD/Database/Setup" TargetMode="External"/><Relationship Id="rId1556" Type="http://schemas.openxmlformats.org/officeDocument/2006/relationships/hyperlink" Target="../../../../../../../../../Releases/Projects/Telstra/Release_For_LQA/Test_Build_1.0.0.18/Server%20CD/DBS/Setup" TargetMode="External"/><Relationship Id="rId1763" Type="http://schemas.openxmlformats.org/officeDocument/2006/relationships/hyperlink" Target="../../../../../../../../../Releases/Projects/TLSTR-ST/Release_For_Test/Test_Build_1.0.1/Server%20CD/DBS/Setup" TargetMode="External"/><Relationship Id="rId1970" Type="http://schemas.openxmlformats.org/officeDocument/2006/relationships/hyperlink" Target="../../../../../../../../../Releases/Projects/FNB/Release_For_Test/Test_Build_1.0.1/Server%20CD/DBS/Setup" TargetMode="External"/><Relationship Id="rId2607" Type="http://schemas.openxmlformats.org/officeDocument/2006/relationships/hyperlink" Target="../../../../../../../../../Releases/Projects/SLT/Release_For_LQA/Test_Build_1.0.0.24/Server%20CD/DBS/Setup" TargetMode="External"/><Relationship Id="rId2814" Type="http://schemas.openxmlformats.org/officeDocument/2006/relationships/hyperlink" Target="../../../../../../../../../Releases/Projects/Telstra-2b/Release_For_Test/Test_Build_1.0.0.1/Server%20CD/MPE/Setup" TargetMode="External"/><Relationship Id="rId55" Type="http://schemas.openxmlformats.org/officeDocument/2006/relationships/hyperlink" Target="../../../../../../../../../Releases/Product/WEB_WFS/Build&amp;Release/Release%20For%20Test/TestBuild_2.1.21/Build1/ServerCD/GUI/Setup" TargetMode="External"/><Relationship Id="rId1209" Type="http://schemas.openxmlformats.org/officeDocument/2006/relationships/hyperlink" Target="../../../../../../../../../Releases/Projects/SLT/Release_For_IT/Test_Build_1.0.0.4/Server%20CD/DBS/Setup" TargetMode="External"/><Relationship Id="rId1416" Type="http://schemas.openxmlformats.org/officeDocument/2006/relationships/hyperlink" Target="../../../../../../../../../Releases/Projects/SLT/Release_For_IT/Test_Build_1.0.0.4/Server%20CD/DBS/Setup" TargetMode="External"/><Relationship Id="rId1623" Type="http://schemas.openxmlformats.org/officeDocument/2006/relationships/hyperlink" Target="../../../../../../../../../Releases/Projects/BHN/Release_For_Test/Test_Build_1.0.1/Server%20CD/DBS/Setup" TargetMode="External"/><Relationship Id="rId1830" Type="http://schemas.openxmlformats.org/officeDocument/2006/relationships/hyperlink" Target="../../../../../../../../../Releases/Projects/TLSTR-ST/Release_For_Test/Test_Build_1.0.1/Server%20CD/MPE/Setup" TargetMode="External"/><Relationship Id="rId1928" Type="http://schemas.openxmlformats.org/officeDocument/2006/relationships/hyperlink" Target="../../../../../../../../../Releases/Projects/SLT/Release_For_IT/Test_Build_1.0.0.4/Server%20CD/DBS/Setup" TargetMode="External"/><Relationship Id="rId2092" Type="http://schemas.openxmlformats.org/officeDocument/2006/relationships/hyperlink" Target="../../../../../../../../../Releases/Product/WEB_WFS/Build&amp;Release/Release%20For%20Test/TestBuild_2.1.35/ServerCD/GUI/Setup" TargetMode="External"/><Relationship Id="rId271" Type="http://schemas.openxmlformats.org/officeDocument/2006/relationships/hyperlink" Target="../../../../../../../../../Releases/Projects/TWC/Release_For_Test/Test_Build_1.0.0.4/Server%20CD/GUI/Setup" TargetMode="External"/><Relationship Id="rId2397" Type="http://schemas.openxmlformats.org/officeDocument/2006/relationships/hyperlink" Target="../../../../../../../../../Releases/Projects/SLT/Release_For_LQA/Test_Build_1.0.0.24/Server%20CD/DBS/Setup" TargetMode="External"/><Relationship Id="rId131" Type="http://schemas.openxmlformats.org/officeDocument/2006/relationships/hyperlink" Target="../../../../../../../../../Releases/Projects/TWC/Release_For_Test/Test_Build_1.0.0.4/Server%20CD/DBS/Setup" TargetMode="External"/><Relationship Id="rId369" Type="http://schemas.openxmlformats.org/officeDocument/2006/relationships/hyperlink" Target="../../../../../../../../../Releases/Projects/Comcast/Release_for_Test/Test_Build_4.6.1/Server%20CD/Database/Setup" TargetMode="External"/><Relationship Id="rId576" Type="http://schemas.openxmlformats.org/officeDocument/2006/relationships/hyperlink" Target="../../../../../../../../../Releases/Projects/OBT/Release_For_LQA/TestBuild_1.0.0.4/Server%20CD/DBS/Setup" TargetMode="External"/><Relationship Id="rId783" Type="http://schemas.openxmlformats.org/officeDocument/2006/relationships/hyperlink" Target="../../../../../../../../../Releases/Projects/SLT/Release_For_LQA/Test_Build_1.0.0.23/Server%20CD/GUI/Setup" TargetMode="External"/><Relationship Id="rId990" Type="http://schemas.openxmlformats.org/officeDocument/2006/relationships/hyperlink" Target="../../../../../../../../../Releases/Projects/SLT/Release_For_IT/Test_Build_1.0.0.4/Server%20CD/DBS/Setup" TargetMode="External"/><Relationship Id="rId2257" Type="http://schemas.openxmlformats.org/officeDocument/2006/relationships/hyperlink" Target="../../../../../../../../../Releases/Projects/Vonage/Release_For_LQA/Test_Build_4.0.16/Server%20CD/MPE/Setup" TargetMode="External"/><Relationship Id="rId2464" Type="http://schemas.openxmlformats.org/officeDocument/2006/relationships/hyperlink" Target="../../../../../../../../../Releases/Projects/SLT/Release_For_LQA/Test_Build_1.0.0.24/Server%20CD/DBS/Setup" TargetMode="External"/><Relationship Id="rId2671" Type="http://schemas.openxmlformats.org/officeDocument/2006/relationships/hyperlink" Target="../../../../../../../../../Releases/Projects/MTS/Release%20For%20IT/Test_Build_3.0.5.25/Server%20CD/Database/Setup" TargetMode="External"/><Relationship Id="rId229" Type="http://schemas.openxmlformats.org/officeDocument/2006/relationships/hyperlink" Target="../../../../../../../../../Releases/Projects/SLT-1B/Release_For_Test/Test_Build_1.0.0.1/Server%20CD/MPE/Setup" TargetMode="External"/><Relationship Id="rId436" Type="http://schemas.openxmlformats.org/officeDocument/2006/relationships/hyperlink" Target="../../../../../../../../../Releases/Projects/SLT-1B/Release_For_Test/Test_Build_1.0.0.1/Server%20CD/MPE/Setup" TargetMode="External"/><Relationship Id="rId643" Type="http://schemas.openxmlformats.org/officeDocument/2006/relationships/hyperlink" Target="../../../../../../../../../Releases/Product/RE_1.0/ReleaseForLQA/TestBuild_1.0.1/GUI/Setup" TargetMode="External"/><Relationship Id="rId1066" Type="http://schemas.openxmlformats.org/officeDocument/2006/relationships/hyperlink" Target="../../../../../../../../../Releases/Projects/OBT/Release_For_LQA/TestBuild_1.0.0.6/Server%20CD/DBS/Setup" TargetMode="External"/><Relationship Id="rId1273" Type="http://schemas.openxmlformats.org/officeDocument/2006/relationships/hyperlink" Target="../../../../../../../../../Releases/Projects/TWC/Release_For_Test/Test_Build_1.0.0.4/Server%20CD/MPE/Setup" TargetMode="External"/><Relationship Id="rId1480" Type="http://schemas.openxmlformats.org/officeDocument/2006/relationships/hyperlink" Target="../../../../../../../../../Releases/Projects/SLT-1B/Release_For_Test/Test_Build_1.0.0.1/Server%20CD/MPE/Setup" TargetMode="External"/><Relationship Id="rId2117" Type="http://schemas.openxmlformats.org/officeDocument/2006/relationships/hyperlink" Target="../../../../../../../../../Releases/Projects/OBT/Release_For_IT/TestBuild_1.0.0.2/Server%20CD/DBS/Setup" TargetMode="External"/><Relationship Id="rId2324" Type="http://schemas.openxmlformats.org/officeDocument/2006/relationships/hyperlink" Target="../../../../../../../../../Releases/Projects/TWC/Release_For_Test/Test_Build_1.0.0.4/Server%20CD/MPE/Setup" TargetMode="External"/><Relationship Id="rId2769" Type="http://schemas.openxmlformats.org/officeDocument/2006/relationships/hyperlink" Target="../../../../../../../../../Releases/Projects/SLT/Release_For_IT/Test_Build_1.0.0.4/Server%20CD/DBS/Setup" TargetMode="External"/><Relationship Id="rId850" Type="http://schemas.openxmlformats.org/officeDocument/2006/relationships/hyperlink" Target="../../../../../../../../../Releases/Product/Netmind_4.6/Build&amp;Release/ReleaseForIT/TestBuild_4.6.1/Build4/ServerCD/DBS/Setup" TargetMode="External"/><Relationship Id="rId948" Type="http://schemas.openxmlformats.org/officeDocument/2006/relationships/hyperlink" Target="../../../../../../../../../Releases/Product/MPE_3.2/ReleaseForLQA/TestBuild_3.2.1/Build2/ServerCD/Setup/RHEL_5.1" TargetMode="External"/><Relationship Id="rId1133" Type="http://schemas.openxmlformats.org/officeDocument/2006/relationships/hyperlink" Target="../../../../../../../../../Releases/Projects/ANTEL/Release_For_IT/TestBuild_1.0.0.4/Server%20CD/DBS/Setup" TargetMode="External"/><Relationship Id="rId1578" Type="http://schemas.openxmlformats.org/officeDocument/2006/relationships/hyperlink" Target="../../../../../../../../../Releases/Projects/OBT/Release_For_LQA/TestBuild_1.0.0.6/Server%20CD/DBS/Setup" TargetMode="External"/><Relationship Id="rId1701" Type="http://schemas.openxmlformats.org/officeDocument/2006/relationships/hyperlink" Target="../../../../../../../../../Releases/Projects/TWC/Release_For_IT/Test_Build_1.0.0.3/Server%20CD/DBS/Setup" TargetMode="External"/><Relationship Id="rId1785" Type="http://schemas.openxmlformats.org/officeDocument/2006/relationships/hyperlink" Target="../../../../../../../../../Releases/Projects/Comcast/Release_for_Test/Test_Build_4.6.6/Server%20CD/Database/Setup" TargetMode="External"/><Relationship Id="rId1992" Type="http://schemas.openxmlformats.org/officeDocument/2006/relationships/hyperlink" Target="../../../../../../../../../Releases/Projects/Telstra/Release_For_IT/Test_Build_1.0.0.18/Server%20CD/DBS/Setup" TargetMode="External"/><Relationship Id="rId2531" Type="http://schemas.openxmlformats.org/officeDocument/2006/relationships/hyperlink" Target="../../../../../../../../../Releases/Product/Netmind_4.8/Build&amp;Release/Release_For_LQA/Test_Build_1.0.1/Server%20CD/DBS/Setup" TargetMode="External"/><Relationship Id="rId2629" Type="http://schemas.openxmlformats.org/officeDocument/2006/relationships/hyperlink" Target="../../../../../../../../../Releases/Projects/SLT/Release_For_IT/Test_Build_1.0.0.4/Server%20CD/DBS/Setup" TargetMode="External"/><Relationship Id="rId77" Type="http://schemas.openxmlformats.org/officeDocument/2006/relationships/hyperlink" Target="../../../../../../../../../Releases/Projects/TWC/Release_For_IT/Test_Build_1.0.0.3/Server%20CD/DBS/Setup" TargetMode="External"/><Relationship Id="rId282" Type="http://schemas.openxmlformats.org/officeDocument/2006/relationships/hyperlink" Target="../../../../../../../../../Releases/Projects/NM46/Release_For_Test/Test_Build_1.0.0.1/Server%20CD/MPE/Setup" TargetMode="External"/><Relationship Id="rId503" Type="http://schemas.openxmlformats.org/officeDocument/2006/relationships/hyperlink" Target="../../../../../../../../../Releases/Projects/Telenet/Build&amp;Release/Release%20For%20Test/Test_Build_4.0.41/Client%20CD/GUI/Configuration%20System/Setup" TargetMode="External"/><Relationship Id="rId587" Type="http://schemas.openxmlformats.org/officeDocument/2006/relationships/hyperlink" Target="../../../../../../../../../Releases/Product/RE_1.0/ReleaseForIT/TestBuild_1.0.1/DBS/Build4/Setup" TargetMode="External"/><Relationship Id="rId710" Type="http://schemas.openxmlformats.org/officeDocument/2006/relationships/hyperlink" Target="../../../../../../../../../Releases/Projects/Comcast/Release_for_Test/Test_Build_4.6.3/Server%20CD/Database/Setup" TargetMode="External"/><Relationship Id="rId808" Type="http://schemas.openxmlformats.org/officeDocument/2006/relationships/hyperlink" Target="../../../../../../../../../Releases/Projects/Telstra-2b/Release_For_Test/Test_Build_1.0.0.1/Server%20CD/MPE/Setup" TargetMode="External"/><Relationship Id="rId1340" Type="http://schemas.openxmlformats.org/officeDocument/2006/relationships/hyperlink" Target="../../../../../../../../../Releases/Projects/Comcast/Release_for_Test/Test_Build_4.6.6/Server%20CD/Database/Setup" TargetMode="External"/><Relationship Id="rId1438" Type="http://schemas.openxmlformats.org/officeDocument/2006/relationships/hyperlink" Target="../../../../../../../../../Releases/Projects/Comcast/Release_For_IT/Test_Build_4.6.1/Server%20CD/Database/Setup" TargetMode="External"/><Relationship Id="rId1645" Type="http://schemas.openxmlformats.org/officeDocument/2006/relationships/hyperlink" Target="../../../../../../../../../Projects/Neustar/BHN/Build&amp;Release/Release%20For%20IT/Test_Build_3.5.37/Server%20CD/Database/Setup" TargetMode="External"/><Relationship Id="rId2170" Type="http://schemas.openxmlformats.org/officeDocument/2006/relationships/hyperlink" Target="../../../../../../../../../Releases/Projects/SLT/Release_For_IT/Test_Build_1.0.0.4/Server%20CD/DBS/Setup" TargetMode="External"/><Relationship Id="rId2268" Type="http://schemas.openxmlformats.org/officeDocument/2006/relationships/hyperlink" Target="../../../../../../../../../Releases/Projects/OBT/Release_For_IT/TestBuild_1.0.0.2/Server%20CD/DBS/Setup" TargetMode="External"/><Relationship Id="rId8" Type="http://schemas.openxmlformats.org/officeDocument/2006/relationships/hyperlink" Target="../../../../../../../../../Releases/Projects/OBT/Release_For_IT/TestBuild_1.0.0.2/Server%20CD/DBS/Setup" TargetMode="External"/><Relationship Id="rId142" Type="http://schemas.openxmlformats.org/officeDocument/2006/relationships/hyperlink" Target="../../../../../../../../../Releases/Projects/Comcast/Release_for_Test/Test_Build_3.5.50/Server%20CD/Database/Setup" TargetMode="External"/><Relationship Id="rId447" Type="http://schemas.openxmlformats.org/officeDocument/2006/relationships/hyperlink" Target="../../../../../../../../../Releases/Projects/Telstra/Release_For_LQA/Test_Build_1.0.0.18/Server%20CD/DBS/Setup" TargetMode="External"/><Relationship Id="rId794" Type="http://schemas.openxmlformats.org/officeDocument/2006/relationships/hyperlink" Target="../../../../../../../../../Releases/Projects/Telstra/Release_For_IT/Test_Build_1.0.0.18/Server%20CD/DBS/Setup" TargetMode="External"/><Relationship Id="rId1077" Type="http://schemas.openxmlformats.org/officeDocument/2006/relationships/hyperlink" Target="../../../../../../../../../Releases/Projects/SLT/Release_For_LQA/Test_Build_1.0.0.23/Server%20CD/DBS/Setup" TargetMode="External"/><Relationship Id="rId1200" Type="http://schemas.openxmlformats.org/officeDocument/2006/relationships/hyperlink" Target="../../../../../../../../../Releases/Projects/Comcast/Release_for_Test/Test_Build_4.6.5/Server%20CD/Database/Setup" TargetMode="External"/><Relationship Id="rId1852" Type="http://schemas.openxmlformats.org/officeDocument/2006/relationships/hyperlink" Target="../../../../../../../../../Releases/Product/IM_1.0/Build&amp;Release/Release_For_LQA/Test_Build_1.0.1/Server%20CD/IM/Setup" TargetMode="External"/><Relationship Id="rId2030" Type="http://schemas.openxmlformats.org/officeDocument/2006/relationships/hyperlink" Target="../../../../../../../../../Releases/Projects/FNB/Release_For_Test/Test_Build_1.0.1/Server%20CD/DBS/Setup" TargetMode="External"/><Relationship Id="rId2128" Type="http://schemas.openxmlformats.org/officeDocument/2006/relationships/hyperlink" Target="../../../../../../../../../Releases/Projects/TWC/Release_For_Test/Test_Build_1.0.0.4/Server%20CD/DBS/Setup" TargetMode="External"/><Relationship Id="rId2475" Type="http://schemas.openxmlformats.org/officeDocument/2006/relationships/hyperlink" Target="../../../../../../../../../Releases/Projects/SLT/Release_For_LQA/Test_Build_1.0.0.24/Server%20CD/DBS/Setup" TargetMode="External"/><Relationship Id="rId2682" Type="http://schemas.openxmlformats.org/officeDocument/2006/relationships/hyperlink" Target="../../../../../../../../../Releases/Projects/Telstra-2b/Release_For_Test/Test_Build_1.0.0.1/Server%20CD/MPE/Setup" TargetMode="External"/><Relationship Id="rId654" Type="http://schemas.openxmlformats.org/officeDocument/2006/relationships/hyperlink" Target="../../../../../../../../../Releases/Projects/SLT/Release_For_LQA/Test_Build_1.0.0.22/Server%20CD/DBS/Setup" TargetMode="External"/><Relationship Id="rId861" Type="http://schemas.openxmlformats.org/officeDocument/2006/relationships/hyperlink" Target="../../../../../../../../../Releases/Projects/OBT/Release_For_LQA/TestBuild_1.0.0.4/Server%20CD/DBS/Setup" TargetMode="External"/><Relationship Id="rId959" Type="http://schemas.openxmlformats.org/officeDocument/2006/relationships/hyperlink" Target="../../../../../../../../../Releases/Projects/SLT/Release_For_LQA/Test_Build_1.0.0.23/Server%20CD/DBS/Setup" TargetMode="External"/><Relationship Id="rId1284" Type="http://schemas.openxmlformats.org/officeDocument/2006/relationships/hyperlink" Target="../../../../../../../../../Releases/Projects/Telstra/Release_For_LQA/Test_Build_1.0.0.18/Server%20CD/DBS/Setup" TargetMode="External"/><Relationship Id="rId1491" Type="http://schemas.openxmlformats.org/officeDocument/2006/relationships/hyperlink" Target="../../../../../../../../../Releases/Projects/Comcast/Release_for_Test/Test_Build_4.6.6/Server%20CD/Database/Setup" TargetMode="External"/><Relationship Id="rId1505" Type="http://schemas.openxmlformats.org/officeDocument/2006/relationships/hyperlink" Target="../../../../../../../../../Releases/Projects/Comcast/Release_For_IT/Test_Build_3.5.50/Server%20CD/Database/Setup" TargetMode="External"/><Relationship Id="rId1589" Type="http://schemas.openxmlformats.org/officeDocument/2006/relationships/hyperlink" Target="../../../../../../../../../Releases/Projects/SLT/Release_For_IT/Test_Build_1.0.0.4/Server%20CD/DBS/Setup" TargetMode="External"/><Relationship Id="rId1712" Type="http://schemas.openxmlformats.org/officeDocument/2006/relationships/hyperlink" Target="../../../../../../../../../Releases/Projects/BHN/Release_For_Test/Test_Build_1.0.1/Server%20CD/Utility/Setup" TargetMode="External"/><Relationship Id="rId2335" Type="http://schemas.openxmlformats.org/officeDocument/2006/relationships/hyperlink" Target="../../../../../../../../../Releases/Product/MEDGUI_1.1/Build&amp;Release/Release_For_LQA/Test_Build_1.0.1/Server%20CD/MPE/Setup/RHEL_6.3" TargetMode="External"/><Relationship Id="rId2542" Type="http://schemas.openxmlformats.org/officeDocument/2006/relationships/hyperlink" Target="../../../../../../../../../Releases/Projects/TLSTR-ST/Release_For_IT/TestBuild_1.0.1/Server%20CD/DBS/Setup" TargetMode="External"/><Relationship Id="rId293" Type="http://schemas.openxmlformats.org/officeDocument/2006/relationships/hyperlink" Target="../../../../../../../../../Releases/Projects/Vonage/Release_For_LQA/Test_Build_4.0.16/Server%20CD/DBS/Setup" TargetMode="External"/><Relationship Id="rId307" Type="http://schemas.openxmlformats.org/officeDocument/2006/relationships/hyperlink" Target="../../../../../../../../../Releases/Projects/Comcast/Release_For_IT/Test_Build_4.6.1/Server%20CD/Database/Setup" TargetMode="External"/><Relationship Id="rId514" Type="http://schemas.openxmlformats.org/officeDocument/2006/relationships/hyperlink" Target="../../../../../../../../../Releases/Product/MPE_GUI/ReleaseForLQA/TestBuild_1.0.0.2/Server%20CD/MPE/Setup" TargetMode="External"/><Relationship Id="rId721" Type="http://schemas.openxmlformats.org/officeDocument/2006/relationships/hyperlink" Target="../../../../../../../../../Releases/Projects/Comcast/Release_For_IT/Test_Build_4.6.1/Server%20CD/Database/Setup" TargetMode="External"/><Relationship Id="rId1144" Type="http://schemas.openxmlformats.org/officeDocument/2006/relationships/hyperlink" Target="../../../../../../../../../Releases/Projects/Comcast/Release_for_Test/Test_Build_4.6.5/Server%20CD/Database/Setup" TargetMode="External"/><Relationship Id="rId1351" Type="http://schemas.openxmlformats.org/officeDocument/2006/relationships/hyperlink" Target="../../../../../../../../../Releases/Product/NetMindPOS_1.3/Build&amp;Release/Release_For_LQA/Test_Build_1.0.2/Server%20CD/DBS/Setup" TargetMode="External"/><Relationship Id="rId1449" Type="http://schemas.openxmlformats.org/officeDocument/2006/relationships/hyperlink" Target="../../../../../../../../../Releases/Projects/Telstra/Release_For_LQA/Test_Build_1.0.0.18/Server%20CD/DBS/Setup" TargetMode="External"/><Relationship Id="rId1796" Type="http://schemas.openxmlformats.org/officeDocument/2006/relationships/hyperlink" Target="../../../../../../../../../Releases/Product/Netmind_4.7/Build&amp;Release/Release_For_LQA/Test_Build_1.0.1/Server%20CD/DBS/Setup" TargetMode="External"/><Relationship Id="rId2181" Type="http://schemas.openxmlformats.org/officeDocument/2006/relationships/hyperlink" Target="../../../../../../../../../Releases/Projects/Comcast/Release_for_Test/Test_Build_4.6.7/Server%20CD/GUI/Setup" TargetMode="External"/><Relationship Id="rId2402" Type="http://schemas.openxmlformats.org/officeDocument/2006/relationships/hyperlink" Target="../../../../../../../../../Releases/Product/RE_1.0/ReleaseForLQA/TestBuild_1.0.1/GUI/Setup" TargetMode="External"/><Relationship Id="rId88" Type="http://schemas.openxmlformats.org/officeDocument/2006/relationships/hyperlink" Target="../../../../../../../../../Releases/Product/Netmind_4.6/Build&amp;Release/ReleaseForTest/TestBuild_4.6.1/Build4/ServerCD/DBS/Setup" TargetMode="External"/><Relationship Id="rId153" Type="http://schemas.openxmlformats.org/officeDocument/2006/relationships/hyperlink" Target="../../../../../../../../../Releases/Projects/SLT-1B/Release_For_Test/Test_Build_1.0.0.1/Server%20CD/MPE/Setup" TargetMode="External"/><Relationship Id="rId360" Type="http://schemas.openxmlformats.org/officeDocument/2006/relationships/hyperlink" Target="../../../../../../../../../Releases/Projects/Comcast/Release_for_Test/Test_Build_4.6.1/Server%20CD/Database/Setup" TargetMode="External"/><Relationship Id="rId598" Type="http://schemas.openxmlformats.org/officeDocument/2006/relationships/hyperlink" Target="../../../../../../../../../Releases/Projects/Telstra/Release_For_LQA/Test_Build_1.0.0.18/Server%20CD/DBS/Setup" TargetMode="External"/><Relationship Id="rId819" Type="http://schemas.openxmlformats.org/officeDocument/2006/relationships/hyperlink" Target="../../../../../../../../../Releases/Product/RE_1.0/ReleaseForLQA/TestBuild_1.0.1/DBS/Build4/Setup" TargetMode="External"/><Relationship Id="rId1004" Type="http://schemas.openxmlformats.org/officeDocument/2006/relationships/hyperlink" Target="../../../../../../../../../Releases/Projects/SLT/Release_For_LQA/Test_Build_1.0.0.23/Server%20CD/DBS/Setup" TargetMode="External"/><Relationship Id="rId1211" Type="http://schemas.openxmlformats.org/officeDocument/2006/relationships/hyperlink" Target="../../../../../../../../../Releases/Projects/Comcast/Release_for_Test/Test_Build_4.6.5/Server%20CD/MPE/Setup" TargetMode="External"/><Relationship Id="rId1656" Type="http://schemas.openxmlformats.org/officeDocument/2006/relationships/hyperlink" Target="../../../../../../../../../Releases/Projects/SLT/Release_For_IT/Test_Build_1.0.0.4/Server%20CD/DBS/Setup" TargetMode="External"/><Relationship Id="rId1863" Type="http://schemas.openxmlformats.org/officeDocument/2006/relationships/hyperlink" Target="../../../../../../../../../Releases/Projects/Comcast/Release_For_IT/Test_Build_4.6.1/Server%20CD/Database/Setup" TargetMode="External"/><Relationship Id="rId2041" Type="http://schemas.openxmlformats.org/officeDocument/2006/relationships/hyperlink" Target="../../../../../../../../../Releases/Product/WEB_WFS/Build&amp;Release/Release%20For%20Test/TestBuild_2.1.35/ServerCD/GUI/Setup" TargetMode="External"/><Relationship Id="rId2279" Type="http://schemas.openxmlformats.org/officeDocument/2006/relationships/hyperlink" Target="../../../../../../../../../Releases/Projects/FNB/Release_For_Test/Test_Build_1.0.1/Server%20CD/MPE/Setup" TargetMode="External"/><Relationship Id="rId2486" Type="http://schemas.openxmlformats.org/officeDocument/2006/relationships/hyperlink" Target="../../../../../../../../../Releases/Projects/MAC/Release_For_Test/Test_Build_1.0.1/Server%20CD/GUI/Setup" TargetMode="External"/><Relationship Id="rId2693" Type="http://schemas.openxmlformats.org/officeDocument/2006/relationships/hyperlink" Target="../../../../../../../../../Releases/Projects/ANTEL/Release_For_Test/Test_Build_1.0.0.7/Server%20CD/MPE/Setup%0d" TargetMode="External"/><Relationship Id="rId2707" Type="http://schemas.openxmlformats.org/officeDocument/2006/relationships/hyperlink" Target="../../../../../../../../../Releases/Projects/FNB/Release_For_IT/TestBuild_1.0.1/Server%20CD/DBS/Setup" TargetMode="External"/><Relationship Id="rId220" Type="http://schemas.openxmlformats.org/officeDocument/2006/relationships/hyperlink" Target="../../../../../../../../../Releases/Projects/Comcast/Release_For_IT/Test_Build_3.5.50/Utility/Setup" TargetMode="External"/><Relationship Id="rId458" Type="http://schemas.openxmlformats.org/officeDocument/2006/relationships/hyperlink" Target="../../../../../../../../../Releases/Projects/SLT/Release_For_LQA/Test_Build_1.0.0.19/Server%20CD/DBS/Setup" TargetMode="External"/><Relationship Id="rId665" Type="http://schemas.openxmlformats.org/officeDocument/2006/relationships/hyperlink" Target="../../../../../../../../../Projects/Neustar/BHN/Build&amp;Release/Release%20For%20IT/Test_Build_3.5.37/Server%20CD/Database/Setup" TargetMode="External"/><Relationship Id="rId872" Type="http://schemas.openxmlformats.org/officeDocument/2006/relationships/hyperlink" Target="../../../../../../../../../Releases/Projects/SLT/Release_For_LQA/Test_Build_1.0.0.23/Server%20CD/GUI/Setup" TargetMode="External"/><Relationship Id="rId1088" Type="http://schemas.openxmlformats.org/officeDocument/2006/relationships/hyperlink" Target="../../../../../../../../../Releases/Projects/SLT/Release_For_LQA/Test_Build_1.0.0.23/Server%20CD/GUI/Setup" TargetMode="External"/><Relationship Id="rId1295" Type="http://schemas.openxmlformats.org/officeDocument/2006/relationships/hyperlink" Target="../../../../../../../../../Releases/Projects/Comcast/Release_For_IT/Test_Build_4.6.1/Server%20CD/Database/Setup" TargetMode="External"/><Relationship Id="rId1309" Type="http://schemas.openxmlformats.org/officeDocument/2006/relationships/hyperlink" Target="../../../../../../../../../Releases/Projects/SLT/Release_For_LQA/Test_Build_1.0.0.23/Server%20CD/DBS/Setup" TargetMode="External"/><Relationship Id="rId1516" Type="http://schemas.openxmlformats.org/officeDocument/2006/relationships/hyperlink" Target="../../../../../../../../../Releases/Product/RT_4.0/ReleaseForLQA/TestBuild_4.0.24/DBS/Setup" TargetMode="External"/><Relationship Id="rId1723" Type="http://schemas.openxmlformats.org/officeDocument/2006/relationships/hyperlink" Target="../../../../../../../../../Releases/Product/WEB_CS/Build&amp;Release/Release%20For%20Test/TestBuild_2.1.20/ServerCD/GUI/Setup" TargetMode="External"/><Relationship Id="rId1930" Type="http://schemas.openxmlformats.org/officeDocument/2006/relationships/hyperlink" Target="../../../../../../../../../Releases/Projects/SLT/Release_For_IT/Test_Build_1.0.0.4/Server%20CD/DBS/Setup" TargetMode="External"/><Relationship Id="rId2139" Type="http://schemas.openxmlformats.org/officeDocument/2006/relationships/hyperlink" Target="../../../../../../../../../Releases/Projects/FNB/Release_For_IT/TestBuild_1.0.1/Server%20CD/DBS/Setup" TargetMode="External"/><Relationship Id="rId2346" Type="http://schemas.openxmlformats.org/officeDocument/2006/relationships/hyperlink" Target="../../../../../../../../../Releases/Projects/FNB/Release_For_Test/Test_Build_1.0.1/Server%20CD/MPE/Setup" TargetMode="External"/><Relationship Id="rId2553" Type="http://schemas.openxmlformats.org/officeDocument/2006/relationships/hyperlink" Target="../../../../../../../../../Releases/Projects/FNB/Release_For_Test/Test_Build_1.0.2/Server%20CD/DBS/Setup" TargetMode="External"/><Relationship Id="rId2760" Type="http://schemas.openxmlformats.org/officeDocument/2006/relationships/hyperlink" Target="../../../../../../../../../Releases/Product/Netmind_4.8/Build&amp;Release/Release_For_LQA/Test_Build_1.0.2/Server%20CD/DBS/Setup" TargetMode="External"/><Relationship Id="rId15" Type="http://schemas.openxmlformats.org/officeDocument/2006/relationships/hyperlink" Target="../../../../../../../../../Projects/Neustar/BHN/Build&amp;Release/Release%20For%20IT/Test_Build_3.5.37/Server%20CD/Database/Setup" TargetMode="External"/><Relationship Id="rId318" Type="http://schemas.openxmlformats.org/officeDocument/2006/relationships/hyperlink" Target="../../../../../../../../../Releases/Projects/TWC/Release_For_Test/Test_Build_1.0.0.4/Server%20CD/DBS/Setup" TargetMode="External"/><Relationship Id="rId525" Type="http://schemas.openxmlformats.org/officeDocument/2006/relationships/hyperlink" Target="../../../../../../../../../Releases/Projects/OBT/Release_For_IT/TestBuild_1.0.0.2/Server%20CD/DBS/Setup" TargetMode="External"/><Relationship Id="rId732" Type="http://schemas.openxmlformats.org/officeDocument/2006/relationships/hyperlink" Target="../../../../../../../../../Releases/Projects/SLT/Release_For_LQA/Test_Build_1.0.0.23/Server%20CD/GUI/Setup" TargetMode="External"/><Relationship Id="rId1155" Type="http://schemas.openxmlformats.org/officeDocument/2006/relationships/hyperlink" Target="../../../../../../../../../Releases/Projects/SLT/Release_For_IT/Test_Build_1.0.0.4/Server%20CD/DBS/Setup" TargetMode="External"/><Relationship Id="rId1362" Type="http://schemas.openxmlformats.org/officeDocument/2006/relationships/hyperlink" Target="../../../../../../../../../Releases/Product/NetMindPOS_1.1/Build&amp;Release/Release%20for%20IT/TestBuild_1.2.3/Server%20CD/DBS/Setup" TargetMode="External"/><Relationship Id="rId2192" Type="http://schemas.openxmlformats.org/officeDocument/2006/relationships/hyperlink" Target="file:///\\192.168.3.3\share\Releases\Projects\CBD\Release_For_Test\Test_Build_1.0.0.4\Server%20CD\MPE\RHEL_6.3\Setup" TargetMode="External"/><Relationship Id="rId2206" Type="http://schemas.openxmlformats.org/officeDocument/2006/relationships/hyperlink" Target="../../../../../../../../../Releases/Projects/TLSTR-ST/Release_For_Test/Test_Build_1.0.1/Server%20CD/DBS/Setup" TargetMode="External"/><Relationship Id="rId2413" Type="http://schemas.openxmlformats.org/officeDocument/2006/relationships/hyperlink" Target="../../../../../../../../../Releases/Projects/FNB/Release_For_Test/Test_Build_1.0.1/Server%20CD/MPE/Setup" TargetMode="External"/><Relationship Id="rId2620" Type="http://schemas.openxmlformats.org/officeDocument/2006/relationships/hyperlink" Target="../../../../../../../../../Releases/Projects/SLT-1B/Release_For_Test/Test_Build_1.0.0.1/Server%20CD/MPE/Setup" TargetMode="External"/><Relationship Id="rId99" Type="http://schemas.openxmlformats.org/officeDocument/2006/relationships/hyperlink" Target="../../../../../../../../../Releases/Projects/SLT/Release_For_LQA/Test_Build_1.0.0.16/Server%20CD/DBS/Setup" TargetMode="External"/><Relationship Id="rId164" Type="http://schemas.openxmlformats.org/officeDocument/2006/relationships/hyperlink" Target="../../../../../../../../../Releases/Product/SAC/Build&amp;Release/ReleaseforIT/TestBuild_1.2.0/Build1/ServerCD/DBS/Setup" TargetMode="External"/><Relationship Id="rId371" Type="http://schemas.openxmlformats.org/officeDocument/2006/relationships/hyperlink" Target="../../../../../../../../../Releases/Projects/Comcast/Release_for_Test/Test_Build_4.6.1/Server%20CD/Database/Setup" TargetMode="External"/><Relationship Id="rId1015" Type="http://schemas.openxmlformats.org/officeDocument/2006/relationships/hyperlink" Target="../../../../../../../../../Releases/Projects/Comcast/Release_for_Test/Test_Build_4.6.5/Server%20CD/Database/Setup" TargetMode="External"/><Relationship Id="rId1222" Type="http://schemas.openxmlformats.org/officeDocument/2006/relationships/hyperlink" Target="../../../../../../../../../Releases/Projects/ANTEL/Release_For_IT/TestBuild_1.0.0.4/Server%20CD/DBS/Setup" TargetMode="External"/><Relationship Id="rId1667" Type="http://schemas.openxmlformats.org/officeDocument/2006/relationships/hyperlink" Target="../../../../../../../../../Releases/Projects/TLSTR-ST/Release_For_Test/Test_Build_1.0.1/Server%20CD/MPE/Setup" TargetMode="External"/><Relationship Id="rId1874" Type="http://schemas.openxmlformats.org/officeDocument/2006/relationships/hyperlink" Target="../../../../../../../../../Releases/Projects/TLSTR-ST/Release_For_Test/Test_Build_1.0.1/Server%20CD/DBS/Setup" TargetMode="External"/><Relationship Id="rId2052" Type="http://schemas.openxmlformats.org/officeDocument/2006/relationships/hyperlink" Target="../../../../../../../../../Releases/Projects/MCC/Release_For_Test/Test_Build_1.0.1/Server%20CD/GUI/Setup" TargetMode="External"/><Relationship Id="rId2497" Type="http://schemas.openxmlformats.org/officeDocument/2006/relationships/hyperlink" Target="../../../../../../../../../Releases/Projects/Comcast/Release_For_IT/Test_Build_4.6.1/Server%20CD/Database/Setup" TargetMode="External"/><Relationship Id="rId2718" Type="http://schemas.openxmlformats.org/officeDocument/2006/relationships/hyperlink" Target="../../../../../../../../../Releases/Projects/SLT-1B/Release_For_Test/Test_Build_1.0.0.1/Server%20CD/MPE/Setup" TargetMode="External"/><Relationship Id="rId469" Type="http://schemas.openxmlformats.org/officeDocument/2006/relationships/hyperlink" Target="../../../../../../../../../Releases/Projects/SLT/Release_For_IT/Test_Build_1.0.0.4/Server%20CD/DBS/Setup" TargetMode="External"/><Relationship Id="rId676" Type="http://schemas.openxmlformats.org/officeDocument/2006/relationships/hyperlink" Target="../../../../../../../../../Releases/Projects/Comcast/Release_for_Test/Test_Build_4.6.2/Server%20CD/Database/Setup" TargetMode="External"/><Relationship Id="rId883" Type="http://schemas.openxmlformats.org/officeDocument/2006/relationships/hyperlink" Target="../../../../../../../../../Releases/Projects/SLT/Release_For_IT/Test_Build_1.0.0.4/Server%20CD/DBS/Setup" TargetMode="External"/><Relationship Id="rId1099" Type="http://schemas.openxmlformats.org/officeDocument/2006/relationships/hyperlink" Target="../../../../../../../../../Releases/Projects/Comcast/Release_For_IT/Test_Build_4.6.1/Server%20CD/Database/Setup" TargetMode="External"/><Relationship Id="rId1527" Type="http://schemas.openxmlformats.org/officeDocument/2006/relationships/hyperlink" Target="../../../../../../../../../Releases/Product/WEB_WFS/Build&amp;Release/Release%20For%20Test/TestBuild_2.2.1/Build4/ServerCD/GUI/Setup" TargetMode="External"/><Relationship Id="rId1734" Type="http://schemas.openxmlformats.org/officeDocument/2006/relationships/hyperlink" Target="../../../../../../../../../Releases/Projects/SLT/Release_For_IT/Test_Build_1.0.0.4/Server%20CD/DBS/Setup" TargetMode="External"/><Relationship Id="rId1941" Type="http://schemas.openxmlformats.org/officeDocument/2006/relationships/hyperlink" Target="../../../../../../../../../Releases/Projects/FNB/Release_For_Test/Test_Build_1.0.1/Server%20CD/GUI/Setup" TargetMode="External"/><Relationship Id="rId2357" Type="http://schemas.openxmlformats.org/officeDocument/2006/relationships/hyperlink" Target="../../../../../../../../../Releases/Projects/Vonage/Release_For_IT/Test_Build_4.0.17/Client%20CD/GUI/CS/Setup" TargetMode="External"/><Relationship Id="rId2564" Type="http://schemas.openxmlformats.org/officeDocument/2006/relationships/hyperlink" Target="../../../../../../../../../Releases/Projects/Telstra-2b/Release_For_Test/Test_Build_1.0.0.1/Server%20CD/MPE/Setup" TargetMode="External"/><Relationship Id="rId26" Type="http://schemas.openxmlformats.org/officeDocument/2006/relationships/hyperlink" Target="../../../../../../../../../Releases/Projects/ANTEL/Release_For_Test/Test_Build_1.0.0.6/Server%20CD/MPE/Setup" TargetMode="External"/><Relationship Id="rId231" Type="http://schemas.openxmlformats.org/officeDocument/2006/relationships/hyperlink" Target="../../../../../../../../../Releases/Projects/Telstra/Release_For_LQA/Test_Build_1.0.0.18/Server%20CD/DBS/Setup" TargetMode="External"/><Relationship Id="rId329" Type="http://schemas.openxmlformats.org/officeDocument/2006/relationships/hyperlink" Target="../../../../../../../../../Releases/Projects/Comcast/Release_for_Test/Test_Build_4.6.1/Server%20CD/MPE/Setup" TargetMode="External"/><Relationship Id="rId536" Type="http://schemas.openxmlformats.org/officeDocument/2006/relationships/hyperlink" Target="../../../../../../../../../Releases/Projects/SLT/Release_For_LQA/Test_Build_1.0.0.19/Server%20CD/DBS/Setup" TargetMode="External"/><Relationship Id="rId1166" Type="http://schemas.openxmlformats.org/officeDocument/2006/relationships/hyperlink" Target="../../../../../../../../../Releases/Product/DataMind_2.0/Build&amp;Release/Release%20for%20LQA/TestBuild_2.0.0/Server%20CD/DBS/Setup" TargetMode="External"/><Relationship Id="rId1373" Type="http://schemas.openxmlformats.org/officeDocument/2006/relationships/hyperlink" Target="../../../../../../../../../Releases/Product/WEB_WFS/Build&amp;Release/Release%20For%20Test/TestBuild_2.2.1/Build4/ServerCD/GUI/Setup" TargetMode="External"/><Relationship Id="rId2217" Type="http://schemas.openxmlformats.org/officeDocument/2006/relationships/hyperlink" Target="../../../../../../../../../Releases/Projects/SLT/Release_For_LQA/Test_Build_1.0.0.24/Server%20CD/DBS/Setup" TargetMode="External"/><Relationship Id="rId2771" Type="http://schemas.openxmlformats.org/officeDocument/2006/relationships/hyperlink" Target="../../../../../../../../../Releases/Product/LA_1.1/Build&amp;Release/Release_For_LQA/Test_Build_1.0.3/Server%20CD/DBS/Setup" TargetMode="External"/><Relationship Id="rId175" Type="http://schemas.openxmlformats.org/officeDocument/2006/relationships/hyperlink" Target="../../../../../../../../../Releases/Projects/SLT/Release_For_LQA/Test_Build_1.0.0.17/Server%20CD/DBS/Setup" TargetMode="External"/><Relationship Id="rId743" Type="http://schemas.openxmlformats.org/officeDocument/2006/relationships/hyperlink" Target="../../../../../../../../../Releases/Projects/Comcast/Release_for_Test/Test_Build_4.6.3/Server%20CD/Database/Setup" TargetMode="External"/><Relationship Id="rId950" Type="http://schemas.openxmlformats.org/officeDocument/2006/relationships/hyperlink" Target="../../../../../../../../../Releases/Projects/SLT/Release_For_LQA/Test_Build_1.0.0.23/Server%20CD/DBS/Setup" TargetMode="External"/><Relationship Id="rId1026" Type="http://schemas.openxmlformats.org/officeDocument/2006/relationships/hyperlink" Target="../../../../../../../../../Releases/Projects/Comcast/Release_for_Test/Test_Build_4.6.5/Server%20CD/Database/Setup" TargetMode="External"/><Relationship Id="rId1580" Type="http://schemas.openxmlformats.org/officeDocument/2006/relationships/hyperlink" Target="../../../../../../../../../Releases/Projects/SLT/Release_For_LQA/Test_Build_1.0.0.24/Server%20CD/DBS/Setup" TargetMode="External"/><Relationship Id="rId1678" Type="http://schemas.openxmlformats.org/officeDocument/2006/relationships/hyperlink" Target="../../../../../../../../../Releases/Projects/SLT/Release_For_IT/Test_Build_1.0.0.4/Server%20CD/DBS/Setup" TargetMode="External"/><Relationship Id="rId1801" Type="http://schemas.openxmlformats.org/officeDocument/2006/relationships/hyperlink" Target="../../../../../../../../../Releases/Projects/SLT/Release_For_LQA/Test_Build_1.0.0.24/Server%20CD/DBS/Setup" TargetMode="External"/><Relationship Id="rId1885" Type="http://schemas.openxmlformats.org/officeDocument/2006/relationships/hyperlink" Target="../../../../../../../../../Releases/Projects/ANTEL/Release_For_Test/Test_Build_1.0.0.7/Server%20CD/DBS/Setup" TargetMode="External"/><Relationship Id="rId2424" Type="http://schemas.openxmlformats.org/officeDocument/2006/relationships/hyperlink" Target="../../../../../../../../../Releases/Product/NetMindPOS_1.3/Build&amp;Release/Release_For_LQA/Test_Build_1.0.3/Server%20CD/DBS/Setup" TargetMode="External"/><Relationship Id="rId2631" Type="http://schemas.openxmlformats.org/officeDocument/2006/relationships/hyperlink" Target="../../../../../../../../../Releases/Projects/SLT/Release_For_IT/Test_Build_1.0.0.4/Server%20CD/DBS/Setup" TargetMode="External"/><Relationship Id="rId2729" Type="http://schemas.openxmlformats.org/officeDocument/2006/relationships/hyperlink" Target="../../../../../../../../../Releases/Projects/FNB/Release_For_Test/Test_Build_1.0.2/Server%20CD/MPE/Setup" TargetMode="External"/><Relationship Id="rId382" Type="http://schemas.openxmlformats.org/officeDocument/2006/relationships/hyperlink" Target="../../../../../../../../../Releases/Projects/OBT/Release_For_IT/TestBuild_1.0.0.2/Server%20CD/DBS/Setup" TargetMode="External"/><Relationship Id="rId603" Type="http://schemas.openxmlformats.org/officeDocument/2006/relationships/hyperlink" Target="../../../../../../../../../Releases/Product/Netmind_4.6/Build&amp;Release/ReleaseForTest/TestBuild_4.6.1/Build4/ServerCD/DBS/Setup" TargetMode="External"/><Relationship Id="rId687" Type="http://schemas.openxmlformats.org/officeDocument/2006/relationships/hyperlink" Target="../../../../../../../../../Releases/Projects/SLT/Release_For_IT/Test_Build_1.0.0.4/Server%20CD/DBS/Setup" TargetMode="External"/><Relationship Id="rId810" Type="http://schemas.openxmlformats.org/officeDocument/2006/relationships/hyperlink" Target="../../../../../../../../../Releases/Projects/WIS/Release_For_Test/Test_Build_1.0.0.1/Client%20CD/Setup" TargetMode="External"/><Relationship Id="rId908" Type="http://schemas.openxmlformats.org/officeDocument/2006/relationships/hyperlink" Target="../../../../../../../../../Releases/Projects/SLT/Release_For_IT/Test_Build_1.0.0.4/Server%20CD/DBS/Setup" TargetMode="External"/><Relationship Id="rId1233" Type="http://schemas.openxmlformats.org/officeDocument/2006/relationships/hyperlink" Target="../../../../../../../../../Releases/Projects/SLT-1B/Release_For_Test/Test_Build_1.0.0.1/Server%20CD/MPE/Setup" TargetMode="External"/><Relationship Id="rId1440" Type="http://schemas.openxmlformats.org/officeDocument/2006/relationships/hyperlink" Target="../../../../../../../../../Releases/Projects/Comcast/Release_For_IT/Test_Build_3.5.50/Server%20CD/Database/Setup" TargetMode="External"/><Relationship Id="rId1538" Type="http://schemas.openxmlformats.org/officeDocument/2006/relationships/hyperlink" Target="../../../../../../../../../Releases/Projects/Comcast/Release_for_Test/Test_Build_4.6.6/Server%20CD/Database/Setup" TargetMode="External"/><Relationship Id="rId2063" Type="http://schemas.openxmlformats.org/officeDocument/2006/relationships/hyperlink" Target="../../../../../../../../../Releases/Projects/Comcast/Release_For_IT/Test_Build_4.6.1/Server%20CD/Database/Setup" TargetMode="External"/><Relationship Id="rId2270" Type="http://schemas.openxmlformats.org/officeDocument/2006/relationships/hyperlink" Target="../../../../../../../../../Releases/Projects/SLT-1B/Release_For_Test/Test_Build_1.0.0.1/Utility/MPE/Setup" TargetMode="External"/><Relationship Id="rId2368" Type="http://schemas.openxmlformats.org/officeDocument/2006/relationships/hyperlink" Target="../../../../../../../../../Releases/Projects/TLSTR-ST/Release_For_Test/Test_Build_1.0.1/Server%20CD/DBS/Setup" TargetMode="External"/><Relationship Id="rId242" Type="http://schemas.openxmlformats.org/officeDocument/2006/relationships/hyperlink" Target="../../../../../../../../../Releases/Projects/Telstra-2b/Release_For_Test/Test_Build_1.0.0.1/Server%20CD/MPE/Setup" TargetMode="External"/><Relationship Id="rId894" Type="http://schemas.openxmlformats.org/officeDocument/2006/relationships/hyperlink" Target="../../../../../../../../../Releases/Projects/TWC/Release_For_Test/Test_Build_1.0.0.4/Server%20CD/DBS/Setup" TargetMode="External"/><Relationship Id="rId1177" Type="http://schemas.openxmlformats.org/officeDocument/2006/relationships/hyperlink" Target="../../../../../../../../../Releases/Projects/SLT/Release_For_LQA/Test_Build_1.0.0.23/Server%20CD/DBS/Setup" TargetMode="External"/><Relationship Id="rId1300" Type="http://schemas.openxmlformats.org/officeDocument/2006/relationships/hyperlink" Target="../../../../../../../../../Releases/Projects/Comcast/Release_for_Test/Test_Build_4.6.5/Server%20CD/GUI/Setup" TargetMode="External"/><Relationship Id="rId1745" Type="http://schemas.openxmlformats.org/officeDocument/2006/relationships/hyperlink" Target="../../../../../../../../../Releases/Projects/BHN/Release_For_Test/Test_Build_1.0.2/Server%20CD/GUI/Setup" TargetMode="External"/><Relationship Id="rId1952" Type="http://schemas.openxmlformats.org/officeDocument/2006/relationships/hyperlink" Target="../../../../../../../../../Releases/Projects/FNB/Release_For_IT/TestBuild_1.0.1/Server%20CD/DBS/Setup" TargetMode="External"/><Relationship Id="rId2130" Type="http://schemas.openxmlformats.org/officeDocument/2006/relationships/hyperlink" Target="../../../../../../../../../Releases/Projects/TLSTR-ST/Release_For_Test/Test_Build_1.0.1/Server%20CD/DBS/Setup" TargetMode="External"/><Relationship Id="rId2575" Type="http://schemas.openxmlformats.org/officeDocument/2006/relationships/hyperlink" Target="../../../../../../../../../Releases/Projects/FNB/Release_For_Test/Test_Build_1.0.2/Server%20CD/DBS/Setup" TargetMode="External"/><Relationship Id="rId2782" Type="http://schemas.openxmlformats.org/officeDocument/2006/relationships/hyperlink" Target="../../../../../../../../../Releases/Projects/TLSTR-ST/Release_For_IT/TestBuild_1.0.1/Server%20CD/DBS/Setup" TargetMode="External"/><Relationship Id="rId37" Type="http://schemas.openxmlformats.org/officeDocument/2006/relationships/hyperlink" Target="../../../../../../../../../Releases/Product/WEB_WFS/Build&amp;Release/Release%20For%20Test/TestBuild_2.0.4/Build4/ServerCD/GUI/Setup" TargetMode="External"/><Relationship Id="rId102" Type="http://schemas.openxmlformats.org/officeDocument/2006/relationships/hyperlink" Target="../../../../../../../../../Releases/Projects/SLT/Release_For_LQA/Test_Build_1.0.0.16/Server%20CD/DBS/Setup" TargetMode="External"/><Relationship Id="rId547" Type="http://schemas.openxmlformats.org/officeDocument/2006/relationships/hyperlink" Target="../../../../../../../../../Releases/Projects/SLT/Release_For_LQA/Test_Build_1.0.0.20/Server%20CD/DBS/Setup" TargetMode="External"/><Relationship Id="rId754" Type="http://schemas.openxmlformats.org/officeDocument/2006/relationships/hyperlink" Target="../../../../../../../../../Releases/Projects/Comcast/Release_For_IT/Test_Build_4.6.1/Server%20CD/Database/Setup" TargetMode="External"/><Relationship Id="rId961" Type="http://schemas.openxmlformats.org/officeDocument/2006/relationships/hyperlink" Target="../../../../../../../../../Releases/Product/RT_4.0/ReleaseForLQA/TestBuild_4.0.24/GUI/Build1/Setup" TargetMode="External"/><Relationship Id="rId1384" Type="http://schemas.openxmlformats.org/officeDocument/2006/relationships/hyperlink" Target="../../../../../../../../../Releases/Product/MPE_3.2/ReleaseForLQA/TestBuild_3.2.1/Build2/ServerCD/Setup/RHEL_5.1" TargetMode="External"/><Relationship Id="rId1591" Type="http://schemas.openxmlformats.org/officeDocument/2006/relationships/hyperlink" Target="../../../../../../../../../Releases/Projects/Comcast/Release_for_Test/Test_Build_4.6.6/Server%20CD/GUI/Setup" TargetMode="External"/><Relationship Id="rId1605" Type="http://schemas.openxmlformats.org/officeDocument/2006/relationships/hyperlink" Target="../../../../../../../../../Releases/Projects/SLT-1B/Release_For_Test/Test_Build_1.0.0.1/Server%20CD/MPE/Setup" TargetMode="External"/><Relationship Id="rId1689" Type="http://schemas.openxmlformats.org/officeDocument/2006/relationships/hyperlink" Target="../../../../../../../../../Releases/Projects/SLT/Release_For_LQA/Test_Build_1.0.0.24/Server%20CD/DBS/Setup" TargetMode="External"/><Relationship Id="rId1812" Type="http://schemas.openxmlformats.org/officeDocument/2006/relationships/hyperlink" Target="../../../../../../../../../Releases/Projects/Comcast/Release_For_IT/Test_Build_4.6.1/Server%20CD/Database/Setup" TargetMode="External"/><Relationship Id="rId2228" Type="http://schemas.openxmlformats.org/officeDocument/2006/relationships/hyperlink" Target="../../../../../../../../../Releases/Projects/SLT-1B/Release_For_Test/Test_Build_1.0.0.1/Server%20CD/MPE/Setup" TargetMode="External"/><Relationship Id="rId2435" Type="http://schemas.openxmlformats.org/officeDocument/2006/relationships/hyperlink" Target="../../../../../../../../../Releases/Product/MEDGUI_1.1/Build&amp;Release/Release_For_LQA/Test_Build_1.0.2/Server%20CD/GUI/Setup" TargetMode="External"/><Relationship Id="rId2642" Type="http://schemas.openxmlformats.org/officeDocument/2006/relationships/hyperlink" Target="../../../../../../../../../Releases/Projects/Telstra-2b/Release_For_Test/Test_Build_1.0.0.1/Server%20CD/MPE/Setup" TargetMode="External"/><Relationship Id="rId90" Type="http://schemas.openxmlformats.org/officeDocument/2006/relationships/hyperlink" Target="../../../../../../../../../Releases/Projects/SHAW/Release_For_LQA/Test_Build_1.0.0.28/Client%20CD/RM" TargetMode="External"/><Relationship Id="rId186" Type="http://schemas.openxmlformats.org/officeDocument/2006/relationships/hyperlink" Target="../../../../../../../../../Releases/Projects/SLT/Release_For_IT/Test_Build_1.0.0.4/Server%20CD/DBS/Setup" TargetMode="External"/><Relationship Id="rId393" Type="http://schemas.openxmlformats.org/officeDocument/2006/relationships/hyperlink" Target="../../../../../../../../../Releases/Projects/SLT-1B/Release_For_Test/Test_Build_1.0.0.1/Utility/MPE/Setup" TargetMode="External"/><Relationship Id="rId407" Type="http://schemas.openxmlformats.org/officeDocument/2006/relationships/hyperlink" Target="../../../../../../../../../Releases/Projects/TWC/Release_For_IT/Test_Build_1.0.0.3/Server%20CD/DBS/Setup" TargetMode="External"/><Relationship Id="rId614" Type="http://schemas.openxmlformats.org/officeDocument/2006/relationships/hyperlink" Target="../../../../../../../../../Releases/Product/Netmind_4.7/Build&amp;Release/Release_For_LQA/Test_Build_1.0.1/Server%20CD/DBS/Setup" TargetMode="External"/><Relationship Id="rId821" Type="http://schemas.openxmlformats.org/officeDocument/2006/relationships/hyperlink" Target="../../../../../../../../../Releases/Product/NetMindPOS_1.1/Build&amp;Release/Release%20for%20LQA/TestBuild_1.2.3/Server%20CD/DBS/Setup" TargetMode="External"/><Relationship Id="rId1037" Type="http://schemas.openxmlformats.org/officeDocument/2006/relationships/hyperlink" Target="../../../../../../../../../Releases/Projects/Comcast/Release_For_IT/Test_Build_4.6.1/Server%20CD/Database/Setup" TargetMode="External"/><Relationship Id="rId1244" Type="http://schemas.openxmlformats.org/officeDocument/2006/relationships/hyperlink" Target="../../../../../../../../../Releases/Projects/OBT/Release_For_LQA/TestBuild_1.0.0.6/Server%20CD/MPE/Setup" TargetMode="External"/><Relationship Id="rId1451" Type="http://schemas.openxmlformats.org/officeDocument/2006/relationships/hyperlink" Target="../../../../../../../../../Releases/Projects/SLT/Release_For_IT/Test_Build_1.0.0.4/Server%20CD/DBS/Setup" TargetMode="External"/><Relationship Id="rId1896" Type="http://schemas.openxmlformats.org/officeDocument/2006/relationships/hyperlink" Target="../../../../../../../../../Releases/Projects/BHN/Release_For_Test/Test_Build_1.0.2/Server%20CD/MPE/Setup" TargetMode="External"/><Relationship Id="rId2074" Type="http://schemas.openxmlformats.org/officeDocument/2006/relationships/hyperlink" Target="../../../../../../../../../Releases/Product/RevMind_3.0.1/Build&amp;Release/Release_For_LQA/Test_Build_1.0.1/Server%20CD/DBS/Setup" TargetMode="External"/><Relationship Id="rId2281" Type="http://schemas.openxmlformats.org/officeDocument/2006/relationships/hyperlink" Target="../../../../../../../../../Releases/Product/AWF/Build&amp;Release/Release%20For%20Test/TestBuild_2.0.1/Setup" TargetMode="External"/><Relationship Id="rId2502" Type="http://schemas.openxmlformats.org/officeDocument/2006/relationships/hyperlink" Target="../../../../../../../../../Releases/Projects/Comcast/Release_For_IT/Test_Build_4.6.1/Server%20CD/Database/Setup" TargetMode="External"/><Relationship Id="rId253" Type="http://schemas.openxmlformats.org/officeDocument/2006/relationships/hyperlink" Target="../../../../../../../../../Releases/Projects/TWC/Release_For_Test/Test_Build_1.0.0.4/Server%20CD/DBS/Setup" TargetMode="External"/><Relationship Id="rId460" Type="http://schemas.openxmlformats.org/officeDocument/2006/relationships/hyperlink" Target="../../../../../../../../../Releases/Projects/SLT/Release_For_LQA/Test_Build_1.0.0.19/Server%20CD/DBS/Setup" TargetMode="External"/><Relationship Id="rId698" Type="http://schemas.openxmlformats.org/officeDocument/2006/relationships/hyperlink" Target="../../../../../../../../../Releases/Projects/Comcast/Release_for_Test/Test_Build_4.6.3/Server%20CD/GUI/Setup" TargetMode="External"/><Relationship Id="rId919" Type="http://schemas.openxmlformats.org/officeDocument/2006/relationships/hyperlink" Target="../../../../../../../../../Releases/Projects/Comcast/Release_for_Test/Test_Build_4.6.4/Server%20CD/Database/Setup" TargetMode="External"/><Relationship Id="rId1090" Type="http://schemas.openxmlformats.org/officeDocument/2006/relationships/hyperlink" Target="../../../../../../../../../Releases/Product/DataMind_2.0/Build&amp;Release/Release%20for%20LQA/TestBuild_2.0.0/Server%20CD/DBS/Setup" TargetMode="External"/><Relationship Id="rId1104" Type="http://schemas.openxmlformats.org/officeDocument/2006/relationships/hyperlink" Target="../../../../../../../../../Releases/Projects/TWC/Release_For_Test/Test_Build_1.0.0.4/Server%20CD/DBS/Setup" TargetMode="External"/><Relationship Id="rId1311" Type="http://schemas.openxmlformats.org/officeDocument/2006/relationships/hyperlink" Target="../../../../../../../../../Releases/Projects/Comcast/Release_For_IT/Test_Build_4.6.1/Server%20CD/Database/Setup" TargetMode="External"/><Relationship Id="rId1549" Type="http://schemas.openxmlformats.org/officeDocument/2006/relationships/hyperlink" Target="../../../../../../../../../Projects/Neustar/BHN/Build&amp;Release/Release%20For%20IT/Test_Build_3.5.37/Server%20CD/Database/Setup" TargetMode="External"/><Relationship Id="rId1756" Type="http://schemas.openxmlformats.org/officeDocument/2006/relationships/hyperlink" Target="../../../../../../../../../Releases/Projects/Comcast/Release_for_Test/Test_Build_4.6.6/Server%20CD/Database/Setup" TargetMode="External"/><Relationship Id="rId1963" Type="http://schemas.openxmlformats.org/officeDocument/2006/relationships/hyperlink" Target="../../../../../../../../../Releases/Projects/FNB/Release_For_Test/Test_Build_1.0.1/Server%20CD/GUI/Setup" TargetMode="External"/><Relationship Id="rId2141" Type="http://schemas.openxmlformats.org/officeDocument/2006/relationships/hyperlink" Target="../../../../../../../../../Releases/Projects/MCC/Release_For_Test/Test_Build_1.0.1/Server%20CD/DBS/Setup" TargetMode="External"/><Relationship Id="rId2379" Type="http://schemas.openxmlformats.org/officeDocument/2006/relationships/hyperlink" Target="../../../../../../../../../Releases/Product/Netmind_4.6/Build&amp;Release/ReleaseForTest/TestBuild_4.6.1/Build4/ServerCD/DBS/Setup" TargetMode="External"/><Relationship Id="rId2586" Type="http://schemas.openxmlformats.org/officeDocument/2006/relationships/hyperlink" Target="../../../../../../../../../Releases/Product/WEB_CS/Build&amp;Release/Release%20For%20Test/TestBuild_2.1.23/ServerCD/GUI" TargetMode="External"/><Relationship Id="rId2793" Type="http://schemas.openxmlformats.org/officeDocument/2006/relationships/hyperlink" Target="../../../../../../../../../Releases/Product/NetMindPOS_1.3/Build&amp;Release/Release_For_LQA/Test_Build_1.0.4/Server%20CD/DBS/Setup" TargetMode="External"/><Relationship Id="rId2807" Type="http://schemas.openxmlformats.org/officeDocument/2006/relationships/hyperlink" Target="file:///\\192.168.3.3\share\Releases\Projects\Telstra\Release_For_LQA\Test_Build_1.0.0.19\Server%20CD\IM\Setup" TargetMode="External"/><Relationship Id="rId48" Type="http://schemas.openxmlformats.org/officeDocument/2006/relationships/hyperlink" Target="../../../../../../../../../Releases/Projects/TWC/Release_For_Test/Test_Build_1.0.0.4/Server%20CD/DBS/Setup" TargetMode="External"/><Relationship Id="rId113" Type="http://schemas.openxmlformats.org/officeDocument/2006/relationships/hyperlink" Target="../../../../../../../../../Releases/Projects/MAX/Release_For_IT/TestBuild_1.0.0.1/Server%20CD/DBS/Setup" TargetMode="External"/><Relationship Id="rId320" Type="http://schemas.openxmlformats.org/officeDocument/2006/relationships/hyperlink" Target="../../../../../../../../../Releases/Product/RT_4.0/ReleaseForLQA/TestBuild_4.0.22/DBS/Setup" TargetMode="External"/><Relationship Id="rId558" Type="http://schemas.openxmlformats.org/officeDocument/2006/relationships/hyperlink" Target="../../../../../../../../../Releases/Projects/Comcast/Release_For_IT/Test_Build_4.6.1/Server%20CD/Database/Setup" TargetMode="External"/><Relationship Id="rId765" Type="http://schemas.openxmlformats.org/officeDocument/2006/relationships/hyperlink" Target="../../../../../../../../../Releases/Product/Netmind_4.6/Build&amp;Release/ReleaseForTest/TestBuild_4.6.1/Build4/ServerCD/DBS/Setup" TargetMode="External"/><Relationship Id="rId972" Type="http://schemas.openxmlformats.org/officeDocument/2006/relationships/hyperlink" Target="../../../../../../../../../Releases/Product/Netmind_4.6/Build&amp;Release/ReleaseForTest/TestBuild_4.6.1/Build4/ServerCD/DBS/Setup" TargetMode="External"/><Relationship Id="rId1188" Type="http://schemas.openxmlformats.org/officeDocument/2006/relationships/hyperlink" Target="../../../../../../../../../Releases/Projects/Comcast/Release_for_Test/Test_Build_4.6.5/Server%20CD/Database/Setup" TargetMode="External"/><Relationship Id="rId1395" Type="http://schemas.openxmlformats.org/officeDocument/2006/relationships/hyperlink" Target="../../../../../../../../../Releases/Projects/SLT/Release_For_LQA/Test_Build_1.0.0.24/Server%20CD/DBS/Setup" TargetMode="External"/><Relationship Id="rId1409" Type="http://schemas.openxmlformats.org/officeDocument/2006/relationships/hyperlink" Target="../../../../../../../../../Releases/Product/RT_4.0/ReleaseForIT/TestBuild_4.0.3/DBS/Setup" TargetMode="External"/><Relationship Id="rId1616" Type="http://schemas.openxmlformats.org/officeDocument/2006/relationships/hyperlink" Target="../../../../../../../../../Releases/Projects/SLT/Release_For_LQA/Test_Build_1.0.0.24/Server%20CD/DBS/Setup" TargetMode="External"/><Relationship Id="rId1823" Type="http://schemas.openxmlformats.org/officeDocument/2006/relationships/hyperlink" Target="../../../../../../../../../Releases/Projects/SLT/Release_For_LQA/Test_Build_1.0.0.24/Server%20CD/DBS/Setup" TargetMode="External"/><Relationship Id="rId2001" Type="http://schemas.openxmlformats.org/officeDocument/2006/relationships/hyperlink" Target="../../../../../../../../../Releases/Product/DataMind_2.0/Build&amp;Release/Release%20for%20IT/TestBuild_2.0.0/Server%20CD/DBS/Setup" TargetMode="External"/><Relationship Id="rId2239" Type="http://schemas.openxmlformats.org/officeDocument/2006/relationships/hyperlink" Target="../../../../../../../../../Releases/Projects/Comcast/Release_For_IT/Test_Build_4.6.1/Server%20CD/Database/Setup" TargetMode="External"/><Relationship Id="rId2446" Type="http://schemas.openxmlformats.org/officeDocument/2006/relationships/hyperlink" Target="../../../../../../../../../Releases/Projects/Comcast/Release_For_IT/Test_Build_4.6.1/Server%20CD/Database/Setup" TargetMode="External"/><Relationship Id="rId2653" Type="http://schemas.openxmlformats.org/officeDocument/2006/relationships/hyperlink" Target="../../../../../../../../../Releases/Product/WEB_CS/Build&amp;Release/Release%20For%20Test/TestBuild_2.1.23/ServerCD/GUI" TargetMode="External"/><Relationship Id="rId197" Type="http://schemas.openxmlformats.org/officeDocument/2006/relationships/hyperlink" Target="../../../../../../../../../Releases/Projects/SLT/Release_For_IT/Test_Build_1.0.0.4/Server%20CD/DBS/Setup" TargetMode="External"/><Relationship Id="rId418" Type="http://schemas.openxmlformats.org/officeDocument/2006/relationships/hyperlink" Target="../../../../../../../../../Releases/Projects/TWC/Release_For_Test/Test_Build_1.0.0.4/Server%20CD/DBS/Setup" TargetMode="External"/><Relationship Id="rId625" Type="http://schemas.openxmlformats.org/officeDocument/2006/relationships/hyperlink" Target="../../../../../../../../../Releases/Projects/SLT/Release_For_LQA/Test_Build_1.0.0.21/Server%20CD/DBS/Setup" TargetMode="External"/><Relationship Id="rId832" Type="http://schemas.openxmlformats.org/officeDocument/2006/relationships/hyperlink" Target="../../../../../../../../../Releases/Projects/SLT/Release_For_LQA/Test_Build_1.0.0.23/Server%20CD/GUI/Setup" TargetMode="External"/><Relationship Id="rId1048" Type="http://schemas.openxmlformats.org/officeDocument/2006/relationships/hyperlink" Target="../../../../../../../../../Releases/Projects/SLT/Release_For_LQA/Test_Build_1.0.0.23/Server%20CD/DBS/Setup" TargetMode="External"/><Relationship Id="rId1255" Type="http://schemas.openxmlformats.org/officeDocument/2006/relationships/hyperlink" Target="../../../../../../../../../Releases/Projects/Comcast/Release_For_IT/Test_Build_4.6.1/Server%20CD/Database/Setup" TargetMode="External"/><Relationship Id="rId1462" Type="http://schemas.openxmlformats.org/officeDocument/2006/relationships/hyperlink" Target="../../../../../../../../../Releases/Projects/Comcast/Release_for_Test/Test_Build_4.6.6/Utility/Setup" TargetMode="External"/><Relationship Id="rId2085" Type="http://schemas.openxmlformats.org/officeDocument/2006/relationships/hyperlink" Target="../../../../../../../../../Releases/Projects/MOBSA/Release_For_LQA/Test_Build_1.0.0.3/Server%20CD/MPE/Setup" TargetMode="External"/><Relationship Id="rId2292" Type="http://schemas.openxmlformats.org/officeDocument/2006/relationships/hyperlink" Target="../../../../../../../../../Releases/Projects/ANTEL/Release_For_Test/Test_Build_1.0.0.7/Server%20CD/DBS/Setup" TargetMode="External"/><Relationship Id="rId2306" Type="http://schemas.openxmlformats.org/officeDocument/2006/relationships/hyperlink" Target="../../../../../../../../../Releases/Projects/TLSTR-ST/Release_For_Test/Test_Build_1.0.1/Server%20CD/DBS/Setup" TargetMode="External"/><Relationship Id="rId2513" Type="http://schemas.openxmlformats.org/officeDocument/2006/relationships/hyperlink" Target="../../../../../../../../../Releases/Projects/Comcast/Release_for_Test/Test_Build_4.6.7/Server%20CD/GUI/Setup" TargetMode="External"/><Relationship Id="rId264" Type="http://schemas.openxmlformats.org/officeDocument/2006/relationships/hyperlink" Target="../../../../../../../../../Releases/Projects/TWC/Release_For_IT/Test_Build_1.0.0.3/Server%20CD/DBS/Setup" TargetMode="External"/><Relationship Id="rId471" Type="http://schemas.openxmlformats.org/officeDocument/2006/relationships/hyperlink" Target="../../../../../../../../../Releases/Projects/Telstra/Release_For_IT/Test_Build_1.0.0.18/Server%20CD/DBS/Setup" TargetMode="External"/><Relationship Id="rId1115" Type="http://schemas.openxmlformats.org/officeDocument/2006/relationships/hyperlink" Target="../../../../../../../../../Releases/Product/Netmind_4.6/Build&amp;Release/ReleaseForIT/TestBuild_4.6.1/Build4/ServerCD/DBS/Setup" TargetMode="External"/><Relationship Id="rId1322" Type="http://schemas.openxmlformats.org/officeDocument/2006/relationships/hyperlink" Target="../../../../../../../../../Releases/Projects/Comcast/Release_for_Test/Test_Build_4.6.6/Server%20CD/Database/Setup" TargetMode="External"/><Relationship Id="rId1767" Type="http://schemas.openxmlformats.org/officeDocument/2006/relationships/hyperlink" Target="../../../../../../../../../Releases/Projects/SLT/Release_For_LQA/Test_Build_1.0.0.24/Server%20CD/DBS/Setup" TargetMode="External"/><Relationship Id="rId1974" Type="http://schemas.openxmlformats.org/officeDocument/2006/relationships/hyperlink" Target="../../../../../../../../../Releases/Projects/BHN/Release_For_Test/Test_Build_1.0.3/Server%20CD/Utility/Setup" TargetMode="External"/><Relationship Id="rId2152" Type="http://schemas.openxmlformats.org/officeDocument/2006/relationships/hyperlink" Target="../../../../../../../../../Releases/Product/IM_1.0/Build&amp;Release/Release_For_LQA/Test_Build_1.0.4/Server%20CD/IM/Setup" TargetMode="External"/><Relationship Id="rId2597" Type="http://schemas.openxmlformats.org/officeDocument/2006/relationships/hyperlink" Target="../../../../../../../../../Releases/Product/LA_1.1/Build&amp;Release/Release_For_LQA/Test_Build_1.0.1/Server%20CD/DBS/Setup" TargetMode="External"/><Relationship Id="rId2720" Type="http://schemas.openxmlformats.org/officeDocument/2006/relationships/hyperlink" Target="../../../../../../../../../Releases/Projects/SLT/Release_For_LQA/Test_Build_1.0.0.26/Server%20CD/DBS/Setup" TargetMode="External"/><Relationship Id="rId59" Type="http://schemas.openxmlformats.org/officeDocument/2006/relationships/hyperlink" Target="../../../../../../../../../Releases/Projects/OBT/Release_For_LQA/TestBuild_1.0.0.3/Server%20CD/DBS/Setup" TargetMode="External"/><Relationship Id="rId124" Type="http://schemas.openxmlformats.org/officeDocument/2006/relationships/hyperlink" Target="../../../../../../../../../Releases/Projects/OBT/Release_For_LQA/TestBuild_1.0.0.4/Server%20CD/GUI/Setup" TargetMode="External"/><Relationship Id="rId569" Type="http://schemas.openxmlformats.org/officeDocument/2006/relationships/hyperlink" Target="../../../../../../../../../Releases/Projects/SLT/Release_For_LQA/Test_Build_1.0.0.20/Server%20CD/DBS/Setup" TargetMode="External"/><Relationship Id="rId776" Type="http://schemas.openxmlformats.org/officeDocument/2006/relationships/hyperlink" Target="../../../../../../../../../Releases/Product/RevMind_2.1/Build&amp;Release/Release_For_LQA/Test_Build_1.0.2/Server%20CD/DBS/Setup" TargetMode="External"/><Relationship Id="rId983" Type="http://schemas.openxmlformats.org/officeDocument/2006/relationships/hyperlink" Target="../../../../../../../../../Releases/Projects/SLT/Release_For_LQA/Test_Build_1.0.0.23/Server%20CD/DBS/Setup" TargetMode="External"/><Relationship Id="rId1199" Type="http://schemas.openxmlformats.org/officeDocument/2006/relationships/hyperlink" Target="../../../../../../../../../Releases/Projects/Comcast/Release_For_IT/Test_Build_4.6.1/Server%20CD/Database/Setup" TargetMode="External"/><Relationship Id="rId1627" Type="http://schemas.openxmlformats.org/officeDocument/2006/relationships/hyperlink" Target="../../../../../../../../../Releases/Projects/SLT/Release_For_IT/Test_Build_1.0.0.4/Server%20CD/DBS/Setup" TargetMode="External"/><Relationship Id="rId1834" Type="http://schemas.openxmlformats.org/officeDocument/2006/relationships/hyperlink" Target="../../../../../../../../../Releases/Projects/SLT/Release_For_IT/Test_Build_1.0.0.4/Server%20CD/DBS/Setup" TargetMode="External"/><Relationship Id="rId2457" Type="http://schemas.openxmlformats.org/officeDocument/2006/relationships/hyperlink" Target="../../../../../../../../../Releases/Product/Netmind_4.8/Build&amp;Release/Release_For_LQA/Test_Build_1.0.1/Server%20CD/DBS/Setup" TargetMode="External"/><Relationship Id="rId2664" Type="http://schemas.openxmlformats.org/officeDocument/2006/relationships/hyperlink" Target="../../../../../../../../../Releases/Product/WEB_CS/Build&amp;Release/Release%20For%20Test/TestBuild_2.1.24/ServerCD/GUI/Setup" TargetMode="External"/><Relationship Id="rId331" Type="http://schemas.openxmlformats.org/officeDocument/2006/relationships/hyperlink" Target="../../../../../../../../../Releases/Projects/OBT/Release_For_IT/TestBuild_1.0.0.2/Server%20CD/DBS/Setup" TargetMode="External"/><Relationship Id="rId429" Type="http://schemas.openxmlformats.org/officeDocument/2006/relationships/hyperlink" Target="../../../../../../../../../Releases/Product/NetMindPOS_1.1/Build&amp;Release/Release%20for%20LQA/TestBuild_1.2.3/Server%20CD/DBS/Setup" TargetMode="External"/><Relationship Id="rId636" Type="http://schemas.openxmlformats.org/officeDocument/2006/relationships/hyperlink" Target="../../../../../../../../../Releases/Projects/SLT-1B/Release_For_Test/Test_Build_1.0.0.1/Server%20CD/MPE/Setup" TargetMode="External"/><Relationship Id="rId1059" Type="http://schemas.openxmlformats.org/officeDocument/2006/relationships/hyperlink" Target="../../../../../../../../../Releases/Product/Netmind_4.6/Build&amp;Release/ReleaseForTest/TestBuild_4.6.1/Build4/ServerCD/DBS/Setup" TargetMode="External"/><Relationship Id="rId1266" Type="http://schemas.openxmlformats.org/officeDocument/2006/relationships/hyperlink" Target="../../../../../../../../../Releases/Projects/Comcast/Release_for_Test/Test_Build_4.6.5/Server%20CD/Database/Setup" TargetMode="External"/><Relationship Id="rId1473" Type="http://schemas.openxmlformats.org/officeDocument/2006/relationships/hyperlink" Target="../../../../../../../../../Releases/Projects/SLT-1B/Release_For_Test/Test_Build_1.0.0.1/Server%20CD/MPE/Setup" TargetMode="External"/><Relationship Id="rId2012" Type="http://schemas.openxmlformats.org/officeDocument/2006/relationships/hyperlink" Target="../../../../../../../../../Releases/Projects/SLT/Release_For_LQA/Test_Build_1.0.0.24/Server%20CD/GUI/Setup" TargetMode="External"/><Relationship Id="rId2096" Type="http://schemas.openxmlformats.org/officeDocument/2006/relationships/hyperlink" Target="../../../../../../../../../Releases/Projects/ANTEL/Release_For_Test/Test_Build_1.0.0.7/Server%20CD/MPE/Setup%0d" TargetMode="External"/><Relationship Id="rId2317" Type="http://schemas.openxmlformats.org/officeDocument/2006/relationships/hyperlink" Target="../../../../../../../../../Releases/Projects/OBT/Release_For_LQA/TestBuild_1.0.0.7/Server%20CD/DBS/Setup" TargetMode="External"/><Relationship Id="rId843" Type="http://schemas.openxmlformats.org/officeDocument/2006/relationships/hyperlink" Target="../../../../../../../../../Releases/Projects/SLT/Release_For_IT/Test_Build_1.0.0.4/Server%20CD/DBS/Setup" TargetMode="External"/><Relationship Id="rId1126" Type="http://schemas.openxmlformats.org/officeDocument/2006/relationships/hyperlink" Target="../../../../../../../../../Releases/Projects/Comcast/Release_For_IT/Test_Build_4.6.1/Server%20CD/Database/Setup" TargetMode="External"/><Relationship Id="rId1680" Type="http://schemas.openxmlformats.org/officeDocument/2006/relationships/hyperlink" Target="../../../../../../../../../Releases/Projects/SLT/Release_For_IT/Test_Build_1.0.0.4/Server%20CD/DBS/Setup" TargetMode="External"/><Relationship Id="rId1778" Type="http://schemas.openxmlformats.org/officeDocument/2006/relationships/hyperlink" Target="../../../../../../../../../Releases/Projects/SLT/Release_For_LQA/Test_Build_1.0.0.24/Server%20CD/DBS/Setup" TargetMode="External"/><Relationship Id="rId1901" Type="http://schemas.openxmlformats.org/officeDocument/2006/relationships/hyperlink" Target="../../../../../../../../../Releases/Projects/Telstra/Release_For_IT/Test_Build_1.0.0.18/Server%20CD/DBS/Setup" TargetMode="External"/><Relationship Id="rId1985" Type="http://schemas.openxmlformats.org/officeDocument/2006/relationships/hyperlink" Target="../../../../../../../../../Releases/Projects/SLT/Release_For_LQA/Test_Build_1.0.0.24/Server%20CD/DBS/Setup" TargetMode="External"/><Relationship Id="rId2524" Type="http://schemas.openxmlformats.org/officeDocument/2006/relationships/hyperlink" Target="../../../../../../../../../Releases/Projects/Comcast/Release_for_Test/Test_Build_4.6.7/Server%20CD/Database/Setup" TargetMode="External"/><Relationship Id="rId2731" Type="http://schemas.openxmlformats.org/officeDocument/2006/relationships/hyperlink" Target="../../../../../../../../../Releases/Projects/SLT/Release_For_LQA/Test_Build_1.0.0.26/Server%20CD/DBS/Setup" TargetMode="External"/><Relationship Id="rId275" Type="http://schemas.openxmlformats.org/officeDocument/2006/relationships/hyperlink" Target="../../../../../../../../../Releases/Product/RE_1.0/ReleaseForLQA/TestBuild_1.0.1/DBS/Build4/Setup" TargetMode="External"/><Relationship Id="rId482" Type="http://schemas.openxmlformats.org/officeDocument/2006/relationships/hyperlink" Target="../../../../../../../../../Releases/Projects/Telstra/Release_For_LQA/Test_Build_1.0.0.18/Server%20CD/DBS/Setup" TargetMode="External"/><Relationship Id="rId703" Type="http://schemas.openxmlformats.org/officeDocument/2006/relationships/hyperlink" Target="../../../../../../../../../Releases/Projects/SLT/Release_For_LQA/Test_Build_1.0.0.22/Server%20CD/DBS/Setup" TargetMode="External"/><Relationship Id="rId910" Type="http://schemas.openxmlformats.org/officeDocument/2006/relationships/hyperlink" Target="../../../../../../../../../Releases/Product/DataMind_2.0/Build&amp;Release/Release%20for%20IT/TestBuild_2.0.0/Server%20CD/DBS/Setup" TargetMode="External"/><Relationship Id="rId1333" Type="http://schemas.openxmlformats.org/officeDocument/2006/relationships/hyperlink" Target="../../../../../../../../../Releases/Product/RE_1.0/ReleaseForLQA/TestBuild_1.0.1/DBS/Build4/Setup" TargetMode="External"/><Relationship Id="rId1540" Type="http://schemas.openxmlformats.org/officeDocument/2006/relationships/hyperlink" Target="../../../../../../../../../Releases/Product/DataMind_2.0/Build&amp;Release/Release%20for%20LQA/TestBuild_2.0.0/Server%20CD/DBS/Setup" TargetMode="External"/><Relationship Id="rId1638" Type="http://schemas.openxmlformats.org/officeDocument/2006/relationships/hyperlink" Target="../../../../../../../../../Releases/Projects/BHN/Release_For_IT/TestBuild_1.0.0.1/Server%20CD/Utility/Setup" TargetMode="External"/><Relationship Id="rId2163" Type="http://schemas.openxmlformats.org/officeDocument/2006/relationships/hyperlink" Target="../../../../../../../../../Releases/Projects/FNB/Release_For_Test/Test_Build_1.0.1/Server%20CD/DBS/Setup" TargetMode="External"/><Relationship Id="rId2370" Type="http://schemas.openxmlformats.org/officeDocument/2006/relationships/hyperlink" Target="../../../../../../../../../Releases/Projects/SLT/Release_For_LQA/Test_Build_1.0.0.24/Server%20CD/DBS/Setup" TargetMode="External"/><Relationship Id="rId135" Type="http://schemas.openxmlformats.org/officeDocument/2006/relationships/hyperlink" Target="../../../../../../../../../Releases/Projects/SLT/Release_For_IT/Test_Build_1.0.0.4/Server%20CD/DBS/Setup" TargetMode="External"/><Relationship Id="rId342" Type="http://schemas.openxmlformats.org/officeDocument/2006/relationships/hyperlink" Target="../../../../../../../../../Releases/Projects/Comcast/Release_For_IT/Test_Build_4.6.1/Utility/Setup" TargetMode="External"/><Relationship Id="rId787" Type="http://schemas.openxmlformats.org/officeDocument/2006/relationships/hyperlink" Target="../../../../../../../../../Releases/Projects/WIS/Release_For_Test/Test_Build_1.0.0.1/Client%20CD/Setup" TargetMode="External"/><Relationship Id="rId994" Type="http://schemas.openxmlformats.org/officeDocument/2006/relationships/hyperlink" Target="../../../../../../../../../Releases/Projects/Telstra/Release_For_IT/Test_Build_1.0.0.18/Server%20CD/DBS/Setup" TargetMode="External"/><Relationship Id="rId1400" Type="http://schemas.openxmlformats.org/officeDocument/2006/relationships/hyperlink" Target="../../../../../../../../../Releases/Projects/SLT/Release_For_IT/Test_Build_1.0.0.4/Server%20CD/DBS/Setup" TargetMode="External"/><Relationship Id="rId1845" Type="http://schemas.openxmlformats.org/officeDocument/2006/relationships/hyperlink" Target="../../../../../../../../../Releases/Projects/SLT/Release_For_IT/Test_Build_1.0.0.4/Server%20CD/DBS/Setup" TargetMode="External"/><Relationship Id="rId2023" Type="http://schemas.openxmlformats.org/officeDocument/2006/relationships/hyperlink" Target="../../../../../../../../../Releases/Product/RT_4.0/ReleaseForLQA/TestBuild_4.0.24/DBS/Setup" TargetMode="External"/><Relationship Id="rId2230" Type="http://schemas.openxmlformats.org/officeDocument/2006/relationships/hyperlink" Target="../../../../../../../../../Releases/Projects/ANTEL/Release_For_IT/TestBuild_1.0.0.4/Server%20CD/DBS/Setup" TargetMode="External"/><Relationship Id="rId2468" Type="http://schemas.openxmlformats.org/officeDocument/2006/relationships/hyperlink" Target="../../../../../../../../../Releases/Projects/SLT/Release_For_IT/Test_Build_1.0.0.4/Server%20CD/DBS/Setup" TargetMode="External"/><Relationship Id="rId2675" Type="http://schemas.openxmlformats.org/officeDocument/2006/relationships/hyperlink" Target="../../../../../../../../../Releases/Projects/BHN/Release_For_Test/Test_Build_1.0.8/Server%20CD/DBS/Setup" TargetMode="External"/><Relationship Id="rId202" Type="http://schemas.openxmlformats.org/officeDocument/2006/relationships/hyperlink" Target="../../../../../../../../../Releases/Projects/SLT/Release_For_IT/Test_Build_1.0.0.4/Server%20CD/DBS/Setup" TargetMode="External"/><Relationship Id="rId647" Type="http://schemas.openxmlformats.org/officeDocument/2006/relationships/hyperlink" Target="../../../../../../../../../Releases/Projects/SLT/Release_For_LQA/Test_Build_1.0.0.22/Server%20CD/GUI/Setup" TargetMode="External"/><Relationship Id="rId854" Type="http://schemas.openxmlformats.org/officeDocument/2006/relationships/hyperlink" Target="../../../../../../../../../Releases/Projects/Telstra/Release_For_IT/Test_Build_1.0.0.18/Server%20CD/DBS/Setup" TargetMode="External"/><Relationship Id="rId1277" Type="http://schemas.openxmlformats.org/officeDocument/2006/relationships/hyperlink" Target="../../../../../../../../../Releases/Projects/Comcast/Release_For_IT/Test_Build_4.6.1/Server%20CD/Database/Setup" TargetMode="External"/><Relationship Id="rId1484" Type="http://schemas.openxmlformats.org/officeDocument/2006/relationships/hyperlink" Target="../../../../../../../../../Releases/Projects/SLT/Release_For_LQA/Test_Build_1.0.0.24/Server%20CD/DBS/Setup" TargetMode="External"/><Relationship Id="rId1691" Type="http://schemas.openxmlformats.org/officeDocument/2006/relationships/hyperlink" Target="../../../../../../../../../Releases/Projects/SLT/Release_For_LQA/Test_Build_1.0.0.24/Server%20CD/DBS/Setup" TargetMode="External"/><Relationship Id="rId1705" Type="http://schemas.openxmlformats.org/officeDocument/2006/relationships/hyperlink" Target="../../../../../../../../../Releases/Projects/TLSTR-ST/Release_For_Test/Test_Build_1.0.1/Server%20CD/MPE/Setup" TargetMode="External"/><Relationship Id="rId1912" Type="http://schemas.openxmlformats.org/officeDocument/2006/relationships/hyperlink" Target="../../../../../../../../../Releases/Product/WEB_CS/Build&amp;Release/Release%20For%20Test/TestBuild_2.1.21/ServerCD/GUI/Setup" TargetMode="External"/><Relationship Id="rId2328" Type="http://schemas.openxmlformats.org/officeDocument/2006/relationships/hyperlink" Target="../../../../../../../../../Releases/Projects/TWC/Release_For_IT/Test_Build_1.0.0.3/Server%20CD/DBS/Setup" TargetMode="External"/><Relationship Id="rId2535" Type="http://schemas.openxmlformats.org/officeDocument/2006/relationships/hyperlink" Target="../../../../../../../../../Releases/Product/NetMindPOS_1.3/Build&amp;Release/Release_For_LQA/Test_Build_1.0.3/Server%20CD/DBS/Setup" TargetMode="External"/><Relationship Id="rId2742" Type="http://schemas.openxmlformats.org/officeDocument/2006/relationships/hyperlink" Target="../../../../../../../../../Releases/Projects/SLT-1B/Release_For_Test/Test_Build_1.0.0.1/Server%20CD/MPE/Setup" TargetMode="External"/><Relationship Id="rId286" Type="http://schemas.openxmlformats.org/officeDocument/2006/relationships/hyperlink" Target="../../../../../../../../../Releases/Product/NetMindPOS_1.1/Build&amp;Release/Release%20for%20LQA/TestBuild_1.2.3/Server%20CD/DBS/Setup" TargetMode="External"/><Relationship Id="rId493" Type="http://schemas.openxmlformats.org/officeDocument/2006/relationships/hyperlink" Target="../../../../../../../../../Releases/Projects/TWC/Release_For_Test/Test_Build_1.0.0.4/Server%20CD/DBS/Setup" TargetMode="External"/><Relationship Id="rId507" Type="http://schemas.openxmlformats.org/officeDocument/2006/relationships/hyperlink" Target="../../../../../../../../../Releases/Projects/SLT/Release_For_LQA/Test_Build_1.0.0.19/Server%20CD/DBS/Setup" TargetMode="External"/><Relationship Id="rId714" Type="http://schemas.openxmlformats.org/officeDocument/2006/relationships/hyperlink" Target="../../../../../../../../../Releases/Projects/SLT-1B/Release_For_Test/Test_Build_1.0.0.1/Server%20CD/MPE/Setup" TargetMode="External"/><Relationship Id="rId921" Type="http://schemas.openxmlformats.org/officeDocument/2006/relationships/hyperlink" Target="../../../../../../../../../Releases/Projects/SLT/Release_For_LQA/Test_Build_1.0.0.23/Server%20CD/DBS/Setup" TargetMode="External"/><Relationship Id="rId1137" Type="http://schemas.openxmlformats.org/officeDocument/2006/relationships/hyperlink" Target="../../../../../../../../../Releases/Projects/ANTEL/Release_For_IT/TestBuild_1.0.0.4/Server%20CD/DBS/Setup" TargetMode="External"/><Relationship Id="rId1344" Type="http://schemas.openxmlformats.org/officeDocument/2006/relationships/hyperlink" Target="../../../../../../../../../Releases/Product/Netmind_4.6/Build&amp;Release/ReleaseForTest/TestBuild_4.6.1/Build4/ServerCD/DBS/Setup" TargetMode="External"/><Relationship Id="rId1551" Type="http://schemas.openxmlformats.org/officeDocument/2006/relationships/hyperlink" Target="../../../../../../../../../Projects/Neustar/BHN/Build&amp;Release/Release%20For%20IT/Test_Build_3.5.37/Server%20CD/Database/Setup" TargetMode="External"/><Relationship Id="rId1789" Type="http://schemas.openxmlformats.org/officeDocument/2006/relationships/hyperlink" Target="../../../../../../../../../Releases/Projects/SLT/Release_For_IT/Test_Build_1.0.0.4/Server%20CD/DBS/Setup" TargetMode="External"/><Relationship Id="rId1996" Type="http://schemas.openxmlformats.org/officeDocument/2006/relationships/hyperlink" Target="../../../../../../../../../Releases/Projects/ANTEL/Release_For_IT/TestBuild_1.0.0.4/Server%20CD/DBS/Setup" TargetMode="External"/><Relationship Id="rId2174" Type="http://schemas.openxmlformats.org/officeDocument/2006/relationships/hyperlink" Target="../../../../../../../../../Releases/Projects/TWC/Release_For_Test/Test_Build_1.0.0.4/Server%20CD/DBS/Setup" TargetMode="External"/><Relationship Id="rId2381" Type="http://schemas.openxmlformats.org/officeDocument/2006/relationships/hyperlink" Target="../../../../../../../../../Releases/Projects/Comcast/Release_For_IT/Test_Build_4.6.1/Server%20CD/Database/Setup" TargetMode="External"/><Relationship Id="rId2602" Type="http://schemas.openxmlformats.org/officeDocument/2006/relationships/hyperlink" Target="../../../../../../../../../Releases/Projects/Telstra/Release_For_IT/Test_Build_1.0.0.18/Server%20CD/DBS/Setup" TargetMode="External"/><Relationship Id="rId50" Type="http://schemas.openxmlformats.org/officeDocument/2006/relationships/hyperlink" Target="../../../../../../../../../Releases/Projects/OBT/Release_For_IT/TestBuild_1.0.0.2/Server%20CD/DBS/Setup" TargetMode="External"/><Relationship Id="rId146" Type="http://schemas.openxmlformats.org/officeDocument/2006/relationships/hyperlink" Target="../../../../../../../../../Releases/Projects/BMB/Release_For_IT/Test_Build_3.0.2.35/Server%20CD/Database/Setup" TargetMode="External"/><Relationship Id="rId353" Type="http://schemas.openxmlformats.org/officeDocument/2006/relationships/hyperlink" Target="../../../../../../../../../Releases/Product/RE_1.0/ReleaseForIT/TestBuild_1.0.1/DBS/Build4/Setup" TargetMode="External"/><Relationship Id="rId560" Type="http://schemas.openxmlformats.org/officeDocument/2006/relationships/hyperlink" Target="../../../../../../../../../Releases/Projects/Comcast/Release_For_IT/Test_Build_4.6.1/Server%20CD/Database/Setup" TargetMode="External"/><Relationship Id="rId798" Type="http://schemas.openxmlformats.org/officeDocument/2006/relationships/hyperlink" Target="../../../../../../../../../Releases/Projects/Comcast/Release_for_Test/Test_Build_4.6.4/Server%20CD/Database/Setup" TargetMode="External"/><Relationship Id="rId1190" Type="http://schemas.openxmlformats.org/officeDocument/2006/relationships/hyperlink" Target="../../../../../../../../../Releases/Projects/SLT/Release_For_LQA/Test_Build_1.0.0.23/Server%20CD/DBS/Setup" TargetMode="External"/><Relationship Id="rId1204" Type="http://schemas.openxmlformats.org/officeDocument/2006/relationships/hyperlink" Target="../../../../../../../../../Releases/Projects/SLT/Release_For_LQA/Test_Build_1.0.0.23/Server%20CD/DBS/Setup" TargetMode="External"/><Relationship Id="rId1411" Type="http://schemas.openxmlformats.org/officeDocument/2006/relationships/hyperlink" Target="../../../../../../../../../Releases/Projects/Telstra-2b/Release_For_Test/Test_Build_1.0.0.1/Server%20CD/MPE/Setup" TargetMode="External"/><Relationship Id="rId1649" Type="http://schemas.openxmlformats.org/officeDocument/2006/relationships/hyperlink" Target="../../../../../../../../../Releases/Projects/SLT/Release_For_LQA/Test_Build_1.0.0.24/Server%20CD/DBS/Setup" TargetMode="External"/><Relationship Id="rId1856" Type="http://schemas.openxmlformats.org/officeDocument/2006/relationships/hyperlink" Target="../../../../../../../../../Releases/Projects/SLT-1B/Release_For_Test/Test_Build_1.0.0.1/Server%20CD/MPE/Setup" TargetMode="External"/><Relationship Id="rId2034" Type="http://schemas.openxmlformats.org/officeDocument/2006/relationships/hyperlink" Target="../../../../../../../../../Releases/Projects/TLSTR-ST/Release_For_Test/Test_Build_1.0.1/Server%20CD/MPE/Setup" TargetMode="External"/><Relationship Id="rId2241" Type="http://schemas.openxmlformats.org/officeDocument/2006/relationships/hyperlink" Target="file:///\\192.168.3.3\share\Releases\Projects\OBT\Release_For_LQA\TestBuild_1.0.0.7\Server%20CD\MPE\Setup" TargetMode="External"/><Relationship Id="rId2479" Type="http://schemas.openxmlformats.org/officeDocument/2006/relationships/hyperlink" Target="../../../../../../../../../Releases/Projects/SLT-1B/Release_For_Test/Test_Build_1.0.0.1/Server%20CD/MPE/Setup" TargetMode="External"/><Relationship Id="rId2686" Type="http://schemas.openxmlformats.org/officeDocument/2006/relationships/hyperlink" Target="../../../../../../../../../Releases/Product/CSGUI_2.6/Build&amp;Release/Release_For_LQA/Test_Build_1.0.5/Server%20CD/GUI/Setup" TargetMode="External"/><Relationship Id="rId213" Type="http://schemas.openxmlformats.org/officeDocument/2006/relationships/hyperlink" Target="../../../../../../../../../Releases/Projects/SHAW/Release_For_IT/Test_Build_1.0.0.27/Client%20CD/RM/Setup" TargetMode="External"/><Relationship Id="rId420" Type="http://schemas.openxmlformats.org/officeDocument/2006/relationships/hyperlink" Target="../../../../../../../../../Releases/Projects/Comcast/Release_for_Test/Test_Build_4.6.1/Server%20CD/Database/Setup" TargetMode="External"/><Relationship Id="rId658" Type="http://schemas.openxmlformats.org/officeDocument/2006/relationships/hyperlink" Target="../../../../../../../../../Releases/Projects/COM/Release_For_Test/Test_Build_1.0.0.1/Server%20CD/DBS/Setup" TargetMode="External"/><Relationship Id="rId865" Type="http://schemas.openxmlformats.org/officeDocument/2006/relationships/hyperlink" Target="../../../../../../../../../Releases/Product/Netmind_4.6/Build&amp;Release/ReleaseForTest/TestBuild_4.6.1/Build4/ServerCD/DBS/Setup" TargetMode="External"/><Relationship Id="rId1050" Type="http://schemas.openxmlformats.org/officeDocument/2006/relationships/hyperlink" Target="../../../../../../../../../Releases/Projects/SLT/Release_For_LQA/Test_Build_1.0.0.23/Server%20CD/DBS/Setup" TargetMode="External"/><Relationship Id="rId1288" Type="http://schemas.openxmlformats.org/officeDocument/2006/relationships/hyperlink" Target="../../../../../../../../../Projects/Neustar/BHN/Build&amp;Release/Release%20For%20Test/Test_Build_3.5.37/Server%20CD/MPE/Setup" TargetMode="External"/><Relationship Id="rId1495" Type="http://schemas.openxmlformats.org/officeDocument/2006/relationships/hyperlink" Target="../../../../../../../../../Releases/Projects/Comcast/Release_for_Test/Test_Build_4.6.6/Server%20CD/GUI/Setup" TargetMode="External"/><Relationship Id="rId1509" Type="http://schemas.openxmlformats.org/officeDocument/2006/relationships/hyperlink" Target="../../../../../../../../../Releases/Product/RevMind_2.2/Build&amp;Release/Release_For_LQA/Test_Build_1.0.1/Server%20CD/DBS/Setup" TargetMode="External"/><Relationship Id="rId1716" Type="http://schemas.openxmlformats.org/officeDocument/2006/relationships/hyperlink" Target="../../../../../../../../../Releases/Projects/SLT/Release_For_IT/Test_Build_1.0.0.4/Server%20CD/DBS/Setup" TargetMode="External"/><Relationship Id="rId1923" Type="http://schemas.openxmlformats.org/officeDocument/2006/relationships/hyperlink" Target="../../../../../../../../../Releases/Projects/BHN/Release_For_Test/Test_Build_1.0.3/Server%20CD/DBS/Setup" TargetMode="External"/><Relationship Id="rId2101" Type="http://schemas.openxmlformats.org/officeDocument/2006/relationships/hyperlink" Target="../../../../../../../../../Releases/Projects/BHN/Release_For_Test/Test_Build_1.0.5/Server%20CD/DBS/Setup" TargetMode="External"/><Relationship Id="rId2339" Type="http://schemas.openxmlformats.org/officeDocument/2006/relationships/hyperlink" Target="../../../../../../../../../Releases/Product/RE_2.0/Build&amp;Release/Release_For_LQA/Test_Build_1.0.1/Server%20CD/DBS/Setup" TargetMode="External"/><Relationship Id="rId2546" Type="http://schemas.openxmlformats.org/officeDocument/2006/relationships/hyperlink" Target="../../../../../../../../../Releases/Projects/SLT-1B/Release_For_Test/Test_Build_1.0.0.1/Server%20CD/MPE/Setup" TargetMode="External"/><Relationship Id="rId2753" Type="http://schemas.openxmlformats.org/officeDocument/2006/relationships/hyperlink" Target="../../../../../../../../../Projects/NetmindPOS-TLN/Build&amp;Release/Release%20For%20LQA/Test_Build_1.0.32/Server%20CD/Dataservice/Setup" TargetMode="External"/><Relationship Id="rId297" Type="http://schemas.openxmlformats.org/officeDocument/2006/relationships/hyperlink" Target="../../../../../../../../../Releases/Projects/ANTEL/Release_For_Test/Test_Build_1.0.0.7/Server%20CD/DBS/Setup" TargetMode="External"/><Relationship Id="rId518" Type="http://schemas.openxmlformats.org/officeDocument/2006/relationships/hyperlink" Target="../../../../../../../../../Releases/Projects/Telstra/Release_For_LQA/Test_Build_1.0.0.18/Server%20CD/DBS/Setup" TargetMode="External"/><Relationship Id="rId725" Type="http://schemas.openxmlformats.org/officeDocument/2006/relationships/hyperlink" Target="../../../../../../../../../Releases/Product/RevMind_2.1/Build&amp;Release/Release_For_LQA/Test_Build_1.0.2/Server%20CD/GUI/CS/Setup" TargetMode="External"/><Relationship Id="rId932" Type="http://schemas.openxmlformats.org/officeDocument/2006/relationships/hyperlink" Target="../../../../../../../../../Releases/Projects/TWC/Release_For_Test/Test_Build_1.0.0.4/Server%20CD/DBS/Setup" TargetMode="External"/><Relationship Id="rId1148" Type="http://schemas.openxmlformats.org/officeDocument/2006/relationships/hyperlink" Target="../../../../../../../../../Releases/Projects/Comcast/Release_for_Test/Test_Build_4.6.5/Server%20CD/Database/Setup" TargetMode="External"/><Relationship Id="rId1355" Type="http://schemas.openxmlformats.org/officeDocument/2006/relationships/hyperlink" Target="../../../../../../../../../Releases/Projects/Comcast/Release_For_IT/Test_Build_4.6.1/Server%20CD/Database/Setup" TargetMode="External"/><Relationship Id="rId1562" Type="http://schemas.openxmlformats.org/officeDocument/2006/relationships/hyperlink" Target="../../../../../../../../../Releases/Product/NetMindPOS_1.3/Build&amp;Release/Release_For_LQA/Test_Build_1.0.2/Server%20CD/DBS/Setup" TargetMode="External"/><Relationship Id="rId2185" Type="http://schemas.openxmlformats.org/officeDocument/2006/relationships/hyperlink" Target="../../../../../../../../../Releases/Projects/SLT/Release_For_LQA/Test_Build_1.0.0.24/Server%20CD/GUI/Setup" TargetMode="External"/><Relationship Id="rId2392" Type="http://schemas.openxmlformats.org/officeDocument/2006/relationships/hyperlink" Target="file:///\\192.168.3.3\share\Releases\Projects\MTS\Release%20For%20IT\Test_Build_3.0.5.25\Server%20CD\MPE\Setup" TargetMode="External"/><Relationship Id="rId2406" Type="http://schemas.openxmlformats.org/officeDocument/2006/relationships/hyperlink" Target="../../../../../../../../../Releases/Projects/OBT/Release_For_LQA/TestBuild_1.0.0.7/Server%20CD/DBS/Setup" TargetMode="External"/><Relationship Id="rId2613" Type="http://schemas.openxmlformats.org/officeDocument/2006/relationships/hyperlink" Target="../../../../../../../../../Releases/Projects/SLT/Release_For_IT/Test_Build_1.0.0.4/Server%20CD/DBS/Setup" TargetMode="External"/><Relationship Id="rId157" Type="http://schemas.openxmlformats.org/officeDocument/2006/relationships/hyperlink" Target="../../../../../../../../../Releases/Projects/TWC/Release_For_Test/Test_Build_1.0.0.4/Server%20CD/DBS/Setup" TargetMode="External"/><Relationship Id="rId364" Type="http://schemas.openxmlformats.org/officeDocument/2006/relationships/hyperlink" Target="../../../../../../../../../Releases/Projects/Comcast/Release_for_Test/Test_Build_4.6.1/Server%20CD/Database/Setup" TargetMode="External"/><Relationship Id="rId1008" Type="http://schemas.openxmlformats.org/officeDocument/2006/relationships/hyperlink" Target="../../../../../../../../../Releases/Projects/OBT/Release_For_LQA/TestBuild_1.0.0.6/Server%20CD/DBS/Setup" TargetMode="External"/><Relationship Id="rId1215" Type="http://schemas.openxmlformats.org/officeDocument/2006/relationships/hyperlink" Target="../../../../../../../../../Releases/Product/RE_1.0/ReleaseForLQA/TestBuild_1.0.1/DBS/Build4/Setup" TargetMode="External"/><Relationship Id="rId1422" Type="http://schemas.openxmlformats.org/officeDocument/2006/relationships/hyperlink" Target="../../../../../../../../../Releases/Projects/SLT/Release_For_LQA/Test_Build_1.0.0.24/Server%20CD/DBS/Setup" TargetMode="External"/><Relationship Id="rId1867" Type="http://schemas.openxmlformats.org/officeDocument/2006/relationships/hyperlink" Target="../../../../../../../../../Releases/Projects/SLT/Release_For_IT/Test_Build_1.0.0.4/Server%20CD/DBS/Setup" TargetMode="External"/><Relationship Id="rId2045" Type="http://schemas.openxmlformats.org/officeDocument/2006/relationships/hyperlink" Target="../../../../../../../../../Releases/Product/Netmind_4.6/Build&amp;Release/ReleaseForIT/TestBuild_4.6.1/Build4/ServerCD/DBS/Setup" TargetMode="External"/><Relationship Id="rId2697" Type="http://schemas.openxmlformats.org/officeDocument/2006/relationships/hyperlink" Target="../../../../../../../../../Releases/Product/RT_4.0/ReleaseForLQA/TestBuild_4.0.24/GUI/Build1/Setup" TargetMode="External"/><Relationship Id="rId61" Type="http://schemas.openxmlformats.org/officeDocument/2006/relationships/hyperlink" Target="../../../../../../../../../Releases/Projects/OBT/Release_For_LQA/TestBuild_1.0.0.3/Server%20CD/GUI/Setup" TargetMode="External"/><Relationship Id="rId571" Type="http://schemas.openxmlformats.org/officeDocument/2006/relationships/hyperlink" Target="../../../../../../../../../Releases/Projects/SLT/Release_For_LQA/Test_Build_1.0.0.20/Server%20CD/DBS/Setup" TargetMode="External"/><Relationship Id="rId669" Type="http://schemas.openxmlformats.org/officeDocument/2006/relationships/hyperlink" Target="../../../../../../../../../Projects/Neustar/BHN/Build&amp;Release/Release%20For%20IT/Test_Build_3.5.37/Server%20CD/Database/Setup" TargetMode="External"/><Relationship Id="rId876" Type="http://schemas.openxmlformats.org/officeDocument/2006/relationships/hyperlink" Target="../../../../../../../../../Releases/Product/WEB_WFS/Build&amp;Release/Release%20For%20Test/TestBuild_2.2.1/Build4/ServerCD/GUI/Setup" TargetMode="External"/><Relationship Id="rId1299" Type="http://schemas.openxmlformats.org/officeDocument/2006/relationships/hyperlink" Target="../../../../../../../../../Releases/Projects/Comcast/Release_for_Test/Test_Build_4.6.5/Server%20CD/Database/Setup" TargetMode="External"/><Relationship Id="rId1727" Type="http://schemas.openxmlformats.org/officeDocument/2006/relationships/hyperlink" Target="../../../../../../../../../Releases/Projects/BHN/Release_For_IT/TestBuild_1.0.0.1/Server%20CD/Utility/Setup" TargetMode="External"/><Relationship Id="rId1934" Type="http://schemas.openxmlformats.org/officeDocument/2006/relationships/hyperlink" Target="../../../../../../../../../Releases/Projects/SLT/Release_For_LQA/Test_Build_1.0.0.24/Server%20CD/DBS/Setup" TargetMode="External"/><Relationship Id="rId2252" Type="http://schemas.openxmlformats.org/officeDocument/2006/relationships/hyperlink" Target="../../../../../../../../../Releases/Projects/ANTEL/Release_For_IT/TestBuild_1.0.0.4/Server%20CD/DBS/Setup" TargetMode="External"/><Relationship Id="rId2557" Type="http://schemas.openxmlformats.org/officeDocument/2006/relationships/hyperlink" Target="../../../../../../../../../Releases/Projects/Telstra/Release_For_LQA/Test_Build_1.0.0.18/Server%20CD/DBS/Setup" TargetMode="External"/><Relationship Id="rId19" Type="http://schemas.openxmlformats.org/officeDocument/2006/relationships/hyperlink" Target="../../../../../../../../../Releases/Projects/Telstra/Release_For_LQA/Test_Build_1.0.0.18/Server%20CD/DBS/Setup" TargetMode="External"/><Relationship Id="rId224" Type="http://schemas.openxmlformats.org/officeDocument/2006/relationships/hyperlink" Target="../../../../../../../../../Releases/Projects/Comcast/Release_For_IT/Test_Build_3.5.50/Utility/Setup" TargetMode="External"/><Relationship Id="rId431" Type="http://schemas.openxmlformats.org/officeDocument/2006/relationships/hyperlink" Target="../../../../../../../../../Releases/Projects/MTS/Release%20For%20Test/Test_Build_3.0.5.25/Server%20CD/Database/Setup" TargetMode="External"/><Relationship Id="rId529" Type="http://schemas.openxmlformats.org/officeDocument/2006/relationships/hyperlink" Target="../../../../../../../../../Releases/Projects/Comcast/Release_for_Test/Test_Build_4.6.1/Server%20CD/Database/Setup" TargetMode="External"/><Relationship Id="rId736" Type="http://schemas.openxmlformats.org/officeDocument/2006/relationships/hyperlink" Target="../../../../../../../../../Releases/Product/RT_4.0/ReleaseForLQA/TestBuild_4.0.22/DBS/Setup" TargetMode="External"/><Relationship Id="rId1061" Type="http://schemas.openxmlformats.org/officeDocument/2006/relationships/hyperlink" Target="../../../../../../../../../Releases/Projects/Comcast/Release_For_IT/Test_Build_4.6.1/Server%20CD/Database/Setup" TargetMode="External"/><Relationship Id="rId1159" Type="http://schemas.openxmlformats.org/officeDocument/2006/relationships/hyperlink" Target="../../../../../../../../../Releases/Projects/ANTEL/Release_For_IT/TestBuild_1.0.0.4/Server%20CD/DBS/Setup" TargetMode="External"/><Relationship Id="rId1366" Type="http://schemas.openxmlformats.org/officeDocument/2006/relationships/hyperlink" Target="../../../../../../../../../Releases/Projects/SLT/Release_For_IT/Test_Build_1.0.0.4/Server%20CD/DBS/Setup" TargetMode="External"/><Relationship Id="rId2112" Type="http://schemas.openxmlformats.org/officeDocument/2006/relationships/hyperlink" Target="../../../../../../../../../Releases/Projects/TLSTR-ST/Release_For_IT/TestBuild_1.0.1/Server%20CD/DBS/Setup" TargetMode="External"/><Relationship Id="rId2196" Type="http://schemas.openxmlformats.org/officeDocument/2006/relationships/hyperlink" Target="../../../../../../../../../Releases/Projects/TLSTR-ST/Release_For_Test/Test_Build_1.0.1/Server%20CD/DBS/Setup" TargetMode="External"/><Relationship Id="rId2417" Type="http://schemas.openxmlformats.org/officeDocument/2006/relationships/hyperlink" Target="../../../../../../../../../Releases/Projects/MTS/Release%20For%20IT/Test_Build_3.0.5.25/Server%20CD/Database/Setup" TargetMode="External"/><Relationship Id="rId2764" Type="http://schemas.openxmlformats.org/officeDocument/2006/relationships/hyperlink" Target="../../../../../../../../../Releases/Projects/Telenet/Build&amp;Release/Release%20For%20Test/Test_Build_4.0.41/Server%20CD/Database/Setup" TargetMode="External"/><Relationship Id="rId168" Type="http://schemas.openxmlformats.org/officeDocument/2006/relationships/hyperlink" Target="../../../../../../../../../Projects/Neustar/BHN/Build&amp;Release/Release%20For%20Test/Test_Build_3.5.37/Server%20CD/Database/Setup" TargetMode="External"/><Relationship Id="rId943" Type="http://schemas.openxmlformats.org/officeDocument/2006/relationships/hyperlink" Target="../../../../../../../../../Releases/Projects/Comcast/Release_For_IT/Test_Build_4.6.1/Server%20CD/Database/Setup" TargetMode="External"/><Relationship Id="rId1019" Type="http://schemas.openxmlformats.org/officeDocument/2006/relationships/hyperlink" Target="../../../../../../../../../Releases/Projects/SLT/Release_For_LQA/Test_Build_1.0.0.23/Server%20CD/DBS/Setup" TargetMode="External"/><Relationship Id="rId1573" Type="http://schemas.openxmlformats.org/officeDocument/2006/relationships/hyperlink" Target="../../../../../../../../../Releases/Projects/Comcast/Release_For_IT/Test_Build_4.6.1/Server%20CD/Database/Setup" TargetMode="External"/><Relationship Id="rId1780" Type="http://schemas.openxmlformats.org/officeDocument/2006/relationships/hyperlink" Target="../../../../../../../../../Releases/Projects/SLT/Release_For_LQA/Test_Build_1.0.0.24/Server%20CD/DBS/Setup" TargetMode="External"/><Relationship Id="rId1878" Type="http://schemas.openxmlformats.org/officeDocument/2006/relationships/hyperlink" Target="../../../../../../../../../Releases/Projects/TLSTR-ST/Release_For_Test/Test_Build_1.0.1/Server%20CD/DBS/Setup" TargetMode="External"/><Relationship Id="rId2624" Type="http://schemas.openxmlformats.org/officeDocument/2006/relationships/hyperlink" Target="../../../../../../../../../Releases/Projects/BHN/Release_For_Test/Test_Build_1.0.6/Server%20CD/DBS/Setup" TargetMode="External"/><Relationship Id="rId72" Type="http://schemas.openxmlformats.org/officeDocument/2006/relationships/hyperlink" Target="../../../../../../../../../Releases/Projects/OBT/Release_For_LQA/TestBuild_1.0.0.3/Server%20CD/DBS/Setup" TargetMode="External"/><Relationship Id="rId375" Type="http://schemas.openxmlformats.org/officeDocument/2006/relationships/hyperlink" Target="../../../../../../../../../Releases/Projects/NM46/Release_For_Test/Test_Build_1.0.0.1/Server%20CD/MPE/Setup" TargetMode="External"/><Relationship Id="rId582" Type="http://schemas.openxmlformats.org/officeDocument/2006/relationships/hyperlink" Target="../../../../../../../../../Releases/Projects/OBT/Release_For_LQA/TestBuild_1.0.0.4/Server%20CD/DBS/Setup" TargetMode="External"/><Relationship Id="rId803" Type="http://schemas.openxmlformats.org/officeDocument/2006/relationships/hyperlink" Target="../../../../../../../../../Releases/Projects/SLT/Release_For_IT/Test_Build_1.0.0.4/Server%20CD/DBS/Setup" TargetMode="External"/><Relationship Id="rId1226" Type="http://schemas.openxmlformats.org/officeDocument/2006/relationships/hyperlink" Target="../../../../../../../../../Releases/Projects/Comcast/Release_For_IT/Test_Build_4.6.1/Server%20CD/Database/Setup" TargetMode="External"/><Relationship Id="rId1433" Type="http://schemas.openxmlformats.org/officeDocument/2006/relationships/hyperlink" Target="../../../../../../../../../Releases/Projects/SLT/Release_For_IT/Test_Build_1.0.0.4/Server%20CD/DBS/Setup" TargetMode="External"/><Relationship Id="rId1640" Type="http://schemas.openxmlformats.org/officeDocument/2006/relationships/hyperlink" Target="../../../../../../../../../Releases/Projects/BHN/Release_For_IT/TestBuild_1.0.0.1/Server%20CD/Utility/Setup" TargetMode="External"/><Relationship Id="rId1738" Type="http://schemas.openxmlformats.org/officeDocument/2006/relationships/hyperlink" Target="../../../../../../../../../Releases/Projects/TWC/Release_For_IT/Test_Build_1.0.0.3/Server%20CD/DBS/Setup" TargetMode="External"/><Relationship Id="rId2056" Type="http://schemas.openxmlformats.org/officeDocument/2006/relationships/hyperlink" Target="../../../../../../../../../Releases/Projects/FNB/Release_For_IT/TestBuild_1.0.1/Server%20CD/DBS/Setup" TargetMode="External"/><Relationship Id="rId2263" Type="http://schemas.openxmlformats.org/officeDocument/2006/relationships/hyperlink" Target="../../../../../../../../../Releases/Product/RE_2.0/Build&amp;Release/Release_For_LQA/Test_Build_1.0.1/Server%20CD/DBS/Setup" TargetMode="External"/><Relationship Id="rId2470" Type="http://schemas.openxmlformats.org/officeDocument/2006/relationships/hyperlink" Target="../../../../../../../../../Releases/Projects/SLT/Release_For_LQA/Test_Build_1.0.0.24/Server%20CD/DBS/Setup" TargetMode="External"/><Relationship Id="rId3" Type="http://schemas.openxmlformats.org/officeDocument/2006/relationships/hyperlink" Target="../../../../../../../../../Releases/Product/DataMind_2.0/Build&amp;Release/Release%20for%20IT/TestBuild_2.0.0/Server%20CD/DBS/Setup" TargetMode="External"/><Relationship Id="rId235" Type="http://schemas.openxmlformats.org/officeDocument/2006/relationships/hyperlink" Target="../../../../../../../../../Releases/Projects/Comcast/Release_for_Test/Test_Build_3.5.50/Server%20CD/MPE/Setup" TargetMode="External"/><Relationship Id="rId442" Type="http://schemas.openxmlformats.org/officeDocument/2006/relationships/hyperlink" Target="../../../../../../../../../Releases/Product/WEB_WFS/Build&amp;Release/Release%20For%20Test/TestBuild_2.1.23/Build1/ServerCD/GUI/Setup" TargetMode="External"/><Relationship Id="rId887" Type="http://schemas.openxmlformats.org/officeDocument/2006/relationships/hyperlink" Target="../../../../../../../../../Releases/Product/NetMindPOS_1.3/Build&amp;Release/Release_For_LQA/Test_Build_1.0.1/Server%20CD/DBS/Setup" TargetMode="External"/><Relationship Id="rId1072" Type="http://schemas.openxmlformats.org/officeDocument/2006/relationships/hyperlink" Target="../../../../../../../../../Releases/Projects/Telenet/Build&amp;Release/Release%20For%20Test/Test_Build_4.0.41/Server%20CD/MPE/Setup" TargetMode="External"/><Relationship Id="rId1500" Type="http://schemas.openxmlformats.org/officeDocument/2006/relationships/hyperlink" Target="../../../../../../../../../Releases/Projects/SLT/Release_For_IT/Test_Build_1.0.0.4/Server%20CD/DBS/Setup" TargetMode="External"/><Relationship Id="rId1945" Type="http://schemas.openxmlformats.org/officeDocument/2006/relationships/hyperlink" Target="../../../../../../../../../Releases/Projects/FNB/Release_For_Test/Test_Build_1.0.1/Server%20CD/GUI/Setup" TargetMode="External"/><Relationship Id="rId2123" Type="http://schemas.openxmlformats.org/officeDocument/2006/relationships/hyperlink" Target="../../../../../../../../../Releases/Projects/MCC/Release_For_Test/Test_Build_1.0.1/Server%20CD/MPE/Setup" TargetMode="External"/><Relationship Id="rId2330" Type="http://schemas.openxmlformats.org/officeDocument/2006/relationships/hyperlink" Target="../../../../../../../../../Releases/Projects/TLSTR-ST/Release_For_Test/Test_Build_1.0.1/Server%20CD/DBS/Setup" TargetMode="External"/><Relationship Id="rId2568" Type="http://schemas.openxmlformats.org/officeDocument/2006/relationships/hyperlink" Target="../../../../../../../../../Releases/Projects/SLT/Release_For_LQA/Test_Build_1.0.0.24/Server%20CD/DBS/Setup" TargetMode="External"/><Relationship Id="rId2775" Type="http://schemas.openxmlformats.org/officeDocument/2006/relationships/hyperlink" Target="../../../../../../../../../Releases/Projects/FNB/Release_For_Test/Test_Build_1.0.2/Server%20CD/DBS/Setup" TargetMode="External"/><Relationship Id="rId302" Type="http://schemas.openxmlformats.org/officeDocument/2006/relationships/hyperlink" Target="../../../../../../../../../Releases/Projects/Comcast/Release_For_IT/Test_Build_3.5.50/Utility/Setup" TargetMode="External"/><Relationship Id="rId747" Type="http://schemas.openxmlformats.org/officeDocument/2006/relationships/hyperlink" Target="../../../../../../../../../Releases/Projects/SLT/Release_For_IT/Test_Build_1.0.0.4/Server%20CD/DBS/Setup" TargetMode="External"/><Relationship Id="rId954" Type="http://schemas.openxmlformats.org/officeDocument/2006/relationships/hyperlink" Target="../../../../../../../../../Releases/Projects/Comcast/Release_for_Test/Test_Build_4.6.4/Server%20CD/Database/Setup" TargetMode="External"/><Relationship Id="rId1377" Type="http://schemas.openxmlformats.org/officeDocument/2006/relationships/hyperlink" Target="../../../../../../../../../Releases/Product/UTL_SUBPRT/Release_For_Test/TestBuild_1.0.0.1/Utility/DBS/Setup" TargetMode="External"/><Relationship Id="rId1584" Type="http://schemas.openxmlformats.org/officeDocument/2006/relationships/hyperlink" Target="../../../../../../../../../Releases/Projects/TWC/Release_For_Test/Test_Build_1.0.0.4/Server%20CD/DBS/Setup" TargetMode="External"/><Relationship Id="rId1791" Type="http://schemas.openxmlformats.org/officeDocument/2006/relationships/hyperlink" Target="../../../../../../../../../Releases/Projects/SLT/Release_For_IT/Test_Build_1.0.0.4/Server%20CD/DBS/Setup" TargetMode="External"/><Relationship Id="rId1805" Type="http://schemas.openxmlformats.org/officeDocument/2006/relationships/hyperlink" Target="../../../../../../../../../Releases/Projects/Comcast/Release_for_Test/Test_Build_4.6.6/Server%20CD/Database/Setup" TargetMode="External"/><Relationship Id="rId2428" Type="http://schemas.openxmlformats.org/officeDocument/2006/relationships/hyperlink" Target="../../../../../../../../../Releases/Projects/SLT/Release_For_LQA/Test_Build_1.0.0.24/Server%20CD/DBS/Setup" TargetMode="External"/><Relationship Id="rId2635" Type="http://schemas.openxmlformats.org/officeDocument/2006/relationships/hyperlink" Target="../../../../../../../../../Releases/Projects/Comcast/Release_for_Test/Test_Build_4.6.8/Server%20CD/GUI/Setup" TargetMode="External"/><Relationship Id="rId83" Type="http://schemas.openxmlformats.org/officeDocument/2006/relationships/hyperlink" Target="../../../../../../../../../Releases/Projects/ANTEL/Release_For_Test/Test_Build_1.0.0.6/Server%20CD/MPE/Setup" TargetMode="External"/><Relationship Id="rId179" Type="http://schemas.openxmlformats.org/officeDocument/2006/relationships/hyperlink" Target="../../../../../../../../../Releases/Projects/SLT-1B/Release_For_Test/Test_Build_1.0.0.1/Server%20CD/MPE/Setup" TargetMode="External"/><Relationship Id="rId386" Type="http://schemas.openxmlformats.org/officeDocument/2006/relationships/hyperlink" Target="../../../../../../../../../Releases/Projects/SLT-1B/Release_For_Test/Test_Build_1.0.0.1/Server%20CD/MPE/Setup" TargetMode="External"/><Relationship Id="rId593" Type="http://schemas.openxmlformats.org/officeDocument/2006/relationships/hyperlink" Target="../../../../../../../../../Releases/Product/RevMind_2.1/Build&amp;Release/Release_For_LQA/Test_Build_1.0.2/Server%20CD/DBS/Setup" TargetMode="External"/><Relationship Id="rId607" Type="http://schemas.openxmlformats.org/officeDocument/2006/relationships/hyperlink" Target="../../../../../../../../../Releases/Projects/SLT/Release_For_LQA/Test_Build_1.0.0.21/Server%20CD/DBS/Setup" TargetMode="External"/><Relationship Id="rId814" Type="http://schemas.openxmlformats.org/officeDocument/2006/relationships/hyperlink" Target="../../../../../../../../../Releases/Projects/Comcast/Release_for_Test/Test_Build_4.6.4/Server%20CD/Database/Setup" TargetMode="External"/><Relationship Id="rId1237" Type="http://schemas.openxmlformats.org/officeDocument/2006/relationships/hyperlink" Target="../../../../../../../../../Releases/Projects/Comcast/Release_for_Test/Test_Build_4.6.5/Server%20CD/Database/Setup" TargetMode="External"/><Relationship Id="rId1444" Type="http://schemas.openxmlformats.org/officeDocument/2006/relationships/hyperlink" Target="../../../../../../../../../Releases/Projects/SLT/Release_For_LQA/Test_Build_1.0.0.24/Server%20CD/DBS/Setup" TargetMode="External"/><Relationship Id="rId1651" Type="http://schemas.openxmlformats.org/officeDocument/2006/relationships/hyperlink" Target="../../../../../../../../../Releases/Projects/Comcast/Release_for_Test/Test_Build_4.6.6/Server%20CD/Database/Setup" TargetMode="External"/><Relationship Id="rId1889" Type="http://schemas.openxmlformats.org/officeDocument/2006/relationships/hyperlink" Target="../../../../../../../../../Releases/Projects/SLT/Release_For_IT/Test_Build_1.0.0.4/Server%20CD/DBS/Setup" TargetMode="External"/><Relationship Id="rId2067" Type="http://schemas.openxmlformats.org/officeDocument/2006/relationships/hyperlink" Target="../../../../../../../../../Releases/Projects/MCC/Release_For_Test/Test_Build_1.0.1/Server%20CD/GUI/Setup" TargetMode="External"/><Relationship Id="rId2274" Type="http://schemas.openxmlformats.org/officeDocument/2006/relationships/hyperlink" Target="../../../../../../../../../Releases/Projects/BHN/Release_For_Test/Test_Build_1.0.5/Server%20CD/Utility/Setup" TargetMode="External"/><Relationship Id="rId2481" Type="http://schemas.openxmlformats.org/officeDocument/2006/relationships/hyperlink" Target="../../../../../../../../../Releases/Product/CSGUI_2.6/Build&amp;Release/Release_For_LQA/Test_Build_1.0.3/Server%20CD/GUI/Setup" TargetMode="External"/><Relationship Id="rId2702" Type="http://schemas.openxmlformats.org/officeDocument/2006/relationships/hyperlink" Target="../../../../../../../../../Releases/Projects/SLT/Release_For_LQA/Test_Build_1.0.0.25/Server%20CD/GUI/Setup" TargetMode="External"/><Relationship Id="rId246" Type="http://schemas.openxmlformats.org/officeDocument/2006/relationships/hyperlink" Target="../../../../../../../../../Releases/Projects/SLT/Release_For_LQA/Test_Build_1.0.0.17/Server%20CD/GUI/Setup" TargetMode="External"/><Relationship Id="rId453" Type="http://schemas.openxmlformats.org/officeDocument/2006/relationships/hyperlink" Target="../../../../../../../../../Releases/Projects/Telenet/Build&amp;Release/Release%20For%20Test/Test_Build_4.0.40/Client%20CD/GUI/Workflow%20System/Setup" TargetMode="External"/><Relationship Id="rId660" Type="http://schemas.openxmlformats.org/officeDocument/2006/relationships/hyperlink" Target="../../../../../../../../../Releases/Product/MPE_GUI/ReleaseForLQA/TestBuild_1.0.0.2/Server%20CD/MPE/Setup" TargetMode="External"/><Relationship Id="rId898" Type="http://schemas.openxmlformats.org/officeDocument/2006/relationships/hyperlink" Target="../../../../../../../../../Releases/Projects/SLT-1B/Release_For_Test/Test_Build_1.0.0.1/Server%20CD/MPE/Setup" TargetMode="External"/><Relationship Id="rId1083" Type="http://schemas.openxmlformats.org/officeDocument/2006/relationships/hyperlink" Target="../../../../../../../../../Releases/Projects/SLT/Release_For_IT/Test_Build_1.0.0.4/Server%20CD/DBS/Setup" TargetMode="External"/><Relationship Id="rId1290" Type="http://schemas.openxmlformats.org/officeDocument/2006/relationships/hyperlink" Target="../../../../../../../../../Releases/Projects/Comcast/Release_For_IT/Test_Build_4.6.1/Server%20CD/Database/Setup" TargetMode="External"/><Relationship Id="rId1304" Type="http://schemas.openxmlformats.org/officeDocument/2006/relationships/hyperlink" Target="../../../../../../../../../Releases/Projects/Comcast/Release_for_Test/Test_Build_4.6.5/Server%20CD/Database/Setup" TargetMode="External"/><Relationship Id="rId1511" Type="http://schemas.openxmlformats.org/officeDocument/2006/relationships/hyperlink" Target="../../../../../../../../../Releases/Projects/Comcast/Release_for_Test/Test_Build_4.6.6/Server%20CD/Database/Setup" TargetMode="External"/><Relationship Id="rId1749" Type="http://schemas.openxmlformats.org/officeDocument/2006/relationships/hyperlink" Target="../../../../../../../../../Releases/Projects/Comcast/Release_For_IT/Test_Build_4.6.1/Server%20CD/Database/Setup" TargetMode="External"/><Relationship Id="rId1956" Type="http://schemas.openxmlformats.org/officeDocument/2006/relationships/hyperlink" Target="../../../../../../../../../Releases/Projects/FNB/Release_For_Test/Test_Build_1.0.1/Server%20CD/DBS/Setup" TargetMode="External"/><Relationship Id="rId2134" Type="http://schemas.openxmlformats.org/officeDocument/2006/relationships/hyperlink" Target="../../../../../../../../../Releases/Projects/Telenet/Build&amp;Release/Release%20For%20Test/Test_Build_4.0.41/Server%20CD/Database/Setup" TargetMode="External"/><Relationship Id="rId2341" Type="http://schemas.openxmlformats.org/officeDocument/2006/relationships/hyperlink" Target="../../../../../../../../../Releases/Projects/SLT/Release_For_IT/Test_Build_1.0.0.4/Server%20CD/DBS/Setup" TargetMode="External"/><Relationship Id="rId2579" Type="http://schemas.openxmlformats.org/officeDocument/2006/relationships/hyperlink" Target="../../../../../../../../../Releases/Projects/TWC/Release_For_Test/Test_Build_1.0.0.4/Server%20CD/DBS/Setup" TargetMode="External"/><Relationship Id="rId2786" Type="http://schemas.openxmlformats.org/officeDocument/2006/relationships/hyperlink" Target="../../../../../../../../../Releases/Projects/SLT/Release_For_IT/Test_Build_1.0.0.4/Server%20CD/DBS/Setup" TargetMode="External"/><Relationship Id="rId106" Type="http://schemas.openxmlformats.org/officeDocument/2006/relationships/hyperlink" Target="../../../../../../../../../Releases/Projects/SLT/Release_For_LQA/Test_Build_1.0.0.17/Server%20CD/DBS/Setup" TargetMode="External"/><Relationship Id="rId313" Type="http://schemas.openxmlformats.org/officeDocument/2006/relationships/hyperlink" Target="../../../../../../../../../Releases/Product/RE_1.0/ReleaseForLQA/TestBuild_1.0.1/DBS/Build4/Setup" TargetMode="External"/><Relationship Id="rId758" Type="http://schemas.openxmlformats.org/officeDocument/2006/relationships/hyperlink" Target="../../../../../../../../../Releases/Projects/SLT/Release_For_IT/Test_Build_1.0.0.4/Server%20CD/DBS/Setup" TargetMode="External"/><Relationship Id="rId965" Type="http://schemas.openxmlformats.org/officeDocument/2006/relationships/hyperlink" Target="../../../../../../../../../Releases/Projects/SLT/Release_For_LQA/Test_Build_1.0.0.23/Server%20CD/GUI/Setup" TargetMode="External"/><Relationship Id="rId1150" Type="http://schemas.openxmlformats.org/officeDocument/2006/relationships/hyperlink" Target="../../../../../../../../../Releases/Projects/Comcast/Release_for_Test/Test_Build_4.6.5/Utility/Setup" TargetMode="External"/><Relationship Id="rId1388" Type="http://schemas.openxmlformats.org/officeDocument/2006/relationships/hyperlink" Target="../../../../../../../../../Releases/Product/RevMind_2.1/Build&amp;Release/Release_For_IT/TestBuild_1.0.1/Server%20CD/DBS/Setup" TargetMode="External"/><Relationship Id="rId1595" Type="http://schemas.openxmlformats.org/officeDocument/2006/relationships/hyperlink" Target="../../../../../../../../../Releases/Projects/TLSTR-ST/Release_For_Test/Test_Build_1.0.0.1/Server%20CD/MPE/Setup" TargetMode="External"/><Relationship Id="rId1609" Type="http://schemas.openxmlformats.org/officeDocument/2006/relationships/hyperlink" Target="../../../../../../../../../Releases/Projects/SLT/Release_For_LQA/Test_Build_1.0.0.24/Server%20CD/DBS/Setup" TargetMode="External"/><Relationship Id="rId1816" Type="http://schemas.openxmlformats.org/officeDocument/2006/relationships/hyperlink" Target="../../../../../../../../../Releases/Projects/Telstra/Release_For_LQA/Test_Build_1.0.0.18/Server%20CD/DBS/Setup" TargetMode="External"/><Relationship Id="rId2439" Type="http://schemas.openxmlformats.org/officeDocument/2006/relationships/hyperlink" Target="../../../../../../../../../Releases/Projects/TWC/Release_For_IT/Test_Build_1.0.0.3/Server%20CD/DBS/Setup" TargetMode="External"/><Relationship Id="rId2646" Type="http://schemas.openxmlformats.org/officeDocument/2006/relationships/hyperlink" Target="../../../../../../../../../Releases/Projects/SLT/Release_For_LQA/Test_Build_1.0.0.24/Server%20CD/DBS/Setup" TargetMode="External"/><Relationship Id="rId10" Type="http://schemas.openxmlformats.org/officeDocument/2006/relationships/hyperlink" Target="../../../../../../../../../Releases/Projects/OBT/Release_For_IT/TestBuild_1.0.0.2/Server%20CD/DBS/Setup" TargetMode="External"/><Relationship Id="rId94" Type="http://schemas.openxmlformats.org/officeDocument/2006/relationships/hyperlink" Target="../../../../../../../../../Releases/Product/RE_1.0/ReleaseForLQA/TestBuild_1.0.1/GUI/Setup" TargetMode="External"/><Relationship Id="rId397" Type="http://schemas.openxmlformats.org/officeDocument/2006/relationships/hyperlink" Target="../../../../../../../../../Releases/Product/NetMindPOS_1.1/Build&amp;Release/Release%20for%20LQA/TestBuild_1.2.3/Server%20CD/DBS/Setup" TargetMode="External"/><Relationship Id="rId520" Type="http://schemas.openxmlformats.org/officeDocument/2006/relationships/hyperlink" Target="../../../../../../../../../Releases/Projects/OBT/Release_For_IT/TestBuild_1.0.0.2/Server%20CD/DBS/Setup" TargetMode="External"/><Relationship Id="rId618" Type="http://schemas.openxmlformats.org/officeDocument/2006/relationships/hyperlink" Target="../../../../../../../../../Releases/Projects/Comcast/Release_for_Test/Test_Build_4.6.2/Server%20CD/GUI/Setup" TargetMode="External"/><Relationship Id="rId825" Type="http://schemas.openxmlformats.org/officeDocument/2006/relationships/hyperlink" Target="../../../../../../../../../Releases/Product/RT_4.0/ReleaseForLQA/TestBuild_4.0.22/DBS/Setup" TargetMode="External"/><Relationship Id="rId1248" Type="http://schemas.openxmlformats.org/officeDocument/2006/relationships/hyperlink" Target="../../../../../../../../../Releases/Projects/TWC/Release_For_Test/Test_Build_1.0.0.4/Server%20CD/DBS/Setup" TargetMode="External"/><Relationship Id="rId1455" Type="http://schemas.openxmlformats.org/officeDocument/2006/relationships/hyperlink" Target="../../../../../../../../../Releases/Product/AWF/Build&amp;Release/Release%20For%20Test/TestBuild_2.0.1/Setup" TargetMode="External"/><Relationship Id="rId1662" Type="http://schemas.openxmlformats.org/officeDocument/2006/relationships/hyperlink" Target="../../../../../../../../../Projects/Neustar/BHN/Build&amp;Release/Release%20For%20IT/Test_Build_3.5.37/Server%20CD/Database/Setup" TargetMode="External"/><Relationship Id="rId2078" Type="http://schemas.openxmlformats.org/officeDocument/2006/relationships/hyperlink" Target="../../../../../../../../../Releases/Projects/Comcast/Release_For_IT/Test_Build_4.6.1/Server%20CD/Database/Setup" TargetMode="External"/><Relationship Id="rId2201" Type="http://schemas.openxmlformats.org/officeDocument/2006/relationships/hyperlink" Target="../../../../../../../../../Releases/Projects/TLSTR-ST/Release_For_Test/Test_Build_1.0.1/Server%20CD/MPE/Setup" TargetMode="External"/><Relationship Id="rId2285" Type="http://schemas.openxmlformats.org/officeDocument/2006/relationships/hyperlink" Target="../../../../../../../../../Releases/Projects/BHN/Release_For_Test/Test_Build_1.0.5/Server%20CD/Utility/Setup" TargetMode="External"/><Relationship Id="rId2492" Type="http://schemas.openxmlformats.org/officeDocument/2006/relationships/hyperlink" Target="../../../../../../../../../Releases/Projects/TLSTR-ST/Release_For_IT/TestBuild_1.0.1/Server%20CD/DBS/Setup" TargetMode="External"/><Relationship Id="rId2506" Type="http://schemas.openxmlformats.org/officeDocument/2006/relationships/hyperlink" Target="../../../../../../../../../Releases/Projects/TLSTR-ST/Release_For_Test/Test_Build_1.0.1/Server%20CD/DBS/Setup" TargetMode="External"/><Relationship Id="rId257" Type="http://schemas.openxmlformats.org/officeDocument/2006/relationships/hyperlink" Target="../../../../../../../../../Releases/Projects/OBT/Release_For_LQA/TestBuild_1.0.0.4/Server%20CD/MPE/Setup" TargetMode="External"/><Relationship Id="rId464" Type="http://schemas.openxmlformats.org/officeDocument/2006/relationships/hyperlink" Target="../../../../../../../../../Releases/Projects/SLT/Release_For_LQA/Test_Build_1.0.0.19/Server%20CD/DBS/Setup" TargetMode="External"/><Relationship Id="rId1010" Type="http://schemas.openxmlformats.org/officeDocument/2006/relationships/hyperlink" Target="../../../../../../../../../Releases/Projects/SLT/Release_For_LQA/Test_Build_1.0.0.23/Server%20CD/DBS/Setup" TargetMode="External"/><Relationship Id="rId1094" Type="http://schemas.openxmlformats.org/officeDocument/2006/relationships/hyperlink" Target="../../../../../../../../../Releases/Projects/Telstra-2b/Release_For_Test/Test_Build_1.0.0.1/Server%20CD/MPE/Setup" TargetMode="External"/><Relationship Id="rId1108" Type="http://schemas.openxmlformats.org/officeDocument/2006/relationships/hyperlink" Target="../../../../../../../../../Releases/Projects/SLT/Release_For_LQA/Test_Build_1.0.0.23/Server%20CD/DBS/Setup" TargetMode="External"/><Relationship Id="rId1315" Type="http://schemas.openxmlformats.org/officeDocument/2006/relationships/hyperlink" Target="../../../../../../../../../Releases/Product/RT_4.0/ReleaseForLQA/TestBuild_4.0.24/GUI/Build1/Setup" TargetMode="External"/><Relationship Id="rId1967" Type="http://schemas.openxmlformats.org/officeDocument/2006/relationships/hyperlink" Target="../../../../../../../../../Releases/Projects/TWC/Release_For_Test/Test_Build_1.0.0.4/Server%20CD/DBS/Setup" TargetMode="External"/><Relationship Id="rId2145" Type="http://schemas.openxmlformats.org/officeDocument/2006/relationships/hyperlink" Target="../../../../../../../../../Releases/Projects/Telenet/Build&amp;Release/Release%20For%20IT/Test_Build_4.0.41/Server%20CD/Database/Setup" TargetMode="External"/><Relationship Id="rId2713" Type="http://schemas.openxmlformats.org/officeDocument/2006/relationships/hyperlink" Target="../../../../../../../../../Releases/Projects/OBT/Release_For_IT/TestBuild_1.0.0.2/Server%20CD/DBS/Setup" TargetMode="External"/><Relationship Id="rId2797" Type="http://schemas.openxmlformats.org/officeDocument/2006/relationships/hyperlink" Target="../../../../../../../../../Releases/Projects/TWC/Release_For_IT/Test_Build_1.0.0.3/Server%20CD/DBS/Setup" TargetMode="External"/><Relationship Id="rId117" Type="http://schemas.openxmlformats.org/officeDocument/2006/relationships/hyperlink" Target="../../../../../../../../../Releases/Projects/MAX/Release_For_IT/TestBuild_1.0.0.1/Server%20CD/DBS/Setup" TargetMode="External"/><Relationship Id="rId671" Type="http://schemas.openxmlformats.org/officeDocument/2006/relationships/hyperlink" Target="../../../../../../../../../Releases/Projects/Telstra/Release_For_IT/Test_Build_1.0.0.18/Server%20CD/DBS/Setup" TargetMode="External"/><Relationship Id="rId769" Type="http://schemas.openxmlformats.org/officeDocument/2006/relationships/hyperlink" Target="../../../../../../../../../Releases/Product/RevMind_2.1/Build&amp;Release/Release_For_LQA/Test_Build_1.0.2/Server%20CD/GUI/CS/Setup" TargetMode="External"/><Relationship Id="rId976" Type="http://schemas.openxmlformats.org/officeDocument/2006/relationships/hyperlink" Target="../../../../../../../../../Releases/Projects/SLT/Release_For_IT/Test_Build_1.0.0.4/Server%20CD/DBS/Setup" TargetMode="External"/><Relationship Id="rId1399" Type="http://schemas.openxmlformats.org/officeDocument/2006/relationships/hyperlink" Target="../../../../../../../../../Releases/Projects/SLT-1B/Release_For_Test/Test_Build_1.0.0.1/Server%20CD/MPE/Setup" TargetMode="External"/><Relationship Id="rId2352" Type="http://schemas.openxmlformats.org/officeDocument/2006/relationships/hyperlink" Target="file:///\\192.168.3.3\share\Releases\Product\NetMindPOS_1.1\Build&amp;Release\Release%20for%20LQA\TestBuild_1.2.3\Server%20CD\DBS\Setup" TargetMode="External"/><Relationship Id="rId2657" Type="http://schemas.openxmlformats.org/officeDocument/2006/relationships/hyperlink" Target="../../../../../../../../../Releases/Product/RT_4.0/ReleaseForLQA/TestBuild_4.0.24/GUI/Build1/Setup" TargetMode="External"/><Relationship Id="rId324" Type="http://schemas.openxmlformats.org/officeDocument/2006/relationships/hyperlink" Target="../../../../../../../../../Releases/Projects/TWC/Release_For_Test/Test_Build_1.0.0.4/Server%20CD/DBS/Setup" TargetMode="External"/><Relationship Id="rId531" Type="http://schemas.openxmlformats.org/officeDocument/2006/relationships/hyperlink" Target="../../../../../../../../../Releases/Projects/Comcast/Release_For_IT/Test_Build_4.6.1/Server%20CD/Database/Setup" TargetMode="External"/><Relationship Id="rId629" Type="http://schemas.openxmlformats.org/officeDocument/2006/relationships/hyperlink" Target="../../../../../../../../../Releases/Projects/COM/Release_For_IT/TestBuild_1.0.0.1/Server%20CD/DBS/Setup" TargetMode="External"/><Relationship Id="rId1161" Type="http://schemas.openxmlformats.org/officeDocument/2006/relationships/hyperlink" Target="../../../../../../../../../Releases/Projects/SLT/Release_For_IT/Test_Build_1.0.0.4/Server%20CD/DBS/Setup" TargetMode="External"/><Relationship Id="rId1259" Type="http://schemas.openxmlformats.org/officeDocument/2006/relationships/hyperlink" Target="../../../../../../../../../Releases/Projects/ANTEL/Release_For_Test/Test_Build_1.0.0.7/Server%20CD/DBS/Setup" TargetMode="External"/><Relationship Id="rId1466" Type="http://schemas.openxmlformats.org/officeDocument/2006/relationships/hyperlink" Target="../../../../../../../../../Releases/Projects/SLT/Release_For_IT/Test_Build_1.0.0.4/Server%20CD/DBS/Setup" TargetMode="External"/><Relationship Id="rId2005" Type="http://schemas.openxmlformats.org/officeDocument/2006/relationships/hyperlink" Target="../../../../../../../../../Releases/Projects/SLT-1B/Release_For_Test/Test_Build_1.0.0.1/Server%20CD/MPE/Setup" TargetMode="External"/><Relationship Id="rId2212" Type="http://schemas.openxmlformats.org/officeDocument/2006/relationships/hyperlink" Target="../../../../../../../../../Releases/Product/Netmind_4.6/Build&amp;Release/ReleaseForIT/TestBuild_4.6.1/Build4/ServerCD/DBS/Setup" TargetMode="External"/><Relationship Id="rId836" Type="http://schemas.openxmlformats.org/officeDocument/2006/relationships/hyperlink" Target="../../../../../../../../../Releases/Projects/Comcast/Release_For_IT/Test_Build_4.6.1/Server%20CD/Database/Setup" TargetMode="External"/><Relationship Id="rId1021" Type="http://schemas.openxmlformats.org/officeDocument/2006/relationships/hyperlink" Target="../../../../../../../../../Releases/Projects/SLT/Release_For_IT/Test_Build_1.0.0.4/Server%20CD/DBS/Setup" TargetMode="External"/><Relationship Id="rId1119" Type="http://schemas.openxmlformats.org/officeDocument/2006/relationships/hyperlink" Target="../../../../../../../../../Releases/Product/VCS/Build&amp;Release/Release%20For%20LQA/TestBuild_1.0.0/Build1/ServerCD/GUI/Setup" TargetMode="External"/><Relationship Id="rId1673" Type="http://schemas.openxmlformats.org/officeDocument/2006/relationships/hyperlink" Target="../../../../../../../../../Releases/Projects/OBT/Release_For_LQA/TestBuild_1.0.0.7/Server%20CD/MPE/Setup" TargetMode="External"/><Relationship Id="rId1880" Type="http://schemas.openxmlformats.org/officeDocument/2006/relationships/hyperlink" Target="../../../../../../../../../Releases/Projects/Comcast/Release_for_Test/Test_Build_4.6.6/Server%20CD/Database/Setup" TargetMode="External"/><Relationship Id="rId1978" Type="http://schemas.openxmlformats.org/officeDocument/2006/relationships/hyperlink" Target="../../../../../../../../../Releases/Projects/FNB/Release_For_Test/Test_Build_1.0.1/Server%20CD/DBS/Setup" TargetMode="External"/><Relationship Id="rId2517" Type="http://schemas.openxmlformats.org/officeDocument/2006/relationships/hyperlink" Target="../../../../../../../../../Releases/Projects/Telenet/Build&amp;Release/Release%20For%20Test/Test_Build_4.0.41/Server%20CD/Database/Setup" TargetMode="External"/><Relationship Id="rId2724" Type="http://schemas.openxmlformats.org/officeDocument/2006/relationships/hyperlink" Target="../../../../../../../../../Releases/Projects/NM48/Release_For_Test/Test_Build_1.0.0.1/Server%20CD/MPE/Setup" TargetMode="External"/><Relationship Id="rId903" Type="http://schemas.openxmlformats.org/officeDocument/2006/relationships/hyperlink" Target="../../../../../../../../../Releases/Product/RevMind_2.1/Build&amp;Release/Release_For_IT/TestBuild_1.0.1/Server%20CD/DBS/Setup" TargetMode="External"/><Relationship Id="rId1326" Type="http://schemas.openxmlformats.org/officeDocument/2006/relationships/hyperlink" Target="../../../../../../../../../Releases/Projects/Comcast/Release_For_IT/Test_Build_4.6.1/Server%20CD/Database/Setup" TargetMode="External"/><Relationship Id="rId1533" Type="http://schemas.openxmlformats.org/officeDocument/2006/relationships/hyperlink" Target="../../../../../../../../../Releases/Projects/TWC/Release_For_Test/Test_Build_1.0.0.4/Utility/Setup" TargetMode="External"/><Relationship Id="rId1740" Type="http://schemas.openxmlformats.org/officeDocument/2006/relationships/hyperlink" Target="../../../../../../../../../Releases/Projects/TLSTR-ST/Release_For_Test/Test_Build_1.0.1/Server%20CD/DBS/Setup" TargetMode="External"/><Relationship Id="rId32" Type="http://schemas.openxmlformats.org/officeDocument/2006/relationships/hyperlink" Target="../../../../../../../../../Releases/Projects/Telstra/Release_For_LQA/Test_Build_1.0.0.18/Server%20CD/DBS/Setup" TargetMode="External"/><Relationship Id="rId1600" Type="http://schemas.openxmlformats.org/officeDocument/2006/relationships/hyperlink" Target="../../../../../../../../../Releases/Product/NetMindPOS_1.1/Build&amp;Release/Release%20for%20LQA/TestBuild_1.2.3/Server%20CD/DBS/Setup" TargetMode="External"/><Relationship Id="rId1838" Type="http://schemas.openxmlformats.org/officeDocument/2006/relationships/hyperlink" Target="../../../../../../../../../Releases/Projects/Comcast/Release_For_IT/Test_Build_4.6.1/Server%20CD/Database/Setup" TargetMode="External"/><Relationship Id="rId181" Type="http://schemas.openxmlformats.org/officeDocument/2006/relationships/hyperlink" Target="../../../../../../../../../Releases/Projects/MAX/Release_For_Test/Test_Build_1.0.0.1/Server%20CD/MPE/Setup" TargetMode="External"/><Relationship Id="rId1905" Type="http://schemas.openxmlformats.org/officeDocument/2006/relationships/hyperlink" Target="../../../../../../../../../Releases/Projects/TWC/Release_For_Test/Test_Build_1.0.0.4/Server%20CD/DBS/Setup" TargetMode="External"/><Relationship Id="rId279" Type="http://schemas.openxmlformats.org/officeDocument/2006/relationships/hyperlink" Target="../../../../../../../../../Releases/Product/RouteMind_2.0/Release%20for%20IT/TestBuild_2.0.4/Client%20CD/GUI/Setup" TargetMode="External"/><Relationship Id="rId486" Type="http://schemas.openxmlformats.org/officeDocument/2006/relationships/hyperlink" Target="../../../../../../../../../Releases/Projects/SLT/Release_For_LQA/Test_Build_1.0.0.19/Server%20CD/DBS/Setup" TargetMode="External"/><Relationship Id="rId693" Type="http://schemas.openxmlformats.org/officeDocument/2006/relationships/hyperlink" Target="../../../../../../../../../Releases/Projects/Comcast/Release_For_IT/Test_Build_4.6.1/Server%20CD/Database/Setup" TargetMode="External"/><Relationship Id="rId2167" Type="http://schemas.openxmlformats.org/officeDocument/2006/relationships/hyperlink" Target="../../../../../../../../../Releases/Projects/TLSTR-ST/Release_For_Test/Test_Build_1.0.1/Server%20CD/DBS/Setup" TargetMode="External"/><Relationship Id="rId2374" Type="http://schemas.openxmlformats.org/officeDocument/2006/relationships/hyperlink" Target="../../../../../../../../../Releases/Projects/FNB/Release_For_Test/Test_Build_1.0.1/Server%20CD/DBS/Setup" TargetMode="External"/><Relationship Id="rId2581" Type="http://schemas.openxmlformats.org/officeDocument/2006/relationships/hyperlink" Target="../../../../../../../../../Releases/Projects/BHN/Release_For_Test/Test_Build_1.0.6/Server%20CD/DBS/Setup" TargetMode="External"/><Relationship Id="rId139" Type="http://schemas.openxmlformats.org/officeDocument/2006/relationships/hyperlink" Target="../../../../../../../../../Releases/Projects/Comcast/Release_For_IT/Test_Build_3.5.50/Server%20CD/Database/Setup" TargetMode="External"/><Relationship Id="rId346" Type="http://schemas.openxmlformats.org/officeDocument/2006/relationships/hyperlink" Target="../../../../../../../../../Releases/Projects/Comcast/Release_for_Test/Test_Build_4.6.1/Utility/Setup" TargetMode="External"/><Relationship Id="rId553" Type="http://schemas.openxmlformats.org/officeDocument/2006/relationships/hyperlink" Target="../../../../../../../../../Releases/Projects/Telstra/Release_For_IT/Test_Build_1.0.0.18/Server%20CD/DBS/Setup" TargetMode="External"/><Relationship Id="rId760" Type="http://schemas.openxmlformats.org/officeDocument/2006/relationships/hyperlink" Target="../../../../../../../../../Releases/Product/AWF/Build&amp;Release/Release%20For%20Test/TestBuild_2.0.1/Setup" TargetMode="External"/><Relationship Id="rId998" Type="http://schemas.openxmlformats.org/officeDocument/2006/relationships/hyperlink" Target="../../../../../../../../../Releases/Projects/Comcast/Release_For_IT/Test_Build_4.6.1/Server%20CD/Database/Setup" TargetMode="External"/><Relationship Id="rId1183" Type="http://schemas.openxmlformats.org/officeDocument/2006/relationships/hyperlink" Target="../../../../../../../../../Releases/Projects/ANTEL/Release_For_Test/Test_Build_1.0.0.7/Server%20CD/DBS/Setup" TargetMode="External"/><Relationship Id="rId1390" Type="http://schemas.openxmlformats.org/officeDocument/2006/relationships/hyperlink" Target="../../../../../../../../../Releases/Projects/OBT/Release_For_IT/TestBuild_1.0.0.2/Server%20CD/DBS/Setup" TargetMode="External"/><Relationship Id="rId2027" Type="http://schemas.openxmlformats.org/officeDocument/2006/relationships/hyperlink" Target="../../../../../../../../../Releases/Projects/TLSTR-ST/Release_For_IT/TestBuild_1.0.1/Server%20CD/DBS/Setup" TargetMode="External"/><Relationship Id="rId2234" Type="http://schemas.openxmlformats.org/officeDocument/2006/relationships/hyperlink" Target="../../../../../../../../../Releases/Projects/SLT/Release_For_IT/Test_Build_1.0.0.4/Server%20CD/DBS/Setup" TargetMode="External"/><Relationship Id="rId2441" Type="http://schemas.openxmlformats.org/officeDocument/2006/relationships/hyperlink" Target="../../../../../../../../../Releases/Projects/TLSTR-ST/Release_For_IT/TestBuild_1.0.1/Server%20CD/DBS/Setup" TargetMode="External"/><Relationship Id="rId2679" Type="http://schemas.openxmlformats.org/officeDocument/2006/relationships/hyperlink" Target="../../../../../../../../../Releases/Projects/OBT/Release_For_LQA/TestBuild_1.0.0.7/Server%20CD/DBS/Setup" TargetMode="External"/><Relationship Id="rId206" Type="http://schemas.openxmlformats.org/officeDocument/2006/relationships/hyperlink" Target="../../../../../../../../../Releases/Projects/SLT-1B/Release_For_Test/Test_Build_1.0.0.1/Server%20CD/MPE/Setup" TargetMode="External"/><Relationship Id="rId413" Type="http://schemas.openxmlformats.org/officeDocument/2006/relationships/hyperlink" Target="../../../../../../../../../Projects/Neustar/BHN/Build&amp;Release/Release%20For%20IT/Test_Build_3.5.37/Server%20CD/Database/Setup" TargetMode="External"/><Relationship Id="rId858" Type="http://schemas.openxmlformats.org/officeDocument/2006/relationships/hyperlink" Target="../../../../../../../../../Releases/Projects/Telstra/Release_For_LQA/Test_Build_1.0.0.18/Server%20CD/DBS/Setup" TargetMode="External"/><Relationship Id="rId1043" Type="http://schemas.openxmlformats.org/officeDocument/2006/relationships/hyperlink" Target="../../../../../../../../../Releases/Projects/Comcast/Release_For_IT/Test_Build_4.6.1/Server%20CD/Database/Setup" TargetMode="External"/><Relationship Id="rId1488" Type="http://schemas.openxmlformats.org/officeDocument/2006/relationships/hyperlink" Target="../../../../../../../../../Releases/Projects/TWC/Release_For_IT/Test_Build_1.0.0.3/Utility/Setup" TargetMode="External"/><Relationship Id="rId1695" Type="http://schemas.openxmlformats.org/officeDocument/2006/relationships/hyperlink" Target="../../../../../../../../../Releases/Projects/BHN/Release_For_IT/TestBuild_1.0.0.1/Server%20CD/Utility/Setup" TargetMode="External"/><Relationship Id="rId2539" Type="http://schemas.openxmlformats.org/officeDocument/2006/relationships/hyperlink" Target="../../../../../../../../../Releases/Projects/Telstra/Release_For_LQA/Test_Build_1.0.0.18/Server%20CD/DBS/Setup" TargetMode="External"/><Relationship Id="rId2746" Type="http://schemas.openxmlformats.org/officeDocument/2006/relationships/hyperlink" Target="../../../../../../../../../Releases/Projects/OBT/Release_For_IT/TestBuild_1.0.0.2/Server%20CD/DBS/Setup" TargetMode="External"/><Relationship Id="rId620" Type="http://schemas.openxmlformats.org/officeDocument/2006/relationships/hyperlink" Target="../../../../../../../../../Releases/Projects/SLT/Release_For_IT/Test_Build_1.0.0.4/Server%20CD/DBS/Setup" TargetMode="External"/><Relationship Id="rId718" Type="http://schemas.openxmlformats.org/officeDocument/2006/relationships/hyperlink" Target="../../../../../../../../../Releases/Projects/SLT/Release_For_IT/Test_Build_1.0.0.4/Server%20CD/DBS/Setup" TargetMode="External"/><Relationship Id="rId925" Type="http://schemas.openxmlformats.org/officeDocument/2006/relationships/hyperlink" Target="../../../../../../../../../Releases/Projects/OBT/Release_For_LQA/TestBuild_1.0.0.5/Server%20CD/DBS/Setup" TargetMode="External"/><Relationship Id="rId1250" Type="http://schemas.openxmlformats.org/officeDocument/2006/relationships/hyperlink" Target="../../../../../../../../../Releases/Projects/TWC/Release_For_Test/Test_Build_1.0.0.4/Server%20CD/MPE/Setup" TargetMode="External"/><Relationship Id="rId1348" Type="http://schemas.openxmlformats.org/officeDocument/2006/relationships/hyperlink" Target="../../../../../../../../../Releases/Projects/Comcast/Release_for_Test/Test_Build_4.6.6/Server%20CD/GUI/Setup" TargetMode="External"/><Relationship Id="rId1555" Type="http://schemas.openxmlformats.org/officeDocument/2006/relationships/hyperlink" Target="../../../../../../../../../Releases/Projects/Telstra/Release_For_IT/Test_Build_1.0.0.18/Server%20CD/DBS/Setup" TargetMode="External"/><Relationship Id="rId1762" Type="http://schemas.openxmlformats.org/officeDocument/2006/relationships/hyperlink" Target="../../../../../../../../../Releases/Projects/TLSTR-ST/Release_For_IT/TestBuild_1.0.1/Server%20CD/DBS/Setup" TargetMode="External"/><Relationship Id="rId2301" Type="http://schemas.openxmlformats.org/officeDocument/2006/relationships/hyperlink" Target="../../../../../../../../../Releases/Projects/SLT/Release_For_IT/Test_Build_1.0.0.4/Server%20CD/DBS/Setup" TargetMode="External"/><Relationship Id="rId2606" Type="http://schemas.openxmlformats.org/officeDocument/2006/relationships/hyperlink" Target="../../../../../../../../../Releases/Projects/SLT/Release_For_IT/Test_Build_1.0.0.4/Server%20CD/DBS/Setup" TargetMode="External"/><Relationship Id="rId1110" Type="http://schemas.openxmlformats.org/officeDocument/2006/relationships/hyperlink" Target="../../../../../../../../../Releases/Projects/Comcast/Release_for_Test/Test_Build_4.6.5/Server%20CD/Database/Setup" TargetMode="External"/><Relationship Id="rId1208" Type="http://schemas.openxmlformats.org/officeDocument/2006/relationships/hyperlink" Target="../../../../../../../../../Releases/Projects/TWC/Release_For_Test/Test_Build_1.0.0.4/Server%20CD/DBS/Setup" TargetMode="External"/><Relationship Id="rId1415" Type="http://schemas.openxmlformats.org/officeDocument/2006/relationships/hyperlink" Target="../../../../../../../../../Releases/Projects/Telstra/Release_For_LQA/Test_Build_1.0.0.18/Server%20CD/DBS/Setup" TargetMode="External"/><Relationship Id="rId2813" Type="http://schemas.openxmlformats.org/officeDocument/2006/relationships/hyperlink" Target="../../../../../../../../../Releases/Projects/SLT/Release_For_LQA/Test_Build_1.0.0.26/Server%20CD/DBS/Setup" TargetMode="External"/><Relationship Id="rId54" Type="http://schemas.openxmlformats.org/officeDocument/2006/relationships/hyperlink" Target="../../../../../../../../../Releases/Product/WEB_WFS/Build&amp;Release/Release%20For%20Test/TestBuild_2.1.21/Build1/ServerCD/GUI/Setup" TargetMode="External"/><Relationship Id="rId1622" Type="http://schemas.openxmlformats.org/officeDocument/2006/relationships/hyperlink" Target="../../../../../../../../../Releases/Projects/Telstra-2b/Release_For_Test/Test_Build_1.0.0.1/Server%20CD/MPE/Setup" TargetMode="External"/><Relationship Id="rId1927" Type="http://schemas.openxmlformats.org/officeDocument/2006/relationships/hyperlink" Target="../../../../../../../../../Releases/Projects/ANTEL/Release_For_Test/Test_Build_1.0.0.7/Server%20CD/DBS/Setup" TargetMode="External"/><Relationship Id="rId2091" Type="http://schemas.openxmlformats.org/officeDocument/2006/relationships/hyperlink" Target="../../../../../../../../../Releases/Projects/ANTEL/Release_For_Test/Test_Build_1.0.0.7/Server%20CD/DBS/Setup" TargetMode="External"/><Relationship Id="rId2189" Type="http://schemas.openxmlformats.org/officeDocument/2006/relationships/hyperlink" Target="../../../../../../../../../Releases/Projects/SLT/Release_For_IT/Test_Build_1.0.0.4/Server%20CD/DBS/Setup" TargetMode="External"/><Relationship Id="rId270" Type="http://schemas.openxmlformats.org/officeDocument/2006/relationships/hyperlink" Target="../../../../../../../../../Releases/Projects/SLT-1B/Release_For_Test/Test_Build_1.0.0.1/Server%20CD/MPE/Setup" TargetMode="External"/><Relationship Id="rId2396" Type="http://schemas.openxmlformats.org/officeDocument/2006/relationships/hyperlink" Target="../../../../../../../../../Releases/Projects/SLT/Release_For_IT/Test_Build_1.0.0.4/Server%20CD/DBS/Setup" TargetMode="External"/><Relationship Id="rId130" Type="http://schemas.openxmlformats.org/officeDocument/2006/relationships/hyperlink" Target="../../../../../../../../../Releases/Projects/TWC/Release_For_IT/Test_Build_1.0.0.3/Server%20CD/DBS/Setup" TargetMode="External"/><Relationship Id="rId368" Type="http://schemas.openxmlformats.org/officeDocument/2006/relationships/hyperlink" Target="../../../../../../../../../Releases/Projects/Comcast/Release_For_IT/Test_Build_4.6.1/Server%20CD/Database/Setup" TargetMode="External"/><Relationship Id="rId575" Type="http://schemas.openxmlformats.org/officeDocument/2006/relationships/hyperlink" Target="../../../../../../../../../Releases/Projects/OBT/Release_For_LQA/TestBuild_1.0.0.4/Server%20CD/DBS/Setup" TargetMode="External"/><Relationship Id="rId782" Type="http://schemas.openxmlformats.org/officeDocument/2006/relationships/hyperlink" Target="../../../../../../../../../Releases/Projects/WIS/Release_For_IT/TestBuild_1.0.0.1/Client%20CD/Setup" TargetMode="External"/><Relationship Id="rId2049" Type="http://schemas.openxmlformats.org/officeDocument/2006/relationships/hyperlink" Target="../../../../../../../../../Releases/Projects/TLSTR-ST/Release_For_Test/Test_Build_1.0.1/Server%20CD/MPE/Setup" TargetMode="External"/><Relationship Id="rId2256" Type="http://schemas.openxmlformats.org/officeDocument/2006/relationships/hyperlink" Target="../../../../../../../../../Releases/Projects/TLSTR-ST/Release_For_Test/Test_Build_1.0.1/Server%20CD/DBS/Setup" TargetMode="External"/><Relationship Id="rId2463" Type="http://schemas.openxmlformats.org/officeDocument/2006/relationships/hyperlink" Target="../../../../../../../../../Releases/Projects/SLT/Release_For_IT/Test_Build_1.0.0.4/Server%20CD/DBS/Setup" TargetMode="External"/><Relationship Id="rId2670" Type="http://schemas.openxmlformats.org/officeDocument/2006/relationships/hyperlink" Target="../../../../../../../../../Releases/Projects/MTS/Release%20For%20Test/Test_Build_3.0.5.25/Server%20CD/Database/Setup" TargetMode="External"/><Relationship Id="rId228" Type="http://schemas.openxmlformats.org/officeDocument/2006/relationships/hyperlink" Target="../../../../../../../../../Releases/Projects/SLT/Release_For_LQA/Test_Build_1.0.0.17/Server%20CD/DBS/Setup" TargetMode="External"/><Relationship Id="rId435" Type="http://schemas.openxmlformats.org/officeDocument/2006/relationships/hyperlink" Target="../../../../../../../../../Releases/Projects/Telstra/Release_For_IT/Test_Build_1.0.0.18/Server%20CD/DBS/Setup" TargetMode="External"/><Relationship Id="rId642" Type="http://schemas.openxmlformats.org/officeDocument/2006/relationships/hyperlink" Target="../../../../../../../../../Releases/Projects/COM/Release_For_Test/Test_Build_1.0.0.1/Server%20CD/GUI/Setup" TargetMode="External"/><Relationship Id="rId1065" Type="http://schemas.openxmlformats.org/officeDocument/2006/relationships/hyperlink" Target="../../../../../../../../../Releases/Projects/OBT/Release_For_IT/TestBuild_1.0.0.2/Server%20CD/DBS/Setup" TargetMode="External"/><Relationship Id="rId1272" Type="http://schemas.openxmlformats.org/officeDocument/2006/relationships/hyperlink" Target="../../../../../../../../../Releases/Projects/ANTEL/Release_For_IT/TestBuild_1.0.0.4/Server%20CD/DBS/Setup" TargetMode="External"/><Relationship Id="rId2116" Type="http://schemas.openxmlformats.org/officeDocument/2006/relationships/hyperlink" Target="../../../../../../../../../Releases/Projects/TLSTR-ST/Release_For_Test/Test_Build_1.0.1/Server%20CD/MPE/Setup" TargetMode="External"/><Relationship Id="rId2323" Type="http://schemas.openxmlformats.org/officeDocument/2006/relationships/hyperlink" Target="../../../../../../../../../Releases/Projects/FNB/Release_For_Test/Test_Build_1.0.1/Server%20CD/MPE/Setup" TargetMode="External"/><Relationship Id="rId2530" Type="http://schemas.openxmlformats.org/officeDocument/2006/relationships/hyperlink" Target="file:///\\192.168.3.3\share\Releases\Projects\Comcast\Release_for_Test\Test_Build_4.6.7\Server%20CD\GUI\Setup" TargetMode="External"/><Relationship Id="rId2768" Type="http://schemas.openxmlformats.org/officeDocument/2006/relationships/hyperlink" Target="../../../../../../../../../Releases/Projects/SLT/Release_For_LQA/Test_Build_1.0.0.26/Server%20CD/DBS/Setup" TargetMode="External"/><Relationship Id="rId502" Type="http://schemas.openxmlformats.org/officeDocument/2006/relationships/hyperlink" Target="../../../../../../../../../Releases/Projects/Telenet/Build&amp;Release/Release%20For%20Test/Test_Build_4.0.41/Client%20CD/GUI/Hotlist%20Manager/Setup" TargetMode="External"/><Relationship Id="rId947" Type="http://schemas.openxmlformats.org/officeDocument/2006/relationships/hyperlink" Target="../../../../../../../../../Releases/Product/Netmind_4.6/Build&amp;Release/ReleaseForIT/TestBuild_4.6.1/Build4/ServerCD/DBS/Setup" TargetMode="External"/><Relationship Id="rId1132" Type="http://schemas.openxmlformats.org/officeDocument/2006/relationships/hyperlink" Target="../../../../../../../../../Releases/Projects/Comcast/Release_for_Test/Test_Build_4.6.5/Server%20CD/Database/Setup" TargetMode="External"/><Relationship Id="rId1577" Type="http://schemas.openxmlformats.org/officeDocument/2006/relationships/hyperlink" Target="../../../../../../../../../Releases/Projects/OBT/Release_For_IT/TestBuild_1.0.0.2/Server%20CD/DBS/Setup" TargetMode="External"/><Relationship Id="rId1784" Type="http://schemas.openxmlformats.org/officeDocument/2006/relationships/hyperlink" Target="../../../../../../../../../Releases/Projects/Comcast/Release_For_IT/Test_Build_4.6.1/Server%20CD/Database/Setup" TargetMode="External"/><Relationship Id="rId1991" Type="http://schemas.openxmlformats.org/officeDocument/2006/relationships/hyperlink" Target="../../../../../../../../../Releases/Product/WEB_WFS/Build&amp;Release/Release%20For%20Test/TestBuild_2.1.35/ServerCD/GUI/Setup" TargetMode="External"/><Relationship Id="rId2628" Type="http://schemas.openxmlformats.org/officeDocument/2006/relationships/hyperlink" Target="../../../../../../../../../Releases/Projects/SLT/Release_For_LQA/Test_Build_1.0.0.24/Server%20CD/DBS/Setup" TargetMode="External"/><Relationship Id="rId76" Type="http://schemas.openxmlformats.org/officeDocument/2006/relationships/hyperlink" Target="../../../../../../../../../Releases/Projects/ANTEL/Release_For_IT/TestBuild_1.0.0.4/Server%20CD/DBS/Setup" TargetMode="External"/><Relationship Id="rId807" Type="http://schemas.openxmlformats.org/officeDocument/2006/relationships/hyperlink" Target="../../../../../../../../../Releases/Projects/TWC/Release_For_Test/Test_Build_1.0.0.4/Server%20CD/DBS/Setup" TargetMode="External"/><Relationship Id="rId1437" Type="http://schemas.openxmlformats.org/officeDocument/2006/relationships/hyperlink" Target="../../../../../../../../../Releases/Projects/SLT-1B/Release_For_Test/Test_Build_1.0.0.1/Server%20CD/MPE/Setup" TargetMode="External"/><Relationship Id="rId1644" Type="http://schemas.openxmlformats.org/officeDocument/2006/relationships/hyperlink" Target="../../../../../../../../../Projects/Neustar/BHN/Build&amp;Release/Release%20For%20Test/Test_Build_3.5.37/Server%20CD/Database/Setup" TargetMode="External"/><Relationship Id="rId1851" Type="http://schemas.openxmlformats.org/officeDocument/2006/relationships/hyperlink" Target="../../../../../../../../../Releases/Projects/BHN/Release_For_Test/Test_Build_1.0.1/Server%20CD/DBS/Setup" TargetMode="External"/><Relationship Id="rId1504" Type="http://schemas.openxmlformats.org/officeDocument/2006/relationships/hyperlink" Target="../../../../../../../../../Releases/Projects/Comcast/Release_for_Test/Test_Build_3.5.50/Server%20CD/Database/Setup" TargetMode="External"/><Relationship Id="rId1711" Type="http://schemas.openxmlformats.org/officeDocument/2006/relationships/hyperlink" Target="../../../../../../../../../Releases/Projects/BHN/Release_For_IT/TestBuild_1.0.0.1/Server%20CD/Utility/Setup" TargetMode="External"/><Relationship Id="rId1949" Type="http://schemas.openxmlformats.org/officeDocument/2006/relationships/hyperlink" Target="../../../../../../../../../Releases/Projects/FNB/Release_For_Test/Test_Build_1.0.1/Server%20CD/DBS/Setup" TargetMode="External"/><Relationship Id="rId292" Type="http://schemas.openxmlformats.org/officeDocument/2006/relationships/hyperlink" Target="../../../../../../../../../Releases/Product/RT_4.0/ReleaseForLQA/TestBuild_4.0.22/GUI/Build1/Setup" TargetMode="External"/><Relationship Id="rId1809" Type="http://schemas.openxmlformats.org/officeDocument/2006/relationships/hyperlink" Target="../../../../../../../../../Releases/Projects/SLT/Release_For_LQA/Test_Build_1.0.0.24/Server%20CD/DBS/Setup" TargetMode="External"/><Relationship Id="rId597" Type="http://schemas.openxmlformats.org/officeDocument/2006/relationships/hyperlink" Target="../../../../../../../../../Releases/Projects/Telstra/Release_For_IT/Test_Build_1.0.0.18/Server%20CD/DBS/Setup" TargetMode="External"/><Relationship Id="rId2180" Type="http://schemas.openxmlformats.org/officeDocument/2006/relationships/hyperlink" Target="../../../../../../../../../Releases/Projects/FNB/Release_For_Test/Test_Build_1.0.1/Server%20CD/DBS/Setup" TargetMode="External"/><Relationship Id="rId2278" Type="http://schemas.openxmlformats.org/officeDocument/2006/relationships/hyperlink" Target="../../../../../../../../../Releases/Product/MPE_GUI/ReleaseForLQA/TestBuild_1.0.0.2/Server%20CD/MPE/Setup" TargetMode="External"/><Relationship Id="rId2485" Type="http://schemas.openxmlformats.org/officeDocument/2006/relationships/hyperlink" Target="../../../../../../../../../Releases/Projects/TLSTR-ST/Release_For_IT/TestBuild_1.0.1/Server%20CD/DBS/Setup" TargetMode="External"/><Relationship Id="rId152" Type="http://schemas.openxmlformats.org/officeDocument/2006/relationships/hyperlink" Target="../../../../../../../../../Releases/Product/MPE_GUI/ReleaseForLQA/TestBuild_1.0.0.2/Server%20CD/MPE/Setup" TargetMode="External"/><Relationship Id="rId457" Type="http://schemas.openxmlformats.org/officeDocument/2006/relationships/hyperlink" Target="../../../../../../../../../Releases/Projects/SLT/Release_For_IT/Test_Build_1.0.0.4/Server%20CD/DBS/Setup" TargetMode="External"/><Relationship Id="rId1087" Type="http://schemas.openxmlformats.org/officeDocument/2006/relationships/hyperlink" Target="../../../../../../../../../Releases/Product/RT_4.0/ReleaseForLQA/TestBuild_4.0.24/GUI/Build1/Setup" TargetMode="External"/><Relationship Id="rId1294" Type="http://schemas.openxmlformats.org/officeDocument/2006/relationships/hyperlink" Target="../../../../../../../../../Releases/Product/Netmind_4.6/Build&amp;Release/ReleaseForTest/TestBuild_4.6.1/Build4/ServerCD/DBS/Setup" TargetMode="External"/><Relationship Id="rId2040" Type="http://schemas.openxmlformats.org/officeDocument/2006/relationships/hyperlink" Target="../../../../../../../../../Releases/Projects/OBT/Release_For_LQA/TestBuild_1.0.0.7/Server%20CD/DBS/Setup" TargetMode="External"/><Relationship Id="rId2138" Type="http://schemas.openxmlformats.org/officeDocument/2006/relationships/hyperlink" Target="../../../../../../../../../Releases/Product/MEDGUI_1.1/Build&amp;Release/Release_For_LQA/Test_Build_1.0.1/Server%20CD/GUI/Setup" TargetMode="External"/><Relationship Id="rId2692" Type="http://schemas.openxmlformats.org/officeDocument/2006/relationships/hyperlink" Target="../../../../../../../../../Releases/Projects/Comcast/Release_for_Test/Test_Build_4.6.10/Server%20CD/Database/Setup" TargetMode="External"/><Relationship Id="rId664" Type="http://schemas.openxmlformats.org/officeDocument/2006/relationships/hyperlink" Target="../../../../../../../../../Releases/Projects/OBT/Release_For_LQA/TestBuild_1.0.0.4/Server%20CD/MPE/Setup" TargetMode="External"/><Relationship Id="rId871" Type="http://schemas.openxmlformats.org/officeDocument/2006/relationships/hyperlink" Target="../../../../../../../../../Releases/Projects/SLT-1B/Release_For_Test/Test_Build_1.0.0.1/Utility/MPE/Setup" TargetMode="External"/><Relationship Id="rId969" Type="http://schemas.openxmlformats.org/officeDocument/2006/relationships/hyperlink" Target="../../../../../../../../../Releases/Projects/Comcast/Release_for_Test/Test_Build_4.6.5/Server%20CD/GUI/Setup" TargetMode="External"/><Relationship Id="rId1599" Type="http://schemas.openxmlformats.org/officeDocument/2006/relationships/hyperlink" Target="../../../../../../../../../Releases/Product/NetMindPOS_1.1/Build&amp;Release/Release%20for%20IT/TestBuild_1.2.3/Server%20CD/DBS/Setup" TargetMode="External"/><Relationship Id="rId2345" Type="http://schemas.openxmlformats.org/officeDocument/2006/relationships/hyperlink" Target="../../../../../../../../../Releases/Projects/TWC/Release_For_Test/Test_Build_1.0.0.4/Server%20CD/DBS/Setup" TargetMode="External"/><Relationship Id="rId2552" Type="http://schemas.openxmlformats.org/officeDocument/2006/relationships/hyperlink" Target="../../../../../../../../../Releases/Product/MEDGUI_1.1/Build&amp;Release/Release_For_LQA/Test_Build_1.0.2/Server%20CD/DBS/Setup" TargetMode="External"/><Relationship Id="rId317" Type="http://schemas.openxmlformats.org/officeDocument/2006/relationships/hyperlink" Target="../../../../../../../../../Releases/Projects/TWC/Release_For_IT/Test_Build_1.0.0.3/Server%20CD/DBS/Setup" TargetMode="External"/><Relationship Id="rId524" Type="http://schemas.openxmlformats.org/officeDocument/2006/relationships/hyperlink" Target="../../../../../../../../../Releases/Projects/OBT/Release_For_IT/TestBuild_1.0.0.2/Server%20CD/DBS/Setup" TargetMode="External"/><Relationship Id="rId731" Type="http://schemas.openxmlformats.org/officeDocument/2006/relationships/hyperlink" Target="../../../../../../../../../Releases/Product/RE_1.0/ReleaseForLQA/TestBuild_1.0.1/GUI/Setup" TargetMode="External"/><Relationship Id="rId1154" Type="http://schemas.openxmlformats.org/officeDocument/2006/relationships/hyperlink" Target="../../../../../../../../../Releases/Projects/Comcast/Release_for_Test/Test_Build_4.6.5/Server%20CD/GUI/Setup" TargetMode="External"/><Relationship Id="rId1361" Type="http://schemas.openxmlformats.org/officeDocument/2006/relationships/hyperlink" Target="../../../../../../../../../Releases/Projects/Comcast/Release_for_Test/Test_Build_4.6.6/Server%20CD/Database/Setup" TargetMode="External"/><Relationship Id="rId1459" Type="http://schemas.openxmlformats.org/officeDocument/2006/relationships/hyperlink" Target="../../../../../../../../../Releases/Projects/SLT/Release_For_LQA/Test_Build_1.0.0.24/Server%20CD/DBS/Setup" TargetMode="External"/><Relationship Id="rId2205" Type="http://schemas.openxmlformats.org/officeDocument/2006/relationships/hyperlink" Target="../../../../../../../../../Releases/Projects/TLSTR-ST/Release_For_IT/TestBuild_1.0.1/Server%20CD/DBS/Setup" TargetMode="External"/><Relationship Id="rId2412" Type="http://schemas.openxmlformats.org/officeDocument/2006/relationships/hyperlink" Target="../../../../../../../../../Releases/Product/Netmind_4.6/Build&amp;Release/ReleaseForTest/TestBuild_4.6.1/Build4/ServerCD/DBS/Setup" TargetMode="External"/><Relationship Id="rId98" Type="http://schemas.openxmlformats.org/officeDocument/2006/relationships/hyperlink" Target="../../../../../../../../../Releases/Projects/SLT-1B/Release_For_Test/Test_Build_1.0.0.1/Server%20CD/MPE/Setup" TargetMode="External"/><Relationship Id="rId829" Type="http://schemas.openxmlformats.org/officeDocument/2006/relationships/hyperlink" Target="../../../../../../../../../Releases/Projects/OBT/Release_For_LQA/TestBuild_1.0.0.4/Server%20CD/MPE/Setup" TargetMode="External"/><Relationship Id="rId1014" Type="http://schemas.openxmlformats.org/officeDocument/2006/relationships/hyperlink" Target="../../../../../../../../../Releases/Projects/Comcast/Release_For_IT/Test_Build_4.6.1/Server%20CD/Database/Setup" TargetMode="External"/><Relationship Id="rId1221" Type="http://schemas.openxmlformats.org/officeDocument/2006/relationships/hyperlink" Target="../../../../../../../../../Releases/Projects/ANTEL/Release_For_Test/Test_Build_1.0.0.7/Server%20CD/DBS/Setup" TargetMode="External"/><Relationship Id="rId1666" Type="http://schemas.openxmlformats.org/officeDocument/2006/relationships/hyperlink" Target="../../../../../../../../../Releases/Projects/SLT/Release_For_IT/Test_Build_1.0.0.4/Server%20CD/DBS/Setup" TargetMode="External"/><Relationship Id="rId1873" Type="http://schemas.openxmlformats.org/officeDocument/2006/relationships/hyperlink" Target="../../../../../../../../../Releases/Projects/TLSTR-ST/Release_For_IT/TestBuild_1.0.1/Server%20CD/DBS/Setup" TargetMode="External"/><Relationship Id="rId2717" Type="http://schemas.openxmlformats.org/officeDocument/2006/relationships/hyperlink" Target="../../../../../../../../../Releases/Projects/ANTEL/Release_For_Test/Test_Build_1.0.0.7/Server%20CD/MPE/Setup%0d" TargetMode="External"/><Relationship Id="rId1319" Type="http://schemas.openxmlformats.org/officeDocument/2006/relationships/hyperlink" Target="../../../../../../../../../Releases/Projects/TWC/Release_For_IT/Test_Build_1.0.0.3/Server%20CD/DBS/Setup" TargetMode="External"/><Relationship Id="rId1526" Type="http://schemas.openxmlformats.org/officeDocument/2006/relationships/hyperlink" Target="../../../../../../../../../Releases/Product/CSGUI_2.6/Build&amp;Release/Release_For_LQA/Test_Build_1.0.1/Server%20CD/GUI/Setup" TargetMode="External"/><Relationship Id="rId1733" Type="http://schemas.openxmlformats.org/officeDocument/2006/relationships/hyperlink" Target="../../../../../../../../../Releases/Projects/SLT/Release_For_LQA/Test_Build_1.0.0.24/Server%20CD/DBS/Setup" TargetMode="External"/><Relationship Id="rId1940" Type="http://schemas.openxmlformats.org/officeDocument/2006/relationships/hyperlink" Target="../../../../../../../../../Releases/Product/RT_4.0/ReleaseForLQA/TestBuild_4.0.24/GUI/Build1/Setup" TargetMode="External"/><Relationship Id="rId25" Type="http://schemas.openxmlformats.org/officeDocument/2006/relationships/hyperlink" Target="../../../../../../../../../Releases/Product/IM_1.0/Build&amp;Release/Release_For_LQA/Test_Build_1.0.1/Server%20CD/IM/Setup" TargetMode="External"/><Relationship Id="rId1800" Type="http://schemas.openxmlformats.org/officeDocument/2006/relationships/hyperlink" Target="../../../../../../../../../Releases/Projects/SLT/Release_For_IT/Test_Build_1.0.0.4/Server%20CD/DBS/Setup" TargetMode="External"/><Relationship Id="rId174" Type="http://schemas.openxmlformats.org/officeDocument/2006/relationships/hyperlink" Target="../../../../../../../../../Releases/Projects/SLT/Release_For_IT/Test_Build_1.0.0.4/Server%20CD/DBS/Setup" TargetMode="External"/><Relationship Id="rId381" Type="http://schemas.openxmlformats.org/officeDocument/2006/relationships/hyperlink" Target="../../../../../../../../../Releases/Projects/OBT/Release_For_LQA/TestBuild_1.0.0.4/Server%20CD/MPE/Setup" TargetMode="External"/><Relationship Id="rId2062" Type="http://schemas.openxmlformats.org/officeDocument/2006/relationships/hyperlink" Target="../../../../../../../../../Releases/Product/WEB_WFS/Build&amp;Release/Release%20For%20Test/TestBuild_2.2.1/Build4/ServerCD/GUI/Setup" TargetMode="External"/><Relationship Id="rId241" Type="http://schemas.openxmlformats.org/officeDocument/2006/relationships/hyperlink" Target="../../../../../../../../../Releases/Projects/OBT/Release_For_LQA/TestBuild_1.0.0.4/Server%20CD/GUI/Setup" TargetMode="External"/><Relationship Id="rId479" Type="http://schemas.openxmlformats.org/officeDocument/2006/relationships/hyperlink" Target="../../../../../../../../../Releases/Projects/SLT/Release_For_LQA/Test_Build_1.0.0.19/Server%20CD/DBS/Setup" TargetMode="External"/><Relationship Id="rId686" Type="http://schemas.openxmlformats.org/officeDocument/2006/relationships/hyperlink" Target="../../../../../../../../../Releases/Projects/SLT-1B/Release_For_Test/Test_Build_1.0.0.1/Server%20CD/MPE/Setup" TargetMode="External"/><Relationship Id="rId893" Type="http://schemas.openxmlformats.org/officeDocument/2006/relationships/hyperlink" Target="../../../../../../../../../Releases/Projects/TWC/Release_For_IT/Test_Build_1.0.0.3/Server%20CD/DBS/Setup" TargetMode="External"/><Relationship Id="rId2367" Type="http://schemas.openxmlformats.org/officeDocument/2006/relationships/hyperlink" Target="../../../../../../../../../Releases/Projects/TLSTR-ST/Release_For_IT/TestBuild_1.0.1/Server%20CD/DBS/Setup" TargetMode="External"/><Relationship Id="rId2574" Type="http://schemas.openxmlformats.org/officeDocument/2006/relationships/hyperlink" Target="../../../../../../../../../Releases/Projects/FNB/Release_For_IT/TestBuild_1.0.1/Server%20CD/DBS/Setup" TargetMode="External"/><Relationship Id="rId2781" Type="http://schemas.openxmlformats.org/officeDocument/2006/relationships/hyperlink" Target="../../../../../../../../../Releases/Projects/FNB/Release_For_Test/Test_Build_1.0.3/Server%20CD/GUI/Setup" TargetMode="External"/><Relationship Id="rId339" Type="http://schemas.openxmlformats.org/officeDocument/2006/relationships/hyperlink" Target="../../../../../../../../../Releases/Projects/OBT/Release_For_LQA/TestBuild_1.0.0.4/Server%20CD/MPE/Setup" TargetMode="External"/><Relationship Id="rId546" Type="http://schemas.openxmlformats.org/officeDocument/2006/relationships/hyperlink" Target="../../../../../../../../../Releases/Projects/SLT/Release_For_IT/Test_Build_1.0.0.4/Server%20CD/DBS/Setup" TargetMode="External"/><Relationship Id="rId753" Type="http://schemas.openxmlformats.org/officeDocument/2006/relationships/hyperlink" Target="../../../../../../../../../Releases/Product/RevMind_2.1/Build&amp;Release/Release_For_LQA/Test_Build_1.0.2/Server%20CD/DBS/Setup" TargetMode="External"/><Relationship Id="rId1176" Type="http://schemas.openxmlformats.org/officeDocument/2006/relationships/hyperlink" Target="../../../../../../../../../Releases/Projects/SLT/Release_For_IT/Test_Build_1.0.0.4/Server%20CD/DBS/Setup" TargetMode="External"/><Relationship Id="rId1383" Type="http://schemas.openxmlformats.org/officeDocument/2006/relationships/hyperlink" Target="../../../../../../../../../Releases/Product/MPE_3.2/ReleaseForLQA/TestBuild_3.2.1/Build2/ServerCD/Setup/RHEL_5.1" TargetMode="External"/><Relationship Id="rId2227" Type="http://schemas.openxmlformats.org/officeDocument/2006/relationships/hyperlink" Target="../../../../../../../../../Releases/Projects/TLSTR-ST/Release_For_Test/Test_Build_1.0.1/Server%20CD/DBS/Setup" TargetMode="External"/><Relationship Id="rId2434" Type="http://schemas.openxmlformats.org/officeDocument/2006/relationships/hyperlink" Target="../../../../../../../../../Releases/Projects/SLT-1B/Release_For_Test/Test_Build_1.0.0.1/Server%20CD/MPE/Setup" TargetMode="External"/><Relationship Id="rId101" Type="http://schemas.openxmlformats.org/officeDocument/2006/relationships/hyperlink" Target="../../../../../../../../../Releases/Projects/SLT/Release_For_IT/Test_Build_1.0.0.4/Server%20CD/DBS/Setup" TargetMode="External"/><Relationship Id="rId406" Type="http://schemas.openxmlformats.org/officeDocument/2006/relationships/hyperlink" Target="../../../../../../../../../Releases/Projects/TWC/Release_For_Test/Test_Build_1.0.0.4/Server%20CD/DBS/Setup" TargetMode="External"/><Relationship Id="rId960" Type="http://schemas.openxmlformats.org/officeDocument/2006/relationships/hyperlink" Target="../../../../../../../../../Releases/Projects/SLT/Release_For_IT/Test_Build_1.0.0.4/Server%20CD/DBS/Setup" TargetMode="External"/><Relationship Id="rId1036" Type="http://schemas.openxmlformats.org/officeDocument/2006/relationships/hyperlink" Target="../../../../../../../../../Releases/Product/Netmind_4.6/Build&amp;Release/ReleaseForTest/TestBuild_4.6.1/Build4/ServerCD/DBS/Setup" TargetMode="External"/><Relationship Id="rId1243" Type="http://schemas.openxmlformats.org/officeDocument/2006/relationships/hyperlink" Target="../../../../../../../../../Releases/Projects/Comcast/Release_for_Test/Test_Build_4.6.5/Utility/Setup" TargetMode="External"/><Relationship Id="rId1590" Type="http://schemas.openxmlformats.org/officeDocument/2006/relationships/hyperlink" Target="../../../../../../../../../Releases/Projects/SLT/Release_For_LQA/Test_Build_1.0.0.24/Server%20CD/DBS/Setup" TargetMode="External"/><Relationship Id="rId1688" Type="http://schemas.openxmlformats.org/officeDocument/2006/relationships/hyperlink" Target="../../../../../../../../../Releases/Projects/SLT/Release_For_IT/Test_Build_1.0.0.4/Server%20CD/DBS/Setup" TargetMode="External"/><Relationship Id="rId1895" Type="http://schemas.openxmlformats.org/officeDocument/2006/relationships/hyperlink" Target="../../../../../../../../../Releases/Projects/SLT-1B/Release_For_Test/Test_Build_1.0.0.1/Server%20CD/MPE/Setup" TargetMode="External"/><Relationship Id="rId2641" Type="http://schemas.openxmlformats.org/officeDocument/2006/relationships/hyperlink" Target="../../../../../../../../../Releases/Product/RT_4.0/ReleaseForLQA/TestBuild_4.0.24/DBS/Setup" TargetMode="External"/><Relationship Id="rId2739" Type="http://schemas.openxmlformats.org/officeDocument/2006/relationships/hyperlink" Target="../../../../../../../../../Releases/Projects/TWC/Release_For_IT/Test_Build_1.0.0.3/Server%20CD/DBS/Setup" TargetMode="External"/><Relationship Id="rId613" Type="http://schemas.openxmlformats.org/officeDocument/2006/relationships/hyperlink" Target="../../../../../../../../../Releases/Product/RE_1.0/ReleaseForIT/TestBuild_1.0.1/DBS/Build4/Setup" TargetMode="External"/><Relationship Id="rId820" Type="http://schemas.openxmlformats.org/officeDocument/2006/relationships/hyperlink" Target="../../../../../../../../../Releases/Product/NetMindPOS_1.1/Build&amp;Release/Release%20for%20IT/TestBuild_1.2.3/Server%20CD/DBS/Setup" TargetMode="External"/><Relationship Id="rId918" Type="http://schemas.openxmlformats.org/officeDocument/2006/relationships/hyperlink" Target="../../../../../../../../../Releases/Projects/Comcast/Release_For_IT/Test_Build_4.6.1/Server%20CD/Database/Setup" TargetMode="External"/><Relationship Id="rId1450" Type="http://schemas.openxmlformats.org/officeDocument/2006/relationships/hyperlink" Target="../../../../../../../../../Releases/Projects/SLT-1B/Release_For_Test/Test_Build_1.0.0.1/Server%20CD/MPE/Setup" TargetMode="External"/><Relationship Id="rId1548" Type="http://schemas.openxmlformats.org/officeDocument/2006/relationships/hyperlink" Target="../../../../../../../../../Projects/Neustar/BHN/Build&amp;Release/Release%20For%20Test/Test_Build_3.5.37/Server%20CD/Database/Setup" TargetMode="External"/><Relationship Id="rId1755" Type="http://schemas.openxmlformats.org/officeDocument/2006/relationships/hyperlink" Target="../../../../../../../../../Releases/Projects/Comcast/Release_For_IT/Test_Build_4.6.1/Server%20CD/Database/Setup" TargetMode="External"/><Relationship Id="rId2501" Type="http://schemas.openxmlformats.org/officeDocument/2006/relationships/hyperlink" Target="../../../../../../../../../Releases/Projects/Comcast/Release_for_Test/Test_Build_4.6.7/Server%20CD/Database/Setup" TargetMode="External"/><Relationship Id="rId1103" Type="http://schemas.openxmlformats.org/officeDocument/2006/relationships/hyperlink" Target="../../../../../../../../../Releases/Projects/TWC/Release_For_IT/Test_Build_1.0.0.3/Server%20CD/DBS/Setup" TargetMode="External"/><Relationship Id="rId1310" Type="http://schemas.openxmlformats.org/officeDocument/2006/relationships/hyperlink" Target="../../../../../../../../../Releases/Projects/Comcast/Release_for_Test/Test_Build_4.6.6/Server%20CD/GUI/Setup" TargetMode="External"/><Relationship Id="rId1408" Type="http://schemas.openxmlformats.org/officeDocument/2006/relationships/hyperlink" Target="../../../../../../../../../Releases/Projects/SLT/Release_For_LQA/Test_Build_1.0.0.24/Server%20CD/GUI/Setup" TargetMode="External"/><Relationship Id="rId1962" Type="http://schemas.openxmlformats.org/officeDocument/2006/relationships/hyperlink" Target="../../../../../../../../../Releases/Projects/Comcast/Release_for_Test/Test_Build_4.6.6/Server%20CD/GUI/Setup" TargetMode="External"/><Relationship Id="rId2806" Type="http://schemas.openxmlformats.org/officeDocument/2006/relationships/hyperlink" Target="../../../../../../../../../Releases/Product/Netmind_4.8/Build&amp;Release/Release_For_LQA/Test_Build_1.0.2/Server%20CD/DBS/Setup" TargetMode="External"/><Relationship Id="rId47" Type="http://schemas.openxmlformats.org/officeDocument/2006/relationships/hyperlink" Target="../../../../../../../../../Releases/Projects/TWC/Release_For_IT/Test_Build_1.0.0.3/Server%20CD/DBS/Setup" TargetMode="External"/><Relationship Id="rId1615" Type="http://schemas.openxmlformats.org/officeDocument/2006/relationships/hyperlink" Target="../../../../../../../../../Releases/Projects/SLT/Release_For_IT/Test_Build_1.0.0.4/Server%20CD/DBS/Setup" TargetMode="External"/><Relationship Id="rId1822" Type="http://schemas.openxmlformats.org/officeDocument/2006/relationships/hyperlink" Target="../../../../../../../../../Releases/Projects/SLT/Release_For_IT/Test_Build_1.0.0.4/Server%20CD/DBS/Setup" TargetMode="External"/><Relationship Id="rId196" Type="http://schemas.openxmlformats.org/officeDocument/2006/relationships/hyperlink" Target="../../../../../../../../../Releases/Projects/DRC/Release_For_LQA/Test_Build_1.0.0.3/Server%20CD/MPE/Setup" TargetMode="External"/><Relationship Id="rId2084" Type="http://schemas.openxmlformats.org/officeDocument/2006/relationships/hyperlink" Target="../../../../../../../../../Releases/Projects/Telstra/Release_For_LQA/Test_Build_1.0.0.18/Server%20CD/DBS/Setup" TargetMode="External"/><Relationship Id="rId2291" Type="http://schemas.openxmlformats.org/officeDocument/2006/relationships/hyperlink" Target="../../../../../../../../../Releases/Projects/ANTEL/Release_For_IT/TestBuild_1.0.0.4/Server%20CD/DBS/Setup" TargetMode="External"/><Relationship Id="rId263" Type="http://schemas.openxmlformats.org/officeDocument/2006/relationships/hyperlink" Target="../../../../../../../../../Releases/Product/RT_4.0/ReleaseForLQA/TestBuild_4.0.21/DBS/Setup" TargetMode="External"/><Relationship Id="rId470" Type="http://schemas.openxmlformats.org/officeDocument/2006/relationships/hyperlink" Target="../../../../../../../../../Releases/Projects/SLT/Release_For_LQA/Test_Build_1.0.0.19/Server%20CD/DBS/Setup" TargetMode="External"/><Relationship Id="rId2151" Type="http://schemas.openxmlformats.org/officeDocument/2006/relationships/hyperlink" Target="../../../../../../../../../Releases/Product/MPE_GUI/ReleaseForLQA/TestBuild_1.0.0.2/Server%20CD/MPE/Setup" TargetMode="External"/><Relationship Id="rId2389" Type="http://schemas.openxmlformats.org/officeDocument/2006/relationships/hyperlink" Target="../../../../../../../../../Releases/Projects/SLT-1B/Release_For_Test/Test_Build_1.0.0.1/Server%20CD/MPE/Setup" TargetMode="External"/><Relationship Id="rId2596" Type="http://schemas.openxmlformats.org/officeDocument/2006/relationships/hyperlink" Target="../../../../../../../../../Releases/Projects/TWC/Release_For_Test/Test_Build_1.0.0.4/Server%20CD/DBS/Setup" TargetMode="External"/><Relationship Id="rId123" Type="http://schemas.openxmlformats.org/officeDocument/2006/relationships/hyperlink" Target="../../../../../../../../../Releases/Projects/ANTEL/Release_For_Test/Test_Build_1.0.0.7/Server%20CD/GUI/Setup" TargetMode="External"/><Relationship Id="rId330" Type="http://schemas.openxmlformats.org/officeDocument/2006/relationships/hyperlink" Target="../../../../../../../../../Releases/Projects/CBD/Release_For_Test/Test_Build_1.0.0.4/Server%20CD/MPE/RHEL_6.3/Setup" TargetMode="External"/><Relationship Id="rId568" Type="http://schemas.openxmlformats.org/officeDocument/2006/relationships/hyperlink" Target="../../../../../../../../../Releases/Projects/SLT/Release_For_IT/Test_Build_1.0.0.4/Server%20CD/DBS/Setup" TargetMode="External"/><Relationship Id="rId775" Type="http://schemas.openxmlformats.org/officeDocument/2006/relationships/hyperlink" Target="../../../../../../../../../Releases/Product/RevMind_2.1/Build&amp;Release/Release_For_IT/TestBuild_1.0.1/Server%20CD/DBS/Setup" TargetMode="External"/><Relationship Id="rId982" Type="http://schemas.openxmlformats.org/officeDocument/2006/relationships/hyperlink" Target="../../../../../../../../../Releases/Projects/SLT/Release_For_IT/Test_Build_1.0.0.4/Server%20CD/DBS/Setup" TargetMode="External"/><Relationship Id="rId1198" Type="http://schemas.openxmlformats.org/officeDocument/2006/relationships/hyperlink" Target="../../../../../../../../../Releases/Product/RevMind_2.1/Build&amp;Release/Release_For_LQA/Test_Build_1.0.2/Server%20CD/DBS/Setup" TargetMode="External"/><Relationship Id="rId2011" Type="http://schemas.openxmlformats.org/officeDocument/2006/relationships/hyperlink" Target="../../../../../../../../../Releases/Projects/ANTEL/Release_For_Test/Test_Build_1.0.0.7/Server%20CD/DBS/Setup" TargetMode="External"/><Relationship Id="rId2249" Type="http://schemas.openxmlformats.org/officeDocument/2006/relationships/hyperlink" Target="../../../../../../../../../Releases/Projects/TLSTR-ST/Release_For_IT/TestBuild_1.0.1/Server%20CD/DBS/Setup" TargetMode="External"/><Relationship Id="rId2456" Type="http://schemas.openxmlformats.org/officeDocument/2006/relationships/hyperlink" Target="../../../../../../../../../Releases/Product/RE_1.0/ReleaseForLQA/TestBuild_1.0.1/GUI/Setup" TargetMode="External"/><Relationship Id="rId2663" Type="http://schemas.openxmlformats.org/officeDocument/2006/relationships/hyperlink" Target="../../../../../../../../../Releases/Projects/Comcast/Release_for_Test/Test_Build_4.6.10/Server%20CD/GUI/Setup" TargetMode="External"/><Relationship Id="rId428" Type="http://schemas.openxmlformats.org/officeDocument/2006/relationships/hyperlink" Target="../../../../../../../../../Releases/Product/NetMindPOS_1.1/Build&amp;Release/Release%20for%20IT/TestBuild_1.2.3/Server%20CD/DBS/Setup" TargetMode="External"/><Relationship Id="rId635" Type="http://schemas.openxmlformats.org/officeDocument/2006/relationships/hyperlink" Target="../../../../../../../../../Releases/Projects/Comcast/Release_for_Test/Test_Build_4.6.2/Server%20CD/Database/Setup" TargetMode="External"/><Relationship Id="rId842" Type="http://schemas.openxmlformats.org/officeDocument/2006/relationships/hyperlink" Target="../../../../../../../../../Releases/Product/RevMind_2.1/Build&amp;Release/Release_For_LQA/Test_Build_1.0.2/Server%20CD/DBS/Setup" TargetMode="External"/><Relationship Id="rId1058" Type="http://schemas.openxmlformats.org/officeDocument/2006/relationships/hyperlink" Target="../../../../../../../../../Releases/Product/Netmind_4.6/Build&amp;Release/ReleaseForIT/TestBuild_4.6.1/Build4/ServerCD/DBS/Setup" TargetMode="External"/><Relationship Id="rId1265" Type="http://schemas.openxmlformats.org/officeDocument/2006/relationships/hyperlink" Target="../../../../../../../../../Releases/Projects/Comcast/Release_For_IT/Test_Build_4.6.1/Server%20CD/Database/Setup" TargetMode="External"/><Relationship Id="rId1472" Type="http://schemas.openxmlformats.org/officeDocument/2006/relationships/hyperlink" Target="../../../../../../../../../Releases/Projects/Telstra/Release_For_LQA/Test_Build_1.0.0.18/Server%20CD/DBS/Setup" TargetMode="External"/><Relationship Id="rId2109" Type="http://schemas.openxmlformats.org/officeDocument/2006/relationships/hyperlink" Target="../../../../../../../../../Releases/Projects/ANTEL/Release_For_IT/TestBuild_1.0.0.4/Server%20CD/DBS/Setup" TargetMode="External"/><Relationship Id="rId2316" Type="http://schemas.openxmlformats.org/officeDocument/2006/relationships/hyperlink" Target="../../../../../../../../../Releases/Projects/OBT/Release_For_IT/TestBuild_1.0.0.2/Server%20CD/DBS/Setup" TargetMode="External"/><Relationship Id="rId2523" Type="http://schemas.openxmlformats.org/officeDocument/2006/relationships/hyperlink" Target="../../../../../../../../../Releases/Projects/Comcast/Release_For_IT/Test_Build_4.6.1/Server%20CD/Database/Setup" TargetMode="External"/><Relationship Id="rId2730" Type="http://schemas.openxmlformats.org/officeDocument/2006/relationships/hyperlink" Target="../../../../../../../../../Releases/Projects/SLT/Release_For_IT/Test_Build_1.0.0.4/Server%20CD/DBS/Setup" TargetMode="External"/><Relationship Id="rId702" Type="http://schemas.openxmlformats.org/officeDocument/2006/relationships/hyperlink" Target="../../../../../../../../../Releases/Projects/SLT/Release_For_IT/Test_Build_1.0.0.4/Server%20CD/DBS/Setup" TargetMode="External"/><Relationship Id="rId1125" Type="http://schemas.openxmlformats.org/officeDocument/2006/relationships/hyperlink" Target="../../../../../../../../../Releases/Projects/Comcast/Release_for_Test/Test_Build_4.6.5/Server%20CD/Database/Setup" TargetMode="External"/><Relationship Id="rId1332" Type="http://schemas.openxmlformats.org/officeDocument/2006/relationships/hyperlink" Target="../../../../../../../../../Releases/Product/RE_1.0/ReleaseForIT/TestBuild_1.0.1/DBS/Build4/Setup" TargetMode="External"/><Relationship Id="rId1777" Type="http://schemas.openxmlformats.org/officeDocument/2006/relationships/hyperlink" Target="../../../../../../../../../Releases/Projects/SLT/Release_For_IT/Test_Build_1.0.0.4/Server%20CD/DBS/Setup" TargetMode="External"/><Relationship Id="rId1984" Type="http://schemas.openxmlformats.org/officeDocument/2006/relationships/hyperlink" Target="../../../../../../../../../Releases/Projects/SLT/Release_For_IT/Test_Build_1.0.0.4/Server%20CD/DBS/Setup" TargetMode="External"/><Relationship Id="rId69" Type="http://schemas.openxmlformats.org/officeDocument/2006/relationships/hyperlink" Target="../../../../../../../../../Releases/Projects/Telstra/Release_For_LQA/Test_Build_1.0.0.18/Server%20CD/DBS/Setup" TargetMode="External"/><Relationship Id="rId1637" Type="http://schemas.openxmlformats.org/officeDocument/2006/relationships/hyperlink" Target="../../../../../../../../../Releases/Projects/BHN/Release_For_Test/Test_Build_1.0.1/Server%20CD/Utility/Setup" TargetMode="External"/><Relationship Id="rId1844" Type="http://schemas.openxmlformats.org/officeDocument/2006/relationships/hyperlink" Target="../../../../../../../../../Releases/Projects/TLSTR-ST/Release_For_Test/Test_Build_1.0.1/Server%20CD/DBS/Setup" TargetMode="External"/><Relationship Id="rId1704" Type="http://schemas.openxmlformats.org/officeDocument/2006/relationships/hyperlink" Target="../../../../../../../../../Releases/Projects/TLSTR-ST/Release_For_Test/Test_Build_1.0.1/Server%20CD/DBS/Setup" TargetMode="External"/><Relationship Id="rId285" Type="http://schemas.openxmlformats.org/officeDocument/2006/relationships/hyperlink" Target="../../../../../../../../../Releases/Projects/VzB/Release_For_LQA/Test_Build_1.0.0.1/Server%20CD/DBS/Setup" TargetMode="External"/><Relationship Id="rId1911" Type="http://schemas.openxmlformats.org/officeDocument/2006/relationships/hyperlink" Target="../../../../../../../../../Releases/Projects/TWC/Release_For_IT/Test_Build_1.0.0.3/Server%20CD/DBS/Setup" TargetMode="External"/><Relationship Id="rId492" Type="http://schemas.openxmlformats.org/officeDocument/2006/relationships/hyperlink" Target="../../../../../../../../../Releases/Projects/TWC/Release_For_IT/Test_Build_1.0.0.3/Server%20CD/DBS/Setup" TargetMode="External"/><Relationship Id="rId797" Type="http://schemas.openxmlformats.org/officeDocument/2006/relationships/hyperlink" Target="../../../../../../../../../Releases/Projects/Comcast/Release_For_IT/Test_Build_4.6.1/Server%20CD/Database/Setup" TargetMode="External"/><Relationship Id="rId2173" Type="http://schemas.openxmlformats.org/officeDocument/2006/relationships/hyperlink" Target="../../../../../../../../../Releases/Projects/TLSTR-ST/Release_For_Test/Test_Build_1.0.1/Server%20CD/DBS/Setup" TargetMode="External"/><Relationship Id="rId2380" Type="http://schemas.openxmlformats.org/officeDocument/2006/relationships/hyperlink" Target="../../../../../../../../../Releases/Projects/SLT-1B/Release_For_Test/Test_Build_1.0.0.1/Server%20CD/MPE/Setup" TargetMode="External"/><Relationship Id="rId2478" Type="http://schemas.openxmlformats.org/officeDocument/2006/relationships/hyperlink" Target="../../../../../../../../../Releases/Projects/MCC/Release_For_Test/Test_Build_1.0.1/Server%20CD/DBS/Setup" TargetMode="External"/><Relationship Id="rId145" Type="http://schemas.openxmlformats.org/officeDocument/2006/relationships/hyperlink" Target="../../../../../../../../../Releases/Projects/Telstra/Release_For_IT/Test_Build_1.0.0.18/Server%20CD/DBS/Setup" TargetMode="External"/><Relationship Id="rId352" Type="http://schemas.openxmlformats.org/officeDocument/2006/relationships/hyperlink" Target="../../../../../../../../../Releases/Projects/Comcast/Release_for_Test/Test_Build_4.6.1/Server%20CD/GUI/Setup" TargetMode="External"/><Relationship Id="rId1287" Type="http://schemas.openxmlformats.org/officeDocument/2006/relationships/hyperlink" Target="../../../../../../../../../Projects/Neustar/BHN/Build&amp;Release/Release%20For%20IT/Test_Build_3.5.37/Server%20CD/MPE/Setup" TargetMode="External"/><Relationship Id="rId2033" Type="http://schemas.openxmlformats.org/officeDocument/2006/relationships/hyperlink" Target="../../../../../../../../../Releases/Projects/FNB/Release_For_Test/Test_Build_1.0.1/Server%20CD/MPE/Setup" TargetMode="External"/><Relationship Id="rId2240" Type="http://schemas.openxmlformats.org/officeDocument/2006/relationships/hyperlink" Target="../../../../../../../../../Releases/Projects/Comcast/Release_for_Test/Test_Build_4.6.7/Server%20CD/Database/Setup" TargetMode="External"/><Relationship Id="rId2685" Type="http://schemas.openxmlformats.org/officeDocument/2006/relationships/hyperlink" Target="../../../../../../../../../Releases/Product/RT_4.0/ReleaseForIT/TestBuild_4.0.3/DBS/Setup" TargetMode="External"/><Relationship Id="rId212" Type="http://schemas.openxmlformats.org/officeDocument/2006/relationships/hyperlink" Target="../../../../../../../../../Releases/Projects/ANTEL/Release_For_IT/TestBuild_1.0.0.4/Server%20CD/DBS/Setup" TargetMode="External"/><Relationship Id="rId657" Type="http://schemas.openxmlformats.org/officeDocument/2006/relationships/hyperlink" Target="../../../../../../../../../Releases/Projects/COM/Release_For_IT/TestBuild_1.0.0.1/Server%20CD/DBS/Setup" TargetMode="External"/><Relationship Id="rId864" Type="http://schemas.openxmlformats.org/officeDocument/2006/relationships/hyperlink" Target="../../../../../../../../../Releases/Projects/Comcast/Release_for_Test/Test_Build_4.6.4/Server%20CD/Database/Setup" TargetMode="External"/><Relationship Id="rId1494" Type="http://schemas.openxmlformats.org/officeDocument/2006/relationships/hyperlink" Target="../../../../../../../../../Releases/Projects/Comcast/Release_for_Test/Test_Build_4.6.6/Server%20CD/GUI/Setup" TargetMode="External"/><Relationship Id="rId1799" Type="http://schemas.openxmlformats.org/officeDocument/2006/relationships/hyperlink" Target="../../../../../../../../../Releases/Projects/SLT/Release_For_LQA/Test_Build_1.0.0.24/Server%20CD/DBS/Setup" TargetMode="External"/><Relationship Id="rId2100" Type="http://schemas.openxmlformats.org/officeDocument/2006/relationships/hyperlink" Target="../../../../../../../../../Releases/Projects/TLSTR-ST/Release_For_IT/TestBuild_1.0.1/Server%20CD/DBS/Setup" TargetMode="External"/><Relationship Id="rId2338" Type="http://schemas.openxmlformats.org/officeDocument/2006/relationships/hyperlink" Target="../../../../../../../../../Releases/Projects/Telenet/Build&amp;Release/Release%20For%20Test/Test_Build_4.0.41/Server%20CD/MPE/Setup" TargetMode="External"/><Relationship Id="rId2545" Type="http://schemas.openxmlformats.org/officeDocument/2006/relationships/hyperlink" Target="../../../../../../../../../Releases/Product/IM_1.0/Build&amp;Release/Release_For_LQA/Test_Build_1.0.6/Server%20CD/IM/Setup" TargetMode="External"/><Relationship Id="rId2752" Type="http://schemas.openxmlformats.org/officeDocument/2006/relationships/hyperlink" Target="../../../../../../../../../Releases/Projects/OBT/Release_For_LQA/TestBuild_1.0.0.7/Server%20CD/DBS/Setup" TargetMode="External"/><Relationship Id="rId517" Type="http://schemas.openxmlformats.org/officeDocument/2006/relationships/hyperlink" Target="../../../../../../../../../Releases/Projects/Telstra/Release_For_IT/Test_Build_1.0.0.18/Server%20CD/DBS/Setup" TargetMode="External"/><Relationship Id="rId724" Type="http://schemas.openxmlformats.org/officeDocument/2006/relationships/hyperlink" Target="../../../../../../../../../Releases/Product/RevMind_2.1/Build&amp;Release/Release_For_LQA/Test_Build_1.0.2/Server%20CD/DBS/Setup" TargetMode="External"/><Relationship Id="rId931" Type="http://schemas.openxmlformats.org/officeDocument/2006/relationships/hyperlink" Target="../../../../../../../../../Releases/Projects/TWC/Release_For_IT/Test_Build_1.0.0.3/Server%20CD/DBS/Setup" TargetMode="External"/><Relationship Id="rId1147" Type="http://schemas.openxmlformats.org/officeDocument/2006/relationships/hyperlink" Target="../../../../../../../../../Releases/Projects/Comcast/Release_For_IT/Test_Build_4.6.1/Server%20CD/Database/Setup" TargetMode="External"/><Relationship Id="rId1354" Type="http://schemas.openxmlformats.org/officeDocument/2006/relationships/hyperlink" Target="../../../../../../../../../Releases/Projects/DRC/Release_For_LQA/Test_Build_1.0.0.3/Server%20CD/DBS/Setup" TargetMode="External"/><Relationship Id="rId1561" Type="http://schemas.openxmlformats.org/officeDocument/2006/relationships/hyperlink" Target="../../../../../../../../../Releases/Projects/Telstra-2b/Release_For_Test/Test_Build_1.0.0.1/Server%20CD/MPE/Setup" TargetMode="External"/><Relationship Id="rId2405" Type="http://schemas.openxmlformats.org/officeDocument/2006/relationships/hyperlink" Target="../../../../../../../../../Releases/Projects/OBT/Release_For_IT/TestBuild_1.0.0.2/Server%20CD/DBS/Setup" TargetMode="External"/><Relationship Id="rId2612" Type="http://schemas.openxmlformats.org/officeDocument/2006/relationships/hyperlink" Target="../../../../../../../../../Releases/Projects/SLT/Release_For_LQA/Test_Build_1.0.0.24/Server%20CD/DBS/Setup" TargetMode="External"/><Relationship Id="rId60" Type="http://schemas.openxmlformats.org/officeDocument/2006/relationships/hyperlink" Target="../../../../../../../../../Releases/Projects/OBT/Release_For_LQA/TestBuild_1.0.0.3/Server%20CD/DBS/Setup" TargetMode="External"/><Relationship Id="rId1007" Type="http://schemas.openxmlformats.org/officeDocument/2006/relationships/hyperlink" Target="../../../../../../../../../Releases/Projects/OBT/Release_For_IT/TestBuild_1.0.0.2/Server%20CD/DBS/Setup" TargetMode="External"/><Relationship Id="rId1214" Type="http://schemas.openxmlformats.org/officeDocument/2006/relationships/hyperlink" Target="../../../../../../../../../Releases/Projects/Comcast/Release_for_Test/Test_Build_4.6.5/Server%20CD/Database/Setup" TargetMode="External"/><Relationship Id="rId1421" Type="http://schemas.openxmlformats.org/officeDocument/2006/relationships/hyperlink" Target="../../../../../../../../../Releases/Projects/SLT/Release_For_IT/Test_Build_1.0.0.4/Server%20CD/DBS/Setup" TargetMode="External"/><Relationship Id="rId1659" Type="http://schemas.openxmlformats.org/officeDocument/2006/relationships/hyperlink" Target="../../../../../../../../../Releases/Projects/SLT/Release_For_LQA/Test_Build_1.0.0.24/Server%20CD/DBS/Setup" TargetMode="External"/><Relationship Id="rId1866" Type="http://schemas.openxmlformats.org/officeDocument/2006/relationships/hyperlink" Target="../../../../../../../../../Releases/Projects/SLT/Release_For_LQA/Test_Build_1.0.0.24/Server%20CD/DBS/Setup" TargetMode="External"/><Relationship Id="rId1519" Type="http://schemas.openxmlformats.org/officeDocument/2006/relationships/hyperlink" Target="../../../../../../../../../Releases/Projects/Telstra-2b/Release_For_Test/Test_Build_1.0.0.1/Server%20CD/MPE/Setup" TargetMode="External"/><Relationship Id="rId1726" Type="http://schemas.openxmlformats.org/officeDocument/2006/relationships/hyperlink" Target="../../../../../../../../../Releases/Projects/BHN/Release_For_Test/Test_Build_1.0.1/Server%20CD/Utility/Setup" TargetMode="External"/><Relationship Id="rId1933" Type="http://schemas.openxmlformats.org/officeDocument/2006/relationships/hyperlink" Target="../../../../../../../../../Releases/Projects/SLT/Release_For_IT/Test_Build_1.0.0.4/Server%20CD/DBS/Setup" TargetMode="External"/><Relationship Id="rId18" Type="http://schemas.openxmlformats.org/officeDocument/2006/relationships/hyperlink" Target="../../../../../../../../../Releases/Projects/Telstra/Release_For_IT/Test_Build_1.0.0.18/Server%20CD/DBS/Setup" TargetMode="External"/><Relationship Id="rId2195" Type="http://schemas.openxmlformats.org/officeDocument/2006/relationships/hyperlink" Target="../../../../../../../../../Releases/Projects/TLSTR-ST/Release_For_IT/TestBuild_1.0.1/Server%20CD/DBS/Setup" TargetMode="External"/><Relationship Id="rId167" Type="http://schemas.openxmlformats.org/officeDocument/2006/relationships/hyperlink" Target="../../../../../../../../../Releases/Projects/SLT/Release_For_LQA/Test_Build_1.0.0.17/Server%20CD/DBS/Setup" TargetMode="External"/><Relationship Id="rId374" Type="http://schemas.openxmlformats.org/officeDocument/2006/relationships/hyperlink" Target="../../../../../../../../../Releases/Product/WEB_WFS/Build&amp;Release/Release%20For%20Test/TestBuild_2.0.4/Build4/ServerCD/GUI/Setup" TargetMode="External"/><Relationship Id="rId581" Type="http://schemas.openxmlformats.org/officeDocument/2006/relationships/hyperlink" Target="../../../../../../../../../Releases/Projects/OBT/Release_For_IT/TestBuild_1.0.0.2/Server%20CD/DBS/Setup" TargetMode="External"/><Relationship Id="rId2055" Type="http://schemas.openxmlformats.org/officeDocument/2006/relationships/hyperlink" Target="../../../../../../../../../Releases/Projects/BHN/Release_For_Test/Test_Build_1.0.4/Server%20CD/IM/Setup" TargetMode="External"/><Relationship Id="rId2262" Type="http://schemas.openxmlformats.org/officeDocument/2006/relationships/hyperlink" Target="../../../../../../../../../Releases/Projects/ANTEL/Release_For_Test/Test_Build_1.0.0.7/Server%20CD/GUI/Setup" TargetMode="External"/><Relationship Id="rId234" Type="http://schemas.openxmlformats.org/officeDocument/2006/relationships/hyperlink" Target="../../../../../../../../../Releases/Projects/SLT/Release_For_LQA/Test_Build_1.0.0.17/Server%20CD/DBS/Setup" TargetMode="External"/><Relationship Id="rId679" Type="http://schemas.openxmlformats.org/officeDocument/2006/relationships/hyperlink" Target="../../../../../../../../../Releases/Projects/SLT-1B/Release_For_Test/Test_Build_1.0.0.1/Server%20CD/MPE/Setup" TargetMode="External"/><Relationship Id="rId886" Type="http://schemas.openxmlformats.org/officeDocument/2006/relationships/hyperlink" Target="../../../../../../../../../Releases/Projects/SLT/Release_For_LQA/Test_Build_1.0.0.23/Server%20CD/DBS/Setup" TargetMode="External"/><Relationship Id="rId2567" Type="http://schemas.openxmlformats.org/officeDocument/2006/relationships/hyperlink" Target="../../../../../../../../../Releases/Projects/SLT/Release_For_IT/Test_Build_1.0.0.4/Server%20CD/DBS/Setup" TargetMode="External"/><Relationship Id="rId2774" Type="http://schemas.openxmlformats.org/officeDocument/2006/relationships/hyperlink" Target="../../../../../../../../../Releases/Product/LA_1.1/Build&amp;Release/Release_For_LQA/Test_Build_1.0.3/Server%20CD/GUI/Setup" TargetMode="External"/><Relationship Id="rId2" Type="http://schemas.openxmlformats.org/officeDocument/2006/relationships/hyperlink" Target="../../../../../../../../../Releases/Projects/SLT-1B/Release_For_Test/Test_Build_1.0.0.1/Server%20CD/MPE/Setup" TargetMode="External"/><Relationship Id="rId441" Type="http://schemas.openxmlformats.org/officeDocument/2006/relationships/hyperlink" Target="../../../../../../../../../Releases/Projects/Telstra-2b/Release_For_Test/Test_Build_1.0.0.1/Server%20CD/MPE/Setup" TargetMode="External"/><Relationship Id="rId539" Type="http://schemas.openxmlformats.org/officeDocument/2006/relationships/hyperlink" Target="../../../../../../../../../Releases/Projects/Comcast/Release_For_IT/Test_Build_4.6.1/Server%20CD/Database/Setup" TargetMode="External"/><Relationship Id="rId746" Type="http://schemas.openxmlformats.org/officeDocument/2006/relationships/hyperlink" Target="../../../../../../../../../Releases/Product/Netmind_4.6/Build&amp;Release/ReleaseForIT/TestBuild_4.6.1/Build4/ServerCD/DBS/Setup" TargetMode="External"/><Relationship Id="rId1071" Type="http://schemas.openxmlformats.org/officeDocument/2006/relationships/hyperlink" Target="../../../../../../../../../Releases/Projects/Comcast/Release_for_Test/Test_Build_4.6.5/Server%20CD/GUI/Setup" TargetMode="External"/><Relationship Id="rId1169" Type="http://schemas.openxmlformats.org/officeDocument/2006/relationships/hyperlink" Target="../../../../../../../../../Releases/Projects/TWC/Release_For_Test/Test_Build_1.0.0.4/Server%20CD/DBS/Setup" TargetMode="External"/><Relationship Id="rId1376" Type="http://schemas.openxmlformats.org/officeDocument/2006/relationships/hyperlink" Target="../../../../../../../../../Releases/Product/UTL_SUBPRT/Release_For_IT/TestBuild_1.0.0.1/Utility/DBS/Setup" TargetMode="External"/><Relationship Id="rId1583" Type="http://schemas.openxmlformats.org/officeDocument/2006/relationships/hyperlink" Target="../../../../../../../../../Releases/Projects/SLT/Release_For_LQA/Test_Build_1.0.0.24/Server%20CD/DBS/Setup" TargetMode="External"/><Relationship Id="rId2122" Type="http://schemas.openxmlformats.org/officeDocument/2006/relationships/hyperlink" Target="../../../../../../../../../Releases/Projects/TLSTR-ST/Release_For_Test/Test_Build_1.0.1/Server%20CD/DBS/Setup" TargetMode="External"/><Relationship Id="rId2427" Type="http://schemas.openxmlformats.org/officeDocument/2006/relationships/hyperlink" Target="../../../../../../../../../Releases/Projects/SLT/Release_For_IT/Test_Build_1.0.0.4/Server%20CD/DBS/Setup" TargetMode="External"/><Relationship Id="rId301" Type="http://schemas.openxmlformats.org/officeDocument/2006/relationships/hyperlink" Target="../../../../../../../../../Releases/Projects/Telstra/Release_For_LQA/Test_Build_1.0.0.18/Server%20CD/DBS/Setup" TargetMode="External"/><Relationship Id="rId953" Type="http://schemas.openxmlformats.org/officeDocument/2006/relationships/hyperlink" Target="../../../../../../../../../Releases/Projects/Comcast/Release_For_IT/Test_Build_4.6.1/Server%20CD/Database/Setup" TargetMode="External"/><Relationship Id="rId1029" Type="http://schemas.openxmlformats.org/officeDocument/2006/relationships/hyperlink" Target="../../../../../../../../../Releases/Product/RevMind_2.1/Build&amp;Release/Release_For_IT/TestBuild_1.0.1/Server%20CD/DBS/Setup" TargetMode="External"/><Relationship Id="rId1236" Type="http://schemas.openxmlformats.org/officeDocument/2006/relationships/hyperlink" Target="../../../../../../../../../Releases/Projects/Comcast/Release_For_IT/Test_Build_4.6.1/Server%20CD/Database/Setup" TargetMode="External"/><Relationship Id="rId1790" Type="http://schemas.openxmlformats.org/officeDocument/2006/relationships/hyperlink" Target="../../../../../../../../../Releases/Projects/SLT/Release_For_LQA/Test_Build_1.0.0.24/Server%20CD/DBS/Setup" TargetMode="External"/><Relationship Id="rId1888" Type="http://schemas.openxmlformats.org/officeDocument/2006/relationships/hyperlink" Target="../../../../../../../../../Releases/Projects/ANTEL/Release_For_Test/Test_Build_1.0.0.7/Server%20CD/MPE/Setup%0d" TargetMode="External"/><Relationship Id="rId2634" Type="http://schemas.openxmlformats.org/officeDocument/2006/relationships/hyperlink" Target="../../../../../../../../../Releases/Projects/SLT/Release_For_LQA/Test_Build_1.0.0.24/Server%20CD/DBS/Setup" TargetMode="External"/><Relationship Id="rId82" Type="http://schemas.openxmlformats.org/officeDocument/2006/relationships/hyperlink" Target="../../../../../../../../../Releases/Product/MPE_GUI/ReleaseForLQA/TestBuild_1.0.0.2/Server%20CD/MPE/Setup" TargetMode="External"/><Relationship Id="rId606" Type="http://schemas.openxmlformats.org/officeDocument/2006/relationships/hyperlink" Target="../../../../../../../../../Releases/Projects/SLT/Release_For_IT/Test_Build_1.0.0.4/Server%20CD/DBS/Setup" TargetMode="External"/><Relationship Id="rId813" Type="http://schemas.openxmlformats.org/officeDocument/2006/relationships/hyperlink" Target="../../../../../../../../../Releases/Projects/Comcast/Release_For_IT/Test_Build_4.6.1/Server%20CD/Database/Setup" TargetMode="External"/><Relationship Id="rId1443" Type="http://schemas.openxmlformats.org/officeDocument/2006/relationships/hyperlink" Target="../../../../../../../../../Releases/Projects/SLT/Release_For_IT/Test_Build_1.0.0.4/Server%20CD/DBS/Setup" TargetMode="External"/><Relationship Id="rId1650" Type="http://schemas.openxmlformats.org/officeDocument/2006/relationships/hyperlink" Target="../../../../../../../../../Releases/Projects/Comcast/Release_For_IT/Test_Build_4.6.1/Server%20CD/Database/Setup" TargetMode="External"/><Relationship Id="rId1748" Type="http://schemas.openxmlformats.org/officeDocument/2006/relationships/hyperlink" Target="../../../../../../../../../Releases/Projects/Comcast/Release_for_Test/Test_Build_4.6.6/Server%20CD/Database/Setup" TargetMode="External"/><Relationship Id="rId2701" Type="http://schemas.openxmlformats.org/officeDocument/2006/relationships/hyperlink" Target="../../../../../../../../../Releases/Projects/SLT/Release_For_LQA/Test_Build_1.0.0.24/Server%20CD/DBS/Setup" TargetMode="External"/><Relationship Id="rId1303" Type="http://schemas.openxmlformats.org/officeDocument/2006/relationships/hyperlink" Target="../../../../../../../../../Releases/Projects/Comcast/Release_For_IT/Test_Build_4.6.1/Server%20CD/Database/Setup" TargetMode="External"/><Relationship Id="rId1510" Type="http://schemas.openxmlformats.org/officeDocument/2006/relationships/hyperlink" Target="../../../../../../../../../Releases/Projects/Comcast/Release_For_IT/Test_Build_4.6.1/Server%20CD/Database/Setup" TargetMode="External"/><Relationship Id="rId1955" Type="http://schemas.openxmlformats.org/officeDocument/2006/relationships/hyperlink" Target="../../../../../../../../../Releases/Projects/FNB/Release_For_IT/TestBuild_1.0.1/Server%20CD/DBS/Setup" TargetMode="External"/><Relationship Id="rId1608" Type="http://schemas.openxmlformats.org/officeDocument/2006/relationships/hyperlink" Target="../../../../../../../../../Releases/Projects/SLT/Release_For_IT/Test_Build_1.0.0.4/Server%20CD/DBS/Setup" TargetMode="External"/><Relationship Id="rId1815" Type="http://schemas.openxmlformats.org/officeDocument/2006/relationships/hyperlink" Target="../../../../../../../../../Releases/Projects/Telstra/Release_For_IT/Test_Build_1.0.0.18/Server%20CD/DBS/Setup" TargetMode="External"/><Relationship Id="rId189" Type="http://schemas.openxmlformats.org/officeDocument/2006/relationships/hyperlink" Target="../../../../../../../../../Releases/Projects/SHAW/Release_For_LQA/Test_Build_1.0.0.28/Server%20CD/DBS/Setup" TargetMode="External"/><Relationship Id="rId396" Type="http://schemas.openxmlformats.org/officeDocument/2006/relationships/hyperlink" Target="../../../../../../../../../Releases/Product/NetMindPOS_1.1/Build&amp;Release/Release%20for%20IT/TestBuild_1.2.3/Server%20CD/DBS/Setup" TargetMode="External"/><Relationship Id="rId2077" Type="http://schemas.openxmlformats.org/officeDocument/2006/relationships/hyperlink" Target="../../../../../../../../../Releases/Projects/Comcast/Release_for_Test/Test_Build_4.6.7/Server%20CD/Database/Setup" TargetMode="External"/><Relationship Id="rId2284" Type="http://schemas.openxmlformats.org/officeDocument/2006/relationships/hyperlink" Target="../../../../../../../../../Releases/Projects/BHN/Release_For_IT/TestBuild_1.0.0.1/Server%20CD/Utility/Setup" TargetMode="External"/><Relationship Id="rId2491" Type="http://schemas.openxmlformats.org/officeDocument/2006/relationships/hyperlink" Target="../../../../../../../../../Releases/Projects/SLT-1B/Release_For_Test/Test_Build_1.0.0.1/Server%20CD/MPE/Setup" TargetMode="External"/><Relationship Id="rId256" Type="http://schemas.openxmlformats.org/officeDocument/2006/relationships/hyperlink" Target="../../../../../../../../../Releases/Product/AWF/Build&amp;Release/Release%20For%20Test/TestBuild_2.0.1/Setup" TargetMode="External"/><Relationship Id="rId463" Type="http://schemas.openxmlformats.org/officeDocument/2006/relationships/hyperlink" Target="../../../../../../../../../Releases/Projects/SLT/Release_For_IT/Test_Build_1.0.0.4/Server%20CD/DBS/Setup" TargetMode="External"/><Relationship Id="rId670" Type="http://schemas.openxmlformats.org/officeDocument/2006/relationships/hyperlink" Target="../../../../../../../../../Projects/Neustar/BHN/Build&amp;Release/Release%20For%20Test/Test_Build_3.5.37/Server%20CD/Database/Setup" TargetMode="External"/><Relationship Id="rId1093" Type="http://schemas.openxmlformats.org/officeDocument/2006/relationships/hyperlink" Target="../../../../../../../../../Releases/Projects/ANTEL/Release_For_Test/Test_Build_1.0.0.7/Server%20CD/DBS/Setup" TargetMode="External"/><Relationship Id="rId2144" Type="http://schemas.openxmlformats.org/officeDocument/2006/relationships/hyperlink" Target="../../../../../../../../../Releases/Projects/Telenet/Build&amp;Release/Release%20For%20Test/Test_Build_4.0.41/Server%20CD/Database/Setup" TargetMode="External"/><Relationship Id="rId2351" Type="http://schemas.openxmlformats.org/officeDocument/2006/relationships/hyperlink" Target="file:///\\192.168.3.3\share\Releases\Product\NetMindPOS_1.1\Build&amp;Release\Release%20for%20IT\TestBuild_1.2.3\Server%20CD\DBS\Setup" TargetMode="External"/><Relationship Id="rId2589" Type="http://schemas.openxmlformats.org/officeDocument/2006/relationships/hyperlink" Target="../../../../../../../../../Releases/Projects/Comcast/Release_For_IT/Test_Build_4.6.1/Server%20CD/Database/Setup" TargetMode="External"/><Relationship Id="rId2796" Type="http://schemas.openxmlformats.org/officeDocument/2006/relationships/hyperlink" Target="../../../../../../../../../Releases/Projects/TWC/Release_For_Test/Test_Build_1.0.0.4/Server%20CD/MPE/Setup" TargetMode="External"/><Relationship Id="rId116" Type="http://schemas.openxmlformats.org/officeDocument/2006/relationships/hyperlink" Target="../../../../../../../../../Releases/Product/NetMindPOS_1.1/Build&amp;Release/Release%20for%20LQA/TestBuild_1.2.3/Server%20CD/DBS/Setup" TargetMode="External"/><Relationship Id="rId323" Type="http://schemas.openxmlformats.org/officeDocument/2006/relationships/hyperlink" Target="../../../../../../../../../Releases/Projects/TWC/Release_For_IT/Test_Build_1.0.0.3/Server%20CD/DBS/Setup" TargetMode="External"/><Relationship Id="rId530" Type="http://schemas.openxmlformats.org/officeDocument/2006/relationships/hyperlink" Target="../../../../../../../../../Releases/Product/RE_1.0/ReleaseForLQA/TestBuild_1.0.1/DBS/Build4/Setup" TargetMode="External"/><Relationship Id="rId768" Type="http://schemas.openxmlformats.org/officeDocument/2006/relationships/hyperlink" Target="../../../../../../../../../Releases/Projects/Telstra/Release_For_LQA/Test_Build_1.0.0.18/Server%20CD/DBS/Setup" TargetMode="External"/><Relationship Id="rId975" Type="http://schemas.openxmlformats.org/officeDocument/2006/relationships/hyperlink" Target="../../../../../../../../../Releases/Product/Netmind_4.7/Build&amp;Release/Release_For_LQA/Test_Build_1.0.1/Server%20CD/DBS/Setup" TargetMode="External"/><Relationship Id="rId1160" Type="http://schemas.openxmlformats.org/officeDocument/2006/relationships/hyperlink" Target="../../../../../../../../../Releases/Projects/ANTEL/Release_For_Test/Test_Build_1.0.0.7/Server%20CD/DBS/Setup" TargetMode="External"/><Relationship Id="rId1398" Type="http://schemas.openxmlformats.org/officeDocument/2006/relationships/hyperlink" Target="../../../../../../../../../Releases/Projects/Telstra-2b/Release_For_Test/Test_Build_1.0.0.1/Server%20CD/MPE/Setup" TargetMode="External"/><Relationship Id="rId2004" Type="http://schemas.openxmlformats.org/officeDocument/2006/relationships/hyperlink" Target="../../../../../../../../../Releases/Projects/SLT/Release_For_LQA/Test_Build_1.0.0.24/Server%20CD/DBS/Setup" TargetMode="External"/><Relationship Id="rId2211" Type="http://schemas.openxmlformats.org/officeDocument/2006/relationships/hyperlink" Target="../../../../../../../../../Releases/Projects/ANTEL/Release_For_Test/Test_Build_1.0.0.7/Server%20CD/DBS/Setup" TargetMode="External"/><Relationship Id="rId2449" Type="http://schemas.openxmlformats.org/officeDocument/2006/relationships/hyperlink" Target="../../../../../../../../../Releases/Projects/SLT/Release_For_IT/Test_Build_1.0.0.4/Server%20CD/DBS/Setup" TargetMode="External"/><Relationship Id="rId2656" Type="http://schemas.openxmlformats.org/officeDocument/2006/relationships/hyperlink" Target="../../../../../../../../../Releases/Product/AWF/Build&amp;Release/Release%20For%20Test/TestBuild_2.0.2/Setup" TargetMode="External"/><Relationship Id="rId628" Type="http://schemas.openxmlformats.org/officeDocument/2006/relationships/hyperlink" Target="../../../../../../../../../Releases/Projects/SLT/Release_For_LQA/Test_Build_1.0.0.21/Server%20CD/DBS/Setup" TargetMode="External"/><Relationship Id="rId835" Type="http://schemas.openxmlformats.org/officeDocument/2006/relationships/hyperlink" Target="../../../../../../../../../Releases/Product/RevMind_2.1/Build&amp;Release/Release_For_LQA/Test_Build_1.0.2/Server%20CD/GUI/CS/Setup" TargetMode="External"/><Relationship Id="rId1258" Type="http://schemas.openxmlformats.org/officeDocument/2006/relationships/hyperlink" Target="../../../../../../../../../Releases/Projects/ANTEL/Release_For_IT/TestBuild_1.0.0.4/Server%20CD/DBS/Setup" TargetMode="External"/><Relationship Id="rId1465" Type="http://schemas.openxmlformats.org/officeDocument/2006/relationships/hyperlink" Target="../../../../../../../../../Releases/Projects/SLT/Release_For_LQA/Test_Build_1.0.0.24/Server%20CD/DBS/Setup" TargetMode="External"/><Relationship Id="rId1672" Type="http://schemas.openxmlformats.org/officeDocument/2006/relationships/hyperlink" Target="../../../../../../../../../Releases/Projects/TWC/Release_For_Test/Test_Build_1.0.0.4/Server%20CD/DBS/Setup" TargetMode="External"/><Relationship Id="rId2309" Type="http://schemas.openxmlformats.org/officeDocument/2006/relationships/hyperlink" Target="../../../../../../../../../Releases/Projects/TLSTR-ST/Release_For_IT/TestBuild_1.0.1/Server%20CD/DBS/Setup" TargetMode="External"/><Relationship Id="rId2516" Type="http://schemas.openxmlformats.org/officeDocument/2006/relationships/hyperlink" Target="../../../../../../../../../Releases/Projects/Telenet/Build&amp;Release/Release%20For%20IT/Test_Build_4.0.41/Server%20CD/Database/Setup" TargetMode="External"/><Relationship Id="rId2723" Type="http://schemas.openxmlformats.org/officeDocument/2006/relationships/hyperlink" Target="../../../../../../../../../Releases/Product/WEB_CS/Build&amp;Release/Release%20For%20Test/TestBuild_2.1.25/ServerCD/GUI/Setup" TargetMode="External"/><Relationship Id="rId1020" Type="http://schemas.openxmlformats.org/officeDocument/2006/relationships/hyperlink" Target="../../../../../../../../../Releases/Projects/SLT-1B/Release_For_Test/Test_Build_1.0.0.1/Server%20CD/MPE/Setup" TargetMode="External"/><Relationship Id="rId1118" Type="http://schemas.openxmlformats.org/officeDocument/2006/relationships/hyperlink" Target="../../../../../../../../../Releases/Projects/OBT/Release_For_LQA/TestBuild_1.0.0.6/Server%20CD/MPE/Setup" TargetMode="External"/><Relationship Id="rId1325" Type="http://schemas.openxmlformats.org/officeDocument/2006/relationships/hyperlink" Target="../../../../../../../../../Releases/Product/NetMindPOS_1.1/Build&amp;Release/Release%20for%20LQA/TestBuild_1.2.3/Server%20CD/DBS/Setup" TargetMode="External"/><Relationship Id="rId1532" Type="http://schemas.openxmlformats.org/officeDocument/2006/relationships/hyperlink" Target="../../../../../../../../../Releases/Projects/DRC/Release_For_LQA/Test_Build_1.0.0.3/Server%20CD/DBS/Setup" TargetMode="External"/><Relationship Id="rId1977" Type="http://schemas.openxmlformats.org/officeDocument/2006/relationships/hyperlink" Target="../../../../../../../../../Releases/Projects/FNB/Release_For_IT/TestBuild_1.0.1/Server%20CD/DBS/Setup" TargetMode="External"/><Relationship Id="rId902" Type="http://schemas.openxmlformats.org/officeDocument/2006/relationships/hyperlink" Target="../../../../../../../../../Releases/Product/MPE_GUI/ReleaseForLQA/TestBuild_1.0.0.2/Server%20CD/MPE/Setup" TargetMode="External"/><Relationship Id="rId1837" Type="http://schemas.openxmlformats.org/officeDocument/2006/relationships/hyperlink" Target="../../../../../../../../../Releases/Projects/TWC/Release_For_Test/Test_Build_1.0.0.4/Server%20CD/DBS/Setup" TargetMode="External"/><Relationship Id="rId31" Type="http://schemas.openxmlformats.org/officeDocument/2006/relationships/hyperlink" Target="../../../../../../../../../Releases/Projects/Telstra/Release_For_IT/Test_Build_1.0.0.18/Server%20CD/DBS/Setup" TargetMode="External"/><Relationship Id="rId2099" Type="http://schemas.openxmlformats.org/officeDocument/2006/relationships/hyperlink" Target="../../../../../../../../../Releases/Projects/TLSTR-ST/Release_For_Test/Test_Build_1.0.1/Server%20CD/DBS/Setup" TargetMode="External"/><Relationship Id="rId180" Type="http://schemas.openxmlformats.org/officeDocument/2006/relationships/hyperlink" Target="../../../../../../../../../Projects/Neustar/BHN/Build&amp;Release/Release%20For%20Test/Test_Build_3.5.37/Server%20CD/Database/Setup" TargetMode="External"/><Relationship Id="rId278" Type="http://schemas.openxmlformats.org/officeDocument/2006/relationships/hyperlink" Target="../../../../../../../../../Releases/Projects/OBT/Release_For_LQA/TestBuild_1.0.0.4/Server%20CD/DBS/Setup" TargetMode="External"/><Relationship Id="rId1904" Type="http://schemas.openxmlformats.org/officeDocument/2006/relationships/hyperlink" Target="../../../../../../../../../Releases/Projects/TWC/Release_For_IT/Test_Build_1.0.0.3/Server%20CD/DBS/Setup" TargetMode="External"/><Relationship Id="rId485" Type="http://schemas.openxmlformats.org/officeDocument/2006/relationships/hyperlink" Target="../../../../../../../../../Releases/Projects/SLT/Release_For_IT/Test_Build_1.0.0.4/Server%20CD/DBS/Setup" TargetMode="External"/><Relationship Id="rId692" Type="http://schemas.openxmlformats.org/officeDocument/2006/relationships/hyperlink" Target="../../../../../../../../../Releases/Projects/Comcast/Release_for_Test/Test_Build_4.6.2/Server%20CD/Database/Setup" TargetMode="External"/><Relationship Id="rId2166" Type="http://schemas.openxmlformats.org/officeDocument/2006/relationships/hyperlink" Target="../../../../../../../../../Releases/Projects/TLSTR-ST/Release_For_IT/TestBuild_1.0.1/Server%20CD/DBS/Setup" TargetMode="External"/><Relationship Id="rId2373" Type="http://schemas.openxmlformats.org/officeDocument/2006/relationships/hyperlink" Target="../../../../../../../../../Releases/Projects/FNB/Release_For_IT/TestBuild_1.0.1/Server%20CD/DBS/Setup" TargetMode="External"/><Relationship Id="rId2580" Type="http://schemas.openxmlformats.org/officeDocument/2006/relationships/hyperlink" Target="../../../../../../../../../Releases/Projects/Comcast/Release_For_IT/Test_Build_4.6.1/Server%20CD/Database/Setup" TargetMode="External"/><Relationship Id="rId138" Type="http://schemas.openxmlformats.org/officeDocument/2006/relationships/hyperlink" Target="../../../../../../../../../Releases/Product/Netmind_4.6/Build&amp;Release/ReleaseForTest/TestBuild_4.6.1/Build4/ServerCD/DBS/Setup" TargetMode="External"/><Relationship Id="rId345" Type="http://schemas.openxmlformats.org/officeDocument/2006/relationships/hyperlink" Target="../../../../../../../../../Releases/Projects/Comcast/Release_for_Test/Test_Build_4.6.1/Utility/Setup" TargetMode="External"/><Relationship Id="rId552" Type="http://schemas.openxmlformats.org/officeDocument/2006/relationships/hyperlink" Target="../../../../../../../../../Releases/Projects/SHAW/Release_For_LQA/Test_Build_1.0.0.28/Server%20CD/DBS/Setup" TargetMode="External"/><Relationship Id="rId997" Type="http://schemas.openxmlformats.org/officeDocument/2006/relationships/hyperlink" Target="../../../../../../../../../Releases/Projects/SLT/Release_For_LQA/Test_Build_1.0.0.23/Server%20CD/DBS/Setup" TargetMode="External"/><Relationship Id="rId1182" Type="http://schemas.openxmlformats.org/officeDocument/2006/relationships/hyperlink" Target="../../../../../../../../../Releases/Projects/ANTEL/Release_For_IT/TestBuild_1.0.0.4/Server%20CD/DBS/Setup" TargetMode="External"/><Relationship Id="rId2026" Type="http://schemas.openxmlformats.org/officeDocument/2006/relationships/hyperlink" Target="../../../../../../../../../Releases/Projects/TWC/Release_For_Test/Test_Build_1.0.0.4/Server%20CD/DBS/Setup" TargetMode="External"/><Relationship Id="rId2233" Type="http://schemas.openxmlformats.org/officeDocument/2006/relationships/hyperlink" Target="../../../../../../../../../Releases/Projects/SLT/Release_For_LQA/Test_Build_1.0.0.24/Server%20CD/DBS/Setup" TargetMode="External"/><Relationship Id="rId2440" Type="http://schemas.openxmlformats.org/officeDocument/2006/relationships/hyperlink" Target="../../../../../../../../../Releases/Projects/TWC/Release_For_Test/Test_Build_1.0.0.4/Server%20CD/DBS/Setup" TargetMode="External"/><Relationship Id="rId2678" Type="http://schemas.openxmlformats.org/officeDocument/2006/relationships/hyperlink" Target="../../../../../../../../../Releases/Projects/OBT/Release_For_IT/TestBuild_1.0.0.2/Server%20CD/DBS/Setup" TargetMode="External"/><Relationship Id="rId205" Type="http://schemas.openxmlformats.org/officeDocument/2006/relationships/hyperlink" Target="../../../../../../../../../Releases/Projects/OBT/Release_For_LQA/TestBuild_1.0.0.4/Server%20CD/DBS/Setup" TargetMode="External"/><Relationship Id="rId412" Type="http://schemas.openxmlformats.org/officeDocument/2006/relationships/hyperlink" Target="../../../../../../../../../Projects/Neustar/BHN/Build&amp;Release/Release%20For%20Test/Test_Build_3.5.37/Server%20CD/Database/Setup" TargetMode="External"/><Relationship Id="rId857" Type="http://schemas.openxmlformats.org/officeDocument/2006/relationships/hyperlink" Target="../../../../../../../../../Releases/Projects/SLT-1B/Release_For_Test/Test_Build_1.0.0.1/Server%20CD/MPE/Setup" TargetMode="External"/><Relationship Id="rId1042" Type="http://schemas.openxmlformats.org/officeDocument/2006/relationships/hyperlink" Target="../../../../../../../../../Releases/Product/Netmind_4.6/Build&amp;Release/ReleaseForIT/TestBuild_4.6.1/Build4/ServerCD/DBS/Setup" TargetMode="External"/><Relationship Id="rId1487" Type="http://schemas.openxmlformats.org/officeDocument/2006/relationships/hyperlink" Target="../../../../../../../../../Releases/Projects/TWC/Release_For_Test/Test_Build_1.0.0.4/Server%20CD/MPE/Setup" TargetMode="External"/><Relationship Id="rId1694" Type="http://schemas.openxmlformats.org/officeDocument/2006/relationships/hyperlink" Target="../../../../../../../../../Releases/Projects/BHN/Release_For_Test/Test_Build_1.0.1/Server%20CD/Utility/Setup" TargetMode="External"/><Relationship Id="rId2300" Type="http://schemas.openxmlformats.org/officeDocument/2006/relationships/hyperlink" Target="../../../../../../../../../Releases/Product/RE_2.0/Build&amp;Release/Release_For_LQA/Test_Build_1.0.1/Server%20CD/DBS/Setup" TargetMode="External"/><Relationship Id="rId2538" Type="http://schemas.openxmlformats.org/officeDocument/2006/relationships/hyperlink" Target="../../../../../../../../../Releases/Projects/Telstra-2b/Release_For_Test/Test_Build_1.0.0.1/Server%20CD/MPE/Setup" TargetMode="External"/><Relationship Id="rId2745" Type="http://schemas.openxmlformats.org/officeDocument/2006/relationships/hyperlink" Target="../../../../../../../../../Releases/Product/WEB_WFS/Build&amp;Release/Release%20For%20Test/TestBuild_2.1.38/ServerCD/GUI/Setup" TargetMode="External"/><Relationship Id="rId717" Type="http://schemas.openxmlformats.org/officeDocument/2006/relationships/hyperlink" Target="../../../../../../../../../Releases/Projects/Telstra-2b/Release_For_Test/Test_Build_1.0.0.1/Server%20CD/MPE/Setup" TargetMode="External"/><Relationship Id="rId924" Type="http://schemas.openxmlformats.org/officeDocument/2006/relationships/hyperlink" Target="../../../../../../../../../Releases/Projects/OBT/Release_For_IT/TestBuild_1.0.0.2/Server%20CD/DBS/Setup" TargetMode="External"/><Relationship Id="rId1347" Type="http://schemas.openxmlformats.org/officeDocument/2006/relationships/hyperlink" Target="../../../../../../../../../Releases/Product/WEB_WFS/Build&amp;Release/Release%20For%20Test/TestBuild_2.1.31/ServerCD/GUI/Setup" TargetMode="External"/><Relationship Id="rId1554" Type="http://schemas.openxmlformats.org/officeDocument/2006/relationships/hyperlink" Target="../../../../../../../../../Projects/Neustar/BHN/Build&amp;Release/Release%20For%20Test/Test_Build_3.5.37/Server%20CD/Database/Setup" TargetMode="External"/><Relationship Id="rId1761" Type="http://schemas.openxmlformats.org/officeDocument/2006/relationships/hyperlink" Target="../../../../../../../../../Releases/Projects/SLT/Release_For_LQA/Test_Build_1.0.0.24/Server%20CD/DBS/Setup" TargetMode="External"/><Relationship Id="rId1999" Type="http://schemas.openxmlformats.org/officeDocument/2006/relationships/hyperlink" Target="../../../../../../../../../Releases/Projects/SLT/Release_For_LQA/Test_Build_1.0.0.24/Server%20CD/GUI/Setup" TargetMode="External"/><Relationship Id="rId2605" Type="http://schemas.openxmlformats.org/officeDocument/2006/relationships/hyperlink" Target="../../../../../../../../../Releases/Projects/BHN/Release_For_Test/Test_Build_1.0.6/Server%20CD/DBS/Setup" TargetMode="External"/><Relationship Id="rId2812" Type="http://schemas.openxmlformats.org/officeDocument/2006/relationships/hyperlink" Target="../../../../../../../../../Releases/Projects/SLT/Release_For_IT/Test_Build_1.0.0.4/Server%20CD/DBS/Setup" TargetMode="External"/><Relationship Id="rId53" Type="http://schemas.openxmlformats.org/officeDocument/2006/relationships/hyperlink" Target="../../../../../../../../../Releases/Projects/OBT/Release_For_IT/TestBuild_1.0.0.2/Server%20CD/DBS/Setup" TargetMode="External"/><Relationship Id="rId1207" Type="http://schemas.openxmlformats.org/officeDocument/2006/relationships/hyperlink" Target="../../../../../../../../../Releases/Projects/TWC/Release_For_IT/Test_Build_1.0.0.3/Server%20CD/DBS/Setup" TargetMode="External"/><Relationship Id="rId1414" Type="http://schemas.openxmlformats.org/officeDocument/2006/relationships/hyperlink" Target="../../../../../../../../../Releases/Projects/Telstra/Release_For_IT/Test_Build_1.0.0.18/Server%20CD/DBS/Setup" TargetMode="External"/><Relationship Id="rId1621" Type="http://schemas.openxmlformats.org/officeDocument/2006/relationships/hyperlink" Target="../../../../../../../../../Releases/Projects/SLT/Release_For_LQA/Test_Build_1.0.0.24/Server%20CD/DBS/Setup" TargetMode="External"/><Relationship Id="rId1859" Type="http://schemas.openxmlformats.org/officeDocument/2006/relationships/hyperlink" Target="../../../../../../../../../Releases/Projects/SLT/Release_For_IT/Test_Build_1.0.0.4/Server%20CD/DBS/Setup" TargetMode="External"/><Relationship Id="rId1719" Type="http://schemas.openxmlformats.org/officeDocument/2006/relationships/hyperlink" Target="../../../../../../../../../Releases/Projects/BHN/Release_For_IT/TestBuild_1.0.0.1/Server%20CD/Utility/Setup" TargetMode="External"/><Relationship Id="rId1926" Type="http://schemas.openxmlformats.org/officeDocument/2006/relationships/hyperlink" Target="../../../../../../../../../Releases/Projects/ANTEL/Release_For_IT/TestBuild_1.0.0.4/Server%20CD/DBS/Setup" TargetMode="External"/><Relationship Id="rId2090" Type="http://schemas.openxmlformats.org/officeDocument/2006/relationships/hyperlink" Target="../../../../../../../../../Releases/Projects/ANTEL/Release_For_IT/TestBuild_1.0.0.4/Server%20CD/DBS/Setup" TargetMode="External"/><Relationship Id="rId2188" Type="http://schemas.openxmlformats.org/officeDocument/2006/relationships/hyperlink" Target="../../../../../../../../../Releases/Projects/ANTEL/Release_For_Test/Test_Build_1.0.0.7/Server%20CD/DBS/Setup" TargetMode="External"/><Relationship Id="rId2395" Type="http://schemas.openxmlformats.org/officeDocument/2006/relationships/hyperlink" Target="../../../../../../../../../Releases/Projects/TLSTR-ST/Release_For_Test/Test_Build_1.0.1/Server%20CD/DBS/Setup" TargetMode="External"/><Relationship Id="rId367" Type="http://schemas.openxmlformats.org/officeDocument/2006/relationships/hyperlink" Target="../../../../../../../../../Releases/Projects/Comcast/Release_for_Test/Test_Build_4.6.1/Server%20CD/Database/Setup" TargetMode="External"/><Relationship Id="rId574" Type="http://schemas.openxmlformats.org/officeDocument/2006/relationships/hyperlink" Target="../../../../../../../../../Releases/Projects/OBT/Release_For_LQA/TestBuild_1.0.0.4/Server%20CD/DBS/Setup" TargetMode="External"/><Relationship Id="rId2048" Type="http://schemas.openxmlformats.org/officeDocument/2006/relationships/hyperlink" Target="../../../../../../../../../Releases/Product/Netmind_4.6/Build&amp;Release/ReleaseForIT/TestBuild_4.6.1/Build4/ServerCD/DBS/Setup" TargetMode="External"/><Relationship Id="rId2255" Type="http://schemas.openxmlformats.org/officeDocument/2006/relationships/hyperlink" Target="../../../../../../../../../Releases/Projects/TLSTR-ST/Release_For_Test/Test_Build_1.0.1/Server%20CD/DBS/Setup" TargetMode="External"/><Relationship Id="rId227" Type="http://schemas.openxmlformats.org/officeDocument/2006/relationships/hyperlink" Target="../../../../../../../../../Releases/Projects/SLT/Release_For_IT/Test_Build_1.0.0.4/Server%20CD/DBS/Setup" TargetMode="External"/><Relationship Id="rId781" Type="http://schemas.openxmlformats.org/officeDocument/2006/relationships/hyperlink" Target="../../../../../../../../../Releases/Projects/OBT/Release_For_LQA/TestBuild_1.0.0.4/Server%20CD/GUI/Setup" TargetMode="External"/><Relationship Id="rId879" Type="http://schemas.openxmlformats.org/officeDocument/2006/relationships/hyperlink" Target="../../../../../../../../../Releases/Projects/OBT/Release_For_LQA/TestBuild_1.0.0.5/Server%20CD/GUI/Setup" TargetMode="External"/><Relationship Id="rId2462" Type="http://schemas.openxmlformats.org/officeDocument/2006/relationships/hyperlink" Target="../../../../../../../../../Releases/Projects/SLT/Release_For_LQA/Test_Build_1.0.0.24/Server%20CD/DBS/Setup" TargetMode="External"/><Relationship Id="rId2767" Type="http://schemas.openxmlformats.org/officeDocument/2006/relationships/hyperlink" Target="../../../../../../../../../Releases/Projects/SLT/Release_For_IT/Test_Build_1.0.0.4/Server%20CD/DBS/Setup" TargetMode="External"/><Relationship Id="rId434" Type="http://schemas.openxmlformats.org/officeDocument/2006/relationships/hyperlink" Target="../../../../../../../../../Releases/Projects/Telstra/Release_For_LQA/Test_Build_1.0.0.18/Server%20CD/DBS/Setup" TargetMode="External"/><Relationship Id="rId641" Type="http://schemas.openxmlformats.org/officeDocument/2006/relationships/hyperlink" Target="../../../../../../../../../Releases/Product/Netmind_4.6/Build&amp;Release/ReleaseForTest/TestBuild_4.6.1/Build4/ServerCD/DBS/Setup" TargetMode="External"/><Relationship Id="rId739" Type="http://schemas.openxmlformats.org/officeDocument/2006/relationships/hyperlink" Target="../../../../../../../../../Projects/Neustar/BHN/Build&amp;Release/Release%20For%20IT/Test_Build_3.5.37/Server%20CD/Database/Setup" TargetMode="External"/><Relationship Id="rId1064" Type="http://schemas.openxmlformats.org/officeDocument/2006/relationships/hyperlink" Target="../../../../../../../../../Releases/Projects/OBT/Release_For_LQA/TestBuild_1.0.0.6/Server%20CD/MPE/Setup" TargetMode="External"/><Relationship Id="rId1271" Type="http://schemas.openxmlformats.org/officeDocument/2006/relationships/hyperlink" Target="../../../../../../../../../Releases/Projects/Comcast/Release_for_Test/Test_Build_4.6.5/Server%20CD/Database/Setup" TargetMode="External"/><Relationship Id="rId1369" Type="http://schemas.openxmlformats.org/officeDocument/2006/relationships/hyperlink" Target="../../../../../../../../../Releases/Projects/DRC/Release_For_LQA/Test_Build_1.0.0.3/Server%20CD/MPE/Setup" TargetMode="External"/><Relationship Id="rId1576" Type="http://schemas.openxmlformats.org/officeDocument/2006/relationships/hyperlink" Target="../../../../../../../../../Releases/Projects/Comcast/Release_for_Test/Test_Build_4.6.6/Server%20CD/Database/Setup" TargetMode="External"/><Relationship Id="rId2115" Type="http://schemas.openxmlformats.org/officeDocument/2006/relationships/hyperlink" Target="../../../../../../../../../Releases/Projects/MCC/Release_For_Test/Test_Build_1.0.1/Server%20CD/GUI/Setup" TargetMode="External"/><Relationship Id="rId2322" Type="http://schemas.openxmlformats.org/officeDocument/2006/relationships/hyperlink" Target="../../../../../../../../../Releases/Product/DataMind_2.0/Build&amp;Release/Release%20for%20LQA/TestBuild_2.0.0/Server%20CD/DBS/Setup" TargetMode="External"/><Relationship Id="rId501" Type="http://schemas.openxmlformats.org/officeDocument/2006/relationships/hyperlink" Target="../../../../../../../../../Releases/Projects/Telenet/Build&amp;Release/Release%20For%20IT/Test_Build_4.0.41/Client%20CD/GUI/Configuration%20System/Setup" TargetMode="External"/><Relationship Id="rId946" Type="http://schemas.openxmlformats.org/officeDocument/2006/relationships/hyperlink" Target="../../../../../../../../../Releases/Product/RevMind_2.1/Build&amp;Release/Release_For_LQA/Test_Build_1.0.2/Server%20CD/DBS/Setup" TargetMode="External"/><Relationship Id="rId1131" Type="http://schemas.openxmlformats.org/officeDocument/2006/relationships/hyperlink" Target="../../../../../../../../../Releases/Projects/Comcast/Release_For_IT/Test_Build_4.6.1/Server%20CD/Database/Setup" TargetMode="External"/><Relationship Id="rId1229" Type="http://schemas.openxmlformats.org/officeDocument/2006/relationships/hyperlink" Target="../../../../../../../../../Releases/Projects/Comcast/Release_for_Test/Test_Build_4.6.5/Server%20CD/Database/Setup" TargetMode="External"/><Relationship Id="rId1783" Type="http://schemas.openxmlformats.org/officeDocument/2006/relationships/hyperlink" Target="../../../../../../../../../Releases/Projects/TWC/Release_For_Test/Test_Build_1.0.0.4/Server%20CD/MPE/Setup" TargetMode="External"/><Relationship Id="rId1990" Type="http://schemas.openxmlformats.org/officeDocument/2006/relationships/hyperlink" Target="../../../../../../../../../Releases/Projects/TLSTR-ST/Release_For_Test/Test_Build_1.0.1/Server%20CD/MPE/Setup" TargetMode="External"/><Relationship Id="rId2627" Type="http://schemas.openxmlformats.org/officeDocument/2006/relationships/hyperlink" Target="../../../../../../../../../Releases/Projects/SLT/Release_For_IT/Test_Build_1.0.0.4/Server%20CD/DBS/Setup" TargetMode="External"/><Relationship Id="rId75" Type="http://schemas.openxmlformats.org/officeDocument/2006/relationships/hyperlink" Target="../../../../../../../../../Releases/Product/Netmind_4.6/Build&amp;Release/ReleaseForIT/TestBuild_4.6.1/Build4/ServerCD/DBS/Setup" TargetMode="External"/><Relationship Id="rId806" Type="http://schemas.openxmlformats.org/officeDocument/2006/relationships/hyperlink" Target="../../../../../../../../../Releases/Projects/TWC/Release_For_IT/Test_Build_1.0.0.3/Server%20CD/DBS/Setup" TargetMode="External"/><Relationship Id="rId1436" Type="http://schemas.openxmlformats.org/officeDocument/2006/relationships/hyperlink" Target="../../../../../../../../../Releases/Projects/SLT/Release_For_LQA/Test_Build_1.0.0.24/Server%20CD/DBS/Setup" TargetMode="External"/><Relationship Id="rId1643" Type="http://schemas.openxmlformats.org/officeDocument/2006/relationships/hyperlink" Target="../../../../../../../../../Projects/Neustar/BHN/Build&amp;Release/Release%20For%20IT/Test_Build_3.5.37/Server%20CD/Database/Setup" TargetMode="External"/><Relationship Id="rId1850" Type="http://schemas.openxmlformats.org/officeDocument/2006/relationships/hyperlink" Target="../../../../../../../../../Releases/Projects/ANTEL/Release_For_Test/Test_Build_1.0.0.7/Server%20CD/DBS/Setup" TargetMode="External"/><Relationship Id="rId1503" Type="http://schemas.openxmlformats.org/officeDocument/2006/relationships/hyperlink" Target="../../../../../../../../../Releases/Projects/Comcast/Release_For_IT/Test_Build_3.5.50/Server%20CD/Database/Setup" TargetMode="External"/><Relationship Id="rId1710" Type="http://schemas.openxmlformats.org/officeDocument/2006/relationships/hyperlink" Target="../../../../../../../../../Releases/Projects/BHN/Release_For_Test/Test_Build_1.0.1/Server%20CD/Utility/Setup" TargetMode="External"/><Relationship Id="rId1948" Type="http://schemas.openxmlformats.org/officeDocument/2006/relationships/hyperlink" Target="../../../../../../../../../Releases/Projects/FNB/Release_For_IT/TestBuild_1.0.1/Server%20CD/DBS/Setup" TargetMode="External"/><Relationship Id="rId291" Type="http://schemas.openxmlformats.org/officeDocument/2006/relationships/hyperlink" Target="../../../../../../../../../Releases/Projects/Vonage/Release_For_IT/Test_Build_4.0.16/Server%20CD/DBS/Setup" TargetMode="External"/><Relationship Id="rId1808" Type="http://schemas.openxmlformats.org/officeDocument/2006/relationships/hyperlink" Target="../../../../../../../../../Releases/Projects/SLT/Release_For_IT/Test_Build_1.0.0.4/Server%20CD/DBS/Setup" TargetMode="External"/><Relationship Id="rId151" Type="http://schemas.openxmlformats.org/officeDocument/2006/relationships/hyperlink" Target="../../../../../../../../../Releases/Projects/MAX/Release_For_IT/TestBuild_1.0.0.1/Server%20CD/DBS/Setup" TargetMode="External"/><Relationship Id="rId389" Type="http://schemas.openxmlformats.org/officeDocument/2006/relationships/hyperlink" Target="../../../../../../../../../Releases/Projects/DRC/Release_For_IT/Test_Build_1.0.0.3/Server%20CD/DBS/Setup" TargetMode="External"/><Relationship Id="rId596" Type="http://schemas.openxmlformats.org/officeDocument/2006/relationships/hyperlink" Target="../../../../../../../../../Releases/Projects/Telstra/Release_For_LQA/Test_Build_1.0.0.18/Server%20CD/DBS/Setup" TargetMode="External"/><Relationship Id="rId2277" Type="http://schemas.openxmlformats.org/officeDocument/2006/relationships/hyperlink" Target="../../../../../../../../../Releases/Projects/BHN/Release_For_IT/TestBuild_1.0.0.1/Server%20CD/Utility/Setup" TargetMode="External"/><Relationship Id="rId2484" Type="http://schemas.openxmlformats.org/officeDocument/2006/relationships/hyperlink" Target="../../../../../../../../../Releases/Projects/FNB/Release_For_Test/Test_Build_1.0.1/Server%20CD/GUI/Setup" TargetMode="External"/><Relationship Id="rId2691" Type="http://schemas.openxmlformats.org/officeDocument/2006/relationships/hyperlink" Target="../../../../../../../../../Releases/Product/RT_4.0/ReleaseForLQA/TestBuild_4.0.24/GUI/Build1/Setup" TargetMode="External"/><Relationship Id="rId249" Type="http://schemas.openxmlformats.org/officeDocument/2006/relationships/hyperlink" Target="../../../../../../../../../Releases/Projects/SLT/Release_For_IT/Test_Build_1.0.0.4/Server%20CD/DBS/Setup" TargetMode="External"/><Relationship Id="rId456" Type="http://schemas.openxmlformats.org/officeDocument/2006/relationships/hyperlink" Target="../../../../../../../../../Releases/Projects/Telenet/Build&amp;Release/Release%20For%20Test/Test_Build_4.0.40/Client%20CD/GUI/Configuration%20System/Setup" TargetMode="External"/><Relationship Id="rId663" Type="http://schemas.openxmlformats.org/officeDocument/2006/relationships/hyperlink" Target="../../../../../../../../../Releases/Product/Netmind_4.6/Build&amp;Release/ReleaseForTest/TestBuild_4.6.1/Build4/ServerCD/DBS/Setup" TargetMode="External"/><Relationship Id="rId870" Type="http://schemas.openxmlformats.org/officeDocument/2006/relationships/hyperlink" Target="../../../../../../../../../Releases/Product/WEB_CS/Build&amp;Release/Release%20For%20Test/TestBuild_2.1.18/ServerCD/GUI/Setup" TargetMode="External"/><Relationship Id="rId1086" Type="http://schemas.openxmlformats.org/officeDocument/2006/relationships/hyperlink" Target="../../../../../../../../../Releases/Projects/SLT-1B/Release_For_Test/Test_Build_1.0.0.1/Utility/MPE/Setup" TargetMode="External"/><Relationship Id="rId1293" Type="http://schemas.openxmlformats.org/officeDocument/2006/relationships/hyperlink" Target="../../../../../../../../../Releases/Projects/Comcast/Release_for_Test/Test_Build_4.6.5/Server%20CD/Database/Setup" TargetMode="External"/><Relationship Id="rId2137" Type="http://schemas.openxmlformats.org/officeDocument/2006/relationships/hyperlink" Target="../../../../../../../../../Releases/Product/MEDGUI_1.1/Build&amp;Release/Release_For_LQA/Test_Build_1.0.1/Server%20CD/MPE/Setup/RHEL_6.3" TargetMode="External"/><Relationship Id="rId2344" Type="http://schemas.openxmlformats.org/officeDocument/2006/relationships/hyperlink" Target="../../../../../../../../../Releases/Projects/TWC/Release_For_IT/Test_Build_1.0.0.3/Server%20CD/DBS/Setup" TargetMode="External"/><Relationship Id="rId2551" Type="http://schemas.openxmlformats.org/officeDocument/2006/relationships/hyperlink" Target="../../../../../../../../../Releases/Projects/FNB/Release_For_Test/Test_Build_1.0.2/Server%20CD/MPE/Setup" TargetMode="External"/><Relationship Id="rId2789" Type="http://schemas.openxmlformats.org/officeDocument/2006/relationships/hyperlink" Target="../../../../../../../../../Releases/Projects/SLT/Release_For_LQA/Test_Build_1.0.0.26/Server%20CD/DBS/Setup" TargetMode="External"/><Relationship Id="rId109" Type="http://schemas.openxmlformats.org/officeDocument/2006/relationships/hyperlink" Target="../../../../../../../../../Releases/Product/RT_4.0/ReleaseForLQA/TestBuild_4.0.18/DBS/Setup" TargetMode="External"/><Relationship Id="rId316" Type="http://schemas.openxmlformats.org/officeDocument/2006/relationships/hyperlink" Target="../../../../../../../../../Releases/Projects/SLT-1B/Release_For_Test/Test_Build_1.0.0.1/Server%20CD/MPE/Setup" TargetMode="External"/><Relationship Id="rId523" Type="http://schemas.openxmlformats.org/officeDocument/2006/relationships/hyperlink" Target="../../../../../../../../../Releases/Projects/OBT/Release_For_IT/TestBuild_1.0.0.2/Server%20CD/DBS/Setup" TargetMode="External"/><Relationship Id="rId968" Type="http://schemas.openxmlformats.org/officeDocument/2006/relationships/hyperlink" Target="../../../../../../../../../Releases/Product/NetMindPOS_1.3/Build&amp;Release/Release_For_LQA/Test_Build_1.0.1/Server%20CD/DBS/Setup" TargetMode="External"/><Relationship Id="rId1153" Type="http://schemas.openxmlformats.org/officeDocument/2006/relationships/hyperlink" Target="../../../../../../../../../Releases/Projects/Comcast/Release_for_Test/Test_Build_4.6.5/Utility/Setup" TargetMode="External"/><Relationship Id="rId1598" Type="http://schemas.openxmlformats.org/officeDocument/2006/relationships/hyperlink" Target="../../../../../../../../../Releases/Projects/TWC/Release_For_Test/Test_Build_1.0.0.4/Server%20CD/GUI/Setup" TargetMode="External"/><Relationship Id="rId2204" Type="http://schemas.openxmlformats.org/officeDocument/2006/relationships/hyperlink" Target="../../../../../../../../../Releases/Projects/SLT/Release_For_LQA/Test_Build_1.0.0.24/Server%20CD/GUI/Setup" TargetMode="External"/><Relationship Id="rId2649" Type="http://schemas.openxmlformats.org/officeDocument/2006/relationships/hyperlink" Target="../../../../../../../../../Releases/Projects/SLT-1B/Release_For_Test/Test_Build_1.0.0.1/Server%20CD/MPE/Setup" TargetMode="External"/><Relationship Id="rId97" Type="http://schemas.openxmlformats.org/officeDocument/2006/relationships/hyperlink" Target="../../../../../../../../../Releases/Projects/SLT/Release_For_IT/Test_Build_1.0.0.4/Server%20CD/DBS/Setup" TargetMode="External"/><Relationship Id="rId730" Type="http://schemas.openxmlformats.org/officeDocument/2006/relationships/hyperlink" Target="../../../../../../../../../Releases/Projects/Telstra/Release_For_LQA/Test_Build_1.0.0.18/Utility/Setup" TargetMode="External"/><Relationship Id="rId828" Type="http://schemas.openxmlformats.org/officeDocument/2006/relationships/hyperlink" Target="../../../../../../../../../Releases/Projects/SLT/Release_For_IT/Test_Build_1.0.0.4/Server%20CD/DBS/Setup" TargetMode="External"/><Relationship Id="rId1013" Type="http://schemas.openxmlformats.org/officeDocument/2006/relationships/hyperlink" Target="../../../../../../../../../Releases/Projects/SLT-1B/Release_For_Test/Test_Build_1.0.0.1/Server%20CD/MPE/Setup" TargetMode="External"/><Relationship Id="rId1360" Type="http://schemas.openxmlformats.org/officeDocument/2006/relationships/hyperlink" Target="../../../../../../../../../Releases/Projects/Comcast/Release_For_IT/Test_Build_4.6.1/Server%20CD/Database/Setup" TargetMode="External"/><Relationship Id="rId1458" Type="http://schemas.openxmlformats.org/officeDocument/2006/relationships/hyperlink" Target="../../../../../../../../../Releases/Projects/SLT/Release_For_IT/Test_Build_1.0.0.4/Server%20CD/DBS/Setup" TargetMode="External"/><Relationship Id="rId1665" Type="http://schemas.openxmlformats.org/officeDocument/2006/relationships/hyperlink" Target="../../../../../../../../../Projects/Neustar/BHN/Build&amp;Release/Release%20For%20Test/Test_Build_3.5.37/Server%20CD/Database/Setup" TargetMode="External"/><Relationship Id="rId1872" Type="http://schemas.openxmlformats.org/officeDocument/2006/relationships/hyperlink" Target="../../../../../../../../../Releases/Projects/Comcast/Release_for_Test/Test_Build_4.6.6/Server%20CD/Database/Setup" TargetMode="External"/><Relationship Id="rId2411" Type="http://schemas.openxmlformats.org/officeDocument/2006/relationships/hyperlink" Target="../../../../../../../../../Releases/Product/Netmind_4.6/Build&amp;Release/ReleaseForIT/TestBuild_4.6.1/Build4/ServerCD/DBS/Setup" TargetMode="External"/><Relationship Id="rId2509" Type="http://schemas.openxmlformats.org/officeDocument/2006/relationships/hyperlink" Target="../../../../../../../../../Releases/Product/RE_2.0/Build&amp;Release/Release_For_LQA/Test_Build_1.0.2/Server%20CD/GUI/Setup" TargetMode="External"/><Relationship Id="rId2716" Type="http://schemas.openxmlformats.org/officeDocument/2006/relationships/hyperlink" Target="../../../../../../../../../Releases/Projects/SLT/Release_For_IT/Test_Build_1.0.0.4/Server%20CD/DBS/Setup" TargetMode="External"/><Relationship Id="rId1220" Type="http://schemas.openxmlformats.org/officeDocument/2006/relationships/hyperlink" Target="../../../../../../../../../Releases/Projects/ANTEL/Release_For_IT/TestBuild_1.0.0.4/Server%20CD/DBS/Setup" TargetMode="External"/><Relationship Id="rId1318" Type="http://schemas.openxmlformats.org/officeDocument/2006/relationships/hyperlink" Target="../../../../../../../../../Releases/Projects/MTS/Release%20For%20Test/Test_Build_3.0.5.25/Server%20CD/Database/Setup" TargetMode="External"/><Relationship Id="rId1525" Type="http://schemas.openxmlformats.org/officeDocument/2006/relationships/hyperlink" Target="../../../../../../../../../Releases/Projects/DRC/Release_For_LQA/Test_Build_1.0.0.3/Server%20CD/MPE/Setup" TargetMode="External"/><Relationship Id="rId1732" Type="http://schemas.openxmlformats.org/officeDocument/2006/relationships/hyperlink" Target="../../../../../../../../../Releases/Projects/SLT/Release_For_IT/Test_Build_1.0.0.4/Server%20CD/DBS/Setup" TargetMode="External"/><Relationship Id="rId24" Type="http://schemas.openxmlformats.org/officeDocument/2006/relationships/hyperlink" Target="../../../../../../../../../Releases/Product/MPE_GUI/ReleaseForLQA/TestBuild_1.0.0.2/Server%20CD/MPE/Setup" TargetMode="External"/><Relationship Id="rId2299" Type="http://schemas.openxmlformats.org/officeDocument/2006/relationships/hyperlink" Target="../../../../../../../../../Releases/Product/RE_2.0/Build&amp;Release/Release_For_LQA/Test_Build_1.0.1/Server%20CD/GUI/Setup" TargetMode="External"/><Relationship Id="rId173" Type="http://schemas.openxmlformats.org/officeDocument/2006/relationships/hyperlink" Target="../../../../../../../../../Releases/Projects/MAX/Release_For_Test/Test_Build_1.0.0.1/Server%20CD/GUI/Setup" TargetMode="External"/><Relationship Id="rId380" Type="http://schemas.openxmlformats.org/officeDocument/2006/relationships/hyperlink" Target="../../../../../../../../../Releases/Projects/DRC/Release_For_LQA/Test_Build_1.0.0.3/Server%20CD/MPE/Setup" TargetMode="External"/><Relationship Id="rId2061" Type="http://schemas.openxmlformats.org/officeDocument/2006/relationships/hyperlink" Target="../../../../../../../../../Releases/Product/CSGUI_2.6/Build&amp;Release/Release_For_LQA/Test_Build_1.0.3/Server%20CD/GUI/Setup" TargetMode="External"/><Relationship Id="rId240" Type="http://schemas.openxmlformats.org/officeDocument/2006/relationships/hyperlink" Target="../../../../../../../../../Releases/Product/RevMind_2.0/Build&amp;Release/Release%20for%20IT/TestBuild_1.0.0/Server%20CD/DBS/Setup" TargetMode="External"/><Relationship Id="rId478" Type="http://schemas.openxmlformats.org/officeDocument/2006/relationships/hyperlink" Target="../../../../../../../../../Releases/Projects/SLT/Release_For_IT/Test_Build_1.0.0.4/Server%20CD/DBS/Setup" TargetMode="External"/><Relationship Id="rId685" Type="http://schemas.openxmlformats.org/officeDocument/2006/relationships/hyperlink" Target="../../../../../../../../../Releases/Product/WEB_WFS/Build&amp;Release/Release%20For%20Test/TestBuild_2.1.24/ServerCD/GUI/Setup" TargetMode="External"/><Relationship Id="rId892" Type="http://schemas.openxmlformats.org/officeDocument/2006/relationships/hyperlink" Target="../../../../../../../../../Releases/Projects/SLT-1B/Release_For_Test/Test_Build_1.0.0.1/Server%20CD/MPE/Setup" TargetMode="External"/><Relationship Id="rId2159" Type="http://schemas.openxmlformats.org/officeDocument/2006/relationships/hyperlink" Target="../../../../../../../../../Releases/Projects/FNB/Release_For_Test/Test_Build_1.0.1/Server%20CD/GUI/Setup" TargetMode="External"/><Relationship Id="rId2366" Type="http://schemas.openxmlformats.org/officeDocument/2006/relationships/hyperlink" Target="file:///\\192.168.3.3\share\Releases\Projects\CBD\Release_For_Test\Test_Build_1.0.0.4\Server%20CD\MPE\RHEL_6.3\Setup" TargetMode="External"/><Relationship Id="rId2573" Type="http://schemas.openxmlformats.org/officeDocument/2006/relationships/hyperlink" Target="../../../../../../../../../Releases/Projects/SLT/Release_For_LQA/Test_Build_1.0.0.24/Server%20CD/DBS/Setup" TargetMode="External"/><Relationship Id="rId2780" Type="http://schemas.openxmlformats.org/officeDocument/2006/relationships/hyperlink" Target="../../../../../../../../../Releases/Projects/FNB/Release_For_Test/Test_Build_1.0.3/Server%20CD/GUI/Setup" TargetMode="External"/><Relationship Id="rId100" Type="http://schemas.openxmlformats.org/officeDocument/2006/relationships/hyperlink" Target="../../../../../../../../../Releases/Projects/SLT/Release_For_LQA/Test_Build_1.0.0.17/Server%20CD/GUI/Setup" TargetMode="External"/><Relationship Id="rId338" Type="http://schemas.openxmlformats.org/officeDocument/2006/relationships/hyperlink" Target="../../../../../../../../../Releases/Product/MPE_GUI/ReleaseForLQA/TestBuild_1.0.0.2/Server%20CD/MPE/Setup" TargetMode="External"/><Relationship Id="rId545" Type="http://schemas.openxmlformats.org/officeDocument/2006/relationships/hyperlink" Target="../../../../../../../../../Releases/Projects/SLT/Release_For_LQA/Test_Build_1.0.0.20/Server%20CD/GUI/Setup" TargetMode="External"/><Relationship Id="rId752" Type="http://schemas.openxmlformats.org/officeDocument/2006/relationships/hyperlink" Target="../../../../../../../../../Releases/Product/RevMind_2.1/Build&amp;Release/Release_For_IT/TestBuild_1.0.1/Server%20CD/DBS/Setup" TargetMode="External"/><Relationship Id="rId1175" Type="http://schemas.openxmlformats.org/officeDocument/2006/relationships/hyperlink" Target="../../../../../../../../../Releases/Product/WEB_WFS/Build&amp;Release/Release%20For%20Test/TestBuild_2.1.28/ServerCD/GUI/Setup" TargetMode="External"/><Relationship Id="rId1382" Type="http://schemas.openxmlformats.org/officeDocument/2006/relationships/hyperlink" Target="../../../../../../../../../Releases/Projects/SLT-1B/Release_For_Test/Test_Build_1.0.0.1/Server%20CD/MPE/Setup" TargetMode="External"/><Relationship Id="rId2019" Type="http://schemas.openxmlformats.org/officeDocument/2006/relationships/hyperlink" Target="../../../../../../../../../Releases/Projects/FNB/Release_For_Test/Test_Build_1.0.1/Server%20CD/DBS/Setup" TargetMode="External"/><Relationship Id="rId2226" Type="http://schemas.openxmlformats.org/officeDocument/2006/relationships/hyperlink" Target="../../../../../../../../../Releases/Projects/TLSTR-ST/Release_For_Test/Test_Build_1.0.1/Server%20CD/DBS/Setup" TargetMode="External"/><Relationship Id="rId2433" Type="http://schemas.openxmlformats.org/officeDocument/2006/relationships/hyperlink" Target="file:///\\192.168.3.3\share\Releases\Projects\BHN\Release_For_Test\Test_Build_1.0.6\Server%20CD\IM\Setup" TargetMode="External"/><Relationship Id="rId2640" Type="http://schemas.openxmlformats.org/officeDocument/2006/relationships/hyperlink" Target="../../../../../../../../../Releases/Product/RT_4.0/ReleaseForIT/TestBuild_4.0.3/DBS/Setup" TargetMode="External"/><Relationship Id="rId405" Type="http://schemas.openxmlformats.org/officeDocument/2006/relationships/hyperlink" Target="../../../../../../../../../Releases/Projects/TWC/Release_For_IT/Test_Build_1.0.0.3/Server%20CD/DBS/Setup" TargetMode="External"/><Relationship Id="rId612" Type="http://schemas.openxmlformats.org/officeDocument/2006/relationships/hyperlink" Target="../../../../../../../../../Releases/Projects/COM/Release_For_IT/TestBuild_1.0.0.1/Server%20CD/DBS/Setup" TargetMode="External"/><Relationship Id="rId1035" Type="http://schemas.openxmlformats.org/officeDocument/2006/relationships/hyperlink" Target="../../../../../../../../../Releases/Product/Netmind_4.6/Build&amp;Release/ReleaseForIT/TestBuild_4.6.1/Build4/ServerCD/DBS/Setup" TargetMode="External"/><Relationship Id="rId1242" Type="http://schemas.openxmlformats.org/officeDocument/2006/relationships/hyperlink" Target="../../../../../../../../../Releases/Projects/Comcast/Release_For_IT/Test_Build_4.6.1/Utility/Setup" TargetMode="External"/><Relationship Id="rId1687" Type="http://schemas.openxmlformats.org/officeDocument/2006/relationships/hyperlink" Target="../../../../../../../../../Releases/Projects/SLT/Release_For_LQA/Test_Build_1.0.0.24/Server%20CD/DBS/Setup" TargetMode="External"/><Relationship Id="rId1894" Type="http://schemas.openxmlformats.org/officeDocument/2006/relationships/hyperlink" Target="../../../../../../../../../Releases/Projects/MTS/Release%20For%20Test/Test_Build_3.0.5.25/Server%20CD/AGENT/Setup" TargetMode="External"/><Relationship Id="rId2500" Type="http://schemas.openxmlformats.org/officeDocument/2006/relationships/hyperlink" Target="../../../../../../../../../Releases/Projects/ANTEL/Release_For_Test/Test_Build_1.0.0.7/Server%20CD/DBS/Setup" TargetMode="External"/><Relationship Id="rId2738" Type="http://schemas.openxmlformats.org/officeDocument/2006/relationships/hyperlink" Target="../../../../../../../../../Releases/Projects/TWC/Release_For_Test/Test_Build_1.0.0.4/Server%20CD/DBS/Setup" TargetMode="External"/><Relationship Id="rId917" Type="http://schemas.openxmlformats.org/officeDocument/2006/relationships/hyperlink" Target="../../../../../../../../../Releases/Projects/Comcast/Release_for_Test/Test_Build_4.6.4/Server%20CD/Database/Setup" TargetMode="External"/><Relationship Id="rId1102" Type="http://schemas.openxmlformats.org/officeDocument/2006/relationships/hyperlink" Target="../../../../../../../../../Releases/Product/DataMind_2.0/Build&amp;Release/Release%20for%20LQA/TestBuild_2.0.0/Server%20CD/DBS/Setup" TargetMode="External"/><Relationship Id="rId1547" Type="http://schemas.openxmlformats.org/officeDocument/2006/relationships/hyperlink" Target="../../../../../../../../../Projects/Neustar/BHN/Build&amp;Release/Release%20For%20IT/Test_Build_3.5.37/Server%20CD/Database/Setup" TargetMode="External"/><Relationship Id="rId1754" Type="http://schemas.openxmlformats.org/officeDocument/2006/relationships/hyperlink" Target="../../../../../../../../../Releases/Projects/Comcast/Release_for_Test/Test_Build_4.6.6/Server%20CD/Database/Setup" TargetMode="External"/><Relationship Id="rId1961" Type="http://schemas.openxmlformats.org/officeDocument/2006/relationships/hyperlink" Target="../../../../../../../../../Releases/Product/MPE_GUI/ReleaseForLQA/TestBuild_1.0.0.2/Server%20CD/MPE/Setup" TargetMode="External"/><Relationship Id="rId2805" Type="http://schemas.openxmlformats.org/officeDocument/2006/relationships/hyperlink" Target="../../../../../../../../../Releases/Projects/Telstra-2b/Release_For_Test/Test_Build_1.0.0.1/Server%20CD/MPE/Setup" TargetMode="External"/><Relationship Id="rId46" Type="http://schemas.openxmlformats.org/officeDocument/2006/relationships/hyperlink" Target="../../../../../../../../../Releases/Projects/SLT/Release_For_LQA/Test_Build_1.0.0.16/Server%20CD/DBS/Setup" TargetMode="External"/><Relationship Id="rId1407" Type="http://schemas.openxmlformats.org/officeDocument/2006/relationships/hyperlink" Target="../../../../../../../../../Releases/Product/RT_4.0/ReleaseForLQA/TestBuild_4.0.24/GUI/Build1/Setup" TargetMode="External"/><Relationship Id="rId1614" Type="http://schemas.openxmlformats.org/officeDocument/2006/relationships/hyperlink" Target="../../../../../../../../../Releases/Projects/BHN/Release_For_Test/Test_Build_1.0.1/Server%20CD/GUI/Setup" TargetMode="External"/><Relationship Id="rId1821" Type="http://schemas.openxmlformats.org/officeDocument/2006/relationships/hyperlink" Target="../../../../../../../../../Releases/Projects/Telstra-2b/Release_For_Test/Test_Build_1.0.0.1/Server%20CD/MPE/Setup" TargetMode="External"/><Relationship Id="rId195" Type="http://schemas.openxmlformats.org/officeDocument/2006/relationships/hyperlink" Target="../../../../../../../../../Releases/Product/DataMind_2.0/Build&amp;Release/Release%20for%20LQA/TestBuild_2.0.0/Server%20CD/DBS/Setup" TargetMode="External"/><Relationship Id="rId1919" Type="http://schemas.openxmlformats.org/officeDocument/2006/relationships/hyperlink" Target="../../../../../../../../../Releases/Product/Netmind4.1/Build&amp;Release/ReleaseForIT/TestBuild_4.1.1/Build5/Client%20CD/GUI/Workflow%20System/Setup" TargetMode="External"/><Relationship Id="rId2083" Type="http://schemas.openxmlformats.org/officeDocument/2006/relationships/hyperlink" Target="../../../../../../../../../Releases/Projects/Telstra/Release_For_IT/Test_Build_1.0.0.18/Server%20CD/DBS/Setup" TargetMode="External"/><Relationship Id="rId2290" Type="http://schemas.openxmlformats.org/officeDocument/2006/relationships/hyperlink" Target="../../../../../../../../../Releases/Projects/TLSTR-ST/Release_For_Test/Test_Build_1.0.1/Server%20CD/DBS/Setup" TargetMode="External"/><Relationship Id="rId2388" Type="http://schemas.openxmlformats.org/officeDocument/2006/relationships/hyperlink" Target="../../../../../../../../../Releases/Projects/SLT-1B/Release_For_Test/Test_Build_1.0.0.1/Server%20CD/MPE/Setup" TargetMode="External"/><Relationship Id="rId2595" Type="http://schemas.openxmlformats.org/officeDocument/2006/relationships/hyperlink" Target="../../../../../../../../../Releases/Projects/TWC/Release_For_IT/Test_Build_1.0.0.3/Server%20CD/DBS/Setup" TargetMode="External"/><Relationship Id="rId262" Type="http://schemas.openxmlformats.org/officeDocument/2006/relationships/hyperlink" Target="../../../../../../../../../Releases/Product/RT_4.0/ReleaseForIT/TestBuild_4.0.3/DBS/Setup" TargetMode="External"/><Relationship Id="rId567" Type="http://schemas.openxmlformats.org/officeDocument/2006/relationships/hyperlink" Target="../../../../../../../../../Releases/Projects/SLT-1B/Release_For_Test/Test_Build_1.0.0.1/Server%20CD/MPE/Setup" TargetMode="External"/><Relationship Id="rId1197" Type="http://schemas.openxmlformats.org/officeDocument/2006/relationships/hyperlink" Target="../../../../../../../../../Releases/Product/RevMind_2.1/Build&amp;Release/Release_For_IT/TestBuild_1.0.1/Server%20CD/DBS/Setup" TargetMode="External"/><Relationship Id="rId2150" Type="http://schemas.openxmlformats.org/officeDocument/2006/relationships/hyperlink" Target="../../../../../../../../../Releases/Projects/TLSTR-ST/Release_For_Test/Test_Build_1.0.1/Server%20CD/DBS/Setup" TargetMode="External"/><Relationship Id="rId2248" Type="http://schemas.openxmlformats.org/officeDocument/2006/relationships/hyperlink" Target="../../../../../../../../../Releases/Projects/SLT-1B/Release_For_Test/Test_Build_1.0.0.1/Utility/MPE/Setup" TargetMode="External"/><Relationship Id="rId122" Type="http://schemas.openxmlformats.org/officeDocument/2006/relationships/hyperlink" Target="../../../../../../../../../Releases/Product/MPE_GUI/ReleaseForLQA/TestBuild_1.0.0.2/Server%20CD/MPE/Setup" TargetMode="External"/><Relationship Id="rId774" Type="http://schemas.openxmlformats.org/officeDocument/2006/relationships/hyperlink" Target="../../../../../../../../../Releases/Projects/SLT-1B/Release_For_Test/Test_Build_1.0.0.1/Utility/MPE/Setup" TargetMode="External"/><Relationship Id="rId981" Type="http://schemas.openxmlformats.org/officeDocument/2006/relationships/hyperlink" Target="../../../../../../../../../Releases/Projects/SLT-1B/Release_For_Test/Test_Build_1.0.0.1/Server%20CD/MPE/Setup" TargetMode="External"/><Relationship Id="rId1057" Type="http://schemas.openxmlformats.org/officeDocument/2006/relationships/hyperlink" Target="../../../../../../../../../Releases/Projects/Comcast/Release_for_Test/Test_Build_4.6.5/Server%20CD/Database/Setup" TargetMode="External"/><Relationship Id="rId2010" Type="http://schemas.openxmlformats.org/officeDocument/2006/relationships/hyperlink" Target="../../../../../../../../../Releases/Projects/ANTEL/Release_For_IT/TestBuild_1.0.0.4/Server%20CD/DBS/Setup" TargetMode="External"/><Relationship Id="rId2455" Type="http://schemas.openxmlformats.org/officeDocument/2006/relationships/hyperlink" Target="../../../../../../../../../Releases/Projects/SLT-1B/Release_For_Test/Test_Build_1.0.0.1/Server%20CD/MPE/Setup" TargetMode="External"/><Relationship Id="rId2662" Type="http://schemas.openxmlformats.org/officeDocument/2006/relationships/hyperlink" Target="../../../../../../../../../Releases/Projects/FNB/Release_For_Test/Test_Build_1.0.2/Server%20CD/DBS/Setup" TargetMode="External"/><Relationship Id="rId427" Type="http://schemas.openxmlformats.org/officeDocument/2006/relationships/hyperlink" Target="../../../../../../../../../Releases/Projects/Telstra/Release_For_IT/Test_Build_1.0.0.18/Server%20CD/DBS/Setup" TargetMode="External"/><Relationship Id="rId634" Type="http://schemas.openxmlformats.org/officeDocument/2006/relationships/hyperlink" Target="../../../../../../../../../Releases/Projects/Comcast/Release_For_IT/Test_Build_4.6.1/Server%20CD/Database/Setup" TargetMode="External"/><Relationship Id="rId841" Type="http://schemas.openxmlformats.org/officeDocument/2006/relationships/hyperlink" Target="../../../../../../../../../Releases/Product/RevMind_2.1/Build&amp;Release/Release_For_IT/TestBuild_1.0.1/Server%20CD/DBS/Setup" TargetMode="External"/><Relationship Id="rId1264" Type="http://schemas.openxmlformats.org/officeDocument/2006/relationships/hyperlink" Target="../../../../../../../../../Releases/Projects/Comcast/Release_for_Test/Test_Build_4.6.5/Server%20CD/Database/Setup" TargetMode="External"/><Relationship Id="rId1471" Type="http://schemas.openxmlformats.org/officeDocument/2006/relationships/hyperlink" Target="../../../../../../../../../Releases/Projects/Telstra/Release_For_IT/Test_Build_1.0.0.18/Server%20CD/DBS/Setup" TargetMode="External"/><Relationship Id="rId1569" Type="http://schemas.openxmlformats.org/officeDocument/2006/relationships/hyperlink" Target="../../../../../../../../../Releases/Projects/SLT/Release_For_IT/Test_Build_1.0.0.4/Server%20CD/DBS/Setup" TargetMode="External"/><Relationship Id="rId2108" Type="http://schemas.openxmlformats.org/officeDocument/2006/relationships/hyperlink" Target="../../../../../../../../../Releases/Projects/TLSTR-ST/Release_For_Test/Test_Build_1.0.1/Server%20CD/DBS/Setup" TargetMode="External"/><Relationship Id="rId2315" Type="http://schemas.openxmlformats.org/officeDocument/2006/relationships/hyperlink" Target="../../../../../../../../../Releases/Projects/FNB/Release_For_Test/Test_Build_1.0.1/Server%20CD/MPE/Setup" TargetMode="External"/><Relationship Id="rId2522" Type="http://schemas.openxmlformats.org/officeDocument/2006/relationships/hyperlink" Target="../../../../../../../../../Releases/Projects/MCC/Release_For_Test/Test_Build_1.0.1/Server%20CD/DBS/Setup" TargetMode="External"/><Relationship Id="rId701" Type="http://schemas.openxmlformats.org/officeDocument/2006/relationships/hyperlink" Target="../../../../../../../../../Releases/Projects/Comcast/Release_for_Test/Test_Build_4.6.3/Server%20CD/MPE/Setup" TargetMode="External"/><Relationship Id="rId939" Type="http://schemas.openxmlformats.org/officeDocument/2006/relationships/hyperlink" Target="../../../../../../../../../Releases/Projects/DRC/Release_For_IT/Test_Build_1.0.0.3/Server%20CD/DBS/Setup" TargetMode="External"/><Relationship Id="rId1124" Type="http://schemas.openxmlformats.org/officeDocument/2006/relationships/hyperlink" Target="../../../../../../../../../Releases/Projects/Comcast/Release_For_IT/Test_Build_4.6.1/Server%20CD/Database/Setup" TargetMode="External"/><Relationship Id="rId1331" Type="http://schemas.openxmlformats.org/officeDocument/2006/relationships/hyperlink" Target="../../../../../../../../../Releases/Product/Netmind_4.6/Build&amp;Release/ReleaseForTest/TestBuild_4.6.1/Build4/ServerCD/DBS/Setup" TargetMode="External"/><Relationship Id="rId1776" Type="http://schemas.openxmlformats.org/officeDocument/2006/relationships/hyperlink" Target="../../../../../../../../../Releases/Projects/TWC/Release_For_Test/Test_Build_1.0.0.4/Server%20CD/DBS/Setup" TargetMode="External"/><Relationship Id="rId1983" Type="http://schemas.openxmlformats.org/officeDocument/2006/relationships/hyperlink" Target="../../../../../../../../../Releases/Product/Netmind_4.7/Build&amp;Release/Release_For_LQA/Test_Build_1.0.1/Server%20CD/DBS/Setup" TargetMode="External"/><Relationship Id="rId68" Type="http://schemas.openxmlformats.org/officeDocument/2006/relationships/hyperlink" Target="../../../../../../../../../Releases/Projects/Telstra/Release_For_IT/Test_Build_1.0.0.18/Server%20CD/DBS/Setup" TargetMode="External"/><Relationship Id="rId1429" Type="http://schemas.openxmlformats.org/officeDocument/2006/relationships/hyperlink" Target="../../../../../../../../../Releases/Projects/Comcast/Release_For_IT/Test_Build_4.6.1/Server%20CD/Database/Setup" TargetMode="External"/><Relationship Id="rId1636" Type="http://schemas.openxmlformats.org/officeDocument/2006/relationships/hyperlink" Target="../../../../../../../../../Releases/Projects/BHN/Release_For_IT/TestBuild_1.0.0.1/Server%20CD/Utility/Setup" TargetMode="External"/><Relationship Id="rId1843" Type="http://schemas.openxmlformats.org/officeDocument/2006/relationships/hyperlink" Target="../../../../../../../../../Releases/Projects/TLSTR-ST/Release_For_IT/TestBuild_1.0.1/Server%20CD/DBS/Setup" TargetMode="External"/><Relationship Id="rId1703" Type="http://schemas.openxmlformats.org/officeDocument/2006/relationships/hyperlink" Target="../../../../../../../../../Releases/Projects/TLSTR-ST/Release_For_IT/TestBuild_1.0.1/Server%20CD/DBS/Setup" TargetMode="External"/><Relationship Id="rId1910" Type="http://schemas.openxmlformats.org/officeDocument/2006/relationships/hyperlink" Target="../../../../../../../../../Releases/Projects/TWC/Release_For_Test/Test_Build_1.0.0.4/Server%20CD/DBS/Setup" TargetMode="External"/><Relationship Id="rId284" Type="http://schemas.openxmlformats.org/officeDocument/2006/relationships/hyperlink" Target="../../../../../../../../../Releases/Product/NetMindPOS_1.1/Build&amp;Release/Release%20for%20IT/TestBuild_1.2.3/Server%20CD/DBS/Setup" TargetMode="External"/><Relationship Id="rId491" Type="http://schemas.openxmlformats.org/officeDocument/2006/relationships/hyperlink" Target="../../../../../../../../../Releases/Projects/SLT-1B/Release_For_Test/Test_Build_1.0.0.1/Server%20CD/MPE/Setup" TargetMode="External"/><Relationship Id="rId2172" Type="http://schemas.openxmlformats.org/officeDocument/2006/relationships/hyperlink" Target="../../../../../../../../../Releases/Projects/TLSTR-ST/Release_For_IT/TestBuild_1.0.1/Server%20CD/DBS/Setup" TargetMode="External"/><Relationship Id="rId144" Type="http://schemas.openxmlformats.org/officeDocument/2006/relationships/hyperlink" Target="../../../../../../../../../Releases/Projects/Comcast/Release_for_Test/Test_Build_3.5.50/Server%20CD/Database/Setup" TargetMode="External"/><Relationship Id="rId589" Type="http://schemas.openxmlformats.org/officeDocument/2006/relationships/hyperlink" Target="../../../../../../../../../Releases/Product/Netmind_4.6/Build&amp;Release/ReleaseForIT/TestBuild_4.6.1/Build4/ServerCD/DBS/Setup" TargetMode="External"/><Relationship Id="rId796" Type="http://schemas.openxmlformats.org/officeDocument/2006/relationships/hyperlink" Target="../../../../../../../../../Releases/Product/NetMindPOS_1.1/Build&amp;Release/Release%20for%20LQA/TestBuild_1.2.3/Server%20CD/DBS/Setup" TargetMode="External"/><Relationship Id="rId2477" Type="http://schemas.openxmlformats.org/officeDocument/2006/relationships/hyperlink" Target="../../../../../../../../../Releases/Projects/SLT/Release_For_LQA/Test_Build_1.0.0.24/Server%20CD/DBS/Setup" TargetMode="External"/><Relationship Id="rId2684" Type="http://schemas.openxmlformats.org/officeDocument/2006/relationships/hyperlink" Target="../../../../../../../../../Releases/Projects/TWC/Release_For_Test/Test_Build_1.0.0.4/Server%20CD/DBS/Setup" TargetMode="External"/><Relationship Id="rId351" Type="http://schemas.openxmlformats.org/officeDocument/2006/relationships/hyperlink" Target="../../../../../../../../../Releases/Projects/Comcast/Release_for_Test/Test_Build_4.6.1/Server%20CD/GUI/Setup" TargetMode="External"/><Relationship Id="rId449" Type="http://schemas.openxmlformats.org/officeDocument/2006/relationships/hyperlink" Target="../../../../../../../../../Releases/Projects/Telenet/Build&amp;Release/Release%20For%20IT/Test_Build_4.0.40/Client%20CD/GUI/Configuration%20System/Setup" TargetMode="External"/><Relationship Id="rId656" Type="http://schemas.openxmlformats.org/officeDocument/2006/relationships/hyperlink" Target="../../../../../../../../../Releases/Projects/Telenet/Build&amp;Release/Release%20For%20Test/Test_Build_4.0.41/Server%20CD/MPE/Setup" TargetMode="External"/><Relationship Id="rId863" Type="http://schemas.openxmlformats.org/officeDocument/2006/relationships/hyperlink" Target="../../../../../../../../../Releases/Projects/Comcast/Release_For_IT/Test_Build_4.6.1/Server%20CD/Database/Setup" TargetMode="External"/><Relationship Id="rId1079" Type="http://schemas.openxmlformats.org/officeDocument/2006/relationships/hyperlink" Target="../../../../../../../../../Releases/Product/RevMind_2.1/Build&amp;Release/Release_For_IT/TestBuild_1.0.1/Server%20CD/DBS/Setup" TargetMode="External"/><Relationship Id="rId1286" Type="http://schemas.openxmlformats.org/officeDocument/2006/relationships/hyperlink" Target="../../../../../../../../../Releases/Projects/SLT/Release_For_LQA/Test_Build_1.0.0.23/Server%20CD/DBS/Setup" TargetMode="External"/><Relationship Id="rId1493" Type="http://schemas.openxmlformats.org/officeDocument/2006/relationships/hyperlink" Target="../../../../../../../../../Releases/Product/WEB_WFS/Build&amp;Release/Release%20For%20Test/TestBuild_2.1.34/ServerCD/GUI/Setup" TargetMode="External"/><Relationship Id="rId2032" Type="http://schemas.openxmlformats.org/officeDocument/2006/relationships/hyperlink" Target="../../../../../../../../../Releases/Projects/SLT/Release_For_LQA/Test_Build_1.0.0.24/Server%20CD/DBS/Setup" TargetMode="External"/><Relationship Id="rId2337" Type="http://schemas.openxmlformats.org/officeDocument/2006/relationships/hyperlink" Target="../../../../../../../../../Releases/Projects/SLT-1B/Release_For_Test/Test_Build_1.0.0.1/Server%20CD/MPE/Setup" TargetMode="External"/><Relationship Id="rId2544" Type="http://schemas.openxmlformats.org/officeDocument/2006/relationships/hyperlink" Target="../../../../../../../../../Releases/Projects/MCC/Release_For_Test/Test_Build_1.0.1/Server%20CD/GUI/Setup" TargetMode="External"/><Relationship Id="rId211" Type="http://schemas.openxmlformats.org/officeDocument/2006/relationships/hyperlink" Target="../../../../../../../../../Releases/Projects/SLT/Release_For_LQA/Test_Build_1.0.0.17/Server%20CD/DBS/Setup" TargetMode="External"/><Relationship Id="rId309" Type="http://schemas.openxmlformats.org/officeDocument/2006/relationships/hyperlink" Target="../../../../../../../../../Releases/Projects/Comcast/Release_For_IT/Test_Build_4.6.1/Server%20CD/Database/Setup" TargetMode="External"/><Relationship Id="rId516" Type="http://schemas.openxmlformats.org/officeDocument/2006/relationships/hyperlink" Target="../../../../../../../../../Releases/Product/RE_1.0/ReleaseForIT/TestBuild_1.0.1/DBS/Build4/Setup" TargetMode="External"/><Relationship Id="rId1146" Type="http://schemas.openxmlformats.org/officeDocument/2006/relationships/hyperlink" Target="../../../../../../../../../Releases/Projects/Comcast/Release_for_Test/Test_Build_4.6.5/Utility/Setup" TargetMode="External"/><Relationship Id="rId1798" Type="http://schemas.openxmlformats.org/officeDocument/2006/relationships/hyperlink" Target="../../../../../../../../../Releases/Projects/SLT/Release_For_IT/Test_Build_1.0.0.4/Server%20CD/DBS/Setup" TargetMode="External"/><Relationship Id="rId2751" Type="http://schemas.openxmlformats.org/officeDocument/2006/relationships/hyperlink" Target="../../../../../../../../../Releases/Projects/OBT/Release_For_IT/TestBuild_1.0.0.2/Server%20CD/DBS/Setup" TargetMode="External"/><Relationship Id="rId723" Type="http://schemas.openxmlformats.org/officeDocument/2006/relationships/hyperlink" Target="../../../../../../../../../Releases/Product/RevMind_2.1/Build&amp;Release/Release_For_IT/TestBuild_1.0.1/Server%20CD/DBS/Setup" TargetMode="External"/><Relationship Id="rId930" Type="http://schemas.openxmlformats.org/officeDocument/2006/relationships/hyperlink" Target="../../../../../../../../../Releases/Projects/Telstra/Release_For_IT/Test_Build_1.0.0.18/Server%20CD/DBS/Setup" TargetMode="External"/><Relationship Id="rId1006" Type="http://schemas.openxmlformats.org/officeDocument/2006/relationships/hyperlink" Target="../../../../../../../../../Releases/Projects/SLT-1B/Release_For_Test/Test_Build_1.0.0.1/Utility/MPE/Setup" TargetMode="External"/><Relationship Id="rId1353" Type="http://schemas.openxmlformats.org/officeDocument/2006/relationships/hyperlink" Target="../../../../../../../../../Releases/Projects/DRC/Release_For_IT/Test_Build_1.0.0.3/Server%20CD/DBS/Setup" TargetMode="External"/><Relationship Id="rId1560" Type="http://schemas.openxmlformats.org/officeDocument/2006/relationships/hyperlink" Target="../../../../../../../../../Releases/Projects/Comcast/Release_For_IT/Test_Build_4.6.1/Server%20CD/Database/Setup" TargetMode="External"/><Relationship Id="rId1658" Type="http://schemas.openxmlformats.org/officeDocument/2006/relationships/hyperlink" Target="../../../../../../../../../Releases/Projects/SLT/Release_For_IT/Test_Build_1.0.0.4/Server%20CD/DBS/Setup" TargetMode="External"/><Relationship Id="rId1865" Type="http://schemas.openxmlformats.org/officeDocument/2006/relationships/hyperlink" Target="../../../../../../../../../Releases/Projects/SLT/Release_For_IT/Test_Build_1.0.0.4/Server%20CD/DBS/Setup" TargetMode="External"/><Relationship Id="rId2404" Type="http://schemas.openxmlformats.org/officeDocument/2006/relationships/hyperlink" Target="../../../../../../../../../Releases/Projects/SLT-1B/Release_For_Test/Test_Build_1.0.0.1/Utility/MPE/Setup" TargetMode="External"/><Relationship Id="rId2611" Type="http://schemas.openxmlformats.org/officeDocument/2006/relationships/hyperlink" Target="../../../../../../../../../Releases/Projects/TWC/Release_For_Test/Test_Build_1.0.0.4/Server%20CD/DBS/Setup" TargetMode="External"/><Relationship Id="rId2709" Type="http://schemas.openxmlformats.org/officeDocument/2006/relationships/hyperlink" Target="../../../../../../../../../Releases/Projects/BHN/Release_For_Test/Test_Build_1.0.8/Server%20CD/MPE/Setup" TargetMode="External"/><Relationship Id="rId1213" Type="http://schemas.openxmlformats.org/officeDocument/2006/relationships/hyperlink" Target="../../../../../../../../../Releases/Projects/Comcast/Release_For_IT/Test_Build_4.6.1/Server%20CD/Database/Setup" TargetMode="External"/><Relationship Id="rId1420" Type="http://schemas.openxmlformats.org/officeDocument/2006/relationships/hyperlink" Target="../../../../../../../../../Releases/Projects/TWC/Release_For_Test/Test_Build_1.0.0.4/Server%20CD/MPE/Setup" TargetMode="External"/><Relationship Id="rId1518" Type="http://schemas.openxmlformats.org/officeDocument/2006/relationships/hyperlink" Target="../../../../../../../../../Releases/Projects/SLT/Release_For_LQA/Test_Build_1.0.0.24/Server%20CD/DBS/Setup" TargetMode="External"/><Relationship Id="rId1725" Type="http://schemas.openxmlformats.org/officeDocument/2006/relationships/hyperlink" Target="../../../../../../../../../Releases/Projects/BHN/Release_For_IT/TestBuild_1.0.0.1/Server%20CD/Utility/Setup" TargetMode="External"/><Relationship Id="rId1932" Type="http://schemas.openxmlformats.org/officeDocument/2006/relationships/hyperlink" Target="../../../../../../../../../Releases/Projects/SLT-1B/Release_For_Test/Test_Build_1.0.0.1/Server%20CD/MPE/Setup" TargetMode="External"/><Relationship Id="rId17" Type="http://schemas.openxmlformats.org/officeDocument/2006/relationships/hyperlink" Target="../../../../../../../../../Releases/Product/Netmind_4.6/Build&amp;Release/ReleaseForIT/TestBuild_4.6.1/Build4/ServerCD/DBS/Setup" TargetMode="External"/><Relationship Id="rId2194" Type="http://schemas.openxmlformats.org/officeDocument/2006/relationships/hyperlink" Target="../../../../../../../../../Releases/Projects/TLSTR-ST/Release_For_Test/Test_Build_1.0.1/Server%20CD/DBS/Setup" TargetMode="External"/><Relationship Id="rId166" Type="http://schemas.openxmlformats.org/officeDocument/2006/relationships/hyperlink" Target="../../../../../../../../../Releases/Projects/SLT/Release_For_IT/Test_Build_1.0.0.4/Server%20CD/DBS/Setup" TargetMode="External"/><Relationship Id="rId373" Type="http://schemas.openxmlformats.org/officeDocument/2006/relationships/hyperlink" Target="../../../../../../../../../Releases/Projects/Telstra-2b/Release_For_Test/Test_Build_1.0.0.1/Server%20CD/MPE/Setup" TargetMode="External"/><Relationship Id="rId580" Type="http://schemas.openxmlformats.org/officeDocument/2006/relationships/hyperlink" Target="../../../../../../../../../Releases/Projects/OBT/Release_For_LQA/TestBuild_1.0.0.4/Server%20CD/DBS/Setup" TargetMode="External"/><Relationship Id="rId2054" Type="http://schemas.openxmlformats.org/officeDocument/2006/relationships/hyperlink" Target="../../../../../../../../../Releases/Projects/FNB/Release_For_Test/Test_Build_1.0.1/Server%20CD/MPE/Setup" TargetMode="External"/><Relationship Id="rId2261" Type="http://schemas.openxmlformats.org/officeDocument/2006/relationships/hyperlink" Target="../../../../../../../../../Releases/Projects/Telstra/Release_For_LQA/Test_Build_1.0.0.18/Server%20CD/DBS/Setup" TargetMode="External"/><Relationship Id="rId2499" Type="http://schemas.openxmlformats.org/officeDocument/2006/relationships/hyperlink" Target="../../../../../../../../../Releases/Projects/Comcast/Release_For_IT/Test_Build_4.6.1/Server%20CD/Database/Setup" TargetMode="External"/><Relationship Id="rId1" Type="http://schemas.openxmlformats.org/officeDocument/2006/relationships/hyperlink" Target="../../../../../../../../../Releases/Projects/SLT/Release_For_IT/Test_Build_1.0.0.4/Server%20CD/DBS/Setup" TargetMode="External"/><Relationship Id="rId233" Type="http://schemas.openxmlformats.org/officeDocument/2006/relationships/hyperlink" Target="../../../../../../../../../Releases/Projects/SLT/Release_For_IT/Test_Build_1.0.0.4/Server%20CD/DBS/Setup" TargetMode="External"/><Relationship Id="rId440" Type="http://schemas.openxmlformats.org/officeDocument/2006/relationships/hyperlink" Target="../../../../../../../../../Releases/Projects/SLT/Release_For_LQA/Test_Build_1.0.0.19/Server%20CD/DBS/Setup" TargetMode="External"/><Relationship Id="rId678" Type="http://schemas.openxmlformats.org/officeDocument/2006/relationships/hyperlink" Target="../../../../../../../../../Releases/Projects/Telstra-2b/Release_For_Test/Test_Build_1.0.0.1/Server%20CD/MPE/Setup" TargetMode="External"/><Relationship Id="rId885" Type="http://schemas.openxmlformats.org/officeDocument/2006/relationships/hyperlink" Target="../../../../../../../../../Releases/Projects/SLT/Release_For_IT/Test_Build_1.0.0.4/Server%20CD/DBS/Setup" TargetMode="External"/><Relationship Id="rId1070" Type="http://schemas.openxmlformats.org/officeDocument/2006/relationships/hyperlink" Target="../../../../../../../../../Releases/Projects/SLT/Release_For_LQA/Test_Build_1.0.0.23/Server%20CD/DBS/Setup" TargetMode="External"/><Relationship Id="rId2121" Type="http://schemas.openxmlformats.org/officeDocument/2006/relationships/hyperlink" Target="../../../../../../../../../Releases/Projects/TLSTR-ST/Release_For_IT/TestBuild_1.0.1/Server%20CD/DBS/Setup" TargetMode="External"/><Relationship Id="rId2359" Type="http://schemas.openxmlformats.org/officeDocument/2006/relationships/hyperlink" Target="../../../../../../../../../Releases/Projects/TLSTR-ST/Release_For_Test/Test_Build_1.0.1/Server%20CD/DBS/Setup" TargetMode="External"/><Relationship Id="rId2566" Type="http://schemas.openxmlformats.org/officeDocument/2006/relationships/hyperlink" Target="../../../../../../../../../Releases/Projects/SLT/Release_For_LQA/Test_Build_1.0.0.24/Server%20CD/DBS/Setup" TargetMode="External"/><Relationship Id="rId2773" Type="http://schemas.openxmlformats.org/officeDocument/2006/relationships/hyperlink" Target="../../../../../../../../../Releases/Projects/FNB/Release_For_Test/Test_Build_1.0.2/Server%20CD/DBS/Setup" TargetMode="External"/><Relationship Id="rId300" Type="http://schemas.openxmlformats.org/officeDocument/2006/relationships/hyperlink" Target="../../../../../../../../../Releases/Projects/Telstra/Release_For_IT/Test_Build_1.0.0.18/Server%20CD/DBS/Setup" TargetMode="External"/><Relationship Id="rId538" Type="http://schemas.openxmlformats.org/officeDocument/2006/relationships/hyperlink" Target="../../../../../../../../../Releases/Projects/SLT-1B/Release_For_Test/Test_Build_1.0.0.1/Server%20CD/MPE/Setup" TargetMode="External"/><Relationship Id="rId745" Type="http://schemas.openxmlformats.org/officeDocument/2006/relationships/hyperlink" Target="../../../../../../../../../Releases/Projects/SHAW/Release_For_IT/Test_Build_1.0.0.27/Server%20CD/DBS/Setup" TargetMode="External"/><Relationship Id="rId952" Type="http://schemas.openxmlformats.org/officeDocument/2006/relationships/hyperlink" Target="../../../../../../../../../Releases/Projects/Comcast/Release_for_Test/Test_Build_4.6.4/Server%20CD/Database/Setup" TargetMode="External"/><Relationship Id="rId1168" Type="http://schemas.openxmlformats.org/officeDocument/2006/relationships/hyperlink" Target="../../../../../../../../../Releases/Projects/TWC/Release_For_IT/Test_Build_1.0.0.3/Server%20CD/DBS/Setup" TargetMode="External"/><Relationship Id="rId1375" Type="http://schemas.openxmlformats.org/officeDocument/2006/relationships/hyperlink" Target="../../../../../../../../../Releases/Projects/Telstra/Release_For_LQA/Test_Build_1.0.0.18/Utility/Setup" TargetMode="External"/><Relationship Id="rId1582" Type="http://schemas.openxmlformats.org/officeDocument/2006/relationships/hyperlink" Target="../../../../../../../../../Releases/Projects/OBT/Release_For_LQA/TestBuild_1.0.0.6/Server%20CD/DBS/Setup" TargetMode="External"/><Relationship Id="rId2219" Type="http://schemas.openxmlformats.org/officeDocument/2006/relationships/hyperlink" Target="../../../../../../../../../Releases/Projects/SLT-1B/Release_For_Test/Test_Build_1.0.0.1/Server%20CD/MPE/Setup" TargetMode="External"/><Relationship Id="rId2426" Type="http://schemas.openxmlformats.org/officeDocument/2006/relationships/hyperlink" Target="../../../../../../../../../Releases/Projects/Vonage/Release_For_LQA/Test_Build_4.0.18/Client%20CD/GUI/WFS/Setup" TargetMode="External"/><Relationship Id="rId2633" Type="http://schemas.openxmlformats.org/officeDocument/2006/relationships/hyperlink" Target="../../../../../../../../../Releases/Projects/SLT/Release_For_IT/Test_Build_1.0.0.4/Server%20CD/DBS/Setup" TargetMode="External"/><Relationship Id="rId81" Type="http://schemas.openxmlformats.org/officeDocument/2006/relationships/hyperlink" Target="../../../../../../../../../Releases/Projects/SHAW/Release_For_IT/Test_Build_1.0.0.27/Client%20CD/RM/Setup" TargetMode="External"/><Relationship Id="rId605" Type="http://schemas.openxmlformats.org/officeDocument/2006/relationships/hyperlink" Target="../../../../../../../../../Releases/Projects/SLT/Release_For_LQA/Test_Build_1.0.0.21/Server%20CD/DBS/Setup" TargetMode="External"/><Relationship Id="rId812" Type="http://schemas.openxmlformats.org/officeDocument/2006/relationships/hyperlink" Target="../../../../../../../../../Releases/Product/RT_4.0/ReleaseForIT/TestBuild_4.0.3/DBS/Setup" TargetMode="External"/><Relationship Id="rId1028" Type="http://schemas.openxmlformats.org/officeDocument/2006/relationships/hyperlink" Target="../../../../../../../../../Releases/Projects/TWC/Release_For_Test/Test_Build_1.0.0.4/Server%20CD/DBS/Setup" TargetMode="External"/><Relationship Id="rId1235" Type="http://schemas.openxmlformats.org/officeDocument/2006/relationships/hyperlink" Target="../../../../../../../../../Releases/Projects/Comcast/Release_for_Test/Test_Build_4.6.5/Server%20CD/Database/Setup" TargetMode="External"/><Relationship Id="rId1442" Type="http://schemas.openxmlformats.org/officeDocument/2006/relationships/hyperlink" Target="../../../../../../../../../Releases/Projects/SLT-1B/Release_For_Test/Test_Build_1.0.0.1/Server%20CD/MPE/Setup" TargetMode="External"/><Relationship Id="rId1887" Type="http://schemas.openxmlformats.org/officeDocument/2006/relationships/hyperlink" Target="../../../../../../../../../Releases/Product/MPE_GUI/ReleaseForLQA/TestBuild_1.0.0.2/Server%20CD/MPE/Setup" TargetMode="External"/><Relationship Id="rId1302" Type="http://schemas.openxmlformats.org/officeDocument/2006/relationships/hyperlink" Target="../../../../../../../../../Releases/Projects/Comcast/Release_for_Test/Test_Build_4.6.5/Server%20CD/Database/Setup" TargetMode="External"/><Relationship Id="rId1747" Type="http://schemas.openxmlformats.org/officeDocument/2006/relationships/hyperlink" Target="../../../../../../../../../Releases/Projects/SLT/Release_For_LQA/Test_Build_1.0.0.24/Server%20CD/DBS/Setup" TargetMode="External"/><Relationship Id="rId1954" Type="http://schemas.openxmlformats.org/officeDocument/2006/relationships/hyperlink" Target="../../../../../../../../../Releases/Product/IM_1.0/Build&amp;Release/Release_For_LQA/Test_Build_1.0.2/Server%20CD/IM/Setup" TargetMode="External"/><Relationship Id="rId2700" Type="http://schemas.openxmlformats.org/officeDocument/2006/relationships/hyperlink" Target="../../../../../../../../../Releases/Projects/SLT/Release_For_IT/Test_Build_1.0.0.4/Server%20CD/DBS/Setup" TargetMode="External"/><Relationship Id="rId39" Type="http://schemas.openxmlformats.org/officeDocument/2006/relationships/hyperlink" Target="../../../../../../../../../Releases/Projects/SLT/Release_For_LQA/Test_Build_1.0.0.16/Server%20CD/DBS/Setup" TargetMode="External"/><Relationship Id="rId1607" Type="http://schemas.openxmlformats.org/officeDocument/2006/relationships/hyperlink" Target="../../../../../../../../../Releases/Projects/SLT/Release_For_LQA/Test_Build_1.0.0.24/Server%20CD/DBS/Setup" TargetMode="External"/><Relationship Id="rId1814" Type="http://schemas.openxmlformats.org/officeDocument/2006/relationships/hyperlink" Target="../../../../../../../../../Releases/Product/Netmind_4.7/Build&amp;Release/Release_For_LQA/Test_Build_1.0.1/Server%20CD/DBS/Setup" TargetMode="External"/><Relationship Id="rId188" Type="http://schemas.openxmlformats.org/officeDocument/2006/relationships/hyperlink" Target="../../../../../../../../../Releases/Projects/SHAW/Release_For_IT/Test_Build_1.0.0.27/Server%20CD/DBS/Setup" TargetMode="External"/><Relationship Id="rId395" Type="http://schemas.openxmlformats.org/officeDocument/2006/relationships/hyperlink" Target="../../../../../../../../../Releases/Projects/SLT/Release_For_LQA/Test_Build_1.0.0.19/Server%20CD/DBS/Setup" TargetMode="External"/><Relationship Id="rId2076" Type="http://schemas.openxmlformats.org/officeDocument/2006/relationships/hyperlink" Target="../../../../../../../../../Releases/Projects/Comcast/Release_For_IT/Test_Build_4.6.1/Server%20CD/Database/Setup" TargetMode="External"/><Relationship Id="rId2283" Type="http://schemas.openxmlformats.org/officeDocument/2006/relationships/hyperlink" Target="../../../../../../../../../Releases/Projects/TLSTR-ST/Release_For_IT/TestBuild_1.0.1/Server%20CD/DBS/Setup" TargetMode="External"/><Relationship Id="rId2490" Type="http://schemas.openxmlformats.org/officeDocument/2006/relationships/hyperlink" Target="../../../../../../../../../Releases/Projects/MAC/Release_For_Test/Test_Build_1.0.1/Server%20CD/GUI/Setup" TargetMode="External"/><Relationship Id="rId2588" Type="http://schemas.openxmlformats.org/officeDocument/2006/relationships/hyperlink" Target="../../../../../../../../../Releases/Product/MPE_3.2.8/Build&amp;Release/Release_For_LQA/Test_Build_1.0.1/Server%20CD/MPE/Setup" TargetMode="External"/><Relationship Id="rId255" Type="http://schemas.openxmlformats.org/officeDocument/2006/relationships/hyperlink" Target="../../../../../../../../../Releases/Projects/ANTEL/Release_For_Test/Test_Build_1.0.0.7/Server%20CD/DBS/Setup" TargetMode="External"/><Relationship Id="rId462" Type="http://schemas.openxmlformats.org/officeDocument/2006/relationships/hyperlink" Target="../../../../../../../../../Releases/Projects/SLT-1B/Release_For_Test/Test_Build_1.0.0.1/Server%20CD/MPE/Setup" TargetMode="External"/><Relationship Id="rId1092" Type="http://schemas.openxmlformats.org/officeDocument/2006/relationships/hyperlink" Target="../../../../../../../../../Releases/Projects/ANTEL/Release_For_IT/TestBuild_1.0.0.4/Server%20CD/DBS/Setup" TargetMode="External"/><Relationship Id="rId1397" Type="http://schemas.openxmlformats.org/officeDocument/2006/relationships/hyperlink" Target="../../../../../../../../../Releases/Projects/TWC/Release_For_Test/Test_Build_1.0.0.4/Server%20CD/DBS/Setup" TargetMode="External"/><Relationship Id="rId2143" Type="http://schemas.openxmlformats.org/officeDocument/2006/relationships/hyperlink" Target="../../../../../../../../../Releases/Projects/Telenet/Build&amp;Release/Release%20For%20IT/Test_Build_4.0.41/Server%20CD/Database/Setup" TargetMode="External"/><Relationship Id="rId2350" Type="http://schemas.openxmlformats.org/officeDocument/2006/relationships/hyperlink" Target="../../../../../../../../../Releases/Product/MPE_GUI/ReleaseForLQA/TestBuild_1.0.0.2/Server%20CD/MPE/Setup" TargetMode="External"/><Relationship Id="rId2795" Type="http://schemas.openxmlformats.org/officeDocument/2006/relationships/hyperlink" Target="../../../../../../../../../Releases/Projects/TLSTR-ST/Release_For_Test/Test_Build_1.0.1/Server%20CD/DBS/Setup" TargetMode="External"/><Relationship Id="rId115" Type="http://schemas.openxmlformats.org/officeDocument/2006/relationships/hyperlink" Target="../../../../../../../../../Releases/Product/RT_4.0/ReleaseForLQA/TestBuild_4.0.19/GUI/Build1/Setup" TargetMode="External"/><Relationship Id="rId322" Type="http://schemas.openxmlformats.org/officeDocument/2006/relationships/hyperlink" Target="../../../../../../../../../Releases/Projects/SLT/Release_For_IT/Test_Build_1.0.0.4/Server%20CD/DBS/Setup" TargetMode="External"/><Relationship Id="rId767" Type="http://schemas.openxmlformats.org/officeDocument/2006/relationships/hyperlink" Target="../../../../../../../../../Releases/Projects/Telstra/Release_For_IT/Test_Build_1.0.0.18/Server%20CD/DBS/Setup" TargetMode="External"/><Relationship Id="rId974" Type="http://schemas.openxmlformats.org/officeDocument/2006/relationships/hyperlink" Target="../../../../../../../../../Releases/Projects/SLT/Release_For_IT/Test_Build_1.0.0.4/Server%20CD/DBS/Setup" TargetMode="External"/><Relationship Id="rId2003" Type="http://schemas.openxmlformats.org/officeDocument/2006/relationships/hyperlink" Target="../../../../../../../../../Releases/Projects/SLT/Release_For_IT/Test_Build_1.0.0.4/Server%20CD/DBS/Setup" TargetMode="External"/><Relationship Id="rId2210" Type="http://schemas.openxmlformats.org/officeDocument/2006/relationships/hyperlink" Target="../../../../../../../../../Releases/Projects/ANTEL/Release_For_IT/TestBuild_1.0.0.4/Server%20CD/DBS/Setup" TargetMode="External"/><Relationship Id="rId2448" Type="http://schemas.openxmlformats.org/officeDocument/2006/relationships/hyperlink" Target="../../../../../../../../../Releases/Projects/SLT/Release_For_LQA/Test_Build_1.0.0.24/Server%20CD/DBS/Setup" TargetMode="External"/><Relationship Id="rId2655" Type="http://schemas.openxmlformats.org/officeDocument/2006/relationships/hyperlink" Target="../../../../../../../../../Releases/Projects/Comcast/Release_for_Test/Test_Build_4.6.8/Server%20CD/Database/Setup" TargetMode="External"/><Relationship Id="rId627" Type="http://schemas.openxmlformats.org/officeDocument/2006/relationships/hyperlink" Target="../../../../../../../../../Releases/Projects/SLT/Release_For_IT/Test_Build_1.0.0.4/Server%20CD/DBS/Setup" TargetMode="External"/><Relationship Id="rId834" Type="http://schemas.openxmlformats.org/officeDocument/2006/relationships/hyperlink" Target="../../../../../../../../../Releases/Projects/Comcast/Release_for_Test/Test_Build_4.6.4/Server%20CD/Database/Setup" TargetMode="External"/><Relationship Id="rId1257" Type="http://schemas.openxmlformats.org/officeDocument/2006/relationships/hyperlink" Target="../../../../../../../../../Releases/Projects/Telstra-2b/Release_For_Test/Test_Build_1.0.0.1/Server%20CD/MPE/Setup" TargetMode="External"/><Relationship Id="rId1464" Type="http://schemas.openxmlformats.org/officeDocument/2006/relationships/hyperlink" Target="../../../../../../../../../Releases/Projects/SLT/Release_For_IT/Test_Build_1.0.0.4/Server%20CD/DBS/Setup" TargetMode="External"/><Relationship Id="rId1671" Type="http://schemas.openxmlformats.org/officeDocument/2006/relationships/hyperlink" Target="../../../../../../../../../Releases/Projects/TWC/Release_For_IT/Test_Build_1.0.0.3/Server%20CD/DBS/Setup" TargetMode="External"/><Relationship Id="rId2308" Type="http://schemas.openxmlformats.org/officeDocument/2006/relationships/hyperlink" Target="../../../../../../../../../Releases/Projects/TLSTR-ST/Release_For_Test/Test_Build_1.0.1/Server%20CD/DBS/Setup" TargetMode="External"/><Relationship Id="rId2515" Type="http://schemas.openxmlformats.org/officeDocument/2006/relationships/hyperlink" Target="../../../../../../../../../Releases/Projects/Telenet/Build&amp;Release/Release%20For%20Test/Test_Build_4.0.41/Server%20CD/Database/Setup" TargetMode="External"/><Relationship Id="rId2722" Type="http://schemas.openxmlformats.org/officeDocument/2006/relationships/hyperlink" Target="../../../../../../../../../Releases/Projects/SLT/Release_For_LQA/Test_Build_1.0.0.26/Server%20CD/GUI/Setup" TargetMode="External"/><Relationship Id="rId901" Type="http://schemas.openxmlformats.org/officeDocument/2006/relationships/hyperlink" Target="../../../../../../../../../Releases/Projects/NM46/Release_For_Test/Test_Build_1.0.0.1/Server%20CD/MPE/Setup" TargetMode="External"/><Relationship Id="rId1117" Type="http://schemas.openxmlformats.org/officeDocument/2006/relationships/hyperlink" Target="../../../../../../../../../Releases/Product/Netmind_4.7/Build&amp;Release/Release_For_LQA/Test_Build_1.0.1/Server%20CD/DBS/Setup" TargetMode="External"/><Relationship Id="rId1324" Type="http://schemas.openxmlformats.org/officeDocument/2006/relationships/hyperlink" Target="../../../../../../../../../Releases/Product/NetMindPOS_1.1/Build&amp;Release/Release%20for%20IT/TestBuild_1.2.3/Server%20CD/DBS/Setup" TargetMode="External"/><Relationship Id="rId1531" Type="http://schemas.openxmlformats.org/officeDocument/2006/relationships/hyperlink" Target="../../../../../../../../../Releases/Projects/DRC/Release_For_IT/Test_Build_1.0.0.3/Server%20CD/DBS/Setup" TargetMode="External"/><Relationship Id="rId1769" Type="http://schemas.openxmlformats.org/officeDocument/2006/relationships/hyperlink" Target="../../../../../../../../../Releases/Projects/BHN/Release_For_Test/Test_Build_1.0.1/Server%20CD/DBS/Setup" TargetMode="External"/><Relationship Id="rId1976" Type="http://schemas.openxmlformats.org/officeDocument/2006/relationships/hyperlink" Target="../../../../../../../../../Releases/Projects/BHN/Release_For_Test/Test_Build_1.0.3/Server%20CD/Utility/Setup" TargetMode="External"/><Relationship Id="rId30" Type="http://schemas.openxmlformats.org/officeDocument/2006/relationships/hyperlink" Target="../../../../../../../../../Releases/Projects/Telstra/Release_For_LQA/Test_Build_1.0.0.18/Server%20CD/IM/Setup" TargetMode="External"/><Relationship Id="rId1629" Type="http://schemas.openxmlformats.org/officeDocument/2006/relationships/hyperlink" Target="../../../../../../../../../Releases/Projects/SLT/Release_For_IT/Test_Build_1.0.0.4/Server%20CD/DBS/Setup" TargetMode="External"/><Relationship Id="rId1836" Type="http://schemas.openxmlformats.org/officeDocument/2006/relationships/hyperlink" Target="../../../../../../../../../Releases/Projects/TWC/Release_For_IT/Test_Build_1.0.0.3/Server%20CD/DBS/Setup" TargetMode="External"/><Relationship Id="rId1903" Type="http://schemas.openxmlformats.org/officeDocument/2006/relationships/hyperlink" Target="../../../../../../../../../Releases/Projects/BHN/Release_For_Test/Test_Build_1.0.3/Server%20CD/GUI/Setup" TargetMode="External"/><Relationship Id="rId2098" Type="http://schemas.openxmlformats.org/officeDocument/2006/relationships/hyperlink" Target="../../../../../../../../../Releases/Projects/Telstra/Release_For_LQA/Test_Build_1.0.0.18/Server%20CD/DBS/Setup" TargetMode="External"/><Relationship Id="rId277" Type="http://schemas.openxmlformats.org/officeDocument/2006/relationships/hyperlink" Target="../../../../../../../../../Releases/Projects/OBT/Release_For_IT/TestBuild_1.0.0.2/Server%20CD/DBS/Setup" TargetMode="External"/><Relationship Id="rId484" Type="http://schemas.openxmlformats.org/officeDocument/2006/relationships/hyperlink" Target="../../../../../../../../../Releases/Projects/SLT/Release_For_LQA/Test_Build_1.0.0.19/Server%20CD/DBS/Setup" TargetMode="External"/><Relationship Id="rId2165" Type="http://schemas.openxmlformats.org/officeDocument/2006/relationships/hyperlink" Target="../../../../../../../../../Releases/Projects/TLSTR-ST/Release_For_Test/Test_Build_1.0.1/Server%20CD/DBS/Setup" TargetMode="External"/><Relationship Id="rId137" Type="http://schemas.openxmlformats.org/officeDocument/2006/relationships/hyperlink" Target="../../../../../../../../../Releases/Product/Netmind_4.6/Build&amp;Release/ReleaseForIT/TestBuild_4.6.1/Build4/ServerCD/DBS/Setup" TargetMode="External"/><Relationship Id="rId344" Type="http://schemas.openxmlformats.org/officeDocument/2006/relationships/hyperlink" Target="../../../../../../../../../Releases/Projects/Comcast/Release_For_IT/Test_Build_4.6.1/Utility/Setup" TargetMode="External"/><Relationship Id="rId691" Type="http://schemas.openxmlformats.org/officeDocument/2006/relationships/hyperlink" Target="../../../../../../../../../Releases/Projects/Comcast/Release_For_IT/Test_Build_4.6.1/Server%20CD/Database/Setup" TargetMode="External"/><Relationship Id="rId789" Type="http://schemas.openxmlformats.org/officeDocument/2006/relationships/hyperlink" Target="../../../../../../../../../Releases/Projects/SLT/Release_For_LQA/Test_Build_1.0.0.23/Server%20CD/DBS/Setup" TargetMode="External"/><Relationship Id="rId996" Type="http://schemas.openxmlformats.org/officeDocument/2006/relationships/hyperlink" Target="../../../../../../../../../Releases/Projects/SLT/Release_For_IT/Test_Build_1.0.0.4/Server%20CD/DBS/Setup" TargetMode="External"/><Relationship Id="rId2025" Type="http://schemas.openxmlformats.org/officeDocument/2006/relationships/hyperlink" Target="../../../../../../../../../Releases/Projects/TWC/Release_For_IT/Test_Build_1.0.0.3/Server%20CD/DBS/Setup" TargetMode="External"/><Relationship Id="rId2372" Type="http://schemas.openxmlformats.org/officeDocument/2006/relationships/hyperlink" Target="../../../../../../../../../Releases/Projects/FNB/Release_For_Test/Test_Build_1.0.1/Server%20CD/MPE/Setup" TargetMode="External"/><Relationship Id="rId2677" Type="http://schemas.openxmlformats.org/officeDocument/2006/relationships/hyperlink" Target="../../../../../../../../../Releases/Projects/BHN/Release_For_Test/Test_Build_1.0.8/Server%20CD/GUI/Setup" TargetMode="External"/><Relationship Id="rId551" Type="http://schemas.openxmlformats.org/officeDocument/2006/relationships/hyperlink" Target="../../../../../../../../../Releases/Projects/SHAW/Release_For_IT/Test_Build_1.0.0.27/Server%20CD/DBS/Setup" TargetMode="External"/><Relationship Id="rId649" Type="http://schemas.openxmlformats.org/officeDocument/2006/relationships/hyperlink" Target="../../../../../../../../../Releases/Projects/Telstra-2b/Release_For_Test/Test_Build_1.0.0.1/Server%20CD/MPE/Setup" TargetMode="External"/><Relationship Id="rId856" Type="http://schemas.openxmlformats.org/officeDocument/2006/relationships/hyperlink" Target="../../../../../../../../../Releases/Product/NetMindPOS_1.1/Build&amp;Release/Release%20for%20LQA/TestBuild_1.2.3/Server%20CD/DBS/Setup" TargetMode="External"/><Relationship Id="rId1181" Type="http://schemas.openxmlformats.org/officeDocument/2006/relationships/hyperlink" Target="../../../../../../../../../Releases/Projects/ANTEL/Release_For_Test/Test_Build_1.0.0.7/Server%20CD/GUI/Setup" TargetMode="External"/><Relationship Id="rId1279" Type="http://schemas.openxmlformats.org/officeDocument/2006/relationships/hyperlink" Target="../../../../../../../../../Releases/Projects/Comcast/Release_for_Test/Test_Build_4.6.5/Utility/Setup" TargetMode="External"/><Relationship Id="rId1486" Type="http://schemas.openxmlformats.org/officeDocument/2006/relationships/hyperlink" Target="../../../../../../../../../Releases/Projects/Comcast/Release_for_Test/Test_Build_4.6.6/Server%20CD/Database/Setup" TargetMode="External"/><Relationship Id="rId2232" Type="http://schemas.openxmlformats.org/officeDocument/2006/relationships/hyperlink" Target="../../../../../../../../../Releases/Projects/SLT/Release_For_IT/Test_Build_1.0.0.4/Server%20CD/DBS/Setup" TargetMode="External"/><Relationship Id="rId2537" Type="http://schemas.openxmlformats.org/officeDocument/2006/relationships/hyperlink" Target="../../../../../../../../../Releases/Product/MPE_GUI/ReleaseForLQA/TestBuild_1.0.0.2/Server%20CD/MPE/Setup" TargetMode="External"/><Relationship Id="rId204" Type="http://schemas.openxmlformats.org/officeDocument/2006/relationships/hyperlink" Target="../../../../../../../../../Releases/Projects/OBT/Release_For_IT/TestBuild_1.0.0.2/Server%20CD/DBS/Setup" TargetMode="External"/><Relationship Id="rId411" Type="http://schemas.openxmlformats.org/officeDocument/2006/relationships/hyperlink" Target="../../../../../../../../../Projects/Neustar/BHN/Build&amp;Release/Release%20For%20IT/Test_Build_3.5.37/Server%20CD/Database/Setup" TargetMode="External"/><Relationship Id="rId509" Type="http://schemas.openxmlformats.org/officeDocument/2006/relationships/hyperlink" Target="../../../../../../../../../Releases/Projects/Comcast/Release_for_Test/Test_Build_4.6.1/Utility/Setup" TargetMode="External"/><Relationship Id="rId1041" Type="http://schemas.openxmlformats.org/officeDocument/2006/relationships/hyperlink" Target="../../../../../../../../../Releases/Product/Netmind_4.6/Build&amp;Release/ReleaseForTest/TestBuild_4.6.1/Build4/ServerCD/DBS/Setup" TargetMode="External"/><Relationship Id="rId1139" Type="http://schemas.openxmlformats.org/officeDocument/2006/relationships/hyperlink" Target="../../../../../../../../../Releases/Projects/SLT-1B/Release_For_Test/Test_Build_1.0.0.1/Server%20CD/MPE/Setup" TargetMode="External"/><Relationship Id="rId1346" Type="http://schemas.openxmlformats.org/officeDocument/2006/relationships/hyperlink" Target="../../../../../../../../../Releases/Projects/Comcast/Release_for_Test/Test_Build_4.6.6/Server%20CD/Database/Setup" TargetMode="External"/><Relationship Id="rId1693" Type="http://schemas.openxmlformats.org/officeDocument/2006/relationships/hyperlink" Target="../../../../../../../../../Releases/Projects/SLT/Release_For_LQA/Test_Build_1.0.0.24/Server%20CD/DBS/Setup" TargetMode="External"/><Relationship Id="rId1998" Type="http://schemas.openxmlformats.org/officeDocument/2006/relationships/hyperlink" Target="../../../../../../../../../Releases/Projects/SLT/Release_For_LQA/Test_Build_1.0.0.24/Server%20CD/GUI/Setup" TargetMode="External"/><Relationship Id="rId2744" Type="http://schemas.openxmlformats.org/officeDocument/2006/relationships/hyperlink" Target="../../../../../../../../../Releases/Projects/SLT-1B/Release_For_Test/Test_Build_1.0.0.1/Server%20CD/MPE/Setup" TargetMode="External"/><Relationship Id="rId716" Type="http://schemas.openxmlformats.org/officeDocument/2006/relationships/hyperlink" Target="../../../../../../../../../Releases/Product/NetMindPOS_1.1/Build&amp;Release/Release%20for%20LQA/TestBuild_1.2.3/Server%20CD/DBS/Setup" TargetMode="External"/><Relationship Id="rId923" Type="http://schemas.openxmlformats.org/officeDocument/2006/relationships/hyperlink" Target="../../../../../../../../../Releases/Projects/OBT/Release_For_LQA/TestBuild_1.0.0.5/Server%20CD/DBS/Setup" TargetMode="External"/><Relationship Id="rId1553" Type="http://schemas.openxmlformats.org/officeDocument/2006/relationships/hyperlink" Target="../../../../../../../../../Projects/Neustar/BHN/Build&amp;Release/Release%20For%20IT/Test_Build_3.5.37/Server%20CD/Database/Setup" TargetMode="External"/><Relationship Id="rId1760" Type="http://schemas.openxmlformats.org/officeDocument/2006/relationships/hyperlink" Target="../../../../../../../../../Releases/Projects/SLT/Release_For_IT/Test_Build_1.0.0.4/Server%20CD/DBS/Setup" TargetMode="External"/><Relationship Id="rId1858" Type="http://schemas.openxmlformats.org/officeDocument/2006/relationships/hyperlink" Target="../../../../../../../../../Releases/Projects/Telstra/Release_For_LQA/Test_Build_1.0.0.18/Server%20CD/DBS/Setup" TargetMode="External"/><Relationship Id="rId2604" Type="http://schemas.openxmlformats.org/officeDocument/2006/relationships/hyperlink" Target="../../../../../../../../../Releases/Product/RE_2.0/Build&amp;Release/Release_For_LQA/Test_Build_1.0.2/Server%20CD/DBS/Setup" TargetMode="External"/><Relationship Id="rId2811" Type="http://schemas.openxmlformats.org/officeDocument/2006/relationships/hyperlink" Target="../../../../../../../../../Releases/Projects/SLT-1B/Release_For_Test/Test_Build_1.0.0.1/Server%20CD/MPE/Setup" TargetMode="External"/><Relationship Id="rId52" Type="http://schemas.openxmlformats.org/officeDocument/2006/relationships/hyperlink" Target="../../../../../../../../../Releases/Projects/OBT/Release_For_IT/TestBuild_1.0.0.2/Server%20CD/DBS/Setup" TargetMode="External"/><Relationship Id="rId1206" Type="http://schemas.openxmlformats.org/officeDocument/2006/relationships/hyperlink" Target="../../../../../../../../../Releases/Projects/SLT/Release_For_LQA/Test_Build_1.0.0.23/Server%20CD/DBS/Setup" TargetMode="External"/><Relationship Id="rId1413" Type="http://schemas.openxmlformats.org/officeDocument/2006/relationships/hyperlink" Target="../../../../../../../../../Releases/Projects/SLT/Release_For_LQA/Test_Build_1.0.0.24/Server%20CD/DBS/Setup" TargetMode="External"/><Relationship Id="rId1620" Type="http://schemas.openxmlformats.org/officeDocument/2006/relationships/hyperlink" Target="../../../../../../../../../Releases/Projects/SLT/Release_For_IT/Test_Build_1.0.0.4/Server%20CD/DBS/Setup" TargetMode="External"/><Relationship Id="rId1718" Type="http://schemas.openxmlformats.org/officeDocument/2006/relationships/hyperlink" Target="../../../../../../../../../Releases/Projects/BHN/Release_For_Test/Test_Build_1.0.1/Server%20CD/DBS/Setup" TargetMode="External"/><Relationship Id="rId1925" Type="http://schemas.openxmlformats.org/officeDocument/2006/relationships/hyperlink" Target="../../../../../../../../../Releases/Projects/ANTEL/Release_For_Test/Test_Build_1.0.0.7/Server%20CD/DBS/Setup" TargetMode="External"/><Relationship Id="rId299" Type="http://schemas.openxmlformats.org/officeDocument/2006/relationships/hyperlink" Target="../../../../../../../../../Releases/Product/MPE_GUI/ReleaseForLQA/TestBuild_1.0.0.2/Server%20CD/MPE/Setup" TargetMode="External"/><Relationship Id="rId2187" Type="http://schemas.openxmlformats.org/officeDocument/2006/relationships/hyperlink" Target="../../../../../../../../../Releases/Projects/ANTEL/Release_For_IT/TestBuild_1.0.0.4/Server%20CD/DBS/Setup" TargetMode="External"/><Relationship Id="rId2394" Type="http://schemas.openxmlformats.org/officeDocument/2006/relationships/hyperlink" Target="../../../../../../../../../Releases/Projects/TLSTR-ST/Release_For_IT/TestBuild_1.0.1/Server%20CD/DBS/Setup" TargetMode="External"/><Relationship Id="rId159" Type="http://schemas.openxmlformats.org/officeDocument/2006/relationships/hyperlink" Target="../../../../../../../../../Releases/Projects/SLT/Release_For_LQA/Test_Build_1.0.0.17/Server%20CD/DBS/Setup" TargetMode="External"/><Relationship Id="rId366" Type="http://schemas.openxmlformats.org/officeDocument/2006/relationships/hyperlink" Target="../../../../../../../../../Releases/Product/NetMindPOS_1.1/Build&amp;Release/Release%20for%20LQA/TestBuild_1.2.3/Server%20CD/DBS/Setup" TargetMode="External"/><Relationship Id="rId573" Type="http://schemas.openxmlformats.org/officeDocument/2006/relationships/hyperlink" Target="../../../../../../../../../Releases/Projects/SLT/Release_For_LQA/Test_Build_1.0.0.20/Server%20CD/DBS/Setup" TargetMode="External"/><Relationship Id="rId780" Type="http://schemas.openxmlformats.org/officeDocument/2006/relationships/hyperlink" Target="../../../../../../../../../Releases/Projects/SLT/Release_For_LQA/Test_Build_1.0.0.23/Server%20CD/DBS/Setup" TargetMode="External"/><Relationship Id="rId2047" Type="http://schemas.openxmlformats.org/officeDocument/2006/relationships/hyperlink" Target="../../../../../../../../../Releases/Projects/TLSTR-ST/Release_For_IT/TestBuild_1.0.1/Server%20CD/DBS/Setup" TargetMode="External"/><Relationship Id="rId2254" Type="http://schemas.openxmlformats.org/officeDocument/2006/relationships/hyperlink" Target="../../../../../../../../../Releases/Projects/TLSTR-ST/Release_For_IT/TestBuild_1.0.1/Server%20CD/DBS/Setup" TargetMode="External"/><Relationship Id="rId2461" Type="http://schemas.openxmlformats.org/officeDocument/2006/relationships/hyperlink" Target="../../../../../../../../../Releases/Projects/SLT/Release_For_IT/Test_Build_1.0.0.4/Server%20CD/DBS/Setup" TargetMode="External"/><Relationship Id="rId2699" Type="http://schemas.openxmlformats.org/officeDocument/2006/relationships/hyperlink" Target="../../../../../../../../../Releases/Projects/SLT/Release_For_LQA/Test_Build_1.0.0.24/Server%20CD/DBS/Setup" TargetMode="External"/><Relationship Id="rId226" Type="http://schemas.openxmlformats.org/officeDocument/2006/relationships/hyperlink" Target="../../../../../../../../../Releases/Projects/OBT/Release_For_LQA/TestBuild_1.0.0.4/Server%20CD/GUI/Setup" TargetMode="External"/><Relationship Id="rId433" Type="http://schemas.openxmlformats.org/officeDocument/2006/relationships/hyperlink" Target="../../../../../../../../../Releases/Projects/Telstra/Release_For_IT/Test_Build_1.0.0.18/Server%20CD/DBS/Setup" TargetMode="External"/><Relationship Id="rId878" Type="http://schemas.openxmlformats.org/officeDocument/2006/relationships/hyperlink" Target="../../../../../../../../../Releases/Projects/COM/Release_For_Test/Test_Build_1.0.0.1/Server%20CD/GUI/Setup" TargetMode="External"/><Relationship Id="rId1063" Type="http://schemas.openxmlformats.org/officeDocument/2006/relationships/hyperlink" Target="../../../../../../../../../Releases/Projects/Telstra-2b/Release_For_Test/Test_Build_1.0.0.1/Server%20CD/MPE/Setup" TargetMode="External"/><Relationship Id="rId1270" Type="http://schemas.openxmlformats.org/officeDocument/2006/relationships/hyperlink" Target="../../../../../../../../../Releases/Projects/Comcast/Release_For_IT/Test_Build_4.6.1/Server%20CD/Database/Setup" TargetMode="External"/><Relationship Id="rId2114" Type="http://schemas.openxmlformats.org/officeDocument/2006/relationships/hyperlink" Target="../../../../../../../../../Releases/Product/MPE_3.2/ReleaseForLQA/TestBuild_3.2.6/Server%20CD/MPE/Setup" TargetMode="External"/><Relationship Id="rId2559" Type="http://schemas.openxmlformats.org/officeDocument/2006/relationships/hyperlink" Target="../../../../../../../../../Releases/Projects/SLT/Release_For_IT/Test_Build_1.0.0.4/Server%20CD/DBS/Setup" TargetMode="External"/><Relationship Id="rId2766" Type="http://schemas.openxmlformats.org/officeDocument/2006/relationships/hyperlink" Target="../../../../../../../../../Releases/Product/WEB_WFS/Build&amp;Release/Release%20For%20Test/TestBuild_2.1.38/ServerCD/GUI/Setup" TargetMode="External"/><Relationship Id="rId640" Type="http://schemas.openxmlformats.org/officeDocument/2006/relationships/hyperlink" Target="../../../../../../../../../Releases/Product/Netmind_4.6/Build&amp;Release/ReleaseForIT/TestBuild_4.6.1/Build4/ServerCD/DBS/Setup" TargetMode="External"/><Relationship Id="rId738" Type="http://schemas.openxmlformats.org/officeDocument/2006/relationships/hyperlink" Target="../../../../../../../../../Releases/Projects/Telstra-2b/Release_For_Test/Test_Build_1.0.0.1/Server%20CD/MPE/Setup" TargetMode="External"/><Relationship Id="rId945" Type="http://schemas.openxmlformats.org/officeDocument/2006/relationships/hyperlink" Target="../../../../../../../../../Releases/Product/RevMind_2.1/Build&amp;Release/Release_For_IT/TestBuild_1.0.1/Server%20CD/DBS/Setup" TargetMode="External"/><Relationship Id="rId1368" Type="http://schemas.openxmlformats.org/officeDocument/2006/relationships/hyperlink" Target="../../../../../../../../../Releases/Projects/DRC/Release_For_LQA/Test_Build_1.0.0.3/Server%20CD/DBS/Setup" TargetMode="External"/><Relationship Id="rId1575" Type="http://schemas.openxmlformats.org/officeDocument/2006/relationships/hyperlink" Target="../../../../../../../../../Releases/Projects/Comcast/Release_For_IT/Test_Build_4.6.1/Server%20CD/Database/Setup" TargetMode="External"/><Relationship Id="rId1782" Type="http://schemas.openxmlformats.org/officeDocument/2006/relationships/hyperlink" Target="../../../../../../../../../Releases/Projects/BHN/Release_For_Test/Test_Build_1.0.2/Server%20CD/MPE/Setup" TargetMode="External"/><Relationship Id="rId2321" Type="http://schemas.openxmlformats.org/officeDocument/2006/relationships/hyperlink" Target="../../../../../../../../../Releases/Product/DataMind_2.0/Build&amp;Release/Release%20for%20IT/TestBuild_2.0.0/Server%20CD/DBS/Setup" TargetMode="External"/><Relationship Id="rId2419" Type="http://schemas.openxmlformats.org/officeDocument/2006/relationships/hyperlink" Target="../../../../../../../../../Releases/Product/RT_4.0/ReleaseForIT/TestBuild_4.0.3/DBS/Setup" TargetMode="External"/><Relationship Id="rId2626" Type="http://schemas.openxmlformats.org/officeDocument/2006/relationships/hyperlink" Target="../../../../../../../../../Releases/Projects/Comcast/Release_for_Test/Test_Build_4.6.8/Server%20CD/GUI/Setup" TargetMode="External"/><Relationship Id="rId74" Type="http://schemas.openxmlformats.org/officeDocument/2006/relationships/hyperlink" Target="../../../../../../../../../Releases/Product/NetMindPOS_1.1/Build&amp;Release/Release%20for%20IT/TestBuild_1.2.3/Server%20CD/DBS/Setup" TargetMode="External"/><Relationship Id="rId500" Type="http://schemas.openxmlformats.org/officeDocument/2006/relationships/hyperlink" Target="../../../../../../../../../Releases/Projects/Telenet/Build&amp;Release/Release%20For%20IT/Test_Build_4.0.41/Client%20CD/GUI/Hotlist%20Manager/Setup" TargetMode="External"/><Relationship Id="rId805" Type="http://schemas.openxmlformats.org/officeDocument/2006/relationships/hyperlink" Target="../../../../../../../../../Releases/Projects/SLT/Release_For_IT/Test_Build_1.0.0.4/Server%20CD/DBS/Setup" TargetMode="External"/><Relationship Id="rId1130" Type="http://schemas.openxmlformats.org/officeDocument/2006/relationships/hyperlink" Target="../../../../../../../../../Releases/Projects/Comcast/Release_for_Test/Test_Build_4.6.5/Server%20CD/Database/Setup" TargetMode="External"/><Relationship Id="rId1228" Type="http://schemas.openxmlformats.org/officeDocument/2006/relationships/hyperlink" Target="../../../../../../../../../Releases/Projects/Comcast/Release_For_IT/Test_Build_4.6.1/Server%20CD/Database/Setup" TargetMode="External"/><Relationship Id="rId1435" Type="http://schemas.openxmlformats.org/officeDocument/2006/relationships/hyperlink" Target="../../../../../../../../../Releases/Projects/SLT/Release_For_IT/Test_Build_1.0.0.4/Server%20CD/DBS/Setup" TargetMode="External"/><Relationship Id="rId1642" Type="http://schemas.openxmlformats.org/officeDocument/2006/relationships/hyperlink" Target="../../../../../../../../../Projects/Neustar/BHN/Build&amp;Release/Release%20For%20Test/Test_Build_3.5.37/Server%20CD/Database/Setup" TargetMode="External"/><Relationship Id="rId1947" Type="http://schemas.openxmlformats.org/officeDocument/2006/relationships/hyperlink" Target="../../../../../../../../../Releases/Projects/FNB/Release_For_Test/Test_Build_1.0.1/Server%20CD/DBS/Setup" TargetMode="External"/><Relationship Id="rId1502" Type="http://schemas.openxmlformats.org/officeDocument/2006/relationships/hyperlink" Target="../../../../../../../../../Releases/Product/Netmind_4.7/Build&amp;Release/Release_For_LQA/Test_Build_1.0.1/Server%20CD/DBS/Setup" TargetMode="External"/><Relationship Id="rId1807" Type="http://schemas.openxmlformats.org/officeDocument/2006/relationships/hyperlink" Target="../../../../../../../../../Releases/Projects/BHN/Release_For_Test/Test_Build_1.0.2/Server%20CD/MPE/Setup" TargetMode="External"/><Relationship Id="rId290" Type="http://schemas.openxmlformats.org/officeDocument/2006/relationships/hyperlink" Target="../../../../../../../../../Releases/Product/RT_4.0/ReleaseForLQA/TestBuild_4.0.21/DBS/Setup" TargetMode="External"/><Relationship Id="rId388" Type="http://schemas.openxmlformats.org/officeDocument/2006/relationships/hyperlink" Target="../../../../../../../../../Releases/Projects/TWC/Release_For_Test/Test_Build_1.0.0.4/Server%20CD/DBS/Setup" TargetMode="External"/><Relationship Id="rId2069" Type="http://schemas.openxmlformats.org/officeDocument/2006/relationships/hyperlink" Target="../../../../../../../../../Releases/Product/RT_4.0/ReleaseForLQA/TestBuild_4.0.24/GUI/Build1/Setup" TargetMode="External"/><Relationship Id="rId150" Type="http://schemas.openxmlformats.org/officeDocument/2006/relationships/hyperlink" Target="../../../../../../../../../Releases/Projects/OBT/Release_For_LQA/TestBuild_1.0.0.4/Server%20CD/DBS/Setup" TargetMode="External"/><Relationship Id="rId595" Type="http://schemas.openxmlformats.org/officeDocument/2006/relationships/hyperlink" Target="../../../../../../../../../Releases/Projects/Telstra/Release_For_IT/Test_Build_1.0.0.18/Server%20CD/DBS/Setup" TargetMode="External"/><Relationship Id="rId2276" Type="http://schemas.openxmlformats.org/officeDocument/2006/relationships/hyperlink" Target="../../../../../../../../../Releases/Projects/BHN/Release_For_Test/Test_Build_1.0.5/Server%20CD/Utility/Setup" TargetMode="External"/><Relationship Id="rId2483" Type="http://schemas.openxmlformats.org/officeDocument/2006/relationships/hyperlink" Target="../../../../../../../../../Releases/Projects/MAC/Release_For_Test/Test_Build_1.0.1/Server%20CD/GUI/Setup" TargetMode="External"/><Relationship Id="rId2690" Type="http://schemas.openxmlformats.org/officeDocument/2006/relationships/hyperlink" Target="../../../../../../../../../Releases/Product/WEB_WFS/Build&amp;Release/Release%20For%20Test/TestBuild_2.1.37/ServerCD/GUI/Setup" TargetMode="External"/><Relationship Id="rId248" Type="http://schemas.openxmlformats.org/officeDocument/2006/relationships/hyperlink" Target="../../../../../../../../../Releases/Projects/ANTEL/Release_For_Test/Test_Build_1.0.0.7/Server%20CD/GUI/Setup" TargetMode="External"/><Relationship Id="rId455" Type="http://schemas.openxmlformats.org/officeDocument/2006/relationships/hyperlink" Target="../../../../../../../../../Releases/Projects/Telenet/Build&amp;Release/Release%20For%20Test/Test_Build_4.0.40/Client%20CD/GUI/Hotlist%20Manager/Setup" TargetMode="External"/><Relationship Id="rId662" Type="http://schemas.openxmlformats.org/officeDocument/2006/relationships/hyperlink" Target="../../../../../../../../../Releases/Product/Netmind_4.6/Build&amp;Release/ReleaseForIT/TestBuild_4.6.1/Build4/ServerCD/DBS/Setup" TargetMode="External"/><Relationship Id="rId1085" Type="http://schemas.openxmlformats.org/officeDocument/2006/relationships/hyperlink" Target="../../../../../../../../../Releases/Projects/SLT-1B/Release_For_Test/Test_Build_1.0.0.1/Server%20CD/MPE/Setup" TargetMode="External"/><Relationship Id="rId1292" Type="http://schemas.openxmlformats.org/officeDocument/2006/relationships/hyperlink" Target="../../../../../../../../../Releases/Projects/Comcast/Release_For_IT/Test_Build_4.6.1/Server%20CD/Database/Setup" TargetMode="External"/><Relationship Id="rId2136" Type="http://schemas.openxmlformats.org/officeDocument/2006/relationships/hyperlink" Target="../../../../../../../../../Releases/Projects/MCC/Release_For_Test/Test_Build_1.0.1/Server%20CD/DBS/Setup" TargetMode="External"/><Relationship Id="rId2343" Type="http://schemas.openxmlformats.org/officeDocument/2006/relationships/hyperlink" Target="../../../../../../../../../Releases/Projects/TWC/Release_For_Test/Test_Build_1.0.0.4/Server%20CD/MPE/Setup" TargetMode="External"/><Relationship Id="rId2550" Type="http://schemas.openxmlformats.org/officeDocument/2006/relationships/hyperlink" Target="../../../../../../../../../Releases/Projects/TWC/Release_For_Test/Test_Build_1.0.0.4/Server%20CD/DBS/Setup" TargetMode="External"/><Relationship Id="rId2788" Type="http://schemas.openxmlformats.org/officeDocument/2006/relationships/hyperlink" Target="../../../../../../../../../Releases/Projects/SLT/Release_For_IT/Test_Build_1.0.0.4/Server%20CD/DBS/Setup" TargetMode="External"/><Relationship Id="rId108" Type="http://schemas.openxmlformats.org/officeDocument/2006/relationships/hyperlink" Target="../../../../../../../../../Releases/Product/RT_4.0/ReleaseForIT/TestBuild_4.0.3/DBS/Setup" TargetMode="External"/><Relationship Id="rId315" Type="http://schemas.openxmlformats.org/officeDocument/2006/relationships/hyperlink" Target="../../../../../../../../../Releases/Projects/Telstra-2b/Release_For_Test/Test_Build_1.0.0.1/Server%20CD/MPE/Setup" TargetMode="External"/><Relationship Id="rId522" Type="http://schemas.openxmlformats.org/officeDocument/2006/relationships/hyperlink" Target="../../../../../../../../../Releases/Projects/OBT/Release_For_IT/TestBuild_1.0.0.2/Server%20CD/DBS/Setup" TargetMode="External"/><Relationship Id="rId967" Type="http://schemas.openxmlformats.org/officeDocument/2006/relationships/hyperlink" Target="../../../../../../../../../Projects/Neustar/BHN/Build&amp;Release/Release%20For%20IT/Test_Build_3.5.37/Server%20CD/MPE/Setup" TargetMode="External"/><Relationship Id="rId1152" Type="http://schemas.openxmlformats.org/officeDocument/2006/relationships/hyperlink" Target="../../../../../../../../../Releases/Projects/Comcast/Release_For_IT/Test_Build_4.6.1/Utility/Setup" TargetMode="External"/><Relationship Id="rId1597" Type="http://schemas.openxmlformats.org/officeDocument/2006/relationships/hyperlink" Target="../../../../../../../../../Releases/Projects/SLT/Release_For_LQA/Test_Build_1.0.0.24/Server%20CD/DBS/Setup" TargetMode="External"/><Relationship Id="rId2203" Type="http://schemas.openxmlformats.org/officeDocument/2006/relationships/hyperlink" Target="../../../../../../../../../Releases/Product/RT_4.0/ReleaseForLQA/TestBuild_4.0.24/DBS/Setup" TargetMode="External"/><Relationship Id="rId2410" Type="http://schemas.openxmlformats.org/officeDocument/2006/relationships/hyperlink" Target="../../../../../../../../../Releases/Projects/SLT/Release_For_LQA/Test_Build_1.0.0.24/Server%20CD/GUI/Setup" TargetMode="External"/><Relationship Id="rId2648" Type="http://schemas.openxmlformats.org/officeDocument/2006/relationships/hyperlink" Target="file:///\\192.168.3.3\share\Releases\Projects\BHN\Release_For_Test\Test_Build_1.0.8\Server%20CD\IM\Setup" TargetMode="External"/><Relationship Id="rId96" Type="http://schemas.openxmlformats.org/officeDocument/2006/relationships/hyperlink" Target="../../../../../../../../../Releases/Projects/SHAW/Release_For_IT/Test_Build_1.0.0.27/Client%20CD/RM/Setup" TargetMode="External"/><Relationship Id="rId827" Type="http://schemas.openxmlformats.org/officeDocument/2006/relationships/hyperlink" Target="../../../../../../../../../Releases/Projects/SLT/Release_For_LQA/Test_Build_1.0.0.23/Server%20CD/DBS/Setup" TargetMode="External"/><Relationship Id="rId1012" Type="http://schemas.openxmlformats.org/officeDocument/2006/relationships/hyperlink" Target="../../../../../../../../../Releases/Projects/Comcast/Release_for_Test/Test_Build_4.6.5/Server%20CD/Database/Setup" TargetMode="External"/><Relationship Id="rId1457" Type="http://schemas.openxmlformats.org/officeDocument/2006/relationships/hyperlink" Target="../../../../../../../../../Releases/Projects/Comcast/Release_for_Test/Test_Build_4.6.6/Server%20CD/Database/Setup" TargetMode="External"/><Relationship Id="rId1664" Type="http://schemas.openxmlformats.org/officeDocument/2006/relationships/hyperlink" Target="../../../../../../../../../Projects/Neustar/BHN/Build&amp;Release/Release%20For%20IT/Test_Build_3.5.37/Server%20CD/Database/Setup" TargetMode="External"/><Relationship Id="rId1871" Type="http://schemas.openxmlformats.org/officeDocument/2006/relationships/hyperlink" Target="../../../../../../../../../Releases/Projects/Comcast/Release_For_IT/Test_Build_4.6.1/Server%20CD/Database/Setup" TargetMode="External"/><Relationship Id="rId2508" Type="http://schemas.openxmlformats.org/officeDocument/2006/relationships/hyperlink" Target="../../../../../../../../../Releases/Product/RE_2.0/Build&amp;Release/Release_For_LQA/Test_Build_1.0.1/Server%20CD/DBS/Setup" TargetMode="External"/><Relationship Id="rId2715" Type="http://schemas.openxmlformats.org/officeDocument/2006/relationships/hyperlink" Target="../../../../../../../../../Releases/Projects/SLT/Release_For_LQA/Test_Build_1.0.0.25/Server%20CD/DBS/Setup" TargetMode="External"/><Relationship Id="rId1317" Type="http://schemas.openxmlformats.org/officeDocument/2006/relationships/hyperlink" Target="../../../../../../../../../Releases/Projects/MTS/Release%20For%20IT/Test_Build_3.0.5.25/Server%20CD/Database/Setup" TargetMode="External"/><Relationship Id="rId1524" Type="http://schemas.openxmlformats.org/officeDocument/2006/relationships/hyperlink" Target="../../../../../../../../../Releases/Projects/OBT/Release_For_LQA/TestBuild_1.0.0.6/Server%20CD/DBS/Setup" TargetMode="External"/><Relationship Id="rId1731" Type="http://schemas.openxmlformats.org/officeDocument/2006/relationships/hyperlink" Target="../../../../../../../../../Releases/Projects/BHN/Release_For_Test/Test_Build_1.0.1/Server%20CD/MPE/Setup" TargetMode="External"/><Relationship Id="rId1969" Type="http://schemas.openxmlformats.org/officeDocument/2006/relationships/hyperlink" Target="../../../../../../../../../Releases/Projects/FNB/Release_For_IT/TestBuild_1.0.1/Server%20CD/DBS/Setup" TargetMode="External"/><Relationship Id="rId23" Type="http://schemas.openxmlformats.org/officeDocument/2006/relationships/hyperlink" Target="../../../../../../../../../Releases/Projects/SHAW/Release_For_LQA/Test_Build_1.0.0.28/Client%20CD/RM/Setup" TargetMode="External"/><Relationship Id="rId1829" Type="http://schemas.openxmlformats.org/officeDocument/2006/relationships/hyperlink" Target="../../../../../../../../../Releases/Projects/Telstra-2b/Release_For_Test/Test_Build_1.0.0.1/Server%20CD/MPE/Setup" TargetMode="External"/><Relationship Id="rId2298" Type="http://schemas.openxmlformats.org/officeDocument/2006/relationships/hyperlink" Target="../../../../../../../../../Releases/Projects/Telstra-2b/Release_For_Test/Test_Build_1.0.0.1/Server%20CD/MPE/Setup" TargetMode="External"/><Relationship Id="rId172" Type="http://schemas.openxmlformats.org/officeDocument/2006/relationships/hyperlink" Target="../../../../../../../../../Releases/Projects/SLT/Release_For_LQA/Test_Build_1.0.0.17/Server%20CD/DBS/Setup" TargetMode="External"/><Relationship Id="rId477" Type="http://schemas.openxmlformats.org/officeDocument/2006/relationships/hyperlink" Target="../../../../../../../../../Releases/Product/RevMind_2.1/Build&amp;Release/Release_For_LQA/Test_Build_1.0.2/Server%20CD/GUI/CS/Setup" TargetMode="External"/><Relationship Id="rId684" Type="http://schemas.openxmlformats.org/officeDocument/2006/relationships/hyperlink" Target="../../../../../../../../../Releases/Projects/Comcast/Release_for_Test/Test_Build_4.6.2/Server%20CD/Database/Setup" TargetMode="External"/><Relationship Id="rId2060" Type="http://schemas.openxmlformats.org/officeDocument/2006/relationships/hyperlink" Target="../../../../../../../../../Releases/Projects/BHN/Release_For_Test/Test_Build_1.0.4/Server%20CD/DBS/Setup" TargetMode="External"/><Relationship Id="rId2158" Type="http://schemas.openxmlformats.org/officeDocument/2006/relationships/hyperlink" Target="../../../../../../../../../Releases/Projects/TWC/Release_For_Test/Test_Build_1.0.0.4/Server%20CD/DBS/Setup" TargetMode="External"/><Relationship Id="rId2365" Type="http://schemas.openxmlformats.org/officeDocument/2006/relationships/hyperlink" Target="../../../../../../../../../Releases/Projects/TWC/Release_For_IT/Test_Build_1.0.0.3/Server%20CD/DBS/Setup" TargetMode="External"/><Relationship Id="rId337" Type="http://schemas.openxmlformats.org/officeDocument/2006/relationships/hyperlink" Target="../../../../../../../../../Releases/Projects/SLT/Release_For_IT/Test_Build_1.0.0.4/Server%20CD/DBS/Setup" TargetMode="External"/><Relationship Id="rId891" Type="http://schemas.openxmlformats.org/officeDocument/2006/relationships/hyperlink" Target="../../../../../../../../../Releases/Projects/SLT/Release_For_LQA/Test_Build_1.0.0.23/Server%20CD/GUI/Setup" TargetMode="External"/><Relationship Id="rId989" Type="http://schemas.openxmlformats.org/officeDocument/2006/relationships/hyperlink" Target="../../../../../../../../../Releases/Projects/SLT-1B/Release_For_Test/Test_Build_1.0.0.1/Server%20CD/MPE/Setup" TargetMode="External"/><Relationship Id="rId2018" Type="http://schemas.openxmlformats.org/officeDocument/2006/relationships/hyperlink" Target="../../../../../../../../../Releases/Projects/TLSTR-ST/Release_For_Test/Test_Build_1.0.1/Server%20CD/DBS/Setup" TargetMode="External"/><Relationship Id="rId2572" Type="http://schemas.openxmlformats.org/officeDocument/2006/relationships/hyperlink" Target="../../../../../../../../../Releases/Projects/SLT/Release_For_IT/Test_Build_1.0.0.4/Server%20CD/DBS/Setup" TargetMode="External"/><Relationship Id="rId544" Type="http://schemas.openxmlformats.org/officeDocument/2006/relationships/hyperlink" Target="../../../../../../../../../Releases/Projects/SLT/Release_For_LQA/Test_Build_1.0.0.19/Server%20CD/DBS/Setup" TargetMode="External"/><Relationship Id="rId751" Type="http://schemas.openxmlformats.org/officeDocument/2006/relationships/hyperlink" Target="../../../../../../../../../Releases/Projects/TWC/Release_For_Test/Test_Build_1.0.0.4/Server%20CD/DBS/Setup" TargetMode="External"/><Relationship Id="rId849" Type="http://schemas.openxmlformats.org/officeDocument/2006/relationships/hyperlink" Target="../../../../../../../../../Releases/Projects/SLT/Release_For_LQA/Test_Build_1.0.0.23/Server%20CD/GUI/Setup" TargetMode="External"/><Relationship Id="rId1174" Type="http://schemas.openxmlformats.org/officeDocument/2006/relationships/hyperlink" Target="../../../../../../../../../Releases/Projects/Comcast/Release_for_Test/Test_Build_4.6.5/Server%20CD/GUI/Setup" TargetMode="External"/><Relationship Id="rId1381" Type="http://schemas.openxmlformats.org/officeDocument/2006/relationships/hyperlink" Target="../../../../../../../../../Releases/Projects/Comcast/Release_for_Test/Test_Build_4.6.6/Server%20CD/Database/Setup" TargetMode="External"/><Relationship Id="rId1479" Type="http://schemas.openxmlformats.org/officeDocument/2006/relationships/hyperlink" Target="../../../../../../../../../Releases/Projects/SLT-1B/Release_For_Test/Test_Build_1.0.0.1/Server%20CD/MPE/Setup" TargetMode="External"/><Relationship Id="rId1686" Type="http://schemas.openxmlformats.org/officeDocument/2006/relationships/hyperlink" Target="../../../../../../../../../Releases/Projects/SLT/Release_For_IT/Test_Build_1.0.0.4/Server%20CD/DBS/Setup" TargetMode="External"/><Relationship Id="rId2225" Type="http://schemas.openxmlformats.org/officeDocument/2006/relationships/hyperlink" Target="../../../../../../../../../Releases/Projects/SLT/Release_For_LQA/Test_Build_1.0.0.24/Server%20CD/DBS/Setup" TargetMode="External"/><Relationship Id="rId2432" Type="http://schemas.openxmlformats.org/officeDocument/2006/relationships/hyperlink" Target="../../../../../../../../../Releases/Projects/SLT/Release_For_LQA/Test_Build_1.0.0.24/Server%20CD/DBS/Setup" TargetMode="External"/><Relationship Id="rId404" Type="http://schemas.openxmlformats.org/officeDocument/2006/relationships/hyperlink" Target="../../../../../../../../../Releases/Projects/Telstra/Release_For_LQA/Test_Build_1.0.0.18/Server%20CD/DBS/Setup" TargetMode="External"/><Relationship Id="rId611" Type="http://schemas.openxmlformats.org/officeDocument/2006/relationships/hyperlink" Target="../../../../../../../../../Releases/Projects/Comcast/Release_for_Test/Test_Build_4.6.1/Utility/Setup" TargetMode="External"/><Relationship Id="rId1034" Type="http://schemas.openxmlformats.org/officeDocument/2006/relationships/hyperlink" Target="../../../../../../../../../Releases/Projects/Telstra/Release_For_LQA/Test_Build_1.0.0.18/Server%20CD/DBS/Setup" TargetMode="External"/><Relationship Id="rId1241" Type="http://schemas.openxmlformats.org/officeDocument/2006/relationships/hyperlink" Target="../../../../../../../../../Releases/Projects/Comcast/Release_for_Test/Test_Build_4.6.5/Utility/Setup" TargetMode="External"/><Relationship Id="rId1339" Type="http://schemas.openxmlformats.org/officeDocument/2006/relationships/hyperlink" Target="../../../../../../../../../Releases/Projects/Comcast/Release_For_IT/Test_Build_4.6.1/Server%20CD/Database/Setup" TargetMode="External"/><Relationship Id="rId1893" Type="http://schemas.openxmlformats.org/officeDocument/2006/relationships/hyperlink" Target="../../../../../../../../../Releases/Product/RT_4.0/ReleaseForIT/TestBuild_4.0.3/DBS/Setup" TargetMode="External"/><Relationship Id="rId2737" Type="http://schemas.openxmlformats.org/officeDocument/2006/relationships/hyperlink" Target="../../../../../../../../../Releases/Projects/TWC/Release_For_Test/Test_Build_1.0.0.4/Server%20CD/MPE/Setup" TargetMode="External"/><Relationship Id="rId709" Type="http://schemas.openxmlformats.org/officeDocument/2006/relationships/hyperlink" Target="../../../../../../../../../Releases/Projects/Comcast/Release_For_IT/Test_Build_4.6.1/Server%20CD/Database/Setup" TargetMode="External"/><Relationship Id="rId916" Type="http://schemas.openxmlformats.org/officeDocument/2006/relationships/hyperlink" Target="../../../../../../../../../Releases/Projects/Comcast/Release_For_IT/Test_Build_4.6.1/Server%20CD/Database/Setup" TargetMode="External"/><Relationship Id="rId1101" Type="http://schemas.openxmlformats.org/officeDocument/2006/relationships/hyperlink" Target="../../../../../../../../../Releases/Product/DataMind_2.0/Build&amp;Release/Release%20for%20IT/TestBuild_2.0.0/Server%20CD/DBS/Setup" TargetMode="External"/><Relationship Id="rId1546" Type="http://schemas.openxmlformats.org/officeDocument/2006/relationships/hyperlink" Target="../../../../../../../../../Projects/Neustar/BHN/Build&amp;Release/Release%20For%20Test/Test_Build_3.5.37/Server%20CD/Database/Setup" TargetMode="External"/><Relationship Id="rId1753" Type="http://schemas.openxmlformats.org/officeDocument/2006/relationships/hyperlink" Target="../../../../../../../../../Releases/Projects/TWC/Release_For_Test/Test_Build_1.0.0.4/Utility/Setup" TargetMode="External"/><Relationship Id="rId1960" Type="http://schemas.openxmlformats.org/officeDocument/2006/relationships/hyperlink" Target="../../../../../../../../../Releases/Projects/SLT/Release_For_LQA/Test_Build_1.0.0.24/Server%20CD/GUI/Setup" TargetMode="External"/><Relationship Id="rId2804" Type="http://schemas.openxmlformats.org/officeDocument/2006/relationships/hyperlink" Target="../../../../../../../../../Releases/Projects/TLSTR-ST/Release_For_Test/Test_Build_1.0.1/Server%20CD/DBS/Setup" TargetMode="External"/><Relationship Id="rId45" Type="http://schemas.openxmlformats.org/officeDocument/2006/relationships/hyperlink" Target="../../../../../../../../../Releases/Projects/SLT/Release_For_IT/Test_Build_1.0.0.4/Server%20CD/DBS/Setup" TargetMode="External"/><Relationship Id="rId1406" Type="http://schemas.openxmlformats.org/officeDocument/2006/relationships/hyperlink" Target="../../../../../../../../../Releases/Projects/SLT-1B/Release_For_Test/Test_Build_1.0.0.1/Server%20CD/MPE/Setup" TargetMode="External"/><Relationship Id="rId1613" Type="http://schemas.openxmlformats.org/officeDocument/2006/relationships/hyperlink" Target="../../../../../../../../../Releases/Projects/BHN/Release_For_Test/Test_Build_1.0.1/Server%20CD/GUI/Setup" TargetMode="External"/><Relationship Id="rId1820" Type="http://schemas.openxmlformats.org/officeDocument/2006/relationships/hyperlink" Target="../../../../../../../../../Releases/Product/WEB_WFS/Build&amp;Release/Release%20For%20Test/TestBuild_2.1.35/ServerCD/GUI/Setup" TargetMode="External"/><Relationship Id="rId194" Type="http://schemas.openxmlformats.org/officeDocument/2006/relationships/hyperlink" Target="../../../../../../../../../Releases/Product/DataMind_2.0/Build&amp;Release/Release%20for%20IT/TestBuild_2.0.0/Server%20CD/DBS/Setup" TargetMode="External"/><Relationship Id="rId1918" Type="http://schemas.openxmlformats.org/officeDocument/2006/relationships/hyperlink" Target="../../../../../../../../../Releases/Projects/SLT-1B/Release_For_Test/Test_Build_1.0.0.1/Server%20CD/MPE/Setup" TargetMode="External"/><Relationship Id="rId2082" Type="http://schemas.openxmlformats.org/officeDocument/2006/relationships/hyperlink" Target="../../../../../../../../../Releases/Product/Netmind_4.6/Build&amp;Release/ReleaseForTest/TestBuild_4.6.1/Build4/ServerCD/DBS/Setup" TargetMode="External"/><Relationship Id="rId261" Type="http://schemas.openxmlformats.org/officeDocument/2006/relationships/hyperlink" Target="../../../../../../../../../Releases/Projects/SLT/Release_For_LQA/Test_Build_1.0.0.17/Server%20CD/GUI/Setup" TargetMode="External"/><Relationship Id="rId499" Type="http://schemas.openxmlformats.org/officeDocument/2006/relationships/hyperlink" Target="../../../../../../../../../Releases/Projects/SLT-1B/Release_For_Test/Test_Build_1.0.0.1/Server%20CD/MPE/Setup" TargetMode="External"/><Relationship Id="rId2387" Type="http://schemas.openxmlformats.org/officeDocument/2006/relationships/hyperlink" Target="../../../../../../../../../Releases/Projects/FNB/Release_For_Test/Test_Build_1.0.2/Server%20CD/DBS/Setup" TargetMode="External"/><Relationship Id="rId2594" Type="http://schemas.openxmlformats.org/officeDocument/2006/relationships/hyperlink" Target="../../../../../../../../../Releases/Product/Netmind_4.8/Build&amp;Release/Release_For_LQA/Test_Build_1.0.1/Server%20CD/DBS/Setup" TargetMode="External"/><Relationship Id="rId359" Type="http://schemas.openxmlformats.org/officeDocument/2006/relationships/hyperlink" Target="../../../../../../../../../Releases/Projects/Comcast/Release_For_IT/Test_Build_4.6.1/Server%20CD/Database/Setup" TargetMode="External"/><Relationship Id="rId566" Type="http://schemas.openxmlformats.org/officeDocument/2006/relationships/hyperlink" Target="../../../../../../../../../Releases/Projects/Comcast/Release_for_Test/Test_Build_4.6.1/Server%20CD/Database/Setup" TargetMode="External"/><Relationship Id="rId773" Type="http://schemas.openxmlformats.org/officeDocument/2006/relationships/hyperlink" Target="../../../../../../../../../Releases/Projects/SLT-1B/Release_For_Test/Test_Build_1.0.0.1/Utility/MPE/Setup" TargetMode="External"/><Relationship Id="rId1196" Type="http://schemas.openxmlformats.org/officeDocument/2006/relationships/hyperlink" Target="../../../../../../../../../Releases/Product/WEB_WFS/Build&amp;Release/Release%20For%20Test/TestBuild_2.2.1/Build4/ServerCD/GUI/Setup" TargetMode="External"/><Relationship Id="rId2247" Type="http://schemas.openxmlformats.org/officeDocument/2006/relationships/hyperlink" Target="../../../../../../../../../Releases/Projects/OBT/Release_For_LQA/TestBuild_1.0.0.7/Server%20CD/DBS/Setup" TargetMode="External"/><Relationship Id="rId2454" Type="http://schemas.openxmlformats.org/officeDocument/2006/relationships/hyperlink" Target="../../../../../../../../../Releases/Projects/TLSTR-ST/Release_For_Test/Test_Build_1.0.1/Server%20CD/DBS/Setup" TargetMode="External"/><Relationship Id="rId121" Type="http://schemas.openxmlformats.org/officeDocument/2006/relationships/hyperlink" Target="../../../../../../../../../Releases/Projects/SHAW/Release_For_IT/Test_Build_1.0.0.27/Server%20CD/DBS/Setup" TargetMode="External"/><Relationship Id="rId219" Type="http://schemas.openxmlformats.org/officeDocument/2006/relationships/hyperlink" Target="../../../../../../../../../Releases/Projects/Comcast/Release_for_Test/Test_Build_3.5.50/Utility/Setup" TargetMode="External"/><Relationship Id="rId426" Type="http://schemas.openxmlformats.org/officeDocument/2006/relationships/hyperlink" Target="../../../../../../../../../Releases/Projects/Telstra/Release_For_LQA/Test_Build_1.0.0.18/Server%20CD/DBS/Setup" TargetMode="External"/><Relationship Id="rId633" Type="http://schemas.openxmlformats.org/officeDocument/2006/relationships/hyperlink" Target="../../../../../../../../../Releases/Projects/Telstra-2b/Release_For_CD/Test_Build_1.0.0.1/Server%20CD/MPE/Setup" TargetMode="External"/><Relationship Id="rId980" Type="http://schemas.openxmlformats.org/officeDocument/2006/relationships/hyperlink" Target="../../../../../../../../../Releases/Projects/SLT/Release_For_LQA/Test_Build_1.0.0.23/Server%20CD/DBS/Setup" TargetMode="External"/><Relationship Id="rId1056" Type="http://schemas.openxmlformats.org/officeDocument/2006/relationships/hyperlink" Target="../../../../../../../../../Releases/Projects/Comcast/Release_For_IT/Test_Build_4.6.1/Server%20CD/Database/Setup" TargetMode="External"/><Relationship Id="rId1263" Type="http://schemas.openxmlformats.org/officeDocument/2006/relationships/hyperlink" Target="../../../../../../../../../Releases/Projects/Comcast/Release_For_IT/Test_Build_4.6.1/Server%20CD/Database/Setup" TargetMode="External"/><Relationship Id="rId2107" Type="http://schemas.openxmlformats.org/officeDocument/2006/relationships/hyperlink" Target="../../../../../../../../../Releases/Projects/Telstra/Release_For_LQA/Test_Build_1.0.0.18/Server%20CD/DBS/Setup" TargetMode="External"/><Relationship Id="rId2314" Type="http://schemas.openxmlformats.org/officeDocument/2006/relationships/hyperlink" Target="../../../../../../../../../Releases/Projects/TWC/Release_For_Test/Test_Build_1.0.0.4/Server%20CD/DBS/Setup" TargetMode="External"/><Relationship Id="rId2661" Type="http://schemas.openxmlformats.org/officeDocument/2006/relationships/hyperlink" Target="../../../../../../../../../Releases/Product/RE_2.0/Build&amp;Release/Release_For_LQA/Test_Build_1.0.3/Server%20CD/GUI/Setup" TargetMode="External"/><Relationship Id="rId2759" Type="http://schemas.openxmlformats.org/officeDocument/2006/relationships/hyperlink" Target="../../../../../../../../../Releases/Product/NetMindPOS_1.3/Build&amp;Release/Release_For_LQA/Test_Build_1.0.4/Server%20CD/DBS/Setup" TargetMode="External"/><Relationship Id="rId840" Type="http://schemas.openxmlformats.org/officeDocument/2006/relationships/hyperlink" Target="../../../../../../../../../Releases/Projects/SLT/Release_For_LQA/Test_Build_1.0.0.23/Server%20CD/GUI/Setup" TargetMode="External"/><Relationship Id="rId938" Type="http://schemas.openxmlformats.org/officeDocument/2006/relationships/hyperlink" Target="../../../../../../../../../Releases/Product/NetMindPOS_1.1/Build&amp;Release/Release%20for%20LQA/TestBuild_1.2.3/Server%20CD/DBS/Setup" TargetMode="External"/><Relationship Id="rId1470" Type="http://schemas.openxmlformats.org/officeDocument/2006/relationships/hyperlink" Target="../../../../../../../../../Releases/Product/NetMindPOS_1.1/Build&amp;Release/Release%20for%20LQA/TestBuild_1.2.3/Server%20CD/DBS/Setup" TargetMode="External"/><Relationship Id="rId1568" Type="http://schemas.openxmlformats.org/officeDocument/2006/relationships/hyperlink" Target="../../../../../../../../../Releases/Projects/SLT/Release_For_IT/Test_Build_1.0.0.4/Server%20CD/DBS/Setup" TargetMode="External"/><Relationship Id="rId1775" Type="http://schemas.openxmlformats.org/officeDocument/2006/relationships/hyperlink" Target="../../../../../../../../../Releases/Projects/TWC/Release_For_IT/Test_Build_1.0.0.3/Server%20CD/DBS/Setup" TargetMode="External"/><Relationship Id="rId2521" Type="http://schemas.openxmlformats.org/officeDocument/2006/relationships/hyperlink" Target="../../../../../../../../../Releases/Projects/FNB/Release_For_Test/Test_Build_1.0.2/Server%20CD/DBS/Setup" TargetMode="External"/><Relationship Id="rId2619" Type="http://schemas.openxmlformats.org/officeDocument/2006/relationships/hyperlink" Target="../../../../../../../../../Releases/Product/Netmind_4.8/Build&amp;Release/Release_For_LQA/Test_Build_1.0.1/Server%20CD/DBS/Setup" TargetMode="External"/><Relationship Id="rId67" Type="http://schemas.openxmlformats.org/officeDocument/2006/relationships/hyperlink" Target="../../../../../../../../../Releases/Projects/SLT/Release_For_IT/Test_Build_1.0.0.4/Server%20CD/DBS/Setup" TargetMode="External"/><Relationship Id="rId700" Type="http://schemas.openxmlformats.org/officeDocument/2006/relationships/hyperlink" Target="../../../../../../../../../Releases/Projects/Comcast/Release_for_Test/Test_Build_4.6.3/Server%20CD/Database/Setup" TargetMode="External"/><Relationship Id="rId1123" Type="http://schemas.openxmlformats.org/officeDocument/2006/relationships/hyperlink" Target="../../../../../../../../../Releases/Projects/Comcast/Release_for_Test/Test_Build_4.6.5/Server%20CD/Database/Setup" TargetMode="External"/><Relationship Id="rId1330" Type="http://schemas.openxmlformats.org/officeDocument/2006/relationships/hyperlink" Target="../../../../../../../../../Releases/Product/Netmind_4.6/Build&amp;Release/ReleaseForIT/TestBuild_4.6.1/Build4/ServerCD/DBS/Setup" TargetMode="External"/><Relationship Id="rId1428" Type="http://schemas.openxmlformats.org/officeDocument/2006/relationships/hyperlink" Target="../../../../../../../../../Releases/Product/Netmind_4.6/Build&amp;Release/ReleaseForTest/TestBuild_4.6.1/Build4/ServerCD/DBS/Setup" TargetMode="External"/><Relationship Id="rId1635" Type="http://schemas.openxmlformats.org/officeDocument/2006/relationships/hyperlink" Target="../../../../../../../../../Releases/Projects/BHN/Release_For_Test/Test_Build_1.0.1/Server%20CD/Utility/Setup" TargetMode="External"/><Relationship Id="rId1982" Type="http://schemas.openxmlformats.org/officeDocument/2006/relationships/hyperlink" Target="../../../../../../../../../Releases/Product/RT_4.0/ReleaseForLQA/TestBuild_4.0.24/GUI/Build1/Setup" TargetMode="External"/><Relationship Id="rId1842" Type="http://schemas.openxmlformats.org/officeDocument/2006/relationships/hyperlink" Target="../../../../../../../../../Releases/Projects/SLT/Release_For_LQA/Test_Build_1.0.0.24/Server%20CD/DBS/Setup" TargetMode="External"/><Relationship Id="rId1702" Type="http://schemas.openxmlformats.org/officeDocument/2006/relationships/hyperlink" Target="../../../../../../../../../Releases/Projects/TWC/Release_For_Test/Test_Build_1.0.0.4/Server%20CD/MPE/Setup" TargetMode="External"/><Relationship Id="rId283" Type="http://schemas.openxmlformats.org/officeDocument/2006/relationships/hyperlink" Target="../../../../../../../../../Releases/Projects/VzB/Release_For_IT/Test_Build_1.0.0.1/Server%20CD/DBS" TargetMode="External"/><Relationship Id="rId490" Type="http://schemas.openxmlformats.org/officeDocument/2006/relationships/hyperlink" Target="../../../../../../../../../Releases/Projects/SLT/Release_For_LQA/Test_Build_1.0.0.19/Server%20CD/DBS/Setup" TargetMode="External"/><Relationship Id="rId2171" Type="http://schemas.openxmlformats.org/officeDocument/2006/relationships/hyperlink" Target="../../../../../../../../../Releases/Projects/SLT/Release_For_LQA/Test_Build_1.0.0.24/Server%20CD/DBS/Setup" TargetMode="External"/><Relationship Id="rId143" Type="http://schemas.openxmlformats.org/officeDocument/2006/relationships/hyperlink" Target="../../../../../../../../../Releases/Projects/Comcast/Release_for_Test/Test_Build_3.5.50/Server%20CD/Database/Setup" TargetMode="External"/><Relationship Id="rId350" Type="http://schemas.openxmlformats.org/officeDocument/2006/relationships/hyperlink" Target="../../../../../../../../../Releases/Projects/SLT-1B/Release_For_Test/Test_Build_1.0.0.1/Server%20CD/MPE/Setup" TargetMode="External"/><Relationship Id="rId588" Type="http://schemas.openxmlformats.org/officeDocument/2006/relationships/hyperlink" Target="../../../../../../../../../Releases/Product/RE_1.0/ReleaseForLQA/TestBuild_1.0.1/DBS/Build4/Setup" TargetMode="External"/><Relationship Id="rId795" Type="http://schemas.openxmlformats.org/officeDocument/2006/relationships/hyperlink" Target="../../../../../../../../../Releases/Product/NetMindPOS_1.1/Build&amp;Release/Release%20for%20IT/TestBuild_1.2.3/Server%20CD/DBS/Setup" TargetMode="External"/><Relationship Id="rId2031" Type="http://schemas.openxmlformats.org/officeDocument/2006/relationships/hyperlink" Target="../../../../../../../../../Releases/Projects/SLT/Release_For_IT/Test_Build_1.0.0.4/Server%20CD/DBS/Setup" TargetMode="External"/><Relationship Id="rId2269" Type="http://schemas.openxmlformats.org/officeDocument/2006/relationships/hyperlink" Target="../../../../../../../../../Releases/Projects/OBT/Release_For_LQA/TestBuild_1.0.0.7/Server%20CD/DBS/Setup" TargetMode="External"/><Relationship Id="rId2476" Type="http://schemas.openxmlformats.org/officeDocument/2006/relationships/hyperlink" Target="../../../../../../../../../Releases/Projects/SLT/Release_For_IT/Test_Build_1.0.0.4/Server%20CD/DBS/Setup" TargetMode="External"/><Relationship Id="rId2683" Type="http://schemas.openxmlformats.org/officeDocument/2006/relationships/hyperlink" Target="../../../../../../../../../Releases/Projects/TWC/Release_For_IT/Test_Build_1.0.0.3/Server%20CD/DBS/Setup" TargetMode="External"/><Relationship Id="rId9" Type="http://schemas.openxmlformats.org/officeDocument/2006/relationships/hyperlink" Target="../../../../../../../../../Releases/Projects/OBT/Release_For_IT/TestBuild_1.0.0.2/Server%20CD/DBS/Setup" TargetMode="External"/><Relationship Id="rId210" Type="http://schemas.openxmlformats.org/officeDocument/2006/relationships/hyperlink" Target="../../../../../../../../../Releases/Projects/SLT/Release_For_IT/Test_Build_1.0.0.4/Server%20CD/DBS/Setup" TargetMode="External"/><Relationship Id="rId448" Type="http://schemas.openxmlformats.org/officeDocument/2006/relationships/hyperlink" Target="../../../../../../../../../Releases/Projects/Telstra-2b/Release_For_Test/Test_Build_1.0.0.1/Server%20CD/MPE/Setup" TargetMode="External"/><Relationship Id="rId655" Type="http://schemas.openxmlformats.org/officeDocument/2006/relationships/hyperlink" Target="../../../../../../../../../Releases/Product/RevMind_2.1/Build&amp;Release/Release_For_LQA/Test_Build_1.0.2/Server%20CD/GUI/CS/Setup" TargetMode="External"/><Relationship Id="rId862" Type="http://schemas.openxmlformats.org/officeDocument/2006/relationships/hyperlink" Target="../../../../../../../../../Releases/Projects/DRC/Release_For_LQA/Test_Build_1.0.0.3/Server%20CD/MPE/Setup" TargetMode="External"/><Relationship Id="rId1078" Type="http://schemas.openxmlformats.org/officeDocument/2006/relationships/hyperlink" Target="../../../../../../../../../Releases/Projects/TWC/Release_For_Test/Test_Build_1.0.0.4/Server%20CD/MPE/Setup" TargetMode="External"/><Relationship Id="rId1285" Type="http://schemas.openxmlformats.org/officeDocument/2006/relationships/hyperlink" Target="../../../../../../../../../Releases/Projects/SLT/Release_For_IT/Test_Build_1.0.0.4/Server%20CD/DBS/Setup" TargetMode="External"/><Relationship Id="rId1492" Type="http://schemas.openxmlformats.org/officeDocument/2006/relationships/hyperlink" Target="../../../../../../../../../Releases/Projects/Comcast/Release_for_Test/Test_Build_4.6.6/Server%20CD/Database/Setup" TargetMode="External"/><Relationship Id="rId2129" Type="http://schemas.openxmlformats.org/officeDocument/2006/relationships/hyperlink" Target="../../../../../../../../../Releases/Projects/TLSTR-ST/Release_For_IT/TestBuild_1.0.1/Server%20CD/DBS/Setup" TargetMode="External"/><Relationship Id="rId2336" Type="http://schemas.openxmlformats.org/officeDocument/2006/relationships/hyperlink" Target="../../../../../../../../../Releases/Projects/BHN/Release_For_Test/Test_Build_1.0.5/Server%20CD/DBS/Setup" TargetMode="External"/><Relationship Id="rId2543" Type="http://schemas.openxmlformats.org/officeDocument/2006/relationships/hyperlink" Target="../../../../../../../../../Releases/Projects/TLSTR-ST/Release_For_Test/Test_Build_1.0.1/Server%20CD/DBS/Setup" TargetMode="External"/><Relationship Id="rId2750" Type="http://schemas.openxmlformats.org/officeDocument/2006/relationships/hyperlink" Target="../../../../../../../../../Releases/Projects/SLT-1B/Release_For_Test/Test_Build_1.0.0.1/Utility/MPE/Setup" TargetMode="External"/><Relationship Id="rId308" Type="http://schemas.openxmlformats.org/officeDocument/2006/relationships/hyperlink" Target="../../../../../../../../../Releases/Projects/Comcast/Release_For_IT/Test_Build_4.6.1/Server%20CD/Database/Setup" TargetMode="External"/><Relationship Id="rId515" Type="http://schemas.openxmlformats.org/officeDocument/2006/relationships/hyperlink" Target="../../../../../../../../../Releases/Projects/NM46/Release_For_Test/Test_Build_1.0.0.1/Server%20CD/MPE/Setup" TargetMode="External"/><Relationship Id="rId722" Type="http://schemas.openxmlformats.org/officeDocument/2006/relationships/hyperlink" Target="../../../../../../../../../Releases/Projects/Comcast/Release_for_Test/Test_Build_4.6.3/Server%20CD/Database/Setup" TargetMode="External"/><Relationship Id="rId1145" Type="http://schemas.openxmlformats.org/officeDocument/2006/relationships/hyperlink" Target="../../../../../../../../../Releases/Projects/Comcast/Release_For_IT/Test_Build_4.6.1/Utility/Setup" TargetMode="External"/><Relationship Id="rId1352" Type="http://schemas.openxmlformats.org/officeDocument/2006/relationships/hyperlink" Target="../../../../../../../../../Releases/Product/Netmind_4.7/Build&amp;Release/Release_For_LQA/Test_Build_1.0.1/Server%20CD/DBS/Setup" TargetMode="External"/><Relationship Id="rId1797" Type="http://schemas.openxmlformats.org/officeDocument/2006/relationships/hyperlink" Target="../../../../../../../../../Releases/Projects/TLSTR-ST/Release_For_Test/Test_Build_1.0.1/Server%20CD/MPE/Setup" TargetMode="External"/><Relationship Id="rId2403" Type="http://schemas.openxmlformats.org/officeDocument/2006/relationships/hyperlink" Target="../../../../../../../../../Releases/Projects/SLT-1B/Release_For_Test/Test_Build_1.0.0.1/Utility/MPE/Setup" TargetMode="External"/><Relationship Id="rId89" Type="http://schemas.openxmlformats.org/officeDocument/2006/relationships/hyperlink" Target="../../../../../../../../../Releases/Projects/MAX/Release_For_Test/Test_Build_1.0.0.1/Server%20CD/MPE" TargetMode="External"/><Relationship Id="rId1005" Type="http://schemas.openxmlformats.org/officeDocument/2006/relationships/hyperlink" Target="../../../../../../../../../Releases/Projects/SLT/Release_For_IT/Test_Build_1.0.0.4/Server%20CD/DBS/Setup" TargetMode="External"/><Relationship Id="rId1212" Type="http://schemas.openxmlformats.org/officeDocument/2006/relationships/hyperlink" Target="../../../../../../../../../Releases/Product/RE_1.0/ReleaseForIT/TestBuild_1.0.1/DBS/Build4/Setup" TargetMode="External"/><Relationship Id="rId1657" Type="http://schemas.openxmlformats.org/officeDocument/2006/relationships/hyperlink" Target="../../../../../../../../../Releases/Projects/SLT/Release_For_LQA/Test_Build_1.0.0.24/Server%20CD/DBS/Setup" TargetMode="External"/><Relationship Id="rId1864" Type="http://schemas.openxmlformats.org/officeDocument/2006/relationships/hyperlink" Target="../../../../../../../../../Releases/Projects/Comcast/Release_for_Test/Test_Build_4.6.6/Server%20CD/Database/Setup" TargetMode="External"/><Relationship Id="rId2610" Type="http://schemas.openxmlformats.org/officeDocument/2006/relationships/hyperlink" Target="../../../../../../../../../Releases/Projects/TWC/Release_For_IT/Test_Build_1.0.0.3/Server%20CD/DBS/Setup" TargetMode="External"/><Relationship Id="rId2708" Type="http://schemas.openxmlformats.org/officeDocument/2006/relationships/hyperlink" Target="../../../../../../../../../Releases/Projects/FNB/Release_For_Test/Test_Build_1.0.2/Server%20CD/DBS/Setup" TargetMode="External"/><Relationship Id="rId1517" Type="http://schemas.openxmlformats.org/officeDocument/2006/relationships/hyperlink" Target="../../../../../../../../../Releases/Projects/SLT/Release_For_IT/Test_Build_1.0.0.4/Server%20CD/DBS/Setup" TargetMode="External"/><Relationship Id="rId1724" Type="http://schemas.openxmlformats.org/officeDocument/2006/relationships/hyperlink" Target="../../../../../../../../../Releases/Projects/BHN/Release_For_Test/Test_Build_1.0.1/Server%20CD/Utility/Setup" TargetMode="External"/><Relationship Id="rId16" Type="http://schemas.openxmlformats.org/officeDocument/2006/relationships/hyperlink" Target="../../../../../../../../../Projects/Neustar/BHN/Build&amp;Release/Release%20For%20Test/Test_Build_3.5.37/Server%20CD/Database/Setup" TargetMode="External"/><Relationship Id="rId1931" Type="http://schemas.openxmlformats.org/officeDocument/2006/relationships/hyperlink" Target="../../../../../../../../../Releases/Projects/SLT/Release_For_LQA/Test_Build_1.0.0.24/Server%20CD/DBS/Setup" TargetMode="External"/><Relationship Id="rId2193" Type="http://schemas.openxmlformats.org/officeDocument/2006/relationships/hyperlink" Target="../../../../../../../../../Releases/Projects/TLSTR-ST/Release_For_IT/TestBuild_1.0.1/Server%20CD/DBS/Setup" TargetMode="External"/><Relationship Id="rId2498" Type="http://schemas.openxmlformats.org/officeDocument/2006/relationships/hyperlink" Target="../../../../../../../../../Releases/Projects/Comcast/Release_for_Test/Test_Build_4.6.7/Server%20CD/Database/Setup" TargetMode="External"/><Relationship Id="rId165" Type="http://schemas.openxmlformats.org/officeDocument/2006/relationships/hyperlink" Target="../../../../../../../../../Releases/Product/SAC/Build&amp;Release/ReleaseforLQA/TestBuild_1.3.0/Build1/ServerCD/DBS/Setup" TargetMode="External"/><Relationship Id="rId372" Type="http://schemas.openxmlformats.org/officeDocument/2006/relationships/hyperlink" Target="../../../../../../../../../Releases/Projects/Telstra/Release_For_LQA/Test_Build_1.0.0.18/Server%20CD/DBS/Setup" TargetMode="External"/><Relationship Id="rId677" Type="http://schemas.openxmlformats.org/officeDocument/2006/relationships/hyperlink" Target="../../../../../../../../../Releases/Projects/SLT-1B/Release_For_Test/Test_Build_1.0.0.1/Utility/MPE/Setup" TargetMode="External"/><Relationship Id="rId2053" Type="http://schemas.openxmlformats.org/officeDocument/2006/relationships/hyperlink" Target="../../../../../../../../../Releases/Product/IM_1.0/Build&amp;Release/Release_For_LQA/Test_Build_1.0.3/Server%20CD/IM/Setup" TargetMode="External"/><Relationship Id="rId2260" Type="http://schemas.openxmlformats.org/officeDocument/2006/relationships/hyperlink" Target="../../../../../../../../../Releases/Projects/Telstra/Release_For_IT/Test_Build_1.0.0.18/Server%20CD/DBS/Setup" TargetMode="External"/><Relationship Id="rId2358" Type="http://schemas.openxmlformats.org/officeDocument/2006/relationships/hyperlink" Target="../../../../../../../../../Releases/Projects/TLSTR-ST/Release_For_IT/TestBuild_1.0.1/Server%20CD/DBS/Setup" TargetMode="External"/><Relationship Id="rId232" Type="http://schemas.openxmlformats.org/officeDocument/2006/relationships/hyperlink" Target="../../../../../../../../../Releases/Projects/SLT-1B/Release_For_Test/Test_Build_1.0.0.1/Server%20CD/MPE/Setup" TargetMode="External"/><Relationship Id="rId884" Type="http://schemas.openxmlformats.org/officeDocument/2006/relationships/hyperlink" Target="../../../../../../../../../Releases/Projects/SLT/Release_For_LQA/Test_Build_1.0.0.23/Server%20CD/DBS/Setup" TargetMode="External"/><Relationship Id="rId2120" Type="http://schemas.openxmlformats.org/officeDocument/2006/relationships/hyperlink" Target="../../../../../../../../../Releases/Projects/ANTEL/Release_For_Test/Test_Build_1.0.0.7/Server%20CD/MPE/Setup%0d" TargetMode="External"/><Relationship Id="rId2565" Type="http://schemas.openxmlformats.org/officeDocument/2006/relationships/hyperlink" Target="../../../../../../../../../Releases/Projects/SLT/Release_For_IT/Test_Build_1.0.0.4/Server%20CD/DBS/Setup" TargetMode="External"/><Relationship Id="rId2772" Type="http://schemas.openxmlformats.org/officeDocument/2006/relationships/hyperlink" Target="../../../../../../../../../Releases/Projects/FNB/Release_For_IT/TestBuild_1.0.1/Server%20CD/DBS/Setup" TargetMode="External"/><Relationship Id="rId537" Type="http://schemas.openxmlformats.org/officeDocument/2006/relationships/hyperlink" Target="../../../../../../../../../Releases/Projects/Comcast/Release_for_Test/Test_Build_4.6.1/Server%20CD/Database/Setup" TargetMode="External"/><Relationship Id="rId744" Type="http://schemas.openxmlformats.org/officeDocument/2006/relationships/hyperlink" Target="../../../../../../../../../Releases/Projects/NM46/Release_For_Test/Test_Build_1.0.0.1/Server%20CD/MPE/Setup" TargetMode="External"/><Relationship Id="rId951" Type="http://schemas.openxmlformats.org/officeDocument/2006/relationships/hyperlink" Target="../../../../../../../../../Releases/Projects/Comcast/Release_For_IT/Test_Build_4.6.1/Server%20CD/Database/Setup" TargetMode="External"/><Relationship Id="rId1167" Type="http://schemas.openxmlformats.org/officeDocument/2006/relationships/hyperlink" Target="../../../../../../../../../Releases/Product/RT_4.0/ReleaseForLQA/TestBuild_4.0.24/GUI/Build1/Setup" TargetMode="External"/><Relationship Id="rId1374" Type="http://schemas.openxmlformats.org/officeDocument/2006/relationships/hyperlink" Target="../../../../../../../../../Releases/Product/CSGUI_2.6/Build&amp;Release/Release_For_LQA/Test_Build_1.0.1/Server%20CD/GUI/Setup" TargetMode="External"/><Relationship Id="rId1581" Type="http://schemas.openxmlformats.org/officeDocument/2006/relationships/hyperlink" Target="../../../../../../../../../Releases/Projects/OBT/Release_For_IT/TestBuild_1.0.0.2/Server%20CD/DBS/Setup" TargetMode="External"/><Relationship Id="rId1679" Type="http://schemas.openxmlformats.org/officeDocument/2006/relationships/hyperlink" Target="../../../../../../../../../Releases/Projects/SLT/Release_For_LQA/Test_Build_1.0.0.24/Server%20CD/DBS/Setup" TargetMode="External"/><Relationship Id="rId2218" Type="http://schemas.openxmlformats.org/officeDocument/2006/relationships/hyperlink" Target="../../../../../../../../../Releases/Projects/TLSTR-ST/Release_For_Test/Test_Build_1.0.1/Server%20CD/DBS/Setup" TargetMode="External"/><Relationship Id="rId2425" Type="http://schemas.openxmlformats.org/officeDocument/2006/relationships/hyperlink" Target="../../../../../../../../../Releases/Projects/Vonage/Release_For_IT/Test_Build_4.0.18/Client%20CD/GUI/WFS/Setup" TargetMode="External"/><Relationship Id="rId2632" Type="http://schemas.openxmlformats.org/officeDocument/2006/relationships/hyperlink" Target="../../../../../../../../../Releases/Projects/SLT/Release_For_LQA/Test_Build_1.0.0.24/Server%20CD/DBS/Setup" TargetMode="External"/><Relationship Id="rId80" Type="http://schemas.openxmlformats.org/officeDocument/2006/relationships/hyperlink" Target="../../../../../../../../../Releases/Projects/ANTEL/Release_For_Test/Test_Build_1.0.0.6/Server%20CD/DBS/Setup" TargetMode="External"/><Relationship Id="rId604" Type="http://schemas.openxmlformats.org/officeDocument/2006/relationships/hyperlink" Target="../../../../../../../../../Releases/Projects/SLT/Release_For_IT/Test_Build_1.0.0.4/Server%20CD/DBS/Setup" TargetMode="External"/><Relationship Id="rId811" Type="http://schemas.openxmlformats.org/officeDocument/2006/relationships/hyperlink" Target="../../../../../../../../../Releases/Product/NetMindPOS_1.3/Build&amp;Release/Release_For_LQA/Test_Build_1.0.1/Server%20CD/DBS/Setup" TargetMode="External"/><Relationship Id="rId1027" Type="http://schemas.openxmlformats.org/officeDocument/2006/relationships/hyperlink" Target="../../../../../../../../../Releases/Projects/TWC/Release_For_IT/Test_Build_1.0.0.3/Server%20CD/DBS/Setup" TargetMode="External"/><Relationship Id="rId1234" Type="http://schemas.openxmlformats.org/officeDocument/2006/relationships/hyperlink" Target="../../../../../../../../../Releases/Projects/Comcast/Release_For_IT/Test_Build_4.6.1/Server%20CD/Database/Setup" TargetMode="External"/><Relationship Id="rId1441" Type="http://schemas.openxmlformats.org/officeDocument/2006/relationships/hyperlink" Target="../../../../../../../../../Releases/Projects/Comcast/Release_for_Test/Test_Build_3.5.50/Server%20CD/Database/Setup" TargetMode="External"/><Relationship Id="rId1886" Type="http://schemas.openxmlformats.org/officeDocument/2006/relationships/hyperlink" Target="../../../../../../../../../Releases/Projects/Comcast/Release_for_Test/Test_Build_4.6.6/Server%20CD/GUI/Setup" TargetMode="External"/><Relationship Id="rId909" Type="http://schemas.openxmlformats.org/officeDocument/2006/relationships/hyperlink" Target="../../../../../../../../../Releases/Projects/SLT/Release_For_LQA/Test_Build_1.0.0.23/Server%20CD/DBS/Setup" TargetMode="External"/><Relationship Id="rId1301" Type="http://schemas.openxmlformats.org/officeDocument/2006/relationships/hyperlink" Target="../../../../../../../../../Releases/Projects/Comcast/Release_For_IT/Test_Build_4.6.1/Server%20CD/Database/Setup" TargetMode="External"/><Relationship Id="rId1539" Type="http://schemas.openxmlformats.org/officeDocument/2006/relationships/hyperlink" Target="../../../../../../../../../Releases/Product/DataMind_2.0/Build&amp;Release/Release%20for%20IT/TestBuild_2.0.0/Server%20CD/DBS/Setup" TargetMode="External"/><Relationship Id="rId1746" Type="http://schemas.openxmlformats.org/officeDocument/2006/relationships/hyperlink" Target="../../../../../../../../../Releases/Projects/SLT/Release_For_IT/Test_Build_1.0.0.4/Server%20CD/DBS/Setup" TargetMode="External"/><Relationship Id="rId1953" Type="http://schemas.openxmlformats.org/officeDocument/2006/relationships/hyperlink" Target="../../../../../../../../../Releases/Projects/FNB/Release_For_Test/Test_Build_1.0.1/Server%20CD/DBS/Setup" TargetMode="External"/><Relationship Id="rId38" Type="http://schemas.openxmlformats.org/officeDocument/2006/relationships/hyperlink" Target="../../../../../../../../../Releases/Projects/Vonage/Release_For_LQA/Test_Build_4.0.16/Server%20CD/MPE/Setup" TargetMode="External"/><Relationship Id="rId1606" Type="http://schemas.openxmlformats.org/officeDocument/2006/relationships/hyperlink" Target="../../../../../../../../../Releases/Projects/SLT/Release_For_IT/Test_Build_1.0.0.4/Server%20CD/DBS/Setup" TargetMode="External"/><Relationship Id="rId1813" Type="http://schemas.openxmlformats.org/officeDocument/2006/relationships/hyperlink" Target="../../../../../../../../../Releases/Projects/Comcast/Release_for_Test/Test_Build_4.6.6/Server%20CD/Database/Setup" TargetMode="External"/><Relationship Id="rId187" Type="http://schemas.openxmlformats.org/officeDocument/2006/relationships/hyperlink" Target="../../../../../../../../../Releases/Projects/SLT/Release_For_LQA/Test_Build_1.0.0.17/Server%20CD/DBS/Setup" TargetMode="External"/><Relationship Id="rId394" Type="http://schemas.openxmlformats.org/officeDocument/2006/relationships/hyperlink" Target="../../../../../../../../../Releases/Projects/SLT/Release_For_IT/Test_Build_1.0.0.4/Server%20CD/DBS/Setup" TargetMode="External"/><Relationship Id="rId2075" Type="http://schemas.openxmlformats.org/officeDocument/2006/relationships/hyperlink" Target="../../../../../../../../../Releases/Projects/Comcast/Release_for_Test/Test_Build_4.6.7/Server%20CD/Database/Setup" TargetMode="External"/><Relationship Id="rId2282" Type="http://schemas.openxmlformats.org/officeDocument/2006/relationships/hyperlink" Target="../../../../../../../../../Releases/Projects/TLSTR-ST/Release_For_Test/Test_Build_1.0.1/Server%20CD/DBS/Setup" TargetMode="External"/><Relationship Id="rId254" Type="http://schemas.openxmlformats.org/officeDocument/2006/relationships/hyperlink" Target="../../../../../../../../../Releases/Projects/ANTEL/Release_For_IT/TestBuild_1.0.0.4/Server%20CD/DBS/Setup" TargetMode="External"/><Relationship Id="rId699" Type="http://schemas.openxmlformats.org/officeDocument/2006/relationships/hyperlink" Target="../../../../../../../../../Releases/Projects/Comcast/Release_For_IT/Test_Build_4.6.1/Server%20CD/Database/Setup" TargetMode="External"/><Relationship Id="rId1091" Type="http://schemas.openxmlformats.org/officeDocument/2006/relationships/hyperlink" Target="../../../../../../../../../Releases/Projects/OBT/Release_For_LQA/TestBuild_1.0.0.6/Server%20CD/MPE/Setup" TargetMode="External"/><Relationship Id="rId2587" Type="http://schemas.openxmlformats.org/officeDocument/2006/relationships/hyperlink" Target="../../../../../../../../../Releases/Projects/Telstra-2b/Release_For_Test/Test_Build_1.0.0.1/Server%20CD/MPE/Setup" TargetMode="External"/><Relationship Id="rId2794" Type="http://schemas.openxmlformats.org/officeDocument/2006/relationships/hyperlink" Target="../../../../../../../../../Releases/Projects/TLSTR-ST/Release_For_IT/TestBuild_1.0.1/Server%20CD/DBS/Setup" TargetMode="External"/><Relationship Id="rId114" Type="http://schemas.openxmlformats.org/officeDocument/2006/relationships/hyperlink" Target="../../../../../../../../../Releases/Projects/Telstra-2b/Release_For_Test/Test_Build_1.0.0.1/Server%20CD/MPE/Setup" TargetMode="External"/><Relationship Id="rId461" Type="http://schemas.openxmlformats.org/officeDocument/2006/relationships/hyperlink" Target="../../../../../../../../../Releases/Product/AWF/Build&amp;Release/Release%20For%20Test/TestBuild_1.1.2/Setup" TargetMode="External"/><Relationship Id="rId559" Type="http://schemas.openxmlformats.org/officeDocument/2006/relationships/hyperlink" Target="../../../../../../../../../Releases/Projects/Comcast/Release_for_Test/Test_Build_4.6.1/Server%20CD/Database/Setup" TargetMode="External"/><Relationship Id="rId766" Type="http://schemas.openxmlformats.org/officeDocument/2006/relationships/hyperlink" Target="../../../../../../../../../Releases/Product/WEB_WFS/Build&amp;Release/Release%20For%20Test/TestBuild_2.1.25/ServerCD/GUI/Setup" TargetMode="External"/><Relationship Id="rId1189" Type="http://schemas.openxmlformats.org/officeDocument/2006/relationships/hyperlink" Target="../../../../../../../../../Releases/Projects/SLT/Release_For_IT/Test_Build_1.0.0.4/Server%20CD/DBS/Setup" TargetMode="External"/><Relationship Id="rId1396" Type="http://schemas.openxmlformats.org/officeDocument/2006/relationships/hyperlink" Target="../../../../../../../../../Releases/Projects/TWC/Release_For_IT/Test_Build_1.0.0.3/Server%20CD/DBS/Setup" TargetMode="External"/><Relationship Id="rId2142" Type="http://schemas.openxmlformats.org/officeDocument/2006/relationships/hyperlink" Target="../../../../../../../../../Releases/Projects/TLSTR-ST/Release_For_Test/Test_Build_1.0.1/Server%20CD/MPE/Setup" TargetMode="External"/><Relationship Id="rId2447" Type="http://schemas.openxmlformats.org/officeDocument/2006/relationships/hyperlink" Target="../../../../../../../../../Releases/Projects/Comcast/Release_for_Test/Test_Build_4.6.7/Server%20CD/Database/Setup" TargetMode="External"/><Relationship Id="rId321" Type="http://schemas.openxmlformats.org/officeDocument/2006/relationships/hyperlink" Target="../../../../../../../../../Releases/Projects/SLT/Release_For_IT/Test_Build_1.0.0.4/Server%20CD/DBS/Setup" TargetMode="External"/><Relationship Id="rId419" Type="http://schemas.openxmlformats.org/officeDocument/2006/relationships/hyperlink" Target="../../../../../../../../../Releases/Projects/Comcast/Release_For_IT/Test_Build_4.6.1/Server%20CD/Database/Setup" TargetMode="External"/><Relationship Id="rId626" Type="http://schemas.openxmlformats.org/officeDocument/2006/relationships/hyperlink" Target="../../../../../../../../../Releases/Projects/COM/Release_For_Test/Test_Build_1.0.0.1/Server%20CD/DBS/Setup" TargetMode="External"/><Relationship Id="rId973" Type="http://schemas.openxmlformats.org/officeDocument/2006/relationships/hyperlink" Target="../../../../../../../../../Releases/Projects/SLT/Release_For_LQA/Test_Build_1.0.0.23/Server%20CD/DBS/Setup" TargetMode="External"/><Relationship Id="rId1049" Type="http://schemas.openxmlformats.org/officeDocument/2006/relationships/hyperlink" Target="../../../../../../../../../Releases/Projects/SLT/Release_For_IT/Test_Build_1.0.0.4/Server%20CD/DBS/Setup" TargetMode="External"/><Relationship Id="rId1256" Type="http://schemas.openxmlformats.org/officeDocument/2006/relationships/hyperlink" Target="../../../../../../../../../Releases/Projects/Comcast/Release_for_Test/Test_Build_4.6.5/Server%20CD/Database/Setup" TargetMode="External"/><Relationship Id="rId2002" Type="http://schemas.openxmlformats.org/officeDocument/2006/relationships/hyperlink" Target="../../../../../../../../../Releases/Product/DataMind_2.0/Build&amp;Release/Release%20for%20LQA/TestBuild_2.0.0/Server%20CD/DBS/Setup" TargetMode="External"/><Relationship Id="rId2307" Type="http://schemas.openxmlformats.org/officeDocument/2006/relationships/hyperlink" Target="../../../../../../../../../Releases/Projects/TLSTR-ST/Release_For_IT/TestBuild_1.0.1/Server%20CD/DBS/Setup" TargetMode="External"/><Relationship Id="rId2654" Type="http://schemas.openxmlformats.org/officeDocument/2006/relationships/hyperlink" Target="../../../../../../../../../Releases/Product/RT_4.0/ReleaseForLQA/TestBuild_4.0.24/DBS/Setup" TargetMode="External"/><Relationship Id="rId833" Type="http://schemas.openxmlformats.org/officeDocument/2006/relationships/hyperlink" Target="../../../../../../../../../Releases/Projects/Comcast/Release_For_IT/Test_Build_4.6.1/Server%20CD/Database/Setup" TargetMode="External"/><Relationship Id="rId1116" Type="http://schemas.openxmlformats.org/officeDocument/2006/relationships/hyperlink" Target="../../../../../../../../../Releases/Product/Netmind_4.6/Build&amp;Release/ReleaseForTest/TestBuild_4.6.1/Build4/ServerCD/DBS/Setup" TargetMode="External"/><Relationship Id="rId1463" Type="http://schemas.openxmlformats.org/officeDocument/2006/relationships/hyperlink" Target="../../../../../../../../../Releases/Projects/Comcast/Release_For_IT/Test_Build_4.6.1/Utility/Setup" TargetMode="External"/><Relationship Id="rId1670" Type="http://schemas.openxmlformats.org/officeDocument/2006/relationships/hyperlink" Target="../../../../../../../../../Releases/Projects/Telenet/Build&amp;Release/Release%20For%20Test/Test_Build_4.0.41/Server%20CD/Database/Setup" TargetMode="External"/><Relationship Id="rId1768" Type="http://schemas.openxmlformats.org/officeDocument/2006/relationships/hyperlink" Target="../../../../../../../../../Releases/Product/Netmind_4.7/Build&amp;Release/Release_For_LQA/Test_Build_1.0.1/Server%20CD/DBS/Setup" TargetMode="External"/><Relationship Id="rId2514" Type="http://schemas.openxmlformats.org/officeDocument/2006/relationships/hyperlink" Target="../../../../../../../../../Releases/Projects/Telenet/Build&amp;Release/Release%20For%20IT/Test_Build_4.0.41/Server%20CD/Database/Setup" TargetMode="External"/><Relationship Id="rId2721" Type="http://schemas.openxmlformats.org/officeDocument/2006/relationships/hyperlink" Target="../../../../../../../../../Releases/Projects/SLT/Release_For_LQA/Test_Build_1.0.0.26/Server%20CD/GUI/Setup" TargetMode="External"/><Relationship Id="rId900" Type="http://schemas.openxmlformats.org/officeDocument/2006/relationships/hyperlink" Target="../../../../../../../../../Releases/Projects/SLT/Release_For_LQA/Test_Build_1.0.0.23/Server%20CD/DBS/Setup" TargetMode="External"/><Relationship Id="rId1323" Type="http://schemas.openxmlformats.org/officeDocument/2006/relationships/hyperlink" Target="../../../../../../../../../Releases/Projects/TWC/Release_For_Test/Test_Build_1.0.0.4/Server%20CD/MPE/Setup" TargetMode="External"/><Relationship Id="rId1530" Type="http://schemas.openxmlformats.org/officeDocument/2006/relationships/hyperlink" Target="../../../../../../../../../Releases/Projects/SLT/Release_For_LQA/Test_Build_1.0.0.24/Server%20CD/DBS/Setup" TargetMode="External"/><Relationship Id="rId1628" Type="http://schemas.openxmlformats.org/officeDocument/2006/relationships/hyperlink" Target="../../../../../../../../../Releases/Projects/SLT/Release_For_LQA/Test_Build_1.0.0.24/Server%20CD/DBS/Setup" TargetMode="External"/><Relationship Id="rId1975" Type="http://schemas.openxmlformats.org/officeDocument/2006/relationships/hyperlink" Target="../../../../../../../../../Releases/Projects/BHN/Release_For_IT/TestBuild_1.0.0.1/Server%20CD/Utility/Setup" TargetMode="External"/><Relationship Id="rId1835" Type="http://schemas.openxmlformats.org/officeDocument/2006/relationships/hyperlink" Target="../../../../../../../../../Releases/Projects/SLT/Release_For_LQA/Test_Build_1.0.0.24/Server%20CD/DBS/Setup" TargetMode="External"/><Relationship Id="rId1902" Type="http://schemas.openxmlformats.org/officeDocument/2006/relationships/hyperlink" Target="../../../../../../../../../Releases/Projects/Telstra/Release_For_LQA/Test_Build_1.0.0.18/Server%20CD/DBS/Setup" TargetMode="External"/><Relationship Id="rId2097" Type="http://schemas.openxmlformats.org/officeDocument/2006/relationships/hyperlink" Target="../../../../../../../../../Releases/Projects/Telstra/Release_For_IT/Test_Build_1.0.0.18/Server%20CD/DBS/Setup" TargetMode="External"/><Relationship Id="rId276" Type="http://schemas.openxmlformats.org/officeDocument/2006/relationships/hyperlink" Target="../../../../../../../../../Releases/Product/MPE_GUI/ReleaseForLQA/TestBuild_1.0.0.2/Server%20CD/MPE/Setup" TargetMode="External"/><Relationship Id="rId483" Type="http://schemas.openxmlformats.org/officeDocument/2006/relationships/hyperlink" Target="../../../../../../../../../Releases/Projects/SLT/Release_For_IT/Test_Build_1.0.0.4/Server%20CD/DBS/Setup" TargetMode="External"/><Relationship Id="rId690" Type="http://schemas.openxmlformats.org/officeDocument/2006/relationships/hyperlink" Target="../../../../../../../../../Releases/Projects/Telstra/Release_For_LQA/Test_Build_1.0.0.18/Server%20CD/DBS/Setup" TargetMode="External"/><Relationship Id="rId2164" Type="http://schemas.openxmlformats.org/officeDocument/2006/relationships/hyperlink" Target="../../../../../../../../../Releases/Projects/TLSTR-ST/Release_For_IT/TestBuild_1.0.1/Server%20CD/DBS/Setup" TargetMode="External"/><Relationship Id="rId2371" Type="http://schemas.openxmlformats.org/officeDocument/2006/relationships/hyperlink" Target="../../../../../../../../../Releases/Projects/SLT-1B/Release_For_Test/Test_Build_1.0.0.1/Server%20CD/MPE/Setup" TargetMode="External"/><Relationship Id="rId136" Type="http://schemas.openxmlformats.org/officeDocument/2006/relationships/hyperlink" Target="../../../../../../../../../Releases/Projects/SLT/Release_For_IT/Test_Build_1.0.0.4/Server%20CD/DBS/Setup" TargetMode="External"/><Relationship Id="rId343" Type="http://schemas.openxmlformats.org/officeDocument/2006/relationships/hyperlink" Target="../../../../../../../../../Releases/Projects/Comcast/Release_For_IT/Test_Build_4.6.1/Utility/Setup" TargetMode="External"/><Relationship Id="rId550" Type="http://schemas.openxmlformats.org/officeDocument/2006/relationships/hyperlink" Target="../../../../../../../../../Releases/Projects/TWC/Release_For_IT/Test_Build_1.0.0.3/Server%20CD/DBS/Setup" TargetMode="External"/><Relationship Id="rId788" Type="http://schemas.openxmlformats.org/officeDocument/2006/relationships/hyperlink" Target="../../../../../../../../../Releases/Projects/ANTEL/Release_For_Test/Test_Build_1.0.0.7/Server%20CD/MPE/Setup%0d" TargetMode="External"/><Relationship Id="rId995" Type="http://schemas.openxmlformats.org/officeDocument/2006/relationships/hyperlink" Target="../../../../../../../../../Releases/Projects/Telstra/Release_For_LQA/Test_Build_1.0.0.18/Server%20CD/DBS/Setup" TargetMode="External"/><Relationship Id="rId1180" Type="http://schemas.openxmlformats.org/officeDocument/2006/relationships/hyperlink" Target="../../../../../../../../../Releases/Product/Netmind_4.6/Build&amp;Release/ReleaseForTest/TestBuild_4.6.1/Build4/ServerCD/DBS/Setup" TargetMode="External"/><Relationship Id="rId2024" Type="http://schemas.openxmlformats.org/officeDocument/2006/relationships/hyperlink" Target="../../../../../../../../../Releases/Projects/SLT/Release_For_LQA/Test_Build_1.0.0.24/Server%20CD/GUI/Setup" TargetMode="External"/><Relationship Id="rId2231" Type="http://schemas.openxmlformats.org/officeDocument/2006/relationships/hyperlink" Target="../../../../../../../../../Releases/Projects/ANTEL/Release_For_Test/Test_Build_1.0.0.7/Server%20CD/DBS/Setup" TargetMode="External"/><Relationship Id="rId2469" Type="http://schemas.openxmlformats.org/officeDocument/2006/relationships/hyperlink" Target="../../../../../../../../../Releases/Projects/SLT/Release_For_LQA/Test_Build_1.0.0.24/Server%20CD/DBS/Setup" TargetMode="External"/><Relationship Id="rId2676" Type="http://schemas.openxmlformats.org/officeDocument/2006/relationships/hyperlink" Target="../../../../../../../../../Releases/Projects/BHN/Release_For_Test/Test_Build_1.0.8/Server%20CD/GUI/Setup" TargetMode="External"/><Relationship Id="rId203" Type="http://schemas.openxmlformats.org/officeDocument/2006/relationships/hyperlink" Target="../../../../../../../../../Releases/Projects/SLT/Release_For_LQA/Test_Build_1.0.0.17/Server%20CD/DBS/Setup" TargetMode="External"/><Relationship Id="rId648" Type="http://schemas.openxmlformats.org/officeDocument/2006/relationships/hyperlink" Target="../../../../../../../../../Releases/Projects/SLT/Release_For_LQA/Test_Build_1.0.0.22/Server%20CD/DBS/Setup" TargetMode="External"/><Relationship Id="rId855" Type="http://schemas.openxmlformats.org/officeDocument/2006/relationships/hyperlink" Target="../../../../../../../../../Releases/Product/NetMindPOS_1.1/Build&amp;Release/Release%20for%20IT/TestBuild_1.2.3/Server%20CD/DBS/Setup" TargetMode="External"/><Relationship Id="rId1040" Type="http://schemas.openxmlformats.org/officeDocument/2006/relationships/hyperlink" Target="../../../../../../../../../Releases/Projects/SLT-1B/Release_For_Test/Test_Build_1.0.0.1/Server%20CD/MPE/Setup" TargetMode="External"/><Relationship Id="rId1278" Type="http://schemas.openxmlformats.org/officeDocument/2006/relationships/hyperlink" Target="../../../../../../../../../Releases/Projects/Comcast/Release_for_Test/Test_Build_4.6.5/Server%20CD/Database/Setup" TargetMode="External"/><Relationship Id="rId1485" Type="http://schemas.openxmlformats.org/officeDocument/2006/relationships/hyperlink" Target="../../../../../../../../../Releases/Projects/Comcast/Release_For_IT/Test_Build_4.6.1/Server%20CD/Database/Setup" TargetMode="External"/><Relationship Id="rId1692" Type="http://schemas.openxmlformats.org/officeDocument/2006/relationships/hyperlink" Target="../../../../../../../../../Releases/Projects/SLT/Release_For_IT/Test_Build_1.0.0.4/Server%20CD/DBS/Setup" TargetMode="External"/><Relationship Id="rId2329" Type="http://schemas.openxmlformats.org/officeDocument/2006/relationships/hyperlink" Target="../../../../../../../../../Releases/Projects/TWC/Release_For_Test/Test_Build_1.0.0.4/Server%20CD/DBS/Setup" TargetMode="External"/><Relationship Id="rId2536" Type="http://schemas.openxmlformats.org/officeDocument/2006/relationships/hyperlink" Target="../../../../../../../../../Releases/Projects/Telstra/Release_For_IT/Test_Build_1.0.0.18/Server%20CD/DBS/Setup" TargetMode="External"/><Relationship Id="rId2743" Type="http://schemas.openxmlformats.org/officeDocument/2006/relationships/hyperlink" Target="../../../../../../../../../Releases/Product/IM_1.0/Build&amp;Release/Release_For_LQA/Test_Build_1.0.9/Server%20CD/IM/Setup" TargetMode="External"/><Relationship Id="rId410" Type="http://schemas.openxmlformats.org/officeDocument/2006/relationships/hyperlink" Target="../../../../../../../../../Projects/Neustar/BHN/Build&amp;Release/Release%20For%20Test/Test_Build_3.5.37/Server%20CD/Database/Setup" TargetMode="External"/><Relationship Id="rId508" Type="http://schemas.openxmlformats.org/officeDocument/2006/relationships/hyperlink" Target="../../../../../../../../../Releases/Projects/Comcast/Release_For_IT/Test_Build_4.6.1/Utility/Setup" TargetMode="External"/><Relationship Id="rId715" Type="http://schemas.openxmlformats.org/officeDocument/2006/relationships/hyperlink" Target="../../../../../../../../../Releases/Product/NetMindPOS_1.1/Build&amp;Release/Release%20for%20IT/TestBuild_1.2.3/Server%20CD/DBS/Setup" TargetMode="External"/><Relationship Id="rId922" Type="http://schemas.openxmlformats.org/officeDocument/2006/relationships/hyperlink" Target="../../../../../../../../../Releases/Projects/OBT/Release_For_IT/TestBuild_1.0.0.2/Server%20CD/DBS/Setup" TargetMode="External"/><Relationship Id="rId1138" Type="http://schemas.openxmlformats.org/officeDocument/2006/relationships/hyperlink" Target="../../../../../../../../../Releases/Projects/ANTEL/Release_For_Test/Test_Build_1.0.0.7/Server%20CD/DBS/Setup" TargetMode="External"/><Relationship Id="rId1345" Type="http://schemas.openxmlformats.org/officeDocument/2006/relationships/hyperlink" Target="../../../../../../../../../Releases/Projects/Comcast/Release_For_IT/Test_Build_4.6.1/Server%20CD/Database/Setup" TargetMode="External"/><Relationship Id="rId1552" Type="http://schemas.openxmlformats.org/officeDocument/2006/relationships/hyperlink" Target="../../../../../../../../../Projects/Neustar/BHN/Build&amp;Release/Release%20For%20Test/Test_Build_3.5.37/Server%20CD/Database/Setup" TargetMode="External"/><Relationship Id="rId1997" Type="http://schemas.openxmlformats.org/officeDocument/2006/relationships/hyperlink" Target="../../../../../../../../../Releases/Projects/ANTEL/Release_For_Test/Test_Build_1.0.0.7/Server%20CD/DBS/Setup" TargetMode="External"/><Relationship Id="rId2603" Type="http://schemas.openxmlformats.org/officeDocument/2006/relationships/hyperlink" Target="../../../../../../../../../Releases/Projects/Telstra/Release_For_LQA/Test_Build_1.0.0.18/Server%20CD/DBS/Setup" TargetMode="External"/><Relationship Id="rId1205" Type="http://schemas.openxmlformats.org/officeDocument/2006/relationships/hyperlink" Target="../../../../../../../../../Releases/Projects/SLT/Release_For_IT/Test_Build_1.0.0.4/Server%20CD/DBS/Setup" TargetMode="External"/><Relationship Id="rId1857" Type="http://schemas.openxmlformats.org/officeDocument/2006/relationships/hyperlink" Target="../../../../../../../../../Releases/Projects/Telstra/Release_For_IT/Test_Build_1.0.0.18/Server%20CD/DBS/Setup" TargetMode="External"/><Relationship Id="rId2810" Type="http://schemas.openxmlformats.org/officeDocument/2006/relationships/hyperlink" Target="../../../../../../../../../Releases/Projects/Telstra/Release_For_IT/Test_Build_1.0.0.18/Server%20CD/DBS/Setup" TargetMode="External"/><Relationship Id="rId51" Type="http://schemas.openxmlformats.org/officeDocument/2006/relationships/hyperlink" Target="../../../../../../../../../Releases/Projects/OBT/Release_For_IT/TestBuild_1.0.0.2/Server%20CD/DBS/Setup" TargetMode="External"/><Relationship Id="rId1412" Type="http://schemas.openxmlformats.org/officeDocument/2006/relationships/hyperlink" Target="../../../../../../../../../Releases/Projects/SLT/Release_For_IT/Test_Build_1.0.0.4/Server%20CD/DBS/Setup" TargetMode="External"/><Relationship Id="rId1717" Type="http://schemas.openxmlformats.org/officeDocument/2006/relationships/hyperlink" Target="../../../../../../../../../Releases/Projects/SLT/Release_For_LQA/Test_Build_1.0.0.24/Server%20CD/DBS/Setup" TargetMode="External"/><Relationship Id="rId1924" Type="http://schemas.openxmlformats.org/officeDocument/2006/relationships/hyperlink" Target="../../../../../../../../../Releases/Projects/ANTEL/Release_For_IT/TestBuild_1.0.0.4/Server%20CD/DBS/Setup" TargetMode="External"/><Relationship Id="rId298" Type="http://schemas.openxmlformats.org/officeDocument/2006/relationships/hyperlink" Target="../../../../../../../../../Releases/Projects/SLT/Release_For_LQA/Test_Build_1.0.0.19/Server%20CD/GUI/Setup" TargetMode="External"/><Relationship Id="rId158" Type="http://schemas.openxmlformats.org/officeDocument/2006/relationships/hyperlink" Target="../../../../../../../../../Releases/Projects/SLT/Release_For_LQA/Test_Build_1.0.0.17/Server%20CD/DBS/Setup" TargetMode="External"/><Relationship Id="rId2186" Type="http://schemas.openxmlformats.org/officeDocument/2006/relationships/hyperlink" Target="../../../../../../../../../Releases/Projects/Telstra-2b/Release_For_Test/Test_Build_1.0.0.1/Server%20CD/MPE/Setup" TargetMode="External"/><Relationship Id="rId2393" Type="http://schemas.openxmlformats.org/officeDocument/2006/relationships/hyperlink" Target="../../../../../../../../../Releases/Projects/MTS/Release%20For%20Test/Test_Build_3.0.5.25/Server%20CD/MPE/Setup" TargetMode="External"/><Relationship Id="rId2698" Type="http://schemas.openxmlformats.org/officeDocument/2006/relationships/hyperlink" Target="../../../../../../../../../Releases/Projects/SLT/Release_For_IT/Test_Build_1.0.0.4/Server%20CD/DBS/Setup" TargetMode="External"/><Relationship Id="rId365" Type="http://schemas.openxmlformats.org/officeDocument/2006/relationships/hyperlink" Target="../../../../../../../../../Releases/Product/NetMindPOS_1.1/Build&amp;Release/Release%20for%20IT/TestBuild_1.2.3/Server%20CD/DBS/Setup" TargetMode="External"/><Relationship Id="rId572" Type="http://schemas.openxmlformats.org/officeDocument/2006/relationships/hyperlink" Target="../../../../../../../../../Releases/Projects/SLT/Release_For_IT/Test_Build_1.0.0.4/Server%20CD/DBS/Setup" TargetMode="External"/><Relationship Id="rId2046" Type="http://schemas.openxmlformats.org/officeDocument/2006/relationships/hyperlink" Target="../../../../../../../../../Releases/Product/Netmind_4.6/Build&amp;Release/ReleaseForTest/TestBuild_4.6.1/Build4/ServerCD/DBS/Setup" TargetMode="External"/><Relationship Id="rId2253" Type="http://schemas.openxmlformats.org/officeDocument/2006/relationships/hyperlink" Target="../../../../../../../../../Releases/Projects/ANTEL/Release_For_Test/Test_Build_1.0.0.7/Server%20CD/DBS/Setup" TargetMode="External"/><Relationship Id="rId2460" Type="http://schemas.openxmlformats.org/officeDocument/2006/relationships/hyperlink" Target="../../../../../../../../../Releases/Projects/SLT-1B/Release_For_Test/Test_Build_1.0.0.1/Server%20CD/MPE/Setup" TargetMode="External"/><Relationship Id="rId225" Type="http://schemas.openxmlformats.org/officeDocument/2006/relationships/hyperlink" Target="../../../../../../../../../Releases/Projects/SLT-1B/Release_For_Test/Test_Build_1.0.0.1/Server%20CD/MPE/Setup" TargetMode="External"/><Relationship Id="rId432" Type="http://schemas.openxmlformats.org/officeDocument/2006/relationships/hyperlink" Target="../../../../../../../../../Releases/Projects/Telstra/Release_For_LQA/Test_Build_1.0.0.18/Server%20CD/DBS/Setup" TargetMode="External"/><Relationship Id="rId877" Type="http://schemas.openxmlformats.org/officeDocument/2006/relationships/hyperlink" Target="../../../../../../../../../Releases/Projects/Comcast/Release_for_Test/Test_Build_4.6.4/Server%20CD/GUI/Setup" TargetMode="External"/><Relationship Id="rId1062" Type="http://schemas.openxmlformats.org/officeDocument/2006/relationships/hyperlink" Target="../../../../../../../../../Releases/Projects/Comcast/Release_for_Test/Test_Build_4.6.5/Server%20CD/Database/Setup" TargetMode="External"/><Relationship Id="rId2113" Type="http://schemas.openxmlformats.org/officeDocument/2006/relationships/hyperlink" Target="../../../../../../../../../Releases/Projects/TLSTR-ST/Release_For_Test/Test_Build_1.0.1/Server%20CD/DBS/Setup" TargetMode="External"/><Relationship Id="rId2320" Type="http://schemas.openxmlformats.org/officeDocument/2006/relationships/hyperlink" Target="../../../../../../../../../Releases/Projects/MCC/Release_For_Test/Test_Build_1.0.1/Server%20CD/GUI/Setup" TargetMode="External"/><Relationship Id="rId2558" Type="http://schemas.openxmlformats.org/officeDocument/2006/relationships/hyperlink" Target="../../../../../../../../../Releases/Projects/Telstra/Release_For_IT/Test_Build_1.0.0.18/Server%20CD/DBS/Setup" TargetMode="External"/><Relationship Id="rId2765" Type="http://schemas.openxmlformats.org/officeDocument/2006/relationships/hyperlink" Target="../../../../../../../../../Releases/Product/AWF/Build&amp;Release/Release%20For%20Test/TestBuild_2.0.3/Setup" TargetMode="External"/><Relationship Id="rId737" Type="http://schemas.openxmlformats.org/officeDocument/2006/relationships/hyperlink" Target="../../../../../../../../../Releases/Product/RE_1.0/ReleaseForLQA/TestBuild_1.0.1/DBS/Build4/Setup" TargetMode="External"/><Relationship Id="rId944" Type="http://schemas.openxmlformats.org/officeDocument/2006/relationships/hyperlink" Target="../../../../../../../../../Releases/Projects/Comcast/Release_for_Test/Test_Build_4.6.4/Server%20CD/Database/Setup" TargetMode="External"/><Relationship Id="rId1367" Type="http://schemas.openxmlformats.org/officeDocument/2006/relationships/hyperlink" Target="../../../../../../../../../Releases/Projects/DRC/Release_For_IT/Test_Build_1.0.0.3/Server%20CD/DBS/Setup" TargetMode="External"/><Relationship Id="rId1574" Type="http://schemas.openxmlformats.org/officeDocument/2006/relationships/hyperlink" Target="../../../../../../../../../Releases/Projects/Comcast/Release_for_Test/Test_Build_4.6.6/Server%20CD/Database/Setup" TargetMode="External"/><Relationship Id="rId1781" Type="http://schemas.openxmlformats.org/officeDocument/2006/relationships/hyperlink" Target="../../../../../../../../../Releases/Projects/BHN/Release_For_Test/Test_Build_1.0.2/Server%20CD/Utility/Setup" TargetMode="External"/><Relationship Id="rId2418" Type="http://schemas.openxmlformats.org/officeDocument/2006/relationships/hyperlink" Target="file:///\\192.168.3.3\share\Releases\Projects\MTS\Release%20For%20IT\Test_Build_3.0.5.25\Server%20CD\MPE\Setup" TargetMode="External"/><Relationship Id="rId2625" Type="http://schemas.openxmlformats.org/officeDocument/2006/relationships/hyperlink" Target="../../../../../../../../../Releases/Projects/FNB/Release_For_Test/Test_Build_1.0.2/Server%20CD/MPE/Setup" TargetMode="External"/><Relationship Id="rId73" Type="http://schemas.openxmlformats.org/officeDocument/2006/relationships/hyperlink" Target="../../../../../../../../../Releases/Projects/SLT-1B/Release_For_Test/Test_Build_1.0.0.1/Server%20CD/MPE/Setup" TargetMode="External"/><Relationship Id="rId804" Type="http://schemas.openxmlformats.org/officeDocument/2006/relationships/hyperlink" Target="../../../../../../../../../Releases/Projects/SLT/Release_For_LQA/Test_Build_1.0.0.23/Server%20CD/DBS/Setup" TargetMode="External"/><Relationship Id="rId1227" Type="http://schemas.openxmlformats.org/officeDocument/2006/relationships/hyperlink" Target="../../../../../../../../../Releases/Projects/Comcast/Release_for_Test/Test_Build_4.6.5/Server%20CD/Database/Setup" TargetMode="External"/><Relationship Id="rId1434" Type="http://schemas.openxmlformats.org/officeDocument/2006/relationships/hyperlink" Target="../../../../../../../../../Releases/Projects/SLT/Release_For_LQA/Test_Build_1.0.0.24/Server%20CD/DBS/Setup" TargetMode="External"/><Relationship Id="rId1641" Type="http://schemas.openxmlformats.org/officeDocument/2006/relationships/hyperlink" Target="../../../../../../../../../Projects/Neustar/BHN/Build&amp;Release/Release%20For%20IT/Test_Build_3.5.37/Server%20CD/Database/Setup" TargetMode="External"/><Relationship Id="rId1879" Type="http://schemas.openxmlformats.org/officeDocument/2006/relationships/hyperlink" Target="../../../../../../../../../Releases/Projects/Comcast/Release_For_IT/Test_Build_4.6.1/Server%20CD/Database/Setup" TargetMode="External"/><Relationship Id="rId1501" Type="http://schemas.openxmlformats.org/officeDocument/2006/relationships/hyperlink" Target="../../../../../../../../../Releases/Projects/SLT/Release_For_LQA/Test_Build_1.0.0.24/Server%20CD/DBS/Setup" TargetMode="External"/><Relationship Id="rId1739" Type="http://schemas.openxmlformats.org/officeDocument/2006/relationships/hyperlink" Target="../../../../../../../../../Releases/Projects/TLSTR-ST/Release_For_IT/TestBuild_1.0.1/Server%20CD/DBS/Setup" TargetMode="External"/><Relationship Id="rId1946" Type="http://schemas.openxmlformats.org/officeDocument/2006/relationships/hyperlink" Target="../../../../../../../../../Releases/Projects/FNB/Release_For_Test/Test_Build_1.0.1/Server%20CD/GUI/Setup" TargetMode="External"/><Relationship Id="rId1806" Type="http://schemas.openxmlformats.org/officeDocument/2006/relationships/hyperlink" Target="../../../../../../../../../Releases/Projects/BHN/Release_For_Test/Test_Build_1.0.1/Server%20CD/DBS/Setup" TargetMode="External"/><Relationship Id="rId387" Type="http://schemas.openxmlformats.org/officeDocument/2006/relationships/hyperlink" Target="../../../../../../../../../Releases/Projects/TWC/Release_For_IT/Test_Build_1.0.0.3/Server%20CD/DBS/Setup" TargetMode="External"/><Relationship Id="rId594" Type="http://schemas.openxmlformats.org/officeDocument/2006/relationships/hyperlink" Target="../../../../../../../../../Releases/Product/WEB_WFS/Build&amp;Release/Release%20For%20Test/TestBuild_2.2.1/Build3/ServerCD/GUI/Setup" TargetMode="External"/><Relationship Id="rId2068" Type="http://schemas.openxmlformats.org/officeDocument/2006/relationships/hyperlink" Target="../../../../../../../../../Releases/Product/RT_4.0/ReleaseForIT/TestBuild_4.0.3/DBS/Setup" TargetMode="External"/><Relationship Id="rId2275" Type="http://schemas.openxmlformats.org/officeDocument/2006/relationships/hyperlink" Target="../../../../../../../../../Releases/Projects/BHN/Release_For_IT/TestBuild_1.0.0.1/Server%20CD/Utility/Setup" TargetMode="External"/><Relationship Id="rId247" Type="http://schemas.openxmlformats.org/officeDocument/2006/relationships/hyperlink" Target="../../../../../../../../../Releases/Product/RevMind_2.0/Build&amp;Release/Release%20for%20LQA/TestBuild_1.0.1/Server%20CD/DBS/Setup" TargetMode="External"/><Relationship Id="rId899" Type="http://schemas.openxmlformats.org/officeDocument/2006/relationships/hyperlink" Target="../../../../../../../../../Releases/Projects/SLT/Release_For_IT/Test_Build_1.0.0.4/Server%20CD/DBS/Setup" TargetMode="External"/><Relationship Id="rId1084" Type="http://schemas.openxmlformats.org/officeDocument/2006/relationships/hyperlink" Target="../../../../../../../../../Releases/Projects/SLT/Release_For_LQA/Test_Build_1.0.0.23/Server%20CD/DBS/Setup" TargetMode="External"/><Relationship Id="rId2482" Type="http://schemas.openxmlformats.org/officeDocument/2006/relationships/hyperlink" Target="../../../../../../../../../Releases/Product/MEDGUI_1.1/Build&amp;Release/Release_For_LQA/Test_Build_1.0.2/Server%20CD/MPE/Setup/RHEL_6.3" TargetMode="External"/><Relationship Id="rId2787" Type="http://schemas.openxmlformats.org/officeDocument/2006/relationships/hyperlink" Target="../../../../../../../../../Releases/Projects/SLT/Release_For_LQA/Test_Build_1.0.0.26/Server%20CD/DBS/Setup" TargetMode="External"/><Relationship Id="rId107" Type="http://schemas.openxmlformats.org/officeDocument/2006/relationships/hyperlink" Target="../../../../../../../../../Releases/Projects/ANTEL/Release_For_IT/TestBuild_1.0.0.4/Server%20CD/DBS/Setup" TargetMode="External"/><Relationship Id="rId454" Type="http://schemas.openxmlformats.org/officeDocument/2006/relationships/hyperlink" Target="../../../../../../../../../Releases/Projects/Telenet/Build&amp;Release/Release%20For%20Test/Test_Build_4.0.40/Client%20CD/GUI/Profile%20Manager/Setup" TargetMode="External"/><Relationship Id="rId661" Type="http://schemas.openxmlformats.org/officeDocument/2006/relationships/hyperlink" Target="../../../../../../../../../Releases/Projects/SLT-1B/Release_For_Test/Test_Build_1.0.0.1/Server%20CD/MPE/Setup" TargetMode="External"/><Relationship Id="rId759" Type="http://schemas.openxmlformats.org/officeDocument/2006/relationships/hyperlink" Target="../../../../../../../../../Releases/Product/WEB_WFS/Build&amp;Release/Release%20For%20Test/TestBuild_2.2.1/Build4/ServerCD/GUI/Setup" TargetMode="External"/><Relationship Id="rId966" Type="http://schemas.openxmlformats.org/officeDocument/2006/relationships/hyperlink" Target="../../../../../../../../../Projects/Neustar/BHN/Build&amp;Release/Release%20For%20Test/Test_Build_3.5.37/Server%20CD/MPE/Setup" TargetMode="External"/><Relationship Id="rId1291" Type="http://schemas.openxmlformats.org/officeDocument/2006/relationships/hyperlink" Target="../../../../../../../../../Releases/Projects/Comcast/Release_for_Test/Test_Build_4.6.5/Server%20CD/Database/Setup" TargetMode="External"/><Relationship Id="rId1389" Type="http://schemas.openxmlformats.org/officeDocument/2006/relationships/hyperlink" Target="../../../../../../../../../Releases/Product/RevMind_2.1/Build&amp;Release/Release_For_LQA/Test_Build_1.0.2/Server%20CD/DBS/Setup" TargetMode="External"/><Relationship Id="rId1596" Type="http://schemas.openxmlformats.org/officeDocument/2006/relationships/hyperlink" Target="../../../../../../../../../Releases/Projects/SLT/Release_For_IT/Test_Build_1.0.0.4/Server%20CD/DBS/Setup" TargetMode="External"/><Relationship Id="rId2135" Type="http://schemas.openxmlformats.org/officeDocument/2006/relationships/hyperlink" Target="../../../../../../../../../Releases/Product/MEDGUI_1.1/Build&amp;Release/Release_For_LQA/Test_Build_1.0.1/Server%20CD/DBS/Setup" TargetMode="External"/><Relationship Id="rId2342" Type="http://schemas.openxmlformats.org/officeDocument/2006/relationships/hyperlink" Target="../../../../../../../../../Releases/Projects/SLT/Release_For_LQA/Test_Build_1.0.0.24/Server%20CD/DBS/Setup" TargetMode="External"/><Relationship Id="rId2647" Type="http://schemas.openxmlformats.org/officeDocument/2006/relationships/hyperlink" Target="../../../../../../../../../Releases/Product/IM_1.0/Build&amp;Release/Release_For_LQA/Test_Build_1.0.7/Server%20CD/IM/Setup" TargetMode="External"/><Relationship Id="rId314" Type="http://schemas.openxmlformats.org/officeDocument/2006/relationships/hyperlink" Target="../../../../../../../../../Releases/Projects/NM46/Release_For_Test/Test_Build_1.0.0.1/Server%20CD/MPE/Setup" TargetMode="External"/><Relationship Id="rId521" Type="http://schemas.openxmlformats.org/officeDocument/2006/relationships/hyperlink" Target="../../../../../../../../../Releases/Projects/OBT/Release_For_IT/TestBuild_1.0.0.2/Server%20CD/DBS/Setup" TargetMode="External"/><Relationship Id="rId619" Type="http://schemas.openxmlformats.org/officeDocument/2006/relationships/hyperlink" Target="../../../../../../../../../Releases/Projects/SLT/Release_For_LQA/Test_Build_1.0.0.21/Server%20CD/DBS/Setup" TargetMode="External"/><Relationship Id="rId1151" Type="http://schemas.openxmlformats.org/officeDocument/2006/relationships/hyperlink" Target="../../../../../../../../../Releases/Projects/ANTEL/Release_For_Test/Test_Build_1.0.0.7/Server%20CD/GUI/Setup" TargetMode="External"/><Relationship Id="rId1249" Type="http://schemas.openxmlformats.org/officeDocument/2006/relationships/hyperlink" Target="../../../../../../../../../Releases/Projects/ANTEL/Release_For_Test/Test_Build_1.0.0.7/IM/Setup" TargetMode="External"/><Relationship Id="rId2202" Type="http://schemas.openxmlformats.org/officeDocument/2006/relationships/hyperlink" Target="../../../../../../../../../Releases/Product/RT_4.0/ReleaseForIT/TestBuild_4.0.3/DBS/Setup" TargetMode="External"/><Relationship Id="rId95" Type="http://schemas.openxmlformats.org/officeDocument/2006/relationships/hyperlink" Target="../../../../../../../../../Releases/Projects/SLT/Release_For_IT/Test_Build_1.0.0.4/Server%20CD/DBS/Setup" TargetMode="External"/><Relationship Id="rId826" Type="http://schemas.openxmlformats.org/officeDocument/2006/relationships/hyperlink" Target="../../../../../../../../../Releases/Product/RT_4.0/ReleaseForLQA/TestBuild_4.0.23/GUI/Build1/Setup" TargetMode="External"/><Relationship Id="rId1011" Type="http://schemas.openxmlformats.org/officeDocument/2006/relationships/hyperlink" Target="../../../../../../../../../Releases/Projects/Comcast/Release_For_IT/Test_Build_4.6.1/Server%20CD/Database/Setup" TargetMode="External"/><Relationship Id="rId1109" Type="http://schemas.openxmlformats.org/officeDocument/2006/relationships/hyperlink" Target="../../../../../../../../../Releases/Projects/Comcast/Release_For_IT/Test_Build_4.6.1/Server%20CD/Database/Setup" TargetMode="External"/><Relationship Id="rId1456" Type="http://schemas.openxmlformats.org/officeDocument/2006/relationships/hyperlink" Target="../../../../../../../../../Releases/Projects/Comcast/Release_For_IT/Test_Build_4.6.1/Server%20CD/Database/Setup" TargetMode="External"/><Relationship Id="rId1663" Type="http://schemas.openxmlformats.org/officeDocument/2006/relationships/hyperlink" Target="../../../../../../../../../Projects/Neustar/BHN/Build&amp;Release/Release%20For%20Test/Test_Build_3.5.37/Server%20CD/Database/Setup" TargetMode="External"/><Relationship Id="rId1870" Type="http://schemas.openxmlformats.org/officeDocument/2006/relationships/hyperlink" Target="../../../../../../../../../Releases/Projects/ANTEL/Release_For_Test/Test_Build_1.0.0.7/Server%20CD/DBS/Setup" TargetMode="External"/><Relationship Id="rId1968" Type="http://schemas.openxmlformats.org/officeDocument/2006/relationships/hyperlink" Target="../../../../../../../../../Releases/Product/CSGUI_2.6/Build&amp;Release/Release_For_LQA/Test_Build_1.0.2/Server%20CD/GUI/Setup" TargetMode="External"/><Relationship Id="rId2507" Type="http://schemas.openxmlformats.org/officeDocument/2006/relationships/hyperlink" Target="../../../../../../../../../Releases/Projects/MAC/Release_For_Test/Test_Build_1.0.1/Server%20CD/MPE/Setup" TargetMode="External"/><Relationship Id="rId2714" Type="http://schemas.openxmlformats.org/officeDocument/2006/relationships/hyperlink" Target="../../../../../../../../../Releases/Projects/OBT/Release_For_LQA/TestBuild_1.0.0.7/Server%20CD/DBS/Setup" TargetMode="External"/><Relationship Id="rId1316" Type="http://schemas.openxmlformats.org/officeDocument/2006/relationships/hyperlink" Target="../../../../../../../../../Releases/Projects/SLT/Release_For_LQA/Test_Build_1.0.0.24/Server%20CD/GUI/Setup" TargetMode="External"/><Relationship Id="rId1523" Type="http://schemas.openxmlformats.org/officeDocument/2006/relationships/hyperlink" Target="../../../../../../../../../Releases/Projects/OBT/Release_For_IT/TestBuild_1.0.0.2/Server%20CD/DBS/Setup" TargetMode="External"/><Relationship Id="rId1730" Type="http://schemas.openxmlformats.org/officeDocument/2006/relationships/hyperlink" Target="../../../../../../../../../Releases/Projects/SLT-1B/Release_For_Test/Test_Build_1.0.0.1/Server%20CD/MPE/Setup" TargetMode="External"/><Relationship Id="rId22" Type="http://schemas.openxmlformats.org/officeDocument/2006/relationships/hyperlink" Target="../../../../../../../../../Releases/Projects/SLT-1B/Release_For_Test/Test_Build_1.0.0.1/Server%20CD/MPE/Setup" TargetMode="External"/><Relationship Id="rId1828" Type="http://schemas.openxmlformats.org/officeDocument/2006/relationships/hyperlink" Target="../../../../../../../../../Releases/Projects/Telstra/Release_For_LQA/Test_Build_1.0.0.18/Server%20CD/DBS/Setup" TargetMode="External"/><Relationship Id="rId171" Type="http://schemas.openxmlformats.org/officeDocument/2006/relationships/hyperlink" Target="../../../../../../../../../Releases/Projects/SLT/Release_For_IT/Test_Build_1.0.0.4/Server%20CD/DBS/Setup" TargetMode="External"/><Relationship Id="rId2297" Type="http://schemas.openxmlformats.org/officeDocument/2006/relationships/hyperlink" Target="../../../../../../../../../Releases/Projects/TLSTR-ST/Release_For_Test/Test_Build_1.0.1/Server%20CD/DBS/Setup" TargetMode="External"/><Relationship Id="rId269" Type="http://schemas.openxmlformats.org/officeDocument/2006/relationships/hyperlink" Target="../../../../../../../../../Releases/Projects/SLT/Release_For_LQA/Test_Build_1.0.0.18/Server%20CD/DBS/Setup" TargetMode="External"/><Relationship Id="rId476" Type="http://schemas.openxmlformats.org/officeDocument/2006/relationships/hyperlink" Target="../../../../../../../../../Releases/Product/WEB_WFS/Build&amp;Release/Release%20For%20Test/TestBuild_2.0.4/Build4/ServerCD/GUI/Setup" TargetMode="External"/><Relationship Id="rId683" Type="http://schemas.openxmlformats.org/officeDocument/2006/relationships/hyperlink" Target="../../../../../../../../../Releases/Projects/Comcast/Release_For_IT/Test_Build_4.6.1/Server%20CD/Database/Setup" TargetMode="External"/><Relationship Id="rId890" Type="http://schemas.openxmlformats.org/officeDocument/2006/relationships/hyperlink" Target="../../../../../../../../../Releases/Product/Netmind_4.7/Build&amp;Release/Release_For_LQA/Test_Build_1.0.1/Server%20CD/DBS/Setup" TargetMode="External"/><Relationship Id="rId2157" Type="http://schemas.openxmlformats.org/officeDocument/2006/relationships/hyperlink" Target="../../../../../../../../../Releases/Projects/TWC/Release_For_IT/Test_Build_1.0.0.3/Server%20CD/DBS/Setup" TargetMode="External"/><Relationship Id="rId2364" Type="http://schemas.openxmlformats.org/officeDocument/2006/relationships/hyperlink" Target="../../../../../../../../../Releases/Projects/TWC/Release_For_Test/Test_Build_1.0.0.4/Server%20CD/DBS/Setup" TargetMode="External"/><Relationship Id="rId2571" Type="http://schemas.openxmlformats.org/officeDocument/2006/relationships/hyperlink" Target="../../../../../../../../../Releases/Projects/SLT/Release_For_LQA/Test_Build_1.0.0.24/Server%20CD/DBS/Setup" TargetMode="External"/><Relationship Id="rId129" Type="http://schemas.openxmlformats.org/officeDocument/2006/relationships/hyperlink" Target="../../../../../../../../../Releases/Projects/SHAW/Release_For_LQA/Test_Build_1.0.0.28/Server%20CD/DBS/Setup" TargetMode="External"/><Relationship Id="rId336" Type="http://schemas.openxmlformats.org/officeDocument/2006/relationships/hyperlink" Target="../../../../../../../../../Releases/Projects/SLT-1B/Release_For_Test/Test_Build_1.0.0.1/Server%20CD/MPE/Setup" TargetMode="External"/><Relationship Id="rId543" Type="http://schemas.openxmlformats.org/officeDocument/2006/relationships/hyperlink" Target="../../../../../../../../../Releases/Projects/SLT/Release_For_IT/Test_Build_1.0.0.4/Server%20CD/DBS/Setup" TargetMode="External"/><Relationship Id="rId988" Type="http://schemas.openxmlformats.org/officeDocument/2006/relationships/hyperlink" Target="../../../../../../../../../Releases/Projects/Comcast/Release_for_Test/Test_Build_4.6.5/Server%20CD/Database/Setup" TargetMode="External"/><Relationship Id="rId1173" Type="http://schemas.openxmlformats.org/officeDocument/2006/relationships/hyperlink" Target="../../../../../../../../../Releases/Projects/SLT/Release_For_LQA/Test_Build_1.0.0.23/Server%20CD/GUI/Setup" TargetMode="External"/><Relationship Id="rId1380" Type="http://schemas.openxmlformats.org/officeDocument/2006/relationships/hyperlink" Target="../../../../../../../../../Releases/Projects/Comcast/Release_For_IT/Test_Build_4.6.1/Server%20CD/Database/Setup" TargetMode="External"/><Relationship Id="rId2017" Type="http://schemas.openxmlformats.org/officeDocument/2006/relationships/hyperlink" Target="../../../../../../../../../Releases/Projects/TLSTR-ST/Release_For_IT/TestBuild_1.0.1/Server%20CD/DBS/Setup" TargetMode="External"/><Relationship Id="rId2224" Type="http://schemas.openxmlformats.org/officeDocument/2006/relationships/hyperlink" Target="../../../../../../../../../Releases/Projects/SLT/Release_For_IT/Test_Build_1.0.0.4/Server%20CD/DBS/Setup" TargetMode="External"/><Relationship Id="rId2669" Type="http://schemas.openxmlformats.org/officeDocument/2006/relationships/hyperlink" Target="../../../../../../../../../Releases/Product/LA_1.1/Build&amp;Release/Release_For_LQA/Test_Build_1.0.3/Server%20CD/DBS/Setup" TargetMode="External"/><Relationship Id="rId403" Type="http://schemas.openxmlformats.org/officeDocument/2006/relationships/hyperlink" Target="../../../../../../../../../Releases/Projects/Telstra/Release_For_IT/Test_Build_1.0.0.18/Server%20CD/DBS/Setup" TargetMode="External"/><Relationship Id="rId750" Type="http://schemas.openxmlformats.org/officeDocument/2006/relationships/hyperlink" Target="../../../../../../../../../Releases/Projects/TWC/Release_For_IT/Test_Build_1.0.0.3/Server%20CD/DBS/Setup" TargetMode="External"/><Relationship Id="rId848" Type="http://schemas.openxmlformats.org/officeDocument/2006/relationships/hyperlink" Target="../../../../../../../../../Releases/Projects/SLT/Release_For_LQA/Test_Build_1.0.0.23/Server%20CD/DBS/Setup" TargetMode="External"/><Relationship Id="rId1033" Type="http://schemas.openxmlformats.org/officeDocument/2006/relationships/hyperlink" Target="../../../../../../../../../Releases/Projects/Telstra/Release_For_IT/Test_Build_1.0.0.18/Server%20CD/DBS/Setup" TargetMode="External"/><Relationship Id="rId1478" Type="http://schemas.openxmlformats.org/officeDocument/2006/relationships/hyperlink" Target="../../../../../../../../../Releases/Projects/SLT-1B/Release_For_Test/Test_Build_1.0.0.1/Server%20CD/MPE/Setup" TargetMode="External"/><Relationship Id="rId1685" Type="http://schemas.openxmlformats.org/officeDocument/2006/relationships/hyperlink" Target="../../../../../../../../../Releases/Projects/TLSTR-ST/Release_For_Test/Test_Build_1.0.1/Server%20CD/MPE/Setup" TargetMode="External"/><Relationship Id="rId1892" Type="http://schemas.openxmlformats.org/officeDocument/2006/relationships/hyperlink" Target="../../../../../../../../../Releases/Projects/TWC/Release_For_Test/Test_Build_1.0.0.4/Server%20CD/DBS/Setup" TargetMode="External"/><Relationship Id="rId2431" Type="http://schemas.openxmlformats.org/officeDocument/2006/relationships/hyperlink" Target="../../../../../../../../../Releases/Projects/SLT/Release_For_IT/Test_Build_1.0.0.4/Server%20CD/DBS/Setup" TargetMode="External"/><Relationship Id="rId2529" Type="http://schemas.openxmlformats.org/officeDocument/2006/relationships/hyperlink" Target="../../../../../../../../../Releases/Projects/Telenet/Build&amp;Release/Release%20For%20Test/Test_Build_4.0.41/Server%20CD/Database/Setup" TargetMode="External"/><Relationship Id="rId2736" Type="http://schemas.openxmlformats.org/officeDocument/2006/relationships/hyperlink" Target="../../../../../../../../../Releases/Projects/BHN/Release_For_Test/Test_Build_1.0.8/Server%20CD/DBS/Setup" TargetMode="External"/><Relationship Id="rId610" Type="http://schemas.openxmlformats.org/officeDocument/2006/relationships/hyperlink" Target="../../../../../../../../../Releases/Projects/Comcast/Release_For_IT/Test_Build_4.6.1/Utility/Setup" TargetMode="External"/><Relationship Id="rId708" Type="http://schemas.openxmlformats.org/officeDocument/2006/relationships/hyperlink" Target="../../../../../../../../../Releases/Projects/Comcast/Release_For_IT/Test_Build_4.6.1/Server%20CD/Database/Setup" TargetMode="External"/><Relationship Id="rId915" Type="http://schemas.openxmlformats.org/officeDocument/2006/relationships/hyperlink" Target="../../../../../../../../../Releases/Product/DataMind_2.0/Build&amp;Release/Release%20for%20LQA/TestBuild_2.0.0/Server%20CD/DBS/Setup" TargetMode="External"/><Relationship Id="rId1240" Type="http://schemas.openxmlformats.org/officeDocument/2006/relationships/hyperlink" Target="../../../../../../../../../Releases/Projects/Comcast/Release_For_IT/Test_Build_4.6.1/Utility/Setup" TargetMode="External"/><Relationship Id="rId1338" Type="http://schemas.openxmlformats.org/officeDocument/2006/relationships/hyperlink" Target="../../../../../../../../../Releases/Projects/Comcast/Release_for_Test/Test_Build_4.6.6/Server%20CD/Database/Setup" TargetMode="External"/><Relationship Id="rId1545" Type="http://schemas.openxmlformats.org/officeDocument/2006/relationships/hyperlink" Target="../../../../../../../../../Projects/Neustar/BHN/Build&amp;Release/Release%20For%20IT/Test_Build_3.5.37/Server%20CD/Database/Setup" TargetMode="External"/><Relationship Id="rId1100" Type="http://schemas.openxmlformats.org/officeDocument/2006/relationships/hyperlink" Target="../../../../../../../../../Releases/Projects/Comcast/Release_for_Test/Test_Build_4.6.5/Server%20CD/Database/Setup" TargetMode="External"/><Relationship Id="rId1405" Type="http://schemas.openxmlformats.org/officeDocument/2006/relationships/hyperlink" Target="../../../../../../../../../Releases/Projects/Comcast/Release_For_IT/Test_Build_4.6.1/Server%20CD/Database/Setup" TargetMode="External"/><Relationship Id="rId1752" Type="http://schemas.openxmlformats.org/officeDocument/2006/relationships/hyperlink" Target="../../../../../../../../../Releases/Projects/TWC/Release_For_IT/Test_Build_1.0.0.3/Utility/Setup" TargetMode="External"/><Relationship Id="rId2803" Type="http://schemas.openxmlformats.org/officeDocument/2006/relationships/hyperlink" Target="../../../../../../../../../Releases/Projects/SLT/Release_For_LQA/Test_Build_1.0.0.26/Server%20CD/DBS/Setup" TargetMode="External"/><Relationship Id="rId44" Type="http://schemas.openxmlformats.org/officeDocument/2006/relationships/hyperlink" Target="../../../../../../../../../Releases/Product/Netmind_4.6/Build&amp;Release/ReleaseForTest/TestBuild_4.6.1/Build4/ServerCD/DBS/Setup" TargetMode="External"/><Relationship Id="rId1612" Type="http://schemas.openxmlformats.org/officeDocument/2006/relationships/hyperlink" Target="../../../../../../../../../Releases/Projects/Comcast/Release_for_Test/Test_Build_4.6.6/Server%20CD/Database/Setup" TargetMode="External"/><Relationship Id="rId1917" Type="http://schemas.openxmlformats.org/officeDocument/2006/relationships/hyperlink" Target="../../../../../../../../../Releases/Projects/BHN/Release_For_Test/Test_Build_1.0.3/Server%20CD/DBS/Setup" TargetMode="External"/><Relationship Id="rId193" Type="http://schemas.openxmlformats.org/officeDocument/2006/relationships/hyperlink" Target="../../../../../../../../../Releases/Projects/SLT/Release_For_LQA/Test_Build_1.0.0.17/Server%20CD/DBS/Setup" TargetMode="External"/><Relationship Id="rId498" Type="http://schemas.openxmlformats.org/officeDocument/2006/relationships/hyperlink" Target="../../../../../../../../../Releases/Projects/SLT/Release_For_LQA/Test_Build_1.0.0.19/Server%20CD/DBS/Setup" TargetMode="External"/><Relationship Id="rId2081" Type="http://schemas.openxmlformats.org/officeDocument/2006/relationships/hyperlink" Target="../../../../../../../../../Releases/Product/Netmind_4.6/Build&amp;Release/ReleaseForIT/TestBuild_4.6.1/Build4/ServerCD/DBS/Setup" TargetMode="External"/><Relationship Id="rId2179" Type="http://schemas.openxmlformats.org/officeDocument/2006/relationships/hyperlink" Target="../../../../../../../../../Releases/Projects/FNB/Release_For_IT/TestBuild_1.0.1/Server%20CD/DBS/Setup" TargetMode="External"/><Relationship Id="rId260" Type="http://schemas.openxmlformats.org/officeDocument/2006/relationships/hyperlink" Target="../../../../../../../../../Releases/Projects/SLT/Release_For_LQA/Test_Build_1.0.0.17/Server%20CD/DBS/Setup" TargetMode="External"/><Relationship Id="rId2386" Type="http://schemas.openxmlformats.org/officeDocument/2006/relationships/hyperlink" Target="../../../../../../../../../Releases/Projects/FNB/Release_For_Test/Test_Build_1.0.1/Server%20CD/DBS/Setup" TargetMode="External"/><Relationship Id="rId2593" Type="http://schemas.openxmlformats.org/officeDocument/2006/relationships/hyperlink" Target="../../../../../../../../../Releases/Projects/Telstra/Release_For_LQA/Test_Build_1.0.0.18/Server%20CD/DBS/Setup" TargetMode="External"/><Relationship Id="rId120" Type="http://schemas.openxmlformats.org/officeDocument/2006/relationships/hyperlink" Target="../../../../../../../../../Releases/Projects/SHAW/Release_For_LQA/Test_Build_1.0.0.28/Server%20CD/DBS/Setup" TargetMode="External"/><Relationship Id="rId358" Type="http://schemas.openxmlformats.org/officeDocument/2006/relationships/hyperlink" Target="../../../../../../../../../Releases/Projects/Comcast/Release_For_IT/Test_Build_4.6.1/Server%20CD/Database/Setup" TargetMode="External"/><Relationship Id="rId565" Type="http://schemas.openxmlformats.org/officeDocument/2006/relationships/hyperlink" Target="../../../../../../../../../Releases/Projects/Comcast/Release_For_IT/Test_Build_4.6.1/Server%20CD/Database/Setup" TargetMode="External"/><Relationship Id="rId772" Type="http://schemas.openxmlformats.org/officeDocument/2006/relationships/hyperlink" Target="../../../../../../../../../Releases/Projects/SLT-1B/Release_For_Test/Test_Build_1.0.0.1/Server%20CD/MPE/Setup" TargetMode="External"/><Relationship Id="rId1195" Type="http://schemas.openxmlformats.org/officeDocument/2006/relationships/hyperlink" Target="../../../../../../../../../Releases/Product/RevMind_2.1/Build&amp;Release/Release_For_LQA/Test_Build_1.0.2/Server%20CD/GUI/CS/Setup" TargetMode="External"/><Relationship Id="rId2039" Type="http://schemas.openxmlformats.org/officeDocument/2006/relationships/hyperlink" Target="../../../../../../../../../Releases/Projects/OBT/Release_For_IT/TestBuild_1.0.0.2/Server%20CD/DBS/Setup" TargetMode="External"/><Relationship Id="rId2246" Type="http://schemas.openxmlformats.org/officeDocument/2006/relationships/hyperlink" Target="../../../../../../../../../Releases/Projects/OBT/Release_For_IT/TestBuild_1.0.0.2/Server%20CD/DBS/Setup" TargetMode="External"/><Relationship Id="rId2453" Type="http://schemas.openxmlformats.org/officeDocument/2006/relationships/hyperlink" Target="../../../../../../../../../Releases/Projects/TLSTR-ST/Release_For_IT/TestBuild_1.0.1/Server%20CD/DBS/Setup" TargetMode="External"/><Relationship Id="rId2660" Type="http://schemas.openxmlformats.org/officeDocument/2006/relationships/hyperlink" Target="../../../../../../../../../Releases/Projects/FNB/Release_For_Test/Test_Build_1.0.2/Server%20CD/MPE/Setup" TargetMode="External"/><Relationship Id="rId218" Type="http://schemas.openxmlformats.org/officeDocument/2006/relationships/hyperlink" Target="../../../../../../../../../Releases/Projects/SLT/Release_For_LQA/Test_Build_1.0.0.17/Server%20CD/DBS/Setup" TargetMode="External"/><Relationship Id="rId425" Type="http://schemas.openxmlformats.org/officeDocument/2006/relationships/hyperlink" Target="../../../../../../../../../Releases/Projects/Telenet/Build&amp;Release/Release%20For%20IT/Test_Build_4.0.39/Server%20CD/MPE/Setup" TargetMode="External"/><Relationship Id="rId632" Type="http://schemas.openxmlformats.org/officeDocument/2006/relationships/hyperlink" Target="../../../../../../../../../Releases/Projects/Comcast/Release_for_Test/Test_Build_4.6.2/Server%20CD/Database/Setup" TargetMode="External"/><Relationship Id="rId1055" Type="http://schemas.openxmlformats.org/officeDocument/2006/relationships/hyperlink" Target="../../../../../../../../../Releases/Projects/Comcast/Release_for_Test/Test_Build_4.6.5/Server%20CD/Database/Setup" TargetMode="External"/><Relationship Id="rId1262" Type="http://schemas.openxmlformats.org/officeDocument/2006/relationships/hyperlink" Target="../../../../../../../../../Releases/Projects/ANTEL/Release_For_Test/Test_Build_1.0.0.7/Server%20CD/DBS/Setup" TargetMode="External"/><Relationship Id="rId2106" Type="http://schemas.openxmlformats.org/officeDocument/2006/relationships/hyperlink" Target="../../../../../../../../../Releases/Projects/Telstra/Release_For_IT/Test_Build_1.0.0.18/Server%20CD/DBS/Setup" TargetMode="External"/><Relationship Id="rId2313" Type="http://schemas.openxmlformats.org/officeDocument/2006/relationships/hyperlink" Target="../../../../../../../../../Releases/Projects/TWC/Release_For_IT/Test_Build_1.0.0.3/Server%20CD/DBS/Setup" TargetMode="External"/><Relationship Id="rId2520" Type="http://schemas.openxmlformats.org/officeDocument/2006/relationships/hyperlink" Target="../../../../../../../../../Releases/Projects/FNB/Release_For_IT/TestBuild_1.0.1/Server%20CD/DBS/Setup" TargetMode="External"/><Relationship Id="rId2758" Type="http://schemas.openxmlformats.org/officeDocument/2006/relationships/hyperlink" Target="../../../../../../../../../Releases/Projects/TWC/Release_For_Test/Test_Build_1.0.0.4/Server%20CD/DBS/Setup" TargetMode="External"/><Relationship Id="rId937" Type="http://schemas.openxmlformats.org/officeDocument/2006/relationships/hyperlink" Target="../../../../../../../../../Releases/Product/NetMindPOS_1.1/Build&amp;Release/Release%20for%20IT/TestBuild_1.2.3/Server%20CD/DBS/Setup" TargetMode="External"/><Relationship Id="rId1122" Type="http://schemas.openxmlformats.org/officeDocument/2006/relationships/hyperlink" Target="../../../../../../../../../Releases/Projects/Comcast/Release_For_IT/Test_Build_4.6.1/Server%20CD/Database/Setup" TargetMode="External"/><Relationship Id="rId1567" Type="http://schemas.openxmlformats.org/officeDocument/2006/relationships/hyperlink" Target="../../../../../../../../../Releases/Projects/TWC/Release_For_IT/Test_Build_1.0.0.3/Server%20CD/DBS/Setup" TargetMode="External"/><Relationship Id="rId1774" Type="http://schemas.openxmlformats.org/officeDocument/2006/relationships/hyperlink" Target="../../../../../../../../../Releases/Product/RT_4.0/ReleaseForLQA/TestBuild_4.0.24/DBS/Setup" TargetMode="External"/><Relationship Id="rId1981" Type="http://schemas.openxmlformats.org/officeDocument/2006/relationships/hyperlink" Target="../../../../../../../../../Releases/Product/RT_4.0/ReleaseForLQA/TestBuild_4.0.24/DBS/Setup" TargetMode="External"/><Relationship Id="rId2618" Type="http://schemas.openxmlformats.org/officeDocument/2006/relationships/hyperlink" Target="../../../../../../../../../Releases/Projects/SLT-1B/Release_For_Test/Test_Build_1.0.0.1/Server%20CD/MPE/Setup" TargetMode="External"/><Relationship Id="rId66" Type="http://schemas.openxmlformats.org/officeDocument/2006/relationships/hyperlink" Target="../../../../../../../../../Releases/Projects/SLT/Release_For_IT/Test_Build_1.0.0.4/Server%20CD/DBS/Setup" TargetMode="External"/><Relationship Id="rId1427" Type="http://schemas.openxmlformats.org/officeDocument/2006/relationships/hyperlink" Target="../../../../../../../../../Releases/Product/Netmind_4.6/Build&amp;Release/ReleaseForIT/TestBuild_4.6.1/Build4/ServerCD/DBS/Setup" TargetMode="External"/><Relationship Id="rId1634" Type="http://schemas.openxmlformats.org/officeDocument/2006/relationships/hyperlink" Target="../../../../../../../../../Releases/Projects/BHN/Release_For_IT/TestBuild_1.0.0.1/Server%20CD/Utility/Setup" TargetMode="External"/><Relationship Id="rId1841" Type="http://schemas.openxmlformats.org/officeDocument/2006/relationships/hyperlink" Target="../../../../../../../../../Releases/Projects/SLT/Release_For_IT/Test_Build_1.0.0.4/Server%20CD/DBS/Setup" TargetMode="External"/><Relationship Id="rId1939" Type="http://schemas.openxmlformats.org/officeDocument/2006/relationships/hyperlink" Target="../../../../../../../../../Releases/Projects/TWC/Release_For_Test/Test_Build_1.0.0.4/Server%20CD/GUI/Setup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0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T320"/>
  <sheetViews>
    <sheetView topLeftCell="A187" zoomScale="90" zoomScaleNormal="90" workbookViewId="0">
      <selection activeCell="F10" sqref="F10"/>
    </sheetView>
  </sheetViews>
  <sheetFormatPr defaultColWidth="8.28515625" defaultRowHeight="15" x14ac:dyDescent="0.25"/>
  <cols>
    <col min="1" max="1" width="14.5703125" customWidth="1"/>
    <col min="2" max="2" width="10" customWidth="1"/>
    <col min="3" max="3" width="16.28515625" customWidth="1"/>
    <col min="4" max="4" width="9.140625" customWidth="1"/>
    <col min="5" max="5" width="4.85546875" customWidth="1"/>
    <col min="6" max="6" width="4.140625" customWidth="1"/>
    <col min="7" max="8" width="11.28515625" customWidth="1"/>
    <col min="9" max="9" width="22.7109375" customWidth="1"/>
    <col min="10" max="10" width="20.140625" customWidth="1"/>
    <col min="11" max="11" width="11.28515625" customWidth="1"/>
    <col min="12" max="12" width="11.42578125" customWidth="1"/>
    <col min="13" max="13" width="13.5703125" customWidth="1"/>
    <col min="14" max="14" width="11.28515625" customWidth="1"/>
    <col min="15" max="15" width="4.140625" customWidth="1"/>
    <col min="16" max="16" width="11.28515625" customWidth="1"/>
    <col min="17" max="17" width="13.28515625" customWidth="1"/>
    <col min="18" max="18" width="10" customWidth="1"/>
    <col min="19" max="19" width="13.85546875" customWidth="1"/>
    <col min="20" max="20" width="17.7109375" customWidth="1"/>
    <col min="21" max="21" width="17.85546875" customWidth="1"/>
    <col min="22" max="22" width="9.7109375" customWidth="1"/>
    <col min="23" max="23" width="9.28515625" customWidth="1"/>
    <col min="24" max="24" width="9.85546875" customWidth="1"/>
    <col min="25" max="25" width="9" customWidth="1"/>
    <col min="26" max="26" width="8.42578125" customWidth="1"/>
    <col min="27" max="27" width="9.5703125" customWidth="1"/>
    <col min="28" max="28" width="11.28515625" customWidth="1"/>
    <col min="29" max="29" width="4" customWidth="1"/>
    <col min="30" max="30" width="4.42578125" customWidth="1"/>
    <col min="31" max="31" width="6" customWidth="1"/>
    <col min="32" max="32" width="5" customWidth="1"/>
    <col min="33" max="33" width="5.85546875" customWidth="1"/>
    <col min="34" max="34" width="12.42578125" customWidth="1"/>
    <col min="35" max="35" width="5.140625" customWidth="1"/>
    <col min="36" max="36" width="5.42578125" customWidth="1"/>
    <col min="37" max="37" width="8.28515625" customWidth="1"/>
    <col min="38" max="39" width="5.28515625" customWidth="1"/>
    <col min="40" max="40" width="13" customWidth="1"/>
    <col min="41" max="41" width="12.42578125" customWidth="1"/>
    <col min="42" max="42" width="4.42578125" customWidth="1"/>
    <col min="43" max="43" width="6" customWidth="1"/>
    <col min="44" max="44" width="5.28515625" customWidth="1"/>
    <col min="45" max="45" width="4.5703125" customWidth="1"/>
    <col min="46" max="46" width="14.140625" customWidth="1"/>
    <col min="47" max="47" width="12.42578125" customWidth="1"/>
    <col min="48" max="48" width="6" customWidth="1"/>
    <col min="49" max="49" width="5.28515625" customWidth="1"/>
    <col min="50" max="50" width="14.140625" customWidth="1"/>
    <col min="51" max="51" width="11" bestFit="1" customWidth="1"/>
    <col min="52" max="52" width="14.140625" bestFit="1" customWidth="1"/>
    <col min="53" max="53" width="12.42578125" bestFit="1" customWidth="1"/>
    <col min="54" max="54" width="6" customWidth="1"/>
    <col min="55" max="55" width="5.28515625" customWidth="1"/>
    <col min="56" max="56" width="14.140625" bestFit="1" customWidth="1"/>
    <col min="57" max="57" width="12.42578125" customWidth="1"/>
    <col min="58" max="58" width="4.42578125" customWidth="1"/>
    <col min="59" max="59" width="14.140625" bestFit="1" customWidth="1"/>
    <col min="60" max="60" width="12.42578125" bestFit="1" customWidth="1"/>
    <col min="61" max="61" width="6.5703125" customWidth="1"/>
    <col min="62" max="62" width="4.42578125" customWidth="1"/>
    <col min="63" max="63" width="6" customWidth="1"/>
    <col min="64" max="64" width="5.28515625" customWidth="1"/>
    <col min="65" max="65" width="14.140625" bestFit="1" customWidth="1"/>
    <col min="66" max="66" width="12.42578125" bestFit="1" customWidth="1"/>
    <col min="67" max="67" width="4.42578125" customWidth="1"/>
    <col min="68" max="68" width="6" customWidth="1"/>
    <col min="69" max="69" width="5.28515625" customWidth="1"/>
    <col min="70" max="70" width="14.140625" bestFit="1" customWidth="1"/>
    <col min="71" max="71" width="11" customWidth="1"/>
    <col min="72" max="72" width="4.85546875" customWidth="1"/>
    <col min="73" max="73" width="6.5703125" customWidth="1"/>
    <col min="74" max="74" width="14.140625" bestFit="1" customWidth="1"/>
    <col min="75" max="75" width="12.42578125" bestFit="1" customWidth="1"/>
    <col min="76" max="76" width="5.140625" customWidth="1"/>
    <col min="77" max="77" width="4.42578125" customWidth="1"/>
    <col min="78" max="78" width="5.140625" customWidth="1"/>
    <col min="79" max="80" width="5.28515625" customWidth="1"/>
    <col min="81" max="81" width="14.140625" bestFit="1" customWidth="1"/>
    <col min="82" max="82" width="11" bestFit="1" customWidth="1"/>
    <col min="83" max="83" width="5.28515625" customWidth="1"/>
    <col min="84" max="84" width="14.140625" customWidth="1"/>
    <col min="85" max="85" width="10" bestFit="1" customWidth="1"/>
    <col min="86" max="86" width="4.42578125" customWidth="1"/>
    <col min="87" max="87" width="5.28515625" customWidth="1"/>
    <col min="88" max="88" width="13" bestFit="1" customWidth="1"/>
    <col min="89" max="89" width="11" bestFit="1" customWidth="1"/>
    <col min="90" max="90" width="5.140625" customWidth="1"/>
    <col min="91" max="91" width="4.85546875" customWidth="1"/>
    <col min="92" max="92" width="4.42578125" customWidth="1"/>
    <col min="93" max="93" width="6" customWidth="1"/>
    <col min="94" max="94" width="5.28515625" customWidth="1"/>
    <col min="95" max="95" width="14.140625" bestFit="1" customWidth="1"/>
    <col min="96" max="96" width="11" bestFit="1" customWidth="1"/>
    <col min="97" max="97" width="6" customWidth="1"/>
    <col min="98" max="99" width="5.28515625" customWidth="1"/>
    <col min="100" max="100" width="14.140625" bestFit="1" customWidth="1"/>
    <col min="101" max="101" width="11" bestFit="1" customWidth="1"/>
    <col min="102" max="103" width="5.140625" customWidth="1"/>
    <col min="104" max="104" width="4.85546875" customWidth="1"/>
    <col min="105" max="105" width="5.28515625" customWidth="1"/>
    <col min="106" max="106" width="14.140625" bestFit="1" customWidth="1"/>
    <col min="107" max="107" width="12.42578125" bestFit="1" customWidth="1"/>
    <col min="108" max="108" width="4.85546875" customWidth="1"/>
    <col min="109" max="109" width="5.140625" customWidth="1"/>
    <col min="110" max="110" width="6" customWidth="1"/>
    <col min="111" max="111" width="14.140625" bestFit="1" customWidth="1"/>
    <col min="112" max="112" width="12.42578125" bestFit="1" customWidth="1"/>
    <col min="113" max="113" width="4.85546875" customWidth="1"/>
    <col min="114" max="114" width="5.140625" customWidth="1"/>
    <col min="116" max="116" width="5.140625" customWidth="1"/>
    <col min="117" max="117" width="14.140625" bestFit="1" customWidth="1"/>
    <col min="118" max="118" width="11" bestFit="1" customWidth="1"/>
    <col min="119" max="119" width="6" customWidth="1"/>
    <col min="120" max="120" width="4.42578125" customWidth="1"/>
    <col min="121" max="121" width="14.140625" bestFit="1" customWidth="1"/>
    <col min="122" max="122" width="12.42578125" bestFit="1" customWidth="1"/>
    <col min="123" max="124" width="4.85546875" customWidth="1"/>
    <col min="125" max="125" width="4.42578125" customWidth="1"/>
    <col min="126" max="126" width="5.28515625" customWidth="1"/>
    <col min="127" max="127" width="14.140625" bestFit="1" customWidth="1"/>
    <col min="128" max="128" width="11" bestFit="1" customWidth="1"/>
    <col min="129" max="129" width="4" customWidth="1"/>
    <col min="130" max="130" width="6" customWidth="1"/>
    <col min="131" max="131" width="5.28515625" customWidth="1"/>
    <col min="132" max="132" width="14.140625" bestFit="1" customWidth="1"/>
    <col min="133" max="133" width="11" bestFit="1" customWidth="1"/>
    <col min="134" max="134" width="4" customWidth="1"/>
    <col min="135" max="135" width="4.42578125" customWidth="1"/>
    <col min="136" max="136" width="6" customWidth="1"/>
    <col min="137" max="137" width="5.28515625" customWidth="1"/>
    <col min="138" max="138" width="4.5703125" customWidth="1"/>
    <col min="139" max="139" width="14.140625" bestFit="1" customWidth="1"/>
    <col min="140" max="140" width="11" bestFit="1" customWidth="1"/>
    <col min="141" max="141" width="5.140625" customWidth="1"/>
    <col min="142" max="142" width="6" customWidth="1"/>
    <col min="143" max="143" width="5.28515625" customWidth="1"/>
    <col min="144" max="144" width="14.140625" bestFit="1" customWidth="1"/>
    <col min="145" max="145" width="12.42578125" bestFit="1" customWidth="1"/>
    <col min="146" max="146" width="4.42578125" customWidth="1"/>
    <col min="147" max="147" width="5" customWidth="1"/>
    <col min="148" max="148" width="5.28515625" customWidth="1"/>
    <col min="149" max="149" width="13" bestFit="1" customWidth="1"/>
    <col min="150" max="150" width="12.42578125" bestFit="1" customWidth="1"/>
    <col min="151" max="151" width="4.85546875" customWidth="1"/>
    <col min="152" max="153" width="5.140625" customWidth="1"/>
    <col min="154" max="154" width="6" customWidth="1"/>
    <col min="155" max="155" width="5.28515625" customWidth="1"/>
    <col min="156" max="156" width="14.140625" bestFit="1" customWidth="1"/>
    <col min="157" max="157" width="11" bestFit="1" customWidth="1"/>
    <col min="158" max="158" width="5.140625" customWidth="1"/>
    <col min="159" max="159" width="6.5703125" customWidth="1"/>
    <col min="160" max="160" width="6" customWidth="1"/>
    <col min="161" max="161" width="5.28515625" customWidth="1"/>
    <col min="162" max="162" width="14.140625" bestFit="1" customWidth="1"/>
    <col min="163" max="163" width="11" bestFit="1" customWidth="1"/>
    <col min="164" max="164" width="4" customWidth="1"/>
    <col min="165" max="165" width="6" customWidth="1"/>
    <col min="166" max="166" width="14.140625" bestFit="1" customWidth="1"/>
    <col min="167" max="167" width="11" bestFit="1" customWidth="1"/>
    <col min="168" max="168" width="6.5703125" customWidth="1"/>
    <col min="169" max="169" width="4" customWidth="1"/>
    <col min="170" max="170" width="4.42578125" customWidth="1"/>
    <col min="171" max="171" width="6" customWidth="1"/>
    <col min="172" max="172" width="5.28515625" customWidth="1"/>
    <col min="173" max="173" width="14.140625" bestFit="1" customWidth="1"/>
    <col min="174" max="174" width="12.42578125" bestFit="1" customWidth="1"/>
    <col min="175" max="176" width="5.140625" customWidth="1"/>
    <col min="177" max="177" width="5.28515625" customWidth="1"/>
    <col min="178" max="178" width="14.140625" bestFit="1" customWidth="1"/>
    <col min="179" max="179" width="12.42578125" bestFit="1" customWidth="1"/>
    <col min="180" max="180" width="6" customWidth="1"/>
    <col min="181" max="181" width="5.28515625" customWidth="1"/>
    <col min="182" max="182" width="14.140625" bestFit="1" customWidth="1"/>
    <col min="183" max="183" width="12.42578125" bestFit="1" customWidth="1"/>
    <col min="184" max="184" width="5.140625" customWidth="1"/>
    <col min="185" max="185" width="6.5703125" customWidth="1"/>
    <col min="186" max="186" width="4" customWidth="1"/>
    <col min="187" max="187" width="5" customWidth="1"/>
    <col min="188" max="188" width="5.28515625" customWidth="1"/>
    <col min="189" max="189" width="14.140625" bestFit="1" customWidth="1"/>
    <col min="190" max="190" width="12.42578125" bestFit="1" customWidth="1"/>
    <col min="191" max="191" width="5.140625" customWidth="1"/>
    <col min="192" max="192" width="6.5703125" customWidth="1"/>
    <col min="193" max="193" width="4" customWidth="1"/>
    <col min="194" max="194" width="6" customWidth="1"/>
    <col min="195" max="195" width="5.28515625" customWidth="1"/>
    <col min="196" max="196" width="14.140625" bestFit="1" customWidth="1"/>
    <col min="197" max="197" width="11" bestFit="1" customWidth="1"/>
    <col min="198" max="198" width="6.5703125" customWidth="1"/>
    <col min="199" max="199" width="4" customWidth="1"/>
    <col min="200" max="200" width="5.28515625" customWidth="1"/>
    <col min="201" max="201" width="14.140625" bestFit="1" customWidth="1"/>
    <col min="202" max="202" width="11" bestFit="1" customWidth="1"/>
    <col min="203" max="203" width="6" customWidth="1"/>
    <col min="204" max="204" width="5.140625" customWidth="1"/>
    <col min="205" max="205" width="14.140625" bestFit="1" customWidth="1"/>
    <col min="206" max="206" width="12.42578125" bestFit="1" customWidth="1"/>
    <col min="207" max="207" width="5.28515625" customWidth="1"/>
    <col min="208" max="208" width="13" bestFit="1" customWidth="1"/>
    <col min="209" max="209" width="12.42578125" bestFit="1" customWidth="1"/>
    <col min="210" max="210" width="4" customWidth="1"/>
    <col min="211" max="211" width="6" customWidth="1"/>
    <col min="212" max="212" width="5.28515625" customWidth="1"/>
    <col min="213" max="213" width="14.140625" bestFit="1" customWidth="1"/>
    <col min="214" max="214" width="12.42578125" bestFit="1" customWidth="1"/>
    <col min="215" max="215" width="4" customWidth="1"/>
    <col min="216" max="216" width="14.140625" bestFit="1" customWidth="1"/>
    <col min="217" max="217" width="11" bestFit="1" customWidth="1"/>
    <col min="218" max="218" width="5.140625" customWidth="1"/>
    <col min="219" max="219" width="6.5703125" customWidth="1"/>
    <col min="220" max="220" width="4" customWidth="1"/>
    <col min="221" max="221" width="6" customWidth="1"/>
    <col min="222" max="222" width="14.140625" bestFit="1" customWidth="1"/>
    <col min="223" max="223" width="11" bestFit="1" customWidth="1"/>
    <col min="224" max="224" width="6" customWidth="1"/>
    <col min="225" max="225" width="5.140625" customWidth="1"/>
    <col min="226" max="226" width="5.28515625" customWidth="1"/>
    <col min="227" max="227" width="14.140625" bestFit="1" customWidth="1"/>
    <col min="228" max="228" width="12.42578125" bestFit="1" customWidth="1"/>
    <col min="229" max="229" width="4" customWidth="1"/>
    <col min="230" max="230" width="6" customWidth="1"/>
    <col min="231" max="231" width="5.28515625" customWidth="1"/>
    <col min="232" max="232" width="14.140625" bestFit="1" customWidth="1"/>
    <col min="233" max="233" width="12.42578125" bestFit="1" customWidth="1"/>
    <col min="234" max="234" width="5.140625" customWidth="1"/>
    <col min="235" max="235" width="4.85546875" customWidth="1"/>
    <col min="236" max="236" width="6" customWidth="1"/>
    <col min="237" max="237" width="5.140625" customWidth="1"/>
    <col min="238" max="238" width="5.28515625" customWidth="1"/>
    <col min="239" max="239" width="14.140625" bestFit="1" customWidth="1"/>
    <col min="240" max="240" width="11" bestFit="1" customWidth="1"/>
    <col min="241" max="241" width="5.140625" customWidth="1"/>
    <col min="242" max="242" width="6.5703125" customWidth="1"/>
    <col min="243" max="243" width="6" customWidth="1"/>
    <col min="244" max="244" width="5.140625" customWidth="1"/>
    <col min="245" max="245" width="5.28515625" customWidth="1"/>
    <col min="246" max="246" width="14.140625" bestFit="1" customWidth="1"/>
    <col min="247" max="247" width="11" bestFit="1" customWidth="1"/>
    <col min="248" max="248" width="14.140625" bestFit="1" customWidth="1"/>
    <col min="249" max="249" width="11" bestFit="1" customWidth="1"/>
    <col min="250" max="250" width="6" customWidth="1"/>
    <col min="251" max="251" width="5.28515625" customWidth="1"/>
    <col min="252" max="252" width="14.140625" bestFit="1" customWidth="1"/>
    <col min="253" max="253" width="10" bestFit="1" customWidth="1"/>
    <col min="254" max="254" width="6" customWidth="1"/>
    <col min="255" max="255" width="5.28515625" customWidth="1"/>
    <col min="256" max="256" width="4.5703125" customWidth="1"/>
    <col min="257" max="257" width="13" bestFit="1" customWidth="1"/>
    <col min="258" max="258" width="11" bestFit="1" customWidth="1"/>
    <col min="259" max="259" width="4" customWidth="1"/>
    <col min="260" max="260" width="5" customWidth="1"/>
    <col min="261" max="261" width="14.140625" bestFit="1" customWidth="1"/>
    <col min="262" max="262" width="11" bestFit="1" customWidth="1"/>
    <col min="263" max="263" width="6" customWidth="1"/>
    <col min="264" max="264" width="14.140625" bestFit="1" customWidth="1"/>
    <col min="265" max="265" width="12.42578125" bestFit="1" customWidth="1"/>
    <col min="266" max="266" width="4" customWidth="1"/>
    <col min="267" max="267" width="6" customWidth="1"/>
    <col min="268" max="268" width="5" customWidth="1"/>
    <col min="269" max="269" width="14.140625" bestFit="1" customWidth="1"/>
    <col min="270" max="270" width="10" bestFit="1" customWidth="1"/>
    <col min="271" max="272" width="5.28515625" customWidth="1"/>
    <col min="273" max="273" width="4.5703125" customWidth="1"/>
    <col min="274" max="274" width="13" bestFit="1" customWidth="1"/>
    <col min="275" max="275" width="10" bestFit="1" customWidth="1"/>
    <col min="276" max="276" width="5.28515625" customWidth="1"/>
    <col min="277" max="277" width="13" bestFit="1" customWidth="1"/>
    <col min="278" max="278" width="10" bestFit="1" customWidth="1"/>
    <col min="279" max="280" width="5.28515625" customWidth="1"/>
    <col min="281" max="281" width="13" bestFit="1" customWidth="1"/>
    <col min="282" max="282" width="12.42578125" bestFit="1" customWidth="1"/>
    <col min="283" max="283" width="4.28515625" customWidth="1"/>
    <col min="284" max="284" width="4.42578125" customWidth="1"/>
    <col min="285" max="285" width="5.28515625" customWidth="1"/>
    <col min="286" max="286" width="13" bestFit="1" customWidth="1"/>
    <col min="287" max="287" width="12.42578125" bestFit="1" customWidth="1"/>
    <col min="288" max="288" width="6" customWidth="1"/>
    <col min="289" max="289" width="13" bestFit="1" customWidth="1"/>
    <col min="290" max="290" width="11" bestFit="1" customWidth="1"/>
    <col min="291" max="291" width="6" customWidth="1"/>
    <col min="292" max="292" width="14.140625" bestFit="1" customWidth="1"/>
    <col min="293" max="293" width="12.42578125" bestFit="1" customWidth="1"/>
    <col min="294" max="294" width="5.28515625" customWidth="1"/>
    <col min="295" max="295" width="14.140625" bestFit="1" customWidth="1"/>
    <col min="296" max="296" width="12.42578125" bestFit="1" customWidth="1"/>
    <col min="297" max="297" width="6" customWidth="1"/>
    <col min="298" max="298" width="5.28515625" customWidth="1"/>
    <col min="299" max="299" width="14.140625" bestFit="1" customWidth="1"/>
    <col min="300" max="300" width="12.42578125" bestFit="1" customWidth="1"/>
    <col min="301" max="301" width="6.5703125" customWidth="1"/>
    <col min="302" max="302" width="4" customWidth="1"/>
    <col min="303" max="303" width="14.140625" bestFit="1" customWidth="1"/>
    <col min="304" max="304" width="12.42578125" bestFit="1" customWidth="1"/>
    <col min="305" max="305" width="4" customWidth="1"/>
    <col min="306" max="306" width="6" customWidth="1"/>
    <col min="307" max="307" width="5.140625" customWidth="1"/>
    <col min="308" max="308" width="14.140625" bestFit="1" customWidth="1"/>
    <col min="309" max="309" width="12.42578125" bestFit="1" customWidth="1"/>
    <col min="310" max="310" width="6" customWidth="1"/>
    <col min="311" max="311" width="14.140625" bestFit="1" customWidth="1"/>
    <col min="312" max="312" width="11" bestFit="1" customWidth="1"/>
    <col min="313" max="313" width="6" customWidth="1"/>
    <col min="314" max="314" width="14.140625" bestFit="1" customWidth="1"/>
    <col min="315" max="315" width="12.42578125" bestFit="1" customWidth="1"/>
    <col min="316" max="316" width="4.85546875" customWidth="1"/>
    <col min="317" max="317" width="4" customWidth="1"/>
    <col min="318" max="318" width="6" customWidth="1"/>
    <col min="319" max="319" width="13" bestFit="1" customWidth="1"/>
    <col min="320" max="320" width="10" bestFit="1" customWidth="1"/>
    <col min="321" max="321" width="4.85546875" customWidth="1"/>
    <col min="322" max="322" width="4" customWidth="1"/>
    <col min="323" max="323" width="6" customWidth="1"/>
    <col min="324" max="324" width="13" bestFit="1" customWidth="1"/>
    <col min="325" max="325" width="10" bestFit="1" customWidth="1"/>
    <col min="326" max="326" width="4" customWidth="1"/>
    <col min="327" max="327" width="6" customWidth="1"/>
    <col min="328" max="328" width="13" bestFit="1" customWidth="1"/>
    <col min="329" max="329" width="12.42578125" bestFit="1" customWidth="1"/>
    <col min="330" max="330" width="5.140625" customWidth="1"/>
    <col min="331" max="331" width="4" customWidth="1"/>
    <col min="332" max="332" width="6" customWidth="1"/>
    <col min="333" max="333" width="13" bestFit="1" customWidth="1"/>
    <col min="334" max="334" width="12.42578125" bestFit="1" customWidth="1"/>
    <col min="335" max="335" width="4.85546875" customWidth="1"/>
    <col min="336" max="336" width="6.5703125" customWidth="1"/>
    <col min="337" max="337" width="6" customWidth="1"/>
    <col min="338" max="338" width="13" bestFit="1" customWidth="1"/>
    <col min="339" max="339" width="10" bestFit="1" customWidth="1"/>
    <col min="340" max="340" width="6" customWidth="1"/>
    <col min="341" max="341" width="13" bestFit="1" customWidth="1"/>
    <col min="342" max="342" width="10" bestFit="1" customWidth="1"/>
    <col min="343" max="343" width="13" bestFit="1" customWidth="1"/>
    <col min="344" max="344" width="10" bestFit="1" customWidth="1"/>
    <col min="345" max="345" width="6" customWidth="1"/>
    <col min="346" max="346" width="5.28515625" customWidth="1"/>
    <col min="347" max="347" width="13" bestFit="1" customWidth="1"/>
    <col min="348" max="348" width="11.28515625" bestFit="1" customWidth="1"/>
  </cols>
  <sheetData>
    <row r="1" spans="1:20" x14ac:dyDescent="0.25">
      <c r="A1" s="26" t="s">
        <v>2</v>
      </c>
      <c r="B1" s="62" t="s">
        <v>99</v>
      </c>
      <c r="I1" s="26" t="s">
        <v>2</v>
      </c>
      <c r="J1" s="62" t="s">
        <v>99</v>
      </c>
      <c r="Q1" s="26" t="s">
        <v>2</v>
      </c>
      <c r="R1" s="62" t="s">
        <v>99</v>
      </c>
    </row>
    <row r="2" spans="1:20" x14ac:dyDescent="0.25">
      <c r="A2" s="26" t="s">
        <v>3</v>
      </c>
      <c r="B2" s="62" t="s">
        <v>99</v>
      </c>
    </row>
    <row r="3" spans="1:20" x14ac:dyDescent="0.25">
      <c r="A3" s="26" t="s">
        <v>1</v>
      </c>
      <c r="B3" s="62" t="s">
        <v>99</v>
      </c>
      <c r="I3" s="26" t="s">
        <v>190</v>
      </c>
      <c r="K3" s="26" t="s">
        <v>189</v>
      </c>
      <c r="S3" s="26" t="s">
        <v>193</v>
      </c>
    </row>
    <row r="4" spans="1:20" x14ac:dyDescent="0.25">
      <c r="I4" s="26" t="s">
        <v>101</v>
      </c>
      <c r="J4" s="26" t="s">
        <v>184</v>
      </c>
      <c r="K4" s="62" t="s">
        <v>172</v>
      </c>
      <c r="L4" s="62" t="s">
        <v>104</v>
      </c>
      <c r="M4" s="62" t="s">
        <v>191</v>
      </c>
      <c r="N4" s="62" t="s">
        <v>461</v>
      </c>
      <c r="O4" s="62" t="s">
        <v>2084</v>
      </c>
      <c r="P4" s="62" t="s">
        <v>100</v>
      </c>
      <c r="Q4" s="26" t="s">
        <v>101</v>
      </c>
      <c r="R4" s="26" t="s">
        <v>184</v>
      </c>
      <c r="S4" s="62" t="s">
        <v>323</v>
      </c>
      <c r="T4" s="62" t="s">
        <v>322</v>
      </c>
    </row>
    <row r="5" spans="1:20" x14ac:dyDescent="0.25">
      <c r="A5" s="26" t="s">
        <v>190</v>
      </c>
      <c r="C5" s="26" t="s">
        <v>189</v>
      </c>
      <c r="I5" s="62" t="s">
        <v>83</v>
      </c>
      <c r="K5" s="27">
        <v>75</v>
      </c>
      <c r="L5" s="27">
        <v>91</v>
      </c>
      <c r="M5" s="27">
        <v>197</v>
      </c>
      <c r="N5" s="27"/>
      <c r="O5" s="27">
        <v>5</v>
      </c>
      <c r="P5" s="27">
        <v>368</v>
      </c>
      <c r="Q5" s="62" t="s">
        <v>83</v>
      </c>
      <c r="R5" s="62" t="s">
        <v>811</v>
      </c>
      <c r="S5" s="27">
        <v>25</v>
      </c>
      <c r="T5" s="27">
        <v>4</v>
      </c>
    </row>
    <row r="6" spans="1:20" x14ac:dyDescent="0.25">
      <c r="A6" s="26" t="s">
        <v>101</v>
      </c>
      <c r="B6" s="26" t="s">
        <v>184</v>
      </c>
      <c r="C6" s="62" t="s">
        <v>191</v>
      </c>
      <c r="D6" s="62" t="s">
        <v>172</v>
      </c>
      <c r="E6" s="62" t="s">
        <v>104</v>
      </c>
      <c r="F6" s="62" t="s">
        <v>2084</v>
      </c>
      <c r="G6" s="62" t="s">
        <v>100</v>
      </c>
      <c r="I6" s="62" t="s">
        <v>79</v>
      </c>
      <c r="K6" s="27">
        <v>235</v>
      </c>
      <c r="L6" s="27">
        <v>882</v>
      </c>
      <c r="M6" s="27">
        <v>268</v>
      </c>
      <c r="N6" s="27"/>
      <c r="O6" s="27">
        <v>1</v>
      </c>
      <c r="P6" s="27">
        <v>1386</v>
      </c>
      <c r="R6" s="62" t="s">
        <v>812</v>
      </c>
      <c r="S6" s="27">
        <v>23</v>
      </c>
      <c r="T6" s="27">
        <v>6</v>
      </c>
    </row>
    <row r="7" spans="1:20" x14ac:dyDescent="0.25">
      <c r="A7" s="62" t="s">
        <v>83</v>
      </c>
      <c r="B7" s="62" t="s">
        <v>811</v>
      </c>
      <c r="C7" s="27">
        <v>14</v>
      </c>
      <c r="D7" s="27">
        <v>4</v>
      </c>
      <c r="E7" s="27">
        <v>7</v>
      </c>
      <c r="F7" s="27"/>
      <c r="G7" s="27">
        <v>25</v>
      </c>
      <c r="I7" s="62" t="s">
        <v>100</v>
      </c>
      <c r="K7" s="27">
        <v>310</v>
      </c>
      <c r="L7" s="27">
        <v>973</v>
      </c>
      <c r="M7" s="27">
        <v>465</v>
      </c>
      <c r="N7" s="27"/>
      <c r="O7" s="27">
        <v>6</v>
      </c>
      <c r="P7" s="27">
        <v>1754</v>
      </c>
      <c r="R7" s="62" t="s">
        <v>906</v>
      </c>
      <c r="S7" s="27">
        <v>13</v>
      </c>
      <c r="T7" s="27">
        <v>2</v>
      </c>
    </row>
    <row r="8" spans="1:20" x14ac:dyDescent="0.25">
      <c r="B8" s="62" t="s">
        <v>812</v>
      </c>
      <c r="C8" s="27">
        <v>9</v>
      </c>
      <c r="D8" s="27">
        <v>6</v>
      </c>
      <c r="E8" s="27">
        <v>8</v>
      </c>
      <c r="F8" s="27"/>
      <c r="G8" s="27">
        <v>23</v>
      </c>
      <c r="R8" s="62" t="s">
        <v>1328</v>
      </c>
      <c r="S8" s="27">
        <v>25</v>
      </c>
      <c r="T8" s="27">
        <v>1</v>
      </c>
    </row>
    <row r="9" spans="1:20" x14ac:dyDescent="0.25">
      <c r="B9" s="62" t="s">
        <v>906</v>
      </c>
      <c r="C9" s="27">
        <v>9</v>
      </c>
      <c r="D9" s="27">
        <v>2</v>
      </c>
      <c r="E9" s="27">
        <v>2</v>
      </c>
      <c r="F9" s="27"/>
      <c r="G9" s="27">
        <v>13</v>
      </c>
      <c r="R9" s="62" t="s">
        <v>1329</v>
      </c>
      <c r="S9" s="27">
        <v>19</v>
      </c>
      <c r="T9" s="27">
        <v>3</v>
      </c>
    </row>
    <row r="10" spans="1:20" x14ac:dyDescent="0.25">
      <c r="B10" s="62" t="s">
        <v>1328</v>
      </c>
      <c r="C10" s="27">
        <v>20</v>
      </c>
      <c r="D10" s="27">
        <v>1</v>
      </c>
      <c r="E10" s="27">
        <v>4</v>
      </c>
      <c r="F10" s="27"/>
      <c r="G10" s="27">
        <v>25</v>
      </c>
      <c r="R10" s="62" t="s">
        <v>1332</v>
      </c>
      <c r="S10" s="27">
        <v>8</v>
      </c>
      <c r="T10" s="27">
        <v>3</v>
      </c>
    </row>
    <row r="11" spans="1:20" x14ac:dyDescent="0.25">
      <c r="B11" s="62" t="s">
        <v>1329</v>
      </c>
      <c r="C11" s="27">
        <v>11</v>
      </c>
      <c r="D11" s="27">
        <v>3</v>
      </c>
      <c r="E11" s="27">
        <v>5</v>
      </c>
      <c r="F11" s="27"/>
      <c r="G11" s="27">
        <v>19</v>
      </c>
      <c r="R11" s="62" t="s">
        <v>1547</v>
      </c>
      <c r="S11" s="27">
        <v>13</v>
      </c>
      <c r="T11" s="27">
        <v>4</v>
      </c>
    </row>
    <row r="12" spans="1:20" x14ac:dyDescent="0.25">
      <c r="B12" s="62" t="s">
        <v>1332</v>
      </c>
      <c r="C12" s="27">
        <v>3</v>
      </c>
      <c r="D12" s="27">
        <v>3</v>
      </c>
      <c r="E12" s="27">
        <v>2</v>
      </c>
      <c r="F12" s="27"/>
      <c r="G12" s="27">
        <v>8</v>
      </c>
      <c r="R12" s="62" t="s">
        <v>1710</v>
      </c>
      <c r="S12" s="27">
        <v>13</v>
      </c>
      <c r="T12" s="27">
        <v>1</v>
      </c>
    </row>
    <row r="13" spans="1:20" x14ac:dyDescent="0.25">
      <c r="B13" s="62" t="s">
        <v>1547</v>
      </c>
      <c r="C13" s="27">
        <v>7</v>
      </c>
      <c r="D13" s="27">
        <v>4</v>
      </c>
      <c r="E13" s="27">
        <v>2</v>
      </c>
      <c r="F13" s="27"/>
      <c r="G13" s="27">
        <v>13</v>
      </c>
      <c r="R13" s="62" t="s">
        <v>1711</v>
      </c>
      <c r="S13" s="27">
        <v>18</v>
      </c>
      <c r="T13" s="27">
        <v>5</v>
      </c>
    </row>
    <row r="14" spans="1:20" x14ac:dyDescent="0.25">
      <c r="B14" s="62" t="s">
        <v>1710</v>
      </c>
      <c r="C14" s="27">
        <v>8</v>
      </c>
      <c r="D14" s="27">
        <v>1</v>
      </c>
      <c r="E14" s="27">
        <v>4</v>
      </c>
      <c r="F14" s="27"/>
      <c r="G14" s="27">
        <v>13</v>
      </c>
      <c r="R14" s="62" t="s">
        <v>1929</v>
      </c>
      <c r="S14" s="27">
        <v>20</v>
      </c>
      <c r="T14" s="27">
        <v>12</v>
      </c>
    </row>
    <row r="15" spans="1:20" x14ac:dyDescent="0.25">
      <c r="B15" s="62" t="s">
        <v>1711</v>
      </c>
      <c r="C15" s="27">
        <v>7</v>
      </c>
      <c r="D15" s="27">
        <v>5</v>
      </c>
      <c r="E15" s="27">
        <v>6</v>
      </c>
      <c r="F15" s="27"/>
      <c r="G15" s="27">
        <v>18</v>
      </c>
      <c r="R15" s="62" t="s">
        <v>2028</v>
      </c>
      <c r="S15" s="27">
        <v>30</v>
      </c>
      <c r="T15" s="27">
        <v>2</v>
      </c>
    </row>
    <row r="16" spans="1:20" x14ac:dyDescent="0.25">
      <c r="B16" s="62" t="s">
        <v>1929</v>
      </c>
      <c r="C16" s="27">
        <v>8</v>
      </c>
      <c r="D16" s="27">
        <v>12</v>
      </c>
      <c r="E16" s="27"/>
      <c r="F16" s="27"/>
      <c r="G16" s="27">
        <v>20</v>
      </c>
      <c r="R16" s="62" t="s">
        <v>2195</v>
      </c>
      <c r="S16" s="27">
        <v>32</v>
      </c>
      <c r="T16" s="27">
        <v>6</v>
      </c>
    </row>
    <row r="17" spans="1:20" x14ac:dyDescent="0.25">
      <c r="B17" s="62" t="s">
        <v>2028</v>
      </c>
      <c r="C17" s="27">
        <v>19</v>
      </c>
      <c r="D17" s="27">
        <v>2</v>
      </c>
      <c r="E17" s="27">
        <v>8</v>
      </c>
      <c r="F17" s="27">
        <v>1</v>
      </c>
      <c r="G17" s="27">
        <v>30</v>
      </c>
      <c r="R17" s="62" t="s">
        <v>2196</v>
      </c>
      <c r="S17" s="27">
        <v>17</v>
      </c>
      <c r="T17" s="27">
        <v>5</v>
      </c>
    </row>
    <row r="18" spans="1:20" x14ac:dyDescent="0.25">
      <c r="B18" s="62" t="s">
        <v>2195</v>
      </c>
      <c r="C18" s="27">
        <v>18</v>
      </c>
      <c r="D18" s="27">
        <v>6</v>
      </c>
      <c r="E18" s="27">
        <v>8</v>
      </c>
      <c r="F18" s="27"/>
      <c r="G18" s="27">
        <v>32</v>
      </c>
      <c r="I18" s="26" t="s">
        <v>2</v>
      </c>
      <c r="J18" s="62" t="s">
        <v>99</v>
      </c>
      <c r="R18" s="62" t="s">
        <v>2326</v>
      </c>
      <c r="S18" s="27">
        <v>12</v>
      </c>
      <c r="T18" s="27">
        <v>1</v>
      </c>
    </row>
    <row r="19" spans="1:20" x14ac:dyDescent="0.25">
      <c r="B19" s="62" t="s">
        <v>2196</v>
      </c>
      <c r="C19" s="27">
        <v>7</v>
      </c>
      <c r="D19" s="27">
        <v>5</v>
      </c>
      <c r="E19" s="27">
        <v>5</v>
      </c>
      <c r="F19" s="27"/>
      <c r="G19" s="27">
        <v>17</v>
      </c>
      <c r="I19" s="26" t="s">
        <v>3</v>
      </c>
      <c r="J19" s="62" t="s">
        <v>99</v>
      </c>
      <c r="R19" s="62" t="s">
        <v>2327</v>
      </c>
      <c r="S19" s="27">
        <v>11</v>
      </c>
      <c r="T19" s="27">
        <v>2</v>
      </c>
    </row>
    <row r="20" spans="1:20" x14ac:dyDescent="0.25">
      <c r="B20" s="62" t="s">
        <v>2326</v>
      </c>
      <c r="C20" s="27">
        <v>8</v>
      </c>
      <c r="D20" s="27">
        <v>1</v>
      </c>
      <c r="E20" s="27">
        <v>3</v>
      </c>
      <c r="F20" s="27"/>
      <c r="G20" s="27">
        <v>12</v>
      </c>
      <c r="I20" s="26" t="s">
        <v>1</v>
      </c>
      <c r="J20" s="62" t="s">
        <v>99</v>
      </c>
      <c r="R20" s="62" t="s">
        <v>2418</v>
      </c>
      <c r="S20" s="27">
        <v>23</v>
      </c>
      <c r="T20" s="27">
        <v>5</v>
      </c>
    </row>
    <row r="21" spans="1:20" x14ac:dyDescent="0.25">
      <c r="B21" s="62" t="s">
        <v>2327</v>
      </c>
      <c r="C21" s="27">
        <v>4</v>
      </c>
      <c r="D21" s="27">
        <v>2</v>
      </c>
      <c r="E21" s="27">
        <v>5</v>
      </c>
      <c r="F21" s="27"/>
      <c r="G21" s="27">
        <v>11</v>
      </c>
      <c r="R21" s="62" t="s">
        <v>2686</v>
      </c>
      <c r="S21" s="27">
        <v>18</v>
      </c>
      <c r="T21" s="27">
        <v>4</v>
      </c>
    </row>
    <row r="22" spans="1:20" x14ac:dyDescent="0.25">
      <c r="B22" s="62" t="s">
        <v>2418</v>
      </c>
      <c r="C22" s="27">
        <v>13</v>
      </c>
      <c r="D22" s="27">
        <v>5</v>
      </c>
      <c r="E22" s="27">
        <v>5</v>
      </c>
      <c r="F22" s="27"/>
      <c r="G22" s="27">
        <v>23</v>
      </c>
      <c r="I22" s="26" t="s">
        <v>192</v>
      </c>
      <c r="K22" s="26" t="s">
        <v>189</v>
      </c>
      <c r="R22" s="62" t="s">
        <v>2687</v>
      </c>
      <c r="S22" s="27">
        <v>21</v>
      </c>
      <c r="T22" s="27">
        <v>5</v>
      </c>
    </row>
    <row r="23" spans="1:20" x14ac:dyDescent="0.25">
      <c r="B23" s="62" t="s">
        <v>2686</v>
      </c>
      <c r="C23" s="27">
        <v>11</v>
      </c>
      <c r="D23" s="27">
        <v>4</v>
      </c>
      <c r="E23" s="27">
        <v>3</v>
      </c>
      <c r="F23" s="27"/>
      <c r="G23" s="27">
        <v>18</v>
      </c>
      <c r="I23" s="26" t="s">
        <v>101</v>
      </c>
      <c r="J23" s="26" t="s">
        <v>184</v>
      </c>
      <c r="K23" s="62" t="s">
        <v>1615</v>
      </c>
      <c r="L23" s="62" t="s">
        <v>94</v>
      </c>
      <c r="M23" s="62" t="s">
        <v>88</v>
      </c>
      <c r="N23" s="62" t="s">
        <v>100</v>
      </c>
      <c r="R23" s="62" t="s">
        <v>2688</v>
      </c>
      <c r="S23" s="27">
        <v>25</v>
      </c>
      <c r="T23" s="27">
        <v>4</v>
      </c>
    </row>
    <row r="24" spans="1:20" x14ac:dyDescent="0.25">
      <c r="B24" s="62" t="s">
        <v>2687</v>
      </c>
      <c r="C24" s="27">
        <v>6</v>
      </c>
      <c r="D24" s="27">
        <v>5</v>
      </c>
      <c r="E24" s="27">
        <v>9</v>
      </c>
      <c r="F24" s="27">
        <v>1</v>
      </c>
      <c r="G24" s="27">
        <v>21</v>
      </c>
      <c r="I24" s="62" t="s">
        <v>83</v>
      </c>
      <c r="K24" s="27"/>
      <c r="L24" s="27">
        <v>3</v>
      </c>
      <c r="M24" s="27">
        <v>70</v>
      </c>
      <c r="N24" s="27">
        <v>73</v>
      </c>
      <c r="R24" s="62" t="s">
        <v>2793</v>
      </c>
      <c r="S24" s="27">
        <v>2</v>
      </c>
      <c r="T24" s="27"/>
    </row>
    <row r="25" spans="1:20" x14ac:dyDescent="0.25">
      <c r="B25" s="62" t="s">
        <v>2688</v>
      </c>
      <c r="C25" s="27">
        <v>13</v>
      </c>
      <c r="D25" s="27">
        <v>4</v>
      </c>
      <c r="E25" s="27">
        <v>5</v>
      </c>
      <c r="F25" s="27">
        <v>3</v>
      </c>
      <c r="G25" s="27">
        <v>25</v>
      </c>
      <c r="I25" s="62" t="s">
        <v>79</v>
      </c>
      <c r="K25" s="27">
        <v>1</v>
      </c>
      <c r="L25" s="27">
        <v>13</v>
      </c>
      <c r="M25" s="27">
        <v>220</v>
      </c>
      <c r="N25" s="27">
        <v>234</v>
      </c>
      <c r="Q25" s="62" t="s">
        <v>179</v>
      </c>
      <c r="R25" s="62"/>
      <c r="S25" s="27">
        <v>368</v>
      </c>
      <c r="T25" s="27">
        <v>75</v>
      </c>
    </row>
    <row r="26" spans="1:20" x14ac:dyDescent="0.25">
      <c r="B26" s="62" t="s">
        <v>2793</v>
      </c>
      <c r="C26" s="27">
        <v>2</v>
      </c>
      <c r="D26" s="27"/>
      <c r="E26" s="27"/>
      <c r="F26" s="27"/>
      <c r="G26" s="27">
        <v>2</v>
      </c>
      <c r="I26" s="62" t="s">
        <v>100</v>
      </c>
      <c r="K26" s="27">
        <v>1</v>
      </c>
      <c r="L26" s="27">
        <v>16</v>
      </c>
      <c r="M26" s="27">
        <v>290</v>
      </c>
      <c r="N26" s="27">
        <v>307</v>
      </c>
      <c r="Q26" s="62" t="s">
        <v>79</v>
      </c>
      <c r="R26" s="62" t="s">
        <v>811</v>
      </c>
      <c r="S26" s="27">
        <v>126</v>
      </c>
      <c r="T26" s="27">
        <v>25</v>
      </c>
    </row>
    <row r="27" spans="1:20" x14ac:dyDescent="0.25">
      <c r="A27" s="62" t="s">
        <v>179</v>
      </c>
      <c r="B27" s="62"/>
      <c r="C27" s="27">
        <v>197</v>
      </c>
      <c r="D27" s="27">
        <v>75</v>
      </c>
      <c r="E27" s="27">
        <v>91</v>
      </c>
      <c r="F27" s="27">
        <v>5</v>
      </c>
      <c r="G27" s="27">
        <v>368</v>
      </c>
      <c r="R27" s="62" t="s">
        <v>812</v>
      </c>
      <c r="S27" s="27">
        <v>66</v>
      </c>
      <c r="T27" s="27">
        <v>13</v>
      </c>
    </row>
    <row r="28" spans="1:20" x14ac:dyDescent="0.25">
      <c r="A28" s="62" t="s">
        <v>79</v>
      </c>
      <c r="B28" s="62" t="s">
        <v>811</v>
      </c>
      <c r="C28" s="27">
        <v>17</v>
      </c>
      <c r="D28" s="27">
        <v>25</v>
      </c>
      <c r="E28" s="27">
        <v>84</v>
      </c>
      <c r="F28" s="27"/>
      <c r="G28" s="27">
        <v>126</v>
      </c>
      <c r="R28" s="62" t="s">
        <v>906</v>
      </c>
      <c r="S28" s="27">
        <v>96</v>
      </c>
      <c r="T28" s="27">
        <v>29</v>
      </c>
    </row>
    <row r="29" spans="1:20" x14ac:dyDescent="0.25">
      <c r="B29" s="62" t="s">
        <v>812</v>
      </c>
      <c r="C29" s="27">
        <v>7</v>
      </c>
      <c r="D29" s="27">
        <v>13</v>
      </c>
      <c r="E29" s="27">
        <v>46</v>
      </c>
      <c r="F29" s="27"/>
      <c r="G29" s="27">
        <v>66</v>
      </c>
      <c r="R29" s="62" t="s">
        <v>1328</v>
      </c>
      <c r="S29" s="27">
        <v>121</v>
      </c>
      <c r="T29" s="27">
        <v>24</v>
      </c>
    </row>
    <row r="30" spans="1:20" x14ac:dyDescent="0.25">
      <c r="B30" s="62" t="s">
        <v>906</v>
      </c>
      <c r="C30" s="27">
        <v>10</v>
      </c>
      <c r="D30" s="27">
        <v>29</v>
      </c>
      <c r="E30" s="27">
        <v>57</v>
      </c>
      <c r="F30" s="27"/>
      <c r="G30" s="27">
        <v>96</v>
      </c>
      <c r="R30" s="62" t="s">
        <v>1329</v>
      </c>
      <c r="S30" s="27">
        <v>145</v>
      </c>
      <c r="T30" s="27">
        <v>25</v>
      </c>
    </row>
    <row r="31" spans="1:20" x14ac:dyDescent="0.25">
      <c r="B31" s="62" t="s">
        <v>1328</v>
      </c>
      <c r="C31" s="27">
        <v>19</v>
      </c>
      <c r="D31" s="27">
        <v>24</v>
      </c>
      <c r="E31" s="27">
        <v>78</v>
      </c>
      <c r="F31" s="27"/>
      <c r="G31" s="27">
        <v>121</v>
      </c>
      <c r="R31" s="62" t="s">
        <v>1332</v>
      </c>
      <c r="S31" s="27">
        <v>86</v>
      </c>
      <c r="T31" s="27">
        <v>19</v>
      </c>
    </row>
    <row r="32" spans="1:20" x14ac:dyDescent="0.25">
      <c r="B32" s="62" t="s">
        <v>1329</v>
      </c>
      <c r="C32" s="27">
        <v>17</v>
      </c>
      <c r="D32" s="27">
        <v>25</v>
      </c>
      <c r="E32" s="27">
        <v>103</v>
      </c>
      <c r="F32" s="27"/>
      <c r="G32" s="27">
        <v>145</v>
      </c>
      <c r="R32" s="62" t="s">
        <v>1547</v>
      </c>
      <c r="S32" s="27">
        <v>75</v>
      </c>
      <c r="T32" s="27">
        <v>11</v>
      </c>
    </row>
    <row r="33" spans="1:20" x14ac:dyDescent="0.25">
      <c r="B33" s="62" t="s">
        <v>1332</v>
      </c>
      <c r="C33" s="27">
        <v>5</v>
      </c>
      <c r="D33" s="27">
        <v>19</v>
      </c>
      <c r="E33" s="27">
        <v>62</v>
      </c>
      <c r="F33" s="27"/>
      <c r="G33" s="27">
        <v>86</v>
      </c>
      <c r="R33" s="62" t="s">
        <v>1710</v>
      </c>
      <c r="S33" s="27">
        <v>69</v>
      </c>
      <c r="T33" s="27">
        <v>6</v>
      </c>
    </row>
    <row r="34" spans="1:20" x14ac:dyDescent="0.25">
      <c r="B34" s="62" t="s">
        <v>1547</v>
      </c>
      <c r="C34" s="27">
        <v>15</v>
      </c>
      <c r="D34" s="27">
        <v>11</v>
      </c>
      <c r="E34" s="27">
        <v>49</v>
      </c>
      <c r="F34" s="27"/>
      <c r="G34" s="27">
        <v>75</v>
      </c>
      <c r="R34" s="62" t="s">
        <v>1711</v>
      </c>
      <c r="S34" s="27">
        <v>98</v>
      </c>
      <c r="T34" s="27">
        <v>18</v>
      </c>
    </row>
    <row r="35" spans="1:20" x14ac:dyDescent="0.25">
      <c r="B35" s="62" t="s">
        <v>1710</v>
      </c>
      <c r="C35" s="27">
        <v>6</v>
      </c>
      <c r="D35" s="27">
        <v>6</v>
      </c>
      <c r="E35" s="27">
        <v>57</v>
      </c>
      <c r="F35" s="27"/>
      <c r="G35" s="27">
        <v>69</v>
      </c>
      <c r="R35" s="62" t="s">
        <v>1929</v>
      </c>
      <c r="S35" s="27">
        <v>85</v>
      </c>
      <c r="T35" s="27">
        <v>15</v>
      </c>
    </row>
    <row r="36" spans="1:20" x14ac:dyDescent="0.25">
      <c r="B36" s="62" t="s">
        <v>1711</v>
      </c>
      <c r="C36" s="27">
        <v>8</v>
      </c>
      <c r="D36" s="27">
        <v>18</v>
      </c>
      <c r="E36" s="27">
        <v>72</v>
      </c>
      <c r="F36" s="27"/>
      <c r="G36" s="27">
        <v>98</v>
      </c>
      <c r="R36" s="62" t="s">
        <v>2028</v>
      </c>
      <c r="S36" s="27">
        <v>62</v>
      </c>
      <c r="T36" s="27">
        <v>4</v>
      </c>
    </row>
    <row r="37" spans="1:20" x14ac:dyDescent="0.25">
      <c r="B37" s="62" t="s">
        <v>1929</v>
      </c>
      <c r="C37" s="27">
        <v>19</v>
      </c>
      <c r="D37" s="27">
        <v>15</v>
      </c>
      <c r="E37" s="27">
        <v>51</v>
      </c>
      <c r="F37" s="27"/>
      <c r="G37" s="27">
        <v>85</v>
      </c>
      <c r="R37" s="62" t="s">
        <v>2195</v>
      </c>
      <c r="S37" s="27">
        <v>44</v>
      </c>
      <c r="T37" s="27">
        <v>5</v>
      </c>
    </row>
    <row r="38" spans="1:20" x14ac:dyDescent="0.25">
      <c r="B38" s="62" t="s">
        <v>2028</v>
      </c>
      <c r="C38" s="27">
        <v>14</v>
      </c>
      <c r="D38" s="27">
        <v>4</v>
      </c>
      <c r="E38" s="27">
        <v>44</v>
      </c>
      <c r="F38" s="27"/>
      <c r="G38" s="27">
        <v>62</v>
      </c>
      <c r="R38" s="62" t="s">
        <v>2196</v>
      </c>
      <c r="S38" s="27">
        <v>47</v>
      </c>
      <c r="T38" s="27">
        <v>9</v>
      </c>
    </row>
    <row r="39" spans="1:20" x14ac:dyDescent="0.25">
      <c r="B39" s="62" t="s">
        <v>2195</v>
      </c>
      <c r="C39" s="27">
        <v>12</v>
      </c>
      <c r="D39" s="27">
        <v>5</v>
      </c>
      <c r="E39" s="27">
        <v>27</v>
      </c>
      <c r="F39" s="27"/>
      <c r="G39" s="27">
        <v>44</v>
      </c>
      <c r="R39" s="62" t="s">
        <v>2326</v>
      </c>
      <c r="S39" s="27">
        <v>56</v>
      </c>
      <c r="T39" s="27">
        <v>9</v>
      </c>
    </row>
    <row r="40" spans="1:20" x14ac:dyDescent="0.25">
      <c r="B40" s="62" t="s">
        <v>2196</v>
      </c>
      <c r="C40" s="27">
        <v>19</v>
      </c>
      <c r="D40" s="27">
        <v>9</v>
      </c>
      <c r="E40" s="27">
        <v>19</v>
      </c>
      <c r="F40" s="27"/>
      <c r="G40" s="27">
        <v>47</v>
      </c>
      <c r="R40" s="62" t="s">
        <v>2327</v>
      </c>
      <c r="S40" s="27">
        <v>56</v>
      </c>
      <c r="T40" s="27">
        <v>5</v>
      </c>
    </row>
    <row r="41" spans="1:20" x14ac:dyDescent="0.25">
      <c r="B41" s="62" t="s">
        <v>2326</v>
      </c>
      <c r="C41" s="27">
        <v>26</v>
      </c>
      <c r="D41" s="27">
        <v>9</v>
      </c>
      <c r="E41" s="27">
        <v>21</v>
      </c>
      <c r="F41" s="27"/>
      <c r="G41" s="27">
        <v>56</v>
      </c>
      <c r="R41" s="62" t="s">
        <v>2418</v>
      </c>
      <c r="S41" s="27">
        <v>50</v>
      </c>
      <c r="T41" s="27">
        <v>6</v>
      </c>
    </row>
    <row r="42" spans="1:20" x14ac:dyDescent="0.25">
      <c r="B42" s="62" t="s">
        <v>2327</v>
      </c>
      <c r="C42" s="27">
        <v>18</v>
      </c>
      <c r="D42" s="27">
        <v>5</v>
      </c>
      <c r="E42" s="27">
        <v>33</v>
      </c>
      <c r="F42" s="27"/>
      <c r="G42" s="27">
        <v>56</v>
      </c>
      <c r="R42" s="62" t="s">
        <v>2686</v>
      </c>
      <c r="S42" s="27">
        <v>29</v>
      </c>
      <c r="T42" s="27">
        <v>1</v>
      </c>
    </row>
    <row r="43" spans="1:20" x14ac:dyDescent="0.25">
      <c r="B43" s="62" t="s">
        <v>2418</v>
      </c>
      <c r="C43" s="27">
        <v>25</v>
      </c>
      <c r="D43" s="27">
        <v>6</v>
      </c>
      <c r="E43" s="27">
        <v>19</v>
      </c>
      <c r="F43" s="27"/>
      <c r="G43" s="27">
        <v>50</v>
      </c>
      <c r="R43" s="62" t="s">
        <v>2687</v>
      </c>
      <c r="S43" s="27">
        <v>38</v>
      </c>
      <c r="T43" s="27">
        <v>8</v>
      </c>
    </row>
    <row r="44" spans="1:20" x14ac:dyDescent="0.25">
      <c r="B44" s="62" t="s">
        <v>2686</v>
      </c>
      <c r="C44" s="27">
        <v>9</v>
      </c>
      <c r="D44" s="27">
        <v>1</v>
      </c>
      <c r="E44" s="27">
        <v>19</v>
      </c>
      <c r="F44" s="27"/>
      <c r="G44" s="27">
        <v>29</v>
      </c>
      <c r="R44" s="62" t="s">
        <v>2688</v>
      </c>
      <c r="S44" s="27">
        <v>30</v>
      </c>
      <c r="T44" s="27">
        <v>3</v>
      </c>
    </row>
    <row r="45" spans="1:20" x14ac:dyDescent="0.25">
      <c r="B45" s="62" t="s">
        <v>2687</v>
      </c>
      <c r="C45" s="27">
        <v>4</v>
      </c>
      <c r="D45" s="27">
        <v>8</v>
      </c>
      <c r="E45" s="27">
        <v>26</v>
      </c>
      <c r="F45" s="27"/>
      <c r="G45" s="27">
        <v>38</v>
      </c>
      <c r="R45" s="62" t="s">
        <v>2793</v>
      </c>
      <c r="S45" s="27">
        <v>7</v>
      </c>
      <c r="T45" s="27"/>
    </row>
    <row r="46" spans="1:20" x14ac:dyDescent="0.25">
      <c r="B46" s="62" t="s">
        <v>2688</v>
      </c>
      <c r="C46" s="27">
        <v>11</v>
      </c>
      <c r="D46" s="27">
        <v>3</v>
      </c>
      <c r="E46" s="27">
        <v>15</v>
      </c>
      <c r="F46" s="27">
        <v>1</v>
      </c>
      <c r="G46" s="27">
        <v>30</v>
      </c>
      <c r="Q46" s="62" t="s">
        <v>102</v>
      </c>
      <c r="R46" s="62"/>
      <c r="S46" s="27">
        <v>1386</v>
      </c>
      <c r="T46" s="27">
        <v>235</v>
      </c>
    </row>
    <row r="47" spans="1:20" x14ac:dyDescent="0.25">
      <c r="B47" s="62" t="s">
        <v>2793</v>
      </c>
      <c r="C47" s="27">
        <v>7</v>
      </c>
      <c r="D47" s="27"/>
      <c r="E47" s="27"/>
      <c r="F47" s="27"/>
      <c r="G47" s="27">
        <v>7</v>
      </c>
      <c r="Q47" s="62" t="s">
        <v>100</v>
      </c>
      <c r="S47" s="27">
        <v>1754</v>
      </c>
      <c r="T47" s="27">
        <v>310</v>
      </c>
    </row>
    <row r="48" spans="1:20" x14ac:dyDescent="0.25">
      <c r="A48" s="62" t="s">
        <v>102</v>
      </c>
      <c r="B48" s="62"/>
      <c r="C48" s="27">
        <v>268</v>
      </c>
      <c r="D48" s="27">
        <v>235</v>
      </c>
      <c r="E48" s="27">
        <v>882</v>
      </c>
      <c r="F48" s="27">
        <v>1</v>
      </c>
      <c r="G48" s="27">
        <v>1386</v>
      </c>
    </row>
    <row r="49" spans="1:7" x14ac:dyDescent="0.25">
      <c r="A49" s="62" t="s">
        <v>100</v>
      </c>
      <c r="C49" s="27">
        <v>465</v>
      </c>
      <c r="D49" s="27">
        <v>310</v>
      </c>
      <c r="E49" s="27">
        <v>973</v>
      </c>
      <c r="F49" s="27">
        <v>6</v>
      </c>
      <c r="G49" s="27">
        <v>1754</v>
      </c>
    </row>
    <row r="66" spans="9:46" x14ac:dyDescent="0.25">
      <c r="T66" s="26" t="s">
        <v>25</v>
      </c>
      <c r="U66" s="62" t="s">
        <v>277</v>
      </c>
    </row>
    <row r="67" spans="9:46" x14ac:dyDescent="0.25">
      <c r="T67" s="26" t="s">
        <v>6</v>
      </c>
      <c r="U67" s="62" t="s">
        <v>124</v>
      </c>
    </row>
    <row r="68" spans="9:46" x14ac:dyDescent="0.25">
      <c r="I68" s="26" t="s">
        <v>9</v>
      </c>
      <c r="J68" s="62" t="s">
        <v>277</v>
      </c>
    </row>
    <row r="69" spans="9:46" x14ac:dyDescent="0.25">
      <c r="I69" s="26" t="s">
        <v>6</v>
      </c>
      <c r="J69" s="62" t="s">
        <v>124</v>
      </c>
      <c r="T69" s="26" t="s">
        <v>279</v>
      </c>
      <c r="U69" s="26" t="s">
        <v>189</v>
      </c>
      <c r="AG69" s="566" t="s">
        <v>185</v>
      </c>
      <c r="AH69" s="566"/>
      <c r="AI69" s="566" t="s">
        <v>186</v>
      </c>
      <c r="AJ69" s="566"/>
      <c r="AK69" s="566" t="s">
        <v>187</v>
      </c>
      <c r="AL69" s="566"/>
      <c r="AM69" s="566" t="s">
        <v>293</v>
      </c>
      <c r="AN69" s="566"/>
      <c r="AO69" s="566" t="s">
        <v>294</v>
      </c>
      <c r="AP69" s="566"/>
      <c r="AQ69" s="566" t="s">
        <v>295</v>
      </c>
      <c r="AR69" s="566"/>
      <c r="AS69" s="566" t="s">
        <v>296</v>
      </c>
      <c r="AT69" s="566"/>
    </row>
    <row r="70" spans="9:46" x14ac:dyDescent="0.25">
      <c r="T70" s="26" t="s">
        <v>101</v>
      </c>
      <c r="U70" s="62" t="s">
        <v>100</v>
      </c>
      <c r="AG70" t="s">
        <v>75</v>
      </c>
      <c r="AH70" t="s">
        <v>87</v>
      </c>
      <c r="AI70" t="s">
        <v>75</v>
      </c>
      <c r="AJ70" t="s">
        <v>87</v>
      </c>
      <c r="AK70" t="s">
        <v>75</v>
      </c>
      <c r="AL70" t="s">
        <v>87</v>
      </c>
      <c r="AM70" t="s">
        <v>75</v>
      </c>
      <c r="AN70" t="s">
        <v>87</v>
      </c>
      <c r="AO70" t="s">
        <v>75</v>
      </c>
      <c r="AP70" t="s">
        <v>87</v>
      </c>
      <c r="AQ70" t="s">
        <v>75</v>
      </c>
      <c r="AR70" t="s">
        <v>87</v>
      </c>
      <c r="AS70" t="s">
        <v>75</v>
      </c>
      <c r="AT70" t="s">
        <v>87</v>
      </c>
    </row>
    <row r="71" spans="9:46" x14ac:dyDescent="0.25">
      <c r="I71" s="26" t="s">
        <v>278</v>
      </c>
      <c r="J71" s="26" t="s">
        <v>189</v>
      </c>
      <c r="T71" s="62" t="s">
        <v>291</v>
      </c>
      <c r="U71" s="27"/>
      <c r="AF71" t="s">
        <v>291</v>
      </c>
      <c r="AG71">
        <f t="shared" ref="AG71:AG93" si="0">VLOOKUP(AF71,I73:J73,2,0)</f>
        <v>0</v>
      </c>
      <c r="AH71">
        <v>0</v>
      </c>
      <c r="AI71">
        <f t="shared" ref="AI71:AI93" si="1">VLOOKUP(AF71,I73:K73,3,0)</f>
        <v>0</v>
      </c>
      <c r="AJ71">
        <f t="shared" ref="AJ71:AJ93" si="2">VLOOKUP(AF71,T71:U71,2,0)</f>
        <v>0</v>
      </c>
      <c r="AK71">
        <f t="shared" ref="AK71:AK93" si="3">VLOOKUP(AF71,I73:L73,4,0)</f>
        <v>0</v>
      </c>
      <c r="AL71">
        <f t="shared" ref="AL71:AL93" si="4">VLOOKUP(AF71,T71:V71,3,0)</f>
        <v>0</v>
      </c>
      <c r="AM71">
        <f t="shared" ref="AM71:AM93" si="5">VLOOKUP(AF71,I73:M73,5,0)</f>
        <v>0</v>
      </c>
      <c r="AN71">
        <f t="shared" ref="AN71:AN93" si="6">VLOOKUP(AF71,T71:W71,4,0)</f>
        <v>0</v>
      </c>
      <c r="AO71">
        <f t="shared" ref="AO71:AO93" si="7">VLOOKUP(AF71,I73:N73,6,0)</f>
        <v>0</v>
      </c>
      <c r="AP71">
        <f t="shared" ref="AP71:AP93" si="8">VLOOKUP(AF71,T71:X71,5,0)</f>
        <v>0</v>
      </c>
      <c r="AQ71">
        <f t="shared" ref="AQ71:AQ93" si="9">VLOOKUP(AF71,I73:O73,7,0)</f>
        <v>0</v>
      </c>
      <c r="AR71">
        <f t="shared" ref="AR71:AR93" si="10">VLOOKUP(AF71,T71:Y71,6,0)</f>
        <v>0</v>
      </c>
      <c r="AS71">
        <f t="shared" ref="AS71:AS93" si="11">VLOOKUP(AF71,I73:P73,8,0)</f>
        <v>0</v>
      </c>
      <c r="AT71">
        <f t="shared" ref="AT71:AT93" si="12">VLOOKUP(AF71,T71:Z71,7,0)</f>
        <v>0</v>
      </c>
    </row>
    <row r="72" spans="9:46" x14ac:dyDescent="0.25">
      <c r="I72" s="26" t="s">
        <v>101</v>
      </c>
      <c r="J72" s="62" t="s">
        <v>100</v>
      </c>
      <c r="T72" s="62" t="s">
        <v>166</v>
      </c>
      <c r="U72" s="27"/>
      <c r="AF72" t="s">
        <v>166</v>
      </c>
      <c r="AG72">
        <f t="shared" si="0"/>
        <v>0</v>
      </c>
      <c r="AH72">
        <v>0</v>
      </c>
      <c r="AI72">
        <f t="shared" si="1"/>
        <v>0</v>
      </c>
      <c r="AJ72">
        <f t="shared" si="2"/>
        <v>0</v>
      </c>
      <c r="AK72">
        <f t="shared" si="3"/>
        <v>0</v>
      </c>
      <c r="AL72">
        <f t="shared" si="4"/>
        <v>0</v>
      </c>
      <c r="AM72">
        <f t="shared" si="5"/>
        <v>0</v>
      </c>
      <c r="AN72">
        <f t="shared" si="6"/>
        <v>0</v>
      </c>
      <c r="AO72">
        <f t="shared" si="7"/>
        <v>0</v>
      </c>
      <c r="AP72">
        <f t="shared" si="8"/>
        <v>0</v>
      </c>
      <c r="AQ72">
        <f t="shared" si="9"/>
        <v>0</v>
      </c>
      <c r="AR72">
        <f t="shared" si="10"/>
        <v>0</v>
      </c>
      <c r="AS72">
        <f t="shared" si="11"/>
        <v>0</v>
      </c>
      <c r="AT72">
        <f t="shared" si="12"/>
        <v>0</v>
      </c>
    </row>
    <row r="73" spans="9:46" x14ac:dyDescent="0.25">
      <c r="I73" s="62" t="s">
        <v>291</v>
      </c>
      <c r="J73" s="27"/>
      <c r="T73" s="62" t="s">
        <v>92</v>
      </c>
      <c r="U73" s="27"/>
      <c r="AF73" t="s">
        <v>92</v>
      </c>
      <c r="AG73">
        <f t="shared" si="0"/>
        <v>0</v>
      </c>
      <c r="AH73">
        <v>0</v>
      </c>
      <c r="AI73">
        <f t="shared" si="1"/>
        <v>0</v>
      </c>
      <c r="AJ73">
        <f t="shared" si="2"/>
        <v>0</v>
      </c>
      <c r="AK73">
        <f t="shared" si="3"/>
        <v>0</v>
      </c>
      <c r="AL73">
        <f t="shared" si="4"/>
        <v>0</v>
      </c>
      <c r="AM73">
        <f t="shared" si="5"/>
        <v>0</v>
      </c>
      <c r="AN73">
        <f t="shared" si="6"/>
        <v>0</v>
      </c>
      <c r="AO73">
        <f t="shared" si="7"/>
        <v>0</v>
      </c>
      <c r="AP73">
        <f t="shared" si="8"/>
        <v>0</v>
      </c>
      <c r="AQ73">
        <f t="shared" si="9"/>
        <v>0</v>
      </c>
      <c r="AR73">
        <f t="shared" si="10"/>
        <v>0</v>
      </c>
      <c r="AS73">
        <f t="shared" si="11"/>
        <v>0</v>
      </c>
      <c r="AT73">
        <f t="shared" si="12"/>
        <v>0</v>
      </c>
    </row>
    <row r="74" spans="9:46" x14ac:dyDescent="0.25">
      <c r="I74" s="62" t="s">
        <v>166</v>
      </c>
      <c r="J74" s="27"/>
      <c r="T74" s="62" t="s">
        <v>115</v>
      </c>
      <c r="U74" s="27"/>
      <c r="AF74" t="s">
        <v>115</v>
      </c>
      <c r="AG74">
        <f t="shared" si="0"/>
        <v>0</v>
      </c>
      <c r="AH74">
        <v>0</v>
      </c>
      <c r="AI74">
        <f t="shared" si="1"/>
        <v>0</v>
      </c>
      <c r="AJ74">
        <f t="shared" si="2"/>
        <v>0</v>
      </c>
      <c r="AK74">
        <f t="shared" si="3"/>
        <v>0</v>
      </c>
      <c r="AL74">
        <f t="shared" si="4"/>
        <v>0</v>
      </c>
      <c r="AM74">
        <f t="shared" si="5"/>
        <v>0</v>
      </c>
      <c r="AN74">
        <f t="shared" si="6"/>
        <v>0</v>
      </c>
      <c r="AO74">
        <f t="shared" si="7"/>
        <v>0</v>
      </c>
      <c r="AP74">
        <f t="shared" si="8"/>
        <v>0</v>
      </c>
      <c r="AQ74">
        <f t="shared" si="9"/>
        <v>0</v>
      </c>
      <c r="AR74">
        <f t="shared" si="10"/>
        <v>0</v>
      </c>
      <c r="AS74">
        <f t="shared" si="11"/>
        <v>0</v>
      </c>
      <c r="AT74">
        <f t="shared" si="12"/>
        <v>0</v>
      </c>
    </row>
    <row r="75" spans="9:46" x14ac:dyDescent="0.25">
      <c r="I75" s="62" t="s">
        <v>92</v>
      </c>
      <c r="J75" s="27"/>
      <c r="T75" s="62" t="s">
        <v>96</v>
      </c>
      <c r="U75" s="27"/>
      <c r="AF75" t="s">
        <v>96</v>
      </c>
      <c r="AG75">
        <f t="shared" si="0"/>
        <v>0</v>
      </c>
      <c r="AH75">
        <v>0</v>
      </c>
      <c r="AI75">
        <f t="shared" si="1"/>
        <v>0</v>
      </c>
      <c r="AJ75">
        <f t="shared" si="2"/>
        <v>0</v>
      </c>
      <c r="AK75">
        <f t="shared" si="3"/>
        <v>0</v>
      </c>
      <c r="AL75">
        <f t="shared" si="4"/>
        <v>0</v>
      </c>
      <c r="AM75">
        <f t="shared" si="5"/>
        <v>0</v>
      </c>
      <c r="AN75">
        <f t="shared" si="6"/>
        <v>0</v>
      </c>
      <c r="AO75">
        <f t="shared" si="7"/>
        <v>0</v>
      </c>
      <c r="AP75">
        <f t="shared" si="8"/>
        <v>0</v>
      </c>
      <c r="AQ75">
        <f t="shared" si="9"/>
        <v>0</v>
      </c>
      <c r="AR75">
        <f t="shared" si="10"/>
        <v>0</v>
      </c>
      <c r="AS75">
        <f t="shared" si="11"/>
        <v>0</v>
      </c>
      <c r="AT75">
        <f t="shared" si="12"/>
        <v>0</v>
      </c>
    </row>
    <row r="76" spans="9:46" x14ac:dyDescent="0.25">
      <c r="I76" s="62" t="s">
        <v>115</v>
      </c>
      <c r="J76" s="27"/>
      <c r="T76" s="62" t="s">
        <v>11</v>
      </c>
      <c r="U76" s="27"/>
      <c r="AF76" t="s">
        <v>11</v>
      </c>
      <c r="AG76">
        <f t="shared" si="0"/>
        <v>0</v>
      </c>
      <c r="AH76">
        <v>0</v>
      </c>
      <c r="AI76">
        <f t="shared" si="1"/>
        <v>0</v>
      </c>
      <c r="AJ76">
        <f t="shared" si="2"/>
        <v>0</v>
      </c>
      <c r="AK76">
        <f t="shared" si="3"/>
        <v>0</v>
      </c>
      <c r="AL76">
        <f t="shared" si="4"/>
        <v>0</v>
      </c>
      <c r="AM76">
        <f t="shared" si="5"/>
        <v>0</v>
      </c>
      <c r="AN76">
        <f t="shared" si="6"/>
        <v>0</v>
      </c>
      <c r="AO76">
        <f t="shared" si="7"/>
        <v>0</v>
      </c>
      <c r="AP76">
        <f t="shared" si="8"/>
        <v>0</v>
      </c>
      <c r="AQ76">
        <f t="shared" si="9"/>
        <v>0</v>
      </c>
      <c r="AR76">
        <f t="shared" si="10"/>
        <v>0</v>
      </c>
      <c r="AS76">
        <f t="shared" si="11"/>
        <v>0</v>
      </c>
      <c r="AT76">
        <f t="shared" si="12"/>
        <v>0</v>
      </c>
    </row>
    <row r="77" spans="9:46" x14ac:dyDescent="0.25">
      <c r="I77" s="62" t="s">
        <v>96</v>
      </c>
      <c r="J77" s="27"/>
      <c r="T77" s="62" t="s">
        <v>136</v>
      </c>
      <c r="U77" s="27"/>
      <c r="AF77" t="s">
        <v>136</v>
      </c>
      <c r="AG77">
        <f t="shared" si="0"/>
        <v>0</v>
      </c>
      <c r="AH77">
        <v>0</v>
      </c>
      <c r="AI77">
        <f t="shared" si="1"/>
        <v>0</v>
      </c>
      <c r="AJ77">
        <f t="shared" si="2"/>
        <v>0</v>
      </c>
      <c r="AK77">
        <f t="shared" si="3"/>
        <v>0</v>
      </c>
      <c r="AL77">
        <f t="shared" si="4"/>
        <v>0</v>
      </c>
      <c r="AM77">
        <f t="shared" si="5"/>
        <v>0</v>
      </c>
      <c r="AN77">
        <f t="shared" si="6"/>
        <v>0</v>
      </c>
      <c r="AO77">
        <f t="shared" si="7"/>
        <v>0</v>
      </c>
      <c r="AP77">
        <f t="shared" si="8"/>
        <v>0</v>
      </c>
      <c r="AQ77">
        <f t="shared" si="9"/>
        <v>0</v>
      </c>
      <c r="AR77">
        <f t="shared" si="10"/>
        <v>0</v>
      </c>
      <c r="AS77">
        <f t="shared" si="11"/>
        <v>0</v>
      </c>
      <c r="AT77">
        <f t="shared" si="12"/>
        <v>0</v>
      </c>
    </row>
    <row r="78" spans="9:46" x14ac:dyDescent="0.25">
      <c r="I78" s="62" t="s">
        <v>11</v>
      </c>
      <c r="J78" s="27"/>
      <c r="T78" s="62" t="s">
        <v>160</v>
      </c>
      <c r="U78" s="27"/>
      <c r="AF78" t="s">
        <v>160</v>
      </c>
      <c r="AG78">
        <f t="shared" si="0"/>
        <v>0</v>
      </c>
      <c r="AH78">
        <v>0</v>
      </c>
      <c r="AI78">
        <f t="shared" si="1"/>
        <v>0</v>
      </c>
      <c r="AJ78">
        <f t="shared" si="2"/>
        <v>0</v>
      </c>
      <c r="AK78">
        <f t="shared" si="3"/>
        <v>0</v>
      </c>
      <c r="AL78">
        <f t="shared" si="4"/>
        <v>0</v>
      </c>
      <c r="AM78">
        <f t="shared" si="5"/>
        <v>0</v>
      </c>
      <c r="AN78">
        <f t="shared" si="6"/>
        <v>0</v>
      </c>
      <c r="AO78">
        <f t="shared" si="7"/>
        <v>0</v>
      </c>
      <c r="AP78">
        <f t="shared" si="8"/>
        <v>0</v>
      </c>
      <c r="AQ78">
        <f t="shared" si="9"/>
        <v>0</v>
      </c>
      <c r="AR78">
        <f t="shared" si="10"/>
        <v>0</v>
      </c>
      <c r="AS78">
        <f t="shared" si="11"/>
        <v>0</v>
      </c>
      <c r="AT78">
        <f t="shared" si="12"/>
        <v>0</v>
      </c>
    </row>
    <row r="79" spans="9:46" x14ac:dyDescent="0.25">
      <c r="I79" s="62" t="s">
        <v>136</v>
      </c>
      <c r="J79" s="27"/>
      <c r="T79" s="62" t="s">
        <v>80</v>
      </c>
      <c r="U79" s="27"/>
      <c r="AF79" t="s">
        <v>80</v>
      </c>
      <c r="AG79">
        <f t="shared" si="0"/>
        <v>0</v>
      </c>
      <c r="AH79">
        <v>0</v>
      </c>
      <c r="AI79">
        <f t="shared" si="1"/>
        <v>0</v>
      </c>
      <c r="AJ79">
        <f t="shared" si="2"/>
        <v>0</v>
      </c>
      <c r="AK79">
        <f t="shared" si="3"/>
        <v>0</v>
      </c>
      <c r="AL79">
        <f t="shared" si="4"/>
        <v>0</v>
      </c>
      <c r="AM79">
        <f t="shared" si="5"/>
        <v>0</v>
      </c>
      <c r="AN79">
        <f t="shared" si="6"/>
        <v>0</v>
      </c>
      <c r="AO79">
        <f t="shared" si="7"/>
        <v>0</v>
      </c>
      <c r="AP79">
        <f t="shared" si="8"/>
        <v>0</v>
      </c>
      <c r="AQ79">
        <f t="shared" si="9"/>
        <v>0</v>
      </c>
      <c r="AR79">
        <f t="shared" si="10"/>
        <v>0</v>
      </c>
      <c r="AS79">
        <f t="shared" si="11"/>
        <v>0</v>
      </c>
      <c r="AT79">
        <f t="shared" si="12"/>
        <v>0</v>
      </c>
    </row>
    <row r="80" spans="9:46" x14ac:dyDescent="0.25">
      <c r="I80" s="62" t="s">
        <v>160</v>
      </c>
      <c r="J80" s="27"/>
      <c r="T80" s="62" t="s">
        <v>292</v>
      </c>
      <c r="U80" s="27"/>
      <c r="AF80" t="s">
        <v>292</v>
      </c>
      <c r="AG80">
        <f t="shared" si="0"/>
        <v>0</v>
      </c>
      <c r="AH80">
        <v>0</v>
      </c>
      <c r="AI80">
        <f t="shared" si="1"/>
        <v>0</v>
      </c>
      <c r="AJ80">
        <f t="shared" si="2"/>
        <v>0</v>
      </c>
      <c r="AK80">
        <f t="shared" si="3"/>
        <v>0</v>
      </c>
      <c r="AL80">
        <f t="shared" si="4"/>
        <v>0</v>
      </c>
      <c r="AM80">
        <f t="shared" si="5"/>
        <v>0</v>
      </c>
      <c r="AN80">
        <f t="shared" si="6"/>
        <v>0</v>
      </c>
      <c r="AO80">
        <f t="shared" si="7"/>
        <v>0</v>
      </c>
      <c r="AP80">
        <f t="shared" si="8"/>
        <v>0</v>
      </c>
      <c r="AQ80">
        <f t="shared" si="9"/>
        <v>0</v>
      </c>
      <c r="AR80">
        <f t="shared" si="10"/>
        <v>0</v>
      </c>
      <c r="AS80">
        <f t="shared" si="11"/>
        <v>0</v>
      </c>
      <c r="AT80">
        <f t="shared" si="12"/>
        <v>0</v>
      </c>
    </row>
    <row r="81" spans="9:46" x14ac:dyDescent="0.25">
      <c r="I81" s="62" t="s">
        <v>80</v>
      </c>
      <c r="J81" s="27"/>
      <c r="T81" s="62" t="s">
        <v>107</v>
      </c>
      <c r="U81" s="27"/>
      <c r="AF81" t="s">
        <v>107</v>
      </c>
      <c r="AG81">
        <f t="shared" si="0"/>
        <v>0</v>
      </c>
      <c r="AH81">
        <v>0</v>
      </c>
      <c r="AI81">
        <f t="shared" si="1"/>
        <v>0</v>
      </c>
      <c r="AJ81">
        <f t="shared" si="2"/>
        <v>0</v>
      </c>
      <c r="AK81">
        <f t="shared" si="3"/>
        <v>0</v>
      </c>
      <c r="AL81">
        <f t="shared" si="4"/>
        <v>0</v>
      </c>
      <c r="AM81">
        <f t="shared" si="5"/>
        <v>0</v>
      </c>
      <c r="AN81">
        <f t="shared" si="6"/>
        <v>0</v>
      </c>
      <c r="AO81">
        <f t="shared" si="7"/>
        <v>0</v>
      </c>
      <c r="AP81">
        <f t="shared" si="8"/>
        <v>0</v>
      </c>
      <c r="AQ81">
        <f t="shared" si="9"/>
        <v>0</v>
      </c>
      <c r="AR81">
        <f t="shared" si="10"/>
        <v>0</v>
      </c>
      <c r="AS81">
        <f t="shared" si="11"/>
        <v>0</v>
      </c>
      <c r="AT81">
        <f t="shared" si="12"/>
        <v>0</v>
      </c>
    </row>
    <row r="82" spans="9:46" x14ac:dyDescent="0.25">
      <c r="I82" s="62" t="s">
        <v>292</v>
      </c>
      <c r="J82" s="27"/>
      <c r="T82" s="62" t="s">
        <v>269</v>
      </c>
      <c r="U82" s="27"/>
      <c r="AF82" t="s">
        <v>269</v>
      </c>
      <c r="AG82">
        <f t="shared" si="0"/>
        <v>0</v>
      </c>
      <c r="AH82">
        <v>0</v>
      </c>
      <c r="AI82">
        <f t="shared" si="1"/>
        <v>0</v>
      </c>
      <c r="AJ82">
        <f t="shared" si="2"/>
        <v>0</v>
      </c>
      <c r="AK82">
        <f t="shared" si="3"/>
        <v>0</v>
      </c>
      <c r="AL82">
        <f t="shared" si="4"/>
        <v>0</v>
      </c>
      <c r="AM82">
        <f t="shared" si="5"/>
        <v>0</v>
      </c>
      <c r="AN82">
        <f t="shared" si="6"/>
        <v>0</v>
      </c>
      <c r="AO82">
        <f t="shared" si="7"/>
        <v>0</v>
      </c>
      <c r="AP82">
        <f t="shared" si="8"/>
        <v>0</v>
      </c>
      <c r="AQ82">
        <f t="shared" si="9"/>
        <v>0</v>
      </c>
      <c r="AR82">
        <f t="shared" si="10"/>
        <v>0</v>
      </c>
      <c r="AS82">
        <f t="shared" si="11"/>
        <v>0</v>
      </c>
      <c r="AT82">
        <f t="shared" si="12"/>
        <v>0</v>
      </c>
    </row>
    <row r="83" spans="9:46" x14ac:dyDescent="0.25">
      <c r="I83" s="62" t="s">
        <v>107</v>
      </c>
      <c r="J83" s="27"/>
      <c r="T83" s="62" t="s">
        <v>139</v>
      </c>
      <c r="U83" s="27"/>
      <c r="AF83" t="s">
        <v>139</v>
      </c>
      <c r="AG83">
        <f t="shared" si="0"/>
        <v>0</v>
      </c>
      <c r="AH83">
        <v>0</v>
      </c>
      <c r="AI83">
        <f t="shared" si="1"/>
        <v>0</v>
      </c>
      <c r="AJ83">
        <f t="shared" si="2"/>
        <v>0</v>
      </c>
      <c r="AK83">
        <f t="shared" si="3"/>
        <v>0</v>
      </c>
      <c r="AL83">
        <f t="shared" si="4"/>
        <v>0</v>
      </c>
      <c r="AM83">
        <f t="shared" si="5"/>
        <v>0</v>
      </c>
      <c r="AN83">
        <f t="shared" si="6"/>
        <v>0</v>
      </c>
      <c r="AO83">
        <f t="shared" si="7"/>
        <v>0</v>
      </c>
      <c r="AP83">
        <f t="shared" si="8"/>
        <v>0</v>
      </c>
      <c r="AQ83">
        <f t="shared" si="9"/>
        <v>0</v>
      </c>
      <c r="AR83">
        <f t="shared" si="10"/>
        <v>0</v>
      </c>
      <c r="AS83">
        <f t="shared" si="11"/>
        <v>0</v>
      </c>
      <c r="AT83">
        <f t="shared" si="12"/>
        <v>0</v>
      </c>
    </row>
    <row r="84" spans="9:46" x14ac:dyDescent="0.25">
      <c r="I84" s="62" t="s">
        <v>269</v>
      </c>
      <c r="J84" s="27"/>
      <c r="T84" s="62" t="s">
        <v>266</v>
      </c>
      <c r="U84" s="27"/>
      <c r="AF84" t="s">
        <v>266</v>
      </c>
      <c r="AG84">
        <f t="shared" si="0"/>
        <v>0</v>
      </c>
      <c r="AH84">
        <v>0</v>
      </c>
      <c r="AI84">
        <f t="shared" si="1"/>
        <v>0</v>
      </c>
      <c r="AJ84">
        <f t="shared" si="2"/>
        <v>0</v>
      </c>
      <c r="AK84">
        <f t="shared" si="3"/>
        <v>0</v>
      </c>
      <c r="AL84">
        <f t="shared" si="4"/>
        <v>0</v>
      </c>
      <c r="AM84">
        <f t="shared" si="5"/>
        <v>0</v>
      </c>
      <c r="AN84">
        <f t="shared" si="6"/>
        <v>0</v>
      </c>
      <c r="AO84">
        <f t="shared" si="7"/>
        <v>0</v>
      </c>
      <c r="AP84">
        <f t="shared" si="8"/>
        <v>0</v>
      </c>
      <c r="AQ84">
        <f t="shared" si="9"/>
        <v>0</v>
      </c>
      <c r="AR84">
        <f t="shared" si="10"/>
        <v>0</v>
      </c>
      <c r="AS84">
        <f t="shared" si="11"/>
        <v>0</v>
      </c>
      <c r="AT84">
        <f t="shared" si="12"/>
        <v>0</v>
      </c>
    </row>
    <row r="85" spans="9:46" x14ac:dyDescent="0.25">
      <c r="I85" s="62" t="s">
        <v>139</v>
      </c>
      <c r="J85" s="27"/>
      <c r="T85" s="62" t="s">
        <v>76</v>
      </c>
      <c r="U85" s="27"/>
      <c r="AF85" t="s">
        <v>76</v>
      </c>
      <c r="AG85">
        <f t="shared" si="0"/>
        <v>0</v>
      </c>
      <c r="AH85">
        <v>0</v>
      </c>
      <c r="AI85">
        <f t="shared" si="1"/>
        <v>0</v>
      </c>
      <c r="AJ85">
        <f t="shared" si="2"/>
        <v>0</v>
      </c>
      <c r="AK85">
        <f t="shared" si="3"/>
        <v>0</v>
      </c>
      <c r="AL85">
        <f t="shared" si="4"/>
        <v>0</v>
      </c>
      <c r="AM85">
        <f t="shared" si="5"/>
        <v>0</v>
      </c>
      <c r="AN85">
        <f t="shared" si="6"/>
        <v>0</v>
      </c>
      <c r="AO85">
        <f t="shared" si="7"/>
        <v>0</v>
      </c>
      <c r="AP85">
        <f t="shared" si="8"/>
        <v>0</v>
      </c>
      <c r="AQ85">
        <f t="shared" si="9"/>
        <v>0</v>
      </c>
      <c r="AR85">
        <f t="shared" si="10"/>
        <v>0</v>
      </c>
      <c r="AS85">
        <f t="shared" si="11"/>
        <v>0</v>
      </c>
      <c r="AT85">
        <f t="shared" si="12"/>
        <v>0</v>
      </c>
    </row>
    <row r="86" spans="9:46" x14ac:dyDescent="0.25">
      <c r="I86" s="62" t="s">
        <v>266</v>
      </c>
      <c r="J86" s="27"/>
      <c r="T86" s="62" t="s">
        <v>28</v>
      </c>
      <c r="U86" s="27"/>
      <c r="AF86" t="s">
        <v>28</v>
      </c>
      <c r="AG86">
        <f t="shared" si="0"/>
        <v>0</v>
      </c>
      <c r="AH86">
        <v>0</v>
      </c>
      <c r="AI86">
        <f t="shared" si="1"/>
        <v>0</v>
      </c>
      <c r="AJ86">
        <f t="shared" si="2"/>
        <v>0</v>
      </c>
      <c r="AK86">
        <f t="shared" si="3"/>
        <v>0</v>
      </c>
      <c r="AL86">
        <f t="shared" si="4"/>
        <v>0</v>
      </c>
      <c r="AM86">
        <f t="shared" si="5"/>
        <v>0</v>
      </c>
      <c r="AN86">
        <f t="shared" si="6"/>
        <v>0</v>
      </c>
      <c r="AO86">
        <f t="shared" si="7"/>
        <v>0</v>
      </c>
      <c r="AP86">
        <f t="shared" si="8"/>
        <v>0</v>
      </c>
      <c r="AQ86">
        <f t="shared" si="9"/>
        <v>0</v>
      </c>
      <c r="AR86">
        <f t="shared" si="10"/>
        <v>0</v>
      </c>
      <c r="AS86">
        <f t="shared" si="11"/>
        <v>0</v>
      </c>
      <c r="AT86">
        <f t="shared" si="12"/>
        <v>0</v>
      </c>
    </row>
    <row r="87" spans="9:46" x14ac:dyDescent="0.25">
      <c r="I87" s="62" t="s">
        <v>76</v>
      </c>
      <c r="J87" s="27"/>
      <c r="T87" s="62" t="s">
        <v>137</v>
      </c>
      <c r="U87" s="27"/>
      <c r="AF87" t="s">
        <v>137</v>
      </c>
      <c r="AG87">
        <f t="shared" si="0"/>
        <v>0</v>
      </c>
      <c r="AH87">
        <v>0</v>
      </c>
      <c r="AI87">
        <f t="shared" si="1"/>
        <v>0</v>
      </c>
      <c r="AJ87">
        <f t="shared" si="2"/>
        <v>0</v>
      </c>
      <c r="AK87">
        <f t="shared" si="3"/>
        <v>0</v>
      </c>
      <c r="AL87">
        <f t="shared" si="4"/>
        <v>0</v>
      </c>
      <c r="AM87">
        <f t="shared" si="5"/>
        <v>0</v>
      </c>
      <c r="AN87">
        <f t="shared" si="6"/>
        <v>0</v>
      </c>
      <c r="AO87">
        <f t="shared" si="7"/>
        <v>0</v>
      </c>
      <c r="AP87">
        <f t="shared" si="8"/>
        <v>0</v>
      </c>
      <c r="AQ87">
        <f t="shared" si="9"/>
        <v>0</v>
      </c>
      <c r="AR87">
        <f t="shared" si="10"/>
        <v>0</v>
      </c>
      <c r="AS87">
        <f t="shared" si="11"/>
        <v>0</v>
      </c>
      <c r="AT87">
        <f t="shared" si="12"/>
        <v>0</v>
      </c>
    </row>
    <row r="88" spans="9:46" x14ac:dyDescent="0.25">
      <c r="I88" s="62" t="s">
        <v>28</v>
      </c>
      <c r="J88" s="27"/>
      <c r="T88" s="62" t="s">
        <v>103</v>
      </c>
      <c r="U88" s="27"/>
      <c r="AF88" t="s">
        <v>103</v>
      </c>
      <c r="AG88">
        <f t="shared" si="0"/>
        <v>0</v>
      </c>
      <c r="AH88">
        <v>0</v>
      </c>
      <c r="AI88">
        <f t="shared" si="1"/>
        <v>0</v>
      </c>
      <c r="AJ88">
        <f t="shared" si="2"/>
        <v>0</v>
      </c>
      <c r="AK88">
        <f t="shared" si="3"/>
        <v>0</v>
      </c>
      <c r="AL88">
        <f t="shared" si="4"/>
        <v>0</v>
      </c>
      <c r="AM88">
        <f t="shared" si="5"/>
        <v>0</v>
      </c>
      <c r="AN88">
        <f t="shared" si="6"/>
        <v>0</v>
      </c>
      <c r="AO88">
        <f t="shared" si="7"/>
        <v>0</v>
      </c>
      <c r="AP88">
        <f t="shared" si="8"/>
        <v>0</v>
      </c>
      <c r="AQ88">
        <f t="shared" si="9"/>
        <v>0</v>
      </c>
      <c r="AR88">
        <f t="shared" si="10"/>
        <v>0</v>
      </c>
      <c r="AS88">
        <f t="shared" si="11"/>
        <v>0</v>
      </c>
      <c r="AT88">
        <f t="shared" si="12"/>
        <v>0</v>
      </c>
    </row>
    <row r="89" spans="9:46" x14ac:dyDescent="0.25">
      <c r="I89" s="62" t="s">
        <v>137</v>
      </c>
      <c r="J89" s="27"/>
      <c r="T89" s="62" t="s">
        <v>86</v>
      </c>
      <c r="U89" s="27"/>
      <c r="AF89" t="s">
        <v>86</v>
      </c>
      <c r="AG89">
        <f t="shared" si="0"/>
        <v>0</v>
      </c>
      <c r="AH89">
        <v>0</v>
      </c>
      <c r="AI89">
        <f t="shared" si="1"/>
        <v>0</v>
      </c>
      <c r="AJ89">
        <f t="shared" si="2"/>
        <v>0</v>
      </c>
      <c r="AK89">
        <f t="shared" si="3"/>
        <v>0</v>
      </c>
      <c r="AL89">
        <f t="shared" si="4"/>
        <v>0</v>
      </c>
      <c r="AM89">
        <f t="shared" si="5"/>
        <v>0</v>
      </c>
      <c r="AN89">
        <f t="shared" si="6"/>
        <v>0</v>
      </c>
      <c r="AO89">
        <f t="shared" si="7"/>
        <v>0</v>
      </c>
      <c r="AP89">
        <f t="shared" si="8"/>
        <v>0</v>
      </c>
      <c r="AQ89">
        <f t="shared" si="9"/>
        <v>0</v>
      </c>
      <c r="AR89">
        <f t="shared" si="10"/>
        <v>0</v>
      </c>
      <c r="AS89">
        <f t="shared" si="11"/>
        <v>0</v>
      </c>
      <c r="AT89">
        <f t="shared" si="12"/>
        <v>0</v>
      </c>
    </row>
    <row r="90" spans="9:46" x14ac:dyDescent="0.25">
      <c r="I90" s="62" t="s">
        <v>103</v>
      </c>
      <c r="J90" s="27"/>
      <c r="T90" s="62" t="s">
        <v>106</v>
      </c>
      <c r="U90" s="27"/>
      <c r="AF90" t="s">
        <v>106</v>
      </c>
      <c r="AG90">
        <f t="shared" si="0"/>
        <v>0</v>
      </c>
      <c r="AH90">
        <v>0</v>
      </c>
      <c r="AI90">
        <f t="shared" si="1"/>
        <v>0</v>
      </c>
      <c r="AJ90">
        <f t="shared" si="2"/>
        <v>0</v>
      </c>
      <c r="AK90">
        <f t="shared" si="3"/>
        <v>0</v>
      </c>
      <c r="AL90">
        <f t="shared" si="4"/>
        <v>0</v>
      </c>
      <c r="AM90">
        <f t="shared" si="5"/>
        <v>0</v>
      </c>
      <c r="AN90">
        <f t="shared" si="6"/>
        <v>0</v>
      </c>
      <c r="AO90">
        <f t="shared" si="7"/>
        <v>0</v>
      </c>
      <c r="AP90">
        <f t="shared" si="8"/>
        <v>0</v>
      </c>
      <c r="AQ90">
        <f t="shared" si="9"/>
        <v>0</v>
      </c>
      <c r="AR90">
        <f t="shared" si="10"/>
        <v>0</v>
      </c>
      <c r="AS90">
        <f t="shared" si="11"/>
        <v>0</v>
      </c>
      <c r="AT90">
        <f t="shared" si="12"/>
        <v>0</v>
      </c>
    </row>
    <row r="91" spans="9:46" x14ac:dyDescent="0.25">
      <c r="I91" s="62" t="s">
        <v>86</v>
      </c>
      <c r="J91" s="27"/>
      <c r="T91" s="62" t="s">
        <v>12</v>
      </c>
      <c r="U91" s="27"/>
      <c r="AF91" t="s">
        <v>12</v>
      </c>
      <c r="AG91">
        <f t="shared" si="0"/>
        <v>0</v>
      </c>
      <c r="AH91">
        <v>0</v>
      </c>
      <c r="AI91">
        <f t="shared" si="1"/>
        <v>0</v>
      </c>
      <c r="AJ91">
        <f t="shared" si="2"/>
        <v>0</v>
      </c>
      <c r="AK91">
        <f t="shared" si="3"/>
        <v>0</v>
      </c>
      <c r="AL91">
        <f t="shared" si="4"/>
        <v>0</v>
      </c>
      <c r="AM91">
        <f t="shared" si="5"/>
        <v>0</v>
      </c>
      <c r="AN91">
        <f t="shared" si="6"/>
        <v>0</v>
      </c>
      <c r="AO91">
        <f t="shared" si="7"/>
        <v>0</v>
      </c>
      <c r="AP91">
        <f t="shared" si="8"/>
        <v>0</v>
      </c>
      <c r="AQ91">
        <f t="shared" si="9"/>
        <v>0</v>
      </c>
      <c r="AR91">
        <f t="shared" si="10"/>
        <v>0</v>
      </c>
      <c r="AS91">
        <f t="shared" si="11"/>
        <v>0</v>
      </c>
      <c r="AT91">
        <f t="shared" si="12"/>
        <v>0</v>
      </c>
    </row>
    <row r="92" spans="9:46" x14ac:dyDescent="0.25">
      <c r="I92" s="62" t="s">
        <v>106</v>
      </c>
      <c r="J92" s="27"/>
      <c r="T92" s="62" t="s">
        <v>280</v>
      </c>
      <c r="U92" s="27"/>
      <c r="AF92" t="s">
        <v>280</v>
      </c>
      <c r="AG92">
        <f t="shared" si="0"/>
        <v>0</v>
      </c>
      <c r="AH92">
        <v>0</v>
      </c>
      <c r="AI92">
        <f t="shared" si="1"/>
        <v>0</v>
      </c>
      <c r="AJ92">
        <f t="shared" si="2"/>
        <v>0</v>
      </c>
      <c r="AK92">
        <f t="shared" si="3"/>
        <v>0</v>
      </c>
      <c r="AL92">
        <f t="shared" si="4"/>
        <v>0</v>
      </c>
      <c r="AM92">
        <f t="shared" si="5"/>
        <v>0</v>
      </c>
      <c r="AN92">
        <f t="shared" si="6"/>
        <v>0</v>
      </c>
      <c r="AO92">
        <f t="shared" si="7"/>
        <v>0</v>
      </c>
      <c r="AP92">
        <f t="shared" si="8"/>
        <v>0</v>
      </c>
      <c r="AQ92">
        <f t="shared" si="9"/>
        <v>0</v>
      </c>
      <c r="AR92">
        <f t="shared" si="10"/>
        <v>0</v>
      </c>
      <c r="AS92">
        <f t="shared" si="11"/>
        <v>0</v>
      </c>
      <c r="AT92">
        <f t="shared" si="12"/>
        <v>0</v>
      </c>
    </row>
    <row r="93" spans="9:46" x14ac:dyDescent="0.25">
      <c r="I93" s="62" t="s">
        <v>12</v>
      </c>
      <c r="J93" s="27"/>
      <c r="T93" s="62" t="s">
        <v>10</v>
      </c>
      <c r="U93" s="27"/>
      <c r="AF93" t="s">
        <v>10</v>
      </c>
      <c r="AG93">
        <f t="shared" si="0"/>
        <v>0</v>
      </c>
      <c r="AH93">
        <v>0</v>
      </c>
      <c r="AI93">
        <f t="shared" si="1"/>
        <v>0</v>
      </c>
      <c r="AJ93">
        <f t="shared" si="2"/>
        <v>0</v>
      </c>
      <c r="AK93">
        <f t="shared" si="3"/>
        <v>0</v>
      </c>
      <c r="AL93">
        <f t="shared" si="4"/>
        <v>0</v>
      </c>
      <c r="AM93">
        <f t="shared" si="5"/>
        <v>0</v>
      </c>
      <c r="AN93">
        <f t="shared" si="6"/>
        <v>0</v>
      </c>
      <c r="AO93">
        <f t="shared" si="7"/>
        <v>0</v>
      </c>
      <c r="AP93">
        <f t="shared" si="8"/>
        <v>0</v>
      </c>
      <c r="AQ93">
        <f t="shared" si="9"/>
        <v>0</v>
      </c>
      <c r="AR93">
        <f t="shared" si="10"/>
        <v>0</v>
      </c>
      <c r="AS93">
        <f t="shared" si="11"/>
        <v>0</v>
      </c>
      <c r="AT93">
        <f t="shared" si="12"/>
        <v>0</v>
      </c>
    </row>
    <row r="94" spans="9:46" x14ac:dyDescent="0.25">
      <c r="I94" s="62" t="s">
        <v>280</v>
      </c>
      <c r="J94" s="27"/>
      <c r="T94" s="62" t="s">
        <v>330</v>
      </c>
      <c r="U94" s="27"/>
    </row>
    <row r="95" spans="9:46" x14ac:dyDescent="0.25">
      <c r="I95" s="62" t="s">
        <v>10</v>
      </c>
      <c r="J95" s="27"/>
      <c r="T95" s="62" t="s">
        <v>100</v>
      </c>
      <c r="U95" s="27"/>
    </row>
    <row r="96" spans="9:46" x14ac:dyDescent="0.25">
      <c r="I96" s="62" t="s">
        <v>330</v>
      </c>
      <c r="J96" s="27"/>
    </row>
    <row r="97" spans="9:11" x14ac:dyDescent="0.25">
      <c r="I97" s="62" t="s">
        <v>100</v>
      </c>
      <c r="J97" s="27"/>
    </row>
    <row r="102" spans="9:11" x14ac:dyDescent="0.25">
      <c r="I102" s="26" t="s">
        <v>2</v>
      </c>
      <c r="J102" s="62" t="s">
        <v>99</v>
      </c>
    </row>
    <row r="103" spans="9:11" x14ac:dyDescent="0.25">
      <c r="I103" s="26" t="s">
        <v>3</v>
      </c>
      <c r="J103" s="62" t="s">
        <v>99</v>
      </c>
    </row>
    <row r="104" spans="9:11" x14ac:dyDescent="0.25">
      <c r="I104" s="26" t="s">
        <v>1</v>
      </c>
      <c r="J104" s="62" t="s">
        <v>99</v>
      </c>
    </row>
    <row r="106" spans="9:11" x14ac:dyDescent="0.25">
      <c r="I106" s="26" t="s">
        <v>283</v>
      </c>
      <c r="J106" s="26" t="s">
        <v>189</v>
      </c>
    </row>
    <row r="107" spans="9:11" x14ac:dyDescent="0.25">
      <c r="I107" s="26" t="s">
        <v>101</v>
      </c>
      <c r="J107" s="62" t="s">
        <v>110</v>
      </c>
      <c r="K107" s="62" t="s">
        <v>100</v>
      </c>
    </row>
    <row r="108" spans="9:11" x14ac:dyDescent="0.25">
      <c r="I108" s="62" t="s">
        <v>811</v>
      </c>
      <c r="J108" s="27">
        <v>24</v>
      </c>
      <c r="K108" s="27">
        <v>24</v>
      </c>
    </row>
    <row r="109" spans="9:11" x14ac:dyDescent="0.25">
      <c r="I109" s="62" t="s">
        <v>812</v>
      </c>
      <c r="J109" s="27">
        <v>22</v>
      </c>
      <c r="K109" s="27">
        <v>22</v>
      </c>
    </row>
    <row r="110" spans="9:11" x14ac:dyDescent="0.25">
      <c r="I110" s="62" t="s">
        <v>906</v>
      </c>
      <c r="J110" s="27">
        <v>18</v>
      </c>
      <c r="K110" s="27">
        <v>18</v>
      </c>
    </row>
    <row r="111" spans="9:11" x14ac:dyDescent="0.25">
      <c r="I111" s="62" t="s">
        <v>1328</v>
      </c>
      <c r="J111" s="27">
        <v>27</v>
      </c>
      <c r="K111" s="27">
        <v>27</v>
      </c>
    </row>
    <row r="112" spans="9:11" x14ac:dyDescent="0.25">
      <c r="I112" s="62" t="s">
        <v>1329</v>
      </c>
      <c r="J112" s="27">
        <v>36</v>
      </c>
      <c r="K112" s="27">
        <v>36</v>
      </c>
    </row>
    <row r="113" spans="9:11" x14ac:dyDescent="0.25">
      <c r="I113" s="62" t="s">
        <v>1332</v>
      </c>
      <c r="J113" s="27">
        <v>13</v>
      </c>
      <c r="K113" s="27">
        <v>13</v>
      </c>
    </row>
    <row r="114" spans="9:11" x14ac:dyDescent="0.25">
      <c r="I114" s="62" t="s">
        <v>1547</v>
      </c>
      <c r="J114" s="27">
        <v>13</v>
      </c>
      <c r="K114" s="27">
        <v>13</v>
      </c>
    </row>
    <row r="115" spans="9:11" x14ac:dyDescent="0.25">
      <c r="I115" s="62" t="s">
        <v>1710</v>
      </c>
      <c r="J115" s="27">
        <v>12</v>
      </c>
      <c r="K115" s="27">
        <v>12</v>
      </c>
    </row>
    <row r="116" spans="9:11" x14ac:dyDescent="0.25">
      <c r="I116" s="62" t="s">
        <v>1711</v>
      </c>
      <c r="J116" s="27">
        <v>16</v>
      </c>
      <c r="K116" s="27">
        <v>16</v>
      </c>
    </row>
    <row r="117" spans="9:11" x14ac:dyDescent="0.25">
      <c r="I117" s="62" t="s">
        <v>1929</v>
      </c>
      <c r="J117" s="27">
        <v>12</v>
      </c>
      <c r="K117" s="27">
        <v>12</v>
      </c>
    </row>
    <row r="118" spans="9:11" x14ac:dyDescent="0.25">
      <c r="I118" s="62" t="s">
        <v>2028</v>
      </c>
      <c r="J118" s="27">
        <v>12</v>
      </c>
      <c r="K118" s="27">
        <v>12</v>
      </c>
    </row>
    <row r="119" spans="9:11" x14ac:dyDescent="0.25">
      <c r="I119" s="62" t="s">
        <v>2195</v>
      </c>
      <c r="J119" s="27">
        <v>18</v>
      </c>
      <c r="K119" s="27">
        <v>18</v>
      </c>
    </row>
    <row r="120" spans="9:11" x14ac:dyDescent="0.25">
      <c r="I120" s="62" t="s">
        <v>2196</v>
      </c>
      <c r="J120" s="27">
        <v>9</v>
      </c>
      <c r="K120" s="27">
        <v>9</v>
      </c>
    </row>
    <row r="121" spans="9:11" x14ac:dyDescent="0.25">
      <c r="I121" s="62" t="s">
        <v>2326</v>
      </c>
      <c r="J121" s="27">
        <v>8</v>
      </c>
      <c r="K121" s="27">
        <v>8</v>
      </c>
    </row>
    <row r="122" spans="9:11" x14ac:dyDescent="0.25">
      <c r="I122" s="62" t="s">
        <v>2327</v>
      </c>
      <c r="J122" s="27">
        <v>5</v>
      </c>
      <c r="K122" s="27">
        <v>5</v>
      </c>
    </row>
    <row r="123" spans="9:11" x14ac:dyDescent="0.25">
      <c r="I123" s="62" t="s">
        <v>2418</v>
      </c>
      <c r="J123" s="27">
        <v>8</v>
      </c>
      <c r="K123" s="27">
        <v>8</v>
      </c>
    </row>
    <row r="124" spans="9:11" x14ac:dyDescent="0.25">
      <c r="I124" s="62" t="s">
        <v>2686</v>
      </c>
      <c r="J124" s="27">
        <v>6</v>
      </c>
      <c r="K124" s="27">
        <v>6</v>
      </c>
    </row>
    <row r="125" spans="9:11" x14ac:dyDescent="0.25">
      <c r="I125" s="62" t="s">
        <v>2687</v>
      </c>
      <c r="J125" s="27">
        <v>10</v>
      </c>
      <c r="K125" s="27">
        <v>10</v>
      </c>
    </row>
    <row r="126" spans="9:11" x14ac:dyDescent="0.25">
      <c r="I126" s="62" t="s">
        <v>2688</v>
      </c>
      <c r="J126" s="27">
        <v>10</v>
      </c>
      <c r="K126" s="27">
        <v>10</v>
      </c>
    </row>
    <row r="127" spans="9:11" x14ac:dyDescent="0.25">
      <c r="I127" s="62" t="s">
        <v>2793</v>
      </c>
      <c r="J127" s="27">
        <v>1</v>
      </c>
      <c r="K127" s="27">
        <v>1</v>
      </c>
    </row>
    <row r="128" spans="9:11" x14ac:dyDescent="0.25">
      <c r="I128" s="62" t="s">
        <v>100</v>
      </c>
      <c r="J128" s="27">
        <v>280</v>
      </c>
      <c r="K128" s="27">
        <v>280</v>
      </c>
    </row>
    <row r="138" spans="9:10" x14ac:dyDescent="0.25">
      <c r="I138" s="26" t="s">
        <v>271</v>
      </c>
      <c r="J138" s="26" t="s">
        <v>189</v>
      </c>
    </row>
    <row r="139" spans="9:10" x14ac:dyDescent="0.25">
      <c r="I139" s="26" t="s">
        <v>101</v>
      </c>
      <c r="J139" s="62" t="s">
        <v>100</v>
      </c>
    </row>
    <row r="140" spans="9:10" x14ac:dyDescent="0.25">
      <c r="I140" s="62" t="s">
        <v>100</v>
      </c>
      <c r="J140" s="27"/>
    </row>
    <row r="243" spans="1:4" x14ac:dyDescent="0.25">
      <c r="A243" s="26" t="s">
        <v>2</v>
      </c>
      <c r="B243" s="62" t="s">
        <v>99</v>
      </c>
    </row>
    <row r="244" spans="1:4" x14ac:dyDescent="0.25">
      <c r="A244" s="26" t="s">
        <v>184</v>
      </c>
      <c r="B244" s="62" t="s">
        <v>99</v>
      </c>
    </row>
    <row r="245" spans="1:4" x14ac:dyDescent="0.25">
      <c r="A245" s="26" t="s">
        <v>1</v>
      </c>
      <c r="B245" s="62" t="s">
        <v>99</v>
      </c>
    </row>
    <row r="246" spans="1:4" x14ac:dyDescent="0.25">
      <c r="A246" s="26" t="s">
        <v>3</v>
      </c>
      <c r="B246" s="62" t="s">
        <v>99</v>
      </c>
    </row>
    <row r="248" spans="1:4" x14ac:dyDescent="0.25">
      <c r="C248" s="26" t="s">
        <v>193</v>
      </c>
    </row>
    <row r="249" spans="1:4" x14ac:dyDescent="0.25">
      <c r="A249" s="26" t="s">
        <v>101</v>
      </c>
      <c r="B249" s="26" t="s">
        <v>141</v>
      </c>
      <c r="C249" s="62" t="s">
        <v>195</v>
      </c>
      <c r="D249" s="62" t="s">
        <v>194</v>
      </c>
    </row>
    <row r="250" spans="1:4" x14ac:dyDescent="0.25">
      <c r="A250" s="62" t="s">
        <v>83</v>
      </c>
      <c r="B250" s="62" t="s">
        <v>147</v>
      </c>
      <c r="C250" s="27">
        <v>5</v>
      </c>
      <c r="D250" s="27">
        <v>2</v>
      </c>
    </row>
    <row r="251" spans="1:4" x14ac:dyDescent="0.25">
      <c r="B251" s="62" t="s">
        <v>138</v>
      </c>
      <c r="C251" s="27">
        <v>2</v>
      </c>
      <c r="D251" s="27">
        <v>1</v>
      </c>
    </row>
    <row r="252" spans="1:4" x14ac:dyDescent="0.25">
      <c r="B252" s="62" t="s">
        <v>152</v>
      </c>
      <c r="C252" s="27">
        <v>22</v>
      </c>
      <c r="D252" s="27">
        <v>1</v>
      </c>
    </row>
    <row r="253" spans="1:4" x14ac:dyDescent="0.25">
      <c r="B253" s="62" t="s">
        <v>148</v>
      </c>
      <c r="C253" s="27">
        <v>29</v>
      </c>
      <c r="D253" s="27">
        <v>3</v>
      </c>
    </row>
    <row r="254" spans="1:4" x14ac:dyDescent="0.25">
      <c r="B254" s="62" t="s">
        <v>91</v>
      </c>
      <c r="C254" s="27">
        <v>11</v>
      </c>
      <c r="D254" s="27">
        <v>1</v>
      </c>
    </row>
    <row r="255" spans="1:4" x14ac:dyDescent="0.25">
      <c r="B255" s="62" t="s">
        <v>167</v>
      </c>
      <c r="C255" s="27">
        <v>1</v>
      </c>
      <c r="D255" s="27"/>
    </row>
    <row r="256" spans="1:4" x14ac:dyDescent="0.25">
      <c r="B256" s="62" t="s">
        <v>109</v>
      </c>
      <c r="C256" s="27">
        <v>6</v>
      </c>
      <c r="D256" s="27"/>
    </row>
    <row r="257" spans="2:4" x14ac:dyDescent="0.25">
      <c r="B257" s="62" t="s">
        <v>125</v>
      </c>
      <c r="C257" s="27">
        <v>2</v>
      </c>
      <c r="D257" s="27">
        <v>1</v>
      </c>
    </row>
    <row r="258" spans="2:4" x14ac:dyDescent="0.25">
      <c r="B258" s="62" t="s">
        <v>151</v>
      </c>
      <c r="C258" s="27">
        <v>4</v>
      </c>
      <c r="D258" s="27">
        <v>2</v>
      </c>
    </row>
    <row r="259" spans="2:4" x14ac:dyDescent="0.25">
      <c r="B259" s="62" t="s">
        <v>162</v>
      </c>
      <c r="C259" s="27">
        <v>3</v>
      </c>
      <c r="D259" s="27">
        <v>2</v>
      </c>
    </row>
    <row r="260" spans="2:4" x14ac:dyDescent="0.25">
      <c r="B260" s="62" t="s">
        <v>164</v>
      </c>
      <c r="C260" s="27">
        <v>6</v>
      </c>
      <c r="D260" s="27"/>
    </row>
    <row r="261" spans="2:4" x14ac:dyDescent="0.25">
      <c r="B261" s="62" t="s">
        <v>144</v>
      </c>
      <c r="C261" s="27">
        <v>2</v>
      </c>
      <c r="D261" s="27"/>
    </row>
    <row r="262" spans="2:4" x14ac:dyDescent="0.25">
      <c r="B262" s="62" t="s">
        <v>1368</v>
      </c>
      <c r="C262" s="27">
        <v>5</v>
      </c>
      <c r="D262" s="27">
        <v>4</v>
      </c>
    </row>
    <row r="263" spans="2:4" x14ac:dyDescent="0.25">
      <c r="B263" s="62" t="s">
        <v>156</v>
      </c>
      <c r="C263" s="27">
        <v>40</v>
      </c>
      <c r="D263" s="27">
        <v>6</v>
      </c>
    </row>
    <row r="264" spans="2:4" x14ac:dyDescent="0.25">
      <c r="B264" s="62" t="s">
        <v>116</v>
      </c>
      <c r="C264" s="27">
        <v>1</v>
      </c>
      <c r="D264" s="27"/>
    </row>
    <row r="265" spans="2:4" x14ac:dyDescent="0.25">
      <c r="B265" s="62" t="s">
        <v>114</v>
      </c>
      <c r="C265" s="27">
        <v>20</v>
      </c>
      <c r="D265" s="27">
        <v>12</v>
      </c>
    </row>
    <row r="266" spans="2:4" x14ac:dyDescent="0.25">
      <c r="B266" s="62" t="s">
        <v>353</v>
      </c>
      <c r="C266" s="27">
        <v>27</v>
      </c>
      <c r="D266" s="27"/>
    </row>
    <row r="267" spans="2:4" x14ac:dyDescent="0.25">
      <c r="B267" s="62" t="s">
        <v>264</v>
      </c>
      <c r="C267" s="27">
        <v>31</v>
      </c>
      <c r="D267" s="27">
        <v>9</v>
      </c>
    </row>
    <row r="268" spans="2:4" x14ac:dyDescent="0.25">
      <c r="B268" s="62" t="s">
        <v>265</v>
      </c>
      <c r="C268" s="27">
        <v>3</v>
      </c>
      <c r="D268" s="27">
        <v>1</v>
      </c>
    </row>
    <row r="269" spans="2:4" x14ac:dyDescent="0.25">
      <c r="B269" s="62" t="s">
        <v>272</v>
      </c>
      <c r="C269" s="27">
        <v>6</v>
      </c>
      <c r="D269" s="27">
        <v>5</v>
      </c>
    </row>
    <row r="270" spans="2:4" x14ac:dyDescent="0.25">
      <c r="B270" s="62" t="s">
        <v>273</v>
      </c>
      <c r="C270" s="27">
        <v>1</v>
      </c>
      <c r="D270" s="27"/>
    </row>
    <row r="271" spans="2:4" x14ac:dyDescent="0.25">
      <c r="B271" s="62" t="s">
        <v>2360</v>
      </c>
      <c r="C271" s="27">
        <v>4</v>
      </c>
      <c r="D271" s="27">
        <v>1</v>
      </c>
    </row>
    <row r="272" spans="2:4" x14ac:dyDescent="0.25">
      <c r="B272" s="62" t="s">
        <v>287</v>
      </c>
      <c r="C272" s="27">
        <v>4</v>
      </c>
      <c r="D272" s="27">
        <v>1</v>
      </c>
    </row>
    <row r="273" spans="1:4" x14ac:dyDescent="0.25">
      <c r="B273" s="62" t="s">
        <v>288</v>
      </c>
      <c r="C273" s="27">
        <v>2</v>
      </c>
      <c r="D273" s="27"/>
    </row>
    <row r="274" spans="1:4" x14ac:dyDescent="0.25">
      <c r="B274" s="62" t="s">
        <v>299</v>
      </c>
      <c r="C274" s="27">
        <v>6</v>
      </c>
      <c r="D274" s="27">
        <v>1</v>
      </c>
    </row>
    <row r="275" spans="1:4" x14ac:dyDescent="0.25">
      <c r="B275" s="62" t="s">
        <v>301</v>
      </c>
      <c r="C275" s="27">
        <v>1</v>
      </c>
      <c r="D275" s="27"/>
    </row>
    <row r="276" spans="1:4" x14ac:dyDescent="0.25">
      <c r="B276" s="62" t="s">
        <v>302</v>
      </c>
      <c r="C276" s="27">
        <v>7</v>
      </c>
      <c r="D276" s="27"/>
    </row>
    <row r="277" spans="1:4" x14ac:dyDescent="0.25">
      <c r="B277" s="62" t="s">
        <v>324</v>
      </c>
      <c r="C277" s="27">
        <v>2</v>
      </c>
      <c r="D277" s="27">
        <v>1</v>
      </c>
    </row>
    <row r="278" spans="1:4" x14ac:dyDescent="0.25">
      <c r="B278" s="62" t="s">
        <v>325</v>
      </c>
      <c r="C278" s="27">
        <v>14</v>
      </c>
      <c r="D278" s="27"/>
    </row>
    <row r="279" spans="1:4" x14ac:dyDescent="0.25">
      <c r="B279" s="62" t="s">
        <v>332</v>
      </c>
      <c r="C279" s="27">
        <v>3</v>
      </c>
      <c r="D279" s="27"/>
    </row>
    <row r="280" spans="1:4" x14ac:dyDescent="0.25">
      <c r="A280" s="62" t="s">
        <v>179</v>
      </c>
      <c r="B280" s="62"/>
      <c r="C280" s="27">
        <v>270</v>
      </c>
      <c r="D280" s="27">
        <v>54</v>
      </c>
    </row>
    <row r="281" spans="1:4" x14ac:dyDescent="0.25">
      <c r="A281" s="62" t="s">
        <v>79</v>
      </c>
      <c r="B281" s="62" t="s">
        <v>147</v>
      </c>
      <c r="C281" s="27">
        <v>44</v>
      </c>
      <c r="D281" s="27">
        <v>7</v>
      </c>
    </row>
    <row r="282" spans="1:4" x14ac:dyDescent="0.25">
      <c r="B282" s="62" t="s">
        <v>138</v>
      </c>
      <c r="C282" s="27">
        <v>45</v>
      </c>
      <c r="D282" s="27">
        <v>5</v>
      </c>
    </row>
    <row r="283" spans="1:4" x14ac:dyDescent="0.25">
      <c r="B283" s="62" t="s">
        <v>152</v>
      </c>
      <c r="C283" s="27">
        <v>11</v>
      </c>
      <c r="D283" s="27"/>
    </row>
    <row r="284" spans="1:4" x14ac:dyDescent="0.25">
      <c r="B284" s="62" t="s">
        <v>148</v>
      </c>
      <c r="C284" s="27">
        <v>22</v>
      </c>
      <c r="D284" s="27">
        <v>3</v>
      </c>
    </row>
    <row r="285" spans="1:4" x14ac:dyDescent="0.25">
      <c r="B285" s="62" t="s">
        <v>91</v>
      </c>
      <c r="C285" s="27">
        <v>31</v>
      </c>
      <c r="D285" s="27">
        <v>6</v>
      </c>
    </row>
    <row r="286" spans="1:4" x14ac:dyDescent="0.25">
      <c r="B286" s="62" t="s">
        <v>167</v>
      </c>
      <c r="C286" s="27">
        <v>58</v>
      </c>
      <c r="D286" s="27">
        <v>7</v>
      </c>
    </row>
    <row r="287" spans="1:4" x14ac:dyDescent="0.25">
      <c r="B287" s="62" t="s">
        <v>109</v>
      </c>
      <c r="C287" s="27">
        <v>4</v>
      </c>
      <c r="D287" s="27"/>
    </row>
    <row r="288" spans="1:4" x14ac:dyDescent="0.25">
      <c r="B288" s="62" t="s">
        <v>125</v>
      </c>
      <c r="C288" s="27">
        <v>17</v>
      </c>
      <c r="D288" s="27">
        <v>4</v>
      </c>
    </row>
    <row r="289" spans="2:4" x14ac:dyDescent="0.25">
      <c r="B289" s="62" t="s">
        <v>151</v>
      </c>
      <c r="C289" s="27">
        <v>1</v>
      </c>
      <c r="D289" s="27"/>
    </row>
    <row r="290" spans="2:4" x14ac:dyDescent="0.25">
      <c r="B290" s="62" t="s">
        <v>162</v>
      </c>
      <c r="C290" s="27">
        <v>26</v>
      </c>
      <c r="D290" s="27">
        <v>8</v>
      </c>
    </row>
    <row r="291" spans="2:4" x14ac:dyDescent="0.25">
      <c r="B291" s="62" t="s">
        <v>142</v>
      </c>
      <c r="C291" s="27">
        <v>33</v>
      </c>
      <c r="D291" s="27">
        <v>6</v>
      </c>
    </row>
    <row r="292" spans="2:4" x14ac:dyDescent="0.25">
      <c r="B292" s="62" t="s">
        <v>164</v>
      </c>
      <c r="C292" s="27">
        <v>7</v>
      </c>
      <c r="D292" s="27"/>
    </row>
    <row r="293" spans="2:4" x14ac:dyDescent="0.25">
      <c r="B293" s="62" t="s">
        <v>97</v>
      </c>
      <c r="C293" s="27">
        <v>22</v>
      </c>
      <c r="D293" s="27">
        <v>2</v>
      </c>
    </row>
    <row r="294" spans="2:4" x14ac:dyDescent="0.25">
      <c r="B294" s="62" t="s">
        <v>143</v>
      </c>
      <c r="C294" s="27">
        <v>11</v>
      </c>
      <c r="D294" s="27">
        <v>4</v>
      </c>
    </row>
    <row r="295" spans="2:4" x14ac:dyDescent="0.25">
      <c r="B295" s="62" t="s">
        <v>1368</v>
      </c>
      <c r="C295" s="27">
        <v>31</v>
      </c>
      <c r="D295" s="27">
        <v>9</v>
      </c>
    </row>
    <row r="296" spans="2:4" x14ac:dyDescent="0.25">
      <c r="B296" s="62" t="s">
        <v>95</v>
      </c>
      <c r="C296" s="27">
        <v>1</v>
      </c>
      <c r="D296" s="27"/>
    </row>
    <row r="297" spans="2:4" x14ac:dyDescent="0.25">
      <c r="B297" s="62" t="s">
        <v>156</v>
      </c>
      <c r="C297" s="27">
        <v>12</v>
      </c>
      <c r="D297" s="27">
        <v>1</v>
      </c>
    </row>
    <row r="298" spans="2:4" x14ac:dyDescent="0.25">
      <c r="B298" s="62" t="s">
        <v>145</v>
      </c>
      <c r="C298" s="27">
        <v>8</v>
      </c>
      <c r="D298" s="27"/>
    </row>
    <row r="299" spans="2:4" x14ac:dyDescent="0.25">
      <c r="B299" s="62" t="s">
        <v>168</v>
      </c>
      <c r="C299" s="27">
        <v>49</v>
      </c>
      <c r="D299" s="27">
        <v>5</v>
      </c>
    </row>
    <row r="300" spans="2:4" x14ac:dyDescent="0.25">
      <c r="B300" s="62" t="s">
        <v>116</v>
      </c>
      <c r="C300" s="27">
        <v>61</v>
      </c>
      <c r="D300" s="27">
        <v>2</v>
      </c>
    </row>
    <row r="301" spans="2:4" x14ac:dyDescent="0.25">
      <c r="B301" s="62" t="s">
        <v>114</v>
      </c>
      <c r="C301" s="27">
        <v>72</v>
      </c>
      <c r="D301" s="27">
        <v>21</v>
      </c>
    </row>
    <row r="302" spans="2:4" x14ac:dyDescent="0.25">
      <c r="B302" s="62" t="s">
        <v>353</v>
      </c>
      <c r="C302" s="27">
        <v>44</v>
      </c>
      <c r="D302" s="27">
        <v>6</v>
      </c>
    </row>
    <row r="303" spans="2:4" x14ac:dyDescent="0.25">
      <c r="B303" s="62" t="s">
        <v>183</v>
      </c>
      <c r="C303" s="27">
        <v>3</v>
      </c>
      <c r="D303" s="27"/>
    </row>
    <row r="304" spans="2:4" x14ac:dyDescent="0.25">
      <c r="B304" s="62" t="s">
        <v>264</v>
      </c>
      <c r="C304" s="27">
        <v>18</v>
      </c>
      <c r="D304" s="27"/>
    </row>
    <row r="305" spans="1:4" x14ac:dyDescent="0.25">
      <c r="B305" s="62" t="s">
        <v>265</v>
      </c>
      <c r="C305" s="27">
        <v>58</v>
      </c>
      <c r="D305" s="27">
        <v>20</v>
      </c>
    </row>
    <row r="306" spans="1:4" x14ac:dyDescent="0.25">
      <c r="B306" s="62" t="s">
        <v>272</v>
      </c>
      <c r="C306" s="27">
        <v>13</v>
      </c>
      <c r="D306" s="27">
        <v>4</v>
      </c>
    </row>
    <row r="307" spans="1:4" x14ac:dyDescent="0.25">
      <c r="B307" s="62" t="s">
        <v>273</v>
      </c>
      <c r="C307" s="27">
        <v>33</v>
      </c>
      <c r="D307" s="27">
        <v>6</v>
      </c>
    </row>
    <row r="308" spans="1:4" x14ac:dyDescent="0.25">
      <c r="B308" s="62" t="s">
        <v>285</v>
      </c>
      <c r="C308" s="27">
        <v>92</v>
      </c>
      <c r="D308" s="27">
        <v>21</v>
      </c>
    </row>
    <row r="309" spans="1:4" x14ac:dyDescent="0.25">
      <c r="B309" s="62" t="s">
        <v>286</v>
      </c>
      <c r="C309" s="27">
        <v>142</v>
      </c>
      <c r="D309" s="27">
        <v>15</v>
      </c>
    </row>
    <row r="310" spans="1:4" x14ac:dyDescent="0.25">
      <c r="B310" s="62" t="s">
        <v>287</v>
      </c>
      <c r="C310" s="27">
        <v>41</v>
      </c>
      <c r="D310" s="27">
        <v>7</v>
      </c>
    </row>
    <row r="311" spans="1:4" x14ac:dyDescent="0.25">
      <c r="B311" s="62" t="s">
        <v>299</v>
      </c>
      <c r="C311" s="27">
        <v>5</v>
      </c>
      <c r="D311" s="27"/>
    </row>
    <row r="312" spans="1:4" x14ac:dyDescent="0.25">
      <c r="B312" s="62" t="s">
        <v>301</v>
      </c>
      <c r="C312" s="27">
        <v>11</v>
      </c>
      <c r="D312" s="27">
        <v>4</v>
      </c>
    </row>
    <row r="313" spans="1:4" x14ac:dyDescent="0.25">
      <c r="B313" s="62" t="s">
        <v>302</v>
      </c>
      <c r="C313" s="27">
        <v>21</v>
      </c>
      <c r="D313" s="27"/>
    </row>
    <row r="314" spans="1:4" x14ac:dyDescent="0.25">
      <c r="B314" s="62" t="s">
        <v>304</v>
      </c>
      <c r="C314" s="27">
        <v>42</v>
      </c>
      <c r="D314" s="27">
        <v>6</v>
      </c>
    </row>
    <row r="315" spans="1:4" x14ac:dyDescent="0.25">
      <c r="B315" s="62" t="s">
        <v>306</v>
      </c>
      <c r="C315" s="27">
        <v>15</v>
      </c>
      <c r="D315" s="27">
        <v>4</v>
      </c>
    </row>
    <row r="316" spans="1:4" x14ac:dyDescent="0.25">
      <c r="B316" s="62" t="s">
        <v>324</v>
      </c>
      <c r="C316" s="27">
        <v>14</v>
      </c>
      <c r="D316" s="27">
        <v>3</v>
      </c>
    </row>
    <row r="317" spans="1:4" x14ac:dyDescent="0.25">
      <c r="B317" s="62" t="s">
        <v>325</v>
      </c>
      <c r="C317" s="27">
        <v>6</v>
      </c>
      <c r="D317" s="27">
        <v>1</v>
      </c>
    </row>
    <row r="318" spans="1:4" x14ac:dyDescent="0.25">
      <c r="B318" s="62" t="s">
        <v>332</v>
      </c>
      <c r="C318" s="27">
        <v>30</v>
      </c>
      <c r="D318" s="27"/>
    </row>
    <row r="319" spans="1:4" x14ac:dyDescent="0.25">
      <c r="A319" s="62" t="s">
        <v>102</v>
      </c>
      <c r="B319" s="62"/>
      <c r="C319" s="27">
        <v>1154</v>
      </c>
      <c r="D319" s="27">
        <v>187</v>
      </c>
    </row>
    <row r="320" spans="1:4" x14ac:dyDescent="0.25">
      <c r="A320" s="62" t="s">
        <v>100</v>
      </c>
      <c r="C320" s="27">
        <v>1424</v>
      </c>
      <c r="D320" s="27">
        <v>241</v>
      </c>
    </row>
  </sheetData>
  <mergeCells count="7">
    <mergeCell ref="AS69:AT69"/>
    <mergeCell ref="AG69:AH69"/>
    <mergeCell ref="AI69:AJ69"/>
    <mergeCell ref="AK69:AL69"/>
    <mergeCell ref="AM69:AN69"/>
    <mergeCell ref="AO69:AP69"/>
    <mergeCell ref="AQ69:AR6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5:S134"/>
  <sheetViews>
    <sheetView showGridLines="0" workbookViewId="0">
      <pane ySplit="5" topLeftCell="A15" activePane="bottomLeft" state="frozen"/>
      <selection pane="bottomLeft" activeCell="G227" sqref="G227"/>
    </sheetView>
  </sheetViews>
  <sheetFormatPr defaultColWidth="0" defaultRowHeight="15" x14ac:dyDescent="0.25"/>
  <cols>
    <col min="1" max="19" width="9.140625" customWidth="1"/>
    <col min="20" max="16384" width="9.140625" hidden="1"/>
  </cols>
  <sheetData>
    <row r="5" spans="1:19" ht="15.75" thickBot="1" x14ac:dyDescent="0.3"/>
    <row r="6" spans="1:19" ht="15" customHeight="1" x14ac:dyDescent="0.25">
      <c r="A6" s="567" t="s">
        <v>182</v>
      </c>
      <c r="B6" s="568"/>
      <c r="C6" s="568"/>
      <c r="D6" s="568"/>
      <c r="E6" s="568"/>
      <c r="F6" s="568"/>
      <c r="G6" s="568"/>
      <c r="H6" s="568"/>
      <c r="I6" s="568"/>
      <c r="J6" s="568"/>
      <c r="K6" s="568"/>
      <c r="L6" s="568"/>
      <c r="M6" s="568"/>
      <c r="N6" s="568"/>
      <c r="O6" s="568"/>
      <c r="P6" s="568"/>
      <c r="Q6" s="568"/>
      <c r="R6" s="568"/>
      <c r="S6" s="568"/>
    </row>
    <row r="7" spans="1:19" ht="15.75" customHeight="1" thickBot="1" x14ac:dyDescent="0.3">
      <c r="A7" s="569"/>
      <c r="B7" s="570"/>
      <c r="C7" s="570"/>
      <c r="D7" s="570"/>
      <c r="E7" s="570"/>
      <c r="F7" s="570"/>
      <c r="G7" s="570"/>
      <c r="H7" s="570"/>
      <c r="I7" s="570"/>
      <c r="J7" s="570"/>
      <c r="K7" s="570"/>
      <c r="L7" s="570"/>
      <c r="M7" s="570"/>
      <c r="N7" s="570"/>
      <c r="O7" s="570"/>
      <c r="P7" s="570"/>
      <c r="Q7" s="570"/>
      <c r="R7" s="570"/>
      <c r="S7" s="570"/>
    </row>
    <row r="14" spans="1:19" x14ac:dyDescent="0.25">
      <c r="O14" s="28"/>
    </row>
    <row r="36" spans="15:15" x14ac:dyDescent="0.25">
      <c r="O36" s="28"/>
    </row>
    <row r="58" spans="15:15" x14ac:dyDescent="0.25">
      <c r="O58" s="28"/>
    </row>
    <row r="74" spans="15:15" x14ac:dyDescent="0.25">
      <c r="O74" s="36"/>
    </row>
    <row r="134" spans="6:6" ht="18.75" x14ac:dyDescent="0.3">
      <c r="F134" s="61" t="s">
        <v>2557</v>
      </c>
    </row>
  </sheetData>
  <mergeCells count="1">
    <mergeCell ref="A6:S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0</xdr:col>
                <xdr:colOff>123825</xdr:colOff>
                <xdr:row>8</xdr:row>
                <xdr:rowOff>0</xdr:rowOff>
              </from>
              <to>
                <xdr:col>1</xdr:col>
                <xdr:colOff>590550</xdr:colOff>
                <xdr:row>9</xdr:row>
                <xdr:rowOff>76200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boBox1">
          <controlPr defaultSize="0" autoLine="0" r:id="rId7">
            <anchor moveWithCells="1">
              <from>
                <xdr:col>2</xdr:col>
                <xdr:colOff>57150</xdr:colOff>
                <xdr:row>8</xdr:row>
                <xdr:rowOff>0</xdr:rowOff>
              </from>
              <to>
                <xdr:col>4</xdr:col>
                <xdr:colOff>485775</xdr:colOff>
                <xdr:row>9</xdr:row>
                <xdr:rowOff>95250</xdr:rowOff>
              </to>
            </anchor>
          </controlPr>
        </control>
      </mc:Choice>
      <mc:Fallback>
        <control shapeId="3074" r:id="rId6" name="ComboBox1"/>
      </mc:Fallback>
    </mc:AlternateContent>
    <mc:AlternateContent xmlns:mc="http://schemas.openxmlformats.org/markup-compatibility/2006">
      <mc:Choice Requires="x14">
        <control shapeId="3075" r:id="rId8" name="CommandButton2">
          <controlPr defaultSize="0" autoLine="0" r:id="rId9">
            <anchor moveWithCells="1">
              <from>
                <xdr:col>11</xdr:col>
                <xdr:colOff>276225</xdr:colOff>
                <xdr:row>8</xdr:row>
                <xdr:rowOff>57150</xdr:rowOff>
              </from>
              <to>
                <xdr:col>13</xdr:col>
                <xdr:colOff>323850</xdr:colOff>
                <xdr:row>9</xdr:row>
                <xdr:rowOff>142875</xdr:rowOff>
              </to>
            </anchor>
          </controlPr>
        </control>
      </mc:Choice>
      <mc:Fallback>
        <control shapeId="3075" r:id="rId8" name="CommandButton2"/>
      </mc:Fallback>
    </mc:AlternateContent>
    <mc:AlternateContent xmlns:mc="http://schemas.openxmlformats.org/markup-compatibility/2006">
      <mc:Choice Requires="x14">
        <control shapeId="3076" r:id="rId10" name="ComboBox2">
          <controlPr defaultSize="0" autoLine="0" r:id="rId11">
            <anchor moveWithCells="1">
              <from>
                <xdr:col>13</xdr:col>
                <xdr:colOff>438150</xdr:colOff>
                <xdr:row>8</xdr:row>
                <xdr:rowOff>57150</xdr:rowOff>
              </from>
              <to>
                <xdr:col>16</xdr:col>
                <xdr:colOff>219075</xdr:colOff>
                <xdr:row>9</xdr:row>
                <xdr:rowOff>152400</xdr:rowOff>
              </to>
            </anchor>
          </controlPr>
        </control>
      </mc:Choice>
      <mc:Fallback>
        <control shapeId="3076" r:id="rId10" name="ComboBox2"/>
      </mc:Fallback>
    </mc:AlternateContent>
    <mc:AlternateContent xmlns:mc="http://schemas.openxmlformats.org/markup-compatibility/2006">
      <mc:Choice Requires="x14">
        <control shapeId="3079" r:id="rId12" name="CommandButton3">
          <controlPr defaultSize="0" autoLine="0" r:id="rId13">
            <anchor moveWithCells="1">
              <from>
                <xdr:col>5</xdr:col>
                <xdr:colOff>304800</xdr:colOff>
                <xdr:row>8</xdr:row>
                <xdr:rowOff>0</xdr:rowOff>
              </from>
              <to>
                <xdr:col>7</xdr:col>
                <xdr:colOff>95250</xdr:colOff>
                <xdr:row>9</xdr:row>
                <xdr:rowOff>76200</xdr:rowOff>
              </to>
            </anchor>
          </controlPr>
        </control>
      </mc:Choice>
      <mc:Fallback>
        <control shapeId="3079" r:id="rId12" name="CommandButton3"/>
      </mc:Fallback>
    </mc:AlternateContent>
    <mc:AlternateContent xmlns:mc="http://schemas.openxmlformats.org/markup-compatibility/2006">
      <mc:Choice Requires="x14">
        <control shapeId="3080" r:id="rId14" name="ComboBox3">
          <controlPr defaultSize="0" autoLine="0" r:id="rId15">
            <anchor moveWithCells="1">
              <from>
                <xdr:col>7</xdr:col>
                <xdr:colOff>209550</xdr:colOff>
                <xdr:row>8</xdr:row>
                <xdr:rowOff>19050</xdr:rowOff>
              </from>
              <to>
                <xdr:col>9</xdr:col>
                <xdr:colOff>504825</xdr:colOff>
                <xdr:row>9</xdr:row>
                <xdr:rowOff>85725</xdr:rowOff>
              </to>
            </anchor>
          </controlPr>
        </control>
      </mc:Choice>
      <mc:Fallback>
        <control shapeId="3080" r:id="rId14" name="ComboBox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AN1871"/>
  <sheetViews>
    <sheetView zoomScale="80" zoomScaleNormal="80" workbookViewId="0">
      <pane ySplit="5" topLeftCell="A1833" activePane="bottomLeft" state="frozen"/>
      <selection pane="bottomLeft" activeCell="J1850" sqref="J1850"/>
    </sheetView>
  </sheetViews>
  <sheetFormatPr defaultColWidth="9.140625" defaultRowHeight="15" x14ac:dyDescent="0.25"/>
  <cols>
    <col min="1" max="1" width="9.140625" style="1"/>
    <col min="2" max="2" width="18.42578125" style="6" bestFit="1" customWidth="1"/>
    <col min="3" max="3" width="13.140625" style="7" customWidth="1"/>
    <col min="4" max="4" width="12.7109375" style="7" customWidth="1"/>
    <col min="5" max="5" width="23.5703125" style="7" customWidth="1"/>
    <col min="6" max="6" width="11.5703125" style="7" customWidth="1"/>
    <col min="7" max="7" width="19.85546875" style="1" customWidth="1"/>
    <col min="8" max="8" width="15.85546875" style="1" customWidth="1"/>
    <col min="9" max="9" width="26.5703125" style="1" bestFit="1" customWidth="1"/>
    <col min="10" max="10" width="11.140625" style="1" customWidth="1"/>
    <col min="11" max="11" width="15.42578125" style="1" customWidth="1"/>
    <col min="12" max="12" width="12" style="1" customWidth="1"/>
    <col min="13" max="13" width="49.28515625" style="1" customWidth="1"/>
    <col min="14" max="15" width="19.85546875" style="1" customWidth="1"/>
    <col min="16" max="16" width="19.140625" style="1" customWidth="1"/>
    <col min="17" max="17" width="15.42578125" style="2" bestFit="1" customWidth="1"/>
    <col min="18" max="18" width="22.140625" style="1" customWidth="1"/>
    <col min="19" max="19" width="8.140625" style="1" customWidth="1"/>
    <col min="20" max="20" width="26.42578125" style="9" customWidth="1"/>
    <col min="21" max="21" width="18.42578125" style="1" customWidth="1"/>
    <col min="22" max="22" width="8.140625" style="1" customWidth="1"/>
    <col min="23" max="23" width="16.28515625" style="1" bestFit="1" customWidth="1"/>
    <col min="24" max="24" width="23.5703125" style="1" customWidth="1"/>
    <col min="25" max="25" width="17.5703125" style="1" bestFit="1" customWidth="1"/>
    <col min="26" max="26" width="25.5703125" style="1" bestFit="1" customWidth="1"/>
    <col min="27" max="27" width="19.140625" style="1" bestFit="1" customWidth="1"/>
    <col min="28" max="28" width="18.28515625" style="1" bestFit="1" customWidth="1"/>
    <col min="29" max="37" width="9.140625" style="1"/>
    <col min="38" max="38" width="12.5703125" style="1" customWidth="1"/>
    <col min="39" max="39" width="9.140625" style="1"/>
    <col min="40" max="40" width="16.42578125" style="1" customWidth="1"/>
    <col min="41" max="16384" width="9.140625" style="1"/>
  </cols>
  <sheetData>
    <row r="1" spans="2:40" x14ac:dyDescent="0.25">
      <c r="B1" s="11"/>
      <c r="C1" s="11"/>
      <c r="D1" s="11"/>
      <c r="E1" s="11"/>
      <c r="F1" s="11"/>
      <c r="AE1" s="5"/>
      <c r="AF1" s="5"/>
      <c r="AG1" s="5"/>
      <c r="AH1" s="5"/>
      <c r="AI1" s="5"/>
      <c r="AJ1" s="5"/>
      <c r="AK1" s="5"/>
      <c r="AL1" s="5"/>
      <c r="AN1" s="5"/>
    </row>
    <row r="2" spans="2:40" x14ac:dyDescent="0.25">
      <c r="B2" s="11"/>
      <c r="C2" s="11"/>
      <c r="D2" s="11"/>
      <c r="E2" s="11"/>
      <c r="F2" s="11"/>
      <c r="M2" s="5" t="s">
        <v>0</v>
      </c>
      <c r="AE2" s="3"/>
    </row>
    <row r="3" spans="2:40" ht="16.5" customHeight="1" x14ac:dyDescent="0.25">
      <c r="B3" s="11"/>
      <c r="C3" s="11"/>
      <c r="D3" s="11"/>
      <c r="E3" s="11"/>
      <c r="F3" s="11"/>
      <c r="AE3" s="4"/>
      <c r="AN3" s="9"/>
    </row>
    <row r="4" spans="2:40" ht="12" customHeight="1" x14ac:dyDescent="0.25">
      <c r="B4" s="11"/>
      <c r="C4" s="11"/>
      <c r="D4" s="11"/>
      <c r="E4" s="11"/>
      <c r="F4" s="11"/>
      <c r="AN4" s="9"/>
    </row>
    <row r="5" spans="2:40" ht="14.25" customHeight="1" x14ac:dyDescent="0.25">
      <c r="B5" s="12" t="s">
        <v>9</v>
      </c>
      <c r="C5" s="12" t="s">
        <v>25</v>
      </c>
      <c r="D5" s="12" t="s">
        <v>27</v>
      </c>
      <c r="E5" s="12" t="s">
        <v>184</v>
      </c>
      <c r="F5" s="12" t="s">
        <v>26</v>
      </c>
      <c r="G5" s="5" t="s">
        <v>22</v>
      </c>
      <c r="H5" s="5" t="s">
        <v>1</v>
      </c>
      <c r="I5" s="5" t="s">
        <v>196</v>
      </c>
      <c r="J5" s="5" t="s">
        <v>2</v>
      </c>
      <c r="K5" s="5" t="s">
        <v>3</v>
      </c>
      <c r="L5" s="5" t="s">
        <v>4</v>
      </c>
      <c r="M5" s="5" t="s">
        <v>5</v>
      </c>
      <c r="N5" s="5" t="s">
        <v>6</v>
      </c>
      <c r="O5" s="5" t="s">
        <v>141</v>
      </c>
      <c r="P5" s="5" t="s">
        <v>24</v>
      </c>
      <c r="Q5" s="5" t="s">
        <v>172</v>
      </c>
      <c r="R5" s="5" t="s">
        <v>23</v>
      </c>
      <c r="S5" s="5" t="s">
        <v>7</v>
      </c>
      <c r="T5" s="5" t="s">
        <v>15</v>
      </c>
      <c r="U5" s="5" t="s">
        <v>20</v>
      </c>
      <c r="V5" s="5" t="s">
        <v>13</v>
      </c>
      <c r="W5" s="5" t="s">
        <v>16</v>
      </c>
      <c r="X5" s="5" t="s">
        <v>14</v>
      </c>
      <c r="Y5" s="5" t="s">
        <v>8</v>
      </c>
      <c r="Z5" s="5" t="s">
        <v>326</v>
      </c>
      <c r="AA5" s="5" t="s">
        <v>327</v>
      </c>
      <c r="AB5" s="5" t="s">
        <v>329</v>
      </c>
      <c r="AC5" s="40"/>
      <c r="AF5" s="2"/>
      <c r="AG5" s="2"/>
      <c r="AH5" s="2"/>
      <c r="AN5" s="9"/>
    </row>
    <row r="6" spans="2:40" x14ac:dyDescent="0.25">
      <c r="B6" s="65">
        <v>41641</v>
      </c>
      <c r="D6" s="68">
        <f t="shared" ref="D6" si="0">IF(B6&gt;0,MONTH(B6),"False")</f>
        <v>1</v>
      </c>
      <c r="E6" s="66" t="str">
        <f t="shared" ref="E6" si="1">YEAR(B6) &amp; CHOOSE(D6,"-Jan","-Feb","-Mar","-Apr","-May","-Jun","-Jul","-Aug","-Sep","-Oct","-Nov","-Dec")</f>
        <v>2014-Jan</v>
      </c>
      <c r="F6" s="68" t="str">
        <f t="shared" ref="F6" si="2">IF(C6&gt;0,MONTH(C6),"False")</f>
        <v>False</v>
      </c>
      <c r="G6" s="118" t="s">
        <v>112</v>
      </c>
      <c r="H6" s="77" t="s">
        <v>280</v>
      </c>
      <c r="J6" s="77" t="s">
        <v>333</v>
      </c>
      <c r="K6" s="77" t="s">
        <v>82</v>
      </c>
      <c r="L6" s="77" t="s">
        <v>79</v>
      </c>
      <c r="M6" s="1" t="s">
        <v>492</v>
      </c>
      <c r="N6" s="77" t="s">
        <v>124</v>
      </c>
      <c r="O6" s="77" t="s">
        <v>116</v>
      </c>
      <c r="P6" s="64" t="s">
        <v>305</v>
      </c>
      <c r="R6" s="64" t="s">
        <v>482</v>
      </c>
      <c r="S6" s="118" t="s">
        <v>104</v>
      </c>
      <c r="T6" s="67" t="s">
        <v>110</v>
      </c>
      <c r="X6" s="118" t="s">
        <v>462</v>
      </c>
      <c r="Y6" s="77" t="str">
        <f t="shared" ref="Y6:Y8" si="3">IF(Q6&gt;0,"Obsolete",IF(S6&gt;0,S6,"Unknown"))</f>
        <v>Pass</v>
      </c>
      <c r="Z6" s="11" t="str">
        <f t="shared" ref="Z6:Z19" si="4">IF(Q6="Obsolete-LQA",C6,IF(Q6="Obsolete-IT",B6,""))</f>
        <v/>
      </c>
      <c r="AA6" s="124" t="str">
        <f t="shared" ref="AA6:AA19" si="5">IFERROR(YEAR(Z6)&amp;" - "&amp; IF(LEN( WEEKNUM(Z6))=1,"0" &amp; WEEKNUM(Z6),WEEKNUM(Z6)),"")</f>
        <v/>
      </c>
      <c r="AB6" s="124" t="str">
        <f t="shared" ref="AB6:AB19" si="6">IFERROR(YEAR(Z6),"")</f>
        <v/>
      </c>
    </row>
    <row r="7" spans="2:40" x14ac:dyDescent="0.25">
      <c r="B7" s="66">
        <v>41641</v>
      </c>
      <c r="C7" s="66">
        <v>41641</v>
      </c>
      <c r="D7" s="68">
        <f t="shared" ref="D7" si="7">IF(B7&gt;0,MONTH(B7),"False")</f>
        <v>1</v>
      </c>
      <c r="E7" s="66" t="str">
        <f t="shared" ref="E7" si="8">YEAR(B7) &amp; CHOOSE(D7,"-Jan","-Feb","-Mar","-Apr","-May","-Jun","-Jul","-Aug","-Sep","-Oct","-Nov","-Dec")</f>
        <v>2014-Jan</v>
      </c>
      <c r="F7" s="68">
        <f t="shared" ref="F7" si="9">IF(C7&gt;0,MONTH(C7),"False")</f>
        <v>1</v>
      </c>
      <c r="G7" s="126" t="s">
        <v>126</v>
      </c>
      <c r="H7" s="77" t="s">
        <v>280</v>
      </c>
      <c r="J7" s="77" t="s">
        <v>78</v>
      </c>
      <c r="K7" s="77" t="s">
        <v>78</v>
      </c>
      <c r="L7" s="77" t="s">
        <v>79</v>
      </c>
      <c r="M7" s="1" t="s">
        <v>493</v>
      </c>
      <c r="N7" s="77" t="s">
        <v>124</v>
      </c>
      <c r="O7" s="77" t="s">
        <v>494</v>
      </c>
      <c r="R7" s="64" t="s">
        <v>344</v>
      </c>
      <c r="S7" s="126" t="s">
        <v>104</v>
      </c>
      <c r="T7" s="67" t="s">
        <v>110</v>
      </c>
      <c r="X7" s="126" t="s">
        <v>544</v>
      </c>
      <c r="Y7" s="77" t="str">
        <f t="shared" si="3"/>
        <v>Pass</v>
      </c>
      <c r="Z7" s="11" t="str">
        <f t="shared" si="4"/>
        <v/>
      </c>
      <c r="AA7" s="124" t="str">
        <f t="shared" si="5"/>
        <v/>
      </c>
      <c r="AB7" s="124" t="str">
        <f t="shared" si="6"/>
        <v/>
      </c>
    </row>
    <row r="8" spans="2:40" x14ac:dyDescent="0.25">
      <c r="B8" s="65">
        <v>41642</v>
      </c>
      <c r="C8" s="66">
        <v>41642</v>
      </c>
      <c r="D8" s="68">
        <f t="shared" ref="D8" si="10">IF(B8&gt;0,MONTH(B8),"False")</f>
        <v>1</v>
      </c>
      <c r="E8" s="66" t="str">
        <f t="shared" ref="E8" si="11">YEAR(B8) &amp; CHOOSE(D8,"-Jan","-Feb","-Mar","-Apr","-May","-Jun","-Jul","-Aug","-Sep","-Oct","-Nov","-Dec")</f>
        <v>2014-Jan</v>
      </c>
      <c r="F8" s="68">
        <f t="shared" ref="F8" si="12">IF(C8&gt;0,MONTH(C8),"False")</f>
        <v>1</v>
      </c>
      <c r="G8" s="78" t="s">
        <v>93</v>
      </c>
      <c r="H8" s="78" t="s">
        <v>166</v>
      </c>
      <c r="J8" s="78" t="s">
        <v>81</v>
      </c>
      <c r="K8" s="78" t="s">
        <v>82</v>
      </c>
      <c r="L8" s="78" t="s">
        <v>79</v>
      </c>
      <c r="M8" s="1" t="s">
        <v>496</v>
      </c>
      <c r="N8" s="78" t="s">
        <v>124</v>
      </c>
      <c r="O8" s="78" t="s">
        <v>495</v>
      </c>
      <c r="P8" s="64" t="s">
        <v>289</v>
      </c>
      <c r="R8" s="64" t="s">
        <v>290</v>
      </c>
      <c r="Y8" s="77" t="str">
        <f t="shared" si="3"/>
        <v>Unknown</v>
      </c>
      <c r="Z8" s="11" t="str">
        <f t="shared" si="4"/>
        <v/>
      </c>
      <c r="AA8" s="124" t="str">
        <f t="shared" si="5"/>
        <v/>
      </c>
      <c r="AB8" s="124" t="str">
        <f t="shared" si="6"/>
        <v/>
      </c>
    </row>
    <row r="9" spans="2:40" x14ac:dyDescent="0.25">
      <c r="B9" s="65">
        <v>41642</v>
      </c>
      <c r="C9" s="66">
        <v>41642</v>
      </c>
      <c r="D9" s="68">
        <f t="shared" ref="D9" si="13">IF(B9&gt;0,MONTH(B9),"False")</f>
        <v>1</v>
      </c>
      <c r="E9" s="66" t="str">
        <f t="shared" ref="E9" si="14">YEAR(B9) &amp; CHOOSE(D9,"-Jan","-Feb","-Mar","-Apr","-May","-Jun","-Jul","-Aug","-Sep","-Oct","-Nov","-Dec")</f>
        <v>2014-Jan</v>
      </c>
      <c r="F9" s="68">
        <f t="shared" ref="F9" si="15">IF(C9&gt;0,MONTH(C9),"False")</f>
        <v>1</v>
      </c>
      <c r="G9" s="82" t="s">
        <v>121</v>
      </c>
      <c r="H9" s="78" t="s">
        <v>266</v>
      </c>
      <c r="J9" s="78" t="s">
        <v>275</v>
      </c>
      <c r="K9" s="78" t="s">
        <v>84</v>
      </c>
      <c r="L9" s="78" t="s">
        <v>83</v>
      </c>
      <c r="M9" s="1" t="s">
        <v>497</v>
      </c>
      <c r="N9" s="78" t="s">
        <v>124</v>
      </c>
      <c r="O9" s="78" t="s">
        <v>273</v>
      </c>
      <c r="P9" s="64" t="s">
        <v>498</v>
      </c>
      <c r="R9" s="64" t="s">
        <v>514</v>
      </c>
      <c r="S9" s="82" t="s">
        <v>104</v>
      </c>
      <c r="X9" s="82" t="s">
        <v>524</v>
      </c>
      <c r="Y9" s="77" t="str">
        <f t="shared" ref="Y9:Y74" si="16">IF(Q9&gt;0,"Obsolete",IF(S9&gt;0,S9,"Unknown"))</f>
        <v>Pass</v>
      </c>
      <c r="Z9" s="11" t="str">
        <f t="shared" si="4"/>
        <v/>
      </c>
      <c r="AA9" s="124" t="str">
        <f t="shared" si="5"/>
        <v/>
      </c>
      <c r="AB9" s="124" t="str">
        <f t="shared" si="6"/>
        <v/>
      </c>
    </row>
    <row r="10" spans="2:40" x14ac:dyDescent="0.25">
      <c r="B10" s="65">
        <v>41642</v>
      </c>
      <c r="C10" s="66">
        <v>41642</v>
      </c>
      <c r="D10" s="68">
        <f t="shared" ref="D10:D11" si="17">IF(B10&gt;0,MONTH(B10),"False")</f>
        <v>1</v>
      </c>
      <c r="E10" s="66" t="str">
        <f t="shared" ref="E10:E11" si="18">YEAR(B10) &amp; CHOOSE(D10,"-Jan","-Feb","-Mar","-Apr","-May","-Jun","-Jul","-Aug","-Sep","-Oct","-Nov","-Dec")</f>
        <v>2014-Jan</v>
      </c>
      <c r="F10" s="68">
        <f t="shared" ref="F10:F11" si="19">IF(C10&gt;0,MONTH(C10),"False")</f>
        <v>1</v>
      </c>
      <c r="G10" s="78" t="s">
        <v>93</v>
      </c>
      <c r="H10" s="78" t="s">
        <v>280</v>
      </c>
      <c r="J10" s="78" t="s">
        <v>146</v>
      </c>
      <c r="K10" s="78" t="s">
        <v>82</v>
      </c>
      <c r="L10" s="78" t="s">
        <v>79</v>
      </c>
      <c r="M10" s="1" t="s">
        <v>499</v>
      </c>
      <c r="N10" s="78" t="s">
        <v>124</v>
      </c>
      <c r="O10" s="78" t="s">
        <v>285</v>
      </c>
      <c r="P10" s="64" t="s">
        <v>305</v>
      </c>
      <c r="R10" s="64" t="s">
        <v>474</v>
      </c>
      <c r="S10" s="291" t="s">
        <v>104</v>
      </c>
      <c r="Y10" s="77" t="str">
        <f t="shared" si="16"/>
        <v>Pass</v>
      </c>
      <c r="Z10" s="11" t="str">
        <f t="shared" si="4"/>
        <v/>
      </c>
      <c r="AA10" s="124" t="str">
        <f t="shared" si="5"/>
        <v/>
      </c>
      <c r="AB10" s="124" t="str">
        <f t="shared" si="6"/>
        <v/>
      </c>
    </row>
    <row r="11" spans="2:40" x14ac:dyDescent="0.25">
      <c r="B11" s="65">
        <v>41642</v>
      </c>
      <c r="C11" s="66"/>
      <c r="D11" s="68">
        <f t="shared" si="17"/>
        <v>1</v>
      </c>
      <c r="E11" s="66" t="str">
        <f t="shared" si="18"/>
        <v>2014-Jan</v>
      </c>
      <c r="F11" s="68" t="str">
        <f t="shared" si="19"/>
        <v>False</v>
      </c>
      <c r="G11" s="78" t="s">
        <v>75</v>
      </c>
      <c r="H11" s="78" t="s">
        <v>348</v>
      </c>
      <c r="J11" s="78" t="s">
        <v>77</v>
      </c>
      <c r="K11" s="78" t="s">
        <v>82</v>
      </c>
      <c r="L11" s="78" t="s">
        <v>79</v>
      </c>
      <c r="M11" s="1" t="s">
        <v>500</v>
      </c>
      <c r="N11" s="78" t="s">
        <v>124</v>
      </c>
      <c r="O11" s="78" t="s">
        <v>343</v>
      </c>
      <c r="P11" s="64" t="s">
        <v>352</v>
      </c>
      <c r="Q11" s="2" t="s">
        <v>94</v>
      </c>
      <c r="Y11" s="77" t="str">
        <f t="shared" si="16"/>
        <v>Obsolete</v>
      </c>
      <c r="Z11" s="11">
        <f t="shared" si="4"/>
        <v>41642</v>
      </c>
      <c r="AA11" s="124" t="str">
        <f t="shared" si="5"/>
        <v>2014 - 01</v>
      </c>
      <c r="AB11" s="124">
        <f t="shared" si="6"/>
        <v>2014</v>
      </c>
    </row>
    <row r="12" spans="2:40" x14ac:dyDescent="0.25">
      <c r="B12" s="65">
        <v>41642</v>
      </c>
      <c r="C12" s="66">
        <v>41649</v>
      </c>
      <c r="D12" s="68">
        <f t="shared" ref="D12:D16" si="20">IF(B12&gt;0,MONTH(B12),"False")</f>
        <v>1</v>
      </c>
      <c r="E12" s="66" t="str">
        <f t="shared" ref="E12:E16" si="21">YEAR(B12) &amp; CHOOSE(D12,"-Jan","-Feb","-Mar","-Apr","-May","-Jun","-Jul","-Aug","-Sep","-Oct","-Nov","-Dec")</f>
        <v>2014-Jan</v>
      </c>
      <c r="F12" s="68">
        <f t="shared" ref="F12:F16" si="22">IF(C12&gt;0,MONTH(C12),"False")</f>
        <v>1</v>
      </c>
      <c r="G12" s="104" t="s">
        <v>121</v>
      </c>
      <c r="H12" s="78" t="s">
        <v>348</v>
      </c>
      <c r="I12" s="78"/>
      <c r="J12" s="78" t="s">
        <v>77</v>
      </c>
      <c r="K12" s="78" t="s">
        <v>82</v>
      </c>
      <c r="L12" s="78" t="s">
        <v>79</v>
      </c>
      <c r="M12" s="78" t="s">
        <v>501</v>
      </c>
      <c r="N12" s="78" t="s">
        <v>124</v>
      </c>
      <c r="O12" s="78" t="s">
        <v>343</v>
      </c>
      <c r="P12" s="64" t="s">
        <v>352</v>
      </c>
      <c r="R12" s="64" t="s">
        <v>355</v>
      </c>
      <c r="S12" s="104" t="s">
        <v>104</v>
      </c>
      <c r="X12" s="104" t="s">
        <v>259</v>
      </c>
      <c r="Y12" s="77" t="str">
        <f t="shared" si="16"/>
        <v>Pass</v>
      </c>
      <c r="Z12" s="11" t="str">
        <f t="shared" si="4"/>
        <v/>
      </c>
      <c r="AA12" s="124" t="str">
        <f t="shared" si="5"/>
        <v/>
      </c>
      <c r="AB12" s="124" t="str">
        <f t="shared" si="6"/>
        <v/>
      </c>
    </row>
    <row r="13" spans="2:40" x14ac:dyDescent="0.25">
      <c r="B13" s="65">
        <v>41642</v>
      </c>
      <c r="C13" s="66"/>
      <c r="D13" s="68">
        <f t="shared" si="20"/>
        <v>1</v>
      </c>
      <c r="E13" s="66" t="str">
        <f t="shared" si="21"/>
        <v>2014-Jan</v>
      </c>
      <c r="F13" s="68" t="str">
        <f t="shared" si="22"/>
        <v>False</v>
      </c>
      <c r="G13" s="78" t="s">
        <v>75</v>
      </c>
      <c r="H13" s="78" t="s">
        <v>348</v>
      </c>
      <c r="I13" s="78"/>
      <c r="J13" s="78" t="s">
        <v>77</v>
      </c>
      <c r="K13" s="78" t="s">
        <v>82</v>
      </c>
      <c r="L13" s="78" t="s">
        <v>79</v>
      </c>
      <c r="M13" s="78" t="s">
        <v>502</v>
      </c>
      <c r="N13" s="78" t="s">
        <v>124</v>
      </c>
      <c r="O13" s="78" t="s">
        <v>343</v>
      </c>
      <c r="P13" s="64" t="s">
        <v>352</v>
      </c>
      <c r="Q13" s="2" t="s">
        <v>94</v>
      </c>
      <c r="Y13" s="81" t="str">
        <f t="shared" si="16"/>
        <v>Obsolete</v>
      </c>
      <c r="Z13" s="11">
        <f t="shared" si="4"/>
        <v>41642</v>
      </c>
      <c r="AA13" s="124" t="str">
        <f t="shared" si="5"/>
        <v>2014 - 01</v>
      </c>
      <c r="AB13" s="124">
        <f t="shared" si="6"/>
        <v>2014</v>
      </c>
    </row>
    <row r="14" spans="2:40" x14ac:dyDescent="0.25">
      <c r="B14" s="65">
        <v>41642</v>
      </c>
      <c r="C14" s="66"/>
      <c r="D14" s="68">
        <f t="shared" si="20"/>
        <v>1</v>
      </c>
      <c r="E14" s="66" t="str">
        <f t="shared" si="21"/>
        <v>2014-Jan</v>
      </c>
      <c r="F14" s="68" t="str">
        <f t="shared" si="22"/>
        <v>False</v>
      </c>
      <c r="G14" s="78" t="s">
        <v>75</v>
      </c>
      <c r="H14" s="78" t="s">
        <v>348</v>
      </c>
      <c r="I14" s="78"/>
      <c r="J14" s="78" t="s">
        <v>77</v>
      </c>
      <c r="K14" s="78" t="s">
        <v>82</v>
      </c>
      <c r="L14" s="78" t="s">
        <v>79</v>
      </c>
      <c r="M14" s="78" t="s">
        <v>503</v>
      </c>
      <c r="N14" s="78" t="s">
        <v>124</v>
      </c>
      <c r="O14" s="78" t="s">
        <v>343</v>
      </c>
      <c r="P14" s="64" t="s">
        <v>352</v>
      </c>
      <c r="Q14" s="2" t="s">
        <v>94</v>
      </c>
      <c r="Y14" s="81" t="str">
        <f t="shared" si="16"/>
        <v>Obsolete</v>
      </c>
      <c r="Z14" s="11">
        <f t="shared" si="4"/>
        <v>41642</v>
      </c>
      <c r="AA14" s="124" t="str">
        <f t="shared" si="5"/>
        <v>2014 - 01</v>
      </c>
      <c r="AB14" s="124">
        <f t="shared" si="6"/>
        <v>2014</v>
      </c>
    </row>
    <row r="15" spans="2:40" x14ac:dyDescent="0.25">
      <c r="B15" s="65">
        <v>41642</v>
      </c>
      <c r="C15" s="66"/>
      <c r="D15" s="68">
        <f t="shared" si="20"/>
        <v>1</v>
      </c>
      <c r="E15" s="66" t="str">
        <f t="shared" si="21"/>
        <v>2014-Jan</v>
      </c>
      <c r="F15" s="68" t="str">
        <f t="shared" si="22"/>
        <v>False</v>
      </c>
      <c r="G15" s="78" t="s">
        <v>75</v>
      </c>
      <c r="H15" s="78" t="s">
        <v>348</v>
      </c>
      <c r="I15" s="78"/>
      <c r="J15" s="78" t="s">
        <v>77</v>
      </c>
      <c r="K15" s="78" t="s">
        <v>82</v>
      </c>
      <c r="L15" s="78" t="s">
        <v>79</v>
      </c>
      <c r="M15" s="78" t="s">
        <v>504</v>
      </c>
      <c r="N15" s="78" t="s">
        <v>124</v>
      </c>
      <c r="O15" s="78" t="s">
        <v>343</v>
      </c>
      <c r="P15" s="64" t="s">
        <v>352</v>
      </c>
      <c r="Q15" s="2" t="s">
        <v>94</v>
      </c>
      <c r="Y15" s="81" t="str">
        <f t="shared" si="16"/>
        <v>Obsolete</v>
      </c>
      <c r="Z15" s="11">
        <f t="shared" si="4"/>
        <v>41642</v>
      </c>
      <c r="AA15" s="124" t="str">
        <f t="shared" si="5"/>
        <v>2014 - 01</v>
      </c>
      <c r="AB15" s="124">
        <f t="shared" si="6"/>
        <v>2014</v>
      </c>
    </row>
    <row r="16" spans="2:40" x14ac:dyDescent="0.25">
      <c r="B16" s="65">
        <v>41643</v>
      </c>
      <c r="C16" s="66">
        <v>41643</v>
      </c>
      <c r="D16" s="68">
        <f t="shared" si="20"/>
        <v>1</v>
      </c>
      <c r="E16" s="66" t="str">
        <f t="shared" si="21"/>
        <v>2014-Jan</v>
      </c>
      <c r="F16" s="68">
        <f t="shared" si="22"/>
        <v>1</v>
      </c>
      <c r="G16" s="98" t="s">
        <v>127</v>
      </c>
      <c r="H16" s="78" t="s">
        <v>28</v>
      </c>
      <c r="J16" s="78" t="s">
        <v>77</v>
      </c>
      <c r="K16" s="78" t="s">
        <v>82</v>
      </c>
      <c r="L16" s="78" t="s">
        <v>79</v>
      </c>
      <c r="M16" s="1" t="s">
        <v>505</v>
      </c>
      <c r="N16" s="78" t="s">
        <v>124</v>
      </c>
      <c r="O16" s="78" t="s">
        <v>167</v>
      </c>
      <c r="P16" s="64" t="s">
        <v>334</v>
      </c>
      <c r="R16" s="64" t="s">
        <v>335</v>
      </c>
      <c r="S16" s="98" t="s">
        <v>104</v>
      </c>
      <c r="X16" s="98" t="s">
        <v>670</v>
      </c>
      <c r="Y16" s="81" t="str">
        <f t="shared" si="16"/>
        <v>Pass</v>
      </c>
      <c r="Z16" s="11" t="str">
        <f t="shared" si="4"/>
        <v/>
      </c>
      <c r="AA16" s="124" t="str">
        <f t="shared" si="5"/>
        <v/>
      </c>
      <c r="AB16" s="124" t="str">
        <f t="shared" si="6"/>
        <v/>
      </c>
    </row>
    <row r="17" spans="2:28" x14ac:dyDescent="0.25">
      <c r="B17" s="65">
        <v>41644</v>
      </c>
      <c r="C17" s="66">
        <v>41644</v>
      </c>
      <c r="D17" s="68">
        <f t="shared" ref="D17" si="23">IF(B17&gt;0,MONTH(B17),"False")</f>
        <v>1</v>
      </c>
      <c r="E17" s="66" t="str">
        <f t="shared" ref="E17" si="24">YEAR(B17) &amp; CHOOSE(D17,"-Jan","-Feb","-Mar","-Apr","-May","-Jun","-Jul","-Aug","-Sep","-Oct","-Nov","-Dec")</f>
        <v>2014-Jan</v>
      </c>
      <c r="F17" s="68">
        <f t="shared" ref="F17" si="25">IF(C17&gt;0,MONTH(C17),"False")</f>
        <v>1</v>
      </c>
      <c r="G17" s="85" t="s">
        <v>121</v>
      </c>
      <c r="H17" s="78" t="s">
        <v>115</v>
      </c>
      <c r="J17" s="78" t="s">
        <v>77</v>
      </c>
      <c r="K17" s="78" t="s">
        <v>82</v>
      </c>
      <c r="L17" s="78" t="s">
        <v>79</v>
      </c>
      <c r="M17" s="1" t="s">
        <v>506</v>
      </c>
      <c r="N17" s="78" t="s">
        <v>507</v>
      </c>
      <c r="O17" s="78" t="s">
        <v>507</v>
      </c>
      <c r="P17" s="64" t="s">
        <v>405</v>
      </c>
      <c r="R17" s="64" t="s">
        <v>480</v>
      </c>
      <c r="S17" s="85" t="s">
        <v>104</v>
      </c>
      <c r="X17" s="85" t="s">
        <v>159</v>
      </c>
      <c r="Y17" s="81" t="str">
        <f t="shared" si="16"/>
        <v>Pass</v>
      </c>
      <c r="Z17" s="11" t="str">
        <f t="shared" si="4"/>
        <v/>
      </c>
      <c r="AA17" s="124" t="str">
        <f t="shared" si="5"/>
        <v/>
      </c>
      <c r="AB17" s="124" t="str">
        <f t="shared" si="6"/>
        <v/>
      </c>
    </row>
    <row r="18" spans="2:28" x14ac:dyDescent="0.25">
      <c r="B18" s="65">
        <v>41645</v>
      </c>
      <c r="C18" s="66">
        <v>41648</v>
      </c>
      <c r="D18" s="68">
        <f t="shared" ref="D18" si="26">IF(B18&gt;0,MONTH(B18),"False")</f>
        <v>1</v>
      </c>
      <c r="E18" s="66" t="str">
        <f t="shared" ref="E18" si="27">YEAR(B18) &amp; CHOOSE(D18,"-Jan","-Feb","-Mar","-Apr","-May","-Jun","-Jul","-Aug","-Sep","-Oct","-Nov","-Dec")</f>
        <v>2014-Jan</v>
      </c>
      <c r="F18" s="68">
        <f t="shared" ref="F18" si="28">IF(C18&gt;0,MONTH(C18),"False")</f>
        <v>1</v>
      </c>
      <c r="G18" s="104" t="s">
        <v>121</v>
      </c>
      <c r="H18" s="79" t="s">
        <v>166</v>
      </c>
      <c r="J18" s="79" t="s">
        <v>77</v>
      </c>
      <c r="K18" s="79" t="s">
        <v>82</v>
      </c>
      <c r="L18" s="79" t="s">
        <v>79</v>
      </c>
      <c r="M18" s="1" t="s">
        <v>508</v>
      </c>
      <c r="N18" s="79" t="s">
        <v>124</v>
      </c>
      <c r="O18" s="79" t="s">
        <v>509</v>
      </c>
      <c r="P18" s="64" t="s">
        <v>319</v>
      </c>
      <c r="R18" s="64" t="s">
        <v>320</v>
      </c>
      <c r="S18" s="104" t="s">
        <v>104</v>
      </c>
      <c r="X18" s="104" t="s">
        <v>259</v>
      </c>
      <c r="Y18" s="81" t="str">
        <f t="shared" si="16"/>
        <v>Pass</v>
      </c>
      <c r="Z18" s="11" t="str">
        <f t="shared" si="4"/>
        <v/>
      </c>
      <c r="AA18" s="124" t="str">
        <f t="shared" si="5"/>
        <v/>
      </c>
      <c r="AB18" s="124" t="str">
        <f t="shared" si="6"/>
        <v/>
      </c>
    </row>
    <row r="19" spans="2:28" x14ac:dyDescent="0.25">
      <c r="B19" s="65">
        <v>41645</v>
      </c>
      <c r="C19" s="66">
        <v>41646</v>
      </c>
      <c r="D19" s="68">
        <f t="shared" ref="D19" si="29">IF(B19&gt;0,MONTH(B19),"False")</f>
        <v>1</v>
      </c>
      <c r="E19" s="66" t="str">
        <f t="shared" ref="E19" si="30">YEAR(B19) &amp; CHOOSE(D19,"-Jan","-Feb","-Mar","-Apr","-May","-Jun","-Jul","-Aug","-Sep","-Oct","-Nov","-Dec")</f>
        <v>2014-Jan</v>
      </c>
      <c r="F19" s="68">
        <f t="shared" ref="F19" si="31">IF(C19&gt;0,MONTH(C19),"False")</f>
        <v>1</v>
      </c>
      <c r="G19" s="100" t="s">
        <v>127</v>
      </c>
      <c r="H19" s="79" t="s">
        <v>28</v>
      </c>
      <c r="J19" s="79" t="s">
        <v>77</v>
      </c>
      <c r="K19" s="79" t="s">
        <v>82</v>
      </c>
      <c r="L19" s="79" t="s">
        <v>79</v>
      </c>
      <c r="M19" s="1" t="s">
        <v>510</v>
      </c>
      <c r="N19" s="79" t="s">
        <v>124</v>
      </c>
      <c r="O19" s="79" t="s">
        <v>162</v>
      </c>
      <c r="P19" s="64" t="s">
        <v>334</v>
      </c>
      <c r="R19" s="64" t="s">
        <v>335</v>
      </c>
      <c r="S19" s="100" t="s">
        <v>104</v>
      </c>
      <c r="X19" s="100" t="s">
        <v>670</v>
      </c>
      <c r="Y19" s="81" t="str">
        <f t="shared" si="16"/>
        <v>Pass</v>
      </c>
      <c r="Z19" s="11" t="str">
        <f t="shared" si="4"/>
        <v/>
      </c>
      <c r="AA19" s="124" t="str">
        <f t="shared" si="5"/>
        <v/>
      </c>
      <c r="AB19" s="124" t="str">
        <f t="shared" si="6"/>
        <v/>
      </c>
    </row>
    <row r="20" spans="2:28" x14ac:dyDescent="0.25">
      <c r="B20" s="66">
        <v>41646</v>
      </c>
      <c r="C20" s="66">
        <v>41646</v>
      </c>
      <c r="D20" s="68">
        <f t="shared" ref="D20" si="32">IF(B20&gt;0,MONTH(B20),"False")</f>
        <v>1</v>
      </c>
      <c r="E20" s="66" t="str">
        <f t="shared" ref="E20" si="33">YEAR(B20) &amp; CHOOSE(D20,"-Jan","-Feb","-Mar","-Apr","-May","-Jun","-Jul","-Aug","-Sep","-Oct","-Nov","-Dec")</f>
        <v>2014-Jan</v>
      </c>
      <c r="F20" s="68">
        <f t="shared" ref="F20" si="34">IF(C20&gt;0,MONTH(C20),"False")</f>
        <v>1</v>
      </c>
      <c r="G20" s="81" t="s">
        <v>126</v>
      </c>
      <c r="H20" s="80" t="s">
        <v>280</v>
      </c>
      <c r="J20" s="80" t="s">
        <v>78</v>
      </c>
      <c r="K20" s="80" t="s">
        <v>78</v>
      </c>
      <c r="L20" s="80" t="s">
        <v>79</v>
      </c>
      <c r="M20" s="2" t="s">
        <v>511</v>
      </c>
      <c r="N20" s="80" t="s">
        <v>124</v>
      </c>
      <c r="O20" s="80" t="s">
        <v>138</v>
      </c>
      <c r="R20" s="64" t="s">
        <v>344</v>
      </c>
      <c r="S20" s="81" t="s">
        <v>104</v>
      </c>
      <c r="X20" s="81" t="s">
        <v>495</v>
      </c>
      <c r="Y20" s="81" t="str">
        <f t="shared" si="16"/>
        <v>Pass</v>
      </c>
      <c r="Z20" s="11" t="str">
        <f t="shared" ref="Z20:Z57" si="35">IF(Q20="Obsolete-LQA",C20,IF(Q20="Obsolete-IT",B20,""))</f>
        <v/>
      </c>
      <c r="AA20" s="124" t="str">
        <f t="shared" ref="AA20:AA57" si="36">IFERROR(YEAR(Z20)&amp;" - "&amp; IF(LEN( WEEKNUM(Z20))=1,"0" &amp; WEEKNUM(Z20),WEEKNUM(Z20)),"")</f>
        <v/>
      </c>
      <c r="AB20" s="124" t="str">
        <f t="shared" ref="AB20:AB57" si="37">IFERROR(YEAR(Z20),"")</f>
        <v/>
      </c>
    </row>
    <row r="21" spans="2:28" x14ac:dyDescent="0.25">
      <c r="B21" s="66">
        <v>41646</v>
      </c>
      <c r="C21" s="66">
        <v>41646</v>
      </c>
      <c r="D21" s="68">
        <f t="shared" ref="D21:D22" si="38">IF(B21&gt;0,MONTH(B21),"False")</f>
        <v>1</v>
      </c>
      <c r="E21" s="66" t="str">
        <f t="shared" ref="E21:E22" si="39">YEAR(B21) &amp; CHOOSE(D21,"-Jan","-Feb","-Mar","-Apr","-May","-Jun","-Jul","-Aug","-Sep","-Oct","-Nov","-Dec")</f>
        <v>2014-Jan</v>
      </c>
      <c r="F21" s="68">
        <f t="shared" ref="F21:F22" si="40">IF(C21&gt;0,MONTH(C21),"False")</f>
        <v>1</v>
      </c>
      <c r="G21" s="80" t="s">
        <v>87</v>
      </c>
      <c r="H21" s="80" t="s">
        <v>28</v>
      </c>
      <c r="J21" s="80" t="s">
        <v>78</v>
      </c>
      <c r="K21" s="80" t="s">
        <v>78</v>
      </c>
      <c r="L21" s="80" t="s">
        <v>79</v>
      </c>
      <c r="M21" s="1" t="s">
        <v>512</v>
      </c>
      <c r="N21" s="80" t="s">
        <v>124</v>
      </c>
      <c r="O21" s="80" t="s">
        <v>168</v>
      </c>
      <c r="Q21" s="2" t="s">
        <v>88</v>
      </c>
      <c r="R21" s="64" t="s">
        <v>308</v>
      </c>
      <c r="Y21" s="81" t="str">
        <f t="shared" si="16"/>
        <v>Obsolete</v>
      </c>
      <c r="Z21" s="11">
        <f t="shared" si="35"/>
        <v>41646</v>
      </c>
      <c r="AA21" s="124" t="str">
        <f t="shared" si="36"/>
        <v>2014 - 02</v>
      </c>
      <c r="AB21" s="124">
        <f t="shared" si="37"/>
        <v>2014</v>
      </c>
    </row>
    <row r="22" spans="2:28" x14ac:dyDescent="0.25">
      <c r="B22" s="66">
        <v>41646</v>
      </c>
      <c r="C22" s="66">
        <v>41646</v>
      </c>
      <c r="D22" s="68">
        <f t="shared" si="38"/>
        <v>1</v>
      </c>
      <c r="E22" s="66" t="str">
        <f t="shared" si="39"/>
        <v>2014-Jan</v>
      </c>
      <c r="F22" s="68">
        <f t="shared" si="40"/>
        <v>1</v>
      </c>
      <c r="G22" s="80" t="s">
        <v>87</v>
      </c>
      <c r="H22" s="80" t="s">
        <v>280</v>
      </c>
      <c r="I22" s="80"/>
      <c r="J22" s="80" t="s">
        <v>78</v>
      </c>
      <c r="K22" s="80" t="s">
        <v>78</v>
      </c>
      <c r="L22" s="80" t="s">
        <v>79</v>
      </c>
      <c r="M22" s="1" t="s">
        <v>513</v>
      </c>
      <c r="N22" s="80" t="s">
        <v>124</v>
      </c>
      <c r="O22" s="80" t="s">
        <v>138</v>
      </c>
      <c r="P22" s="80"/>
      <c r="R22" s="64" t="s">
        <v>344</v>
      </c>
      <c r="S22" s="291" t="s">
        <v>104</v>
      </c>
      <c r="Y22" s="81" t="str">
        <f t="shared" si="16"/>
        <v>Pass</v>
      </c>
      <c r="Z22" s="11" t="str">
        <f t="shared" si="35"/>
        <v/>
      </c>
      <c r="AA22" s="124" t="str">
        <f t="shared" si="36"/>
        <v/>
      </c>
      <c r="AB22" s="124" t="str">
        <f t="shared" si="37"/>
        <v/>
      </c>
    </row>
    <row r="23" spans="2:28" x14ac:dyDescent="0.25">
      <c r="B23" s="66">
        <v>41646</v>
      </c>
      <c r="C23" s="66">
        <v>41646</v>
      </c>
      <c r="D23" s="68">
        <f t="shared" ref="D23" si="41">IF(B23&gt;0,MONTH(B23),"False")</f>
        <v>1</v>
      </c>
      <c r="E23" s="66" t="str">
        <f t="shared" ref="E23" si="42">YEAR(B23) &amp; CHOOSE(D23,"-Jan","-Feb","-Mar","-Apr","-May","-Jun","-Jul","-Aug","-Sep","-Oct","-Nov","-Dec")</f>
        <v>2014-Jan</v>
      </c>
      <c r="F23" s="68">
        <f t="shared" ref="F23" si="43">IF(C23&gt;0,MONTH(C23),"False")</f>
        <v>1</v>
      </c>
      <c r="G23" s="80" t="s">
        <v>87</v>
      </c>
      <c r="H23" s="80" t="s">
        <v>166</v>
      </c>
      <c r="J23" s="80" t="s">
        <v>78</v>
      </c>
      <c r="K23" s="80" t="s">
        <v>78</v>
      </c>
      <c r="L23" s="80" t="s">
        <v>79</v>
      </c>
      <c r="M23" s="1" t="s">
        <v>515</v>
      </c>
      <c r="N23" s="80" t="s">
        <v>124</v>
      </c>
      <c r="O23" s="80" t="s">
        <v>95</v>
      </c>
      <c r="R23" s="64" t="s">
        <v>488</v>
      </c>
      <c r="Y23" s="81" t="str">
        <f t="shared" si="16"/>
        <v>Unknown</v>
      </c>
      <c r="Z23" s="11" t="str">
        <f t="shared" si="35"/>
        <v/>
      </c>
      <c r="AA23" s="124" t="str">
        <f t="shared" si="36"/>
        <v/>
      </c>
      <c r="AB23" s="124" t="str">
        <f t="shared" si="37"/>
        <v/>
      </c>
    </row>
    <row r="24" spans="2:28" x14ac:dyDescent="0.25">
      <c r="B24" s="66">
        <v>41646</v>
      </c>
      <c r="C24" s="66">
        <v>41646</v>
      </c>
      <c r="D24" s="68">
        <f t="shared" ref="D24" si="44">IF(B24&gt;0,MONTH(B24),"False")</f>
        <v>1</v>
      </c>
      <c r="E24" s="66" t="str">
        <f t="shared" ref="E24" si="45">YEAR(B24) &amp; CHOOSE(D24,"-Jan","-Feb","-Mar","-Apr","-May","-Jun","-Jul","-Aug","-Sep","-Oct","-Nov","-Dec")</f>
        <v>2014-Jan</v>
      </c>
      <c r="F24" s="68">
        <f t="shared" ref="F24" si="46">IF(C24&gt;0,MONTH(C24),"False")</f>
        <v>1</v>
      </c>
      <c r="G24" s="80" t="s">
        <v>87</v>
      </c>
      <c r="H24" s="80" t="s">
        <v>166</v>
      </c>
      <c r="J24" s="80" t="s">
        <v>292</v>
      </c>
      <c r="K24" s="80" t="s">
        <v>292</v>
      </c>
      <c r="L24" s="80" t="s">
        <v>83</v>
      </c>
      <c r="M24" s="1" t="s">
        <v>516</v>
      </c>
      <c r="N24" s="80" t="s">
        <v>124</v>
      </c>
      <c r="O24" s="80" t="s">
        <v>325</v>
      </c>
      <c r="R24" s="64" t="s">
        <v>487</v>
      </c>
      <c r="T24" s="67" t="s">
        <v>110</v>
      </c>
      <c r="Y24" s="81" t="str">
        <f t="shared" si="16"/>
        <v>Unknown</v>
      </c>
      <c r="Z24" s="11" t="str">
        <f t="shared" si="35"/>
        <v/>
      </c>
      <c r="AA24" s="124" t="str">
        <f t="shared" si="36"/>
        <v/>
      </c>
      <c r="AB24" s="124" t="str">
        <f t="shared" si="37"/>
        <v/>
      </c>
    </row>
    <row r="25" spans="2:28" x14ac:dyDescent="0.25">
      <c r="B25" s="66">
        <v>41646</v>
      </c>
      <c r="C25" s="66">
        <v>41646</v>
      </c>
      <c r="D25" s="68">
        <f t="shared" ref="D25:D27" si="47">IF(B25&gt;0,MONTH(B25),"False")</f>
        <v>1</v>
      </c>
      <c r="E25" s="66" t="str">
        <f t="shared" ref="E25:E27" si="48">YEAR(B25) &amp; CHOOSE(D25,"-Jan","-Feb","-Mar","-Apr","-May","-Jun","-Jul","-Aug","-Sep","-Oct","-Nov","-Dec")</f>
        <v>2014-Jan</v>
      </c>
      <c r="F25" s="68">
        <f t="shared" ref="F25:F27" si="49">IF(C25&gt;0,MONTH(C25),"False")</f>
        <v>1</v>
      </c>
      <c r="G25" s="87" t="s">
        <v>112</v>
      </c>
      <c r="H25" s="80" t="s">
        <v>316</v>
      </c>
      <c r="J25" s="80" t="s">
        <v>78</v>
      </c>
      <c r="K25" s="80" t="s">
        <v>78</v>
      </c>
      <c r="L25" s="80" t="s">
        <v>79</v>
      </c>
      <c r="M25" s="1" t="s">
        <v>517</v>
      </c>
      <c r="N25" s="80" t="s">
        <v>124</v>
      </c>
      <c r="O25" s="80" t="s">
        <v>287</v>
      </c>
      <c r="R25" s="64" t="s">
        <v>518</v>
      </c>
      <c r="S25" s="87" t="s">
        <v>104</v>
      </c>
      <c r="X25" s="87" t="s">
        <v>165</v>
      </c>
      <c r="Y25" s="81" t="str">
        <f t="shared" si="16"/>
        <v>Pass</v>
      </c>
      <c r="Z25" s="11" t="str">
        <f t="shared" si="35"/>
        <v/>
      </c>
      <c r="AA25" s="124" t="str">
        <f t="shared" si="36"/>
        <v/>
      </c>
      <c r="AB25" s="124" t="str">
        <f t="shared" si="37"/>
        <v/>
      </c>
    </row>
    <row r="26" spans="2:28" s="87" customFormat="1" x14ac:dyDescent="0.25">
      <c r="B26" s="66">
        <v>41646</v>
      </c>
      <c r="C26" s="66">
        <v>41646</v>
      </c>
      <c r="D26" s="68">
        <f t="shared" si="47"/>
        <v>1</v>
      </c>
      <c r="E26" s="66" t="str">
        <f t="shared" si="48"/>
        <v>2014-Jan</v>
      </c>
      <c r="F26" s="68">
        <f t="shared" si="49"/>
        <v>1</v>
      </c>
      <c r="G26" s="87" t="s">
        <v>112</v>
      </c>
      <c r="H26" s="87" t="s">
        <v>166</v>
      </c>
      <c r="J26" s="87" t="s">
        <v>78</v>
      </c>
      <c r="K26" s="87" t="s">
        <v>78</v>
      </c>
      <c r="L26" s="87" t="s">
        <v>79</v>
      </c>
      <c r="M26" s="87" t="s">
        <v>515</v>
      </c>
      <c r="N26" s="87" t="s">
        <v>124</v>
      </c>
      <c r="O26" s="87" t="s">
        <v>343</v>
      </c>
      <c r="Q26" s="2"/>
      <c r="R26" s="64" t="s">
        <v>488</v>
      </c>
      <c r="S26" s="87" t="s">
        <v>104</v>
      </c>
      <c r="T26" s="67"/>
      <c r="X26" s="87" t="s">
        <v>165</v>
      </c>
      <c r="Z26" s="11" t="str">
        <f t="shared" si="35"/>
        <v/>
      </c>
      <c r="AA26" s="124" t="str">
        <f t="shared" si="36"/>
        <v/>
      </c>
      <c r="AB26" s="124" t="str">
        <f t="shared" si="37"/>
        <v/>
      </c>
    </row>
    <row r="27" spans="2:28" x14ac:dyDescent="0.25">
      <c r="B27" s="65">
        <v>41646</v>
      </c>
      <c r="C27" s="66">
        <v>41646</v>
      </c>
      <c r="D27" s="68">
        <f t="shared" si="47"/>
        <v>1</v>
      </c>
      <c r="E27" s="66" t="str">
        <f t="shared" si="48"/>
        <v>2014-Jan</v>
      </c>
      <c r="F27" s="68">
        <f t="shared" si="49"/>
        <v>1</v>
      </c>
      <c r="G27" s="89" t="s">
        <v>121</v>
      </c>
      <c r="H27" s="80" t="s">
        <v>115</v>
      </c>
      <c r="I27" s="80"/>
      <c r="J27" s="80" t="s">
        <v>77</v>
      </c>
      <c r="K27" s="80" t="s">
        <v>82</v>
      </c>
      <c r="L27" s="80" t="s">
        <v>79</v>
      </c>
      <c r="M27" s="1" t="s">
        <v>519</v>
      </c>
      <c r="N27" s="80" t="s">
        <v>507</v>
      </c>
      <c r="O27" s="80" t="s">
        <v>507</v>
      </c>
      <c r="P27" s="64" t="s">
        <v>405</v>
      </c>
      <c r="R27" s="64" t="s">
        <v>480</v>
      </c>
      <c r="S27" s="89" t="s">
        <v>104</v>
      </c>
      <c r="X27" s="89" t="s">
        <v>159</v>
      </c>
      <c r="Y27" s="81" t="str">
        <f t="shared" si="16"/>
        <v>Pass</v>
      </c>
      <c r="Z27" s="11" t="str">
        <f t="shared" si="35"/>
        <v/>
      </c>
      <c r="AA27" s="124" t="str">
        <f t="shared" si="36"/>
        <v/>
      </c>
      <c r="AB27" s="124" t="str">
        <f t="shared" si="37"/>
        <v/>
      </c>
    </row>
    <row r="28" spans="2:28" x14ac:dyDescent="0.25">
      <c r="B28" s="66">
        <v>41647</v>
      </c>
      <c r="C28" s="66">
        <v>41647</v>
      </c>
      <c r="D28" s="68">
        <f t="shared" ref="D28" si="50">IF(B28&gt;0,MONTH(B28),"False")</f>
        <v>1</v>
      </c>
      <c r="E28" s="66" t="str">
        <f t="shared" ref="E28" si="51">YEAR(B28) &amp; CHOOSE(D28,"-Jan","-Feb","-Mar","-Apr","-May","-Jun","-Jul","-Aug","-Sep","-Oct","-Nov","-Dec")</f>
        <v>2014-Jan</v>
      </c>
      <c r="F28" s="68">
        <f t="shared" ref="F28" si="52">IF(C28&gt;0,MONTH(C28),"False")</f>
        <v>1</v>
      </c>
      <c r="G28" s="111" t="s">
        <v>126</v>
      </c>
      <c r="H28" s="81" t="s">
        <v>280</v>
      </c>
      <c r="J28" s="81" t="s">
        <v>78</v>
      </c>
      <c r="K28" s="81" t="s">
        <v>78</v>
      </c>
      <c r="L28" s="81" t="s">
        <v>79</v>
      </c>
      <c r="M28" s="1" t="s">
        <v>520</v>
      </c>
      <c r="N28" s="81" t="s">
        <v>124</v>
      </c>
      <c r="O28" s="81" t="s">
        <v>138</v>
      </c>
      <c r="R28" s="64" t="s">
        <v>344</v>
      </c>
      <c r="S28" s="111" t="s">
        <v>104</v>
      </c>
      <c r="X28" s="111" t="s">
        <v>544</v>
      </c>
      <c r="Y28" s="81" t="str">
        <f t="shared" si="16"/>
        <v>Pass</v>
      </c>
      <c r="Z28" s="11" t="str">
        <f t="shared" si="35"/>
        <v/>
      </c>
      <c r="AA28" s="124" t="str">
        <f t="shared" si="36"/>
        <v/>
      </c>
      <c r="AB28" s="124" t="str">
        <f t="shared" si="37"/>
        <v/>
      </c>
    </row>
    <row r="29" spans="2:28" x14ac:dyDescent="0.25">
      <c r="B29" s="66">
        <v>41647</v>
      </c>
      <c r="C29" s="66">
        <v>41647</v>
      </c>
      <c r="D29" s="68">
        <f t="shared" ref="D29:D30" si="53">IF(B29&gt;0,MONTH(B29),"False")</f>
        <v>1</v>
      </c>
      <c r="E29" s="66" t="str">
        <f t="shared" ref="E29:E30" si="54">YEAR(B29) &amp; CHOOSE(D29,"-Jan","-Feb","-Mar","-Apr","-May","-Jun","-Jul","-Aug","-Sep","-Oct","-Nov","-Dec")</f>
        <v>2014-Jan</v>
      </c>
      <c r="F29" s="68">
        <f t="shared" ref="F29:F30" si="55">IF(C29&gt;0,MONTH(C29),"False")</f>
        <v>1</v>
      </c>
      <c r="G29" s="81" t="s">
        <v>87</v>
      </c>
      <c r="H29" s="81" t="s">
        <v>28</v>
      </c>
      <c r="J29" s="81" t="s">
        <v>292</v>
      </c>
      <c r="K29" s="81" t="s">
        <v>292</v>
      </c>
      <c r="L29" s="81" t="s">
        <v>83</v>
      </c>
      <c r="M29" s="1" t="s">
        <v>521</v>
      </c>
      <c r="N29" s="81" t="s">
        <v>124</v>
      </c>
      <c r="O29" s="81" t="s">
        <v>522</v>
      </c>
      <c r="R29" s="64" t="s">
        <v>489</v>
      </c>
      <c r="Y29" s="81" t="str">
        <f t="shared" si="16"/>
        <v>Unknown</v>
      </c>
      <c r="Z29" s="11" t="str">
        <f t="shared" si="35"/>
        <v/>
      </c>
      <c r="AA29" s="124" t="str">
        <f t="shared" si="36"/>
        <v/>
      </c>
      <c r="AB29" s="124" t="str">
        <f t="shared" si="37"/>
        <v/>
      </c>
    </row>
    <row r="30" spans="2:28" x14ac:dyDescent="0.25">
      <c r="B30" s="65">
        <v>41647</v>
      </c>
      <c r="C30" s="66">
        <v>41647</v>
      </c>
      <c r="D30" s="68">
        <f t="shared" si="53"/>
        <v>1</v>
      </c>
      <c r="E30" s="66" t="str">
        <f t="shared" si="54"/>
        <v>2014-Jan</v>
      </c>
      <c r="F30" s="68">
        <f t="shared" si="55"/>
        <v>1</v>
      </c>
      <c r="G30" s="98" t="s">
        <v>127</v>
      </c>
      <c r="H30" s="81" t="s">
        <v>28</v>
      </c>
      <c r="I30" s="81"/>
      <c r="J30" s="81" t="s">
        <v>77</v>
      </c>
      <c r="K30" s="81" t="s">
        <v>82</v>
      </c>
      <c r="L30" s="81" t="s">
        <v>79</v>
      </c>
      <c r="M30" s="1" t="s">
        <v>523</v>
      </c>
      <c r="N30" s="81" t="s">
        <v>124</v>
      </c>
      <c r="O30" s="81" t="s">
        <v>162</v>
      </c>
      <c r="P30" s="64" t="s">
        <v>334</v>
      </c>
      <c r="R30" s="64" t="s">
        <v>335</v>
      </c>
      <c r="S30" s="98" t="s">
        <v>104</v>
      </c>
      <c r="X30" s="98" t="s">
        <v>670</v>
      </c>
      <c r="Y30" s="81" t="str">
        <f t="shared" si="16"/>
        <v>Pass</v>
      </c>
      <c r="Z30" s="11" t="str">
        <f t="shared" si="35"/>
        <v/>
      </c>
      <c r="AA30" s="124" t="str">
        <f t="shared" si="36"/>
        <v/>
      </c>
      <c r="AB30" s="124" t="str">
        <f t="shared" si="37"/>
        <v/>
      </c>
    </row>
    <row r="31" spans="2:28" x14ac:dyDescent="0.25">
      <c r="B31" s="66">
        <v>41647</v>
      </c>
      <c r="C31" s="66">
        <v>41647</v>
      </c>
      <c r="D31" s="68">
        <f t="shared" ref="D31" si="56">IF(B31&gt;0,MONTH(B31),"False")</f>
        <v>1</v>
      </c>
      <c r="E31" s="66" t="str">
        <f t="shared" ref="E31" si="57">YEAR(B31) &amp; CHOOSE(D31,"-Jan","-Feb","-Mar","-Apr","-May","-Jun","-Jul","-Aug","-Sep","-Oct","-Nov","-Dec")</f>
        <v>2014-Jan</v>
      </c>
      <c r="F31" s="68">
        <f t="shared" ref="F31" si="58">IF(C31&gt;0,MONTH(C31),"False")</f>
        <v>1</v>
      </c>
      <c r="G31" s="84" t="s">
        <v>126</v>
      </c>
      <c r="H31" s="82" t="s">
        <v>280</v>
      </c>
      <c r="J31" s="82" t="s">
        <v>78</v>
      </c>
      <c r="K31" s="82" t="s">
        <v>78</v>
      </c>
      <c r="L31" s="82" t="s">
        <v>79</v>
      </c>
      <c r="M31" s="1" t="s">
        <v>525</v>
      </c>
      <c r="N31" s="82" t="s">
        <v>124</v>
      </c>
      <c r="O31" s="82" t="s">
        <v>138</v>
      </c>
      <c r="R31" s="64" t="s">
        <v>344</v>
      </c>
      <c r="S31" s="84" t="s">
        <v>104</v>
      </c>
      <c r="X31" s="84" t="s">
        <v>544</v>
      </c>
      <c r="Y31" s="81" t="str">
        <f t="shared" si="16"/>
        <v>Pass</v>
      </c>
      <c r="Z31" s="11" t="str">
        <f t="shared" si="35"/>
        <v/>
      </c>
      <c r="AA31" s="124" t="str">
        <f t="shared" si="36"/>
        <v/>
      </c>
      <c r="AB31" s="124" t="str">
        <f t="shared" si="37"/>
        <v/>
      </c>
    </row>
    <row r="32" spans="2:28" x14ac:dyDescent="0.25">
      <c r="B32" s="66">
        <v>41647</v>
      </c>
      <c r="C32" s="66">
        <v>41647</v>
      </c>
      <c r="D32" s="68">
        <f t="shared" ref="D32:D33" si="59">IF(B32&gt;0,MONTH(B32),"False")</f>
        <v>1</v>
      </c>
      <c r="E32" s="66" t="str">
        <f t="shared" ref="E32:E33" si="60">YEAR(B32) &amp; CHOOSE(D32,"-Jan","-Feb","-Mar","-Apr","-May","-Jun","-Jul","-Aug","-Sep","-Oct","-Nov","-Dec")</f>
        <v>2014-Jan</v>
      </c>
      <c r="F32" s="68">
        <f t="shared" ref="F32:F33" si="61">IF(C32&gt;0,MONTH(C32),"False")</f>
        <v>1</v>
      </c>
      <c r="G32" s="82" t="s">
        <v>87</v>
      </c>
      <c r="H32" s="82" t="s">
        <v>348</v>
      </c>
      <c r="J32" s="82" t="s">
        <v>98</v>
      </c>
      <c r="K32" s="82" t="s">
        <v>84</v>
      </c>
      <c r="L32" s="82" t="s">
        <v>79</v>
      </c>
      <c r="M32" s="1" t="s">
        <v>526</v>
      </c>
      <c r="N32" s="82" t="s">
        <v>124</v>
      </c>
      <c r="O32" s="82" t="s">
        <v>152</v>
      </c>
      <c r="R32" s="64" t="s">
        <v>527</v>
      </c>
      <c r="Y32" s="81" t="str">
        <f t="shared" si="16"/>
        <v>Unknown</v>
      </c>
      <c r="Z32" s="11" t="str">
        <f t="shared" si="35"/>
        <v/>
      </c>
      <c r="AA32" s="124" t="str">
        <f t="shared" si="36"/>
        <v/>
      </c>
      <c r="AB32" s="124" t="str">
        <f t="shared" si="37"/>
        <v/>
      </c>
    </row>
    <row r="33" spans="2:28" x14ac:dyDescent="0.25">
      <c r="B33" s="65">
        <v>41647</v>
      </c>
      <c r="C33" s="66">
        <v>41648</v>
      </c>
      <c r="D33" s="68">
        <f t="shared" si="59"/>
        <v>1</v>
      </c>
      <c r="E33" s="66" t="str">
        <f t="shared" si="60"/>
        <v>2014-Jan</v>
      </c>
      <c r="F33" s="68">
        <f t="shared" si="61"/>
        <v>1</v>
      </c>
      <c r="G33" s="83" t="s">
        <v>93</v>
      </c>
      <c r="H33" s="82" t="s">
        <v>280</v>
      </c>
      <c r="J33" s="82" t="s">
        <v>146</v>
      </c>
      <c r="K33" s="82" t="s">
        <v>82</v>
      </c>
      <c r="L33" s="82" t="s">
        <v>79</v>
      </c>
      <c r="M33" s="1" t="s">
        <v>528</v>
      </c>
      <c r="N33" s="82" t="s">
        <v>124</v>
      </c>
      <c r="O33" s="82" t="s">
        <v>529</v>
      </c>
      <c r="P33" s="64" t="s">
        <v>305</v>
      </c>
      <c r="Q33" s="2" t="s">
        <v>88</v>
      </c>
      <c r="R33" s="64" t="s">
        <v>482</v>
      </c>
      <c r="Y33" s="81" t="str">
        <f t="shared" si="16"/>
        <v>Obsolete</v>
      </c>
      <c r="Z33" s="11">
        <f t="shared" si="35"/>
        <v>41648</v>
      </c>
      <c r="AA33" s="124" t="str">
        <f t="shared" si="36"/>
        <v>2014 - 02</v>
      </c>
      <c r="AB33" s="124">
        <f t="shared" si="37"/>
        <v>2014</v>
      </c>
    </row>
    <row r="34" spans="2:28" x14ac:dyDescent="0.25">
      <c r="B34" s="65">
        <v>41647</v>
      </c>
      <c r="C34" s="66">
        <v>41648</v>
      </c>
      <c r="D34" s="68">
        <f t="shared" ref="D34:D36" si="62">IF(B34&gt;0,MONTH(B34),"False")</f>
        <v>1</v>
      </c>
      <c r="E34" s="66" t="str">
        <f t="shared" ref="E34:E36" si="63">YEAR(B34) &amp; CHOOSE(D34,"-Jan","-Feb","-Mar","-Apr","-May","-Jun","-Jul","-Aug","-Sep","-Oct","-Nov","-Dec")</f>
        <v>2014-Jan</v>
      </c>
      <c r="F34" s="68">
        <f t="shared" ref="F34:F36" si="64">IF(C34&gt;0,MONTH(C34),"False")</f>
        <v>1</v>
      </c>
      <c r="G34" s="83" t="s">
        <v>93</v>
      </c>
      <c r="H34" s="82" t="s">
        <v>280</v>
      </c>
      <c r="J34" s="82" t="s">
        <v>81</v>
      </c>
      <c r="K34" s="82" t="s">
        <v>82</v>
      </c>
      <c r="L34" s="82" t="s">
        <v>79</v>
      </c>
      <c r="M34" s="1" t="s">
        <v>530</v>
      </c>
      <c r="N34" s="82" t="s">
        <v>124</v>
      </c>
      <c r="O34" s="82" t="s">
        <v>529</v>
      </c>
      <c r="P34" s="64" t="s">
        <v>305</v>
      </c>
      <c r="Q34" s="2" t="s">
        <v>88</v>
      </c>
      <c r="R34" s="64" t="s">
        <v>482</v>
      </c>
      <c r="Y34" s="81" t="str">
        <f t="shared" si="16"/>
        <v>Obsolete</v>
      </c>
      <c r="Z34" s="11">
        <f t="shared" si="35"/>
        <v>41648</v>
      </c>
      <c r="AA34" s="124" t="str">
        <f t="shared" si="36"/>
        <v>2014 - 02</v>
      </c>
      <c r="AB34" s="124">
        <f t="shared" si="37"/>
        <v>2014</v>
      </c>
    </row>
    <row r="35" spans="2:28" x14ac:dyDescent="0.25">
      <c r="B35" s="66">
        <v>41647</v>
      </c>
      <c r="C35" s="66">
        <v>41647</v>
      </c>
      <c r="D35" s="68">
        <f t="shared" si="62"/>
        <v>1</v>
      </c>
      <c r="E35" s="66" t="str">
        <f t="shared" si="63"/>
        <v>2014-Jan</v>
      </c>
      <c r="F35" s="68">
        <f t="shared" si="64"/>
        <v>1</v>
      </c>
      <c r="G35" s="98" t="s">
        <v>112</v>
      </c>
      <c r="H35" s="82" t="s">
        <v>166</v>
      </c>
      <c r="J35" s="82" t="s">
        <v>149</v>
      </c>
      <c r="K35" s="82" t="s">
        <v>84</v>
      </c>
      <c r="L35" s="82" t="s">
        <v>79</v>
      </c>
      <c r="M35" s="1" t="s">
        <v>531</v>
      </c>
      <c r="N35" s="82" t="s">
        <v>124</v>
      </c>
      <c r="O35" s="82" t="s">
        <v>183</v>
      </c>
      <c r="R35" s="64" t="s">
        <v>321</v>
      </c>
      <c r="S35" s="98" t="s">
        <v>104</v>
      </c>
      <c r="X35" s="98" t="s">
        <v>670</v>
      </c>
      <c r="Y35" s="81" t="str">
        <f t="shared" si="16"/>
        <v>Pass</v>
      </c>
      <c r="Z35" s="11" t="str">
        <f t="shared" si="35"/>
        <v/>
      </c>
      <c r="AA35" s="124" t="str">
        <f t="shared" si="36"/>
        <v/>
      </c>
      <c r="AB35" s="124" t="str">
        <f t="shared" si="37"/>
        <v/>
      </c>
    </row>
    <row r="36" spans="2:28" x14ac:dyDescent="0.25">
      <c r="B36" s="66">
        <v>41648</v>
      </c>
      <c r="C36" s="66">
        <v>41648</v>
      </c>
      <c r="D36" s="68">
        <f t="shared" si="62"/>
        <v>1</v>
      </c>
      <c r="E36" s="66" t="str">
        <f t="shared" si="63"/>
        <v>2014-Jan</v>
      </c>
      <c r="F36" s="68">
        <f t="shared" si="64"/>
        <v>1</v>
      </c>
      <c r="G36" s="83" t="s">
        <v>87</v>
      </c>
      <c r="H36" s="83" t="s">
        <v>86</v>
      </c>
      <c r="J36" s="83" t="s">
        <v>77</v>
      </c>
      <c r="K36" s="83" t="s">
        <v>78</v>
      </c>
      <c r="L36" s="83" t="s">
        <v>79</v>
      </c>
      <c r="M36" s="1" t="s">
        <v>532</v>
      </c>
      <c r="N36" s="83" t="s">
        <v>124</v>
      </c>
      <c r="O36" s="83" t="s">
        <v>167</v>
      </c>
      <c r="R36" s="64" t="s">
        <v>163</v>
      </c>
      <c r="T36" s="67" t="s">
        <v>110</v>
      </c>
      <c r="Y36" s="81" t="str">
        <f t="shared" si="16"/>
        <v>Unknown</v>
      </c>
      <c r="Z36" s="11" t="str">
        <f t="shared" si="35"/>
        <v/>
      </c>
      <c r="AA36" s="124" t="str">
        <f t="shared" si="36"/>
        <v/>
      </c>
      <c r="AB36" s="124" t="str">
        <f t="shared" si="37"/>
        <v/>
      </c>
    </row>
    <row r="37" spans="2:28" x14ac:dyDescent="0.25">
      <c r="B37" s="66">
        <v>41648</v>
      </c>
      <c r="C37" s="66">
        <v>41648</v>
      </c>
      <c r="D37" s="68">
        <f t="shared" ref="D37" si="65">IF(B37&gt;0,MONTH(B37),"False")</f>
        <v>1</v>
      </c>
      <c r="E37" s="66" t="str">
        <f t="shared" ref="E37" si="66">YEAR(B37) &amp; CHOOSE(D37,"-Jan","-Feb","-Mar","-Apr","-May","-Jun","-Jul","-Aug","-Sep","-Oct","-Nov","-Dec")</f>
        <v>2014-Jan</v>
      </c>
      <c r="F37" s="68">
        <f t="shared" ref="F37" si="67">IF(C37&gt;0,MONTH(C37),"False")</f>
        <v>1</v>
      </c>
      <c r="G37" s="98" t="s">
        <v>157</v>
      </c>
      <c r="H37" s="83" t="s">
        <v>28</v>
      </c>
      <c r="J37" s="83" t="s">
        <v>78</v>
      </c>
      <c r="K37" s="83" t="s">
        <v>78</v>
      </c>
      <c r="L37" s="83" t="s">
        <v>79</v>
      </c>
      <c r="M37" s="1" t="s">
        <v>533</v>
      </c>
      <c r="N37" s="83" t="s">
        <v>124</v>
      </c>
      <c r="O37" s="83" t="s">
        <v>168</v>
      </c>
      <c r="R37" s="64" t="s">
        <v>308</v>
      </c>
      <c r="S37" s="98" t="s">
        <v>104</v>
      </c>
      <c r="X37" s="98" t="s">
        <v>670</v>
      </c>
      <c r="Y37" s="81" t="str">
        <f t="shared" si="16"/>
        <v>Pass</v>
      </c>
      <c r="Z37" s="11" t="str">
        <f t="shared" si="35"/>
        <v/>
      </c>
      <c r="AA37" s="124" t="str">
        <f t="shared" si="36"/>
        <v/>
      </c>
      <c r="AB37" s="124" t="str">
        <f t="shared" si="37"/>
        <v/>
      </c>
    </row>
    <row r="38" spans="2:28" x14ac:dyDescent="0.25">
      <c r="B38" s="65">
        <v>41648</v>
      </c>
      <c r="C38" s="66">
        <v>41648</v>
      </c>
      <c r="D38" s="68">
        <f t="shared" ref="D38:D39" si="68">IF(B38&gt;0,MONTH(B38),"False")</f>
        <v>1</v>
      </c>
      <c r="E38" s="66" t="str">
        <f t="shared" ref="E38:E39" si="69">YEAR(B38) &amp; CHOOSE(D38,"-Jan","-Feb","-Mar","-Apr","-May","-Jun","-Jul","-Aug","-Sep","-Oct","-Nov","-Dec")</f>
        <v>2014-Jan</v>
      </c>
      <c r="F38" s="68">
        <f t="shared" ref="F38:F39" si="70">IF(C38&gt;0,MONTH(C38),"False")</f>
        <v>1</v>
      </c>
      <c r="G38" s="88" t="s">
        <v>121</v>
      </c>
      <c r="H38" s="83" t="s">
        <v>103</v>
      </c>
      <c r="J38" s="83" t="s">
        <v>120</v>
      </c>
      <c r="K38" s="83" t="s">
        <v>82</v>
      </c>
      <c r="L38" s="83" t="s">
        <v>79</v>
      </c>
      <c r="M38" s="1" t="s">
        <v>534</v>
      </c>
      <c r="N38" s="83" t="s">
        <v>124</v>
      </c>
      <c r="O38" s="83" t="s">
        <v>265</v>
      </c>
      <c r="P38" s="64" t="s">
        <v>351</v>
      </c>
      <c r="R38" s="64" t="s">
        <v>361</v>
      </c>
      <c r="S38" s="88" t="s">
        <v>104</v>
      </c>
      <c r="X38" s="88" t="s">
        <v>158</v>
      </c>
      <c r="Y38" s="81" t="str">
        <f t="shared" si="16"/>
        <v>Pass</v>
      </c>
      <c r="Z38" s="11" t="str">
        <f t="shared" si="35"/>
        <v/>
      </c>
      <c r="AA38" s="124" t="str">
        <f t="shared" si="36"/>
        <v/>
      </c>
      <c r="AB38" s="124" t="str">
        <f t="shared" si="37"/>
        <v/>
      </c>
    </row>
    <row r="39" spans="2:28" x14ac:dyDescent="0.25">
      <c r="B39" s="65">
        <v>41648</v>
      </c>
      <c r="C39" s="66">
        <v>41648</v>
      </c>
      <c r="D39" s="68">
        <f t="shared" si="68"/>
        <v>1</v>
      </c>
      <c r="E39" s="66" t="str">
        <f t="shared" si="69"/>
        <v>2014-Jan</v>
      </c>
      <c r="F39" s="68">
        <f t="shared" si="70"/>
        <v>1</v>
      </c>
      <c r="G39" s="94" t="s">
        <v>121</v>
      </c>
      <c r="H39" s="83" t="s">
        <v>280</v>
      </c>
      <c r="I39" s="83"/>
      <c r="J39" s="83" t="s">
        <v>81</v>
      </c>
      <c r="K39" s="83" t="s">
        <v>82</v>
      </c>
      <c r="L39" s="83" t="s">
        <v>79</v>
      </c>
      <c r="M39" s="1" t="s">
        <v>535</v>
      </c>
      <c r="N39" s="83" t="s">
        <v>124</v>
      </c>
      <c r="O39" s="83" t="s">
        <v>529</v>
      </c>
      <c r="P39" s="64" t="s">
        <v>305</v>
      </c>
      <c r="R39" s="64" t="s">
        <v>482</v>
      </c>
      <c r="S39" s="94" t="s">
        <v>104</v>
      </c>
      <c r="X39" s="94" t="s">
        <v>544</v>
      </c>
      <c r="Y39" s="81" t="str">
        <f t="shared" si="16"/>
        <v>Pass</v>
      </c>
      <c r="Z39" s="11" t="str">
        <f t="shared" si="35"/>
        <v/>
      </c>
      <c r="AA39" s="124" t="str">
        <f t="shared" si="36"/>
        <v/>
      </c>
      <c r="AB39" s="124" t="str">
        <f t="shared" si="37"/>
        <v/>
      </c>
    </row>
    <row r="40" spans="2:28" x14ac:dyDescent="0.25">
      <c r="B40" s="65">
        <v>41648</v>
      </c>
      <c r="C40" s="66">
        <v>41648</v>
      </c>
      <c r="D40" s="68">
        <f t="shared" ref="D40:D41" si="71">IF(B40&gt;0,MONTH(B40),"False")</f>
        <v>1</v>
      </c>
      <c r="E40" s="66" t="str">
        <f t="shared" ref="E40:E41" si="72">YEAR(B40) &amp; CHOOSE(D40,"-Jan","-Feb","-Mar","-Apr","-May","-Jun","-Jul","-Aug","-Sep","-Oct","-Nov","-Dec")</f>
        <v>2014-Jan</v>
      </c>
      <c r="F40" s="68">
        <f t="shared" ref="F40:F41" si="73">IF(C40&gt;0,MONTH(C40),"False")</f>
        <v>1</v>
      </c>
      <c r="G40" s="83" t="s">
        <v>93</v>
      </c>
      <c r="H40" s="83" t="s">
        <v>103</v>
      </c>
      <c r="J40" s="83" t="s">
        <v>77</v>
      </c>
      <c r="K40" s="83" t="s">
        <v>82</v>
      </c>
      <c r="L40" s="83" t="s">
        <v>79</v>
      </c>
      <c r="M40" s="1" t="s">
        <v>536</v>
      </c>
      <c r="N40" s="83" t="s">
        <v>124</v>
      </c>
      <c r="O40" s="83" t="s">
        <v>265</v>
      </c>
      <c r="P40" s="64" t="s">
        <v>351</v>
      </c>
      <c r="Q40" s="2" t="s">
        <v>88</v>
      </c>
      <c r="R40" s="64" t="s">
        <v>361</v>
      </c>
      <c r="S40" s="94" t="s">
        <v>104</v>
      </c>
      <c r="Y40" s="83" t="str">
        <f t="shared" si="16"/>
        <v>Obsolete</v>
      </c>
      <c r="Z40" s="11">
        <f t="shared" si="35"/>
        <v>41648</v>
      </c>
      <c r="AA40" s="124" t="str">
        <f t="shared" si="36"/>
        <v>2014 - 02</v>
      </c>
      <c r="AB40" s="124">
        <f t="shared" si="37"/>
        <v>2014</v>
      </c>
    </row>
    <row r="41" spans="2:28" x14ac:dyDescent="0.25">
      <c r="B41" s="66">
        <v>41648</v>
      </c>
      <c r="C41" s="66">
        <v>41648</v>
      </c>
      <c r="D41" s="68">
        <f t="shared" si="71"/>
        <v>1</v>
      </c>
      <c r="E41" s="66" t="str">
        <f t="shared" si="72"/>
        <v>2014-Jan</v>
      </c>
      <c r="F41" s="68">
        <f t="shared" si="73"/>
        <v>1</v>
      </c>
      <c r="G41" s="104" t="s">
        <v>112</v>
      </c>
      <c r="H41" s="83" t="s">
        <v>348</v>
      </c>
      <c r="J41" s="83" t="s">
        <v>78</v>
      </c>
      <c r="K41" s="83" t="s">
        <v>78</v>
      </c>
      <c r="L41" s="83" t="s">
        <v>79</v>
      </c>
      <c r="M41" s="1" t="s">
        <v>537</v>
      </c>
      <c r="N41" s="83" t="s">
        <v>124</v>
      </c>
      <c r="O41" s="83" t="s">
        <v>97</v>
      </c>
      <c r="R41" s="64" t="s">
        <v>358</v>
      </c>
      <c r="S41" s="104" t="s">
        <v>104</v>
      </c>
      <c r="T41" s="67" t="s">
        <v>110</v>
      </c>
      <c r="X41" s="104" t="s">
        <v>259</v>
      </c>
      <c r="Y41" s="83" t="str">
        <f t="shared" si="16"/>
        <v>Pass</v>
      </c>
      <c r="Z41" s="11" t="str">
        <f t="shared" si="35"/>
        <v/>
      </c>
      <c r="AA41" s="124" t="str">
        <f t="shared" si="36"/>
        <v/>
      </c>
      <c r="AB41" s="124" t="str">
        <f t="shared" si="37"/>
        <v/>
      </c>
    </row>
    <row r="42" spans="2:28" x14ac:dyDescent="0.25">
      <c r="B42" s="65">
        <v>41649</v>
      </c>
      <c r="C42" s="66">
        <v>41649</v>
      </c>
      <c r="D42" s="68">
        <f t="shared" ref="D42" si="74">IF(B42&gt;0,MONTH(B42),"False")</f>
        <v>1</v>
      </c>
      <c r="E42" s="66" t="str">
        <f t="shared" ref="E42" si="75">YEAR(B42) &amp; CHOOSE(D42,"-Jan","-Feb","-Mar","-Apr","-May","-Jun","-Jul","-Aug","-Sep","-Oct","-Nov","-Dec")</f>
        <v>2014-Jan</v>
      </c>
      <c r="F42" s="68">
        <f t="shared" ref="F42" si="76">IF(C42&gt;0,MONTH(C42),"False")</f>
        <v>1</v>
      </c>
      <c r="G42" s="84" t="s">
        <v>93</v>
      </c>
      <c r="H42" s="84" t="s">
        <v>348</v>
      </c>
      <c r="J42" s="84" t="s">
        <v>77</v>
      </c>
      <c r="K42" s="84" t="s">
        <v>82</v>
      </c>
      <c r="L42" s="84" t="s">
        <v>79</v>
      </c>
      <c r="M42" s="1" t="s">
        <v>538</v>
      </c>
      <c r="N42" s="84" t="s">
        <v>124</v>
      </c>
      <c r="O42" s="84" t="s">
        <v>285</v>
      </c>
      <c r="P42" s="64" t="s">
        <v>352</v>
      </c>
      <c r="Q42" s="2" t="s">
        <v>88</v>
      </c>
      <c r="R42" s="64" t="s">
        <v>355</v>
      </c>
      <c r="Y42" s="83" t="str">
        <f t="shared" si="16"/>
        <v>Obsolete</v>
      </c>
      <c r="Z42" s="11">
        <f t="shared" si="35"/>
        <v>41649</v>
      </c>
      <c r="AA42" s="124" t="str">
        <f t="shared" si="36"/>
        <v>2014 - 02</v>
      </c>
      <c r="AB42" s="124">
        <f t="shared" si="37"/>
        <v>2014</v>
      </c>
    </row>
    <row r="43" spans="2:28" x14ac:dyDescent="0.25">
      <c r="B43" s="65">
        <v>41649</v>
      </c>
      <c r="C43" s="66">
        <v>41649</v>
      </c>
      <c r="D43" s="68">
        <f t="shared" ref="D43:D46" si="77">IF(B43&gt;0,MONTH(B43),"False")</f>
        <v>1</v>
      </c>
      <c r="E43" s="66" t="str">
        <f t="shared" ref="E43:E46" si="78">YEAR(B43) &amp; CHOOSE(D43,"-Jan","-Feb","-Mar","-Apr","-May","-Jun","-Jul","-Aug","-Sep","-Oct","-Nov","-Dec")</f>
        <v>2014-Jan</v>
      </c>
      <c r="F43" s="68">
        <f t="shared" ref="F43:F46" si="79">IF(C43&gt;0,MONTH(C43),"False")</f>
        <v>1</v>
      </c>
      <c r="G43" s="104" t="s">
        <v>121</v>
      </c>
      <c r="H43" s="84" t="s">
        <v>348</v>
      </c>
      <c r="I43" s="84"/>
      <c r="J43" s="84" t="s">
        <v>77</v>
      </c>
      <c r="K43" s="84" t="s">
        <v>82</v>
      </c>
      <c r="L43" s="84" t="s">
        <v>79</v>
      </c>
      <c r="M43" s="84" t="s">
        <v>539</v>
      </c>
      <c r="N43" s="84" t="s">
        <v>124</v>
      </c>
      <c r="O43" s="84" t="s">
        <v>285</v>
      </c>
      <c r="P43" s="64" t="s">
        <v>352</v>
      </c>
      <c r="R43" s="64" t="s">
        <v>355</v>
      </c>
      <c r="S43" s="104" t="s">
        <v>104</v>
      </c>
      <c r="X43" s="104" t="s">
        <v>259</v>
      </c>
      <c r="Y43" s="83" t="str">
        <f t="shared" si="16"/>
        <v>Pass</v>
      </c>
      <c r="Z43" s="11" t="str">
        <f t="shared" si="35"/>
        <v/>
      </c>
      <c r="AA43" s="124" t="str">
        <f t="shared" si="36"/>
        <v/>
      </c>
      <c r="AB43" s="124" t="str">
        <f t="shared" si="37"/>
        <v/>
      </c>
    </row>
    <row r="44" spans="2:28" x14ac:dyDescent="0.25">
      <c r="B44" s="65">
        <v>41649</v>
      </c>
      <c r="C44" s="66">
        <v>41649</v>
      </c>
      <c r="D44" s="68">
        <f t="shared" si="77"/>
        <v>1</v>
      </c>
      <c r="E44" s="66" t="str">
        <f t="shared" si="78"/>
        <v>2014-Jan</v>
      </c>
      <c r="F44" s="68">
        <f t="shared" si="79"/>
        <v>1</v>
      </c>
      <c r="G44" s="104" t="s">
        <v>121</v>
      </c>
      <c r="H44" s="84" t="s">
        <v>348</v>
      </c>
      <c r="I44" s="84"/>
      <c r="J44" s="84" t="s">
        <v>77</v>
      </c>
      <c r="K44" s="84" t="s">
        <v>82</v>
      </c>
      <c r="L44" s="84" t="s">
        <v>79</v>
      </c>
      <c r="M44" s="84" t="s">
        <v>540</v>
      </c>
      <c r="N44" s="84" t="s">
        <v>124</v>
      </c>
      <c r="O44" s="84" t="s">
        <v>285</v>
      </c>
      <c r="P44" s="64" t="s">
        <v>352</v>
      </c>
      <c r="R44" s="64" t="s">
        <v>355</v>
      </c>
      <c r="S44" s="104" t="s">
        <v>104</v>
      </c>
      <c r="X44" s="104" t="s">
        <v>259</v>
      </c>
      <c r="Y44" s="83" t="str">
        <f t="shared" si="16"/>
        <v>Pass</v>
      </c>
      <c r="Z44" s="11" t="str">
        <f t="shared" si="35"/>
        <v/>
      </c>
      <c r="AA44" s="124" t="str">
        <f t="shared" si="36"/>
        <v/>
      </c>
      <c r="AB44" s="124" t="str">
        <f t="shared" si="37"/>
        <v/>
      </c>
    </row>
    <row r="45" spans="2:28" x14ac:dyDescent="0.25">
      <c r="B45" s="65">
        <v>41649</v>
      </c>
      <c r="C45" s="66">
        <v>41649</v>
      </c>
      <c r="D45" s="68">
        <f t="shared" si="77"/>
        <v>1</v>
      </c>
      <c r="E45" s="66" t="str">
        <f t="shared" si="78"/>
        <v>2014-Jan</v>
      </c>
      <c r="F45" s="68">
        <f t="shared" si="79"/>
        <v>1</v>
      </c>
      <c r="G45" s="104" t="s">
        <v>121</v>
      </c>
      <c r="H45" s="84" t="s">
        <v>348</v>
      </c>
      <c r="I45" s="84"/>
      <c r="J45" s="84" t="s">
        <v>77</v>
      </c>
      <c r="K45" s="84" t="s">
        <v>82</v>
      </c>
      <c r="L45" s="84" t="s">
        <v>79</v>
      </c>
      <c r="M45" s="84" t="s">
        <v>541</v>
      </c>
      <c r="N45" s="84" t="s">
        <v>124</v>
      </c>
      <c r="O45" s="84" t="s">
        <v>285</v>
      </c>
      <c r="P45" s="64" t="s">
        <v>352</v>
      </c>
      <c r="Q45" s="2" t="s">
        <v>88</v>
      </c>
      <c r="R45" s="64" t="s">
        <v>355</v>
      </c>
      <c r="S45" s="104" t="s">
        <v>104</v>
      </c>
      <c r="X45" s="104" t="s">
        <v>259</v>
      </c>
      <c r="Y45" s="83" t="str">
        <f t="shared" si="16"/>
        <v>Obsolete</v>
      </c>
      <c r="Z45" s="11">
        <f t="shared" si="35"/>
        <v>41649</v>
      </c>
      <c r="AA45" s="124" t="str">
        <f t="shared" si="36"/>
        <v>2014 - 02</v>
      </c>
      <c r="AB45" s="124">
        <f t="shared" si="37"/>
        <v>2014</v>
      </c>
    </row>
    <row r="46" spans="2:28" x14ac:dyDescent="0.25">
      <c r="B46" s="66">
        <v>41649</v>
      </c>
      <c r="C46" s="66">
        <v>41649</v>
      </c>
      <c r="D46" s="68">
        <f t="shared" si="77"/>
        <v>1</v>
      </c>
      <c r="E46" s="66" t="str">
        <f t="shared" si="78"/>
        <v>2014-Jan</v>
      </c>
      <c r="F46" s="68">
        <f t="shared" si="79"/>
        <v>1</v>
      </c>
      <c r="G46" s="84" t="s">
        <v>87</v>
      </c>
      <c r="H46" s="84" t="s">
        <v>166</v>
      </c>
      <c r="J46" s="84" t="s">
        <v>149</v>
      </c>
      <c r="K46" s="84" t="s">
        <v>84</v>
      </c>
      <c r="L46" s="84" t="s">
        <v>79</v>
      </c>
      <c r="M46" s="1" t="s">
        <v>542</v>
      </c>
      <c r="N46" s="84" t="s">
        <v>124</v>
      </c>
      <c r="O46" s="84" t="s">
        <v>264</v>
      </c>
      <c r="R46" s="64" t="s">
        <v>354</v>
      </c>
      <c r="Y46" s="83" t="str">
        <f t="shared" si="16"/>
        <v>Unknown</v>
      </c>
      <c r="Z46" s="11" t="str">
        <f t="shared" si="35"/>
        <v/>
      </c>
      <c r="AA46" s="124" t="str">
        <f t="shared" si="36"/>
        <v/>
      </c>
      <c r="AB46" s="124" t="str">
        <f t="shared" si="37"/>
        <v/>
      </c>
    </row>
    <row r="47" spans="2:28" x14ac:dyDescent="0.25">
      <c r="B47" s="66">
        <v>41649</v>
      </c>
      <c r="C47" s="66">
        <v>41649</v>
      </c>
      <c r="D47" s="68">
        <f t="shared" ref="D47" si="80">IF(B47&gt;0,MONTH(B47),"False")</f>
        <v>1</v>
      </c>
      <c r="E47" s="66" t="str">
        <f t="shared" ref="E47" si="81">YEAR(B47) &amp; CHOOSE(D47,"-Jan","-Feb","-Mar","-Apr","-May","-Jun","-Jul","-Aug","-Sep","-Oct","-Nov","-Dec")</f>
        <v>2014-Jan</v>
      </c>
      <c r="F47" s="68">
        <f t="shared" ref="F47" si="82">IF(C47&gt;0,MONTH(C47),"False")</f>
        <v>1</v>
      </c>
      <c r="G47" s="84" t="s">
        <v>87</v>
      </c>
      <c r="H47" s="84" t="s">
        <v>166</v>
      </c>
      <c r="I47" s="84"/>
      <c r="J47" s="84" t="s">
        <v>149</v>
      </c>
      <c r="K47" s="84" t="s">
        <v>84</v>
      </c>
      <c r="L47" s="84" t="s">
        <v>79</v>
      </c>
      <c r="M47" s="84" t="s">
        <v>543</v>
      </c>
      <c r="N47" s="84" t="s">
        <v>124</v>
      </c>
      <c r="O47" s="84" t="s">
        <v>264</v>
      </c>
      <c r="P47" s="84"/>
      <c r="R47" s="64" t="s">
        <v>354</v>
      </c>
      <c r="Y47" s="83" t="str">
        <f t="shared" si="16"/>
        <v>Unknown</v>
      </c>
      <c r="Z47" s="11" t="str">
        <f t="shared" si="35"/>
        <v/>
      </c>
      <c r="AA47" s="124" t="str">
        <f t="shared" si="36"/>
        <v/>
      </c>
      <c r="AB47" s="124" t="str">
        <f t="shared" si="37"/>
        <v/>
      </c>
    </row>
    <row r="48" spans="2:28" x14ac:dyDescent="0.25">
      <c r="B48" s="66">
        <v>41650</v>
      </c>
      <c r="C48" s="66">
        <v>41650</v>
      </c>
      <c r="D48" s="68">
        <f t="shared" ref="D48" si="83">IF(B48&gt;0,MONTH(B48),"False")</f>
        <v>1</v>
      </c>
      <c r="E48" s="66" t="str">
        <f t="shared" ref="E48" si="84">YEAR(B48) &amp; CHOOSE(D48,"-Jan","-Feb","-Mar","-Apr","-May","-Jun","-Jul","-Aug","-Sep","-Oct","-Nov","-Dec")</f>
        <v>2014-Jan</v>
      </c>
      <c r="F48" s="68">
        <f t="shared" ref="F48" si="85">IF(C48&gt;0,MONTH(C48),"False")</f>
        <v>1</v>
      </c>
      <c r="G48" s="104" t="s">
        <v>112</v>
      </c>
      <c r="H48" s="84" t="s">
        <v>348</v>
      </c>
      <c r="J48" s="84" t="s">
        <v>149</v>
      </c>
      <c r="K48" s="84" t="s">
        <v>84</v>
      </c>
      <c r="L48" s="84" t="s">
        <v>79</v>
      </c>
      <c r="M48" s="1" t="s">
        <v>545</v>
      </c>
      <c r="N48" s="84" t="s">
        <v>124</v>
      </c>
      <c r="O48" s="84" t="s">
        <v>264</v>
      </c>
      <c r="R48" s="64" t="s">
        <v>356</v>
      </c>
      <c r="S48" s="104" t="s">
        <v>104</v>
      </c>
      <c r="T48" s="67" t="s">
        <v>110</v>
      </c>
      <c r="X48" s="104" t="s">
        <v>259</v>
      </c>
      <c r="Y48" s="83" t="str">
        <f t="shared" si="16"/>
        <v>Pass</v>
      </c>
      <c r="Z48" s="11" t="str">
        <f t="shared" si="35"/>
        <v/>
      </c>
      <c r="AA48" s="124" t="str">
        <f t="shared" si="36"/>
        <v/>
      </c>
      <c r="AB48" s="124" t="str">
        <f t="shared" si="37"/>
        <v/>
      </c>
    </row>
    <row r="49" spans="2:28" x14ac:dyDescent="0.25">
      <c r="B49" s="66">
        <v>41650</v>
      </c>
      <c r="C49" s="66">
        <v>41650</v>
      </c>
      <c r="D49" s="68">
        <f t="shared" ref="D49" si="86">IF(B49&gt;0,MONTH(B49),"False")</f>
        <v>1</v>
      </c>
      <c r="E49" s="66" t="str">
        <f t="shared" ref="E49" si="87">YEAR(B49) &amp; CHOOSE(D49,"-Jan","-Feb","-Mar","-Apr","-May","-Jun","-Jul","-Aug","-Sep","-Oct","-Nov","-Dec")</f>
        <v>2014-Jan</v>
      </c>
      <c r="F49" s="68">
        <f t="shared" ref="F49" si="88">IF(C49&gt;0,MONTH(C49),"False")</f>
        <v>1</v>
      </c>
      <c r="G49" s="104" t="s">
        <v>112</v>
      </c>
      <c r="H49" s="84" t="s">
        <v>348</v>
      </c>
      <c r="I49" s="84"/>
      <c r="J49" s="84" t="s">
        <v>149</v>
      </c>
      <c r="K49" s="84" t="s">
        <v>84</v>
      </c>
      <c r="L49" s="84" t="s">
        <v>79</v>
      </c>
      <c r="M49" s="1" t="s">
        <v>546</v>
      </c>
      <c r="N49" s="84" t="s">
        <v>124</v>
      </c>
      <c r="O49" s="84" t="s">
        <v>264</v>
      </c>
      <c r="R49" s="64" t="s">
        <v>356</v>
      </c>
      <c r="S49" s="104" t="s">
        <v>104</v>
      </c>
      <c r="T49" s="67" t="s">
        <v>110</v>
      </c>
      <c r="X49" s="104" t="s">
        <v>259</v>
      </c>
      <c r="Y49" s="83" t="str">
        <f t="shared" si="16"/>
        <v>Pass</v>
      </c>
      <c r="Z49" s="11" t="str">
        <f t="shared" si="35"/>
        <v/>
      </c>
      <c r="AA49" s="124" t="str">
        <f t="shared" si="36"/>
        <v/>
      </c>
      <c r="AB49" s="124" t="str">
        <f t="shared" si="37"/>
        <v/>
      </c>
    </row>
    <row r="50" spans="2:28" x14ac:dyDescent="0.25">
      <c r="B50" s="65">
        <v>41650</v>
      </c>
      <c r="C50" s="66">
        <v>41650</v>
      </c>
      <c r="D50" s="68">
        <f t="shared" ref="D50" si="89">IF(B50&gt;0,MONTH(B50),"False")</f>
        <v>1</v>
      </c>
      <c r="E50" s="66" t="str">
        <f t="shared" ref="E50" si="90">YEAR(B50) &amp; CHOOSE(D50,"-Jan","-Feb","-Mar","-Apr","-May","-Jun","-Jul","-Aug","-Sep","-Oct","-Nov","-Dec")</f>
        <v>2014-Jan</v>
      </c>
      <c r="F50" s="68">
        <f t="shared" ref="F50" si="91">IF(C50&gt;0,MONTH(C50),"False")</f>
        <v>1</v>
      </c>
      <c r="G50" s="87" t="s">
        <v>121</v>
      </c>
      <c r="H50" s="84" t="s">
        <v>266</v>
      </c>
      <c r="J50" s="84" t="s">
        <v>275</v>
      </c>
      <c r="K50" s="84" t="s">
        <v>82</v>
      </c>
      <c r="L50" s="84" t="s">
        <v>79</v>
      </c>
      <c r="M50" s="1" t="s">
        <v>547</v>
      </c>
      <c r="N50" s="84" t="s">
        <v>124</v>
      </c>
      <c r="O50" s="84" t="s">
        <v>109</v>
      </c>
      <c r="P50" s="64" t="s">
        <v>548</v>
      </c>
      <c r="R50" s="64" t="s">
        <v>478</v>
      </c>
      <c r="S50" s="87" t="s">
        <v>104</v>
      </c>
      <c r="X50" s="87" t="s">
        <v>524</v>
      </c>
      <c r="Y50" s="83" t="str">
        <f t="shared" si="16"/>
        <v>Pass</v>
      </c>
      <c r="Z50" s="11" t="str">
        <f t="shared" si="35"/>
        <v/>
      </c>
      <c r="AA50" s="124" t="str">
        <f t="shared" si="36"/>
        <v/>
      </c>
      <c r="AB50" s="124" t="str">
        <f t="shared" si="37"/>
        <v/>
      </c>
    </row>
    <row r="51" spans="2:28" x14ac:dyDescent="0.25">
      <c r="B51" s="65">
        <v>41652</v>
      </c>
      <c r="C51" s="66">
        <v>41657</v>
      </c>
      <c r="D51" s="68">
        <f t="shared" ref="D51" si="92">IF(B51&gt;0,MONTH(B51),"False")</f>
        <v>1</v>
      </c>
      <c r="E51" s="66" t="str">
        <f t="shared" ref="E51" si="93">YEAR(B51) &amp; CHOOSE(D51,"-Jan","-Feb","-Mar","-Apr","-May","-Jun","-Jul","-Aug","-Sep","-Oct","-Nov","-Dec")</f>
        <v>2014-Jan</v>
      </c>
      <c r="F51" s="68">
        <f t="shared" ref="F51" si="94">IF(C51&gt;0,MONTH(C51),"False")</f>
        <v>1</v>
      </c>
      <c r="G51" s="89" t="s">
        <v>93</v>
      </c>
      <c r="H51" s="85" t="s">
        <v>280</v>
      </c>
      <c r="J51" s="85" t="s">
        <v>81</v>
      </c>
      <c r="K51" s="85" t="s">
        <v>82</v>
      </c>
      <c r="L51" s="85" t="s">
        <v>79</v>
      </c>
      <c r="M51" s="1" t="s">
        <v>549</v>
      </c>
      <c r="N51" s="85" t="s">
        <v>124</v>
      </c>
      <c r="O51" s="85" t="s">
        <v>529</v>
      </c>
      <c r="P51" s="64" t="s">
        <v>305</v>
      </c>
      <c r="Q51" s="2" t="s">
        <v>88</v>
      </c>
      <c r="R51" s="64" t="s">
        <v>584</v>
      </c>
      <c r="Y51" s="83" t="str">
        <f t="shared" si="16"/>
        <v>Obsolete</v>
      </c>
      <c r="Z51" s="11">
        <f t="shared" si="35"/>
        <v>41657</v>
      </c>
      <c r="AA51" s="124" t="str">
        <f t="shared" si="36"/>
        <v>2014 - 03</v>
      </c>
      <c r="AB51" s="124">
        <f t="shared" si="37"/>
        <v>2014</v>
      </c>
    </row>
    <row r="52" spans="2:28" x14ac:dyDescent="0.25">
      <c r="B52" s="65">
        <v>41652</v>
      </c>
      <c r="C52" s="66">
        <v>41662</v>
      </c>
      <c r="D52" s="68">
        <f t="shared" ref="D52:D53" si="95">IF(B52&gt;0,MONTH(B52),"False")</f>
        <v>1</v>
      </c>
      <c r="E52" s="66" t="str">
        <f t="shared" ref="E52:E53" si="96">YEAR(B52) &amp; CHOOSE(D52,"-Jan","-Feb","-Mar","-Apr","-May","-Jun","-Jul","-Aug","-Sep","-Oct","-Nov","-Dec")</f>
        <v>2014-Jan</v>
      </c>
      <c r="F52" s="68">
        <f t="shared" ref="F52:F53" si="97">IF(C52&gt;0,MONTH(C52),"False")</f>
        <v>1</v>
      </c>
      <c r="G52" s="93" t="s">
        <v>93</v>
      </c>
      <c r="H52" s="85" t="s">
        <v>280</v>
      </c>
      <c r="I52" s="85"/>
      <c r="J52" s="85" t="s">
        <v>81</v>
      </c>
      <c r="K52" s="85" t="s">
        <v>82</v>
      </c>
      <c r="L52" s="85" t="s">
        <v>79</v>
      </c>
      <c r="M52" s="1" t="s">
        <v>550</v>
      </c>
      <c r="N52" s="85" t="s">
        <v>124</v>
      </c>
      <c r="O52" s="85" t="s">
        <v>529</v>
      </c>
      <c r="P52" s="64" t="s">
        <v>305</v>
      </c>
      <c r="R52" s="64" t="s">
        <v>584</v>
      </c>
      <c r="S52" s="305" t="s">
        <v>104</v>
      </c>
      <c r="Y52" s="83" t="str">
        <f t="shared" si="16"/>
        <v>Pass</v>
      </c>
      <c r="Z52" s="11" t="str">
        <f t="shared" si="35"/>
        <v/>
      </c>
      <c r="AA52" s="124" t="str">
        <f t="shared" si="36"/>
        <v/>
      </c>
      <c r="AB52" s="124" t="str">
        <f t="shared" si="37"/>
        <v/>
      </c>
    </row>
    <row r="53" spans="2:28" x14ac:dyDescent="0.25">
      <c r="B53" s="65">
        <v>41652</v>
      </c>
      <c r="C53" s="66">
        <v>41660</v>
      </c>
      <c r="D53" s="68">
        <f t="shared" si="95"/>
        <v>1</v>
      </c>
      <c r="E53" s="66" t="str">
        <f t="shared" si="96"/>
        <v>2014-Jan</v>
      </c>
      <c r="F53" s="68">
        <f t="shared" si="97"/>
        <v>1</v>
      </c>
      <c r="G53" s="94" t="s">
        <v>121</v>
      </c>
      <c r="H53" s="85" t="s">
        <v>280</v>
      </c>
      <c r="I53" s="85"/>
      <c r="J53" s="85" t="s">
        <v>81</v>
      </c>
      <c r="K53" s="85" t="s">
        <v>82</v>
      </c>
      <c r="L53" s="85" t="s">
        <v>79</v>
      </c>
      <c r="M53" s="1" t="s">
        <v>551</v>
      </c>
      <c r="N53" s="85" t="s">
        <v>124</v>
      </c>
      <c r="O53" s="85" t="s">
        <v>529</v>
      </c>
      <c r="P53" s="64" t="s">
        <v>305</v>
      </c>
      <c r="R53" s="64" t="s">
        <v>584</v>
      </c>
      <c r="S53" s="94" t="s">
        <v>104</v>
      </c>
      <c r="X53" s="94" t="s">
        <v>544</v>
      </c>
      <c r="Y53" s="83" t="str">
        <f t="shared" si="16"/>
        <v>Pass</v>
      </c>
      <c r="Z53" s="11" t="str">
        <f t="shared" si="35"/>
        <v/>
      </c>
      <c r="AA53" s="124" t="str">
        <f t="shared" si="36"/>
        <v/>
      </c>
      <c r="AB53" s="124" t="str">
        <f t="shared" si="37"/>
        <v/>
      </c>
    </row>
    <row r="54" spans="2:28" x14ac:dyDescent="0.25">
      <c r="B54" s="65">
        <v>41652</v>
      </c>
      <c r="C54" s="66">
        <v>41652</v>
      </c>
      <c r="D54" s="68">
        <f t="shared" ref="D54:D55" si="98">IF(B54&gt;0,MONTH(B54),"False")</f>
        <v>1</v>
      </c>
      <c r="E54" s="66" t="str">
        <f t="shared" ref="E54:E55" si="99">YEAR(B54) &amp; CHOOSE(D54,"-Jan","-Feb","-Mar","-Apr","-May","-Jun","-Jul","-Aug","-Sep","-Oct","-Nov","-Dec")</f>
        <v>2014-Jan</v>
      </c>
      <c r="F54" s="68">
        <f t="shared" ref="F54:F55" si="100">IF(C54&gt;0,MONTH(C54),"False")</f>
        <v>1</v>
      </c>
      <c r="G54" s="98" t="s">
        <v>127</v>
      </c>
      <c r="H54" s="85" t="s">
        <v>28</v>
      </c>
      <c r="J54" s="85" t="s">
        <v>77</v>
      </c>
      <c r="K54" s="85" t="s">
        <v>82</v>
      </c>
      <c r="L54" s="85" t="s">
        <v>79</v>
      </c>
      <c r="M54" s="1" t="s">
        <v>552</v>
      </c>
      <c r="N54" s="85" t="s">
        <v>124</v>
      </c>
      <c r="O54" s="85" t="s">
        <v>167</v>
      </c>
      <c r="P54" s="64" t="s">
        <v>334</v>
      </c>
      <c r="R54" s="64" t="s">
        <v>335</v>
      </c>
      <c r="S54" s="98" t="s">
        <v>104</v>
      </c>
      <c r="X54" s="98" t="s">
        <v>670</v>
      </c>
      <c r="Y54" s="83" t="str">
        <f t="shared" si="16"/>
        <v>Pass</v>
      </c>
      <c r="Z54" s="11" t="str">
        <f t="shared" si="35"/>
        <v/>
      </c>
      <c r="AA54" s="124" t="str">
        <f t="shared" si="36"/>
        <v/>
      </c>
      <c r="AB54" s="124" t="str">
        <f t="shared" si="37"/>
        <v/>
      </c>
    </row>
    <row r="55" spans="2:28" x14ac:dyDescent="0.25">
      <c r="B55" s="65">
        <v>41652</v>
      </c>
      <c r="C55" s="66">
        <v>41654</v>
      </c>
      <c r="D55" s="68">
        <f t="shared" si="98"/>
        <v>1</v>
      </c>
      <c r="E55" s="66" t="str">
        <f t="shared" si="99"/>
        <v>2014-Jan</v>
      </c>
      <c r="F55" s="68">
        <f t="shared" si="100"/>
        <v>1</v>
      </c>
      <c r="G55" s="94" t="s">
        <v>121</v>
      </c>
      <c r="H55" s="85" t="s">
        <v>266</v>
      </c>
      <c r="J55" s="85" t="s">
        <v>275</v>
      </c>
      <c r="K55" s="85" t="s">
        <v>82</v>
      </c>
      <c r="L55" s="85" t="s">
        <v>79</v>
      </c>
      <c r="M55" s="1" t="s">
        <v>553</v>
      </c>
      <c r="N55" s="85" t="s">
        <v>124</v>
      </c>
      <c r="O55" s="85" t="s">
        <v>109</v>
      </c>
      <c r="P55" s="64" t="s">
        <v>548</v>
      </c>
      <c r="R55" s="64" t="s">
        <v>478</v>
      </c>
      <c r="S55" s="94" t="s">
        <v>104</v>
      </c>
      <c r="X55" s="94" t="s">
        <v>524</v>
      </c>
      <c r="Y55" s="83" t="str">
        <f t="shared" si="16"/>
        <v>Pass</v>
      </c>
      <c r="Z55" s="11" t="str">
        <f t="shared" si="35"/>
        <v/>
      </c>
      <c r="AA55" s="124" t="str">
        <f t="shared" si="36"/>
        <v/>
      </c>
      <c r="AB55" s="124" t="str">
        <f t="shared" si="37"/>
        <v/>
      </c>
    </row>
    <row r="56" spans="2:28" x14ac:dyDescent="0.25">
      <c r="B56" s="65">
        <v>41652</v>
      </c>
      <c r="C56" s="66">
        <v>41652</v>
      </c>
      <c r="D56" s="68">
        <f t="shared" ref="D56" si="101">IF(B56&gt;0,MONTH(B56),"False")</f>
        <v>1</v>
      </c>
      <c r="E56" s="66" t="str">
        <f t="shared" ref="E56" si="102">YEAR(B56) &amp; CHOOSE(D56,"-Jan","-Feb","-Mar","-Apr","-May","-Jun","-Jul","-Aug","-Sep","-Oct","-Nov","-Dec")</f>
        <v>2014-Jan</v>
      </c>
      <c r="F56" s="68">
        <f t="shared" ref="F56" si="103">IF(C56&gt;0,MONTH(C56),"False")</f>
        <v>1</v>
      </c>
      <c r="G56" s="104" t="s">
        <v>121</v>
      </c>
      <c r="H56" s="85" t="s">
        <v>348</v>
      </c>
      <c r="J56" s="85" t="s">
        <v>77</v>
      </c>
      <c r="K56" s="85" t="s">
        <v>82</v>
      </c>
      <c r="L56" s="85" t="s">
        <v>79</v>
      </c>
      <c r="M56" s="1" t="s">
        <v>554</v>
      </c>
      <c r="N56" s="85" t="s">
        <v>124</v>
      </c>
      <c r="O56" s="85" t="s">
        <v>343</v>
      </c>
      <c r="P56" s="64" t="s">
        <v>352</v>
      </c>
      <c r="R56" s="64" t="s">
        <v>355</v>
      </c>
      <c r="S56" s="104" t="s">
        <v>104</v>
      </c>
      <c r="X56" s="104" t="s">
        <v>259</v>
      </c>
      <c r="Y56" s="83" t="str">
        <f t="shared" si="16"/>
        <v>Pass</v>
      </c>
      <c r="Z56" s="11" t="str">
        <f t="shared" si="35"/>
        <v/>
      </c>
      <c r="AA56" s="124" t="str">
        <f t="shared" si="36"/>
        <v/>
      </c>
      <c r="AB56" s="124" t="str">
        <f t="shared" si="37"/>
        <v/>
      </c>
    </row>
    <row r="57" spans="2:28" x14ac:dyDescent="0.25">
      <c r="B57" s="66">
        <v>41652</v>
      </c>
      <c r="C57" s="66">
        <v>41652</v>
      </c>
      <c r="D57" s="68">
        <f t="shared" ref="D57:D58" si="104">IF(B57&gt;0,MONTH(B57),"False")</f>
        <v>1</v>
      </c>
      <c r="E57" s="66" t="str">
        <f t="shared" ref="E57:E58" si="105">YEAR(B57) &amp; CHOOSE(D57,"-Jan","-Feb","-Mar","-Apr","-May","-Jun","-Jul","-Aug","-Sep","-Oct","-Nov","-Dec")</f>
        <v>2014-Jan</v>
      </c>
      <c r="F57" s="68">
        <f t="shared" ref="F57:F58" si="106">IF(C57&gt;0,MONTH(C57),"False")</f>
        <v>1</v>
      </c>
      <c r="G57" s="88" t="s">
        <v>112</v>
      </c>
      <c r="H57" s="85" t="s">
        <v>280</v>
      </c>
      <c r="J57" s="85" t="s">
        <v>78</v>
      </c>
      <c r="K57" s="85" t="s">
        <v>78</v>
      </c>
      <c r="L57" s="85" t="s">
        <v>79</v>
      </c>
      <c r="M57" s="1" t="s">
        <v>555</v>
      </c>
      <c r="N57" s="85" t="s">
        <v>124</v>
      </c>
      <c r="O57" s="85" t="s">
        <v>167</v>
      </c>
      <c r="R57" s="64" t="s">
        <v>344</v>
      </c>
      <c r="S57" s="88" t="s">
        <v>104</v>
      </c>
      <c r="X57" s="88" t="s">
        <v>544</v>
      </c>
      <c r="Y57" s="83" t="str">
        <f t="shared" si="16"/>
        <v>Pass</v>
      </c>
      <c r="Z57" s="11" t="str">
        <f t="shared" si="35"/>
        <v/>
      </c>
      <c r="AA57" s="124" t="str">
        <f t="shared" si="36"/>
        <v/>
      </c>
      <c r="AB57" s="124" t="str">
        <f t="shared" si="37"/>
        <v/>
      </c>
    </row>
    <row r="58" spans="2:28" x14ac:dyDescent="0.25">
      <c r="B58" s="65">
        <v>41653</v>
      </c>
      <c r="C58" s="66"/>
      <c r="D58" s="68">
        <f t="shared" si="104"/>
        <v>1</v>
      </c>
      <c r="E58" s="66" t="str">
        <f t="shared" si="105"/>
        <v>2014-Jan</v>
      </c>
      <c r="F58" s="68" t="str">
        <f t="shared" si="106"/>
        <v>False</v>
      </c>
      <c r="G58" s="86" t="s">
        <v>75</v>
      </c>
      <c r="H58" s="86" t="s">
        <v>166</v>
      </c>
      <c r="J58" s="86" t="s">
        <v>120</v>
      </c>
      <c r="K58" s="86" t="s">
        <v>82</v>
      </c>
      <c r="L58" s="86" t="s">
        <v>79</v>
      </c>
      <c r="M58" s="1" t="s">
        <v>556</v>
      </c>
      <c r="N58" s="86" t="s">
        <v>124</v>
      </c>
      <c r="O58" s="86" t="s">
        <v>147</v>
      </c>
      <c r="P58" s="64" t="s">
        <v>557</v>
      </c>
      <c r="Q58" s="2" t="s">
        <v>94</v>
      </c>
      <c r="Y58" s="83" t="str">
        <f t="shared" si="16"/>
        <v>Obsolete</v>
      </c>
      <c r="Z58" s="11">
        <f t="shared" ref="Z58:Z92" si="107">IF(Q58="Obsolete-LQA",C58,IF(Q58="Obsolete-IT",B58,""))</f>
        <v>41653</v>
      </c>
      <c r="AA58" s="124" t="str">
        <f t="shared" ref="AA58:AA92" si="108">IFERROR(YEAR(Z58)&amp;" - "&amp; IF(LEN( WEEKNUM(Z58))=1,"0" &amp; WEEKNUM(Z58),WEEKNUM(Z58)),"")</f>
        <v>2014 - 03</v>
      </c>
      <c r="AB58" s="124">
        <f t="shared" ref="AB58:AB92" si="109">IFERROR(YEAR(Z58),"")</f>
        <v>2014</v>
      </c>
    </row>
    <row r="59" spans="2:28" x14ac:dyDescent="0.25">
      <c r="B59" s="65">
        <v>41653</v>
      </c>
      <c r="C59" s="66">
        <v>41654</v>
      </c>
      <c r="D59" s="68">
        <f t="shared" ref="D59" si="110">IF(B59&gt;0,MONTH(B59),"False")</f>
        <v>1</v>
      </c>
      <c r="E59" s="66" t="str">
        <f t="shared" ref="E59" si="111">YEAR(B59) &amp; CHOOSE(D59,"-Jan","-Feb","-Mar","-Apr","-May","-Jun","-Jul","-Aug","-Sep","-Oct","-Nov","-Dec")</f>
        <v>2014-Jan</v>
      </c>
      <c r="F59" s="68">
        <f t="shared" ref="F59" si="112">IF(C59&gt;0,MONTH(C59),"False")</f>
        <v>1</v>
      </c>
      <c r="G59" s="104" t="s">
        <v>121</v>
      </c>
      <c r="H59" s="86" t="s">
        <v>166</v>
      </c>
      <c r="J59" s="86" t="s">
        <v>77</v>
      </c>
      <c r="K59" s="86" t="s">
        <v>82</v>
      </c>
      <c r="L59" s="86" t="s">
        <v>79</v>
      </c>
      <c r="M59" s="1" t="s">
        <v>558</v>
      </c>
      <c r="N59" s="86" t="s">
        <v>124</v>
      </c>
      <c r="O59" s="86" t="s">
        <v>353</v>
      </c>
      <c r="P59" s="64" t="s">
        <v>319</v>
      </c>
      <c r="R59" s="64" t="s">
        <v>320</v>
      </c>
      <c r="S59" s="104" t="s">
        <v>104</v>
      </c>
      <c r="T59" s="67" t="s">
        <v>110</v>
      </c>
      <c r="X59" s="104" t="s">
        <v>259</v>
      </c>
      <c r="Y59" s="83" t="str">
        <f t="shared" si="16"/>
        <v>Pass</v>
      </c>
      <c r="Z59" s="11" t="str">
        <f t="shared" si="107"/>
        <v/>
      </c>
      <c r="AA59" s="124" t="str">
        <f t="shared" si="108"/>
        <v/>
      </c>
      <c r="AB59" s="124" t="str">
        <f t="shared" si="109"/>
        <v/>
      </c>
    </row>
    <row r="60" spans="2:28" x14ac:dyDescent="0.25">
      <c r="B60" s="65">
        <v>41654</v>
      </c>
      <c r="C60" s="66">
        <v>41654</v>
      </c>
      <c r="D60" s="68">
        <f t="shared" ref="D60" si="113">IF(B60&gt;0,MONTH(B60),"False")</f>
        <v>1</v>
      </c>
      <c r="E60" s="66" t="str">
        <f t="shared" ref="E60" si="114">YEAR(B60) &amp; CHOOSE(D60,"-Jan","-Feb","-Mar","-Apr","-May","-Jun","-Jul","-Aug","-Sep","-Oct","-Nov","-Dec")</f>
        <v>2014-Jan</v>
      </c>
      <c r="F60" s="68">
        <f t="shared" ref="F60" si="115">IF(C60&gt;0,MONTH(C60),"False")</f>
        <v>1</v>
      </c>
      <c r="G60" s="89" t="s">
        <v>121</v>
      </c>
      <c r="H60" s="87" t="s">
        <v>316</v>
      </c>
      <c r="J60" s="87" t="s">
        <v>77</v>
      </c>
      <c r="K60" s="87" t="s">
        <v>82</v>
      </c>
      <c r="L60" s="87" t="s">
        <v>79</v>
      </c>
      <c r="M60" s="1" t="s">
        <v>559</v>
      </c>
      <c r="N60" s="87" t="s">
        <v>124</v>
      </c>
      <c r="O60" s="87" t="s">
        <v>143</v>
      </c>
      <c r="P60" s="64" t="s">
        <v>340</v>
      </c>
      <c r="R60" s="64" t="s">
        <v>481</v>
      </c>
      <c r="S60" s="89" t="s">
        <v>104</v>
      </c>
      <c r="T60" s="67" t="s">
        <v>110</v>
      </c>
      <c r="X60" s="89" t="s">
        <v>300</v>
      </c>
      <c r="Y60" s="83" t="str">
        <f t="shared" si="16"/>
        <v>Pass</v>
      </c>
      <c r="Z60" s="11" t="str">
        <f t="shared" si="107"/>
        <v/>
      </c>
      <c r="AA60" s="124" t="str">
        <f t="shared" si="108"/>
        <v/>
      </c>
      <c r="AB60" s="124" t="str">
        <f t="shared" si="109"/>
        <v/>
      </c>
    </row>
    <row r="61" spans="2:28" x14ac:dyDescent="0.25">
      <c r="B61" s="65">
        <v>41654</v>
      </c>
      <c r="C61" s="66">
        <v>41654</v>
      </c>
      <c r="D61" s="68">
        <f t="shared" ref="D61" si="116">IF(B61&gt;0,MONTH(B61),"False")</f>
        <v>1</v>
      </c>
      <c r="E61" s="66" t="str">
        <f t="shared" ref="E61" si="117">YEAR(B61) &amp; CHOOSE(D61,"-Jan","-Feb","-Mar","-Apr","-May","-Jun","-Jul","-Aug","-Sep","-Oct","-Nov","-Dec")</f>
        <v>2014-Jan</v>
      </c>
      <c r="F61" s="68">
        <f t="shared" ref="F61" si="118">IF(C61&gt;0,MONTH(C61),"False")</f>
        <v>1</v>
      </c>
      <c r="G61" s="88" t="s">
        <v>121</v>
      </c>
      <c r="H61" s="87" t="s">
        <v>103</v>
      </c>
      <c r="J61" s="87" t="s">
        <v>77</v>
      </c>
      <c r="K61" s="87" t="s">
        <v>82</v>
      </c>
      <c r="L61" s="87" t="s">
        <v>79</v>
      </c>
      <c r="M61" s="1" t="s">
        <v>560</v>
      </c>
      <c r="N61" s="87" t="s">
        <v>124</v>
      </c>
      <c r="O61" s="87" t="s">
        <v>265</v>
      </c>
      <c r="P61" s="64" t="s">
        <v>351</v>
      </c>
      <c r="R61" s="64" t="s">
        <v>361</v>
      </c>
      <c r="S61" s="88" t="s">
        <v>104</v>
      </c>
      <c r="X61" s="88" t="s">
        <v>298</v>
      </c>
      <c r="Y61" s="83" t="str">
        <f t="shared" si="16"/>
        <v>Pass</v>
      </c>
      <c r="Z61" s="11" t="str">
        <f t="shared" si="107"/>
        <v/>
      </c>
      <c r="AA61" s="124" t="str">
        <f t="shared" si="108"/>
        <v/>
      </c>
      <c r="AB61" s="124" t="str">
        <f t="shared" si="109"/>
        <v/>
      </c>
    </row>
    <row r="62" spans="2:28" x14ac:dyDescent="0.25">
      <c r="B62" s="66">
        <v>41654</v>
      </c>
      <c r="C62" s="66">
        <v>41654</v>
      </c>
      <c r="D62" s="68">
        <f t="shared" ref="D62:D63" si="119">IF(B62&gt;0,MONTH(B62),"False")</f>
        <v>1</v>
      </c>
      <c r="E62" s="66" t="str">
        <f t="shared" ref="E62:E63" si="120">YEAR(B62) &amp; CHOOSE(D62,"-Jan","-Feb","-Mar","-Apr","-May","-Jun","-Jul","-Aug","-Sep","-Oct","-Nov","-Dec")</f>
        <v>2014-Jan</v>
      </c>
      <c r="F62" s="68">
        <f t="shared" ref="F62:F63" si="121">IF(C62&gt;0,MONTH(C62),"False")</f>
        <v>1</v>
      </c>
      <c r="G62" s="88" t="s">
        <v>112</v>
      </c>
      <c r="H62" s="87" t="s">
        <v>280</v>
      </c>
      <c r="J62" s="87" t="s">
        <v>78</v>
      </c>
      <c r="K62" s="87" t="s">
        <v>78</v>
      </c>
      <c r="L62" s="87" t="s">
        <v>79</v>
      </c>
      <c r="M62" s="1" t="s">
        <v>561</v>
      </c>
      <c r="N62" s="87" t="s">
        <v>124</v>
      </c>
      <c r="O62" s="87" t="s">
        <v>304</v>
      </c>
      <c r="R62" s="64" t="s">
        <v>344</v>
      </c>
      <c r="S62" s="88" t="s">
        <v>104</v>
      </c>
      <c r="T62" s="67" t="s">
        <v>110</v>
      </c>
      <c r="X62" s="88" t="s">
        <v>544</v>
      </c>
      <c r="Y62" s="83" t="str">
        <f t="shared" si="16"/>
        <v>Pass</v>
      </c>
      <c r="Z62" s="11" t="str">
        <f t="shared" si="107"/>
        <v/>
      </c>
      <c r="AA62" s="124" t="str">
        <f t="shared" si="108"/>
        <v/>
      </c>
      <c r="AB62" s="124" t="str">
        <f t="shared" si="109"/>
        <v/>
      </c>
    </row>
    <row r="63" spans="2:28" x14ac:dyDescent="0.25">
      <c r="B63" s="65">
        <v>41654</v>
      </c>
      <c r="C63" s="66">
        <v>41654</v>
      </c>
      <c r="D63" s="68">
        <f t="shared" si="119"/>
        <v>1</v>
      </c>
      <c r="E63" s="66" t="str">
        <f t="shared" si="120"/>
        <v>2014-Jan</v>
      </c>
      <c r="F63" s="68">
        <f t="shared" si="121"/>
        <v>1</v>
      </c>
      <c r="G63" s="87" t="s">
        <v>93</v>
      </c>
      <c r="H63" s="87" t="s">
        <v>266</v>
      </c>
      <c r="J63" s="87" t="s">
        <v>275</v>
      </c>
      <c r="K63" s="87" t="s">
        <v>84</v>
      </c>
      <c r="L63" s="87" t="s">
        <v>83</v>
      </c>
      <c r="M63" s="1" t="s">
        <v>562</v>
      </c>
      <c r="N63" s="87" t="s">
        <v>124</v>
      </c>
      <c r="O63" s="87" t="s">
        <v>109</v>
      </c>
      <c r="P63" s="64" t="s">
        <v>563</v>
      </c>
      <c r="R63" s="64" t="s">
        <v>570</v>
      </c>
      <c r="Y63" s="83" t="str">
        <f t="shared" si="16"/>
        <v>Unknown</v>
      </c>
      <c r="Z63" s="11" t="str">
        <f t="shared" si="107"/>
        <v/>
      </c>
      <c r="AA63" s="124" t="str">
        <f t="shared" si="108"/>
        <v/>
      </c>
      <c r="AB63" s="124" t="str">
        <f t="shared" si="109"/>
        <v/>
      </c>
    </row>
    <row r="64" spans="2:28" x14ac:dyDescent="0.25">
      <c r="B64" s="66">
        <v>41654</v>
      </c>
      <c r="C64" s="66">
        <v>41654</v>
      </c>
      <c r="D64" s="68">
        <f t="shared" ref="D64" si="122">IF(B64&gt;0,MONTH(B64),"False")</f>
        <v>1</v>
      </c>
      <c r="E64" s="66" t="str">
        <f t="shared" ref="E64" si="123">YEAR(B64) &amp; CHOOSE(D64,"-Jan","-Feb","-Mar","-Apr","-May","-Jun","-Jul","-Aug","-Sep","-Oct","-Nov","-Dec")</f>
        <v>2014-Jan</v>
      </c>
      <c r="F64" s="68">
        <f t="shared" ref="F64" si="124">IF(C64&gt;0,MONTH(C64),"False")</f>
        <v>1</v>
      </c>
      <c r="G64" s="91" t="s">
        <v>112</v>
      </c>
      <c r="H64" s="87" t="s">
        <v>166</v>
      </c>
      <c r="J64" s="87" t="s">
        <v>78</v>
      </c>
      <c r="K64" s="87" t="s">
        <v>78</v>
      </c>
      <c r="L64" s="87" t="s">
        <v>79</v>
      </c>
      <c r="M64" s="1" t="s">
        <v>564</v>
      </c>
      <c r="N64" s="87" t="s">
        <v>124</v>
      </c>
      <c r="O64" s="87" t="s">
        <v>343</v>
      </c>
      <c r="R64" s="64" t="s">
        <v>488</v>
      </c>
      <c r="S64" s="91" t="s">
        <v>104</v>
      </c>
      <c r="X64" s="91" t="s">
        <v>165</v>
      </c>
      <c r="Y64" s="83" t="str">
        <f t="shared" si="16"/>
        <v>Pass</v>
      </c>
      <c r="Z64" s="11" t="str">
        <f t="shared" si="107"/>
        <v/>
      </c>
      <c r="AA64" s="124" t="str">
        <f t="shared" si="108"/>
        <v/>
      </c>
      <c r="AB64" s="124" t="str">
        <f t="shared" si="109"/>
        <v/>
      </c>
    </row>
    <row r="65" spans="2:28" x14ac:dyDescent="0.25">
      <c r="B65" s="66">
        <v>41654</v>
      </c>
      <c r="C65" s="66">
        <v>41654</v>
      </c>
      <c r="D65" s="68">
        <f t="shared" ref="D65:D66" si="125">IF(B65&gt;0,MONTH(B65),"False")</f>
        <v>1</v>
      </c>
      <c r="E65" s="66" t="str">
        <f t="shared" ref="E65:E66" si="126">YEAR(B65) &amp; CHOOSE(D65,"-Jan","-Feb","-Mar","-Apr","-May","-Jun","-Jul","-Aug","-Sep","-Oct","-Nov","-Dec")</f>
        <v>2014-Jan</v>
      </c>
      <c r="F65" s="68">
        <f t="shared" ref="F65:F66" si="127">IF(C65&gt;0,MONTH(C65),"False")</f>
        <v>1</v>
      </c>
      <c r="G65" s="90" t="s">
        <v>112</v>
      </c>
      <c r="H65" s="87" t="s">
        <v>316</v>
      </c>
      <c r="J65" s="87" t="s">
        <v>78</v>
      </c>
      <c r="K65" s="87" t="s">
        <v>78</v>
      </c>
      <c r="L65" s="87" t="s">
        <v>79</v>
      </c>
      <c r="M65" s="1" t="s">
        <v>565</v>
      </c>
      <c r="N65" s="87" t="s">
        <v>124</v>
      </c>
      <c r="O65" s="87" t="s">
        <v>343</v>
      </c>
      <c r="R65" s="64" t="s">
        <v>518</v>
      </c>
      <c r="S65" s="90" t="s">
        <v>104</v>
      </c>
      <c r="X65" s="90" t="s">
        <v>165</v>
      </c>
      <c r="Y65" s="83" t="str">
        <f t="shared" si="16"/>
        <v>Pass</v>
      </c>
      <c r="Z65" s="11" t="str">
        <f t="shared" si="107"/>
        <v/>
      </c>
      <c r="AA65" s="124" t="str">
        <f t="shared" si="108"/>
        <v/>
      </c>
      <c r="AB65" s="124" t="str">
        <f t="shared" si="109"/>
        <v/>
      </c>
    </row>
    <row r="66" spans="2:28" x14ac:dyDescent="0.25">
      <c r="B66" s="65">
        <v>41654</v>
      </c>
      <c r="C66" s="66">
        <v>41654</v>
      </c>
      <c r="D66" s="68">
        <f t="shared" si="125"/>
        <v>1</v>
      </c>
      <c r="E66" s="66" t="str">
        <f t="shared" si="126"/>
        <v>2014-Jan</v>
      </c>
      <c r="F66" s="68">
        <f t="shared" si="127"/>
        <v>1</v>
      </c>
      <c r="G66" s="87" t="s">
        <v>93</v>
      </c>
      <c r="H66" s="87" t="s">
        <v>166</v>
      </c>
      <c r="J66" s="87" t="s">
        <v>146</v>
      </c>
      <c r="K66" s="87" t="s">
        <v>82</v>
      </c>
      <c r="L66" s="87" t="s">
        <v>79</v>
      </c>
      <c r="M66" s="1" t="s">
        <v>566</v>
      </c>
      <c r="N66" s="87" t="s">
        <v>124</v>
      </c>
      <c r="O66" s="87" t="s">
        <v>302</v>
      </c>
      <c r="P66" s="64" t="s">
        <v>485</v>
      </c>
      <c r="R66" s="64" t="s">
        <v>486</v>
      </c>
      <c r="S66" s="198" t="s">
        <v>104</v>
      </c>
      <c r="Y66" s="83" t="str">
        <f t="shared" si="16"/>
        <v>Pass</v>
      </c>
      <c r="Z66" s="11" t="str">
        <f t="shared" si="107"/>
        <v/>
      </c>
      <c r="AA66" s="124" t="str">
        <f t="shared" si="108"/>
        <v/>
      </c>
      <c r="AB66" s="124" t="str">
        <f t="shared" si="109"/>
        <v/>
      </c>
    </row>
    <row r="67" spans="2:28" x14ac:dyDescent="0.25">
      <c r="B67" s="66">
        <v>41654</v>
      </c>
      <c r="C67" s="66">
        <v>41654</v>
      </c>
      <c r="D67" s="68">
        <f t="shared" ref="D67" si="128">IF(B67&gt;0,MONTH(B67),"False")</f>
        <v>1</v>
      </c>
      <c r="E67" s="66" t="str">
        <f t="shared" ref="E67" si="129">YEAR(B67) &amp; CHOOSE(D67,"-Jan","-Feb","-Mar","-Apr","-May","-Jun","-Jul","-Aug","-Sep","-Oct","-Nov","-Dec")</f>
        <v>2014-Jan</v>
      </c>
      <c r="F67" s="68">
        <f t="shared" ref="F67" si="130">IF(C67&gt;0,MONTH(C67),"False")</f>
        <v>1</v>
      </c>
      <c r="G67" s="87" t="s">
        <v>87</v>
      </c>
      <c r="H67" s="87" t="s">
        <v>166</v>
      </c>
      <c r="J67" s="87" t="s">
        <v>146</v>
      </c>
      <c r="K67" s="87" t="s">
        <v>260</v>
      </c>
      <c r="L67" s="87" t="s">
        <v>83</v>
      </c>
      <c r="M67" s="1" t="s">
        <v>567</v>
      </c>
      <c r="N67" s="87" t="s">
        <v>124</v>
      </c>
      <c r="O67" s="87" t="s">
        <v>302</v>
      </c>
      <c r="R67" s="64" t="s">
        <v>568</v>
      </c>
      <c r="S67" s="198" t="s">
        <v>104</v>
      </c>
      <c r="Y67" s="83" t="str">
        <f t="shared" si="16"/>
        <v>Pass</v>
      </c>
      <c r="Z67" s="11" t="str">
        <f t="shared" si="107"/>
        <v/>
      </c>
      <c r="AA67" s="124" t="str">
        <f t="shared" si="108"/>
        <v/>
      </c>
      <c r="AB67" s="124" t="str">
        <f t="shared" si="109"/>
        <v/>
      </c>
    </row>
    <row r="68" spans="2:28" s="413" customFormat="1" x14ac:dyDescent="0.25">
      <c r="B68" s="66">
        <v>41654</v>
      </c>
      <c r="C68" s="66">
        <v>41654</v>
      </c>
      <c r="D68" s="68">
        <f t="shared" ref="D68" si="131">IF(B68&gt;0,MONTH(B68),"False")</f>
        <v>1</v>
      </c>
      <c r="E68" s="66" t="str">
        <f t="shared" ref="E68" si="132">YEAR(B68) &amp; CHOOSE(D68,"-Jan","-Feb","-Mar","-Apr","-May","-Jun","-Jul","-Aug","-Sep","-Oct","-Nov","-Dec")</f>
        <v>2014-Jan</v>
      </c>
      <c r="F68" s="68">
        <f t="shared" ref="F68" si="133">IF(C68&gt;0,MONTH(C68),"False")</f>
        <v>1</v>
      </c>
      <c r="G68" s="413" t="s">
        <v>112</v>
      </c>
      <c r="H68" s="413" t="s">
        <v>86</v>
      </c>
      <c r="J68" s="413" t="s">
        <v>77</v>
      </c>
      <c r="K68" s="413" t="s">
        <v>78</v>
      </c>
      <c r="L68" s="413" t="s">
        <v>79</v>
      </c>
      <c r="M68" s="413" t="s">
        <v>2291</v>
      </c>
      <c r="N68" s="413" t="s">
        <v>124</v>
      </c>
      <c r="O68" s="413" t="s">
        <v>167</v>
      </c>
      <c r="Q68" s="2"/>
      <c r="R68" s="64" t="s">
        <v>163</v>
      </c>
      <c r="S68" s="413" t="s">
        <v>104</v>
      </c>
      <c r="T68" s="67"/>
      <c r="X68" s="413" t="s">
        <v>2292</v>
      </c>
      <c r="Y68" s="413" t="str">
        <f t="shared" si="16"/>
        <v>Pass</v>
      </c>
      <c r="Z68" s="11"/>
    </row>
    <row r="69" spans="2:28" x14ac:dyDescent="0.25">
      <c r="B69" s="66">
        <v>41654</v>
      </c>
      <c r="C69" s="66">
        <v>41654</v>
      </c>
      <c r="D69" s="68">
        <f t="shared" ref="D69:D70" si="134">IF(B69&gt;0,MONTH(B69),"False")</f>
        <v>1</v>
      </c>
      <c r="E69" s="66" t="str">
        <f t="shared" ref="E69:E70" si="135">YEAR(B69) &amp; CHOOSE(D69,"-Jan","-Feb","-Mar","-Apr","-May","-Jun","-Jul","-Aug","-Sep","-Oct","-Nov","-Dec")</f>
        <v>2014-Jan</v>
      </c>
      <c r="F69" s="68">
        <f t="shared" ref="F69:F70" si="136">IF(C69&gt;0,MONTH(C69),"False")</f>
        <v>1</v>
      </c>
      <c r="G69" s="87" t="s">
        <v>87</v>
      </c>
      <c r="H69" s="87" t="s">
        <v>483</v>
      </c>
      <c r="J69" s="87" t="s">
        <v>78</v>
      </c>
      <c r="K69" s="87" t="s">
        <v>78</v>
      </c>
      <c r="L69" s="87" t="s">
        <v>79</v>
      </c>
      <c r="M69" s="1" t="s">
        <v>569</v>
      </c>
      <c r="N69" s="87" t="s">
        <v>124</v>
      </c>
      <c r="O69" s="87" t="s">
        <v>145</v>
      </c>
      <c r="R69" s="64" t="s">
        <v>491</v>
      </c>
      <c r="T69" s="67" t="s">
        <v>110</v>
      </c>
      <c r="Y69" s="83" t="str">
        <f t="shared" si="16"/>
        <v>Unknown</v>
      </c>
      <c r="Z69" s="11" t="str">
        <f t="shared" si="107"/>
        <v/>
      </c>
      <c r="AA69" s="124" t="str">
        <f t="shared" si="108"/>
        <v/>
      </c>
      <c r="AB69" s="124" t="str">
        <f t="shared" si="109"/>
        <v/>
      </c>
    </row>
    <row r="70" spans="2:28" x14ac:dyDescent="0.25">
      <c r="B70" s="65">
        <v>41654</v>
      </c>
      <c r="C70" s="66">
        <v>41654</v>
      </c>
      <c r="D70" s="68">
        <f t="shared" si="134"/>
        <v>1</v>
      </c>
      <c r="E70" s="66" t="str">
        <f t="shared" si="135"/>
        <v>2014-Jan</v>
      </c>
      <c r="F70" s="68">
        <f t="shared" si="136"/>
        <v>1</v>
      </c>
      <c r="G70" s="104" t="s">
        <v>121</v>
      </c>
      <c r="H70" s="87" t="s">
        <v>348</v>
      </c>
      <c r="J70" s="87" t="s">
        <v>77</v>
      </c>
      <c r="K70" s="87" t="s">
        <v>82</v>
      </c>
      <c r="L70" s="87" t="s">
        <v>79</v>
      </c>
      <c r="M70" s="1" t="s">
        <v>571</v>
      </c>
      <c r="N70" s="87" t="s">
        <v>124</v>
      </c>
      <c r="O70" s="87" t="s">
        <v>343</v>
      </c>
      <c r="P70" s="64" t="s">
        <v>352</v>
      </c>
      <c r="R70" s="64" t="s">
        <v>355</v>
      </c>
      <c r="S70" s="104" t="s">
        <v>104</v>
      </c>
      <c r="X70" s="104" t="s">
        <v>259</v>
      </c>
      <c r="Y70" s="83" t="str">
        <f t="shared" si="16"/>
        <v>Pass</v>
      </c>
      <c r="Z70" s="11" t="str">
        <f t="shared" si="107"/>
        <v/>
      </c>
      <c r="AA70" s="124" t="str">
        <f t="shared" si="108"/>
        <v/>
      </c>
      <c r="AB70" s="124" t="str">
        <f t="shared" si="109"/>
        <v/>
      </c>
    </row>
    <row r="71" spans="2:28" x14ac:dyDescent="0.25">
      <c r="B71" s="66">
        <v>41655</v>
      </c>
      <c r="C71" s="66">
        <v>41655</v>
      </c>
      <c r="D71" s="68">
        <f t="shared" ref="D71:D72" si="137">IF(B71&gt;0,MONTH(B71),"False")</f>
        <v>1</v>
      </c>
      <c r="E71" s="66" t="str">
        <f t="shared" ref="E71:E72" si="138">YEAR(B71) &amp; CHOOSE(D71,"-Jan","-Feb","-Mar","-Apr","-May","-Jun","-Jul","-Aug","-Sep","-Oct","-Nov","-Dec")</f>
        <v>2014-Jan</v>
      </c>
      <c r="F71" s="68">
        <f t="shared" ref="F71:F72" si="139">IF(C71&gt;0,MONTH(C71),"False")</f>
        <v>1</v>
      </c>
      <c r="G71" s="88" t="s">
        <v>87</v>
      </c>
      <c r="H71" s="88" t="s">
        <v>166</v>
      </c>
      <c r="J71" s="88" t="s">
        <v>333</v>
      </c>
      <c r="K71" s="88" t="s">
        <v>84</v>
      </c>
      <c r="L71" s="88" t="s">
        <v>83</v>
      </c>
      <c r="M71" s="1" t="s">
        <v>572</v>
      </c>
      <c r="N71" s="88" t="s">
        <v>124</v>
      </c>
      <c r="O71" s="88" t="s">
        <v>288</v>
      </c>
      <c r="R71" s="64" t="s">
        <v>346</v>
      </c>
      <c r="Y71" s="83" t="str">
        <f t="shared" si="16"/>
        <v>Unknown</v>
      </c>
      <c r="Z71" s="11" t="str">
        <f t="shared" si="107"/>
        <v/>
      </c>
      <c r="AA71" s="124" t="str">
        <f t="shared" si="108"/>
        <v/>
      </c>
      <c r="AB71" s="124" t="str">
        <f t="shared" si="109"/>
        <v/>
      </c>
    </row>
    <row r="72" spans="2:28" x14ac:dyDescent="0.25">
      <c r="B72" s="65">
        <v>41655</v>
      </c>
      <c r="C72" s="66">
        <v>41662</v>
      </c>
      <c r="D72" s="68">
        <f t="shared" si="137"/>
        <v>1</v>
      </c>
      <c r="E72" s="66" t="str">
        <f t="shared" si="138"/>
        <v>2014-Jan</v>
      </c>
      <c r="F72" s="68">
        <f t="shared" si="139"/>
        <v>1</v>
      </c>
      <c r="G72" s="93" t="s">
        <v>93</v>
      </c>
      <c r="H72" s="88" t="s">
        <v>280</v>
      </c>
      <c r="J72" s="88" t="s">
        <v>146</v>
      </c>
      <c r="K72" s="88" t="s">
        <v>82</v>
      </c>
      <c r="L72" s="88" t="s">
        <v>79</v>
      </c>
      <c r="M72" s="1" t="s">
        <v>573</v>
      </c>
      <c r="N72" s="88" t="s">
        <v>124</v>
      </c>
      <c r="O72" s="88" t="s">
        <v>529</v>
      </c>
      <c r="P72" s="64" t="s">
        <v>305</v>
      </c>
      <c r="S72" s="291" t="s">
        <v>104</v>
      </c>
      <c r="Y72" s="83" t="str">
        <f t="shared" si="16"/>
        <v>Pass</v>
      </c>
      <c r="Z72" s="11" t="str">
        <f t="shared" si="107"/>
        <v/>
      </c>
      <c r="AA72" s="124" t="str">
        <f t="shared" si="108"/>
        <v/>
      </c>
      <c r="AB72" s="124" t="str">
        <f t="shared" si="109"/>
        <v/>
      </c>
    </row>
    <row r="73" spans="2:28" x14ac:dyDescent="0.25">
      <c r="B73" s="65">
        <v>41655</v>
      </c>
      <c r="C73" s="66">
        <v>41659</v>
      </c>
      <c r="D73" s="68">
        <f t="shared" ref="D73" si="140">IF(B73&gt;0,MONTH(B73),"False")</f>
        <v>1</v>
      </c>
      <c r="E73" s="66" t="str">
        <f t="shared" ref="E73" si="141">YEAR(B73) &amp; CHOOSE(D73,"-Jan","-Feb","-Mar","-Apr","-May","-Jun","-Jul","-Aug","-Sep","-Oct","-Nov","-Dec")</f>
        <v>2014-Jan</v>
      </c>
      <c r="F73" s="68">
        <f t="shared" ref="F73" si="142">IF(C73&gt;0,MONTH(C73),"False")</f>
        <v>1</v>
      </c>
      <c r="G73" s="90" t="s">
        <v>93</v>
      </c>
      <c r="H73" s="88" t="s">
        <v>266</v>
      </c>
      <c r="J73" s="88" t="s">
        <v>275</v>
      </c>
      <c r="K73" s="88" t="s">
        <v>84</v>
      </c>
      <c r="L73" s="88" t="s">
        <v>83</v>
      </c>
      <c r="M73" s="1" t="s">
        <v>574</v>
      </c>
      <c r="N73" s="88" t="s">
        <v>124</v>
      </c>
      <c r="O73" s="88" t="s">
        <v>109</v>
      </c>
      <c r="P73" s="64" t="s">
        <v>563</v>
      </c>
      <c r="R73" s="64" t="s">
        <v>477</v>
      </c>
      <c r="Y73" s="83" t="str">
        <f t="shared" si="16"/>
        <v>Unknown</v>
      </c>
      <c r="Z73" s="11" t="str">
        <f t="shared" si="107"/>
        <v/>
      </c>
      <c r="AA73" s="124" t="str">
        <f t="shared" si="108"/>
        <v/>
      </c>
      <c r="AB73" s="124" t="str">
        <f t="shared" si="109"/>
        <v/>
      </c>
    </row>
    <row r="74" spans="2:28" x14ac:dyDescent="0.25">
      <c r="B74" s="65">
        <v>41655</v>
      </c>
      <c r="C74" s="66">
        <v>41655</v>
      </c>
      <c r="D74" s="68">
        <f t="shared" ref="D74:D75" si="143">IF(B74&gt;0,MONTH(B74),"False")</f>
        <v>1</v>
      </c>
      <c r="E74" s="66" t="str">
        <f t="shared" ref="E74:E75" si="144">YEAR(B74) &amp; CHOOSE(D74,"-Jan","-Feb","-Mar","-Apr","-May","-Jun","-Jul","-Aug","-Sep","-Oct","-Nov","-Dec")</f>
        <v>2014-Jan</v>
      </c>
      <c r="F74" s="68">
        <f t="shared" ref="F74:F75" si="145">IF(C74&gt;0,MONTH(C74),"False")</f>
        <v>1</v>
      </c>
      <c r="G74" s="88" t="s">
        <v>93</v>
      </c>
      <c r="H74" s="88" t="s">
        <v>280</v>
      </c>
      <c r="J74" s="88" t="s">
        <v>146</v>
      </c>
      <c r="K74" s="88" t="s">
        <v>82</v>
      </c>
      <c r="L74" s="88" t="s">
        <v>79</v>
      </c>
      <c r="M74" s="1" t="s">
        <v>575</v>
      </c>
      <c r="N74" s="88" t="s">
        <v>124</v>
      </c>
      <c r="O74" s="88" t="s">
        <v>302</v>
      </c>
      <c r="P74" s="64" t="s">
        <v>305</v>
      </c>
      <c r="R74" s="64" t="s">
        <v>482</v>
      </c>
      <c r="Y74" s="83" t="str">
        <f t="shared" si="16"/>
        <v>Unknown</v>
      </c>
      <c r="Z74" s="11" t="str">
        <f t="shared" si="107"/>
        <v/>
      </c>
      <c r="AA74" s="124" t="str">
        <f t="shared" si="108"/>
        <v/>
      </c>
      <c r="AB74" s="124" t="str">
        <f t="shared" si="109"/>
        <v/>
      </c>
    </row>
    <row r="75" spans="2:28" x14ac:dyDescent="0.25">
      <c r="B75" s="66">
        <v>41655</v>
      </c>
      <c r="C75" s="66">
        <v>41655</v>
      </c>
      <c r="D75" s="68">
        <f t="shared" si="143"/>
        <v>1</v>
      </c>
      <c r="E75" s="66" t="str">
        <f t="shared" si="144"/>
        <v>2014-Jan</v>
      </c>
      <c r="F75" s="68">
        <f t="shared" si="145"/>
        <v>1</v>
      </c>
      <c r="G75" s="88" t="s">
        <v>87</v>
      </c>
      <c r="H75" s="88" t="s">
        <v>280</v>
      </c>
      <c r="J75" s="88" t="s">
        <v>78</v>
      </c>
      <c r="K75" s="88" t="s">
        <v>78</v>
      </c>
      <c r="L75" s="88" t="s">
        <v>79</v>
      </c>
      <c r="M75" s="1" t="s">
        <v>576</v>
      </c>
      <c r="N75" s="88" t="s">
        <v>124</v>
      </c>
      <c r="O75" s="88" t="s">
        <v>138</v>
      </c>
      <c r="R75" s="64" t="s">
        <v>344</v>
      </c>
      <c r="S75" s="291" t="s">
        <v>104</v>
      </c>
      <c r="Y75" s="83" t="str">
        <f t="shared" ref="Y75:Y139" si="146">IF(Q75&gt;0,"Obsolete",IF(S75&gt;0,S75,"Unknown"))</f>
        <v>Pass</v>
      </c>
      <c r="Z75" s="11" t="str">
        <f t="shared" si="107"/>
        <v/>
      </c>
      <c r="AA75" s="124" t="str">
        <f t="shared" si="108"/>
        <v/>
      </c>
      <c r="AB75" s="124" t="str">
        <f t="shared" si="109"/>
        <v/>
      </c>
    </row>
    <row r="76" spans="2:28" x14ac:dyDescent="0.25">
      <c r="B76" s="66">
        <v>41656</v>
      </c>
      <c r="C76" s="66">
        <v>41656</v>
      </c>
      <c r="D76" s="68">
        <f t="shared" ref="D76" si="147">IF(B76&gt;0,MONTH(B76),"False")</f>
        <v>1</v>
      </c>
      <c r="E76" s="66" t="str">
        <f t="shared" ref="E76" si="148">YEAR(B76) &amp; CHOOSE(D76,"-Jan","-Feb","-Mar","-Apr","-May","-Jun","-Jul","-Aug","-Sep","-Oct","-Nov","-Dec")</f>
        <v>2014-Jan</v>
      </c>
      <c r="F76" s="68">
        <f t="shared" ref="F76" si="149">IF(C76&gt;0,MONTH(C76),"False")</f>
        <v>1</v>
      </c>
      <c r="G76" s="118" t="s">
        <v>112</v>
      </c>
      <c r="H76" s="89" t="s">
        <v>280</v>
      </c>
      <c r="J76" s="89" t="s">
        <v>333</v>
      </c>
      <c r="K76" s="89" t="s">
        <v>84</v>
      </c>
      <c r="L76" s="89" t="s">
        <v>83</v>
      </c>
      <c r="M76" s="1" t="s">
        <v>577</v>
      </c>
      <c r="N76" s="89" t="s">
        <v>124</v>
      </c>
      <c r="O76" s="89" t="s">
        <v>288</v>
      </c>
      <c r="R76" s="64" t="s">
        <v>578</v>
      </c>
      <c r="S76" s="118" t="s">
        <v>104</v>
      </c>
      <c r="T76" s="67" t="s">
        <v>110</v>
      </c>
      <c r="X76" s="118" t="s">
        <v>462</v>
      </c>
      <c r="Y76" s="83" t="str">
        <f t="shared" si="146"/>
        <v>Pass</v>
      </c>
      <c r="Z76" s="11" t="str">
        <f t="shared" si="107"/>
        <v/>
      </c>
      <c r="AA76" s="124" t="str">
        <f t="shared" si="108"/>
        <v/>
      </c>
      <c r="AB76" s="124" t="str">
        <f t="shared" si="109"/>
        <v/>
      </c>
    </row>
    <row r="77" spans="2:28" x14ac:dyDescent="0.25">
      <c r="B77" s="65">
        <v>41656</v>
      </c>
      <c r="C77" s="66">
        <v>41656</v>
      </c>
      <c r="D77" s="68">
        <f t="shared" ref="D77:D78" si="150">IF(B77&gt;0,MONTH(B77),"False")</f>
        <v>1</v>
      </c>
      <c r="E77" s="66" t="str">
        <f t="shared" ref="E77:E78" si="151">YEAR(B77) &amp; CHOOSE(D77,"-Jan","-Feb","-Mar","-Apr","-May","-Jun","-Jul","-Aug","-Sep","-Oct","-Nov","-Dec")</f>
        <v>2014-Jan</v>
      </c>
      <c r="F77" s="68">
        <f t="shared" ref="F77:F78" si="152">IF(C77&gt;0,MONTH(C77),"False")</f>
        <v>1</v>
      </c>
      <c r="G77" s="89" t="s">
        <v>93</v>
      </c>
      <c r="H77" s="89" t="s">
        <v>280</v>
      </c>
      <c r="J77" s="89" t="s">
        <v>146</v>
      </c>
      <c r="K77" s="89" t="s">
        <v>82</v>
      </c>
      <c r="L77" s="89" t="s">
        <v>79</v>
      </c>
      <c r="M77" s="1" t="s">
        <v>579</v>
      </c>
      <c r="N77" s="89" t="s">
        <v>124</v>
      </c>
      <c r="O77" s="89" t="s">
        <v>302</v>
      </c>
      <c r="P77" s="64" t="s">
        <v>305</v>
      </c>
      <c r="R77" s="64" t="s">
        <v>482</v>
      </c>
      <c r="S77" s="291" t="s">
        <v>104</v>
      </c>
      <c r="Y77" s="87" t="str">
        <f t="shared" si="146"/>
        <v>Pass</v>
      </c>
      <c r="Z77" s="11" t="str">
        <f t="shared" si="107"/>
        <v/>
      </c>
      <c r="AA77" s="124" t="str">
        <f t="shared" si="108"/>
        <v/>
      </c>
      <c r="AB77" s="124" t="str">
        <f t="shared" si="109"/>
        <v/>
      </c>
    </row>
    <row r="78" spans="2:28" x14ac:dyDescent="0.25">
      <c r="B78" s="66">
        <v>41656</v>
      </c>
      <c r="C78" s="66">
        <v>41656</v>
      </c>
      <c r="D78" s="68">
        <f t="shared" si="150"/>
        <v>1</v>
      </c>
      <c r="E78" s="66" t="str">
        <f t="shared" si="151"/>
        <v>2014-Jan</v>
      </c>
      <c r="F78" s="68">
        <f t="shared" si="152"/>
        <v>1</v>
      </c>
      <c r="G78" s="89" t="s">
        <v>87</v>
      </c>
      <c r="H78" s="89" t="s">
        <v>166</v>
      </c>
      <c r="J78" s="89" t="s">
        <v>90</v>
      </c>
      <c r="K78" s="89" t="s">
        <v>89</v>
      </c>
      <c r="L78" s="89" t="s">
        <v>83</v>
      </c>
      <c r="M78" s="1" t="s">
        <v>580</v>
      </c>
      <c r="N78" s="89" t="s">
        <v>124</v>
      </c>
      <c r="O78" s="89" t="s">
        <v>151</v>
      </c>
      <c r="R78" s="64" t="s">
        <v>581</v>
      </c>
      <c r="Y78" s="87" t="str">
        <f t="shared" si="146"/>
        <v>Unknown</v>
      </c>
      <c r="Z78" s="11" t="str">
        <f t="shared" si="107"/>
        <v/>
      </c>
      <c r="AA78" s="124" t="str">
        <f t="shared" si="108"/>
        <v/>
      </c>
      <c r="AB78" s="124" t="str">
        <f t="shared" si="109"/>
        <v/>
      </c>
    </row>
    <row r="79" spans="2:28" x14ac:dyDescent="0.25">
      <c r="B79" s="65">
        <v>41656</v>
      </c>
      <c r="C79" s="66">
        <v>41659</v>
      </c>
      <c r="D79" s="68">
        <f t="shared" ref="D79" si="153">IF(B79&gt;0,MONTH(B79),"False")</f>
        <v>1</v>
      </c>
      <c r="E79" s="66" t="str">
        <f t="shared" ref="E79" si="154">YEAR(B79) &amp; CHOOSE(D79,"-Jan","-Feb","-Mar","-Apr","-May","-Jun","-Jul","-Aug","-Sep","-Oct","-Nov","-Dec")</f>
        <v>2014-Jan</v>
      </c>
      <c r="F79" s="68">
        <f t="shared" ref="F79" si="155">IF(C79&gt;0,MONTH(C79),"False")</f>
        <v>1</v>
      </c>
      <c r="G79" s="204" t="s">
        <v>121</v>
      </c>
      <c r="H79" s="89" t="s">
        <v>166</v>
      </c>
      <c r="J79" s="89" t="s">
        <v>120</v>
      </c>
      <c r="K79" s="89" t="s">
        <v>82</v>
      </c>
      <c r="L79" s="89" t="s">
        <v>79</v>
      </c>
      <c r="M79" s="1" t="s">
        <v>582</v>
      </c>
      <c r="N79" s="89" t="s">
        <v>124</v>
      </c>
      <c r="O79" s="89" t="s">
        <v>147</v>
      </c>
      <c r="P79" s="64" t="s">
        <v>557</v>
      </c>
      <c r="R79" s="64" t="s">
        <v>594</v>
      </c>
      <c r="S79" s="204" t="s">
        <v>104</v>
      </c>
      <c r="T79" s="67" t="s">
        <v>110</v>
      </c>
      <c r="X79" s="204" t="s">
        <v>1312</v>
      </c>
      <c r="Y79" s="87" t="str">
        <f t="shared" si="146"/>
        <v>Pass</v>
      </c>
      <c r="Z79" s="11" t="str">
        <f t="shared" si="107"/>
        <v/>
      </c>
      <c r="AA79" s="124" t="str">
        <f t="shared" si="108"/>
        <v/>
      </c>
      <c r="AB79" s="124" t="str">
        <f t="shared" si="109"/>
        <v/>
      </c>
    </row>
    <row r="80" spans="2:28" x14ac:dyDescent="0.25">
      <c r="B80" s="65">
        <v>41657</v>
      </c>
      <c r="C80" s="66"/>
      <c r="D80" s="68">
        <f t="shared" ref="D80" si="156">IF(B80&gt;0,MONTH(B80),"False")</f>
        <v>1</v>
      </c>
      <c r="E80" s="66" t="str">
        <f t="shared" ref="E80" si="157">YEAR(B80) &amp; CHOOSE(D80,"-Jan","-Feb","-Mar","-Apr","-May","-Jun","-Jul","-Aug","-Sep","-Oct","-Nov","-Dec")</f>
        <v>2014-Jan</v>
      </c>
      <c r="F80" s="68" t="str">
        <f t="shared" ref="F80" si="158">IF(C80&gt;0,MONTH(C80),"False")</f>
        <v>False</v>
      </c>
      <c r="G80" s="89" t="s">
        <v>75</v>
      </c>
      <c r="H80" s="89" t="s">
        <v>166</v>
      </c>
      <c r="J80" s="89" t="s">
        <v>77</v>
      </c>
      <c r="K80" s="89" t="s">
        <v>82</v>
      </c>
      <c r="L80" s="89" t="s">
        <v>79</v>
      </c>
      <c r="M80" s="1" t="s">
        <v>583</v>
      </c>
      <c r="N80" s="89" t="s">
        <v>124</v>
      </c>
      <c r="O80" s="89" t="s">
        <v>353</v>
      </c>
      <c r="P80" s="64" t="s">
        <v>319</v>
      </c>
      <c r="Q80" s="2" t="s">
        <v>88</v>
      </c>
      <c r="Y80" s="87" t="str">
        <f t="shared" si="146"/>
        <v>Obsolete</v>
      </c>
      <c r="Z80" s="11">
        <f t="shared" si="107"/>
        <v>0</v>
      </c>
      <c r="AA80" s="124" t="str">
        <f t="shared" si="108"/>
        <v>1900 - 00</v>
      </c>
      <c r="AB80" s="124">
        <f t="shared" si="109"/>
        <v>1900</v>
      </c>
    </row>
    <row r="81" spans="2:28" x14ac:dyDescent="0.25">
      <c r="B81" s="65">
        <v>41659</v>
      </c>
      <c r="C81" s="66">
        <v>41659</v>
      </c>
      <c r="D81" s="68">
        <f t="shared" ref="D81" si="159">IF(B81&gt;0,MONTH(B81),"False")</f>
        <v>1</v>
      </c>
      <c r="E81" s="66" t="str">
        <f t="shared" ref="E81" si="160">YEAR(B81) &amp; CHOOSE(D81,"-Jan","-Feb","-Mar","-Apr","-May","-Jun","-Jul","-Aug","-Sep","-Oct","-Nov","-Dec")</f>
        <v>2014-Jan</v>
      </c>
      <c r="F81" s="68">
        <f t="shared" ref="F81" si="161">IF(C81&gt;0,MONTH(C81),"False")</f>
        <v>1</v>
      </c>
      <c r="G81" s="93" t="s">
        <v>121</v>
      </c>
      <c r="H81" s="90" t="s">
        <v>316</v>
      </c>
      <c r="J81" s="90" t="s">
        <v>77</v>
      </c>
      <c r="K81" s="90" t="s">
        <v>82</v>
      </c>
      <c r="L81" s="90" t="s">
        <v>79</v>
      </c>
      <c r="M81" s="1" t="s">
        <v>585</v>
      </c>
      <c r="N81" s="90" t="s">
        <v>124</v>
      </c>
      <c r="O81" s="90" t="s">
        <v>143</v>
      </c>
      <c r="P81" s="64" t="s">
        <v>340</v>
      </c>
      <c r="R81" s="64" t="s">
        <v>481</v>
      </c>
      <c r="S81" s="93" t="s">
        <v>104</v>
      </c>
      <c r="X81" s="93" t="s">
        <v>300</v>
      </c>
      <c r="Y81" s="87" t="str">
        <f t="shared" si="146"/>
        <v>Pass</v>
      </c>
      <c r="Z81" s="11" t="str">
        <f t="shared" si="107"/>
        <v/>
      </c>
      <c r="AA81" s="124" t="str">
        <f t="shared" si="108"/>
        <v/>
      </c>
      <c r="AB81" s="124" t="str">
        <f t="shared" si="109"/>
        <v/>
      </c>
    </row>
    <row r="82" spans="2:28" x14ac:dyDescent="0.25">
      <c r="B82" s="65">
        <v>41659</v>
      </c>
      <c r="C82" s="66">
        <v>41659</v>
      </c>
      <c r="D82" s="68">
        <f t="shared" ref="D82" si="162">IF(B82&gt;0,MONTH(B82),"False")</f>
        <v>1</v>
      </c>
      <c r="E82" s="66" t="str">
        <f t="shared" ref="E82" si="163">YEAR(B82) &amp; CHOOSE(D82,"-Jan","-Feb","-Mar","-Apr","-May","-Jun","-Jul","-Aug","-Sep","-Oct","-Nov","-Dec")</f>
        <v>2014-Jan</v>
      </c>
      <c r="F82" s="68">
        <f t="shared" ref="F82" si="164">IF(C82&gt;0,MONTH(C82),"False")</f>
        <v>1</v>
      </c>
      <c r="G82" s="90" t="s">
        <v>93</v>
      </c>
      <c r="H82" s="90" t="s">
        <v>166</v>
      </c>
      <c r="J82" s="90" t="s">
        <v>98</v>
      </c>
      <c r="K82" s="90" t="s">
        <v>82</v>
      </c>
      <c r="L82" s="90" t="s">
        <v>79</v>
      </c>
      <c r="M82" s="1" t="s">
        <v>586</v>
      </c>
      <c r="N82" s="90" t="s">
        <v>124</v>
      </c>
      <c r="O82" s="90" t="s">
        <v>285</v>
      </c>
      <c r="P82" s="64" t="s">
        <v>336</v>
      </c>
      <c r="R82" s="64" t="s">
        <v>587</v>
      </c>
      <c r="T82" s="67" t="s">
        <v>110</v>
      </c>
      <c r="Y82" s="87" t="str">
        <f t="shared" si="146"/>
        <v>Unknown</v>
      </c>
      <c r="Z82" s="11" t="str">
        <f t="shared" si="107"/>
        <v/>
      </c>
      <c r="AA82" s="124" t="str">
        <f t="shared" si="108"/>
        <v/>
      </c>
      <c r="AB82" s="124" t="str">
        <f t="shared" si="109"/>
        <v/>
      </c>
    </row>
    <row r="83" spans="2:28" x14ac:dyDescent="0.25">
      <c r="B83" s="66">
        <v>41659</v>
      </c>
      <c r="C83" s="66">
        <v>41659</v>
      </c>
      <c r="D83" s="68">
        <f t="shared" ref="D83" si="165">IF(B83&gt;0,MONTH(B83),"False")</f>
        <v>1</v>
      </c>
      <c r="E83" s="66" t="str">
        <f t="shared" ref="E83" si="166">YEAR(B83) &amp; CHOOSE(D83,"-Jan","-Feb","-Mar","-Apr","-May","-Jun","-Jul","-Aug","-Sep","-Oct","-Nov","-Dec")</f>
        <v>2014-Jan</v>
      </c>
      <c r="F83" s="68">
        <f t="shared" ref="F83" si="167">IF(C83&gt;0,MONTH(C83),"False")</f>
        <v>1</v>
      </c>
      <c r="G83" s="90" t="s">
        <v>87</v>
      </c>
      <c r="H83" s="90" t="s">
        <v>166</v>
      </c>
      <c r="J83" s="90" t="s">
        <v>119</v>
      </c>
      <c r="K83" s="90" t="s">
        <v>119</v>
      </c>
      <c r="L83" s="90" t="s">
        <v>83</v>
      </c>
      <c r="M83" s="1" t="s">
        <v>588</v>
      </c>
      <c r="N83" s="90" t="s">
        <v>124</v>
      </c>
      <c r="O83" s="90" t="s">
        <v>589</v>
      </c>
      <c r="R83" s="64" t="s">
        <v>473</v>
      </c>
      <c r="Y83" s="87" t="str">
        <f t="shared" si="146"/>
        <v>Unknown</v>
      </c>
      <c r="Z83" s="11" t="str">
        <f t="shared" si="107"/>
        <v/>
      </c>
      <c r="AA83" s="124" t="str">
        <f t="shared" si="108"/>
        <v/>
      </c>
      <c r="AB83" s="124" t="str">
        <f t="shared" si="109"/>
        <v/>
      </c>
    </row>
    <row r="84" spans="2:28" x14ac:dyDescent="0.25">
      <c r="B84" s="65">
        <v>41659</v>
      </c>
      <c r="C84" s="66">
        <v>41662</v>
      </c>
      <c r="D84" s="68">
        <f t="shared" ref="D84:D85" si="168">IF(B84&gt;0,MONTH(B84),"False")</f>
        <v>1</v>
      </c>
      <c r="E84" s="66" t="str">
        <f t="shared" ref="E84:E85" si="169">YEAR(B84) &amp; CHOOSE(D84,"-Jan","-Feb","-Mar","-Apr","-May","-Jun","-Jul","-Aug","-Sep","-Oct","-Nov","-Dec")</f>
        <v>2014-Jan</v>
      </c>
      <c r="F84" s="68">
        <f t="shared" ref="F84:F85" si="170">IF(C84&gt;0,MONTH(C84),"False")</f>
        <v>1</v>
      </c>
      <c r="G84" s="93" t="s">
        <v>93</v>
      </c>
      <c r="H84" s="90" t="s">
        <v>483</v>
      </c>
      <c r="J84" s="90" t="s">
        <v>81</v>
      </c>
      <c r="K84" s="90" t="s">
        <v>82</v>
      </c>
      <c r="L84" s="90" t="s">
        <v>79</v>
      </c>
      <c r="M84" s="1" t="s">
        <v>590</v>
      </c>
      <c r="N84" s="90" t="s">
        <v>124</v>
      </c>
      <c r="O84" s="90" t="s">
        <v>125</v>
      </c>
      <c r="P84" s="64" t="s">
        <v>484</v>
      </c>
      <c r="R84" s="64" t="s">
        <v>490</v>
      </c>
      <c r="Y84" s="87" t="str">
        <f t="shared" si="146"/>
        <v>Unknown</v>
      </c>
      <c r="Z84" s="11" t="str">
        <f t="shared" si="107"/>
        <v/>
      </c>
      <c r="AA84" s="124" t="str">
        <f t="shared" si="108"/>
        <v/>
      </c>
      <c r="AB84" s="124" t="str">
        <f t="shared" si="109"/>
        <v/>
      </c>
    </row>
    <row r="85" spans="2:28" x14ac:dyDescent="0.25">
      <c r="B85" s="66">
        <v>41659</v>
      </c>
      <c r="C85" s="66">
        <v>41659</v>
      </c>
      <c r="D85" s="68">
        <f t="shared" si="168"/>
        <v>1</v>
      </c>
      <c r="E85" s="66" t="str">
        <f t="shared" si="169"/>
        <v>2014-Jan</v>
      </c>
      <c r="F85" s="68">
        <f t="shared" si="170"/>
        <v>1</v>
      </c>
      <c r="G85" s="98" t="s">
        <v>157</v>
      </c>
      <c r="H85" s="90" t="s">
        <v>28</v>
      </c>
      <c r="J85" s="90" t="s">
        <v>78</v>
      </c>
      <c r="K85" s="90" t="s">
        <v>78</v>
      </c>
      <c r="L85" s="90" t="s">
        <v>79</v>
      </c>
      <c r="M85" s="1" t="s">
        <v>591</v>
      </c>
      <c r="N85" s="90" t="s">
        <v>124</v>
      </c>
      <c r="O85" s="90" t="s">
        <v>168</v>
      </c>
      <c r="R85" s="64" t="s">
        <v>308</v>
      </c>
      <c r="S85" s="98" t="s">
        <v>104</v>
      </c>
      <c r="X85" s="98" t="s">
        <v>670</v>
      </c>
      <c r="Y85" s="87" t="str">
        <f t="shared" si="146"/>
        <v>Pass</v>
      </c>
      <c r="Z85" s="11" t="str">
        <f t="shared" si="107"/>
        <v/>
      </c>
      <c r="AA85" s="124" t="str">
        <f t="shared" si="108"/>
        <v/>
      </c>
      <c r="AB85" s="124" t="str">
        <f t="shared" si="109"/>
        <v/>
      </c>
    </row>
    <row r="86" spans="2:28" x14ac:dyDescent="0.25">
      <c r="B86" s="66">
        <v>41659</v>
      </c>
      <c r="C86" s="66">
        <v>41659</v>
      </c>
      <c r="D86" s="68">
        <f t="shared" ref="D86:D87" si="171">IF(B86&gt;0,MONTH(B86),"False")</f>
        <v>1</v>
      </c>
      <c r="E86" s="66" t="str">
        <f t="shared" ref="E86:E87" si="172">YEAR(B86) &amp; CHOOSE(D86,"-Jan","-Feb","-Mar","-Apr","-May","-Jun","-Jul","-Aug","-Sep","-Oct","-Nov","-Dec")</f>
        <v>2014-Jan</v>
      </c>
      <c r="F86" s="68">
        <f t="shared" ref="F86:F87" si="173">IF(C86&gt;0,MONTH(C86),"False")</f>
        <v>1</v>
      </c>
      <c r="G86" s="104" t="s">
        <v>112</v>
      </c>
      <c r="H86" s="90" t="s">
        <v>166</v>
      </c>
      <c r="J86" s="90" t="s">
        <v>98</v>
      </c>
      <c r="K86" s="90" t="s">
        <v>84</v>
      </c>
      <c r="L86" s="90" t="s">
        <v>79</v>
      </c>
      <c r="M86" s="1" t="s">
        <v>592</v>
      </c>
      <c r="N86" s="90" t="s">
        <v>124</v>
      </c>
      <c r="O86" s="90" t="s">
        <v>152</v>
      </c>
      <c r="R86" s="64" t="s">
        <v>593</v>
      </c>
      <c r="S86" s="104" t="s">
        <v>104</v>
      </c>
      <c r="X86" s="104" t="s">
        <v>259</v>
      </c>
      <c r="Y86" s="87" t="str">
        <f t="shared" si="146"/>
        <v>Pass</v>
      </c>
      <c r="Z86" s="11" t="str">
        <f t="shared" si="107"/>
        <v/>
      </c>
      <c r="AA86" s="124" t="str">
        <f t="shared" si="108"/>
        <v/>
      </c>
      <c r="AB86" s="124" t="str">
        <f t="shared" si="109"/>
        <v/>
      </c>
    </row>
    <row r="87" spans="2:28" x14ac:dyDescent="0.25">
      <c r="B87" s="65">
        <v>41659</v>
      </c>
      <c r="C87" s="66">
        <v>41667</v>
      </c>
      <c r="D87" s="68">
        <f t="shared" si="171"/>
        <v>1</v>
      </c>
      <c r="E87" s="66" t="str">
        <f t="shared" si="172"/>
        <v>2014-Jan</v>
      </c>
      <c r="F87" s="68">
        <f t="shared" si="173"/>
        <v>1</v>
      </c>
      <c r="G87" s="97" t="s">
        <v>93</v>
      </c>
      <c r="H87" s="90" t="s">
        <v>483</v>
      </c>
      <c r="J87" s="90" t="s">
        <v>146</v>
      </c>
      <c r="K87" s="90" t="s">
        <v>82</v>
      </c>
      <c r="L87" s="90" t="s">
        <v>83</v>
      </c>
      <c r="M87" s="1" t="s">
        <v>595</v>
      </c>
      <c r="N87" s="90" t="s">
        <v>124</v>
      </c>
      <c r="O87" s="90" t="s">
        <v>302</v>
      </c>
      <c r="P87" s="64" t="s">
        <v>596</v>
      </c>
      <c r="R87" s="64" t="s">
        <v>490</v>
      </c>
      <c r="Y87" s="87" t="str">
        <f t="shared" si="146"/>
        <v>Unknown</v>
      </c>
      <c r="Z87" s="11" t="str">
        <f t="shared" si="107"/>
        <v/>
      </c>
      <c r="AA87" s="124" t="str">
        <f t="shared" si="108"/>
        <v/>
      </c>
      <c r="AB87" s="124" t="str">
        <f t="shared" si="109"/>
        <v/>
      </c>
    </row>
    <row r="88" spans="2:28" x14ac:dyDescent="0.25">
      <c r="B88" s="66">
        <v>41660</v>
      </c>
      <c r="C88" s="66">
        <v>41660</v>
      </c>
      <c r="D88" s="68">
        <f t="shared" ref="D88" si="174">IF(B88&gt;0,MONTH(B88),"False")</f>
        <v>1</v>
      </c>
      <c r="E88" s="66" t="str">
        <f t="shared" ref="E88" si="175">YEAR(B88) &amp; CHOOSE(D88,"-Jan","-Feb","-Mar","-Apr","-May","-Jun","-Jul","-Aug","-Sep","-Oct","-Nov","-Dec")</f>
        <v>2014-Jan</v>
      </c>
      <c r="F88" s="68">
        <f t="shared" ref="F88" si="176">IF(C88&gt;0,MONTH(C88),"False")</f>
        <v>1</v>
      </c>
      <c r="G88" s="91" t="s">
        <v>87</v>
      </c>
      <c r="H88" s="91" t="s">
        <v>166</v>
      </c>
      <c r="J88" s="91" t="s">
        <v>150</v>
      </c>
      <c r="K88" s="91" t="s">
        <v>84</v>
      </c>
      <c r="L88" s="91" t="s">
        <v>83</v>
      </c>
      <c r="M88" s="1" t="s">
        <v>597</v>
      </c>
      <c r="N88" s="91" t="s">
        <v>124</v>
      </c>
      <c r="O88" s="91" t="s">
        <v>350</v>
      </c>
      <c r="R88" s="64" t="s">
        <v>598</v>
      </c>
      <c r="T88" s="67" t="s">
        <v>110</v>
      </c>
      <c r="Y88" s="94" t="str">
        <f t="shared" si="146"/>
        <v>Unknown</v>
      </c>
      <c r="Z88" s="11" t="str">
        <f t="shared" si="107"/>
        <v/>
      </c>
      <c r="AA88" s="124" t="str">
        <f t="shared" si="108"/>
        <v/>
      </c>
      <c r="AB88" s="124" t="str">
        <f t="shared" si="109"/>
        <v/>
      </c>
    </row>
    <row r="89" spans="2:28" x14ac:dyDescent="0.25">
      <c r="B89" s="65">
        <v>41660</v>
      </c>
      <c r="C89" s="66">
        <v>41660</v>
      </c>
      <c r="D89" s="68">
        <f t="shared" ref="D89" si="177">IF(B89&gt;0,MONTH(B89),"False")</f>
        <v>1</v>
      </c>
      <c r="E89" s="66" t="str">
        <f t="shared" ref="E89" si="178">YEAR(B89) &amp; CHOOSE(D89,"-Jan","-Feb","-Mar","-Apr","-May","-Jun","-Jul","-Aug","-Sep","-Oct","-Nov","-Dec")</f>
        <v>2014-Jan</v>
      </c>
      <c r="F89" s="68">
        <f t="shared" ref="F89" si="179">IF(C89&gt;0,MONTH(C89),"False")</f>
        <v>1</v>
      </c>
      <c r="G89" s="94" t="s">
        <v>121</v>
      </c>
      <c r="H89" s="91" t="s">
        <v>266</v>
      </c>
      <c r="J89" s="91" t="s">
        <v>275</v>
      </c>
      <c r="K89" s="91" t="s">
        <v>82</v>
      </c>
      <c r="L89" s="91" t="s">
        <v>79</v>
      </c>
      <c r="M89" s="1" t="s">
        <v>599</v>
      </c>
      <c r="N89" s="91" t="s">
        <v>124</v>
      </c>
      <c r="O89" s="91" t="s">
        <v>109</v>
      </c>
      <c r="P89" s="64" t="s">
        <v>600</v>
      </c>
      <c r="R89" s="64" t="s">
        <v>478</v>
      </c>
      <c r="S89" s="94" t="s">
        <v>104</v>
      </c>
      <c r="X89" s="94" t="s">
        <v>524</v>
      </c>
      <c r="Y89" s="94" t="str">
        <f t="shared" si="146"/>
        <v>Pass</v>
      </c>
      <c r="Z89" s="11" t="str">
        <f t="shared" si="107"/>
        <v/>
      </c>
      <c r="AA89" s="124" t="str">
        <f t="shared" si="108"/>
        <v/>
      </c>
      <c r="AB89" s="124" t="str">
        <f t="shared" si="109"/>
        <v/>
      </c>
    </row>
    <row r="90" spans="2:28" x14ac:dyDescent="0.25">
      <c r="B90" s="65">
        <v>41660</v>
      </c>
      <c r="C90" s="66">
        <v>41660</v>
      </c>
      <c r="D90" s="68">
        <f t="shared" ref="D90:D91" si="180">IF(B90&gt;0,MONTH(B90),"False")</f>
        <v>1</v>
      </c>
      <c r="E90" s="66" t="str">
        <f t="shared" ref="E90:E91" si="181">YEAR(B90) &amp; CHOOSE(D90,"-Jan","-Feb","-Mar","-Apr","-May","-Jun","-Jul","-Aug","-Sep","-Oct","-Nov","-Dec")</f>
        <v>2014-Jan</v>
      </c>
      <c r="F90" s="68">
        <f t="shared" ref="F90:F91" si="182">IF(C90&gt;0,MONTH(C90),"False")</f>
        <v>1</v>
      </c>
      <c r="G90" s="94" t="s">
        <v>121</v>
      </c>
      <c r="H90" s="91" t="s">
        <v>266</v>
      </c>
      <c r="J90" s="91" t="s">
        <v>275</v>
      </c>
      <c r="K90" s="91" t="s">
        <v>82</v>
      </c>
      <c r="L90" s="91" t="s">
        <v>79</v>
      </c>
      <c r="M90" s="1" t="s">
        <v>601</v>
      </c>
      <c r="N90" s="91" t="s">
        <v>124</v>
      </c>
      <c r="O90" s="91" t="s">
        <v>109</v>
      </c>
      <c r="P90" s="64" t="s">
        <v>600</v>
      </c>
      <c r="R90" s="64" t="s">
        <v>478</v>
      </c>
      <c r="S90" s="94" t="s">
        <v>104</v>
      </c>
      <c r="X90" s="94" t="s">
        <v>524</v>
      </c>
      <c r="Y90" s="94" t="str">
        <f t="shared" si="146"/>
        <v>Pass</v>
      </c>
      <c r="Z90" s="11" t="str">
        <f t="shared" si="107"/>
        <v/>
      </c>
      <c r="AA90" s="124" t="str">
        <f t="shared" si="108"/>
        <v/>
      </c>
      <c r="AB90" s="124" t="str">
        <f t="shared" si="109"/>
        <v/>
      </c>
    </row>
    <row r="91" spans="2:28" x14ac:dyDescent="0.25">
      <c r="B91" s="66">
        <v>41660</v>
      </c>
      <c r="C91" s="66">
        <v>41660</v>
      </c>
      <c r="D91" s="68">
        <f t="shared" si="180"/>
        <v>1</v>
      </c>
      <c r="E91" s="66" t="str">
        <f t="shared" si="181"/>
        <v>2014-Jan</v>
      </c>
      <c r="F91" s="68">
        <f t="shared" si="182"/>
        <v>1</v>
      </c>
      <c r="G91" s="91" t="s">
        <v>87</v>
      </c>
      <c r="H91" s="91" t="s">
        <v>166</v>
      </c>
      <c r="J91" s="91" t="s">
        <v>78</v>
      </c>
      <c r="K91" s="91" t="s">
        <v>78</v>
      </c>
      <c r="L91" s="91" t="s">
        <v>79</v>
      </c>
      <c r="M91" s="1" t="s">
        <v>602</v>
      </c>
      <c r="N91" s="91" t="s">
        <v>124</v>
      </c>
      <c r="O91" s="91" t="s">
        <v>97</v>
      </c>
      <c r="Q91" s="2" t="s">
        <v>88</v>
      </c>
      <c r="R91" s="64" t="s">
        <v>488</v>
      </c>
      <c r="Y91" s="94" t="str">
        <f t="shared" si="146"/>
        <v>Obsolete</v>
      </c>
      <c r="Z91" s="11">
        <f t="shared" si="107"/>
        <v>41660</v>
      </c>
      <c r="AA91" s="124" t="str">
        <f t="shared" si="108"/>
        <v>2014 - 04</v>
      </c>
      <c r="AB91" s="124">
        <f t="shared" si="109"/>
        <v>2014</v>
      </c>
    </row>
    <row r="92" spans="2:28" x14ac:dyDescent="0.25">
      <c r="B92" s="66">
        <v>41660</v>
      </c>
      <c r="C92" s="66">
        <v>41660</v>
      </c>
      <c r="D92" s="68">
        <f t="shared" ref="D92" si="183">IF(B92&gt;0,MONTH(B92),"False")</f>
        <v>1</v>
      </c>
      <c r="E92" s="66" t="str">
        <f t="shared" ref="E92" si="184">YEAR(B92) &amp; CHOOSE(D92,"-Jan","-Feb","-Mar","-Apr","-May","-Jun","-Jul","-Aug","-Sep","-Oct","-Nov","-Dec")</f>
        <v>2014-Jan</v>
      </c>
      <c r="F92" s="68">
        <f t="shared" ref="F92" si="185">IF(C92&gt;0,MONTH(C92),"False")</f>
        <v>1</v>
      </c>
      <c r="G92" s="94" t="s">
        <v>112</v>
      </c>
      <c r="H92" s="91" t="s">
        <v>316</v>
      </c>
      <c r="J92" s="91" t="s">
        <v>98</v>
      </c>
      <c r="K92" s="91" t="s">
        <v>84</v>
      </c>
      <c r="L92" s="91" t="s">
        <v>83</v>
      </c>
      <c r="M92" s="1" t="s">
        <v>603</v>
      </c>
      <c r="N92" s="91" t="s">
        <v>124</v>
      </c>
      <c r="O92" s="91" t="s">
        <v>152</v>
      </c>
      <c r="R92" s="64" t="s">
        <v>604</v>
      </c>
      <c r="S92" s="94" t="s">
        <v>104</v>
      </c>
      <c r="X92" s="94" t="s">
        <v>300</v>
      </c>
      <c r="Y92" s="94" t="str">
        <f t="shared" si="146"/>
        <v>Pass</v>
      </c>
      <c r="Z92" s="11" t="str">
        <f t="shared" si="107"/>
        <v/>
      </c>
      <c r="AA92" s="124" t="str">
        <f t="shared" si="108"/>
        <v/>
      </c>
      <c r="AB92" s="124" t="str">
        <f t="shared" si="109"/>
        <v/>
      </c>
    </row>
    <row r="93" spans="2:28" x14ac:dyDescent="0.25">
      <c r="B93" s="66">
        <v>41660</v>
      </c>
      <c r="C93" s="66">
        <v>41660</v>
      </c>
      <c r="D93" s="68">
        <f t="shared" ref="D93:D94" si="186">IF(B93&gt;0,MONTH(B93),"False")</f>
        <v>1</v>
      </c>
      <c r="E93" s="66" t="str">
        <f t="shared" ref="E93:E94" si="187">YEAR(B93) &amp; CHOOSE(D93,"-Jan","-Feb","-Mar","-Apr","-May","-Jun","-Jul","-Aug","-Sep","-Oct","-Nov","-Dec")</f>
        <v>2014-Jan</v>
      </c>
      <c r="F93" s="68">
        <f t="shared" ref="F93:F94" si="188">IF(C93&gt;0,MONTH(C93),"False")</f>
        <v>1</v>
      </c>
      <c r="G93" s="104" t="s">
        <v>112</v>
      </c>
      <c r="H93" s="91" t="s">
        <v>348</v>
      </c>
      <c r="J93" s="91" t="s">
        <v>98</v>
      </c>
      <c r="K93" s="91" t="s">
        <v>84</v>
      </c>
      <c r="L93" s="91" t="s">
        <v>83</v>
      </c>
      <c r="M93" s="104" t="s">
        <v>605</v>
      </c>
      <c r="N93" s="91" t="s">
        <v>124</v>
      </c>
      <c r="O93" s="91" t="s">
        <v>152</v>
      </c>
      <c r="R93" s="64" t="s">
        <v>606</v>
      </c>
      <c r="S93" s="104" t="s">
        <v>104</v>
      </c>
      <c r="X93" s="104" t="s">
        <v>259</v>
      </c>
      <c r="Y93" s="94" t="str">
        <f t="shared" si="146"/>
        <v>Pass</v>
      </c>
      <c r="Z93" s="11" t="str">
        <f t="shared" ref="Z93:Z135" si="189">IF(Q93="Obsolete-LQA",C93,IF(Q93="Obsolete-IT",B93,""))</f>
        <v/>
      </c>
      <c r="AA93" s="124" t="str">
        <f t="shared" ref="AA93:AA135" si="190">IFERROR(YEAR(Z93)&amp;" - "&amp; IF(LEN( WEEKNUM(Z93))=1,"0" &amp; WEEKNUM(Z93),WEEKNUM(Z93)),"")</f>
        <v/>
      </c>
      <c r="AB93" s="124" t="str">
        <f t="shared" ref="AB93:AB135" si="191">IFERROR(YEAR(Z93),"")</f>
        <v/>
      </c>
    </row>
    <row r="94" spans="2:28" x14ac:dyDescent="0.25">
      <c r="B94" s="65">
        <v>41660</v>
      </c>
      <c r="C94" s="66">
        <v>41660</v>
      </c>
      <c r="D94" s="68">
        <f t="shared" si="186"/>
        <v>1</v>
      </c>
      <c r="E94" s="66" t="str">
        <f t="shared" si="187"/>
        <v>2014-Jan</v>
      </c>
      <c r="F94" s="68">
        <f t="shared" si="188"/>
        <v>1</v>
      </c>
      <c r="G94" s="91" t="s">
        <v>93</v>
      </c>
      <c r="H94" s="91" t="s">
        <v>166</v>
      </c>
      <c r="J94" s="91" t="s">
        <v>333</v>
      </c>
      <c r="K94" s="91" t="s">
        <v>82</v>
      </c>
      <c r="L94" s="91" t="s">
        <v>79</v>
      </c>
      <c r="M94" s="104" t="s">
        <v>703</v>
      </c>
      <c r="N94" s="91" t="s">
        <v>124</v>
      </c>
      <c r="O94" s="91" t="s">
        <v>529</v>
      </c>
      <c r="P94" s="64" t="s">
        <v>345</v>
      </c>
      <c r="R94" s="64" t="s">
        <v>347</v>
      </c>
      <c r="Y94" s="94" t="str">
        <f t="shared" si="146"/>
        <v>Unknown</v>
      </c>
      <c r="Z94" s="11" t="str">
        <f t="shared" si="189"/>
        <v/>
      </c>
      <c r="AA94" s="124" t="str">
        <f t="shared" si="190"/>
        <v/>
      </c>
      <c r="AB94" s="124" t="str">
        <f t="shared" si="191"/>
        <v/>
      </c>
    </row>
    <row r="95" spans="2:28" x14ac:dyDescent="0.25">
      <c r="B95" s="66">
        <v>41660</v>
      </c>
      <c r="C95" s="66">
        <v>41660</v>
      </c>
      <c r="D95" s="68">
        <f t="shared" ref="D95:D96" si="192">IF(B95&gt;0,MONTH(B95),"False")</f>
        <v>1</v>
      </c>
      <c r="E95" s="66" t="str">
        <f t="shared" ref="E95:E96" si="193">YEAR(B95) &amp; CHOOSE(D95,"-Jan","-Feb","-Mar","-Apr","-May","-Jun","-Jul","-Aug","-Sep","-Oct","-Nov","-Dec")</f>
        <v>2014-Jan</v>
      </c>
      <c r="F95" s="68">
        <f t="shared" ref="F95:F96" si="194">IF(C95&gt;0,MONTH(C95),"False")</f>
        <v>1</v>
      </c>
      <c r="G95" s="99" t="s">
        <v>157</v>
      </c>
      <c r="H95" s="91" t="s">
        <v>28</v>
      </c>
      <c r="J95" s="91" t="s">
        <v>119</v>
      </c>
      <c r="K95" s="91" t="s">
        <v>119</v>
      </c>
      <c r="L95" s="91" t="s">
        <v>83</v>
      </c>
      <c r="M95" s="1" t="s">
        <v>607</v>
      </c>
      <c r="N95" s="91" t="s">
        <v>124</v>
      </c>
      <c r="O95" s="91" t="s">
        <v>144</v>
      </c>
      <c r="R95" s="64" t="s">
        <v>341</v>
      </c>
      <c r="S95" s="99" t="s">
        <v>104</v>
      </c>
      <c r="X95" s="99" t="s">
        <v>670</v>
      </c>
      <c r="Y95" s="94" t="str">
        <f t="shared" si="146"/>
        <v>Pass</v>
      </c>
      <c r="Z95" s="11" t="str">
        <f t="shared" si="189"/>
        <v/>
      </c>
      <c r="AA95" s="124" t="str">
        <f t="shared" si="190"/>
        <v/>
      </c>
      <c r="AB95" s="124" t="str">
        <f t="shared" si="191"/>
        <v/>
      </c>
    </row>
    <row r="96" spans="2:28" x14ac:dyDescent="0.25">
      <c r="B96" s="65">
        <v>41660</v>
      </c>
      <c r="C96" s="66">
        <v>41660</v>
      </c>
      <c r="D96" s="68">
        <f t="shared" si="192"/>
        <v>1</v>
      </c>
      <c r="E96" s="66" t="str">
        <f t="shared" si="193"/>
        <v>2014-Jan</v>
      </c>
      <c r="F96" s="68">
        <f t="shared" si="194"/>
        <v>1</v>
      </c>
      <c r="G96" s="91" t="s">
        <v>93</v>
      </c>
      <c r="H96" s="91" t="s">
        <v>103</v>
      </c>
      <c r="J96" s="91" t="s">
        <v>77</v>
      </c>
      <c r="K96" s="91" t="s">
        <v>82</v>
      </c>
      <c r="L96" s="91" t="s">
        <v>79</v>
      </c>
      <c r="M96" s="1" t="s">
        <v>608</v>
      </c>
      <c r="N96" s="91" t="s">
        <v>124</v>
      </c>
      <c r="O96" s="91" t="s">
        <v>265</v>
      </c>
      <c r="P96" s="64" t="s">
        <v>351</v>
      </c>
      <c r="Q96" s="2" t="s">
        <v>88</v>
      </c>
      <c r="R96" s="64" t="s">
        <v>361</v>
      </c>
      <c r="T96" s="67" t="s">
        <v>110</v>
      </c>
      <c r="Y96" s="94" t="str">
        <f t="shared" si="146"/>
        <v>Obsolete</v>
      </c>
      <c r="Z96" s="11">
        <f t="shared" si="189"/>
        <v>41660</v>
      </c>
      <c r="AA96" s="124" t="str">
        <f t="shared" si="190"/>
        <v>2014 - 04</v>
      </c>
      <c r="AB96" s="124">
        <f t="shared" si="191"/>
        <v>2014</v>
      </c>
    </row>
    <row r="97" spans="2:28" x14ac:dyDescent="0.25">
      <c r="B97" s="65">
        <v>41660</v>
      </c>
      <c r="C97" s="66">
        <v>41660</v>
      </c>
      <c r="D97" s="68">
        <f t="shared" ref="D97:D100" si="195">IF(B97&gt;0,MONTH(B97),"False")</f>
        <v>1</v>
      </c>
      <c r="E97" s="66" t="str">
        <f t="shared" ref="E97:E100" si="196">YEAR(B97) &amp; CHOOSE(D97,"-Jan","-Feb","-Mar","-Apr","-May","-Jun","-Jul","-Aug","-Sep","-Oct","-Nov","-Dec")</f>
        <v>2014-Jan</v>
      </c>
      <c r="F97" s="68">
        <f t="shared" ref="F97:F100" si="197">IF(C97&gt;0,MONTH(C97),"False")</f>
        <v>1</v>
      </c>
      <c r="G97" s="94" t="s">
        <v>121</v>
      </c>
      <c r="H97" s="91" t="s">
        <v>103</v>
      </c>
      <c r="J97" s="91" t="s">
        <v>120</v>
      </c>
      <c r="K97" s="91" t="s">
        <v>82</v>
      </c>
      <c r="L97" s="91" t="s">
        <v>79</v>
      </c>
      <c r="M97" s="1" t="s">
        <v>609</v>
      </c>
      <c r="N97" s="91" t="s">
        <v>124</v>
      </c>
      <c r="O97" s="91" t="s">
        <v>265</v>
      </c>
      <c r="P97" s="64" t="s">
        <v>351</v>
      </c>
      <c r="R97" s="64" t="s">
        <v>361</v>
      </c>
      <c r="S97" s="94" t="s">
        <v>104</v>
      </c>
      <c r="X97" s="94" t="s">
        <v>158</v>
      </c>
      <c r="Y97" s="94" t="str">
        <f t="shared" si="146"/>
        <v>Pass</v>
      </c>
      <c r="Z97" s="11" t="str">
        <f t="shared" si="189"/>
        <v/>
      </c>
      <c r="AA97" s="124" t="str">
        <f t="shared" si="190"/>
        <v/>
      </c>
      <c r="AB97" s="124" t="str">
        <f t="shared" si="191"/>
        <v/>
      </c>
    </row>
    <row r="98" spans="2:28" s="111" customFormat="1" x14ac:dyDescent="0.25">
      <c r="B98" s="65">
        <v>41660</v>
      </c>
      <c r="C98" s="66">
        <v>41660</v>
      </c>
      <c r="D98" s="68">
        <f t="shared" ref="D98" si="198">IF(B98&gt;0,MONTH(B98),"False")</f>
        <v>1</v>
      </c>
      <c r="E98" s="66" t="str">
        <f t="shared" ref="E98" si="199">YEAR(B98) &amp; CHOOSE(D98,"-Jan","-Feb","-Mar","-Apr","-May","-Jun","-Jul","-Aug","-Sep","-Oct","-Nov","-Dec")</f>
        <v>2014-Jan</v>
      </c>
      <c r="F98" s="68">
        <f t="shared" ref="F98" si="200">IF(C98&gt;0,MONTH(C98),"False")</f>
        <v>1</v>
      </c>
      <c r="G98" s="111" t="s">
        <v>121</v>
      </c>
      <c r="H98" s="111" t="s">
        <v>166</v>
      </c>
      <c r="J98" s="111" t="s">
        <v>333</v>
      </c>
      <c r="K98" s="111" t="s">
        <v>82</v>
      </c>
      <c r="L98" s="111" t="s">
        <v>79</v>
      </c>
      <c r="M98" s="111" t="s">
        <v>756</v>
      </c>
      <c r="N98" s="111" t="s">
        <v>124</v>
      </c>
      <c r="O98" s="111" t="s">
        <v>116</v>
      </c>
      <c r="P98" s="64" t="s">
        <v>345</v>
      </c>
      <c r="Q98" s="2"/>
      <c r="R98" s="64" t="s">
        <v>347</v>
      </c>
      <c r="S98" s="111" t="s">
        <v>104</v>
      </c>
      <c r="T98" s="67"/>
      <c r="X98" s="111" t="s">
        <v>2798</v>
      </c>
      <c r="Y98" s="111" t="s">
        <v>104</v>
      </c>
      <c r="Z98" s="11" t="str">
        <f t="shared" si="189"/>
        <v/>
      </c>
      <c r="AA98" s="124" t="str">
        <f t="shared" si="190"/>
        <v/>
      </c>
      <c r="AB98" s="124" t="str">
        <f t="shared" si="191"/>
        <v/>
      </c>
    </row>
    <row r="99" spans="2:28" x14ac:dyDescent="0.25">
      <c r="B99" s="66">
        <v>41660</v>
      </c>
      <c r="C99" s="66">
        <v>41660</v>
      </c>
      <c r="D99" s="68">
        <f t="shared" si="195"/>
        <v>1</v>
      </c>
      <c r="E99" s="66" t="str">
        <f t="shared" si="196"/>
        <v>2014-Jan</v>
      </c>
      <c r="F99" s="68">
        <f t="shared" si="197"/>
        <v>1</v>
      </c>
      <c r="G99" s="91" t="s">
        <v>87</v>
      </c>
      <c r="H99" s="91" t="s">
        <v>166</v>
      </c>
      <c r="J99" s="91" t="s">
        <v>149</v>
      </c>
      <c r="K99" s="91" t="s">
        <v>84</v>
      </c>
      <c r="L99" s="91" t="s">
        <v>83</v>
      </c>
      <c r="M99" s="1" t="s">
        <v>610</v>
      </c>
      <c r="N99" s="91" t="s">
        <v>124</v>
      </c>
      <c r="O99" s="91" t="s">
        <v>156</v>
      </c>
      <c r="R99" s="64" t="s">
        <v>611</v>
      </c>
      <c r="T99" s="67" t="s">
        <v>110</v>
      </c>
      <c r="Y99" s="94" t="str">
        <f t="shared" si="146"/>
        <v>Unknown</v>
      </c>
      <c r="Z99" s="11" t="str">
        <f t="shared" si="189"/>
        <v/>
      </c>
      <c r="AA99" s="124" t="str">
        <f t="shared" si="190"/>
        <v/>
      </c>
      <c r="AB99" s="124" t="str">
        <f t="shared" si="191"/>
        <v/>
      </c>
    </row>
    <row r="100" spans="2:28" x14ac:dyDescent="0.25">
      <c r="B100" s="65">
        <v>41661</v>
      </c>
      <c r="C100" s="66">
        <v>41662</v>
      </c>
      <c r="D100" s="68">
        <f t="shared" si="195"/>
        <v>1</v>
      </c>
      <c r="E100" s="66" t="str">
        <f t="shared" si="196"/>
        <v>2014-Jan</v>
      </c>
      <c r="F100" s="68">
        <f t="shared" si="197"/>
        <v>1</v>
      </c>
      <c r="G100" s="174" t="s">
        <v>105</v>
      </c>
      <c r="H100" s="92" t="s">
        <v>280</v>
      </c>
      <c r="J100" s="92" t="s">
        <v>81</v>
      </c>
      <c r="K100" s="92" t="s">
        <v>82</v>
      </c>
      <c r="L100" s="92" t="s">
        <v>79</v>
      </c>
      <c r="M100" s="1" t="s">
        <v>612</v>
      </c>
      <c r="N100" s="92" t="s">
        <v>124</v>
      </c>
      <c r="O100" s="92" t="s">
        <v>529</v>
      </c>
      <c r="P100" s="64" t="s">
        <v>305</v>
      </c>
      <c r="S100" s="174" t="s">
        <v>104</v>
      </c>
      <c r="T100" s="67" t="s">
        <v>110</v>
      </c>
      <c r="X100" s="174" t="s">
        <v>544</v>
      </c>
      <c r="Y100" s="94" t="str">
        <f t="shared" si="146"/>
        <v>Pass</v>
      </c>
      <c r="Z100" s="11" t="str">
        <f t="shared" si="189"/>
        <v/>
      </c>
      <c r="AA100" s="124" t="str">
        <f t="shared" si="190"/>
        <v/>
      </c>
      <c r="AB100" s="124" t="str">
        <f t="shared" si="191"/>
        <v/>
      </c>
    </row>
    <row r="101" spans="2:28" x14ac:dyDescent="0.25">
      <c r="B101" s="65">
        <v>41661</v>
      </c>
      <c r="C101" s="66">
        <v>41662</v>
      </c>
      <c r="D101" s="68">
        <f t="shared" ref="D101" si="201">IF(B101&gt;0,MONTH(B101),"False")</f>
        <v>1</v>
      </c>
      <c r="E101" s="66" t="str">
        <f t="shared" ref="E101" si="202">YEAR(B101) &amp; CHOOSE(D101,"-Jan","-Feb","-Mar","-Apr","-May","-Jun","-Jul","-Aug","-Sep","-Oct","-Nov","-Dec")</f>
        <v>2014-Jan</v>
      </c>
      <c r="F101" s="68">
        <f t="shared" ref="F101" si="203">IF(C101&gt;0,MONTH(C101),"False")</f>
        <v>1</v>
      </c>
      <c r="G101" s="93" t="s">
        <v>93</v>
      </c>
      <c r="H101" s="92" t="s">
        <v>280</v>
      </c>
      <c r="J101" s="92" t="s">
        <v>146</v>
      </c>
      <c r="K101" s="92" t="s">
        <v>82</v>
      </c>
      <c r="L101" s="92" t="s">
        <v>79</v>
      </c>
      <c r="M101" s="1" t="s">
        <v>613</v>
      </c>
      <c r="N101" s="92" t="s">
        <v>124</v>
      </c>
      <c r="O101" s="92" t="s">
        <v>529</v>
      </c>
      <c r="P101" s="64" t="s">
        <v>305</v>
      </c>
      <c r="R101" s="64" t="s">
        <v>584</v>
      </c>
      <c r="S101" s="291" t="s">
        <v>104</v>
      </c>
      <c r="Y101" s="94" t="str">
        <f t="shared" si="146"/>
        <v>Pass</v>
      </c>
      <c r="Z101" s="11" t="str">
        <f t="shared" si="189"/>
        <v/>
      </c>
      <c r="AA101" s="124" t="str">
        <f t="shared" si="190"/>
        <v/>
      </c>
      <c r="AB101" s="124" t="str">
        <f t="shared" si="191"/>
        <v/>
      </c>
    </row>
    <row r="102" spans="2:28" x14ac:dyDescent="0.25">
      <c r="B102" s="65">
        <v>41661</v>
      </c>
      <c r="C102" s="66">
        <v>41661</v>
      </c>
      <c r="D102" s="68">
        <f t="shared" ref="D102" si="204">IF(B102&gt;0,MONTH(B102),"False")</f>
        <v>1</v>
      </c>
      <c r="E102" s="66" t="str">
        <f t="shared" ref="E102" si="205">YEAR(B102) &amp; CHOOSE(D102,"-Jan","-Feb","-Mar","-Apr","-May","-Jun","-Jul","-Aug","-Sep","-Oct","-Nov","-Dec")</f>
        <v>2014-Jan</v>
      </c>
      <c r="F102" s="68">
        <f t="shared" ref="F102" si="206">IF(C102&gt;0,MONTH(C102),"False")</f>
        <v>1</v>
      </c>
      <c r="G102" s="104" t="s">
        <v>121</v>
      </c>
      <c r="H102" s="92" t="s">
        <v>166</v>
      </c>
      <c r="J102" s="92" t="s">
        <v>77</v>
      </c>
      <c r="K102" s="92" t="s">
        <v>82</v>
      </c>
      <c r="L102" s="92" t="s">
        <v>79</v>
      </c>
      <c r="M102" s="1" t="s">
        <v>614</v>
      </c>
      <c r="N102" s="92" t="s">
        <v>124</v>
      </c>
      <c r="O102" s="92" t="s">
        <v>353</v>
      </c>
      <c r="P102" s="64" t="s">
        <v>319</v>
      </c>
      <c r="R102" s="64" t="s">
        <v>320</v>
      </c>
      <c r="S102" s="104" t="s">
        <v>104</v>
      </c>
      <c r="T102" s="67" t="s">
        <v>110</v>
      </c>
      <c r="X102" s="104" t="s">
        <v>259</v>
      </c>
      <c r="Y102" s="94" t="str">
        <f t="shared" si="146"/>
        <v>Pass</v>
      </c>
      <c r="Z102" s="11" t="str">
        <f t="shared" si="189"/>
        <v/>
      </c>
      <c r="AA102" s="124" t="str">
        <f t="shared" si="190"/>
        <v/>
      </c>
      <c r="AB102" s="124" t="str">
        <f t="shared" si="191"/>
        <v/>
      </c>
    </row>
    <row r="103" spans="2:28" x14ac:dyDescent="0.25">
      <c r="B103" s="65">
        <v>41661</v>
      </c>
      <c r="C103" s="66">
        <v>41661</v>
      </c>
      <c r="D103" s="68">
        <f t="shared" ref="D103:D105" si="207">IF(B103&gt;0,MONTH(B103),"False")</f>
        <v>1</v>
      </c>
      <c r="E103" s="66" t="str">
        <f t="shared" ref="E103:E105" si="208">YEAR(B103) &amp; CHOOSE(D103,"-Jan","-Feb","-Mar","-Apr","-May","-Jun","-Jul","-Aug","-Sep","-Oct","-Nov","-Dec")</f>
        <v>2014-Jan</v>
      </c>
      <c r="F103" s="68">
        <f t="shared" ref="F103:F105" si="209">IF(C103&gt;0,MONTH(C103),"False")</f>
        <v>1</v>
      </c>
      <c r="G103" s="92" t="s">
        <v>93</v>
      </c>
      <c r="H103" s="92" t="s">
        <v>136</v>
      </c>
      <c r="J103" s="92" t="s">
        <v>77</v>
      </c>
      <c r="K103" s="92" t="s">
        <v>82</v>
      </c>
      <c r="L103" s="92" t="s">
        <v>83</v>
      </c>
      <c r="M103" s="1" t="s">
        <v>615</v>
      </c>
      <c r="N103" s="92" t="s">
        <v>124</v>
      </c>
      <c r="O103" s="92" t="s">
        <v>507</v>
      </c>
      <c r="P103" s="64" t="s">
        <v>618</v>
      </c>
      <c r="R103" s="64" t="s">
        <v>619</v>
      </c>
      <c r="Y103" s="94" t="str">
        <f t="shared" si="146"/>
        <v>Unknown</v>
      </c>
      <c r="Z103" s="11" t="str">
        <f t="shared" si="189"/>
        <v/>
      </c>
      <c r="AA103" s="124" t="str">
        <f t="shared" si="190"/>
        <v/>
      </c>
      <c r="AB103" s="124" t="str">
        <f t="shared" si="191"/>
        <v/>
      </c>
    </row>
    <row r="104" spans="2:28" x14ac:dyDescent="0.25">
      <c r="B104" s="65">
        <v>41661</v>
      </c>
      <c r="C104" s="66">
        <v>41661</v>
      </c>
      <c r="D104" s="68">
        <f t="shared" si="207"/>
        <v>1</v>
      </c>
      <c r="E104" s="66" t="str">
        <f t="shared" si="208"/>
        <v>2014-Jan</v>
      </c>
      <c r="F104" s="68">
        <f t="shared" si="209"/>
        <v>1</v>
      </c>
      <c r="G104" s="92" t="s">
        <v>93</v>
      </c>
      <c r="H104" s="92" t="s">
        <v>136</v>
      </c>
      <c r="J104" s="92" t="s">
        <v>77</v>
      </c>
      <c r="K104" s="92" t="s">
        <v>82</v>
      </c>
      <c r="L104" s="92" t="s">
        <v>79</v>
      </c>
      <c r="M104" s="1" t="s">
        <v>616</v>
      </c>
      <c r="N104" s="92" t="s">
        <v>124</v>
      </c>
      <c r="O104" s="92" t="s">
        <v>507</v>
      </c>
      <c r="P104" s="64" t="s">
        <v>618</v>
      </c>
      <c r="Q104" s="2" t="s">
        <v>88</v>
      </c>
      <c r="R104" s="64" t="s">
        <v>619</v>
      </c>
      <c r="Y104" s="94" t="str">
        <f t="shared" si="146"/>
        <v>Obsolete</v>
      </c>
      <c r="Z104" s="11">
        <f t="shared" si="189"/>
        <v>41661</v>
      </c>
      <c r="AA104" s="124" t="str">
        <f t="shared" si="190"/>
        <v>2014 - 04</v>
      </c>
      <c r="AB104" s="124">
        <f t="shared" si="191"/>
        <v>2014</v>
      </c>
    </row>
    <row r="105" spans="2:28" x14ac:dyDescent="0.25">
      <c r="B105" s="65">
        <v>41661</v>
      </c>
      <c r="C105" s="66">
        <v>41661</v>
      </c>
      <c r="D105" s="68">
        <f t="shared" si="207"/>
        <v>1</v>
      </c>
      <c r="E105" s="66" t="str">
        <f t="shared" si="208"/>
        <v>2014-Jan</v>
      </c>
      <c r="F105" s="68">
        <f t="shared" si="209"/>
        <v>1</v>
      </c>
      <c r="G105" s="92" t="s">
        <v>93</v>
      </c>
      <c r="H105" s="92" t="s">
        <v>136</v>
      </c>
      <c r="J105" s="92" t="s">
        <v>77</v>
      </c>
      <c r="K105" s="92" t="s">
        <v>82</v>
      </c>
      <c r="L105" s="92" t="s">
        <v>79</v>
      </c>
      <c r="M105" s="1" t="s">
        <v>617</v>
      </c>
      <c r="N105" s="92" t="s">
        <v>124</v>
      </c>
      <c r="O105" s="92" t="s">
        <v>507</v>
      </c>
      <c r="P105" s="64" t="s">
        <v>618</v>
      </c>
      <c r="Q105" s="2" t="s">
        <v>88</v>
      </c>
      <c r="R105" s="64" t="s">
        <v>619</v>
      </c>
      <c r="Y105" s="94" t="str">
        <f t="shared" si="146"/>
        <v>Obsolete</v>
      </c>
      <c r="Z105" s="11">
        <f t="shared" si="189"/>
        <v>41661</v>
      </c>
      <c r="AA105" s="124" t="str">
        <f t="shared" si="190"/>
        <v>2014 - 04</v>
      </c>
      <c r="AB105" s="124">
        <f t="shared" si="191"/>
        <v>2014</v>
      </c>
    </row>
    <row r="106" spans="2:28" x14ac:dyDescent="0.25">
      <c r="B106" s="65">
        <v>41661</v>
      </c>
      <c r="C106" s="66">
        <v>41661</v>
      </c>
      <c r="D106" s="68">
        <f t="shared" ref="D106" si="210">IF(B106&gt;0,MONTH(B106),"False")</f>
        <v>1</v>
      </c>
      <c r="E106" s="66" t="str">
        <f t="shared" ref="E106" si="211">YEAR(B106) &amp; CHOOSE(D106,"-Jan","-Feb","-Mar","-Apr","-May","-Jun","-Jul","-Aug","-Sep","-Oct","-Nov","-Dec")</f>
        <v>2014-Jan</v>
      </c>
      <c r="F106" s="68">
        <f t="shared" ref="F106" si="212">IF(C106&gt;0,MONTH(C106),"False")</f>
        <v>1</v>
      </c>
      <c r="G106" s="98" t="s">
        <v>127</v>
      </c>
      <c r="H106" s="92" t="s">
        <v>28</v>
      </c>
      <c r="J106" s="92" t="s">
        <v>77</v>
      </c>
      <c r="K106" s="92" t="s">
        <v>82</v>
      </c>
      <c r="L106" s="92" t="s">
        <v>79</v>
      </c>
      <c r="M106" s="1" t="s">
        <v>620</v>
      </c>
      <c r="N106" s="92" t="s">
        <v>124</v>
      </c>
      <c r="O106" s="92" t="s">
        <v>142</v>
      </c>
      <c r="P106" s="64" t="s">
        <v>334</v>
      </c>
      <c r="R106" s="64" t="s">
        <v>335</v>
      </c>
      <c r="S106" s="98" t="s">
        <v>104</v>
      </c>
      <c r="X106" s="98" t="s">
        <v>670</v>
      </c>
      <c r="Y106" s="94" t="str">
        <f t="shared" si="146"/>
        <v>Pass</v>
      </c>
      <c r="Z106" s="11" t="str">
        <f t="shared" si="189"/>
        <v/>
      </c>
      <c r="AA106" s="124" t="str">
        <f t="shared" si="190"/>
        <v/>
      </c>
      <c r="AB106" s="124" t="str">
        <f t="shared" si="191"/>
        <v/>
      </c>
    </row>
    <row r="107" spans="2:28" x14ac:dyDescent="0.25">
      <c r="B107" s="65">
        <v>41661</v>
      </c>
      <c r="C107" s="66">
        <v>41661</v>
      </c>
      <c r="D107" s="68">
        <f t="shared" ref="D107" si="213">IF(B107&gt;0,MONTH(B107),"False")</f>
        <v>1</v>
      </c>
      <c r="E107" s="66" t="str">
        <f t="shared" ref="E107" si="214">YEAR(B107) &amp; CHOOSE(D107,"-Jan","-Feb","-Mar","-Apr","-May","-Jun","-Jul","-Aug","-Sep","-Oct","-Nov","-Dec")</f>
        <v>2014-Jan</v>
      </c>
      <c r="F107" s="68">
        <f t="shared" ref="F107" si="215">IF(C107&gt;0,MONTH(C107),"False")</f>
        <v>1</v>
      </c>
      <c r="G107" s="157" t="s">
        <v>105</v>
      </c>
      <c r="H107" s="92" t="s">
        <v>96</v>
      </c>
      <c r="J107" s="92" t="s">
        <v>77</v>
      </c>
      <c r="K107" s="92" t="s">
        <v>82</v>
      </c>
      <c r="L107" s="92" t="s">
        <v>79</v>
      </c>
      <c r="M107" s="1" t="s">
        <v>621</v>
      </c>
      <c r="N107" s="92" t="s">
        <v>124</v>
      </c>
      <c r="O107" s="92" t="s">
        <v>622</v>
      </c>
      <c r="P107" s="64" t="s">
        <v>623</v>
      </c>
      <c r="R107" s="64" t="s">
        <v>624</v>
      </c>
      <c r="S107" s="157" t="s">
        <v>104</v>
      </c>
      <c r="X107" s="157" t="s">
        <v>154</v>
      </c>
      <c r="Y107" s="94" t="str">
        <f t="shared" si="146"/>
        <v>Pass</v>
      </c>
      <c r="Z107" s="11" t="str">
        <f t="shared" si="189"/>
        <v/>
      </c>
      <c r="AA107" s="124" t="str">
        <f t="shared" si="190"/>
        <v/>
      </c>
      <c r="AB107" s="124" t="str">
        <f t="shared" si="191"/>
        <v/>
      </c>
    </row>
    <row r="108" spans="2:28" x14ac:dyDescent="0.25">
      <c r="B108" s="65">
        <v>41661</v>
      </c>
      <c r="C108" s="66">
        <v>41661</v>
      </c>
      <c r="D108" s="68">
        <f t="shared" ref="D108:D110" si="216">IF(B108&gt;0,MONTH(B108),"False")</f>
        <v>1</v>
      </c>
      <c r="E108" s="66" t="str">
        <f t="shared" ref="E108:E110" si="217">YEAR(B108) &amp; CHOOSE(D108,"-Jan","-Feb","-Mar","-Apr","-May","-Jun","-Jul","-Aug","-Sep","-Oct","-Nov","-Dec")</f>
        <v>2014-Jan</v>
      </c>
      <c r="F108" s="68">
        <f t="shared" ref="F108:F110" si="218">IF(C108&gt;0,MONTH(C108),"False")</f>
        <v>1</v>
      </c>
      <c r="G108" s="104" t="s">
        <v>121</v>
      </c>
      <c r="H108" s="92" t="s">
        <v>348</v>
      </c>
      <c r="J108" s="92" t="s">
        <v>77</v>
      </c>
      <c r="K108" s="92" t="s">
        <v>82</v>
      </c>
      <c r="L108" s="92" t="s">
        <v>79</v>
      </c>
      <c r="M108" s="1" t="s">
        <v>625</v>
      </c>
      <c r="N108" s="92" t="s">
        <v>124</v>
      </c>
      <c r="O108" s="92" t="s">
        <v>343</v>
      </c>
      <c r="P108" s="64" t="s">
        <v>352</v>
      </c>
      <c r="Q108" s="2" t="s">
        <v>88</v>
      </c>
      <c r="R108" s="64" t="s">
        <v>626</v>
      </c>
      <c r="S108" s="104" t="s">
        <v>104</v>
      </c>
      <c r="X108" s="104" t="s">
        <v>259</v>
      </c>
      <c r="Y108" s="94" t="str">
        <f t="shared" si="146"/>
        <v>Obsolete</v>
      </c>
      <c r="Z108" s="11">
        <f t="shared" si="189"/>
        <v>41661</v>
      </c>
      <c r="AA108" s="124" t="str">
        <f t="shared" si="190"/>
        <v>2014 - 04</v>
      </c>
      <c r="AB108" s="124">
        <f t="shared" si="191"/>
        <v>2014</v>
      </c>
    </row>
    <row r="109" spans="2:28" x14ac:dyDescent="0.25">
      <c r="B109" s="65">
        <v>41661</v>
      </c>
      <c r="C109" s="66">
        <v>41662</v>
      </c>
      <c r="D109" s="68">
        <f t="shared" si="216"/>
        <v>1</v>
      </c>
      <c r="E109" s="66" t="str">
        <f t="shared" si="217"/>
        <v>2014-Jan</v>
      </c>
      <c r="F109" s="68">
        <f t="shared" si="218"/>
        <v>1</v>
      </c>
      <c r="G109" s="93" t="s">
        <v>87</v>
      </c>
      <c r="H109" s="92" t="s">
        <v>483</v>
      </c>
      <c r="J109" s="92" t="s">
        <v>81</v>
      </c>
      <c r="K109" s="92" t="s">
        <v>82</v>
      </c>
      <c r="L109" s="92" t="s">
        <v>79</v>
      </c>
      <c r="M109" s="1" t="s">
        <v>627</v>
      </c>
      <c r="N109" s="92" t="s">
        <v>124</v>
      </c>
      <c r="O109" s="92" t="s">
        <v>125</v>
      </c>
      <c r="P109" s="64" t="s">
        <v>484</v>
      </c>
      <c r="R109" s="64" t="s">
        <v>490</v>
      </c>
      <c r="Y109" s="94" t="str">
        <f t="shared" si="146"/>
        <v>Unknown</v>
      </c>
      <c r="Z109" s="11" t="str">
        <f t="shared" si="189"/>
        <v/>
      </c>
      <c r="AA109" s="124" t="str">
        <f t="shared" si="190"/>
        <v/>
      </c>
      <c r="AB109" s="124" t="str">
        <f t="shared" si="191"/>
        <v/>
      </c>
    </row>
    <row r="110" spans="2:28" x14ac:dyDescent="0.25">
      <c r="B110" s="66">
        <v>41662</v>
      </c>
      <c r="C110" s="66">
        <v>41662</v>
      </c>
      <c r="D110" s="68">
        <f t="shared" si="216"/>
        <v>1</v>
      </c>
      <c r="E110" s="66" t="str">
        <f t="shared" si="217"/>
        <v>2014-Jan</v>
      </c>
      <c r="F110" s="68">
        <f t="shared" si="218"/>
        <v>1</v>
      </c>
      <c r="G110" s="96" t="s">
        <v>112</v>
      </c>
      <c r="H110" s="93" t="s">
        <v>166</v>
      </c>
      <c r="J110" s="93" t="s">
        <v>78</v>
      </c>
      <c r="K110" s="93" t="s">
        <v>78</v>
      </c>
      <c r="L110" s="93" t="s">
        <v>79</v>
      </c>
      <c r="M110" s="1" t="s">
        <v>628</v>
      </c>
      <c r="N110" s="93" t="s">
        <v>124</v>
      </c>
      <c r="O110" s="93" t="s">
        <v>287</v>
      </c>
      <c r="R110" s="64" t="s">
        <v>488</v>
      </c>
      <c r="S110" s="96" t="s">
        <v>104</v>
      </c>
      <c r="T110" s="67" t="s">
        <v>110</v>
      </c>
      <c r="X110" s="96" t="s">
        <v>165</v>
      </c>
      <c r="Y110" s="94" t="str">
        <f t="shared" si="146"/>
        <v>Pass</v>
      </c>
      <c r="Z110" s="11" t="str">
        <f t="shared" si="189"/>
        <v/>
      </c>
      <c r="AA110" s="124" t="str">
        <f t="shared" si="190"/>
        <v/>
      </c>
      <c r="AB110" s="124" t="str">
        <f t="shared" si="191"/>
        <v/>
      </c>
    </row>
    <row r="111" spans="2:28" x14ac:dyDescent="0.25">
      <c r="B111" s="66">
        <v>41662</v>
      </c>
      <c r="C111" s="66">
        <v>41662</v>
      </c>
      <c r="D111" s="68">
        <f t="shared" ref="D111:D112" si="219">IF(B111&gt;0,MONTH(B111),"False")</f>
        <v>1</v>
      </c>
      <c r="E111" s="66" t="str">
        <f t="shared" ref="E111:E112" si="220">YEAR(B111) &amp; CHOOSE(D111,"-Jan","-Feb","-Mar","-Apr","-May","-Jun","-Jul","-Aug","-Sep","-Oct","-Nov","-Dec")</f>
        <v>2014-Jan</v>
      </c>
      <c r="F111" s="68">
        <f t="shared" ref="F111:F112" si="221">IF(C111&gt;0,MONTH(C111),"False")</f>
        <v>1</v>
      </c>
      <c r="G111" s="93" t="s">
        <v>87</v>
      </c>
      <c r="H111" s="93" t="s">
        <v>280</v>
      </c>
      <c r="J111" s="93" t="s">
        <v>78</v>
      </c>
      <c r="K111" s="93" t="s">
        <v>78</v>
      </c>
      <c r="L111" s="93" t="s">
        <v>79</v>
      </c>
      <c r="M111" s="1" t="s">
        <v>629</v>
      </c>
      <c r="N111" s="93" t="s">
        <v>124</v>
      </c>
      <c r="O111" s="93" t="s">
        <v>138</v>
      </c>
      <c r="Q111" s="2" t="s">
        <v>88</v>
      </c>
      <c r="R111" s="64" t="s">
        <v>344</v>
      </c>
      <c r="Y111" s="94" t="str">
        <f t="shared" si="146"/>
        <v>Obsolete</v>
      </c>
      <c r="Z111" s="11">
        <f t="shared" si="189"/>
        <v>41662</v>
      </c>
      <c r="AA111" s="124" t="str">
        <f t="shared" si="190"/>
        <v>2014 - 04</v>
      </c>
      <c r="AB111" s="124">
        <f t="shared" si="191"/>
        <v>2014</v>
      </c>
    </row>
    <row r="112" spans="2:28" x14ac:dyDescent="0.25">
      <c r="B112" s="65">
        <v>41662</v>
      </c>
      <c r="C112" s="66">
        <v>41662</v>
      </c>
      <c r="D112" s="68">
        <f t="shared" si="219"/>
        <v>1</v>
      </c>
      <c r="E112" s="66" t="str">
        <f t="shared" si="220"/>
        <v>2014-Jan</v>
      </c>
      <c r="F112" s="68">
        <f t="shared" si="221"/>
        <v>1</v>
      </c>
      <c r="G112" s="94" t="s">
        <v>121</v>
      </c>
      <c r="H112" s="93" t="s">
        <v>103</v>
      </c>
      <c r="J112" s="93" t="s">
        <v>77</v>
      </c>
      <c r="K112" s="93" t="s">
        <v>82</v>
      </c>
      <c r="L112" s="93" t="s">
        <v>79</v>
      </c>
      <c r="M112" s="1" t="s">
        <v>630</v>
      </c>
      <c r="N112" s="93" t="s">
        <v>124</v>
      </c>
      <c r="O112" s="93" t="s">
        <v>265</v>
      </c>
      <c r="P112" s="64" t="s">
        <v>351</v>
      </c>
      <c r="R112" s="64" t="s">
        <v>361</v>
      </c>
      <c r="S112" s="94" t="s">
        <v>104</v>
      </c>
      <c r="X112" s="94" t="s">
        <v>158</v>
      </c>
      <c r="Y112" s="94" t="str">
        <f t="shared" si="146"/>
        <v>Pass</v>
      </c>
      <c r="Z112" s="11" t="str">
        <f t="shared" si="189"/>
        <v/>
      </c>
      <c r="AA112" s="124" t="str">
        <f t="shared" si="190"/>
        <v/>
      </c>
      <c r="AB112" s="124" t="str">
        <f t="shared" si="191"/>
        <v/>
      </c>
    </row>
    <row r="113" spans="2:28" x14ac:dyDescent="0.25">
      <c r="B113" s="65">
        <v>41662</v>
      </c>
      <c r="C113" s="66">
        <v>41662</v>
      </c>
      <c r="D113" s="68">
        <f t="shared" ref="D113" si="222">IF(B113&gt;0,MONTH(B113),"False")</f>
        <v>1</v>
      </c>
      <c r="E113" s="66" t="str">
        <f t="shared" ref="E113" si="223">YEAR(B113) &amp; CHOOSE(D113,"-Jan","-Feb","-Mar","-Apr","-May","-Jun","-Jul","-Aug","-Sep","-Oct","-Nov","-Dec")</f>
        <v>2014-Jan</v>
      </c>
      <c r="F113" s="68">
        <f t="shared" ref="F113" si="224">IF(C113&gt;0,MONTH(C113),"False")</f>
        <v>1</v>
      </c>
      <c r="G113" s="98" t="s">
        <v>127</v>
      </c>
      <c r="H113" s="93" t="s">
        <v>28</v>
      </c>
      <c r="J113" s="93" t="s">
        <v>77</v>
      </c>
      <c r="K113" s="93" t="s">
        <v>82</v>
      </c>
      <c r="L113" s="93" t="s">
        <v>79</v>
      </c>
      <c r="M113" s="1" t="s">
        <v>631</v>
      </c>
      <c r="N113" s="93" t="s">
        <v>124</v>
      </c>
      <c r="O113" s="93" t="s">
        <v>142</v>
      </c>
      <c r="P113" s="64" t="s">
        <v>334</v>
      </c>
      <c r="R113" s="64" t="s">
        <v>335</v>
      </c>
      <c r="S113" s="98" t="s">
        <v>104</v>
      </c>
      <c r="X113" s="98" t="s">
        <v>670</v>
      </c>
      <c r="Y113" s="94" t="str">
        <f t="shared" si="146"/>
        <v>Pass</v>
      </c>
      <c r="Z113" s="11" t="str">
        <f t="shared" si="189"/>
        <v/>
      </c>
      <c r="AA113" s="124" t="str">
        <f t="shared" si="190"/>
        <v/>
      </c>
      <c r="AB113" s="124" t="str">
        <f t="shared" si="191"/>
        <v/>
      </c>
    </row>
    <row r="114" spans="2:28" x14ac:dyDescent="0.25">
      <c r="B114" s="65">
        <v>41662</v>
      </c>
      <c r="C114" s="66">
        <v>41662</v>
      </c>
      <c r="D114" s="68">
        <f t="shared" ref="D114" si="225">IF(B114&gt;0,MONTH(B114),"False")</f>
        <v>1</v>
      </c>
      <c r="E114" s="66" t="str">
        <f t="shared" ref="E114" si="226">YEAR(B114) &amp; CHOOSE(D114,"-Jan","-Feb","-Mar","-Apr","-May","-Jun","-Jul","-Aug","-Sep","-Oct","-Nov","-Dec")</f>
        <v>2014-Jan</v>
      </c>
      <c r="F114" s="68">
        <f t="shared" ref="F114" si="227">IF(C114&gt;0,MONTH(C114),"False")</f>
        <v>1</v>
      </c>
      <c r="G114" s="93" t="s">
        <v>93</v>
      </c>
      <c r="H114" s="93" t="s">
        <v>280</v>
      </c>
      <c r="J114" s="93" t="s">
        <v>81</v>
      </c>
      <c r="K114" s="93" t="s">
        <v>82</v>
      </c>
      <c r="L114" s="93" t="s">
        <v>79</v>
      </c>
      <c r="M114" s="1" t="s">
        <v>632</v>
      </c>
      <c r="N114" s="93" t="s">
        <v>124</v>
      </c>
      <c r="O114" s="93" t="s">
        <v>529</v>
      </c>
      <c r="P114" s="64" t="s">
        <v>305</v>
      </c>
      <c r="Q114" s="2" t="s">
        <v>88</v>
      </c>
      <c r="R114" s="64" t="s">
        <v>584</v>
      </c>
      <c r="Y114" s="94" t="str">
        <f t="shared" si="146"/>
        <v>Obsolete</v>
      </c>
      <c r="Z114" s="11">
        <f t="shared" si="189"/>
        <v>41662</v>
      </c>
      <c r="AA114" s="124" t="str">
        <f t="shared" si="190"/>
        <v>2014 - 04</v>
      </c>
      <c r="AB114" s="124">
        <f t="shared" si="191"/>
        <v>2014</v>
      </c>
    </row>
    <row r="115" spans="2:28" x14ac:dyDescent="0.25">
      <c r="B115" s="65">
        <v>41662</v>
      </c>
      <c r="C115" s="66">
        <v>41662</v>
      </c>
      <c r="D115" s="68">
        <f t="shared" ref="D115:D117" si="228">IF(B115&gt;0,MONTH(B115),"False")</f>
        <v>1</v>
      </c>
      <c r="E115" s="66" t="str">
        <f t="shared" ref="E115:E117" si="229">YEAR(B115) &amp; CHOOSE(D115,"-Jan","-Feb","-Mar","-Apr","-May","-Jun","-Jul","-Aug","-Sep","-Oct","-Nov","-Dec")</f>
        <v>2014-Jan</v>
      </c>
      <c r="F115" s="68">
        <f t="shared" ref="F115:F117" si="230">IF(C115&gt;0,MONTH(C115),"False")</f>
        <v>1</v>
      </c>
      <c r="G115" s="93" t="s">
        <v>93</v>
      </c>
      <c r="H115" s="93" t="s">
        <v>166</v>
      </c>
      <c r="J115" s="93" t="s">
        <v>90</v>
      </c>
      <c r="K115" s="93" t="s">
        <v>82</v>
      </c>
      <c r="L115" s="93" t="s">
        <v>79</v>
      </c>
      <c r="M115" s="1" t="s">
        <v>633</v>
      </c>
      <c r="N115" s="93" t="s">
        <v>124</v>
      </c>
      <c r="O115" s="93" t="s">
        <v>301</v>
      </c>
      <c r="P115" s="64" t="s">
        <v>303</v>
      </c>
      <c r="R115" s="64" t="s">
        <v>404</v>
      </c>
      <c r="Y115" s="94" t="str">
        <f t="shared" si="146"/>
        <v>Unknown</v>
      </c>
      <c r="Z115" s="11" t="str">
        <f t="shared" si="189"/>
        <v/>
      </c>
      <c r="AA115" s="124" t="str">
        <f t="shared" si="190"/>
        <v/>
      </c>
      <c r="AB115" s="124" t="str">
        <f t="shared" si="191"/>
        <v/>
      </c>
    </row>
    <row r="116" spans="2:28" x14ac:dyDescent="0.25">
      <c r="B116" s="65">
        <v>41662</v>
      </c>
      <c r="C116" s="66">
        <v>41662</v>
      </c>
      <c r="D116" s="68">
        <f t="shared" si="228"/>
        <v>1</v>
      </c>
      <c r="E116" s="66" t="str">
        <f t="shared" si="229"/>
        <v>2014-Jan</v>
      </c>
      <c r="F116" s="68">
        <f t="shared" si="230"/>
        <v>1</v>
      </c>
      <c r="G116" s="93" t="s">
        <v>93</v>
      </c>
      <c r="H116" s="93" t="s">
        <v>280</v>
      </c>
      <c r="J116" s="93" t="s">
        <v>81</v>
      </c>
      <c r="K116" s="93" t="s">
        <v>82</v>
      </c>
      <c r="L116" s="93" t="s">
        <v>79</v>
      </c>
      <c r="M116" s="1" t="s">
        <v>634</v>
      </c>
      <c r="N116" s="93" t="s">
        <v>124</v>
      </c>
      <c r="O116" s="93" t="s">
        <v>529</v>
      </c>
      <c r="P116" s="64" t="s">
        <v>305</v>
      </c>
      <c r="R116" s="64" t="s">
        <v>584</v>
      </c>
      <c r="S116" s="291" t="s">
        <v>104</v>
      </c>
      <c r="Y116" s="94" t="str">
        <f t="shared" si="146"/>
        <v>Pass</v>
      </c>
      <c r="Z116" s="11" t="str">
        <f t="shared" si="189"/>
        <v/>
      </c>
      <c r="AA116" s="124" t="str">
        <f t="shared" si="190"/>
        <v/>
      </c>
      <c r="AB116" s="124" t="str">
        <f t="shared" si="191"/>
        <v/>
      </c>
    </row>
    <row r="117" spans="2:28" x14ac:dyDescent="0.25">
      <c r="B117" s="66">
        <v>41662</v>
      </c>
      <c r="C117" s="66">
        <v>41662</v>
      </c>
      <c r="D117" s="68">
        <f t="shared" si="228"/>
        <v>1</v>
      </c>
      <c r="E117" s="66" t="str">
        <f t="shared" si="229"/>
        <v>2014-Jan</v>
      </c>
      <c r="F117" s="68">
        <f t="shared" si="230"/>
        <v>1</v>
      </c>
      <c r="G117" s="93" t="s">
        <v>87</v>
      </c>
      <c r="H117" s="93" t="s">
        <v>115</v>
      </c>
      <c r="J117" s="93" t="s">
        <v>77</v>
      </c>
      <c r="K117" s="93" t="s">
        <v>82</v>
      </c>
      <c r="L117" s="93" t="s">
        <v>79</v>
      </c>
      <c r="M117" s="1" t="s">
        <v>635</v>
      </c>
      <c r="N117" s="93" t="s">
        <v>114</v>
      </c>
      <c r="O117" s="93" t="s">
        <v>114</v>
      </c>
      <c r="R117" s="64" t="s">
        <v>480</v>
      </c>
      <c r="Y117" s="94" t="str">
        <f t="shared" si="146"/>
        <v>Unknown</v>
      </c>
      <c r="Z117" s="11" t="str">
        <f t="shared" si="189"/>
        <v/>
      </c>
      <c r="AA117" s="124" t="str">
        <f t="shared" si="190"/>
        <v/>
      </c>
      <c r="AB117" s="124" t="str">
        <f t="shared" si="191"/>
        <v/>
      </c>
    </row>
    <row r="118" spans="2:28" x14ac:dyDescent="0.25">
      <c r="B118" s="65">
        <v>41663</v>
      </c>
      <c r="C118" s="66">
        <v>41663</v>
      </c>
      <c r="D118" s="68">
        <f t="shared" ref="D118" si="231">IF(B118&gt;0,MONTH(B118),"False")</f>
        <v>1</v>
      </c>
      <c r="E118" s="66" t="str">
        <f t="shared" ref="E118" si="232">YEAR(B118) &amp; CHOOSE(D118,"-Jan","-Feb","-Mar","-Apr","-May","-Jun","-Jul","-Aug","-Sep","-Oct","-Nov","-Dec")</f>
        <v>2014-Jan</v>
      </c>
      <c r="F118" s="68">
        <f t="shared" ref="F118" si="233">IF(C118&gt;0,MONTH(C118),"False")</f>
        <v>1</v>
      </c>
      <c r="G118" s="94" t="s">
        <v>121</v>
      </c>
      <c r="H118" s="94" t="s">
        <v>266</v>
      </c>
      <c r="J118" s="94" t="s">
        <v>275</v>
      </c>
      <c r="K118" s="94" t="s">
        <v>84</v>
      </c>
      <c r="L118" s="94" t="s">
        <v>83</v>
      </c>
      <c r="M118" s="1" t="s">
        <v>636</v>
      </c>
      <c r="N118" s="94" t="s">
        <v>124</v>
      </c>
      <c r="O118" s="94" t="s">
        <v>109</v>
      </c>
      <c r="P118" s="64" t="s">
        <v>563</v>
      </c>
      <c r="R118" s="64" t="s">
        <v>477</v>
      </c>
      <c r="S118" s="94" t="s">
        <v>104</v>
      </c>
      <c r="X118" s="94" t="s">
        <v>524</v>
      </c>
      <c r="Y118" s="96" t="str">
        <f t="shared" si="146"/>
        <v>Pass</v>
      </c>
      <c r="Z118" s="11" t="str">
        <f t="shared" si="189"/>
        <v/>
      </c>
      <c r="AA118" s="124" t="str">
        <f t="shared" si="190"/>
        <v/>
      </c>
      <c r="AB118" s="124" t="str">
        <f t="shared" si="191"/>
        <v/>
      </c>
    </row>
    <row r="119" spans="2:28" x14ac:dyDescent="0.25">
      <c r="B119" s="65">
        <v>41663</v>
      </c>
      <c r="C119" s="66">
        <v>41663</v>
      </c>
      <c r="D119" s="68">
        <f t="shared" ref="D119:D121" si="234">IF(B119&gt;0,MONTH(B119),"False")</f>
        <v>1</v>
      </c>
      <c r="E119" s="66" t="str">
        <f t="shared" ref="E119:E121" si="235">YEAR(B119) &amp; CHOOSE(D119,"-Jan","-Feb","-Mar","-Apr","-May","-Jun","-Jul","-Aug","-Sep","-Oct","-Nov","-Dec")</f>
        <v>2014-Jan</v>
      </c>
      <c r="F119" s="68">
        <f t="shared" ref="F119:F121" si="236">IF(C119&gt;0,MONTH(C119),"False")</f>
        <v>1</v>
      </c>
      <c r="G119" s="98" t="s">
        <v>127</v>
      </c>
      <c r="H119" s="94" t="s">
        <v>28</v>
      </c>
      <c r="J119" s="94" t="s">
        <v>77</v>
      </c>
      <c r="K119" s="94" t="s">
        <v>82</v>
      </c>
      <c r="L119" s="94" t="s">
        <v>79</v>
      </c>
      <c r="M119" s="1" t="s">
        <v>637</v>
      </c>
      <c r="N119" s="94" t="s">
        <v>124</v>
      </c>
      <c r="O119" s="94" t="s">
        <v>142</v>
      </c>
      <c r="P119" s="64" t="s">
        <v>334</v>
      </c>
      <c r="R119" s="64" t="s">
        <v>335</v>
      </c>
      <c r="S119" s="98" t="s">
        <v>104</v>
      </c>
      <c r="X119" s="98" t="s">
        <v>670</v>
      </c>
      <c r="Y119" s="96" t="str">
        <f t="shared" si="146"/>
        <v>Pass</v>
      </c>
      <c r="Z119" s="11" t="str">
        <f t="shared" si="189"/>
        <v/>
      </c>
      <c r="AA119" s="124" t="str">
        <f t="shared" si="190"/>
        <v/>
      </c>
      <c r="AB119" s="124" t="str">
        <f t="shared" si="191"/>
        <v/>
      </c>
    </row>
    <row r="120" spans="2:28" x14ac:dyDescent="0.25">
      <c r="B120" s="65">
        <v>41663</v>
      </c>
      <c r="C120" s="66">
        <v>41663</v>
      </c>
      <c r="D120" s="68">
        <f t="shared" si="234"/>
        <v>1</v>
      </c>
      <c r="E120" s="66" t="str">
        <f t="shared" si="235"/>
        <v>2014-Jan</v>
      </c>
      <c r="F120" s="68">
        <f t="shared" si="236"/>
        <v>1</v>
      </c>
      <c r="G120" s="94" t="s">
        <v>93</v>
      </c>
      <c r="H120" s="94" t="s">
        <v>280</v>
      </c>
      <c r="J120" s="94" t="s">
        <v>81</v>
      </c>
      <c r="K120" s="94" t="s">
        <v>82</v>
      </c>
      <c r="L120" s="94" t="s">
        <v>79</v>
      </c>
      <c r="M120" s="1" t="s">
        <v>638</v>
      </c>
      <c r="N120" s="94" t="s">
        <v>124</v>
      </c>
      <c r="O120" s="94" t="s">
        <v>285</v>
      </c>
      <c r="P120" s="64" t="s">
        <v>305</v>
      </c>
      <c r="R120" s="64" t="s">
        <v>584</v>
      </c>
      <c r="Y120" s="96" t="str">
        <f t="shared" si="146"/>
        <v>Unknown</v>
      </c>
      <c r="Z120" s="11" t="str">
        <f t="shared" si="189"/>
        <v/>
      </c>
      <c r="AA120" s="124" t="str">
        <f t="shared" si="190"/>
        <v/>
      </c>
      <c r="AB120" s="124" t="str">
        <f t="shared" si="191"/>
        <v/>
      </c>
    </row>
    <row r="121" spans="2:28" x14ac:dyDescent="0.25">
      <c r="B121" s="66">
        <v>41663</v>
      </c>
      <c r="C121" s="66">
        <v>41663</v>
      </c>
      <c r="D121" s="68">
        <f t="shared" si="234"/>
        <v>1</v>
      </c>
      <c r="E121" s="66" t="str">
        <f t="shared" si="235"/>
        <v>2014-Jan</v>
      </c>
      <c r="F121" s="68">
        <f t="shared" si="236"/>
        <v>1</v>
      </c>
      <c r="G121" s="94" t="s">
        <v>87</v>
      </c>
      <c r="H121" s="94" t="s">
        <v>483</v>
      </c>
      <c r="J121" s="94" t="s">
        <v>146</v>
      </c>
      <c r="K121" s="94" t="s">
        <v>260</v>
      </c>
      <c r="L121" s="94" t="s">
        <v>83</v>
      </c>
      <c r="M121" s="1" t="s">
        <v>639</v>
      </c>
      <c r="N121" s="94" t="s">
        <v>124</v>
      </c>
      <c r="O121" s="94" t="s">
        <v>148</v>
      </c>
      <c r="R121" s="64" t="s">
        <v>640</v>
      </c>
      <c r="Y121" s="96" t="str">
        <f t="shared" si="146"/>
        <v>Unknown</v>
      </c>
      <c r="Z121" s="11" t="str">
        <f t="shared" si="189"/>
        <v/>
      </c>
      <c r="AA121" s="124" t="str">
        <f t="shared" si="190"/>
        <v/>
      </c>
      <c r="AB121" s="124" t="str">
        <f t="shared" si="191"/>
        <v/>
      </c>
    </row>
    <row r="122" spans="2:28" x14ac:dyDescent="0.25">
      <c r="B122" s="65">
        <v>41663</v>
      </c>
      <c r="C122" s="66">
        <v>41663</v>
      </c>
      <c r="D122" s="68">
        <f t="shared" ref="D122" si="237">IF(B122&gt;0,MONTH(B122),"False")</f>
        <v>1</v>
      </c>
      <c r="E122" s="66" t="str">
        <f t="shared" ref="E122" si="238">YEAR(B122) &amp; CHOOSE(D122,"-Jan","-Feb","-Mar","-Apr","-May","-Jun","-Jul","-Aug","-Sep","-Oct","-Nov","-Dec")</f>
        <v>2014-Jan</v>
      </c>
      <c r="F122" s="68">
        <f t="shared" ref="F122" si="239">IF(C122&gt;0,MONTH(C122),"False")</f>
        <v>1</v>
      </c>
      <c r="G122" s="94" t="s">
        <v>93</v>
      </c>
      <c r="H122" s="94" t="s">
        <v>280</v>
      </c>
      <c r="J122" s="94" t="s">
        <v>98</v>
      </c>
      <c r="K122" s="94" t="s">
        <v>82</v>
      </c>
      <c r="L122" s="94" t="s">
        <v>79</v>
      </c>
      <c r="M122" s="1" t="s">
        <v>641</v>
      </c>
      <c r="N122" s="94" t="s">
        <v>124</v>
      </c>
      <c r="O122" s="94" t="s">
        <v>285</v>
      </c>
      <c r="P122" s="64" t="s">
        <v>642</v>
      </c>
      <c r="Q122" s="2" t="s">
        <v>88</v>
      </c>
      <c r="R122" s="64" t="s">
        <v>643</v>
      </c>
      <c r="T122" s="67" t="s">
        <v>110</v>
      </c>
      <c r="Y122" s="96" t="str">
        <f t="shared" si="146"/>
        <v>Obsolete</v>
      </c>
      <c r="Z122" s="11">
        <f t="shared" si="189"/>
        <v>41663</v>
      </c>
      <c r="AA122" s="124" t="str">
        <f t="shared" si="190"/>
        <v>2014 - 04</v>
      </c>
      <c r="AB122" s="124">
        <f t="shared" si="191"/>
        <v>2014</v>
      </c>
    </row>
    <row r="123" spans="2:28" x14ac:dyDescent="0.25">
      <c r="B123" s="66">
        <v>41664</v>
      </c>
      <c r="C123" s="66">
        <v>41664</v>
      </c>
      <c r="D123" s="68">
        <f t="shared" ref="D123" si="240">IF(B123&gt;0,MONTH(B123),"False")</f>
        <v>1</v>
      </c>
      <c r="E123" s="66" t="str">
        <f t="shared" ref="E123" si="241">YEAR(B123) &amp; CHOOSE(D123,"-Jan","-Feb","-Mar","-Apr","-May","-Jun","-Jul","-Aug","-Sep","-Oct","-Nov","-Dec")</f>
        <v>2014-Jan</v>
      </c>
      <c r="F123" s="68">
        <f t="shared" ref="F123" si="242">IF(C123&gt;0,MONTH(C123),"False")</f>
        <v>1</v>
      </c>
      <c r="G123" s="94" t="s">
        <v>87</v>
      </c>
      <c r="H123" s="94" t="s">
        <v>483</v>
      </c>
      <c r="J123" s="94" t="s">
        <v>98</v>
      </c>
      <c r="K123" s="94" t="s">
        <v>84</v>
      </c>
      <c r="L123" s="94" t="s">
        <v>83</v>
      </c>
      <c r="M123" s="1" t="s">
        <v>644</v>
      </c>
      <c r="N123" s="94" t="s">
        <v>124</v>
      </c>
      <c r="O123" s="94" t="s">
        <v>152</v>
      </c>
      <c r="R123" s="64" t="s">
        <v>645</v>
      </c>
      <c r="Y123" s="96" t="str">
        <f t="shared" si="146"/>
        <v>Unknown</v>
      </c>
      <c r="Z123" s="11" t="str">
        <f t="shared" si="189"/>
        <v/>
      </c>
      <c r="AA123" s="124" t="str">
        <f t="shared" si="190"/>
        <v/>
      </c>
      <c r="AB123" s="124" t="str">
        <f t="shared" si="191"/>
        <v/>
      </c>
    </row>
    <row r="124" spans="2:28" x14ac:dyDescent="0.25">
      <c r="B124" s="66">
        <v>41664</v>
      </c>
      <c r="C124" s="66">
        <v>41664</v>
      </c>
      <c r="D124" s="68">
        <f t="shared" ref="D124" si="243">IF(B124&gt;0,MONTH(B124),"False")</f>
        <v>1</v>
      </c>
      <c r="E124" s="66" t="str">
        <f t="shared" ref="E124" si="244">YEAR(B124) &amp; CHOOSE(D124,"-Jan","-Feb","-Mar","-Apr","-May","-Jun","-Jul","-Aug","-Sep","-Oct","-Nov","-Dec")</f>
        <v>2014-Jan</v>
      </c>
      <c r="F124" s="68">
        <f t="shared" ref="F124" si="245">IF(C124&gt;0,MONTH(C124),"False")</f>
        <v>1</v>
      </c>
      <c r="G124" s="94" t="s">
        <v>87</v>
      </c>
      <c r="H124" s="94" t="s">
        <v>280</v>
      </c>
      <c r="J124" s="94" t="s">
        <v>78</v>
      </c>
      <c r="K124" s="94" t="s">
        <v>78</v>
      </c>
      <c r="L124" s="94" t="s">
        <v>79</v>
      </c>
      <c r="M124" s="1" t="s">
        <v>646</v>
      </c>
      <c r="N124" s="94" t="s">
        <v>124</v>
      </c>
      <c r="O124" s="94" t="s">
        <v>138</v>
      </c>
      <c r="R124" s="64" t="s">
        <v>344</v>
      </c>
      <c r="S124" s="291" t="s">
        <v>104</v>
      </c>
      <c r="T124" s="67" t="s">
        <v>110</v>
      </c>
      <c r="Y124" s="96" t="str">
        <f t="shared" si="146"/>
        <v>Pass</v>
      </c>
      <c r="Z124" s="11" t="str">
        <f t="shared" si="189"/>
        <v/>
      </c>
      <c r="AA124" s="124" t="str">
        <f t="shared" si="190"/>
        <v/>
      </c>
      <c r="AB124" s="124" t="str">
        <f t="shared" si="191"/>
        <v/>
      </c>
    </row>
    <row r="125" spans="2:28" x14ac:dyDescent="0.25">
      <c r="B125" s="66">
        <v>41664</v>
      </c>
      <c r="C125" s="66">
        <v>41664</v>
      </c>
      <c r="D125" s="68">
        <f t="shared" ref="D125" si="246">IF(B125&gt;0,MONTH(B125),"False")</f>
        <v>1</v>
      </c>
      <c r="E125" s="66" t="str">
        <f t="shared" ref="E125" si="247">YEAR(B125) &amp; CHOOSE(D125,"-Jan","-Feb","-Mar","-Apr","-May","-Jun","-Jul","-Aug","-Sep","-Oct","-Nov","-Dec")</f>
        <v>2014-Jan</v>
      </c>
      <c r="F125" s="68">
        <f t="shared" ref="F125" si="248">IF(C125&gt;0,MONTH(C125),"False")</f>
        <v>1</v>
      </c>
      <c r="G125" s="96" t="s">
        <v>112</v>
      </c>
      <c r="H125" s="94" t="s">
        <v>115</v>
      </c>
      <c r="J125" s="94" t="s">
        <v>77</v>
      </c>
      <c r="K125" s="94" t="s">
        <v>82</v>
      </c>
      <c r="L125" s="94" t="s">
        <v>79</v>
      </c>
      <c r="M125" s="1" t="s">
        <v>647</v>
      </c>
      <c r="N125" s="94" t="s">
        <v>507</v>
      </c>
      <c r="O125" s="94" t="s">
        <v>507</v>
      </c>
      <c r="P125" s="64" t="s">
        <v>480</v>
      </c>
      <c r="S125" s="96" t="s">
        <v>104</v>
      </c>
      <c r="X125" s="96" t="s">
        <v>159</v>
      </c>
      <c r="Y125" s="96" t="str">
        <f t="shared" si="146"/>
        <v>Pass</v>
      </c>
      <c r="Z125" s="11" t="str">
        <f t="shared" si="189"/>
        <v/>
      </c>
      <c r="AA125" s="124" t="str">
        <f t="shared" si="190"/>
        <v/>
      </c>
      <c r="AB125" s="124" t="str">
        <f t="shared" si="191"/>
        <v/>
      </c>
    </row>
    <row r="126" spans="2:28" x14ac:dyDescent="0.25">
      <c r="B126" s="66">
        <v>41664</v>
      </c>
      <c r="C126" s="66">
        <v>41664</v>
      </c>
      <c r="D126" s="68">
        <f t="shared" ref="D126:D127" si="249">IF(B126&gt;0,MONTH(B126),"False")</f>
        <v>1</v>
      </c>
      <c r="E126" s="66" t="str">
        <f t="shared" ref="E126:E127" si="250">YEAR(B126) &amp; CHOOSE(D126,"-Jan","-Feb","-Mar","-Apr","-May","-Jun","-Jul","-Aug","-Sep","-Oct","-Nov","-Dec")</f>
        <v>2014-Jan</v>
      </c>
      <c r="F126" s="68">
        <f t="shared" ref="F126:F127" si="251">IF(C126&gt;0,MONTH(C126),"False")</f>
        <v>1</v>
      </c>
      <c r="G126" s="94" t="s">
        <v>87</v>
      </c>
      <c r="H126" s="94" t="s">
        <v>483</v>
      </c>
      <c r="J126" s="94" t="s">
        <v>78</v>
      </c>
      <c r="K126" s="94" t="s">
        <v>78</v>
      </c>
      <c r="L126" s="94" t="s">
        <v>79</v>
      </c>
      <c r="M126" s="1" t="s">
        <v>648</v>
      </c>
      <c r="N126" s="94" t="s">
        <v>124</v>
      </c>
      <c r="O126" s="94" t="s">
        <v>306</v>
      </c>
      <c r="P126" s="64" t="s">
        <v>649</v>
      </c>
      <c r="Y126" s="96" t="str">
        <f t="shared" si="146"/>
        <v>Unknown</v>
      </c>
      <c r="Z126" s="11" t="str">
        <f t="shared" si="189"/>
        <v/>
      </c>
      <c r="AA126" s="124" t="str">
        <f t="shared" si="190"/>
        <v/>
      </c>
      <c r="AB126" s="124" t="str">
        <f t="shared" si="191"/>
        <v/>
      </c>
    </row>
    <row r="127" spans="2:28" x14ac:dyDescent="0.25">
      <c r="B127" s="65">
        <v>41664</v>
      </c>
      <c r="C127" s="66">
        <v>41664</v>
      </c>
      <c r="D127" s="68">
        <f t="shared" si="249"/>
        <v>1</v>
      </c>
      <c r="E127" s="66" t="str">
        <f t="shared" si="250"/>
        <v>2014-Jan</v>
      </c>
      <c r="F127" s="68">
        <f t="shared" si="251"/>
        <v>1</v>
      </c>
      <c r="G127" s="94" t="s">
        <v>93</v>
      </c>
      <c r="H127" s="94" t="s">
        <v>280</v>
      </c>
      <c r="J127" s="94" t="s">
        <v>81</v>
      </c>
      <c r="K127" s="94" t="s">
        <v>82</v>
      </c>
      <c r="L127" s="94" t="s">
        <v>79</v>
      </c>
      <c r="M127" s="1" t="s">
        <v>650</v>
      </c>
      <c r="N127" s="95" t="s">
        <v>124</v>
      </c>
      <c r="O127" s="94" t="s">
        <v>285</v>
      </c>
      <c r="P127" s="64" t="s">
        <v>305</v>
      </c>
      <c r="Q127" s="2" t="s">
        <v>88</v>
      </c>
      <c r="R127" s="64" t="s">
        <v>584</v>
      </c>
      <c r="Y127" s="96" t="str">
        <f t="shared" si="146"/>
        <v>Obsolete</v>
      </c>
      <c r="Z127" s="11">
        <f t="shared" si="189"/>
        <v>41664</v>
      </c>
      <c r="AA127" s="124" t="str">
        <f t="shared" si="190"/>
        <v>2014 - 04</v>
      </c>
      <c r="AB127" s="124">
        <f t="shared" si="191"/>
        <v>2014</v>
      </c>
    </row>
    <row r="128" spans="2:28" x14ac:dyDescent="0.25">
      <c r="B128" s="65">
        <v>41664</v>
      </c>
      <c r="C128" s="66">
        <v>41664</v>
      </c>
      <c r="D128" s="68">
        <f t="shared" ref="D128:D129" si="252">IF(B128&gt;0,MONTH(B128),"False")</f>
        <v>1</v>
      </c>
      <c r="E128" s="66" t="str">
        <f t="shared" ref="E128:E129" si="253">YEAR(B128) &amp; CHOOSE(D128,"-Jan","-Feb","-Mar","-Apr","-May","-Jun","-Jul","-Aug","-Sep","-Oct","-Nov","-Dec")</f>
        <v>2014-Jan</v>
      </c>
      <c r="F128" s="68">
        <f t="shared" ref="F128:F129" si="254">IF(C128&gt;0,MONTH(C128),"False")</f>
        <v>1</v>
      </c>
      <c r="G128" s="96" t="s">
        <v>105</v>
      </c>
      <c r="H128" s="95" t="s">
        <v>280</v>
      </c>
      <c r="I128" s="95"/>
      <c r="J128" s="95" t="s">
        <v>81</v>
      </c>
      <c r="K128" s="95" t="s">
        <v>82</v>
      </c>
      <c r="L128" s="95" t="s">
        <v>79</v>
      </c>
      <c r="M128" s="1" t="s">
        <v>651</v>
      </c>
      <c r="N128" s="95" t="s">
        <v>124</v>
      </c>
      <c r="O128" s="95" t="s">
        <v>529</v>
      </c>
      <c r="P128" s="64" t="s">
        <v>305</v>
      </c>
      <c r="R128" s="64" t="s">
        <v>584</v>
      </c>
      <c r="S128" s="96" t="s">
        <v>104</v>
      </c>
      <c r="X128" s="96" t="s">
        <v>652</v>
      </c>
      <c r="Y128" s="96" t="str">
        <f t="shared" si="146"/>
        <v>Pass</v>
      </c>
      <c r="Z128" s="11" t="str">
        <f t="shared" si="189"/>
        <v/>
      </c>
      <c r="AA128" s="124" t="str">
        <f t="shared" si="190"/>
        <v/>
      </c>
      <c r="AB128" s="124" t="str">
        <f t="shared" si="191"/>
        <v/>
      </c>
    </row>
    <row r="129" spans="2:28" x14ac:dyDescent="0.25">
      <c r="B129" s="65">
        <v>41666</v>
      </c>
      <c r="C129" s="66">
        <v>41666</v>
      </c>
      <c r="D129" s="68">
        <f t="shared" si="252"/>
        <v>1</v>
      </c>
      <c r="E129" s="66" t="str">
        <f t="shared" si="253"/>
        <v>2014-Jan</v>
      </c>
      <c r="F129" s="68">
        <f t="shared" si="254"/>
        <v>1</v>
      </c>
      <c r="G129" s="96" t="s">
        <v>93</v>
      </c>
      <c r="H129" s="96" t="s">
        <v>280</v>
      </c>
      <c r="J129" s="96" t="s">
        <v>81</v>
      </c>
      <c r="K129" s="96" t="s">
        <v>82</v>
      </c>
      <c r="L129" s="96" t="s">
        <v>79</v>
      </c>
      <c r="M129" s="1" t="s">
        <v>653</v>
      </c>
      <c r="N129" s="96" t="s">
        <v>124</v>
      </c>
      <c r="O129" s="96" t="s">
        <v>285</v>
      </c>
      <c r="P129" s="64" t="s">
        <v>305</v>
      </c>
      <c r="R129" s="64" t="s">
        <v>584</v>
      </c>
      <c r="S129" s="291" t="s">
        <v>104</v>
      </c>
      <c r="Y129" s="96" t="str">
        <f t="shared" si="146"/>
        <v>Pass</v>
      </c>
      <c r="Z129" s="11" t="str">
        <f t="shared" si="189"/>
        <v/>
      </c>
      <c r="AA129" s="124" t="str">
        <f t="shared" si="190"/>
        <v/>
      </c>
      <c r="AB129" s="124" t="str">
        <f t="shared" si="191"/>
        <v/>
      </c>
    </row>
    <row r="130" spans="2:28" x14ac:dyDescent="0.25">
      <c r="B130" s="65">
        <v>41666</v>
      </c>
      <c r="C130" s="66">
        <v>41666</v>
      </c>
      <c r="D130" s="68">
        <f t="shared" ref="D130:D131" si="255">IF(B130&gt;0,MONTH(B130),"False")</f>
        <v>1</v>
      </c>
      <c r="E130" s="66" t="str">
        <f t="shared" ref="E130:E131" si="256">YEAR(B130) &amp; CHOOSE(D130,"-Jan","-Feb","-Mar","-Apr","-May","-Jun","-Jul","-Aug","-Sep","-Oct","-Nov","-Dec")</f>
        <v>2014-Jan</v>
      </c>
      <c r="F130" s="68">
        <f t="shared" ref="F130:F131" si="257">IF(C130&gt;0,MONTH(C130),"False")</f>
        <v>1</v>
      </c>
      <c r="G130" s="99" t="s">
        <v>121</v>
      </c>
      <c r="H130" s="96" t="s">
        <v>266</v>
      </c>
      <c r="J130" s="96" t="s">
        <v>275</v>
      </c>
      <c r="K130" s="96" t="s">
        <v>82</v>
      </c>
      <c r="L130" s="96" t="s">
        <v>79</v>
      </c>
      <c r="M130" s="1" t="s">
        <v>654</v>
      </c>
      <c r="N130" s="96" t="s">
        <v>124</v>
      </c>
      <c r="O130" s="96" t="s">
        <v>273</v>
      </c>
      <c r="P130" s="64" t="s">
        <v>600</v>
      </c>
      <c r="R130" s="64" t="s">
        <v>478</v>
      </c>
      <c r="S130" s="99" t="s">
        <v>104</v>
      </c>
      <c r="X130" s="99" t="s">
        <v>524</v>
      </c>
      <c r="Y130" s="96" t="str">
        <f t="shared" si="146"/>
        <v>Pass</v>
      </c>
      <c r="Z130" s="11" t="str">
        <f t="shared" si="189"/>
        <v/>
      </c>
      <c r="AA130" s="124" t="str">
        <f t="shared" si="190"/>
        <v/>
      </c>
      <c r="AB130" s="124" t="str">
        <f t="shared" si="191"/>
        <v/>
      </c>
    </row>
    <row r="131" spans="2:28" x14ac:dyDescent="0.25">
      <c r="B131" s="65">
        <v>41666</v>
      </c>
      <c r="C131" s="66">
        <v>41666</v>
      </c>
      <c r="D131" s="68">
        <f t="shared" si="255"/>
        <v>1</v>
      </c>
      <c r="E131" s="66" t="str">
        <f t="shared" si="256"/>
        <v>2014-Jan</v>
      </c>
      <c r="F131" s="68">
        <f t="shared" si="257"/>
        <v>1</v>
      </c>
      <c r="G131" s="96" t="s">
        <v>93</v>
      </c>
      <c r="H131" s="96" t="s">
        <v>280</v>
      </c>
      <c r="I131" s="96"/>
      <c r="J131" s="96" t="s">
        <v>81</v>
      </c>
      <c r="K131" s="96" t="s">
        <v>82</v>
      </c>
      <c r="L131" s="96" t="s">
        <v>79</v>
      </c>
      <c r="M131" s="1" t="s">
        <v>655</v>
      </c>
      <c r="N131" s="96" t="s">
        <v>124</v>
      </c>
      <c r="O131" s="96" t="s">
        <v>285</v>
      </c>
      <c r="P131" s="64" t="s">
        <v>305</v>
      </c>
      <c r="R131" s="64" t="s">
        <v>584</v>
      </c>
      <c r="Y131" s="96" t="str">
        <f t="shared" si="146"/>
        <v>Unknown</v>
      </c>
      <c r="Z131" s="11" t="str">
        <f t="shared" si="189"/>
        <v/>
      </c>
      <c r="AA131" s="124" t="str">
        <f t="shared" si="190"/>
        <v/>
      </c>
      <c r="AB131" s="124" t="str">
        <f t="shared" si="191"/>
        <v/>
      </c>
    </row>
    <row r="132" spans="2:28" x14ac:dyDescent="0.25">
      <c r="B132" s="65">
        <v>41666</v>
      </c>
      <c r="C132" s="66">
        <v>41666</v>
      </c>
      <c r="D132" s="68">
        <f t="shared" ref="D132" si="258">IF(B132&gt;0,MONTH(B132),"False")</f>
        <v>1</v>
      </c>
      <c r="E132" s="66" t="str">
        <f t="shared" ref="E132" si="259">YEAR(B132) &amp; CHOOSE(D132,"-Jan","-Feb","-Mar","-Apr","-May","-Jun","-Jul","-Aug","-Sep","-Oct","-Nov","-Dec")</f>
        <v>2014-Jan</v>
      </c>
      <c r="F132" s="68">
        <f t="shared" ref="F132" si="260">IF(C132&gt;0,MONTH(C132),"False")</f>
        <v>1</v>
      </c>
      <c r="G132" s="96" t="s">
        <v>93</v>
      </c>
      <c r="H132" s="96" t="s">
        <v>280</v>
      </c>
      <c r="I132" s="96"/>
      <c r="J132" s="96" t="s">
        <v>81</v>
      </c>
      <c r="K132" s="96" t="s">
        <v>82</v>
      </c>
      <c r="L132" s="96" t="s">
        <v>79</v>
      </c>
      <c r="M132" s="1" t="s">
        <v>656</v>
      </c>
      <c r="N132" s="96" t="s">
        <v>124</v>
      </c>
      <c r="O132" s="96" t="s">
        <v>285</v>
      </c>
      <c r="P132" s="64" t="s">
        <v>305</v>
      </c>
      <c r="R132" s="64" t="s">
        <v>584</v>
      </c>
      <c r="S132" s="291" t="s">
        <v>104</v>
      </c>
      <c r="Y132" s="96" t="str">
        <f t="shared" si="146"/>
        <v>Pass</v>
      </c>
      <c r="Z132" s="11" t="str">
        <f t="shared" si="189"/>
        <v/>
      </c>
      <c r="AA132" s="124" t="str">
        <f t="shared" si="190"/>
        <v/>
      </c>
      <c r="AB132" s="124" t="str">
        <f t="shared" si="191"/>
        <v/>
      </c>
    </row>
    <row r="133" spans="2:28" x14ac:dyDescent="0.25">
      <c r="B133" s="65">
        <v>41666</v>
      </c>
      <c r="C133" s="66">
        <v>41666</v>
      </c>
      <c r="D133" s="68">
        <f t="shared" ref="D133" si="261">IF(B133&gt;0,MONTH(B133),"False")</f>
        <v>1</v>
      </c>
      <c r="E133" s="66" t="str">
        <f t="shared" ref="E133" si="262">YEAR(B133) &amp; CHOOSE(D133,"-Jan","-Feb","-Mar","-Apr","-May","-Jun","-Jul","-Aug","-Sep","-Oct","-Nov","-Dec")</f>
        <v>2014-Jan</v>
      </c>
      <c r="F133" s="68">
        <f t="shared" ref="F133" si="263">IF(C133&gt;0,MONTH(C133),"False")</f>
        <v>1</v>
      </c>
      <c r="G133" s="100" t="s">
        <v>121</v>
      </c>
      <c r="H133" s="96" t="s">
        <v>166</v>
      </c>
      <c r="J133" s="96" t="s">
        <v>81</v>
      </c>
      <c r="K133" s="96" t="s">
        <v>82</v>
      </c>
      <c r="L133" s="96" t="s">
        <v>79</v>
      </c>
      <c r="M133" s="1" t="s">
        <v>657</v>
      </c>
      <c r="N133" s="96" t="s">
        <v>124</v>
      </c>
      <c r="O133" s="96" t="s">
        <v>125</v>
      </c>
      <c r="P133" s="64" t="s">
        <v>289</v>
      </c>
      <c r="R133" s="64" t="s">
        <v>290</v>
      </c>
      <c r="S133" s="100" t="s">
        <v>104</v>
      </c>
      <c r="X133" s="100" t="s">
        <v>652</v>
      </c>
      <c r="Y133" s="96" t="str">
        <f t="shared" si="146"/>
        <v>Pass</v>
      </c>
      <c r="Z133" s="11" t="str">
        <f t="shared" si="189"/>
        <v/>
      </c>
      <c r="AA133" s="124" t="str">
        <f t="shared" si="190"/>
        <v/>
      </c>
      <c r="AB133" s="124" t="str">
        <f t="shared" si="191"/>
        <v/>
      </c>
    </row>
    <row r="134" spans="2:28" x14ac:dyDescent="0.25">
      <c r="B134" s="66">
        <v>41666</v>
      </c>
      <c r="C134" s="66">
        <v>41666</v>
      </c>
      <c r="D134" s="68">
        <f t="shared" ref="D134" si="264">IF(B134&gt;0,MONTH(B134),"False")</f>
        <v>1</v>
      </c>
      <c r="E134" s="66" t="str">
        <f t="shared" ref="E134" si="265">YEAR(B134) &amp; CHOOSE(D134,"-Jan","-Feb","-Mar","-Apr","-May","-Jun","-Jul","-Aug","-Sep","-Oct","-Nov","-Dec")</f>
        <v>2014-Jan</v>
      </c>
      <c r="F134" s="68">
        <f t="shared" ref="F134" si="266">IF(C134&gt;0,MONTH(C134),"False")</f>
        <v>1</v>
      </c>
      <c r="G134" s="96" t="s">
        <v>87</v>
      </c>
      <c r="H134" s="96" t="s">
        <v>330</v>
      </c>
      <c r="J134" s="96" t="s">
        <v>78</v>
      </c>
      <c r="K134" s="96" t="s">
        <v>78</v>
      </c>
      <c r="L134" s="96" t="s">
        <v>79</v>
      </c>
      <c r="M134" s="1" t="s">
        <v>658</v>
      </c>
      <c r="N134" s="96" t="s">
        <v>124</v>
      </c>
      <c r="O134" s="96" t="s">
        <v>145</v>
      </c>
      <c r="R134" s="64" t="s">
        <v>339</v>
      </c>
      <c r="S134" s="223" t="s">
        <v>104</v>
      </c>
      <c r="Y134" s="96" t="str">
        <f t="shared" si="146"/>
        <v>Pass</v>
      </c>
      <c r="Z134" s="11" t="str">
        <f t="shared" si="189"/>
        <v/>
      </c>
      <c r="AA134" s="124" t="str">
        <f t="shared" si="190"/>
        <v/>
      </c>
      <c r="AB134" s="124" t="str">
        <f t="shared" si="191"/>
        <v/>
      </c>
    </row>
    <row r="135" spans="2:28" x14ac:dyDescent="0.25">
      <c r="B135" s="65">
        <v>41666</v>
      </c>
      <c r="C135" s="66">
        <v>41667</v>
      </c>
      <c r="D135" s="68">
        <f t="shared" ref="D135" si="267">IF(B135&gt;0,MONTH(B135),"False")</f>
        <v>1</v>
      </c>
      <c r="E135" s="66" t="str">
        <f t="shared" ref="E135" si="268">YEAR(B135) &amp; CHOOSE(D135,"-Jan","-Feb","-Mar","-Apr","-May","-Jun","-Jul","-Aug","-Sep","-Oct","-Nov","-Dec")</f>
        <v>2014-Jan</v>
      </c>
      <c r="F135" s="68">
        <f t="shared" ref="F135" si="269">IF(C135&gt;0,MONTH(C135),"False")</f>
        <v>1</v>
      </c>
      <c r="G135" s="97" t="s">
        <v>93</v>
      </c>
      <c r="H135" s="96" t="s">
        <v>280</v>
      </c>
      <c r="J135" s="96" t="s">
        <v>146</v>
      </c>
      <c r="K135" s="96" t="s">
        <v>82</v>
      </c>
      <c r="L135" s="96" t="s">
        <v>79</v>
      </c>
      <c r="M135" s="291" t="s">
        <v>659</v>
      </c>
      <c r="N135" s="96" t="s">
        <v>124</v>
      </c>
      <c r="O135" s="96" t="s">
        <v>285</v>
      </c>
      <c r="P135" s="64" t="s">
        <v>305</v>
      </c>
      <c r="R135" s="64" t="s">
        <v>482</v>
      </c>
      <c r="S135" s="291" t="s">
        <v>104</v>
      </c>
      <c r="Y135" s="96" t="str">
        <f t="shared" si="146"/>
        <v>Pass</v>
      </c>
      <c r="Z135" s="11" t="str">
        <f t="shared" si="189"/>
        <v/>
      </c>
      <c r="AA135" s="124" t="str">
        <f t="shared" si="190"/>
        <v/>
      </c>
      <c r="AB135" s="124" t="str">
        <f t="shared" si="191"/>
        <v/>
      </c>
    </row>
    <row r="136" spans="2:28" x14ac:dyDescent="0.25">
      <c r="B136" s="65">
        <v>41667</v>
      </c>
      <c r="C136" s="66">
        <v>41667</v>
      </c>
      <c r="D136" s="68">
        <f t="shared" ref="D136" si="270">IF(B136&gt;0,MONTH(B136),"False")</f>
        <v>1</v>
      </c>
      <c r="E136" s="66" t="str">
        <f t="shared" ref="E136" si="271">YEAR(B136) &amp; CHOOSE(D136,"-Jan","-Feb","-Mar","-Apr","-May","-Jun","-Jul","-Aug","-Sep","-Oct","-Nov","-Dec")</f>
        <v>2014-Jan</v>
      </c>
      <c r="F136" s="68">
        <f t="shared" ref="F136" si="272">IF(C136&gt;0,MONTH(C136),"False")</f>
        <v>1</v>
      </c>
      <c r="G136" s="99" t="s">
        <v>121</v>
      </c>
      <c r="H136" s="97" t="s">
        <v>266</v>
      </c>
      <c r="J136" s="97" t="s">
        <v>275</v>
      </c>
      <c r="K136" s="97" t="s">
        <v>82</v>
      </c>
      <c r="L136" s="97" t="s">
        <v>79</v>
      </c>
      <c r="M136" s="1" t="s">
        <v>660</v>
      </c>
      <c r="N136" s="97" t="s">
        <v>124</v>
      </c>
      <c r="O136" s="97" t="s">
        <v>273</v>
      </c>
      <c r="P136" s="64" t="s">
        <v>600</v>
      </c>
      <c r="R136" s="64" t="s">
        <v>478</v>
      </c>
      <c r="S136" s="99" t="s">
        <v>104</v>
      </c>
      <c r="X136" s="99" t="s">
        <v>524</v>
      </c>
      <c r="Y136" s="96" t="str">
        <f t="shared" si="146"/>
        <v>Pass</v>
      </c>
      <c r="Z136" s="11" t="str">
        <f t="shared" ref="Z136:Z176" si="273">IF(Q136="Obsolete-LQA",C136,IF(Q136="Obsolete-IT",B136,""))</f>
        <v/>
      </c>
      <c r="AA136" s="124" t="str">
        <f t="shared" ref="AA136:AA176" si="274">IFERROR(YEAR(Z136)&amp;" - "&amp; IF(LEN( WEEKNUM(Z136))=1,"0" &amp; WEEKNUM(Z136),WEEKNUM(Z136)),"")</f>
        <v/>
      </c>
      <c r="AB136" s="124" t="str">
        <f t="shared" ref="AB136:AB176" si="275">IFERROR(YEAR(Z136),"")</f>
        <v/>
      </c>
    </row>
    <row r="137" spans="2:28" x14ac:dyDescent="0.25">
      <c r="B137" s="65">
        <v>41667</v>
      </c>
      <c r="C137" s="66">
        <v>41667</v>
      </c>
      <c r="D137" s="68">
        <f t="shared" ref="D137" si="276">IF(B137&gt;0,MONTH(B137),"False")</f>
        <v>1</v>
      </c>
      <c r="E137" s="66" t="str">
        <f t="shared" ref="E137" si="277">YEAR(B137) &amp; CHOOSE(D137,"-Jan","-Feb","-Mar","-Apr","-May","-Jun","-Jul","-Aug","-Sep","-Oct","-Nov","-Dec")</f>
        <v>2014-Jan</v>
      </c>
      <c r="F137" s="68">
        <f t="shared" ref="F137" si="278">IF(C137&gt;0,MONTH(C137),"False")</f>
        <v>1</v>
      </c>
      <c r="G137" s="102" t="s">
        <v>121</v>
      </c>
      <c r="H137" s="97" t="s">
        <v>280</v>
      </c>
      <c r="J137" s="97" t="s">
        <v>81</v>
      </c>
      <c r="K137" s="97" t="s">
        <v>82</v>
      </c>
      <c r="L137" s="97" t="s">
        <v>79</v>
      </c>
      <c r="M137" s="1" t="s">
        <v>661</v>
      </c>
      <c r="N137" s="97" t="s">
        <v>124</v>
      </c>
      <c r="O137" s="97" t="s">
        <v>143</v>
      </c>
      <c r="P137" s="64" t="s">
        <v>305</v>
      </c>
      <c r="R137" s="64" t="s">
        <v>584</v>
      </c>
      <c r="S137" s="102" t="s">
        <v>104</v>
      </c>
      <c r="X137" s="102" t="s">
        <v>297</v>
      </c>
      <c r="Y137" s="96" t="str">
        <f t="shared" si="146"/>
        <v>Pass</v>
      </c>
      <c r="Z137" s="11" t="str">
        <f t="shared" si="273"/>
        <v/>
      </c>
      <c r="AA137" s="124" t="str">
        <f t="shared" si="274"/>
        <v/>
      </c>
      <c r="AB137" s="124" t="str">
        <f t="shared" si="275"/>
        <v/>
      </c>
    </row>
    <row r="138" spans="2:28" x14ac:dyDescent="0.25">
      <c r="B138" s="65">
        <v>41667</v>
      </c>
      <c r="C138" s="66">
        <v>41667</v>
      </c>
      <c r="D138" s="68">
        <f t="shared" ref="D138" si="279">IF(B138&gt;0,MONTH(B138),"False")</f>
        <v>1</v>
      </c>
      <c r="E138" s="66" t="str">
        <f t="shared" ref="E138" si="280">YEAR(B138) &amp; CHOOSE(D138,"-Jan","-Feb","-Mar","-Apr","-May","-Jun","-Jul","-Aug","-Sep","-Oct","-Nov","-Dec")</f>
        <v>2014-Jan</v>
      </c>
      <c r="F138" s="68">
        <f t="shared" ref="F138" si="281">IF(C138&gt;0,MONTH(C138),"False")</f>
        <v>1</v>
      </c>
      <c r="G138" s="104" t="s">
        <v>121</v>
      </c>
      <c r="H138" s="97" t="s">
        <v>348</v>
      </c>
      <c r="J138" s="97" t="s">
        <v>77</v>
      </c>
      <c r="K138" s="97" t="s">
        <v>82</v>
      </c>
      <c r="L138" s="97" t="s">
        <v>79</v>
      </c>
      <c r="M138" s="1" t="s">
        <v>662</v>
      </c>
      <c r="N138" s="97" t="s">
        <v>124</v>
      </c>
      <c r="O138" s="97" t="s">
        <v>343</v>
      </c>
      <c r="P138" s="64" t="s">
        <v>352</v>
      </c>
      <c r="R138" s="64" t="s">
        <v>626</v>
      </c>
      <c r="S138" s="104" t="s">
        <v>104</v>
      </c>
      <c r="X138" s="104" t="s">
        <v>259</v>
      </c>
      <c r="Y138" s="96" t="str">
        <f t="shared" si="146"/>
        <v>Pass</v>
      </c>
      <c r="Z138" s="11" t="str">
        <f t="shared" si="273"/>
        <v/>
      </c>
      <c r="AA138" s="124" t="str">
        <f t="shared" si="274"/>
        <v/>
      </c>
      <c r="AB138" s="124" t="str">
        <f t="shared" si="275"/>
        <v/>
      </c>
    </row>
    <row r="139" spans="2:28" x14ac:dyDescent="0.25">
      <c r="B139" s="66">
        <v>41667</v>
      </c>
      <c r="C139" s="66">
        <v>41667</v>
      </c>
      <c r="D139" s="68">
        <f t="shared" ref="D139" si="282">IF(B139&gt;0,MONTH(B139),"False")</f>
        <v>1</v>
      </c>
      <c r="E139" s="66" t="str">
        <f t="shared" ref="E139" si="283">YEAR(B139) &amp; CHOOSE(D139,"-Jan","-Feb","-Mar","-Apr","-May","-Jun","-Jul","-Aug","-Sep","-Oct","-Nov","-Dec")</f>
        <v>2014-Jan</v>
      </c>
      <c r="F139" s="68">
        <f t="shared" ref="F139" si="284">IF(C139&gt;0,MONTH(C139),"False")</f>
        <v>1</v>
      </c>
      <c r="G139" s="97" t="s">
        <v>87</v>
      </c>
      <c r="H139" s="97" t="s">
        <v>280</v>
      </c>
      <c r="J139" s="97" t="s">
        <v>78</v>
      </c>
      <c r="K139" s="97" t="s">
        <v>78</v>
      </c>
      <c r="L139" s="97" t="s">
        <v>79</v>
      </c>
      <c r="M139" s="1" t="s">
        <v>663</v>
      </c>
      <c r="N139" s="97" t="s">
        <v>124</v>
      </c>
      <c r="O139" s="97" t="s">
        <v>138</v>
      </c>
      <c r="R139" s="64" t="s">
        <v>344</v>
      </c>
      <c r="S139" s="291" t="s">
        <v>104</v>
      </c>
      <c r="Y139" s="96" t="str">
        <f t="shared" si="146"/>
        <v>Pass</v>
      </c>
      <c r="Z139" s="11" t="str">
        <f t="shared" si="273"/>
        <v/>
      </c>
      <c r="AA139" s="124" t="str">
        <f t="shared" si="274"/>
        <v/>
      </c>
      <c r="AB139" s="124" t="str">
        <f t="shared" si="275"/>
        <v/>
      </c>
    </row>
    <row r="140" spans="2:28" x14ac:dyDescent="0.25">
      <c r="B140" s="66">
        <v>41667</v>
      </c>
      <c r="C140" s="66">
        <v>41667</v>
      </c>
      <c r="D140" s="68">
        <f t="shared" ref="D140:D141" si="285">IF(B140&gt;0,MONTH(B140),"False")</f>
        <v>1</v>
      </c>
      <c r="E140" s="66" t="str">
        <f t="shared" ref="E140:E141" si="286">YEAR(B140) &amp; CHOOSE(D140,"-Jan","-Feb","-Mar","-Apr","-May","-Jun","-Jul","-Aug","-Sep","-Oct","-Nov","-Dec")</f>
        <v>2014-Jan</v>
      </c>
      <c r="F140" s="68">
        <f t="shared" ref="F140:F141" si="287">IF(C140&gt;0,MONTH(C140),"False")</f>
        <v>1</v>
      </c>
      <c r="G140" s="101" t="s">
        <v>112</v>
      </c>
      <c r="H140" s="97" t="s">
        <v>103</v>
      </c>
      <c r="J140" s="97" t="s">
        <v>149</v>
      </c>
      <c r="K140" s="97" t="s">
        <v>84</v>
      </c>
      <c r="L140" s="97" t="s">
        <v>79</v>
      </c>
      <c r="M140" s="1" t="s">
        <v>664</v>
      </c>
      <c r="N140" s="97" t="s">
        <v>124</v>
      </c>
      <c r="O140" s="97" t="s">
        <v>264</v>
      </c>
      <c r="R140" s="64" t="s">
        <v>357</v>
      </c>
      <c r="S140" s="101" t="s">
        <v>104</v>
      </c>
      <c r="X140" s="101" t="s">
        <v>472</v>
      </c>
      <c r="Y140" s="96" t="str">
        <f t="shared" ref="Y140:Y203" si="288">IF(Q140&gt;0,"Obsolete",IF(S140&gt;0,S140,"Unknown"))</f>
        <v>Pass</v>
      </c>
      <c r="Z140" s="11" t="str">
        <f t="shared" si="273"/>
        <v/>
      </c>
      <c r="AA140" s="124" t="str">
        <f t="shared" si="274"/>
        <v/>
      </c>
      <c r="AB140" s="124" t="str">
        <f t="shared" si="275"/>
        <v/>
      </c>
    </row>
    <row r="141" spans="2:28" x14ac:dyDescent="0.25">
      <c r="B141" s="65">
        <v>41667</v>
      </c>
      <c r="C141" s="66">
        <v>41667</v>
      </c>
      <c r="D141" s="68">
        <f t="shared" si="285"/>
        <v>1</v>
      </c>
      <c r="E141" s="66" t="str">
        <f t="shared" si="286"/>
        <v>2014-Jan</v>
      </c>
      <c r="F141" s="68">
        <f t="shared" si="287"/>
        <v>1</v>
      </c>
      <c r="G141" s="97" t="s">
        <v>93</v>
      </c>
      <c r="H141" s="97" t="s">
        <v>280</v>
      </c>
      <c r="J141" s="97" t="s">
        <v>81</v>
      </c>
      <c r="K141" s="97" t="s">
        <v>82</v>
      </c>
      <c r="L141" s="97" t="s">
        <v>79</v>
      </c>
      <c r="M141" s="1" t="s">
        <v>665</v>
      </c>
      <c r="N141" s="97" t="s">
        <v>124</v>
      </c>
      <c r="O141" s="97" t="s">
        <v>285</v>
      </c>
      <c r="P141" s="64" t="s">
        <v>305</v>
      </c>
      <c r="R141" s="64" t="s">
        <v>584</v>
      </c>
      <c r="S141" s="291" t="s">
        <v>104</v>
      </c>
      <c r="Y141" s="96" t="str">
        <f t="shared" si="288"/>
        <v>Pass</v>
      </c>
      <c r="Z141" s="11" t="str">
        <f t="shared" si="273"/>
        <v/>
      </c>
      <c r="AA141" s="124" t="str">
        <f t="shared" si="274"/>
        <v/>
      </c>
      <c r="AB141" s="124" t="str">
        <f t="shared" si="275"/>
        <v/>
      </c>
    </row>
    <row r="142" spans="2:28" x14ac:dyDescent="0.25">
      <c r="B142" s="65">
        <v>41667</v>
      </c>
      <c r="C142" s="66">
        <v>41667</v>
      </c>
      <c r="D142" s="68">
        <f t="shared" ref="D142" si="289">IF(B142&gt;0,MONTH(B142),"False")</f>
        <v>1</v>
      </c>
      <c r="E142" s="66" t="str">
        <f t="shared" ref="E142" si="290">YEAR(B142) &amp; CHOOSE(D142,"-Jan","-Feb","-Mar","-Apr","-May","-Jun","-Jul","-Aug","-Sep","-Oct","-Nov","-Dec")</f>
        <v>2014-Jan</v>
      </c>
      <c r="F142" s="68">
        <f t="shared" ref="F142" si="291">IF(C142&gt;0,MONTH(C142),"False")</f>
        <v>1</v>
      </c>
      <c r="G142" s="97" t="s">
        <v>93</v>
      </c>
      <c r="H142" s="97" t="s">
        <v>280</v>
      </c>
      <c r="I142" s="97"/>
      <c r="J142" s="97" t="s">
        <v>81</v>
      </c>
      <c r="K142" s="97" t="s">
        <v>82</v>
      </c>
      <c r="L142" s="97" t="s">
        <v>79</v>
      </c>
      <c r="M142" s="1" t="s">
        <v>666</v>
      </c>
      <c r="N142" s="97" t="s">
        <v>124</v>
      </c>
      <c r="O142" s="97" t="s">
        <v>285</v>
      </c>
      <c r="P142" s="64" t="s">
        <v>305</v>
      </c>
      <c r="R142" s="64" t="s">
        <v>584</v>
      </c>
      <c r="S142" s="291" t="s">
        <v>104</v>
      </c>
      <c r="Y142" s="96" t="str">
        <f t="shared" si="288"/>
        <v>Pass</v>
      </c>
      <c r="Z142" s="11" t="str">
        <f t="shared" si="273"/>
        <v/>
      </c>
      <c r="AA142" s="124" t="str">
        <f t="shared" si="274"/>
        <v/>
      </c>
      <c r="AB142" s="124" t="str">
        <f t="shared" si="275"/>
        <v/>
      </c>
    </row>
    <row r="143" spans="2:28" x14ac:dyDescent="0.25">
      <c r="B143" s="65">
        <v>41668</v>
      </c>
      <c r="D143" s="68">
        <f t="shared" ref="D143:D146" si="292">IF(B143&gt;0,MONTH(B143),"False")</f>
        <v>1</v>
      </c>
      <c r="E143" s="66" t="str">
        <f t="shared" ref="E143:E146" si="293">YEAR(B143) &amp; CHOOSE(D143,"-Jan","-Feb","-Mar","-Apr","-May","-Jun","-Jul","-Aug","-Sep","-Oct","-Nov","-Dec")</f>
        <v>2014-Jan</v>
      </c>
      <c r="F143" s="68" t="str">
        <f t="shared" ref="F143:F146" si="294">IF(C143&gt;0,MONTH(C143),"False")</f>
        <v>False</v>
      </c>
      <c r="G143" s="98" t="s">
        <v>75</v>
      </c>
      <c r="H143" s="98" t="s">
        <v>316</v>
      </c>
      <c r="J143" s="98" t="s">
        <v>77</v>
      </c>
      <c r="K143" s="98" t="s">
        <v>82</v>
      </c>
      <c r="L143" s="98" t="s">
        <v>79</v>
      </c>
      <c r="M143" s="1" t="s">
        <v>667</v>
      </c>
      <c r="N143" s="98" t="s">
        <v>124</v>
      </c>
      <c r="O143" s="98" t="s">
        <v>143</v>
      </c>
      <c r="P143" s="64" t="s">
        <v>340</v>
      </c>
      <c r="Q143" s="2" t="s">
        <v>88</v>
      </c>
      <c r="Y143" s="96" t="str">
        <f t="shared" si="288"/>
        <v>Obsolete</v>
      </c>
      <c r="Z143" s="11">
        <f t="shared" si="273"/>
        <v>0</v>
      </c>
      <c r="AA143" s="124" t="str">
        <f t="shared" si="274"/>
        <v>1900 - 00</v>
      </c>
      <c r="AB143" s="124">
        <f t="shared" si="275"/>
        <v>1900</v>
      </c>
    </row>
    <row r="144" spans="2:28" x14ac:dyDescent="0.25">
      <c r="B144" s="65">
        <v>41668</v>
      </c>
      <c r="C144" s="66">
        <v>41668</v>
      </c>
      <c r="D144" s="68">
        <f t="shared" si="292"/>
        <v>1</v>
      </c>
      <c r="E144" s="66" t="str">
        <f t="shared" si="293"/>
        <v>2014-Jan</v>
      </c>
      <c r="F144" s="68">
        <f t="shared" si="294"/>
        <v>1</v>
      </c>
      <c r="G144" s="98" t="s">
        <v>93</v>
      </c>
      <c r="H144" s="98" t="s">
        <v>266</v>
      </c>
      <c r="I144" s="98"/>
      <c r="J144" s="98" t="s">
        <v>275</v>
      </c>
      <c r="K144" s="98" t="s">
        <v>84</v>
      </c>
      <c r="L144" s="98" t="s">
        <v>83</v>
      </c>
      <c r="M144" s="1" t="s">
        <v>668</v>
      </c>
      <c r="N144" s="98" t="s">
        <v>124</v>
      </c>
      <c r="O144" s="98" t="s">
        <v>109</v>
      </c>
      <c r="P144" s="64" t="s">
        <v>563</v>
      </c>
      <c r="R144" s="64" t="s">
        <v>477</v>
      </c>
      <c r="Y144" s="96" t="str">
        <f t="shared" si="288"/>
        <v>Unknown</v>
      </c>
      <c r="Z144" s="11" t="str">
        <f t="shared" si="273"/>
        <v/>
      </c>
      <c r="AA144" s="124" t="str">
        <f t="shared" si="274"/>
        <v/>
      </c>
      <c r="AB144" s="124" t="str">
        <f t="shared" si="275"/>
        <v/>
      </c>
    </row>
    <row r="145" spans="2:28" x14ac:dyDescent="0.25">
      <c r="B145" s="65">
        <v>41668</v>
      </c>
      <c r="C145" s="66">
        <v>41668</v>
      </c>
      <c r="D145" s="68">
        <f t="shared" si="292"/>
        <v>1</v>
      </c>
      <c r="E145" s="66" t="str">
        <f t="shared" si="293"/>
        <v>2014-Jan</v>
      </c>
      <c r="F145" s="68">
        <f t="shared" si="294"/>
        <v>1</v>
      </c>
      <c r="G145" s="98" t="s">
        <v>93</v>
      </c>
      <c r="H145" s="98" t="s">
        <v>280</v>
      </c>
      <c r="I145" s="98"/>
      <c r="J145" s="98" t="s">
        <v>81</v>
      </c>
      <c r="K145" s="98" t="s">
        <v>82</v>
      </c>
      <c r="L145" s="98" t="s">
        <v>79</v>
      </c>
      <c r="M145" s="1" t="s">
        <v>669</v>
      </c>
      <c r="N145" s="98" t="s">
        <v>124</v>
      </c>
      <c r="O145" s="98" t="s">
        <v>285</v>
      </c>
      <c r="P145" s="64" t="s">
        <v>305</v>
      </c>
      <c r="Q145" s="2" t="s">
        <v>88</v>
      </c>
      <c r="R145" s="64" t="s">
        <v>584</v>
      </c>
      <c r="Y145" s="96" t="str">
        <f t="shared" si="288"/>
        <v>Obsolete</v>
      </c>
      <c r="Z145" s="11">
        <f t="shared" si="273"/>
        <v>41668</v>
      </c>
      <c r="AA145" s="124" t="str">
        <f t="shared" si="274"/>
        <v>2014 - 05</v>
      </c>
      <c r="AB145" s="124">
        <f t="shared" si="275"/>
        <v>2014</v>
      </c>
    </row>
    <row r="146" spans="2:28" x14ac:dyDescent="0.25">
      <c r="B146" s="65">
        <v>41668</v>
      </c>
      <c r="C146" s="66">
        <v>41668</v>
      </c>
      <c r="D146" s="68">
        <f t="shared" si="292"/>
        <v>1</v>
      </c>
      <c r="E146" s="66" t="str">
        <f t="shared" si="293"/>
        <v>2014-Jan</v>
      </c>
      <c r="F146" s="68">
        <f t="shared" si="294"/>
        <v>1</v>
      </c>
      <c r="G146" s="98" t="s">
        <v>93</v>
      </c>
      <c r="H146" s="98" t="s">
        <v>280</v>
      </c>
      <c r="I146" s="98"/>
      <c r="J146" s="98" t="s">
        <v>81</v>
      </c>
      <c r="K146" s="98" t="s">
        <v>82</v>
      </c>
      <c r="L146" s="98" t="s">
        <v>79</v>
      </c>
      <c r="M146" s="1" t="s">
        <v>671</v>
      </c>
      <c r="N146" s="98" t="s">
        <v>124</v>
      </c>
      <c r="O146" s="98" t="s">
        <v>285</v>
      </c>
      <c r="P146" s="64" t="s">
        <v>305</v>
      </c>
      <c r="R146" s="64" t="s">
        <v>584</v>
      </c>
      <c r="S146" s="291" t="s">
        <v>104</v>
      </c>
      <c r="Y146" s="96" t="str">
        <f t="shared" si="288"/>
        <v>Pass</v>
      </c>
      <c r="Z146" s="11" t="str">
        <f t="shared" si="273"/>
        <v/>
      </c>
      <c r="AA146" s="124" t="str">
        <f t="shared" si="274"/>
        <v/>
      </c>
      <c r="AB146" s="124" t="str">
        <f t="shared" si="275"/>
        <v/>
      </c>
    </row>
    <row r="147" spans="2:28" x14ac:dyDescent="0.25">
      <c r="B147" s="65">
        <v>41668</v>
      </c>
      <c r="C147" s="66">
        <v>41668</v>
      </c>
      <c r="D147" s="68">
        <f t="shared" ref="D147" si="295">IF(B147&gt;0,MONTH(B147),"False")</f>
        <v>1</v>
      </c>
      <c r="E147" s="66" t="str">
        <f t="shared" ref="E147" si="296">YEAR(B147) &amp; CHOOSE(D147,"-Jan","-Feb","-Mar","-Apr","-May","-Jun","-Jul","-Aug","-Sep","-Oct","-Nov","-Dec")</f>
        <v>2014-Jan</v>
      </c>
      <c r="F147" s="68">
        <f t="shared" ref="F147" si="297">IF(C147&gt;0,MONTH(C147),"False")</f>
        <v>1</v>
      </c>
      <c r="G147" s="98" t="s">
        <v>93</v>
      </c>
      <c r="H147" s="98" t="s">
        <v>136</v>
      </c>
      <c r="J147" s="98" t="s">
        <v>119</v>
      </c>
      <c r="K147" s="98" t="s">
        <v>119</v>
      </c>
      <c r="L147" s="98" t="s">
        <v>83</v>
      </c>
      <c r="M147" s="98" t="s">
        <v>672</v>
      </c>
      <c r="N147" s="98" t="s">
        <v>124</v>
      </c>
      <c r="O147" s="98" t="s">
        <v>507</v>
      </c>
      <c r="P147" s="64" t="s">
        <v>675</v>
      </c>
      <c r="Q147" s="2" t="s">
        <v>88</v>
      </c>
      <c r="R147" s="64" t="s">
        <v>676</v>
      </c>
      <c r="Y147" s="96" t="str">
        <f t="shared" si="288"/>
        <v>Obsolete</v>
      </c>
      <c r="Z147" s="11">
        <f t="shared" si="273"/>
        <v>41668</v>
      </c>
      <c r="AA147" s="124" t="str">
        <f t="shared" si="274"/>
        <v>2014 - 05</v>
      </c>
      <c r="AB147" s="124">
        <f t="shared" si="275"/>
        <v>2014</v>
      </c>
    </row>
    <row r="148" spans="2:28" x14ac:dyDescent="0.25">
      <c r="B148" s="65">
        <v>41668</v>
      </c>
      <c r="C148" s="66">
        <v>41668</v>
      </c>
      <c r="D148" s="68">
        <f t="shared" ref="D148:D150" si="298">IF(B148&gt;0,MONTH(B148),"False")</f>
        <v>1</v>
      </c>
      <c r="E148" s="66" t="str">
        <f t="shared" ref="E148:E150" si="299">YEAR(B148) &amp; CHOOSE(D148,"-Jan","-Feb","-Mar","-Apr","-May","-Jun","-Jul","-Aug","-Sep","-Oct","-Nov","-Dec")</f>
        <v>2014-Jan</v>
      </c>
      <c r="F148" s="68">
        <f t="shared" ref="F148:F150" si="300">IF(C148&gt;0,MONTH(C148),"False")</f>
        <v>1</v>
      </c>
      <c r="G148" s="98" t="s">
        <v>93</v>
      </c>
      <c r="H148" s="98" t="s">
        <v>136</v>
      </c>
      <c r="I148" s="98"/>
      <c r="J148" s="98" t="s">
        <v>119</v>
      </c>
      <c r="K148" s="98" t="s">
        <v>119</v>
      </c>
      <c r="L148" s="98" t="s">
        <v>83</v>
      </c>
      <c r="M148" s="98" t="s">
        <v>673</v>
      </c>
      <c r="N148" s="98" t="s">
        <v>124</v>
      </c>
      <c r="O148" s="98" t="s">
        <v>507</v>
      </c>
      <c r="P148" s="64" t="s">
        <v>675</v>
      </c>
      <c r="Q148" s="2" t="s">
        <v>88</v>
      </c>
      <c r="R148" s="64" t="s">
        <v>676</v>
      </c>
      <c r="S148" s="98"/>
      <c r="T148" s="67"/>
      <c r="U148" s="98"/>
      <c r="V148" s="98"/>
      <c r="W148" s="98"/>
      <c r="X148" s="98"/>
      <c r="Y148" s="96" t="str">
        <f t="shared" si="288"/>
        <v>Obsolete</v>
      </c>
      <c r="Z148" s="11">
        <f t="shared" si="273"/>
        <v>41668</v>
      </c>
      <c r="AA148" s="124" t="str">
        <f t="shared" si="274"/>
        <v>2014 - 05</v>
      </c>
      <c r="AB148" s="124">
        <f t="shared" si="275"/>
        <v>2014</v>
      </c>
    </row>
    <row r="149" spans="2:28" x14ac:dyDescent="0.25">
      <c r="B149" s="65">
        <v>41668</v>
      </c>
      <c r="C149" s="66">
        <v>41668</v>
      </c>
      <c r="D149" s="68">
        <f t="shared" si="298"/>
        <v>1</v>
      </c>
      <c r="E149" s="66" t="str">
        <f t="shared" si="299"/>
        <v>2014-Jan</v>
      </c>
      <c r="F149" s="68">
        <f t="shared" si="300"/>
        <v>1</v>
      </c>
      <c r="G149" s="98" t="s">
        <v>93</v>
      </c>
      <c r="H149" s="98" t="s">
        <v>136</v>
      </c>
      <c r="I149" s="98"/>
      <c r="J149" s="98" t="s">
        <v>119</v>
      </c>
      <c r="K149" s="98" t="s">
        <v>119</v>
      </c>
      <c r="L149" s="98" t="s">
        <v>83</v>
      </c>
      <c r="M149" s="98" t="s">
        <v>674</v>
      </c>
      <c r="N149" s="98" t="s">
        <v>124</v>
      </c>
      <c r="O149" s="98" t="s">
        <v>507</v>
      </c>
      <c r="P149" s="64" t="s">
        <v>675</v>
      </c>
      <c r="Q149" s="2" t="s">
        <v>88</v>
      </c>
      <c r="R149" s="64" t="s">
        <v>676</v>
      </c>
      <c r="S149" s="98"/>
      <c r="T149" s="67"/>
      <c r="U149" s="98"/>
      <c r="V149" s="98"/>
      <c r="W149" s="98"/>
      <c r="X149" s="98"/>
      <c r="Y149" s="96" t="str">
        <f t="shared" si="288"/>
        <v>Obsolete</v>
      </c>
      <c r="Z149" s="11">
        <f t="shared" si="273"/>
        <v>41668</v>
      </c>
      <c r="AA149" s="124" t="str">
        <f t="shared" si="274"/>
        <v>2014 - 05</v>
      </c>
      <c r="AB149" s="124">
        <f t="shared" si="275"/>
        <v>2014</v>
      </c>
    </row>
    <row r="150" spans="2:28" x14ac:dyDescent="0.25">
      <c r="B150" s="66">
        <v>41668</v>
      </c>
      <c r="C150" s="66">
        <v>41668</v>
      </c>
      <c r="D150" s="68">
        <f t="shared" si="298"/>
        <v>1</v>
      </c>
      <c r="E150" s="66" t="str">
        <f t="shared" si="299"/>
        <v>2014-Jan</v>
      </c>
      <c r="F150" s="68">
        <f t="shared" si="300"/>
        <v>1</v>
      </c>
      <c r="G150" s="174" t="s">
        <v>126</v>
      </c>
      <c r="H150" s="98" t="s">
        <v>280</v>
      </c>
      <c r="I150" s="98"/>
      <c r="J150" s="98" t="s">
        <v>78</v>
      </c>
      <c r="K150" s="98" t="s">
        <v>78</v>
      </c>
      <c r="L150" s="98" t="s">
        <v>79</v>
      </c>
      <c r="M150" s="1" t="s">
        <v>677</v>
      </c>
      <c r="N150" s="98" t="s">
        <v>124</v>
      </c>
      <c r="O150" s="98" t="s">
        <v>138</v>
      </c>
      <c r="P150" s="98"/>
      <c r="R150" s="64" t="s">
        <v>344</v>
      </c>
      <c r="S150" s="174" t="s">
        <v>104</v>
      </c>
      <c r="T150" s="67" t="s">
        <v>110</v>
      </c>
      <c r="X150" s="174" t="s">
        <v>544</v>
      </c>
      <c r="Y150" s="96" t="str">
        <f t="shared" si="288"/>
        <v>Pass</v>
      </c>
      <c r="Z150" s="11" t="str">
        <f t="shared" si="273"/>
        <v/>
      </c>
      <c r="AA150" s="124" t="str">
        <f t="shared" si="274"/>
        <v/>
      </c>
      <c r="AB150" s="124" t="str">
        <f t="shared" si="275"/>
        <v/>
      </c>
    </row>
    <row r="151" spans="2:28" x14ac:dyDescent="0.25">
      <c r="B151" s="66">
        <v>41668</v>
      </c>
      <c r="C151" s="66">
        <v>41668</v>
      </c>
      <c r="D151" s="68">
        <f t="shared" ref="D151:D156" si="301">IF(B151&gt;0,MONTH(B151),"False")</f>
        <v>1</v>
      </c>
      <c r="E151" s="66" t="str">
        <f t="shared" ref="E151:E156" si="302">YEAR(B151) &amp; CHOOSE(D151,"-Jan","-Feb","-Mar","-Apr","-May","-Jun","-Jul","-Aug","-Sep","-Oct","-Nov","-Dec")</f>
        <v>2014-Jan</v>
      </c>
      <c r="F151" s="68">
        <f t="shared" ref="F151:F156" si="303">IF(C151&gt;0,MONTH(C151),"False")</f>
        <v>1</v>
      </c>
      <c r="G151" s="104" t="s">
        <v>112</v>
      </c>
      <c r="H151" s="98" t="s">
        <v>348</v>
      </c>
      <c r="J151" s="98" t="s">
        <v>149</v>
      </c>
      <c r="K151" s="98" t="s">
        <v>84</v>
      </c>
      <c r="L151" s="98" t="s">
        <v>79</v>
      </c>
      <c r="M151" s="1" t="s">
        <v>678</v>
      </c>
      <c r="N151" s="98" t="s">
        <v>124</v>
      </c>
      <c r="O151" s="98" t="s">
        <v>299</v>
      </c>
      <c r="R151" s="64" t="s">
        <v>679</v>
      </c>
      <c r="S151" s="104" t="s">
        <v>104</v>
      </c>
      <c r="T151" s="67" t="s">
        <v>110</v>
      </c>
      <c r="X151" s="104" t="s">
        <v>259</v>
      </c>
      <c r="Y151" s="96" t="str">
        <f t="shared" si="288"/>
        <v>Pass</v>
      </c>
      <c r="Z151" s="11" t="str">
        <f t="shared" si="273"/>
        <v/>
      </c>
      <c r="AA151" s="124" t="str">
        <f t="shared" si="274"/>
        <v/>
      </c>
      <c r="AB151" s="124" t="str">
        <f t="shared" si="275"/>
        <v/>
      </c>
    </row>
    <row r="152" spans="2:28" x14ac:dyDescent="0.25">
      <c r="B152" s="65">
        <v>41669</v>
      </c>
      <c r="C152" s="66">
        <v>41669</v>
      </c>
      <c r="D152" s="68">
        <f t="shared" si="301"/>
        <v>1</v>
      </c>
      <c r="E152" s="66" t="str">
        <f t="shared" si="302"/>
        <v>2014-Jan</v>
      </c>
      <c r="F152" s="68">
        <f t="shared" si="303"/>
        <v>1</v>
      </c>
      <c r="G152" s="107" t="s">
        <v>105</v>
      </c>
      <c r="H152" s="99" t="s">
        <v>280</v>
      </c>
      <c r="J152" s="99" t="s">
        <v>81</v>
      </c>
      <c r="K152" s="99" t="s">
        <v>82</v>
      </c>
      <c r="L152" s="99" t="s">
        <v>79</v>
      </c>
      <c r="M152" s="1" t="s">
        <v>680</v>
      </c>
      <c r="N152" s="99" t="s">
        <v>124</v>
      </c>
      <c r="O152" s="99" t="s">
        <v>285</v>
      </c>
      <c r="P152" s="64" t="s">
        <v>305</v>
      </c>
      <c r="R152" s="64" t="s">
        <v>584</v>
      </c>
      <c r="S152" s="107" t="s">
        <v>104</v>
      </c>
      <c r="X152" s="107" t="s">
        <v>544</v>
      </c>
      <c r="Y152" s="96" t="str">
        <f t="shared" si="288"/>
        <v>Pass</v>
      </c>
      <c r="Z152" s="11" t="str">
        <f t="shared" si="273"/>
        <v/>
      </c>
      <c r="AA152" s="124" t="str">
        <f t="shared" si="274"/>
        <v/>
      </c>
      <c r="AB152" s="124" t="str">
        <f t="shared" si="275"/>
        <v/>
      </c>
    </row>
    <row r="153" spans="2:28" x14ac:dyDescent="0.25">
      <c r="B153" s="66">
        <v>41669</v>
      </c>
      <c r="C153" s="66">
        <v>41669</v>
      </c>
      <c r="D153" s="68">
        <f t="shared" si="301"/>
        <v>1</v>
      </c>
      <c r="E153" s="66" t="str">
        <f t="shared" si="302"/>
        <v>2014-Jan</v>
      </c>
      <c r="F153" s="68">
        <f t="shared" si="303"/>
        <v>1</v>
      </c>
      <c r="G153" s="174" t="s">
        <v>126</v>
      </c>
      <c r="H153" s="99" t="s">
        <v>280</v>
      </c>
      <c r="I153" s="99"/>
      <c r="J153" s="99" t="s">
        <v>78</v>
      </c>
      <c r="K153" s="99" t="s">
        <v>78</v>
      </c>
      <c r="L153" s="99" t="s">
        <v>79</v>
      </c>
      <c r="M153" s="1" t="s">
        <v>681</v>
      </c>
      <c r="N153" s="99" t="s">
        <v>124</v>
      </c>
      <c r="O153" s="99" t="s">
        <v>138</v>
      </c>
      <c r="P153" s="99"/>
      <c r="R153" s="64" t="s">
        <v>344</v>
      </c>
      <c r="S153" s="174" t="s">
        <v>104</v>
      </c>
      <c r="X153" s="174" t="s">
        <v>544</v>
      </c>
      <c r="Y153" s="96" t="str">
        <f t="shared" si="288"/>
        <v>Pass</v>
      </c>
      <c r="Z153" s="11" t="str">
        <f t="shared" si="273"/>
        <v/>
      </c>
      <c r="AA153" s="124" t="str">
        <f t="shared" si="274"/>
        <v/>
      </c>
      <c r="AB153" s="124" t="str">
        <f t="shared" si="275"/>
        <v/>
      </c>
    </row>
    <row r="154" spans="2:28" x14ac:dyDescent="0.25">
      <c r="B154" s="65">
        <v>41669</v>
      </c>
      <c r="C154" s="66">
        <v>41669</v>
      </c>
      <c r="D154" s="68">
        <f t="shared" si="301"/>
        <v>1</v>
      </c>
      <c r="E154" s="66" t="str">
        <f t="shared" si="302"/>
        <v>2014-Jan</v>
      </c>
      <c r="F154" s="68">
        <f t="shared" si="303"/>
        <v>1</v>
      </c>
      <c r="G154" s="99" t="s">
        <v>127</v>
      </c>
      <c r="H154" s="99" t="s">
        <v>28</v>
      </c>
      <c r="I154" s="99"/>
      <c r="J154" s="99" t="s">
        <v>77</v>
      </c>
      <c r="K154" s="99" t="s">
        <v>82</v>
      </c>
      <c r="L154" s="99" t="s">
        <v>79</v>
      </c>
      <c r="M154" s="1" t="s">
        <v>682</v>
      </c>
      <c r="N154" s="99" t="s">
        <v>124</v>
      </c>
      <c r="O154" s="99" t="s">
        <v>142</v>
      </c>
      <c r="P154" s="64" t="s">
        <v>334</v>
      </c>
      <c r="R154" s="64" t="s">
        <v>335</v>
      </c>
      <c r="S154" s="101" t="s">
        <v>104</v>
      </c>
      <c r="X154" s="101" t="s">
        <v>153</v>
      </c>
      <c r="Y154" s="96" t="str">
        <f t="shared" si="288"/>
        <v>Pass</v>
      </c>
      <c r="Z154" s="11" t="str">
        <f t="shared" si="273"/>
        <v/>
      </c>
      <c r="AA154" s="124" t="str">
        <f t="shared" si="274"/>
        <v/>
      </c>
      <c r="AB154" s="124" t="str">
        <f t="shared" si="275"/>
        <v/>
      </c>
    </row>
    <row r="155" spans="2:28" x14ac:dyDescent="0.25">
      <c r="B155" s="66">
        <v>41669</v>
      </c>
      <c r="C155" s="66">
        <v>41669</v>
      </c>
      <c r="D155" s="68">
        <f t="shared" si="301"/>
        <v>1</v>
      </c>
      <c r="E155" s="66" t="str">
        <f t="shared" si="302"/>
        <v>2014-Jan</v>
      </c>
      <c r="F155" s="68">
        <f t="shared" si="303"/>
        <v>1</v>
      </c>
      <c r="G155" s="107" t="s">
        <v>126</v>
      </c>
      <c r="H155" s="99" t="s">
        <v>280</v>
      </c>
      <c r="I155" s="99"/>
      <c r="J155" s="99" t="s">
        <v>78</v>
      </c>
      <c r="K155" s="99" t="s">
        <v>78</v>
      </c>
      <c r="L155" s="99" t="s">
        <v>79</v>
      </c>
      <c r="M155" s="1" t="s">
        <v>683</v>
      </c>
      <c r="N155" s="99" t="s">
        <v>124</v>
      </c>
      <c r="O155" s="99" t="s">
        <v>138</v>
      </c>
      <c r="P155" s="99"/>
      <c r="R155" s="64" t="s">
        <v>344</v>
      </c>
      <c r="S155" s="107" t="s">
        <v>104</v>
      </c>
      <c r="X155" s="107" t="s">
        <v>544</v>
      </c>
      <c r="Y155" s="96" t="str">
        <f t="shared" si="288"/>
        <v>Pass</v>
      </c>
      <c r="Z155" s="11" t="str">
        <f t="shared" si="273"/>
        <v/>
      </c>
      <c r="AA155" s="124" t="str">
        <f t="shared" si="274"/>
        <v/>
      </c>
      <c r="AB155" s="124" t="str">
        <f t="shared" si="275"/>
        <v/>
      </c>
    </row>
    <row r="156" spans="2:28" x14ac:dyDescent="0.25">
      <c r="B156" s="65">
        <v>41669</v>
      </c>
      <c r="C156" s="66">
        <v>41669</v>
      </c>
      <c r="D156" s="68">
        <f t="shared" si="301"/>
        <v>1</v>
      </c>
      <c r="E156" s="66" t="str">
        <f t="shared" si="302"/>
        <v>2014-Jan</v>
      </c>
      <c r="F156" s="68">
        <f t="shared" si="303"/>
        <v>1</v>
      </c>
      <c r="G156" s="99" t="s">
        <v>93</v>
      </c>
      <c r="H156" s="99" t="s">
        <v>280</v>
      </c>
      <c r="I156" s="99"/>
      <c r="J156" s="99" t="s">
        <v>81</v>
      </c>
      <c r="K156" s="99" t="s">
        <v>82</v>
      </c>
      <c r="L156" s="99" t="s">
        <v>79</v>
      </c>
      <c r="M156" s="1" t="s">
        <v>684</v>
      </c>
      <c r="N156" s="99" t="s">
        <v>124</v>
      </c>
      <c r="O156" s="99" t="s">
        <v>285</v>
      </c>
      <c r="P156" s="64" t="s">
        <v>305</v>
      </c>
      <c r="R156" s="64" t="s">
        <v>584</v>
      </c>
      <c r="S156" s="291" t="s">
        <v>104</v>
      </c>
      <c r="Y156" s="96" t="str">
        <f t="shared" si="288"/>
        <v>Pass</v>
      </c>
      <c r="Z156" s="11" t="str">
        <f t="shared" si="273"/>
        <v/>
      </c>
      <c r="AA156" s="124" t="str">
        <f t="shared" si="274"/>
        <v/>
      </c>
      <c r="AB156" s="124" t="str">
        <f t="shared" si="275"/>
        <v/>
      </c>
    </row>
    <row r="157" spans="2:28" x14ac:dyDescent="0.25">
      <c r="B157" s="66">
        <v>41670</v>
      </c>
      <c r="C157" s="66">
        <v>41670</v>
      </c>
      <c r="D157" s="68">
        <f t="shared" ref="D157" si="304">IF(B157&gt;0,MONTH(B157),"False")</f>
        <v>1</v>
      </c>
      <c r="E157" s="66" t="str">
        <f t="shared" ref="E157" si="305">YEAR(B157) &amp; CHOOSE(D157,"-Jan","-Feb","-Mar","-Apr","-May","-Jun","-Jul","-Aug","-Sep","-Oct","-Nov","-Dec")</f>
        <v>2014-Jan</v>
      </c>
      <c r="F157" s="68">
        <f t="shared" ref="F157" si="306">IF(C157&gt;0,MONTH(C157),"False")</f>
        <v>1</v>
      </c>
      <c r="G157" s="100" t="s">
        <v>87</v>
      </c>
      <c r="H157" s="100" t="s">
        <v>136</v>
      </c>
      <c r="J157" s="100" t="s">
        <v>78</v>
      </c>
      <c r="K157" s="100" t="s">
        <v>78</v>
      </c>
      <c r="L157" s="100" t="s">
        <v>83</v>
      </c>
      <c r="M157" s="1" t="s">
        <v>685</v>
      </c>
      <c r="N157" s="100" t="s">
        <v>124</v>
      </c>
      <c r="O157" s="100" t="s">
        <v>324</v>
      </c>
      <c r="Q157" s="2" t="s">
        <v>88</v>
      </c>
      <c r="R157" s="64" t="s">
        <v>686</v>
      </c>
      <c r="Y157" s="104" t="str">
        <f t="shared" si="288"/>
        <v>Obsolete</v>
      </c>
      <c r="Z157" s="11">
        <f t="shared" si="273"/>
        <v>41670</v>
      </c>
      <c r="AA157" s="124" t="str">
        <f t="shared" si="274"/>
        <v>2014 - 05</v>
      </c>
      <c r="AB157" s="124">
        <f t="shared" si="275"/>
        <v>2014</v>
      </c>
    </row>
    <row r="158" spans="2:28" x14ac:dyDescent="0.25">
      <c r="B158" s="65">
        <v>41670</v>
      </c>
      <c r="C158" s="66">
        <v>41680</v>
      </c>
      <c r="D158" s="68">
        <f t="shared" ref="D158:D159" si="307">IF(B158&gt;0,MONTH(B158),"False")</f>
        <v>1</v>
      </c>
      <c r="E158" s="66" t="str">
        <f t="shared" ref="E158:E159" si="308">YEAR(B158) &amp; CHOOSE(D158,"-Jan","-Feb","-Mar","-Apr","-May","-Jun","-Jul","-Aug","-Sep","-Oct","-Nov","-Dec")</f>
        <v>2014-Jan</v>
      </c>
      <c r="F158" s="68">
        <f t="shared" ref="F158:F159" si="309">IF(C158&gt;0,MONTH(C158),"False")</f>
        <v>2</v>
      </c>
      <c r="G158" s="106" t="s">
        <v>93</v>
      </c>
      <c r="H158" s="100" t="s">
        <v>280</v>
      </c>
      <c r="J158" s="100" t="s">
        <v>81</v>
      </c>
      <c r="K158" s="100" t="s">
        <v>82</v>
      </c>
      <c r="L158" s="100" t="s">
        <v>79</v>
      </c>
      <c r="M158" s="1" t="s">
        <v>687</v>
      </c>
      <c r="N158" s="100" t="s">
        <v>124</v>
      </c>
      <c r="O158" s="100" t="s">
        <v>285</v>
      </c>
      <c r="P158" s="64" t="s">
        <v>305</v>
      </c>
      <c r="Q158" s="2" t="s">
        <v>88</v>
      </c>
      <c r="R158" s="64" t="s">
        <v>584</v>
      </c>
      <c r="Y158" s="104" t="str">
        <f t="shared" si="288"/>
        <v>Obsolete</v>
      </c>
      <c r="Z158" s="11">
        <f t="shared" si="273"/>
        <v>41680</v>
      </c>
      <c r="AA158" s="124" t="str">
        <f t="shared" si="274"/>
        <v>2014 - 07</v>
      </c>
      <c r="AB158" s="124">
        <f t="shared" si="275"/>
        <v>2014</v>
      </c>
    </row>
    <row r="159" spans="2:28" x14ac:dyDescent="0.25">
      <c r="B159" s="65">
        <v>41673</v>
      </c>
      <c r="C159" s="66">
        <v>41673</v>
      </c>
      <c r="D159" s="68">
        <f t="shared" si="307"/>
        <v>2</v>
      </c>
      <c r="E159" s="66" t="str">
        <f t="shared" si="308"/>
        <v>2014-Feb</v>
      </c>
      <c r="F159" s="68">
        <f t="shared" si="309"/>
        <v>2</v>
      </c>
      <c r="G159" s="174" t="s">
        <v>105</v>
      </c>
      <c r="H159" s="101" t="s">
        <v>280</v>
      </c>
      <c r="J159" s="101" t="s">
        <v>146</v>
      </c>
      <c r="K159" s="101" t="s">
        <v>82</v>
      </c>
      <c r="L159" s="101" t="s">
        <v>79</v>
      </c>
      <c r="M159" s="1" t="s">
        <v>688</v>
      </c>
      <c r="N159" s="101" t="s">
        <v>124</v>
      </c>
      <c r="O159" s="101" t="s">
        <v>285</v>
      </c>
      <c r="P159" s="64" t="s">
        <v>305</v>
      </c>
      <c r="R159" s="64" t="s">
        <v>584</v>
      </c>
      <c r="S159" s="174" t="s">
        <v>104</v>
      </c>
      <c r="X159" s="174" t="s">
        <v>544</v>
      </c>
      <c r="Y159" s="104" t="str">
        <f t="shared" si="288"/>
        <v>Pass</v>
      </c>
      <c r="Z159" s="11" t="str">
        <f t="shared" si="273"/>
        <v/>
      </c>
      <c r="AA159" s="124" t="str">
        <f t="shared" si="274"/>
        <v/>
      </c>
      <c r="AB159" s="124" t="str">
        <f t="shared" si="275"/>
        <v/>
      </c>
    </row>
    <row r="160" spans="2:28" x14ac:dyDescent="0.25">
      <c r="B160" s="66">
        <v>41673</v>
      </c>
      <c r="C160" s="66">
        <v>41673</v>
      </c>
      <c r="D160" s="68">
        <f t="shared" ref="D160" si="310">IF(B160&gt;0,MONTH(B160),"False")</f>
        <v>2</v>
      </c>
      <c r="E160" s="66" t="str">
        <f t="shared" ref="E160" si="311">YEAR(B160) &amp; CHOOSE(D160,"-Jan","-Feb","-Mar","-Apr","-May","-Jun","-Jul","-Aug","-Sep","-Oct","-Nov","-Dec")</f>
        <v>2014-Feb</v>
      </c>
      <c r="F160" s="68">
        <f t="shared" ref="F160" si="312">IF(C160&gt;0,MONTH(C160),"False")</f>
        <v>2</v>
      </c>
      <c r="G160" s="101" t="s">
        <v>87</v>
      </c>
      <c r="H160" s="101" t="s">
        <v>166</v>
      </c>
      <c r="J160" s="101" t="s">
        <v>98</v>
      </c>
      <c r="K160" s="101" t="s">
        <v>84</v>
      </c>
      <c r="L160" s="101" t="s">
        <v>83</v>
      </c>
      <c r="M160" s="1" t="s">
        <v>689</v>
      </c>
      <c r="N160" s="101" t="s">
        <v>124</v>
      </c>
      <c r="O160" s="101" t="s">
        <v>152</v>
      </c>
      <c r="R160" s="64" t="s">
        <v>690</v>
      </c>
      <c r="Y160" s="104" t="str">
        <f t="shared" si="288"/>
        <v>Unknown</v>
      </c>
      <c r="Z160" s="11" t="str">
        <f t="shared" si="273"/>
        <v/>
      </c>
      <c r="AA160" s="124" t="str">
        <f t="shared" si="274"/>
        <v/>
      </c>
      <c r="AB160" s="124" t="str">
        <f t="shared" si="275"/>
        <v/>
      </c>
    </row>
    <row r="161" spans="2:28" x14ac:dyDescent="0.25">
      <c r="B161" s="65">
        <v>41673</v>
      </c>
      <c r="C161" s="66">
        <v>41675</v>
      </c>
      <c r="D161" s="68">
        <f t="shared" ref="D161" si="313">IF(B161&gt;0,MONTH(B161),"False")</f>
        <v>2</v>
      </c>
      <c r="E161" s="66" t="str">
        <f t="shared" ref="E161" si="314">YEAR(B161) &amp; CHOOSE(D161,"-Jan","-Feb","-Mar","-Apr","-May","-Jun","-Jul","-Aug","-Sep","-Oct","-Nov","-Dec")</f>
        <v>2014-Feb</v>
      </c>
      <c r="F161" s="68">
        <f t="shared" ref="F161" si="315">IF(C161&gt;0,MONTH(C161),"False")</f>
        <v>2</v>
      </c>
      <c r="G161" s="153" t="s">
        <v>105</v>
      </c>
      <c r="H161" s="101" t="s">
        <v>166</v>
      </c>
      <c r="J161" s="101" t="s">
        <v>146</v>
      </c>
      <c r="K161" s="101" t="s">
        <v>82</v>
      </c>
      <c r="L161" s="101" t="s">
        <v>79</v>
      </c>
      <c r="M161" s="1" t="s">
        <v>691</v>
      </c>
      <c r="N161" s="101" t="s">
        <v>124</v>
      </c>
      <c r="O161" s="101" t="s">
        <v>302</v>
      </c>
      <c r="P161" s="64" t="s">
        <v>282</v>
      </c>
      <c r="R161" s="64" t="s">
        <v>698</v>
      </c>
      <c r="S161" s="153" t="s">
        <v>104</v>
      </c>
      <c r="X161" s="153" t="s">
        <v>544</v>
      </c>
      <c r="Y161" s="104" t="str">
        <f t="shared" si="288"/>
        <v>Pass</v>
      </c>
      <c r="Z161" s="11" t="str">
        <f t="shared" si="273"/>
        <v/>
      </c>
      <c r="AA161" s="124" t="str">
        <f t="shared" si="274"/>
        <v/>
      </c>
      <c r="AB161" s="124" t="str">
        <f t="shared" si="275"/>
        <v/>
      </c>
    </row>
    <row r="162" spans="2:28" x14ac:dyDescent="0.25">
      <c r="B162" s="66">
        <v>41674</v>
      </c>
      <c r="C162" s="66">
        <v>41674</v>
      </c>
      <c r="D162" s="68">
        <f t="shared" ref="D162" si="316">IF(B162&gt;0,MONTH(B162),"False")</f>
        <v>2</v>
      </c>
      <c r="E162" s="66" t="str">
        <f t="shared" ref="E162" si="317">YEAR(B162) &amp; CHOOSE(D162,"-Jan","-Feb","-Mar","-Apr","-May","-Jun","-Jul","-Aug","-Sep","-Oct","-Nov","-Dec")</f>
        <v>2014-Feb</v>
      </c>
      <c r="F162" s="68">
        <f t="shared" ref="F162" si="318">IF(C162&gt;0,MONTH(C162),"False")</f>
        <v>2</v>
      </c>
      <c r="G162" s="104" t="s">
        <v>112</v>
      </c>
      <c r="H162" s="102" t="s">
        <v>348</v>
      </c>
      <c r="J162" s="102" t="s">
        <v>98</v>
      </c>
      <c r="K162" s="102" t="s">
        <v>84</v>
      </c>
      <c r="L162" s="102" t="s">
        <v>83</v>
      </c>
      <c r="M162" s="1" t="s">
        <v>692</v>
      </c>
      <c r="N162" s="102" t="s">
        <v>124</v>
      </c>
      <c r="O162" s="102" t="s">
        <v>152</v>
      </c>
      <c r="R162" s="64" t="s">
        <v>606</v>
      </c>
      <c r="S162" s="104" t="s">
        <v>104</v>
      </c>
      <c r="X162" s="104" t="s">
        <v>259</v>
      </c>
      <c r="Y162" s="104" t="str">
        <f t="shared" si="288"/>
        <v>Pass</v>
      </c>
      <c r="Z162" s="11" t="str">
        <f t="shared" si="273"/>
        <v/>
      </c>
      <c r="AA162" s="124" t="str">
        <f t="shared" si="274"/>
        <v/>
      </c>
      <c r="AB162" s="124" t="str">
        <f t="shared" si="275"/>
        <v/>
      </c>
    </row>
    <row r="163" spans="2:28" x14ac:dyDescent="0.25">
      <c r="B163" s="66">
        <v>41674</v>
      </c>
      <c r="C163" s="66">
        <v>41674</v>
      </c>
      <c r="D163" s="68">
        <f t="shared" ref="D163:D165" si="319">IF(B163&gt;0,MONTH(B163),"False")</f>
        <v>2</v>
      </c>
      <c r="E163" s="66" t="str">
        <f t="shared" ref="E163:E165" si="320">YEAR(B163) &amp; CHOOSE(D163,"-Jan","-Feb","-Mar","-Apr","-May","-Jun","-Jul","-Aug","-Sep","-Oct","-Nov","-Dec")</f>
        <v>2014-Feb</v>
      </c>
      <c r="F163" s="68">
        <f t="shared" ref="F163:F165" si="321">IF(C163&gt;0,MONTH(C163),"False")</f>
        <v>2</v>
      </c>
      <c r="G163" s="102" t="s">
        <v>87</v>
      </c>
      <c r="H163" s="102" t="s">
        <v>28</v>
      </c>
      <c r="J163" s="102" t="s">
        <v>78</v>
      </c>
      <c r="K163" s="102" t="s">
        <v>78</v>
      </c>
      <c r="L163" s="102" t="s">
        <v>79</v>
      </c>
      <c r="M163" s="1" t="s">
        <v>693</v>
      </c>
      <c r="N163" s="102" t="s">
        <v>124</v>
      </c>
      <c r="O163" s="102" t="s">
        <v>168</v>
      </c>
      <c r="Q163" s="2" t="s">
        <v>88</v>
      </c>
      <c r="R163" s="64" t="s">
        <v>308</v>
      </c>
      <c r="Y163" s="104" t="str">
        <f t="shared" si="288"/>
        <v>Obsolete</v>
      </c>
      <c r="Z163" s="11">
        <f t="shared" si="273"/>
        <v>41674</v>
      </c>
      <c r="AA163" s="124" t="str">
        <f t="shared" si="274"/>
        <v>2014 - 06</v>
      </c>
      <c r="AB163" s="124">
        <f t="shared" si="275"/>
        <v>2014</v>
      </c>
    </row>
    <row r="164" spans="2:28" x14ac:dyDescent="0.25">
      <c r="B164" s="65">
        <v>41674</v>
      </c>
      <c r="C164" s="66">
        <v>41680</v>
      </c>
      <c r="D164" s="68">
        <f t="shared" si="319"/>
        <v>2</v>
      </c>
      <c r="E164" s="66" t="str">
        <f t="shared" si="320"/>
        <v>2014-Feb</v>
      </c>
      <c r="F164" s="68">
        <f t="shared" si="321"/>
        <v>2</v>
      </c>
      <c r="G164" s="211" t="s">
        <v>105</v>
      </c>
      <c r="H164" s="102" t="s">
        <v>280</v>
      </c>
      <c r="I164" s="102"/>
      <c r="J164" s="102" t="s">
        <v>81</v>
      </c>
      <c r="K164" s="102" t="s">
        <v>82</v>
      </c>
      <c r="L164" s="102" t="s">
        <v>79</v>
      </c>
      <c r="M164" s="1" t="s">
        <v>694</v>
      </c>
      <c r="N164" s="102" t="s">
        <v>124</v>
      </c>
      <c r="O164" s="102" t="s">
        <v>529</v>
      </c>
      <c r="P164" s="64" t="s">
        <v>305</v>
      </c>
      <c r="R164" s="64" t="s">
        <v>584</v>
      </c>
      <c r="S164" s="211" t="s">
        <v>104</v>
      </c>
      <c r="X164" s="211" t="s">
        <v>544</v>
      </c>
      <c r="Y164" s="104" t="str">
        <f t="shared" si="288"/>
        <v>Pass</v>
      </c>
      <c r="Z164" s="11" t="str">
        <f t="shared" si="273"/>
        <v/>
      </c>
      <c r="AA164" s="124" t="str">
        <f t="shared" si="274"/>
        <v/>
      </c>
      <c r="AB164" s="124" t="str">
        <f t="shared" si="275"/>
        <v/>
      </c>
    </row>
    <row r="165" spans="2:28" x14ac:dyDescent="0.25">
      <c r="B165" s="65">
        <v>41675</v>
      </c>
      <c r="C165" s="66">
        <v>41675</v>
      </c>
      <c r="D165" s="68">
        <f t="shared" si="319"/>
        <v>2</v>
      </c>
      <c r="E165" s="66" t="str">
        <f t="shared" si="320"/>
        <v>2014-Feb</v>
      </c>
      <c r="F165" s="68">
        <f t="shared" si="321"/>
        <v>2</v>
      </c>
      <c r="G165" s="104" t="s">
        <v>121</v>
      </c>
      <c r="H165" s="103" t="s">
        <v>166</v>
      </c>
      <c r="J165" s="103" t="s">
        <v>98</v>
      </c>
      <c r="K165" s="103" t="s">
        <v>82</v>
      </c>
      <c r="L165" s="103" t="s">
        <v>79</v>
      </c>
      <c r="M165" s="1" t="s">
        <v>695</v>
      </c>
      <c r="N165" s="103" t="s">
        <v>124</v>
      </c>
      <c r="O165" s="103" t="s">
        <v>343</v>
      </c>
      <c r="P165" s="64" t="s">
        <v>336</v>
      </c>
      <c r="R165" s="64" t="s">
        <v>696</v>
      </c>
      <c r="S165" s="104" t="s">
        <v>104</v>
      </c>
      <c r="T165" s="67" t="s">
        <v>110</v>
      </c>
      <c r="X165" s="104" t="s">
        <v>259</v>
      </c>
      <c r="Y165" s="104" t="str">
        <f t="shared" si="288"/>
        <v>Pass</v>
      </c>
      <c r="Z165" s="11" t="str">
        <f t="shared" si="273"/>
        <v/>
      </c>
      <c r="AA165" s="124" t="str">
        <f t="shared" si="274"/>
        <v/>
      </c>
      <c r="AB165" s="124" t="str">
        <f t="shared" si="275"/>
        <v/>
      </c>
    </row>
    <row r="166" spans="2:28" x14ac:dyDescent="0.25">
      <c r="B166" s="66">
        <v>41675</v>
      </c>
      <c r="C166" s="66">
        <v>41675</v>
      </c>
      <c r="D166" s="68">
        <f t="shared" ref="D166" si="322">IF(B166&gt;0,MONTH(B166),"False")</f>
        <v>2</v>
      </c>
      <c r="E166" s="66" t="str">
        <f t="shared" ref="E166" si="323">YEAR(B166) &amp; CHOOSE(D166,"-Jan","-Feb","-Mar","-Apr","-May","-Jun","-Jul","-Aug","-Sep","-Oct","-Nov","-Dec")</f>
        <v>2014-Feb</v>
      </c>
      <c r="F166" s="68">
        <f t="shared" ref="F166" si="324">IF(C166&gt;0,MONTH(C166),"False")</f>
        <v>2</v>
      </c>
      <c r="G166" s="153" t="s">
        <v>126</v>
      </c>
      <c r="H166" s="103" t="s">
        <v>280</v>
      </c>
      <c r="J166" s="103" t="s">
        <v>146</v>
      </c>
      <c r="K166" s="103" t="s">
        <v>260</v>
      </c>
      <c r="L166" s="103" t="s">
        <v>83</v>
      </c>
      <c r="M166" s="1" t="s">
        <v>697</v>
      </c>
      <c r="N166" s="103" t="s">
        <v>124</v>
      </c>
      <c r="O166" s="103" t="s">
        <v>148</v>
      </c>
      <c r="R166" s="64" t="s">
        <v>578</v>
      </c>
      <c r="S166" s="153" t="s">
        <v>104</v>
      </c>
      <c r="X166" s="153" t="s">
        <v>544</v>
      </c>
      <c r="Y166" s="104" t="str">
        <f t="shared" si="288"/>
        <v>Pass</v>
      </c>
      <c r="Z166" s="11" t="str">
        <f t="shared" si="273"/>
        <v/>
      </c>
      <c r="AA166" s="124" t="str">
        <f t="shared" si="274"/>
        <v/>
      </c>
      <c r="AB166" s="124" t="str">
        <f t="shared" si="275"/>
        <v/>
      </c>
    </row>
    <row r="167" spans="2:28" x14ac:dyDescent="0.25">
      <c r="B167" s="66">
        <v>41675</v>
      </c>
      <c r="C167" s="66">
        <v>41675</v>
      </c>
      <c r="D167" s="68">
        <f t="shared" ref="D167:D168" si="325">IF(B167&gt;0,MONTH(B167),"False")</f>
        <v>2</v>
      </c>
      <c r="E167" s="66" t="str">
        <f t="shared" ref="E167:E168" si="326">YEAR(B167) &amp; CHOOSE(D167,"-Jan","-Feb","-Mar","-Apr","-May","-Jun","-Jul","-Aug","-Sep","-Oct","-Nov","-Dec")</f>
        <v>2014-Feb</v>
      </c>
      <c r="F167" s="68">
        <f t="shared" ref="F167:F168" si="327">IF(C167&gt;0,MONTH(C167),"False")</f>
        <v>2</v>
      </c>
      <c r="G167" s="103" t="s">
        <v>87</v>
      </c>
      <c r="H167" s="103" t="s">
        <v>316</v>
      </c>
      <c r="J167" s="103" t="s">
        <v>149</v>
      </c>
      <c r="K167" s="103" t="s">
        <v>84</v>
      </c>
      <c r="L167" s="103" t="s">
        <v>83</v>
      </c>
      <c r="M167" s="1" t="s">
        <v>699</v>
      </c>
      <c r="N167" s="103" t="s">
        <v>124</v>
      </c>
      <c r="O167" s="103" t="s">
        <v>350</v>
      </c>
      <c r="R167" s="64" t="s">
        <v>604</v>
      </c>
      <c r="S167" s="136" t="s">
        <v>104</v>
      </c>
      <c r="T167" s="67" t="s">
        <v>110</v>
      </c>
      <c r="Y167" s="104" t="str">
        <f t="shared" si="288"/>
        <v>Pass</v>
      </c>
      <c r="Z167" s="11" t="str">
        <f t="shared" si="273"/>
        <v/>
      </c>
      <c r="AA167" s="124" t="str">
        <f t="shared" si="274"/>
        <v/>
      </c>
      <c r="AB167" s="124" t="str">
        <f t="shared" si="275"/>
        <v/>
      </c>
    </row>
    <row r="168" spans="2:28" x14ac:dyDescent="0.25">
      <c r="B168" s="65">
        <v>41675</v>
      </c>
      <c r="C168" s="66">
        <v>41675</v>
      </c>
      <c r="D168" s="68">
        <f t="shared" si="325"/>
        <v>2</v>
      </c>
      <c r="E168" s="66" t="str">
        <f t="shared" si="326"/>
        <v>2014-Feb</v>
      </c>
      <c r="F168" s="68">
        <f t="shared" si="327"/>
        <v>2</v>
      </c>
      <c r="G168" s="103" t="s">
        <v>93</v>
      </c>
      <c r="H168" s="103" t="s">
        <v>280</v>
      </c>
      <c r="J168" s="103" t="s">
        <v>98</v>
      </c>
      <c r="K168" s="103" t="s">
        <v>82</v>
      </c>
      <c r="L168" s="103" t="s">
        <v>79</v>
      </c>
      <c r="M168" s="1" t="s">
        <v>700</v>
      </c>
      <c r="N168" s="103" t="s">
        <v>124</v>
      </c>
      <c r="O168" s="103" t="s">
        <v>285</v>
      </c>
      <c r="P168" s="64" t="s">
        <v>642</v>
      </c>
      <c r="R168" s="64" t="s">
        <v>643</v>
      </c>
      <c r="Y168" s="104" t="str">
        <f t="shared" si="288"/>
        <v>Unknown</v>
      </c>
      <c r="Z168" s="11" t="str">
        <f t="shared" si="273"/>
        <v/>
      </c>
      <c r="AA168" s="124" t="str">
        <f t="shared" si="274"/>
        <v/>
      </c>
      <c r="AB168" s="124" t="str">
        <f t="shared" si="275"/>
        <v/>
      </c>
    </row>
    <row r="169" spans="2:28" x14ac:dyDescent="0.25">
      <c r="B169" s="66">
        <v>41675</v>
      </c>
      <c r="C169" s="66">
        <v>41675</v>
      </c>
      <c r="D169" s="68">
        <f t="shared" ref="D169:D170" si="328">IF(B169&gt;0,MONTH(B169),"False")</f>
        <v>2</v>
      </c>
      <c r="E169" s="66" t="str">
        <f t="shared" ref="E169:E170" si="329">YEAR(B169) &amp; CHOOSE(D169,"-Jan","-Feb","-Mar","-Apr","-May","-Jun","-Jul","-Aug","-Sep","-Oct","-Nov","-Dec")</f>
        <v>2014-Feb</v>
      </c>
      <c r="F169" s="68">
        <f t="shared" ref="F169:F170" si="330">IF(C169&gt;0,MONTH(C169),"False")</f>
        <v>2</v>
      </c>
      <c r="G169" s="103" t="s">
        <v>87</v>
      </c>
      <c r="H169" s="103" t="s">
        <v>316</v>
      </c>
      <c r="J169" s="103" t="s">
        <v>150</v>
      </c>
      <c r="K169" s="103" t="s">
        <v>84</v>
      </c>
      <c r="L169" s="103" t="s">
        <v>83</v>
      </c>
      <c r="M169" s="1" t="s">
        <v>701</v>
      </c>
      <c r="N169" s="103" t="s">
        <v>124</v>
      </c>
      <c r="O169" s="103" t="s">
        <v>350</v>
      </c>
      <c r="R169" s="64" t="s">
        <v>604</v>
      </c>
      <c r="S169" s="136" t="s">
        <v>104</v>
      </c>
      <c r="T169" s="67" t="s">
        <v>110</v>
      </c>
      <c r="Y169" s="104" t="str">
        <f t="shared" si="288"/>
        <v>Pass</v>
      </c>
      <c r="Z169" s="11" t="str">
        <f t="shared" si="273"/>
        <v/>
      </c>
      <c r="AA169" s="124" t="str">
        <f t="shared" si="274"/>
        <v/>
      </c>
      <c r="AB169" s="124" t="str">
        <f t="shared" si="275"/>
        <v/>
      </c>
    </row>
    <row r="170" spans="2:28" x14ac:dyDescent="0.25">
      <c r="B170" s="65">
        <v>41676</v>
      </c>
      <c r="C170" s="66">
        <v>41676</v>
      </c>
      <c r="D170" s="68">
        <f t="shared" si="328"/>
        <v>2</v>
      </c>
      <c r="E170" s="66" t="str">
        <f t="shared" si="329"/>
        <v>2014-Feb</v>
      </c>
      <c r="F170" s="68">
        <f t="shared" si="330"/>
        <v>2</v>
      </c>
      <c r="G170" s="104" t="s">
        <v>121</v>
      </c>
      <c r="H170" s="104" t="s">
        <v>103</v>
      </c>
      <c r="J170" s="104" t="s">
        <v>120</v>
      </c>
      <c r="K170" s="104" t="s">
        <v>82</v>
      </c>
      <c r="L170" s="104" t="s">
        <v>79</v>
      </c>
      <c r="M170" s="1" t="s">
        <v>702</v>
      </c>
      <c r="N170" s="104" t="s">
        <v>124</v>
      </c>
      <c r="O170" s="104" t="s">
        <v>265</v>
      </c>
      <c r="P170" s="64" t="s">
        <v>351</v>
      </c>
      <c r="R170" s="64" t="s">
        <v>361</v>
      </c>
      <c r="T170" s="67" t="s">
        <v>110</v>
      </c>
      <c r="X170" s="104" t="s">
        <v>158</v>
      </c>
      <c r="Y170" s="104" t="s">
        <v>104</v>
      </c>
      <c r="Z170" s="11" t="str">
        <f t="shared" si="273"/>
        <v/>
      </c>
      <c r="AA170" s="124" t="str">
        <f t="shared" si="274"/>
        <v/>
      </c>
      <c r="AB170" s="124" t="str">
        <f t="shared" si="275"/>
        <v/>
      </c>
    </row>
    <row r="171" spans="2:28" x14ac:dyDescent="0.25">
      <c r="B171" s="65">
        <v>41676</v>
      </c>
      <c r="C171" s="66">
        <v>41676</v>
      </c>
      <c r="D171" s="68">
        <f t="shared" ref="D171" si="331">IF(B171&gt;0,MONTH(B171),"False")</f>
        <v>2</v>
      </c>
      <c r="E171" s="66" t="str">
        <f t="shared" ref="E171" si="332">YEAR(B171) &amp; CHOOSE(D171,"-Jan","-Feb","-Mar","-Apr","-May","-Jun","-Jul","-Aug","-Sep","-Oct","-Nov","-Dec")</f>
        <v>2014-Feb</v>
      </c>
      <c r="F171" s="68">
        <f t="shared" ref="F171" si="333">IF(C171&gt;0,MONTH(C171),"False")</f>
        <v>2</v>
      </c>
      <c r="G171" s="104" t="s">
        <v>93</v>
      </c>
      <c r="H171" s="104" t="s">
        <v>316</v>
      </c>
      <c r="J171" s="104" t="s">
        <v>77</v>
      </c>
      <c r="K171" s="104" t="s">
        <v>82</v>
      </c>
      <c r="L171" s="104" t="s">
        <v>79</v>
      </c>
      <c r="M171" s="1" t="s">
        <v>704</v>
      </c>
      <c r="N171" s="104" t="s">
        <v>124</v>
      </c>
      <c r="O171" s="104" t="s">
        <v>143</v>
      </c>
      <c r="P171" s="64" t="s">
        <v>340</v>
      </c>
      <c r="R171" s="64" t="s">
        <v>705</v>
      </c>
      <c r="S171" s="136" t="s">
        <v>104</v>
      </c>
      <c r="Y171" s="104" t="str">
        <f t="shared" si="288"/>
        <v>Pass</v>
      </c>
      <c r="Z171" s="11" t="str">
        <f t="shared" si="273"/>
        <v/>
      </c>
      <c r="AA171" s="124" t="str">
        <f t="shared" si="274"/>
        <v/>
      </c>
      <c r="AB171" s="124" t="str">
        <f t="shared" si="275"/>
        <v/>
      </c>
    </row>
    <row r="172" spans="2:28" x14ac:dyDescent="0.25">
      <c r="B172" s="66">
        <v>41677</v>
      </c>
      <c r="C172" s="66">
        <v>41677</v>
      </c>
      <c r="D172" s="68">
        <f t="shared" ref="D172" si="334">IF(B172&gt;0,MONTH(B172),"False")</f>
        <v>2</v>
      </c>
      <c r="E172" s="66" t="str">
        <f t="shared" ref="E172" si="335">YEAR(B172) &amp; CHOOSE(D172,"-Jan","-Feb","-Mar","-Apr","-May","-Jun","-Jul","-Aug","-Sep","-Oct","-Nov","-Dec")</f>
        <v>2014-Feb</v>
      </c>
      <c r="F172" s="68">
        <f t="shared" ref="F172" si="336">IF(C172&gt;0,MONTH(C172),"False")</f>
        <v>2</v>
      </c>
      <c r="G172" s="105" t="s">
        <v>87</v>
      </c>
      <c r="H172" s="105" t="s">
        <v>166</v>
      </c>
      <c r="I172" s="105"/>
      <c r="J172" s="105" t="s">
        <v>119</v>
      </c>
      <c r="K172" s="105" t="s">
        <v>119</v>
      </c>
      <c r="L172" s="105" t="s">
        <v>83</v>
      </c>
      <c r="M172" s="1" t="s">
        <v>706</v>
      </c>
      <c r="N172" s="105" t="s">
        <v>124</v>
      </c>
      <c r="O172" s="105" t="s">
        <v>589</v>
      </c>
      <c r="R172" s="64" t="s">
        <v>473</v>
      </c>
      <c r="Y172" s="104" t="str">
        <f t="shared" si="288"/>
        <v>Unknown</v>
      </c>
      <c r="Z172" s="11" t="str">
        <f t="shared" si="273"/>
        <v/>
      </c>
      <c r="AA172" s="124" t="str">
        <f t="shared" si="274"/>
        <v/>
      </c>
      <c r="AB172" s="124" t="str">
        <f t="shared" si="275"/>
        <v/>
      </c>
    </row>
    <row r="173" spans="2:28" x14ac:dyDescent="0.25">
      <c r="B173" s="66">
        <v>41677</v>
      </c>
      <c r="C173" s="66">
        <v>41677</v>
      </c>
      <c r="D173" s="68">
        <f t="shared" ref="D173" si="337">IF(B173&gt;0,MONTH(B173),"False")</f>
        <v>2</v>
      </c>
      <c r="E173" s="66" t="str">
        <f t="shared" ref="E173" si="338">YEAR(B173) &amp; CHOOSE(D173,"-Jan","-Feb","-Mar","-Apr","-May","-Jun","-Jul","-Aug","-Sep","-Oct","-Nov","-Dec")</f>
        <v>2014-Feb</v>
      </c>
      <c r="F173" s="68">
        <f t="shared" ref="F173" si="339">IF(C173&gt;0,MONTH(C173),"False")</f>
        <v>2</v>
      </c>
      <c r="G173" s="117" t="s">
        <v>112</v>
      </c>
      <c r="H173" s="105" t="s">
        <v>348</v>
      </c>
      <c r="J173" s="105" t="s">
        <v>78</v>
      </c>
      <c r="K173" s="105" t="s">
        <v>78</v>
      </c>
      <c r="L173" s="105" t="s">
        <v>79</v>
      </c>
      <c r="M173" s="1" t="s">
        <v>707</v>
      </c>
      <c r="N173" s="105" t="s">
        <v>124</v>
      </c>
      <c r="O173" s="105" t="s">
        <v>138</v>
      </c>
      <c r="R173" s="64" t="s">
        <v>708</v>
      </c>
      <c r="S173" s="117" t="s">
        <v>104</v>
      </c>
      <c r="X173" s="117" t="s">
        <v>270</v>
      </c>
      <c r="Y173" s="104" t="str">
        <f t="shared" si="288"/>
        <v>Pass</v>
      </c>
      <c r="Z173" s="11" t="str">
        <f t="shared" si="273"/>
        <v/>
      </c>
      <c r="AA173" s="124" t="str">
        <f t="shared" si="274"/>
        <v/>
      </c>
      <c r="AB173" s="124" t="str">
        <f t="shared" si="275"/>
        <v/>
      </c>
    </row>
    <row r="174" spans="2:28" x14ac:dyDescent="0.25">
      <c r="B174" s="66">
        <v>41680</v>
      </c>
      <c r="C174" s="66">
        <v>41680</v>
      </c>
      <c r="D174" s="68">
        <f t="shared" ref="D174" si="340">IF(B174&gt;0,MONTH(B174),"False")</f>
        <v>2</v>
      </c>
      <c r="E174" s="66" t="str">
        <f t="shared" ref="E174" si="341">YEAR(B174) &amp; CHOOSE(D174,"-Jan","-Feb","-Mar","-Apr","-May","-Jun","-Jul","-Aug","-Sep","-Oct","-Nov","-Dec")</f>
        <v>2014-Feb</v>
      </c>
      <c r="F174" s="68">
        <f t="shared" ref="F174" si="342">IF(C174&gt;0,MONTH(C174),"False")</f>
        <v>2</v>
      </c>
      <c r="G174" s="106" t="s">
        <v>87</v>
      </c>
      <c r="H174" s="106" t="s">
        <v>166</v>
      </c>
      <c r="J174" s="106" t="s">
        <v>98</v>
      </c>
      <c r="K174" s="106" t="s">
        <v>84</v>
      </c>
      <c r="L174" s="106" t="s">
        <v>83</v>
      </c>
      <c r="M174" s="1" t="s">
        <v>709</v>
      </c>
      <c r="N174" s="106" t="s">
        <v>124</v>
      </c>
      <c r="O174" s="106" t="s">
        <v>152</v>
      </c>
      <c r="R174" s="64" t="s">
        <v>690</v>
      </c>
      <c r="Y174" s="104" t="str">
        <f t="shared" si="288"/>
        <v>Unknown</v>
      </c>
      <c r="Z174" s="11" t="str">
        <f t="shared" si="273"/>
        <v/>
      </c>
      <c r="AA174" s="124" t="str">
        <f t="shared" si="274"/>
        <v/>
      </c>
      <c r="AB174" s="124" t="str">
        <f t="shared" si="275"/>
        <v/>
      </c>
    </row>
    <row r="175" spans="2:28" x14ac:dyDescent="0.25">
      <c r="B175" s="66">
        <v>41680</v>
      </c>
      <c r="C175" s="66">
        <v>41680</v>
      </c>
      <c r="D175" s="68">
        <f t="shared" ref="D175" si="343">IF(B175&gt;0,MONTH(B175),"False")</f>
        <v>2</v>
      </c>
      <c r="E175" s="66" t="str">
        <f t="shared" ref="E175" si="344">YEAR(B175) &amp; CHOOSE(D175,"-Jan","-Feb","-Mar","-Apr","-May","-Jun","-Jul","-Aug","-Sep","-Oct","-Nov","-Dec")</f>
        <v>2014-Feb</v>
      </c>
      <c r="F175" s="68">
        <f t="shared" ref="F175" si="345">IF(C175&gt;0,MONTH(C175),"False")</f>
        <v>2</v>
      </c>
      <c r="G175" s="106" t="s">
        <v>87</v>
      </c>
      <c r="H175" s="106" t="s">
        <v>280</v>
      </c>
      <c r="J175" s="106" t="s">
        <v>98</v>
      </c>
      <c r="K175" s="106" t="s">
        <v>84</v>
      </c>
      <c r="L175" s="106" t="s">
        <v>83</v>
      </c>
      <c r="M175" s="1" t="s">
        <v>710</v>
      </c>
      <c r="N175" s="106" t="s">
        <v>124</v>
      </c>
      <c r="O175" s="106" t="s">
        <v>152</v>
      </c>
      <c r="R175" s="64" t="s">
        <v>578</v>
      </c>
      <c r="Y175" s="104" t="str">
        <f t="shared" si="288"/>
        <v>Unknown</v>
      </c>
      <c r="Z175" s="11" t="str">
        <f t="shared" si="273"/>
        <v/>
      </c>
      <c r="AA175" s="124" t="str">
        <f t="shared" si="274"/>
        <v/>
      </c>
      <c r="AB175" s="124" t="str">
        <f t="shared" si="275"/>
        <v/>
      </c>
    </row>
    <row r="176" spans="2:28" x14ac:dyDescent="0.25">
      <c r="B176" s="65">
        <v>41680</v>
      </c>
      <c r="C176" s="66">
        <v>41680</v>
      </c>
      <c r="D176" s="68">
        <f t="shared" ref="D176" si="346">IF(B176&gt;0,MONTH(B176),"False")</f>
        <v>2</v>
      </c>
      <c r="E176" s="66" t="str">
        <f t="shared" ref="E176" si="347">YEAR(B176) &amp; CHOOSE(D176,"-Jan","-Feb","-Mar","-Apr","-May","-Jun","-Jul","-Aug","-Sep","-Oct","-Nov","-Dec")</f>
        <v>2014-Feb</v>
      </c>
      <c r="F176" s="68">
        <f t="shared" ref="F176" si="348">IF(C176&gt;0,MONTH(C176),"False")</f>
        <v>2</v>
      </c>
      <c r="G176" s="106" t="s">
        <v>93</v>
      </c>
      <c r="H176" s="106" t="s">
        <v>166</v>
      </c>
      <c r="J176" s="106" t="s">
        <v>98</v>
      </c>
      <c r="K176" s="106" t="s">
        <v>82</v>
      </c>
      <c r="L176" s="106" t="s">
        <v>79</v>
      </c>
      <c r="M176" s="109" t="s">
        <v>710</v>
      </c>
      <c r="N176" s="106" t="s">
        <v>124</v>
      </c>
      <c r="O176" s="106" t="s">
        <v>286</v>
      </c>
      <c r="P176" s="64" t="s">
        <v>336</v>
      </c>
      <c r="Q176" s="2" t="s">
        <v>88</v>
      </c>
      <c r="R176" s="64" t="s">
        <v>711</v>
      </c>
      <c r="Y176" s="104" t="str">
        <f t="shared" si="288"/>
        <v>Obsolete</v>
      </c>
      <c r="Z176" s="11">
        <f t="shared" si="273"/>
        <v>41680</v>
      </c>
      <c r="AA176" s="124" t="str">
        <f t="shared" si="274"/>
        <v>2014 - 07</v>
      </c>
      <c r="AB176" s="124">
        <f t="shared" si="275"/>
        <v>2014</v>
      </c>
    </row>
    <row r="177" spans="2:28" x14ac:dyDescent="0.25">
      <c r="B177" s="65">
        <v>41680</v>
      </c>
      <c r="C177" s="66">
        <v>41680</v>
      </c>
      <c r="D177" s="68">
        <f t="shared" ref="D177:D180" si="349">IF(B177&gt;0,MONTH(B177),"False")</f>
        <v>2</v>
      </c>
      <c r="E177" s="66" t="str">
        <f t="shared" ref="E177:E180" si="350">YEAR(B177) &amp; CHOOSE(D177,"-Jan","-Feb","-Mar","-Apr","-May","-Jun","-Jul","-Aug","-Sep","-Oct","-Nov","-Dec")</f>
        <v>2014-Feb</v>
      </c>
      <c r="F177" s="68">
        <f t="shared" ref="F177:F180" si="351">IF(C177&gt;0,MONTH(C177),"False")</f>
        <v>2</v>
      </c>
      <c r="G177" s="106" t="s">
        <v>121</v>
      </c>
      <c r="H177" s="106" t="s">
        <v>103</v>
      </c>
      <c r="J177" s="106" t="s">
        <v>120</v>
      </c>
      <c r="K177" s="106" t="s">
        <v>82</v>
      </c>
      <c r="L177" s="106" t="s">
        <v>79</v>
      </c>
      <c r="M177" s="1" t="s">
        <v>712</v>
      </c>
      <c r="N177" s="106" t="s">
        <v>124</v>
      </c>
      <c r="O177" s="106" t="s">
        <v>265</v>
      </c>
      <c r="P177" s="64" t="s">
        <v>351</v>
      </c>
      <c r="R177" s="64" t="s">
        <v>361</v>
      </c>
      <c r="S177" s="106" t="s">
        <v>104</v>
      </c>
      <c r="X177" s="106" t="s">
        <v>158</v>
      </c>
      <c r="Y177" s="104" t="str">
        <f t="shared" si="288"/>
        <v>Pass</v>
      </c>
      <c r="Z177" s="11" t="str">
        <f t="shared" ref="Z177:Z209" si="352">IF(Q177="Obsolete-LQA",C177,IF(Q177="Obsolete-IT",B177,""))</f>
        <v/>
      </c>
      <c r="AA177" s="124" t="str">
        <f t="shared" ref="AA177:AA209" si="353">IFERROR(YEAR(Z177)&amp;" - "&amp; IF(LEN( WEEKNUM(Z177))=1,"0" &amp; WEEKNUM(Z177),WEEKNUM(Z177)),"")</f>
        <v/>
      </c>
      <c r="AB177" s="124" t="str">
        <f t="shared" ref="AB177:AB209" si="354">IFERROR(YEAR(Z177),"")</f>
        <v/>
      </c>
    </row>
    <row r="178" spans="2:28" x14ac:dyDescent="0.25">
      <c r="B178" s="65">
        <v>41680</v>
      </c>
      <c r="C178" s="66">
        <v>41680</v>
      </c>
      <c r="D178" s="68">
        <f t="shared" si="349"/>
        <v>2</v>
      </c>
      <c r="E178" s="66" t="str">
        <f t="shared" si="350"/>
        <v>2014-Feb</v>
      </c>
      <c r="F178" s="68">
        <f t="shared" si="351"/>
        <v>2</v>
      </c>
      <c r="G178" s="126" t="s">
        <v>105</v>
      </c>
      <c r="H178" s="106" t="s">
        <v>280</v>
      </c>
      <c r="I178" s="106"/>
      <c r="J178" s="106" t="s">
        <v>81</v>
      </c>
      <c r="K178" s="106" t="s">
        <v>82</v>
      </c>
      <c r="L178" s="106" t="s">
        <v>79</v>
      </c>
      <c r="M178" s="1" t="s">
        <v>713</v>
      </c>
      <c r="N178" s="106" t="s">
        <v>124</v>
      </c>
      <c r="O178" s="106" t="s">
        <v>143</v>
      </c>
      <c r="P178" s="64" t="s">
        <v>305</v>
      </c>
      <c r="R178" s="64" t="s">
        <v>715</v>
      </c>
      <c r="S178" s="126" t="s">
        <v>104</v>
      </c>
      <c r="X178" s="126" t="s">
        <v>819</v>
      </c>
      <c r="Y178" s="104" t="str">
        <f t="shared" si="288"/>
        <v>Pass</v>
      </c>
      <c r="Z178" s="11" t="str">
        <f t="shared" si="352"/>
        <v/>
      </c>
      <c r="AA178" s="124" t="str">
        <f t="shared" si="353"/>
        <v/>
      </c>
      <c r="AB178" s="124" t="str">
        <f t="shared" si="354"/>
        <v/>
      </c>
    </row>
    <row r="179" spans="2:28" x14ac:dyDescent="0.25">
      <c r="B179" s="65">
        <v>41680</v>
      </c>
      <c r="C179" s="66">
        <v>41680</v>
      </c>
      <c r="D179" s="68">
        <f t="shared" si="349"/>
        <v>2</v>
      </c>
      <c r="E179" s="66" t="str">
        <f t="shared" si="350"/>
        <v>2014-Feb</v>
      </c>
      <c r="F179" s="68">
        <f t="shared" si="351"/>
        <v>2</v>
      </c>
      <c r="G179" s="152" t="s">
        <v>105</v>
      </c>
      <c r="H179" s="106" t="s">
        <v>166</v>
      </c>
      <c r="I179" s="106"/>
      <c r="J179" s="106" t="s">
        <v>98</v>
      </c>
      <c r="K179" s="106" t="s">
        <v>82</v>
      </c>
      <c r="L179" s="106" t="s">
        <v>79</v>
      </c>
      <c r="M179" s="1" t="s">
        <v>714</v>
      </c>
      <c r="N179" s="106" t="s">
        <v>124</v>
      </c>
      <c r="O179" s="106" t="s">
        <v>286</v>
      </c>
      <c r="P179" s="64" t="s">
        <v>336</v>
      </c>
      <c r="R179" s="64" t="s">
        <v>711</v>
      </c>
      <c r="S179" s="152" t="s">
        <v>104</v>
      </c>
      <c r="X179" s="152" t="s">
        <v>297</v>
      </c>
      <c r="Y179" s="104" t="str">
        <f t="shared" si="288"/>
        <v>Pass</v>
      </c>
      <c r="Z179" s="11" t="str">
        <f t="shared" si="352"/>
        <v/>
      </c>
      <c r="AA179" s="124" t="str">
        <f t="shared" si="353"/>
        <v/>
      </c>
      <c r="AB179" s="124" t="str">
        <f t="shared" si="354"/>
        <v/>
      </c>
    </row>
    <row r="180" spans="2:28" x14ac:dyDescent="0.25">
      <c r="B180" s="66">
        <v>41681</v>
      </c>
      <c r="C180" s="66">
        <v>41681</v>
      </c>
      <c r="D180" s="68">
        <f t="shared" si="349"/>
        <v>2</v>
      </c>
      <c r="E180" s="66" t="str">
        <f t="shared" si="350"/>
        <v>2014-Feb</v>
      </c>
      <c r="F180" s="68">
        <f t="shared" si="351"/>
        <v>2</v>
      </c>
      <c r="G180" s="107" t="s">
        <v>87</v>
      </c>
      <c r="H180" s="107" t="s">
        <v>280</v>
      </c>
      <c r="I180" s="107"/>
      <c r="J180" s="107" t="s">
        <v>78</v>
      </c>
      <c r="K180" s="107" t="s">
        <v>78</v>
      </c>
      <c r="L180" s="107" t="s">
        <v>79</v>
      </c>
      <c r="M180" s="1" t="s">
        <v>716</v>
      </c>
      <c r="N180" s="107" t="s">
        <v>124</v>
      </c>
      <c r="O180" s="107" t="s">
        <v>138</v>
      </c>
      <c r="Q180" s="2" t="s">
        <v>88</v>
      </c>
      <c r="R180" s="64" t="s">
        <v>344</v>
      </c>
      <c r="Y180" s="104" t="str">
        <f t="shared" si="288"/>
        <v>Obsolete</v>
      </c>
      <c r="Z180" s="11">
        <f t="shared" si="352"/>
        <v>41681</v>
      </c>
      <c r="AA180" s="124" t="str">
        <f t="shared" si="353"/>
        <v>2014 - 07</v>
      </c>
      <c r="AB180" s="124">
        <f t="shared" si="354"/>
        <v>2014</v>
      </c>
    </row>
    <row r="181" spans="2:28" x14ac:dyDescent="0.25">
      <c r="B181" s="66">
        <v>41681</v>
      </c>
      <c r="C181" s="66">
        <v>41681</v>
      </c>
      <c r="D181" s="68">
        <f t="shared" ref="D181:D183" si="355">IF(B181&gt;0,MONTH(B181),"False")</f>
        <v>2</v>
      </c>
      <c r="E181" s="66" t="str">
        <f t="shared" ref="E181:E183" si="356">YEAR(B181) &amp; CHOOSE(D181,"-Jan","-Feb","-Mar","-Apr","-May","-Jun","-Jul","-Aug","-Sep","-Oct","-Nov","-Dec")</f>
        <v>2014-Feb</v>
      </c>
      <c r="F181" s="68">
        <f t="shared" ref="F181:F183" si="357">IF(C181&gt;0,MONTH(C181),"False")</f>
        <v>2</v>
      </c>
      <c r="G181" s="111" t="s">
        <v>112</v>
      </c>
      <c r="H181" s="107" t="s">
        <v>103</v>
      </c>
      <c r="J181" s="107" t="s">
        <v>149</v>
      </c>
      <c r="K181" s="107" t="s">
        <v>84</v>
      </c>
      <c r="L181" s="107" t="s">
        <v>79</v>
      </c>
      <c r="M181" s="1" t="s">
        <v>717</v>
      </c>
      <c r="N181" s="107" t="s">
        <v>124</v>
      </c>
      <c r="O181" s="107" t="s">
        <v>350</v>
      </c>
      <c r="R181" s="64" t="s">
        <v>357</v>
      </c>
      <c r="S181" s="111" t="s">
        <v>104</v>
      </c>
      <c r="X181" s="111" t="s">
        <v>267</v>
      </c>
      <c r="Y181" s="104" t="str">
        <f t="shared" si="288"/>
        <v>Pass</v>
      </c>
      <c r="Z181" s="11" t="str">
        <f t="shared" si="352"/>
        <v/>
      </c>
      <c r="AA181" s="124" t="str">
        <f t="shared" si="353"/>
        <v/>
      </c>
      <c r="AB181" s="124" t="str">
        <f t="shared" si="354"/>
        <v/>
      </c>
    </row>
    <row r="182" spans="2:28" x14ac:dyDescent="0.25">
      <c r="B182" s="65">
        <v>41681</v>
      </c>
      <c r="C182" s="66">
        <v>41681</v>
      </c>
      <c r="D182" s="68">
        <f t="shared" si="355"/>
        <v>2</v>
      </c>
      <c r="E182" s="66" t="str">
        <f t="shared" si="356"/>
        <v>2014-Feb</v>
      </c>
      <c r="F182" s="68">
        <f t="shared" si="357"/>
        <v>2</v>
      </c>
      <c r="G182" s="127" t="s">
        <v>121</v>
      </c>
      <c r="H182" s="107" t="s">
        <v>166</v>
      </c>
      <c r="J182" s="107" t="s">
        <v>333</v>
      </c>
      <c r="K182" s="107" t="s">
        <v>82</v>
      </c>
      <c r="L182" s="107" t="s">
        <v>79</v>
      </c>
      <c r="M182" s="1" t="s">
        <v>718</v>
      </c>
      <c r="N182" s="107" t="s">
        <v>124</v>
      </c>
      <c r="O182" s="107" t="s">
        <v>116</v>
      </c>
      <c r="P182" s="64" t="s">
        <v>345</v>
      </c>
      <c r="R182" s="64" t="s">
        <v>347</v>
      </c>
      <c r="S182" s="127" t="s">
        <v>104</v>
      </c>
      <c r="T182" s="67" t="s">
        <v>110</v>
      </c>
      <c r="X182" s="127" t="s">
        <v>462</v>
      </c>
      <c r="Y182" s="104" t="str">
        <f t="shared" si="288"/>
        <v>Pass</v>
      </c>
      <c r="Z182" s="11" t="str">
        <f t="shared" si="352"/>
        <v/>
      </c>
      <c r="AA182" s="124" t="str">
        <f t="shared" si="353"/>
        <v/>
      </c>
      <c r="AB182" s="124" t="str">
        <f t="shared" si="354"/>
        <v/>
      </c>
    </row>
    <row r="183" spans="2:28" x14ac:dyDescent="0.25">
      <c r="B183" s="65">
        <v>41681</v>
      </c>
      <c r="C183" s="66">
        <v>41681</v>
      </c>
      <c r="D183" s="68">
        <f t="shared" si="355"/>
        <v>2</v>
      </c>
      <c r="E183" s="66" t="str">
        <f t="shared" si="356"/>
        <v>2014-Feb</v>
      </c>
      <c r="F183" s="68">
        <f t="shared" si="357"/>
        <v>2</v>
      </c>
      <c r="G183" s="107" t="s">
        <v>93</v>
      </c>
      <c r="H183" s="107" t="s">
        <v>280</v>
      </c>
      <c r="I183" s="107"/>
      <c r="J183" s="107" t="s">
        <v>81</v>
      </c>
      <c r="K183" s="107" t="s">
        <v>82</v>
      </c>
      <c r="L183" s="107" t="s">
        <v>79</v>
      </c>
      <c r="M183" s="1" t="s">
        <v>719</v>
      </c>
      <c r="N183" s="107" t="s">
        <v>124</v>
      </c>
      <c r="O183" s="107" t="s">
        <v>286</v>
      </c>
      <c r="P183" s="64" t="s">
        <v>305</v>
      </c>
      <c r="R183" s="64" t="s">
        <v>715</v>
      </c>
      <c r="S183" s="291" t="s">
        <v>104</v>
      </c>
      <c r="Y183" s="104" t="str">
        <f t="shared" si="288"/>
        <v>Pass</v>
      </c>
      <c r="Z183" s="11" t="str">
        <f t="shared" si="352"/>
        <v/>
      </c>
      <c r="AA183" s="124" t="str">
        <f t="shared" si="353"/>
        <v/>
      </c>
      <c r="AB183" s="124" t="str">
        <f t="shared" si="354"/>
        <v/>
      </c>
    </row>
    <row r="184" spans="2:28" x14ac:dyDescent="0.25">
      <c r="B184" s="66">
        <v>41681</v>
      </c>
      <c r="C184" s="66">
        <v>41681</v>
      </c>
      <c r="D184" s="68">
        <f t="shared" ref="D184:D185" si="358">IF(B184&gt;0,MONTH(B184),"False")</f>
        <v>2</v>
      </c>
      <c r="E184" s="66" t="str">
        <f t="shared" ref="E184:E185" si="359">YEAR(B184) &amp; CHOOSE(D184,"-Jan","-Feb","-Mar","-Apr","-May","-Jun","-Jul","-Aug","-Sep","-Oct","-Nov","-Dec")</f>
        <v>2014-Feb</v>
      </c>
      <c r="F184" s="68">
        <f t="shared" ref="F184:F185" si="360">IF(C184&gt;0,MONTH(C184),"False")</f>
        <v>2</v>
      </c>
      <c r="G184" s="107" t="s">
        <v>87</v>
      </c>
      <c r="H184" s="107" t="s">
        <v>166</v>
      </c>
      <c r="J184" s="107" t="s">
        <v>78</v>
      </c>
      <c r="K184" s="107" t="s">
        <v>78</v>
      </c>
      <c r="L184" s="107" t="s">
        <v>79</v>
      </c>
      <c r="M184" s="1" t="s">
        <v>720</v>
      </c>
      <c r="N184" s="107" t="s">
        <v>124</v>
      </c>
      <c r="O184" s="107" t="s">
        <v>287</v>
      </c>
      <c r="R184" s="64" t="s">
        <v>488</v>
      </c>
      <c r="Y184" s="104" t="str">
        <f t="shared" si="288"/>
        <v>Unknown</v>
      </c>
      <c r="Z184" s="11" t="str">
        <f t="shared" si="352"/>
        <v/>
      </c>
      <c r="AA184" s="124" t="str">
        <f t="shared" si="353"/>
        <v/>
      </c>
      <c r="AB184" s="124" t="str">
        <f t="shared" si="354"/>
        <v/>
      </c>
    </row>
    <row r="185" spans="2:28" x14ac:dyDescent="0.25">
      <c r="B185" s="65">
        <v>41682</v>
      </c>
      <c r="C185" s="66">
        <v>41682</v>
      </c>
      <c r="D185" s="68">
        <f t="shared" si="358"/>
        <v>2</v>
      </c>
      <c r="E185" s="66" t="str">
        <f t="shared" si="359"/>
        <v>2014-Feb</v>
      </c>
      <c r="F185" s="68">
        <f t="shared" si="360"/>
        <v>2</v>
      </c>
      <c r="G185" s="108" t="s">
        <v>93</v>
      </c>
      <c r="H185" s="108" t="s">
        <v>348</v>
      </c>
      <c r="J185" s="108" t="s">
        <v>77</v>
      </c>
      <c r="K185" s="108" t="s">
        <v>82</v>
      </c>
      <c r="L185" s="108" t="s">
        <v>79</v>
      </c>
      <c r="M185" s="1" t="s">
        <v>721</v>
      </c>
      <c r="N185" s="108" t="s">
        <v>124</v>
      </c>
      <c r="O185" s="108" t="s">
        <v>343</v>
      </c>
      <c r="P185" s="64" t="s">
        <v>352</v>
      </c>
      <c r="Q185" s="2" t="s">
        <v>88</v>
      </c>
      <c r="R185" s="64" t="s">
        <v>626</v>
      </c>
      <c r="Y185" s="104" t="str">
        <f t="shared" si="288"/>
        <v>Obsolete</v>
      </c>
      <c r="Z185" s="11">
        <f t="shared" si="352"/>
        <v>41682</v>
      </c>
      <c r="AA185" s="124" t="str">
        <f t="shared" si="353"/>
        <v>2014 - 07</v>
      </c>
      <c r="AB185" s="124">
        <f t="shared" si="354"/>
        <v>2014</v>
      </c>
    </row>
    <row r="186" spans="2:28" x14ac:dyDescent="0.25">
      <c r="B186" s="65">
        <v>41682</v>
      </c>
      <c r="C186" s="66">
        <v>41682</v>
      </c>
      <c r="D186" s="68">
        <f t="shared" ref="D186:D188" si="361">IF(B186&gt;0,MONTH(B186),"False")</f>
        <v>2</v>
      </c>
      <c r="E186" s="66" t="str">
        <f t="shared" ref="E186:E188" si="362">YEAR(B186) &amp; CHOOSE(D186,"-Jan","-Feb","-Mar","-Apr","-May","-Jun","-Jul","-Aug","-Sep","-Oct","-Nov","-Dec")</f>
        <v>2014-Feb</v>
      </c>
      <c r="F186" s="68">
        <f t="shared" ref="F186:F188" si="363">IF(C186&gt;0,MONTH(C186),"False")</f>
        <v>2</v>
      </c>
      <c r="G186" s="108" t="s">
        <v>75</v>
      </c>
      <c r="H186" s="108" t="s">
        <v>166</v>
      </c>
      <c r="J186" s="108" t="s">
        <v>275</v>
      </c>
      <c r="K186" s="108" t="s">
        <v>84</v>
      </c>
      <c r="L186" s="108" t="s">
        <v>83</v>
      </c>
      <c r="M186" s="1" t="s">
        <v>722</v>
      </c>
      <c r="N186" s="108" t="s">
        <v>124</v>
      </c>
      <c r="O186" s="108" t="s">
        <v>109</v>
      </c>
      <c r="P186" s="64" t="s">
        <v>723</v>
      </c>
      <c r="Y186" s="104" t="str">
        <f t="shared" si="288"/>
        <v>Unknown</v>
      </c>
      <c r="Z186" s="11" t="str">
        <f t="shared" si="352"/>
        <v/>
      </c>
      <c r="AA186" s="124" t="str">
        <f t="shared" si="353"/>
        <v/>
      </c>
      <c r="AB186" s="124" t="str">
        <f t="shared" si="354"/>
        <v/>
      </c>
    </row>
    <row r="187" spans="2:28" x14ac:dyDescent="0.25">
      <c r="B187" s="65">
        <v>41682</v>
      </c>
      <c r="C187" s="66">
        <v>41682</v>
      </c>
      <c r="D187" s="68">
        <f t="shared" si="361"/>
        <v>2</v>
      </c>
      <c r="E187" s="66" t="str">
        <f t="shared" si="362"/>
        <v>2014-Feb</v>
      </c>
      <c r="F187" s="68">
        <f t="shared" si="363"/>
        <v>2</v>
      </c>
      <c r="G187" s="152" t="s">
        <v>105</v>
      </c>
      <c r="H187" s="108" t="s">
        <v>166</v>
      </c>
      <c r="J187" s="108" t="s">
        <v>98</v>
      </c>
      <c r="K187" s="108" t="s">
        <v>82</v>
      </c>
      <c r="L187" s="108" t="s">
        <v>79</v>
      </c>
      <c r="M187" s="1" t="s">
        <v>724</v>
      </c>
      <c r="N187" s="108" t="s">
        <v>124</v>
      </c>
      <c r="O187" s="108" t="s">
        <v>286</v>
      </c>
      <c r="P187" s="64" t="s">
        <v>336</v>
      </c>
      <c r="R187" s="64" t="s">
        <v>711</v>
      </c>
      <c r="S187" s="152" t="s">
        <v>104</v>
      </c>
      <c r="T187" s="67" t="s">
        <v>110</v>
      </c>
      <c r="X187" s="152" t="s">
        <v>297</v>
      </c>
      <c r="Y187" s="104" t="str">
        <f t="shared" si="288"/>
        <v>Pass</v>
      </c>
      <c r="Z187" s="11" t="str">
        <f t="shared" si="352"/>
        <v/>
      </c>
      <c r="AA187" s="124" t="str">
        <f t="shared" si="353"/>
        <v/>
      </c>
      <c r="AB187" s="124" t="str">
        <f t="shared" si="354"/>
        <v/>
      </c>
    </row>
    <row r="188" spans="2:28" x14ac:dyDescent="0.25">
      <c r="B188" s="66">
        <v>41683</v>
      </c>
      <c r="C188" s="66">
        <v>41683</v>
      </c>
      <c r="D188" s="68">
        <f t="shared" si="361"/>
        <v>2</v>
      </c>
      <c r="E188" s="66" t="str">
        <f t="shared" si="362"/>
        <v>2014-Feb</v>
      </c>
      <c r="F188" s="68">
        <f t="shared" si="363"/>
        <v>2</v>
      </c>
      <c r="G188" s="109" t="s">
        <v>87</v>
      </c>
      <c r="H188" s="109" t="s">
        <v>726</v>
      </c>
      <c r="J188" s="109" t="s">
        <v>78</v>
      </c>
      <c r="K188" s="109" t="s">
        <v>78</v>
      </c>
      <c r="L188" s="109" t="s">
        <v>83</v>
      </c>
      <c r="M188" s="1" t="s">
        <v>725</v>
      </c>
      <c r="N188" s="109" t="s">
        <v>124</v>
      </c>
      <c r="O188" s="109" t="s">
        <v>167</v>
      </c>
      <c r="R188" s="64" t="s">
        <v>727</v>
      </c>
      <c r="T188" s="67" t="s">
        <v>110</v>
      </c>
      <c r="Y188" s="104" t="str">
        <f t="shared" si="288"/>
        <v>Unknown</v>
      </c>
      <c r="Z188" s="11" t="str">
        <f t="shared" si="352"/>
        <v/>
      </c>
      <c r="AA188" s="124" t="str">
        <f t="shared" si="353"/>
        <v/>
      </c>
      <c r="AB188" s="124" t="str">
        <f t="shared" si="354"/>
        <v/>
      </c>
    </row>
    <row r="189" spans="2:28" x14ac:dyDescent="0.25">
      <c r="B189" s="65">
        <v>41683</v>
      </c>
      <c r="C189" s="66">
        <v>41683</v>
      </c>
      <c r="D189" s="68">
        <f t="shared" ref="D189" si="364">IF(B189&gt;0,MONTH(B189),"False")</f>
        <v>2</v>
      </c>
      <c r="E189" s="66" t="str">
        <f t="shared" ref="E189" si="365">YEAR(B189) &amp; CHOOSE(D189,"-Jan","-Feb","-Mar","-Apr","-May","-Jun","-Jul","-Aug","-Sep","-Oct","-Nov","-Dec")</f>
        <v>2014-Feb</v>
      </c>
      <c r="F189" s="68">
        <f t="shared" ref="F189" si="366">IF(C189&gt;0,MONTH(C189),"False")</f>
        <v>2</v>
      </c>
      <c r="G189" s="109" t="s">
        <v>93</v>
      </c>
      <c r="H189" s="109" t="s">
        <v>10</v>
      </c>
      <c r="J189" s="109" t="s">
        <v>281</v>
      </c>
      <c r="K189" s="109" t="s">
        <v>82</v>
      </c>
      <c r="L189" s="109" t="s">
        <v>83</v>
      </c>
      <c r="M189" s="1" t="s">
        <v>728</v>
      </c>
      <c r="N189" s="109" t="s">
        <v>124</v>
      </c>
      <c r="O189" s="109" t="s">
        <v>125</v>
      </c>
      <c r="P189" s="64" t="s">
        <v>729</v>
      </c>
      <c r="Q189" s="2" t="s">
        <v>88</v>
      </c>
      <c r="R189" s="64" t="s">
        <v>731</v>
      </c>
      <c r="T189" s="67" t="s">
        <v>110</v>
      </c>
      <c r="Y189" s="104" t="str">
        <f t="shared" si="288"/>
        <v>Obsolete</v>
      </c>
      <c r="Z189" s="11">
        <f t="shared" si="352"/>
        <v>41683</v>
      </c>
      <c r="AA189" s="124" t="str">
        <f t="shared" si="353"/>
        <v>2014 - 07</v>
      </c>
      <c r="AB189" s="124">
        <f t="shared" si="354"/>
        <v>2014</v>
      </c>
    </row>
    <row r="190" spans="2:28" x14ac:dyDescent="0.25">
      <c r="B190" s="65">
        <v>41683</v>
      </c>
      <c r="C190" s="66">
        <v>41683</v>
      </c>
      <c r="D190" s="68">
        <f t="shared" ref="D190" si="367">IF(B190&gt;0,MONTH(B190),"False")</f>
        <v>2</v>
      </c>
      <c r="E190" s="66" t="str">
        <f t="shared" ref="E190" si="368">YEAR(B190) &amp; CHOOSE(D190,"-Jan","-Feb","-Mar","-Apr","-May","-Jun","-Jul","-Aug","-Sep","-Oct","-Nov","-Dec")</f>
        <v>2014-Feb</v>
      </c>
      <c r="F190" s="68">
        <f t="shared" ref="F190" si="369">IF(C190&gt;0,MONTH(C190),"False")</f>
        <v>2</v>
      </c>
      <c r="G190" s="204" t="s">
        <v>121</v>
      </c>
      <c r="H190" s="109" t="s">
        <v>166</v>
      </c>
      <c r="J190" s="109" t="s">
        <v>120</v>
      </c>
      <c r="K190" s="109" t="s">
        <v>82</v>
      </c>
      <c r="L190" s="109" t="s">
        <v>79</v>
      </c>
      <c r="M190" s="1" t="s">
        <v>730</v>
      </c>
      <c r="N190" s="109" t="s">
        <v>124</v>
      </c>
      <c r="O190" s="109" t="s">
        <v>147</v>
      </c>
      <c r="P190" s="64" t="s">
        <v>557</v>
      </c>
      <c r="R190" s="64" t="s">
        <v>594</v>
      </c>
      <c r="S190" s="204" t="s">
        <v>104</v>
      </c>
      <c r="T190" s="67" t="s">
        <v>110</v>
      </c>
      <c r="X190" s="204" t="s">
        <v>1312</v>
      </c>
      <c r="Y190" s="104" t="str">
        <f t="shared" si="288"/>
        <v>Pass</v>
      </c>
      <c r="Z190" s="11" t="str">
        <f t="shared" si="352"/>
        <v/>
      </c>
      <c r="AA190" s="124" t="str">
        <f t="shared" si="353"/>
        <v/>
      </c>
      <c r="AB190" s="124" t="str">
        <f t="shared" si="354"/>
        <v/>
      </c>
    </row>
    <row r="191" spans="2:28" x14ac:dyDescent="0.25">
      <c r="B191" s="65">
        <v>41683</v>
      </c>
      <c r="C191" s="66">
        <v>41683</v>
      </c>
      <c r="D191" s="68">
        <f t="shared" ref="D191" si="370">IF(B191&gt;0,MONTH(B191),"False")</f>
        <v>2</v>
      </c>
      <c r="E191" s="66" t="str">
        <f t="shared" ref="E191" si="371">YEAR(B191) &amp; CHOOSE(D191,"-Jan","-Feb","-Mar","-Apr","-May","-Jun","-Jul","-Aug","-Sep","-Oct","-Nov","-Dec")</f>
        <v>2014-Feb</v>
      </c>
      <c r="F191" s="68">
        <f t="shared" ref="F191" si="372">IF(C191&gt;0,MONTH(C191),"False")</f>
        <v>2</v>
      </c>
      <c r="G191" s="127" t="s">
        <v>105</v>
      </c>
      <c r="H191" s="109" t="s">
        <v>280</v>
      </c>
      <c r="J191" s="109" t="s">
        <v>333</v>
      </c>
      <c r="K191" s="109" t="s">
        <v>82</v>
      </c>
      <c r="L191" s="109" t="s">
        <v>79</v>
      </c>
      <c r="M191" s="1" t="s">
        <v>732</v>
      </c>
      <c r="N191" s="109" t="s">
        <v>124</v>
      </c>
      <c r="O191" s="109" t="s">
        <v>116</v>
      </c>
      <c r="P191" s="64" t="s">
        <v>305</v>
      </c>
      <c r="R191" s="64" t="s">
        <v>715</v>
      </c>
      <c r="S191" s="127" t="s">
        <v>104</v>
      </c>
      <c r="X191" s="127" t="s">
        <v>462</v>
      </c>
      <c r="Y191" s="113" t="str">
        <f t="shared" si="288"/>
        <v>Pass</v>
      </c>
      <c r="Z191" s="11" t="str">
        <f t="shared" si="352"/>
        <v/>
      </c>
      <c r="AA191" s="124" t="str">
        <f t="shared" si="353"/>
        <v/>
      </c>
      <c r="AB191" s="124" t="str">
        <f t="shared" si="354"/>
        <v/>
      </c>
    </row>
    <row r="192" spans="2:28" x14ac:dyDescent="0.25">
      <c r="B192" s="65">
        <v>41683</v>
      </c>
      <c r="C192" s="66">
        <v>41683</v>
      </c>
      <c r="D192" s="68">
        <f t="shared" ref="D192" si="373">IF(B192&gt;0,MONTH(B192),"False")</f>
        <v>2</v>
      </c>
      <c r="E192" s="66" t="str">
        <f t="shared" ref="E192" si="374">YEAR(B192) &amp; CHOOSE(D192,"-Jan","-Feb","-Mar","-Apr","-May","-Jun","-Jul","-Aug","-Sep","-Oct","-Nov","-Dec")</f>
        <v>2014-Feb</v>
      </c>
      <c r="F192" s="68">
        <f t="shared" ref="F192" si="375">IF(C192&gt;0,MONTH(C192),"False")</f>
        <v>2</v>
      </c>
      <c r="G192" s="152" t="s">
        <v>105</v>
      </c>
      <c r="H192" s="110" t="s">
        <v>166</v>
      </c>
      <c r="J192" s="110" t="s">
        <v>98</v>
      </c>
      <c r="K192" s="110" t="s">
        <v>82</v>
      </c>
      <c r="L192" s="110" t="s">
        <v>79</v>
      </c>
      <c r="M192" s="1" t="s">
        <v>733</v>
      </c>
      <c r="N192" s="110" t="s">
        <v>124</v>
      </c>
      <c r="O192" s="110" t="s">
        <v>286</v>
      </c>
      <c r="P192" s="64" t="s">
        <v>336</v>
      </c>
      <c r="R192" s="64" t="s">
        <v>711</v>
      </c>
      <c r="S192" s="152" t="s">
        <v>104</v>
      </c>
      <c r="T192" s="67" t="s">
        <v>110</v>
      </c>
      <c r="X192" s="152" t="s">
        <v>297</v>
      </c>
      <c r="Y192" s="113" t="str">
        <f t="shared" si="288"/>
        <v>Pass</v>
      </c>
      <c r="Z192" s="11" t="str">
        <f t="shared" si="352"/>
        <v/>
      </c>
      <c r="AA192" s="124" t="str">
        <f t="shared" si="353"/>
        <v/>
      </c>
      <c r="AB192" s="124" t="str">
        <f t="shared" si="354"/>
        <v/>
      </c>
    </row>
    <row r="193" spans="2:28" x14ac:dyDescent="0.25">
      <c r="B193" s="65">
        <v>41684</v>
      </c>
      <c r="C193" s="66">
        <v>41684</v>
      </c>
      <c r="D193" s="68">
        <f t="shared" ref="D193" si="376">IF(B193&gt;0,MONTH(B193),"False")</f>
        <v>2</v>
      </c>
      <c r="E193" s="66" t="str">
        <f t="shared" ref="E193" si="377">YEAR(B193) &amp; CHOOSE(D193,"-Jan","-Feb","-Mar","-Apr","-May","-Jun","-Jul","-Aug","-Sep","-Oct","-Nov","-Dec")</f>
        <v>2014-Feb</v>
      </c>
      <c r="F193" s="68">
        <f t="shared" ref="F193" si="378">IF(C193&gt;0,MONTH(C193),"False")</f>
        <v>2</v>
      </c>
      <c r="G193" s="133" t="s">
        <v>105</v>
      </c>
      <c r="H193" s="111" t="s">
        <v>86</v>
      </c>
      <c r="J193" s="111" t="s">
        <v>77</v>
      </c>
      <c r="K193" s="111" t="s">
        <v>82</v>
      </c>
      <c r="L193" s="111" t="s">
        <v>79</v>
      </c>
      <c r="M193" s="1" t="s">
        <v>734</v>
      </c>
      <c r="N193" s="111" t="s">
        <v>124</v>
      </c>
      <c r="O193" s="111" t="s">
        <v>143</v>
      </c>
      <c r="P193" s="64" t="s">
        <v>317</v>
      </c>
      <c r="R193" s="64" t="s">
        <v>169</v>
      </c>
      <c r="S193" s="133" t="s">
        <v>104</v>
      </c>
      <c r="X193" s="133" t="s">
        <v>476</v>
      </c>
      <c r="Y193" s="113" t="str">
        <f t="shared" si="288"/>
        <v>Pass</v>
      </c>
      <c r="Z193" s="11" t="str">
        <f t="shared" si="352"/>
        <v/>
      </c>
      <c r="AA193" s="124" t="str">
        <f t="shared" si="353"/>
        <v/>
      </c>
      <c r="AB193" s="124" t="str">
        <f t="shared" si="354"/>
        <v/>
      </c>
    </row>
    <row r="194" spans="2:28" x14ac:dyDescent="0.25">
      <c r="B194" s="65">
        <v>41684</v>
      </c>
      <c r="C194" s="66">
        <v>41684</v>
      </c>
      <c r="D194" s="68">
        <f t="shared" ref="D194:D195" si="379">IF(B194&gt;0,MONTH(B194),"False")</f>
        <v>2</v>
      </c>
      <c r="E194" s="66" t="str">
        <f t="shared" ref="E194:E195" si="380">YEAR(B194) &amp; CHOOSE(D194,"-Jan","-Feb","-Mar","-Apr","-May","-Jun","-Jul","-Aug","-Sep","-Oct","-Nov","-Dec")</f>
        <v>2014-Feb</v>
      </c>
      <c r="F194" s="68">
        <f t="shared" ref="F194:F195" si="381">IF(C194&gt;0,MONTH(C194),"False")</f>
        <v>2</v>
      </c>
      <c r="G194" s="111" t="s">
        <v>75</v>
      </c>
      <c r="H194" s="111" t="s">
        <v>166</v>
      </c>
      <c r="J194" s="111" t="s">
        <v>98</v>
      </c>
      <c r="K194" s="111" t="s">
        <v>84</v>
      </c>
      <c r="L194" s="111" t="s">
        <v>83</v>
      </c>
      <c r="M194" s="1" t="s">
        <v>735</v>
      </c>
      <c r="N194" s="111" t="s">
        <v>124</v>
      </c>
      <c r="O194" s="111" t="s">
        <v>152</v>
      </c>
      <c r="P194" s="64" t="s">
        <v>736</v>
      </c>
      <c r="Y194" s="113" t="str">
        <f t="shared" si="288"/>
        <v>Unknown</v>
      </c>
      <c r="Z194" s="11" t="str">
        <f t="shared" si="352"/>
        <v/>
      </c>
      <c r="AA194" s="124" t="str">
        <f t="shared" si="353"/>
        <v/>
      </c>
      <c r="AB194" s="124" t="str">
        <f t="shared" si="354"/>
        <v/>
      </c>
    </row>
    <row r="195" spans="2:28" x14ac:dyDescent="0.25">
      <c r="B195" s="65">
        <v>41684</v>
      </c>
      <c r="C195" s="66">
        <v>41684</v>
      </c>
      <c r="D195" s="68">
        <f t="shared" si="379"/>
        <v>2</v>
      </c>
      <c r="E195" s="66" t="str">
        <f t="shared" si="380"/>
        <v>2014-Feb</v>
      </c>
      <c r="F195" s="68">
        <f t="shared" si="381"/>
        <v>2</v>
      </c>
      <c r="G195" s="119" t="s">
        <v>121</v>
      </c>
      <c r="H195" s="111" t="s">
        <v>316</v>
      </c>
      <c r="J195" s="111" t="s">
        <v>81</v>
      </c>
      <c r="K195" s="111" t="s">
        <v>82</v>
      </c>
      <c r="L195" s="111" t="s">
        <v>79</v>
      </c>
      <c r="M195" s="1" t="s">
        <v>737</v>
      </c>
      <c r="N195" s="111" t="s">
        <v>124</v>
      </c>
      <c r="O195" s="111" t="s">
        <v>353</v>
      </c>
      <c r="P195" s="64" t="s">
        <v>340</v>
      </c>
      <c r="R195" s="64" t="s">
        <v>705</v>
      </c>
      <c r="S195" s="119" t="s">
        <v>104</v>
      </c>
      <c r="X195" s="119" t="s">
        <v>300</v>
      </c>
      <c r="Y195" s="113" t="str">
        <f t="shared" si="288"/>
        <v>Pass</v>
      </c>
      <c r="Z195" s="11" t="str">
        <f t="shared" si="352"/>
        <v/>
      </c>
      <c r="AA195" s="124" t="str">
        <f t="shared" si="353"/>
        <v/>
      </c>
      <c r="AB195" s="124" t="str">
        <f t="shared" si="354"/>
        <v/>
      </c>
    </row>
    <row r="196" spans="2:28" x14ac:dyDescent="0.25">
      <c r="B196" s="65">
        <v>41684</v>
      </c>
      <c r="C196" s="66">
        <v>41684</v>
      </c>
      <c r="D196" s="68">
        <f t="shared" ref="D196" si="382">IF(B196&gt;0,MONTH(B196),"False")</f>
        <v>2</v>
      </c>
      <c r="E196" s="66" t="str">
        <f t="shared" ref="E196" si="383">YEAR(B196) &amp; CHOOSE(D196,"-Jan","-Feb","-Mar","-Apr","-May","-Jun","-Jul","-Aug","-Sep","-Oct","-Nov","-Dec")</f>
        <v>2014-Feb</v>
      </c>
      <c r="F196" s="68">
        <f t="shared" ref="F196" si="384">IF(C196&gt;0,MONTH(C196),"False")</f>
        <v>2</v>
      </c>
      <c r="G196" s="114" t="s">
        <v>121</v>
      </c>
      <c r="H196" s="111" t="s">
        <v>10</v>
      </c>
      <c r="J196" s="111" t="s">
        <v>281</v>
      </c>
      <c r="K196" s="111" t="s">
        <v>82</v>
      </c>
      <c r="L196" s="111" t="s">
        <v>83</v>
      </c>
      <c r="M196" s="1" t="s">
        <v>738</v>
      </c>
      <c r="N196" s="111" t="s">
        <v>124</v>
      </c>
      <c r="O196" s="111" t="s">
        <v>125</v>
      </c>
      <c r="P196" s="64" t="s">
        <v>739</v>
      </c>
      <c r="R196" s="64" t="s">
        <v>731</v>
      </c>
      <c r="S196" s="114" t="s">
        <v>104</v>
      </c>
      <c r="X196" s="114" t="s">
        <v>349</v>
      </c>
      <c r="Y196" s="113" t="str">
        <f t="shared" si="288"/>
        <v>Pass</v>
      </c>
      <c r="Z196" s="11" t="str">
        <f t="shared" si="352"/>
        <v/>
      </c>
      <c r="AA196" s="124" t="str">
        <f t="shared" si="353"/>
        <v/>
      </c>
      <c r="AB196" s="124" t="str">
        <f t="shared" si="354"/>
        <v/>
      </c>
    </row>
    <row r="197" spans="2:28" x14ac:dyDescent="0.25">
      <c r="B197" s="66">
        <v>41684</v>
      </c>
      <c r="C197" s="66">
        <v>41684</v>
      </c>
      <c r="D197" s="68">
        <f t="shared" ref="D197" si="385">IF(B197&gt;0,MONTH(B197),"False")</f>
        <v>2</v>
      </c>
      <c r="E197" s="66" t="str">
        <f t="shared" ref="E197" si="386">YEAR(B197) &amp; CHOOSE(D197,"-Jan","-Feb","-Mar","-Apr","-May","-Jun","-Jul","-Aug","-Sep","-Oct","-Nov","-Dec")</f>
        <v>2014-Feb</v>
      </c>
      <c r="F197" s="68">
        <f t="shared" ref="F197" si="387">IF(C197&gt;0,MONTH(C197),"False")</f>
        <v>2</v>
      </c>
      <c r="G197" s="152" t="s">
        <v>126</v>
      </c>
      <c r="H197" s="111" t="s">
        <v>280</v>
      </c>
      <c r="J197" s="111" t="s">
        <v>98</v>
      </c>
      <c r="K197" s="111" t="s">
        <v>84</v>
      </c>
      <c r="L197" s="111" t="s">
        <v>83</v>
      </c>
      <c r="M197" s="1" t="s">
        <v>741</v>
      </c>
      <c r="N197" s="111" t="s">
        <v>124</v>
      </c>
      <c r="O197" s="111" t="s">
        <v>152</v>
      </c>
      <c r="R197" s="64" t="s">
        <v>740</v>
      </c>
      <c r="S197" s="152" t="s">
        <v>104</v>
      </c>
      <c r="T197" s="67" t="s">
        <v>110</v>
      </c>
      <c r="X197" s="152" t="s">
        <v>297</v>
      </c>
      <c r="Y197" s="113" t="str">
        <f t="shared" si="288"/>
        <v>Pass</v>
      </c>
      <c r="Z197" s="11" t="str">
        <f t="shared" si="352"/>
        <v/>
      </c>
      <c r="AA197" s="124" t="str">
        <f t="shared" si="353"/>
        <v/>
      </c>
      <c r="AB197" s="124" t="str">
        <f t="shared" si="354"/>
        <v/>
      </c>
    </row>
    <row r="198" spans="2:28" x14ac:dyDescent="0.25">
      <c r="B198" s="66">
        <v>41684</v>
      </c>
      <c r="C198" s="66">
        <v>41684</v>
      </c>
      <c r="D198" s="68">
        <f t="shared" ref="D198:D200" si="388">IF(B198&gt;0,MONTH(B198),"False")</f>
        <v>2</v>
      </c>
      <c r="E198" s="66" t="str">
        <f t="shared" ref="E198:E200" si="389">YEAR(B198) &amp; CHOOSE(D198,"-Jan","-Feb","-Mar","-Apr","-May","-Jun","-Jul","-Aug","-Sep","-Oct","-Nov","-Dec")</f>
        <v>2014-Feb</v>
      </c>
      <c r="F198" s="68">
        <f t="shared" ref="F198:F200" si="390">IF(C198&gt;0,MONTH(C198),"False")</f>
        <v>2</v>
      </c>
      <c r="G198" s="111" t="s">
        <v>87</v>
      </c>
      <c r="H198" s="111" t="s">
        <v>166</v>
      </c>
      <c r="J198" s="111" t="s">
        <v>78</v>
      </c>
      <c r="K198" s="111" t="s">
        <v>78</v>
      </c>
      <c r="L198" s="111" t="s">
        <v>79</v>
      </c>
      <c r="M198" s="1" t="s">
        <v>742</v>
      </c>
      <c r="N198" s="111" t="s">
        <v>124</v>
      </c>
      <c r="O198" s="111" t="s">
        <v>287</v>
      </c>
      <c r="Q198" s="2" t="s">
        <v>88</v>
      </c>
      <c r="R198" s="64" t="s">
        <v>488</v>
      </c>
      <c r="Y198" s="113" t="str">
        <f t="shared" si="288"/>
        <v>Obsolete</v>
      </c>
      <c r="Z198" s="11">
        <f t="shared" si="352"/>
        <v>41684</v>
      </c>
      <c r="AA198" s="124" t="str">
        <f t="shared" si="353"/>
        <v>2014 - 07</v>
      </c>
      <c r="AB198" s="124">
        <f t="shared" si="354"/>
        <v>2014</v>
      </c>
    </row>
    <row r="199" spans="2:28" x14ac:dyDescent="0.25">
      <c r="B199" s="65">
        <v>41684</v>
      </c>
      <c r="C199" s="66">
        <v>41684</v>
      </c>
      <c r="D199" s="68">
        <f t="shared" si="388"/>
        <v>2</v>
      </c>
      <c r="E199" s="66" t="str">
        <f t="shared" si="389"/>
        <v>2014-Feb</v>
      </c>
      <c r="F199" s="68">
        <f t="shared" si="390"/>
        <v>2</v>
      </c>
      <c r="G199" s="127" t="s">
        <v>121</v>
      </c>
      <c r="H199" s="111" t="s">
        <v>28</v>
      </c>
      <c r="J199" s="111" t="s">
        <v>77</v>
      </c>
      <c r="K199" s="111" t="s">
        <v>82</v>
      </c>
      <c r="L199" s="111" t="s">
        <v>79</v>
      </c>
      <c r="M199" s="1" t="s">
        <v>743</v>
      </c>
      <c r="N199" s="111" t="s">
        <v>124</v>
      </c>
      <c r="O199" s="111" t="s">
        <v>142</v>
      </c>
      <c r="P199" s="64" t="s">
        <v>334</v>
      </c>
      <c r="R199" s="64" t="s">
        <v>335</v>
      </c>
      <c r="S199" s="127" t="s">
        <v>104</v>
      </c>
      <c r="X199" s="127" t="s">
        <v>153</v>
      </c>
      <c r="Y199" s="113" t="str">
        <f t="shared" si="288"/>
        <v>Pass</v>
      </c>
      <c r="Z199" s="11" t="str">
        <f t="shared" si="352"/>
        <v/>
      </c>
      <c r="AA199" s="124" t="str">
        <f t="shared" si="353"/>
        <v/>
      </c>
      <c r="AB199" s="124" t="str">
        <f t="shared" si="354"/>
        <v/>
      </c>
    </row>
    <row r="200" spans="2:28" x14ac:dyDescent="0.25">
      <c r="B200" s="65">
        <v>41684</v>
      </c>
      <c r="C200" s="66"/>
      <c r="D200" s="68">
        <f t="shared" si="388"/>
        <v>2</v>
      </c>
      <c r="E200" s="66" t="str">
        <f t="shared" si="389"/>
        <v>2014-Feb</v>
      </c>
      <c r="F200" s="68" t="str">
        <f t="shared" si="390"/>
        <v>False</v>
      </c>
      <c r="G200" s="111" t="s">
        <v>75</v>
      </c>
      <c r="H200" s="111" t="s">
        <v>136</v>
      </c>
      <c r="J200" s="111" t="s">
        <v>119</v>
      </c>
      <c r="K200" s="111" t="s">
        <v>119</v>
      </c>
      <c r="L200" s="111" t="s">
        <v>83</v>
      </c>
      <c r="M200" s="1" t="s">
        <v>744</v>
      </c>
      <c r="N200" s="111" t="s">
        <v>124</v>
      </c>
      <c r="O200" s="111" t="s">
        <v>272</v>
      </c>
      <c r="P200" s="64" t="s">
        <v>675</v>
      </c>
      <c r="Q200" s="2" t="s">
        <v>94</v>
      </c>
      <c r="Y200" s="113" t="str">
        <f t="shared" si="288"/>
        <v>Obsolete</v>
      </c>
      <c r="Z200" s="11">
        <f t="shared" si="352"/>
        <v>41684</v>
      </c>
      <c r="AA200" s="124" t="str">
        <f t="shared" si="353"/>
        <v>2014 - 07</v>
      </c>
      <c r="AB200" s="124">
        <f t="shared" si="354"/>
        <v>2014</v>
      </c>
    </row>
    <row r="201" spans="2:28" x14ac:dyDescent="0.25">
      <c r="B201" s="65">
        <v>41684</v>
      </c>
      <c r="C201" s="66"/>
      <c r="D201" s="68">
        <f t="shared" ref="D201:D202" si="391">IF(B201&gt;0,MONTH(B201),"False")</f>
        <v>2</v>
      </c>
      <c r="E201" s="66" t="str">
        <f t="shared" ref="E201:E202" si="392">YEAR(B201) &amp; CHOOSE(D201,"-Jan","-Feb","-Mar","-Apr","-May","-Jun","-Jul","-Aug","-Sep","-Oct","-Nov","-Dec")</f>
        <v>2014-Feb</v>
      </c>
      <c r="F201" s="68" t="str">
        <f t="shared" ref="F201:F202" si="393">IF(C201&gt;0,MONTH(C201),"False")</f>
        <v>False</v>
      </c>
      <c r="G201" s="111" t="s">
        <v>75</v>
      </c>
      <c r="H201" s="111" t="s">
        <v>136</v>
      </c>
      <c r="I201" s="111"/>
      <c r="J201" s="111" t="s">
        <v>119</v>
      </c>
      <c r="K201" s="111" t="s">
        <v>119</v>
      </c>
      <c r="L201" s="111" t="s">
        <v>83</v>
      </c>
      <c r="M201" s="1" t="s">
        <v>745</v>
      </c>
      <c r="N201" s="111" t="s">
        <v>124</v>
      </c>
      <c r="O201" s="111" t="s">
        <v>272</v>
      </c>
      <c r="P201" s="64" t="s">
        <v>675</v>
      </c>
      <c r="Q201" s="2" t="s">
        <v>94</v>
      </c>
      <c r="Y201" s="113" t="str">
        <f t="shared" si="288"/>
        <v>Obsolete</v>
      </c>
      <c r="Z201" s="11">
        <f t="shared" si="352"/>
        <v>41684</v>
      </c>
      <c r="AA201" s="124" t="str">
        <f t="shared" si="353"/>
        <v>2014 - 07</v>
      </c>
      <c r="AB201" s="124">
        <f t="shared" si="354"/>
        <v>2014</v>
      </c>
    </row>
    <row r="202" spans="2:28" x14ac:dyDescent="0.25">
      <c r="B202" s="65">
        <v>41684</v>
      </c>
      <c r="C202" s="66"/>
      <c r="D202" s="68">
        <f t="shared" si="391"/>
        <v>2</v>
      </c>
      <c r="E202" s="66" t="str">
        <f t="shared" si="392"/>
        <v>2014-Feb</v>
      </c>
      <c r="F202" s="68" t="str">
        <f t="shared" si="393"/>
        <v>False</v>
      </c>
      <c r="G202" s="111" t="s">
        <v>75</v>
      </c>
      <c r="H202" s="111" t="s">
        <v>136</v>
      </c>
      <c r="I202" s="111"/>
      <c r="J202" s="111" t="s">
        <v>119</v>
      </c>
      <c r="K202" s="111" t="s">
        <v>119</v>
      </c>
      <c r="L202" s="111" t="s">
        <v>83</v>
      </c>
      <c r="M202" s="1" t="s">
        <v>746</v>
      </c>
      <c r="N202" s="111" t="s">
        <v>124</v>
      </c>
      <c r="O202" s="111" t="s">
        <v>272</v>
      </c>
      <c r="P202" s="64" t="s">
        <v>675</v>
      </c>
      <c r="Q202" s="2" t="s">
        <v>94</v>
      </c>
      <c r="Y202" s="113" t="str">
        <f t="shared" si="288"/>
        <v>Obsolete</v>
      </c>
      <c r="Z202" s="11">
        <f t="shared" si="352"/>
        <v>41684</v>
      </c>
      <c r="AA202" s="124" t="str">
        <f t="shared" si="353"/>
        <v>2014 - 07</v>
      </c>
      <c r="AB202" s="124">
        <f t="shared" si="354"/>
        <v>2014</v>
      </c>
    </row>
    <row r="203" spans="2:28" x14ac:dyDescent="0.25">
      <c r="B203" s="65">
        <v>41684</v>
      </c>
      <c r="C203" s="66"/>
      <c r="D203" s="68">
        <f t="shared" ref="D203:D205" si="394">IF(B203&gt;0,MONTH(B203),"False")</f>
        <v>2</v>
      </c>
      <c r="E203" s="66" t="str">
        <f t="shared" ref="E203:E205" si="395">YEAR(B203) &amp; CHOOSE(D203,"-Jan","-Feb","-Mar","-Apr","-May","-Jun","-Jul","-Aug","-Sep","-Oct","-Nov","-Dec")</f>
        <v>2014-Feb</v>
      </c>
      <c r="F203" s="68" t="str">
        <f t="shared" ref="F203:F205" si="396">IF(C203&gt;0,MONTH(C203),"False")</f>
        <v>False</v>
      </c>
      <c r="G203" s="111" t="s">
        <v>75</v>
      </c>
      <c r="H203" s="111" t="s">
        <v>136</v>
      </c>
      <c r="J203" s="111" t="s">
        <v>77</v>
      </c>
      <c r="K203" s="111" t="s">
        <v>82</v>
      </c>
      <c r="L203" s="111" t="s">
        <v>79</v>
      </c>
      <c r="M203" s="1" t="s">
        <v>747</v>
      </c>
      <c r="N203" s="111" t="s">
        <v>124</v>
      </c>
      <c r="O203" s="111" t="s">
        <v>114</v>
      </c>
      <c r="P203" s="64" t="s">
        <v>750</v>
      </c>
      <c r="Q203" s="2" t="s">
        <v>94</v>
      </c>
      <c r="Y203" s="113" t="str">
        <f t="shared" si="288"/>
        <v>Obsolete</v>
      </c>
      <c r="Z203" s="11">
        <f t="shared" si="352"/>
        <v>41684</v>
      </c>
      <c r="AA203" s="124" t="str">
        <f t="shared" si="353"/>
        <v>2014 - 07</v>
      </c>
      <c r="AB203" s="124">
        <f t="shared" si="354"/>
        <v>2014</v>
      </c>
    </row>
    <row r="204" spans="2:28" x14ac:dyDescent="0.25">
      <c r="B204" s="65">
        <v>41684</v>
      </c>
      <c r="C204" s="66"/>
      <c r="D204" s="68">
        <f t="shared" si="394"/>
        <v>2</v>
      </c>
      <c r="E204" s="66" t="str">
        <f t="shared" si="395"/>
        <v>2014-Feb</v>
      </c>
      <c r="F204" s="68" t="str">
        <f t="shared" si="396"/>
        <v>False</v>
      </c>
      <c r="G204" s="111" t="s">
        <v>75</v>
      </c>
      <c r="H204" s="111" t="s">
        <v>136</v>
      </c>
      <c r="J204" s="111" t="s">
        <v>77</v>
      </c>
      <c r="K204" s="111" t="s">
        <v>82</v>
      </c>
      <c r="L204" s="111" t="s">
        <v>79</v>
      </c>
      <c r="M204" s="1" t="s">
        <v>748</v>
      </c>
      <c r="N204" s="111" t="s">
        <v>124</v>
      </c>
      <c r="O204" s="111" t="s">
        <v>114</v>
      </c>
      <c r="P204" s="64" t="s">
        <v>750</v>
      </c>
      <c r="Q204" s="2" t="s">
        <v>94</v>
      </c>
      <c r="Y204" s="113" t="str">
        <f t="shared" ref="Y204:Y267" si="397">IF(Q204&gt;0,"Obsolete",IF(S204&gt;0,S204,"Unknown"))</f>
        <v>Obsolete</v>
      </c>
      <c r="Z204" s="11">
        <f t="shared" si="352"/>
        <v>41684</v>
      </c>
      <c r="AA204" s="124" t="str">
        <f t="shared" si="353"/>
        <v>2014 - 07</v>
      </c>
      <c r="AB204" s="124">
        <f t="shared" si="354"/>
        <v>2014</v>
      </c>
    </row>
    <row r="205" spans="2:28" x14ac:dyDescent="0.25">
      <c r="B205" s="65">
        <v>41684</v>
      </c>
      <c r="C205" s="66"/>
      <c r="D205" s="68">
        <f t="shared" si="394"/>
        <v>2</v>
      </c>
      <c r="E205" s="66" t="str">
        <f t="shared" si="395"/>
        <v>2014-Feb</v>
      </c>
      <c r="F205" s="68" t="str">
        <f t="shared" si="396"/>
        <v>False</v>
      </c>
      <c r="G205" s="111" t="s">
        <v>75</v>
      </c>
      <c r="H205" s="111" t="s">
        <v>136</v>
      </c>
      <c r="J205" s="111" t="s">
        <v>77</v>
      </c>
      <c r="K205" s="111" t="s">
        <v>82</v>
      </c>
      <c r="L205" s="111" t="s">
        <v>79</v>
      </c>
      <c r="M205" s="1" t="s">
        <v>749</v>
      </c>
      <c r="N205" s="111" t="s">
        <v>124</v>
      </c>
      <c r="O205" s="111" t="s">
        <v>114</v>
      </c>
      <c r="P205" s="64" t="s">
        <v>750</v>
      </c>
      <c r="Q205" s="2" t="s">
        <v>94</v>
      </c>
      <c r="Y205" s="113" t="str">
        <f t="shared" si="397"/>
        <v>Obsolete</v>
      </c>
      <c r="Z205" s="11">
        <f t="shared" si="352"/>
        <v>41684</v>
      </c>
      <c r="AA205" s="124" t="str">
        <f t="shared" si="353"/>
        <v>2014 - 07</v>
      </c>
      <c r="AB205" s="124">
        <f t="shared" si="354"/>
        <v>2014</v>
      </c>
    </row>
    <row r="206" spans="2:28" x14ac:dyDescent="0.25">
      <c r="B206" s="65">
        <v>41684</v>
      </c>
      <c r="C206" s="66">
        <v>41697</v>
      </c>
      <c r="D206" s="68">
        <f t="shared" ref="D206:D210" si="398">IF(B206&gt;0,MONTH(B206),"False")</f>
        <v>2</v>
      </c>
      <c r="E206" s="66" t="str">
        <f t="shared" ref="E206:E210" si="399">YEAR(B206) &amp; CHOOSE(D206,"-Jan","-Feb","-Mar","-Apr","-May","-Jun","-Jul","-Aug","-Sep","-Oct","-Nov","-Dec")</f>
        <v>2014-Feb</v>
      </c>
      <c r="F206" s="68">
        <f t="shared" ref="F206:F210" si="400">IF(C206&gt;0,MONTH(C206),"False")</f>
        <v>2</v>
      </c>
      <c r="G206" s="121" t="s">
        <v>93</v>
      </c>
      <c r="H206" s="111" t="s">
        <v>136</v>
      </c>
      <c r="J206" s="111" t="s">
        <v>120</v>
      </c>
      <c r="K206" s="111" t="s">
        <v>82</v>
      </c>
      <c r="L206" s="111" t="s">
        <v>83</v>
      </c>
      <c r="M206" s="1" t="s">
        <v>751</v>
      </c>
      <c r="N206" s="111" t="s">
        <v>124</v>
      </c>
      <c r="O206" s="111" t="s">
        <v>114</v>
      </c>
      <c r="P206" s="64" t="s">
        <v>750</v>
      </c>
      <c r="R206" s="64" t="s">
        <v>797</v>
      </c>
      <c r="S206" s="197" t="s">
        <v>104</v>
      </c>
      <c r="Y206" s="113" t="str">
        <f t="shared" si="397"/>
        <v>Pass</v>
      </c>
      <c r="Z206" s="11" t="str">
        <f t="shared" si="352"/>
        <v/>
      </c>
      <c r="AA206" s="124" t="str">
        <f t="shared" si="353"/>
        <v/>
      </c>
      <c r="AB206" s="124" t="str">
        <f t="shared" si="354"/>
        <v/>
      </c>
    </row>
    <row r="207" spans="2:28" x14ac:dyDescent="0.25">
      <c r="B207" s="65">
        <v>41684</v>
      </c>
      <c r="C207" s="66"/>
      <c r="D207" s="68">
        <f t="shared" si="398"/>
        <v>2</v>
      </c>
      <c r="E207" s="66" t="str">
        <f t="shared" si="399"/>
        <v>2014-Feb</v>
      </c>
      <c r="F207" s="68" t="str">
        <f t="shared" si="400"/>
        <v>False</v>
      </c>
      <c r="G207" s="111" t="s">
        <v>75</v>
      </c>
      <c r="H207" s="111" t="s">
        <v>136</v>
      </c>
      <c r="J207" s="111" t="s">
        <v>120</v>
      </c>
      <c r="K207" s="111" t="s">
        <v>82</v>
      </c>
      <c r="L207" s="111" t="s">
        <v>79</v>
      </c>
      <c r="M207" s="1" t="s">
        <v>752</v>
      </c>
      <c r="N207" s="111" t="s">
        <v>124</v>
      </c>
      <c r="O207" s="111" t="s">
        <v>114</v>
      </c>
      <c r="P207" s="64" t="s">
        <v>750</v>
      </c>
      <c r="Q207" s="2" t="s">
        <v>94</v>
      </c>
      <c r="T207" s="67" t="s">
        <v>110</v>
      </c>
      <c r="Y207" s="113" t="str">
        <f t="shared" si="397"/>
        <v>Obsolete</v>
      </c>
      <c r="Z207" s="11">
        <f t="shared" si="352"/>
        <v>41684</v>
      </c>
      <c r="AA207" s="124" t="str">
        <f t="shared" si="353"/>
        <v>2014 - 07</v>
      </c>
      <c r="AB207" s="124">
        <f t="shared" si="354"/>
        <v>2014</v>
      </c>
    </row>
    <row r="208" spans="2:28" x14ac:dyDescent="0.25">
      <c r="B208" s="65">
        <v>41684</v>
      </c>
      <c r="C208" s="66"/>
      <c r="D208" s="68">
        <f t="shared" si="398"/>
        <v>2</v>
      </c>
      <c r="E208" s="66" t="str">
        <f t="shared" si="399"/>
        <v>2014-Feb</v>
      </c>
      <c r="F208" s="68" t="str">
        <f t="shared" si="400"/>
        <v>False</v>
      </c>
      <c r="G208" s="111" t="s">
        <v>75</v>
      </c>
      <c r="H208" s="111" t="s">
        <v>136</v>
      </c>
      <c r="J208" s="111" t="s">
        <v>120</v>
      </c>
      <c r="K208" s="111" t="s">
        <v>82</v>
      </c>
      <c r="L208" s="111" t="s">
        <v>79</v>
      </c>
      <c r="M208" s="1" t="s">
        <v>753</v>
      </c>
      <c r="N208" s="111" t="s">
        <v>124</v>
      </c>
      <c r="O208" s="111" t="s">
        <v>114</v>
      </c>
      <c r="P208" s="64" t="s">
        <v>750</v>
      </c>
      <c r="Q208" s="2" t="s">
        <v>88</v>
      </c>
      <c r="Y208" s="113" t="str">
        <f t="shared" si="397"/>
        <v>Obsolete</v>
      </c>
      <c r="Z208" s="11">
        <f t="shared" si="352"/>
        <v>0</v>
      </c>
      <c r="AA208" s="124" t="str">
        <f t="shared" si="353"/>
        <v>1900 - 00</v>
      </c>
      <c r="AB208" s="124">
        <f t="shared" si="354"/>
        <v>1900</v>
      </c>
    </row>
    <row r="209" spans="2:28" x14ac:dyDescent="0.25">
      <c r="B209" s="65">
        <v>41684</v>
      </c>
      <c r="C209" s="66"/>
      <c r="D209" s="68">
        <f t="shared" si="398"/>
        <v>2</v>
      </c>
      <c r="E209" s="66" t="str">
        <f t="shared" si="399"/>
        <v>2014-Feb</v>
      </c>
      <c r="F209" s="68" t="str">
        <f t="shared" si="400"/>
        <v>False</v>
      </c>
      <c r="G209" s="111" t="s">
        <v>75</v>
      </c>
      <c r="H209" s="111" t="s">
        <v>136</v>
      </c>
      <c r="I209" s="111"/>
      <c r="J209" s="111" t="s">
        <v>77</v>
      </c>
      <c r="K209" s="111" t="s">
        <v>82</v>
      </c>
      <c r="L209" s="111" t="s">
        <v>79</v>
      </c>
      <c r="M209" s="1" t="s">
        <v>755</v>
      </c>
      <c r="N209" s="111" t="s">
        <v>124</v>
      </c>
      <c r="O209" s="111" t="s">
        <v>272</v>
      </c>
      <c r="P209" s="64" t="s">
        <v>750</v>
      </c>
      <c r="Q209" s="2" t="s">
        <v>94</v>
      </c>
      <c r="Y209" s="113" t="str">
        <f t="shared" si="397"/>
        <v>Obsolete</v>
      </c>
      <c r="Z209" s="11">
        <f t="shared" si="352"/>
        <v>41684</v>
      </c>
      <c r="AA209" s="124" t="str">
        <f t="shared" si="353"/>
        <v>2014 - 07</v>
      </c>
      <c r="AB209" s="124">
        <f t="shared" si="354"/>
        <v>2014</v>
      </c>
    </row>
    <row r="210" spans="2:28" x14ac:dyDescent="0.25">
      <c r="B210" s="66">
        <v>41687</v>
      </c>
      <c r="C210" s="66">
        <v>41687</v>
      </c>
      <c r="D210" s="68">
        <f t="shared" si="398"/>
        <v>2</v>
      </c>
      <c r="E210" s="66" t="str">
        <f t="shared" si="399"/>
        <v>2014-Feb</v>
      </c>
      <c r="F210" s="68">
        <f t="shared" si="400"/>
        <v>2</v>
      </c>
      <c r="G210" s="112" t="s">
        <v>87</v>
      </c>
      <c r="H210" s="112" t="s">
        <v>726</v>
      </c>
      <c r="J210" s="112" t="s">
        <v>78</v>
      </c>
      <c r="K210" s="112" t="s">
        <v>78</v>
      </c>
      <c r="L210" s="112" t="s">
        <v>79</v>
      </c>
      <c r="M210" s="1" t="s">
        <v>757</v>
      </c>
      <c r="N210" s="112" t="s">
        <v>124</v>
      </c>
      <c r="O210" s="112" t="s">
        <v>167</v>
      </c>
      <c r="R210" s="64" t="s">
        <v>727</v>
      </c>
      <c r="Y210" s="113" t="str">
        <f t="shared" si="397"/>
        <v>Unknown</v>
      </c>
      <c r="Z210" s="11" t="str">
        <f t="shared" ref="Z210:Z232" si="401">IF(Q210="Obsolete-LQA",C210,IF(Q210="Obsolete-IT",B210,""))</f>
        <v/>
      </c>
      <c r="AA210" s="124" t="str">
        <f t="shared" ref="AA210:AA232" si="402">IFERROR(YEAR(Z210)&amp;" - "&amp; IF(LEN( WEEKNUM(Z210))=1,"0" &amp; WEEKNUM(Z210),WEEKNUM(Z210)),"")</f>
        <v/>
      </c>
      <c r="AB210" s="124" t="str">
        <f t="shared" ref="AB210:AB232" si="403">IFERROR(YEAR(Z210),"")</f>
        <v/>
      </c>
    </row>
    <row r="211" spans="2:28" x14ac:dyDescent="0.25">
      <c r="B211" s="66">
        <v>41687</v>
      </c>
      <c r="C211" s="66">
        <v>41687</v>
      </c>
      <c r="D211" s="68">
        <f t="shared" ref="D211" si="404">IF(B211&gt;0,MONTH(B211),"False")</f>
        <v>2</v>
      </c>
      <c r="E211" s="66" t="str">
        <f t="shared" ref="E211" si="405">YEAR(B211) &amp; CHOOSE(D211,"-Jan","-Feb","-Mar","-Apr","-May","-Jun","-Jul","-Aug","-Sep","-Oct","-Nov","-Dec")</f>
        <v>2014-Feb</v>
      </c>
      <c r="F211" s="68">
        <f t="shared" ref="F211" si="406">IF(C211&gt;0,MONTH(C211),"False")</f>
        <v>2</v>
      </c>
      <c r="G211" s="134" t="s">
        <v>157</v>
      </c>
      <c r="H211" s="112" t="s">
        <v>28</v>
      </c>
      <c r="J211" s="112" t="s">
        <v>78</v>
      </c>
      <c r="K211" s="112" t="s">
        <v>78</v>
      </c>
      <c r="L211" s="112" t="s">
        <v>79</v>
      </c>
      <c r="M211" s="1" t="s">
        <v>758</v>
      </c>
      <c r="N211" s="112" t="s">
        <v>124</v>
      </c>
      <c r="O211" s="112" t="s">
        <v>168</v>
      </c>
      <c r="R211" s="64" t="s">
        <v>308</v>
      </c>
      <c r="S211" s="134" t="s">
        <v>104</v>
      </c>
      <c r="X211" s="134" t="s">
        <v>879</v>
      </c>
      <c r="Y211" s="113" t="str">
        <f t="shared" si="397"/>
        <v>Pass</v>
      </c>
      <c r="Z211" s="11" t="str">
        <f t="shared" si="401"/>
        <v/>
      </c>
      <c r="AA211" s="124" t="str">
        <f t="shared" si="402"/>
        <v/>
      </c>
      <c r="AB211" s="124" t="str">
        <f t="shared" si="403"/>
        <v/>
      </c>
    </row>
    <row r="212" spans="2:28" x14ac:dyDescent="0.25">
      <c r="B212" s="66">
        <v>41687</v>
      </c>
      <c r="C212" s="66">
        <v>41687</v>
      </c>
      <c r="D212" s="68">
        <f t="shared" ref="D212" si="407">IF(B212&gt;0,MONTH(B212),"False")</f>
        <v>2</v>
      </c>
      <c r="E212" s="66" t="str">
        <f t="shared" ref="E212" si="408">YEAR(B212) &amp; CHOOSE(D212,"-Jan","-Feb","-Mar","-Apr","-May","-Jun","-Jul","-Aug","-Sep","-Oct","-Nov","-Dec")</f>
        <v>2014-Feb</v>
      </c>
      <c r="F212" s="68">
        <f t="shared" ref="F212" si="409">IF(C212&gt;0,MONTH(C212),"False")</f>
        <v>2</v>
      </c>
      <c r="G212" s="114" t="s">
        <v>126</v>
      </c>
      <c r="H212" s="112" t="s">
        <v>280</v>
      </c>
      <c r="J212" s="112" t="s">
        <v>78</v>
      </c>
      <c r="K212" s="112" t="s">
        <v>78</v>
      </c>
      <c r="L212" s="112" t="s">
        <v>79</v>
      </c>
      <c r="M212" s="1" t="s">
        <v>759</v>
      </c>
      <c r="N212" s="112" t="s">
        <v>124</v>
      </c>
      <c r="O212" s="112" t="s">
        <v>138</v>
      </c>
      <c r="R212" s="64" t="s">
        <v>344</v>
      </c>
      <c r="S212" s="114" t="s">
        <v>104</v>
      </c>
      <c r="X212" s="114" t="s">
        <v>544</v>
      </c>
      <c r="Y212" s="113" t="str">
        <f t="shared" si="397"/>
        <v>Pass</v>
      </c>
      <c r="Z212" s="11" t="str">
        <f t="shared" si="401"/>
        <v/>
      </c>
      <c r="AA212" s="124" t="str">
        <f t="shared" si="402"/>
        <v/>
      </c>
      <c r="AB212" s="124" t="str">
        <f t="shared" si="403"/>
        <v/>
      </c>
    </row>
    <row r="213" spans="2:28" x14ac:dyDescent="0.25">
      <c r="B213" s="65">
        <v>41687</v>
      </c>
      <c r="C213" s="66">
        <v>41687</v>
      </c>
      <c r="D213" s="68">
        <f t="shared" ref="D213" si="410">IF(B213&gt;0,MONTH(B213),"False")</f>
        <v>2</v>
      </c>
      <c r="E213" s="66" t="str">
        <f t="shared" ref="E213" si="411">YEAR(B213) &amp; CHOOSE(D213,"-Jan","-Feb","-Mar","-Apr","-May","-Jun","-Jul","-Aug","-Sep","-Oct","-Nov","-Dec")</f>
        <v>2014-Feb</v>
      </c>
      <c r="F213" s="68">
        <f t="shared" ref="F213" si="412">IF(C213&gt;0,MONTH(C213),"False")</f>
        <v>2</v>
      </c>
      <c r="G213" s="113" t="s">
        <v>121</v>
      </c>
      <c r="H213" s="112" t="s">
        <v>103</v>
      </c>
      <c r="J213" s="112" t="s">
        <v>77</v>
      </c>
      <c r="K213" s="112" t="s">
        <v>82</v>
      </c>
      <c r="L213" s="112" t="s">
        <v>79</v>
      </c>
      <c r="M213" s="1" t="s">
        <v>760</v>
      </c>
      <c r="N213" s="112" t="s">
        <v>124</v>
      </c>
      <c r="O213" s="112" t="s">
        <v>265</v>
      </c>
      <c r="P213" s="64" t="s">
        <v>351</v>
      </c>
      <c r="R213" s="64" t="s">
        <v>361</v>
      </c>
      <c r="S213" s="113" t="s">
        <v>104</v>
      </c>
      <c r="T213" s="67" t="s">
        <v>110</v>
      </c>
      <c r="X213" s="113" t="s">
        <v>158</v>
      </c>
      <c r="Y213" s="113" t="str">
        <f t="shared" si="397"/>
        <v>Pass</v>
      </c>
      <c r="Z213" s="11" t="str">
        <f t="shared" si="401"/>
        <v/>
      </c>
      <c r="AA213" s="124" t="str">
        <f t="shared" si="402"/>
        <v/>
      </c>
      <c r="AB213" s="124" t="str">
        <f t="shared" si="403"/>
        <v/>
      </c>
    </row>
    <row r="214" spans="2:28" x14ac:dyDescent="0.25">
      <c r="B214" s="65">
        <v>41687</v>
      </c>
      <c r="C214" s="66">
        <v>41687</v>
      </c>
      <c r="D214" s="68">
        <f t="shared" ref="D214:D215" si="413">IF(B214&gt;0,MONTH(B214),"False")</f>
        <v>2</v>
      </c>
      <c r="E214" s="66" t="str">
        <f t="shared" ref="E214:E215" si="414">YEAR(B214) &amp; CHOOSE(D214,"-Jan","-Feb","-Mar","-Apr","-May","-Jun","-Jul","-Aug","-Sep","-Oct","-Nov","-Dec")</f>
        <v>2014-Feb</v>
      </c>
      <c r="F214" s="68">
        <f t="shared" ref="F214:F215" si="415">IF(C214&gt;0,MONTH(C214),"False")</f>
        <v>2</v>
      </c>
      <c r="G214" s="152" t="s">
        <v>121</v>
      </c>
      <c r="H214" s="112" t="s">
        <v>166</v>
      </c>
      <c r="J214" s="112" t="s">
        <v>98</v>
      </c>
      <c r="K214" s="112" t="s">
        <v>82</v>
      </c>
      <c r="L214" s="112" t="s">
        <v>79</v>
      </c>
      <c r="M214" s="1" t="s">
        <v>761</v>
      </c>
      <c r="N214" s="112" t="s">
        <v>124</v>
      </c>
      <c r="O214" s="112" t="s">
        <v>286</v>
      </c>
      <c r="P214" s="64" t="s">
        <v>336</v>
      </c>
      <c r="R214" s="64" t="s">
        <v>762</v>
      </c>
      <c r="S214" s="152" t="s">
        <v>104</v>
      </c>
      <c r="T214" s="67" t="s">
        <v>110</v>
      </c>
      <c r="X214" s="152" t="s">
        <v>297</v>
      </c>
      <c r="Y214" s="113" t="str">
        <f t="shared" si="397"/>
        <v>Pass</v>
      </c>
      <c r="Z214" s="11" t="str">
        <f t="shared" si="401"/>
        <v/>
      </c>
      <c r="AA214" s="124" t="str">
        <f t="shared" si="402"/>
        <v/>
      </c>
      <c r="AB214" s="124" t="str">
        <f t="shared" si="403"/>
        <v/>
      </c>
    </row>
    <row r="215" spans="2:28" x14ac:dyDescent="0.25">
      <c r="B215" s="65">
        <v>41688</v>
      </c>
      <c r="C215" s="66">
        <v>41688</v>
      </c>
      <c r="D215" s="68">
        <f t="shared" si="413"/>
        <v>2</v>
      </c>
      <c r="E215" s="66" t="str">
        <f t="shared" si="414"/>
        <v>2014-Feb</v>
      </c>
      <c r="F215" s="68">
        <f t="shared" si="415"/>
        <v>2</v>
      </c>
      <c r="G215" s="113" t="s">
        <v>93</v>
      </c>
      <c r="H215" s="112" t="s">
        <v>280</v>
      </c>
      <c r="J215" s="112" t="s">
        <v>81</v>
      </c>
      <c r="K215" s="112" t="s">
        <v>82</v>
      </c>
      <c r="L215" s="112" t="s">
        <v>79</v>
      </c>
      <c r="M215" s="1" t="s">
        <v>763</v>
      </c>
      <c r="N215" s="112" t="s">
        <v>124</v>
      </c>
      <c r="O215" s="112" t="s">
        <v>286</v>
      </c>
      <c r="P215" s="64" t="s">
        <v>305</v>
      </c>
      <c r="R215" s="64" t="s">
        <v>305</v>
      </c>
      <c r="S215" s="291" t="s">
        <v>104</v>
      </c>
      <c r="T215" s="67" t="s">
        <v>110</v>
      </c>
      <c r="Y215" s="113" t="str">
        <f t="shared" si="397"/>
        <v>Pass</v>
      </c>
      <c r="Z215" s="11" t="str">
        <f t="shared" si="401"/>
        <v/>
      </c>
      <c r="AA215" s="124" t="str">
        <f t="shared" si="402"/>
        <v/>
      </c>
      <c r="AB215" s="124" t="str">
        <f t="shared" si="403"/>
        <v/>
      </c>
    </row>
    <row r="216" spans="2:28" x14ac:dyDescent="0.25">
      <c r="B216" s="65">
        <v>41688</v>
      </c>
      <c r="C216" s="66">
        <v>41688</v>
      </c>
      <c r="D216" s="68">
        <f t="shared" ref="D216" si="416">IF(B216&gt;0,MONTH(B216),"False")</f>
        <v>2</v>
      </c>
      <c r="E216" s="66" t="str">
        <f t="shared" ref="E216" si="417">YEAR(B216) &amp; CHOOSE(D216,"-Jan","-Feb","-Mar","-Apr","-May","-Jun","-Jul","-Aug","-Sep","-Oct","-Nov","-Dec")</f>
        <v>2014-Feb</v>
      </c>
      <c r="F216" s="68">
        <f t="shared" ref="F216" si="418">IF(C216&gt;0,MONTH(C216),"False")</f>
        <v>2</v>
      </c>
      <c r="G216" s="113" t="s">
        <v>93</v>
      </c>
      <c r="H216" s="113" t="s">
        <v>103</v>
      </c>
      <c r="J216" s="113" t="s">
        <v>77</v>
      </c>
      <c r="K216" s="113" t="s">
        <v>82</v>
      </c>
      <c r="L216" s="113" t="s">
        <v>79</v>
      </c>
      <c r="M216" s="1" t="s">
        <v>765</v>
      </c>
      <c r="N216" s="113" t="s">
        <v>124</v>
      </c>
      <c r="O216" s="113" t="s">
        <v>265</v>
      </c>
      <c r="P216" s="64" t="s">
        <v>351</v>
      </c>
      <c r="Q216" s="2" t="s">
        <v>88</v>
      </c>
      <c r="R216" s="64" t="s">
        <v>361</v>
      </c>
      <c r="Y216" s="113" t="str">
        <f t="shared" si="397"/>
        <v>Obsolete</v>
      </c>
      <c r="Z216" s="11">
        <f t="shared" si="401"/>
        <v>41688</v>
      </c>
      <c r="AA216" s="124" t="str">
        <f t="shared" si="402"/>
        <v>2014 - 08</v>
      </c>
      <c r="AB216" s="124">
        <f t="shared" si="403"/>
        <v>2014</v>
      </c>
    </row>
    <row r="217" spans="2:28" x14ac:dyDescent="0.25">
      <c r="B217" s="65">
        <v>41688</v>
      </c>
      <c r="C217" s="66">
        <v>41688</v>
      </c>
      <c r="D217" s="68">
        <f t="shared" ref="D217:D218" si="419">IF(B217&gt;0,MONTH(B217),"False")</f>
        <v>2</v>
      </c>
      <c r="E217" s="66" t="str">
        <f t="shared" ref="E217:E218" si="420">YEAR(B217) &amp; CHOOSE(D217,"-Jan","-Feb","-Mar","-Apr","-May","-Jun","-Jul","-Aug","-Sep","-Oct","-Nov","-Dec")</f>
        <v>2014-Feb</v>
      </c>
      <c r="F217" s="68">
        <f t="shared" ref="F217:F218" si="421">IF(C217&gt;0,MONTH(C217),"False")</f>
        <v>2</v>
      </c>
      <c r="G217" s="114" t="s">
        <v>121</v>
      </c>
      <c r="H217" s="113" t="s">
        <v>103</v>
      </c>
      <c r="I217" s="113"/>
      <c r="J217" s="113" t="s">
        <v>77</v>
      </c>
      <c r="K217" s="113" t="s">
        <v>82</v>
      </c>
      <c r="L217" s="113" t="s">
        <v>79</v>
      </c>
      <c r="M217" s="1" t="s">
        <v>764</v>
      </c>
      <c r="N217" s="113" t="s">
        <v>124</v>
      </c>
      <c r="O217" s="113" t="s">
        <v>265</v>
      </c>
      <c r="P217" s="64" t="s">
        <v>351</v>
      </c>
      <c r="R217" s="64" t="s">
        <v>361</v>
      </c>
      <c r="S217" s="114" t="s">
        <v>104</v>
      </c>
      <c r="X217" s="114" t="s">
        <v>158</v>
      </c>
      <c r="Y217" s="113" t="str">
        <f t="shared" si="397"/>
        <v>Pass</v>
      </c>
      <c r="Z217" s="11" t="str">
        <f t="shared" si="401"/>
        <v/>
      </c>
      <c r="AA217" s="124" t="str">
        <f t="shared" si="402"/>
        <v/>
      </c>
      <c r="AB217" s="124" t="str">
        <f t="shared" si="403"/>
        <v/>
      </c>
    </row>
    <row r="218" spans="2:28" x14ac:dyDescent="0.25">
      <c r="B218" s="66">
        <v>41690</v>
      </c>
      <c r="C218" s="66">
        <v>41690</v>
      </c>
      <c r="D218" s="68">
        <f t="shared" si="419"/>
        <v>2</v>
      </c>
      <c r="E218" s="66" t="str">
        <f t="shared" si="420"/>
        <v>2014-Feb</v>
      </c>
      <c r="F218" s="68">
        <f t="shared" si="421"/>
        <v>2</v>
      </c>
      <c r="G218" s="134" t="s">
        <v>157</v>
      </c>
      <c r="H218" s="115" t="s">
        <v>28</v>
      </c>
      <c r="I218" s="115"/>
      <c r="J218" s="115" t="s">
        <v>78</v>
      </c>
      <c r="K218" s="115" t="s">
        <v>78</v>
      </c>
      <c r="L218" s="115" t="s">
        <v>79</v>
      </c>
      <c r="M218" s="1" t="s">
        <v>766</v>
      </c>
      <c r="N218" s="115" t="s">
        <v>124</v>
      </c>
      <c r="O218" s="115" t="s">
        <v>168</v>
      </c>
      <c r="R218" s="64" t="s">
        <v>308</v>
      </c>
      <c r="S218" s="134" t="s">
        <v>104</v>
      </c>
      <c r="X218" s="134" t="s">
        <v>879</v>
      </c>
      <c r="Y218" s="113" t="str">
        <f t="shared" si="397"/>
        <v>Pass</v>
      </c>
      <c r="Z218" s="11" t="str">
        <f t="shared" si="401"/>
        <v/>
      </c>
      <c r="AA218" s="124" t="str">
        <f t="shared" si="402"/>
        <v/>
      </c>
      <c r="AB218" s="124" t="str">
        <f t="shared" si="403"/>
        <v/>
      </c>
    </row>
    <row r="219" spans="2:28" x14ac:dyDescent="0.25">
      <c r="B219" s="66">
        <v>41691</v>
      </c>
      <c r="C219" s="66">
        <v>41691</v>
      </c>
      <c r="D219" s="68">
        <f t="shared" ref="D219" si="422">IF(B219&gt;0,MONTH(B219),"False")</f>
        <v>2</v>
      </c>
      <c r="E219" s="66" t="str">
        <f t="shared" ref="E219" si="423">YEAR(B219) &amp; CHOOSE(D219,"-Jan","-Feb","-Mar","-Apr","-May","-Jun","-Jul","-Aug","-Sep","-Oct","-Nov","-Dec")</f>
        <v>2014-Feb</v>
      </c>
      <c r="F219" s="68">
        <f t="shared" ref="F219" si="424">IF(C219&gt;0,MONTH(C219),"False")</f>
        <v>2</v>
      </c>
      <c r="G219" s="116" t="s">
        <v>87</v>
      </c>
      <c r="H219" s="116" t="s">
        <v>726</v>
      </c>
      <c r="J219" s="116" t="s">
        <v>78</v>
      </c>
      <c r="K219" s="116" t="s">
        <v>78</v>
      </c>
      <c r="L219" s="116" t="s">
        <v>79</v>
      </c>
      <c r="M219" s="1" t="s">
        <v>767</v>
      </c>
      <c r="N219" s="116" t="s">
        <v>124</v>
      </c>
      <c r="O219" s="116" t="s">
        <v>167</v>
      </c>
      <c r="R219" s="64" t="s">
        <v>727</v>
      </c>
      <c r="Y219" s="113" t="str">
        <f t="shared" si="397"/>
        <v>Unknown</v>
      </c>
      <c r="Z219" s="11" t="str">
        <f t="shared" si="401"/>
        <v/>
      </c>
      <c r="AA219" s="124" t="str">
        <f t="shared" si="402"/>
        <v/>
      </c>
      <c r="AB219" s="124" t="str">
        <f t="shared" si="403"/>
        <v/>
      </c>
    </row>
    <row r="220" spans="2:28" x14ac:dyDescent="0.25">
      <c r="B220" s="66">
        <v>41691</v>
      </c>
      <c r="C220" s="66">
        <v>41691</v>
      </c>
      <c r="D220" s="68">
        <f t="shared" ref="D220" si="425">IF(B220&gt;0,MONTH(B220),"False")</f>
        <v>2</v>
      </c>
      <c r="E220" s="66" t="str">
        <f t="shared" ref="E220" si="426">YEAR(B220) &amp; CHOOSE(D220,"-Jan","-Feb","-Mar","-Apr","-May","-Jun","-Jul","-Aug","-Sep","-Oct","-Nov","-Dec")</f>
        <v>2014-Feb</v>
      </c>
      <c r="F220" s="68">
        <f t="shared" ref="F220" si="427">IF(C220&gt;0,MONTH(C220),"False")</f>
        <v>2</v>
      </c>
      <c r="G220" s="116" t="s">
        <v>87</v>
      </c>
      <c r="H220" s="116" t="s">
        <v>136</v>
      </c>
      <c r="J220" s="116" t="s">
        <v>78</v>
      </c>
      <c r="K220" s="116" t="s">
        <v>78</v>
      </c>
      <c r="L220" s="116" t="s">
        <v>79</v>
      </c>
      <c r="M220" s="1" t="s">
        <v>768</v>
      </c>
      <c r="N220" s="116" t="s">
        <v>124</v>
      </c>
      <c r="O220" s="116" t="s">
        <v>324</v>
      </c>
      <c r="Q220" s="2" t="s">
        <v>88</v>
      </c>
      <c r="R220" s="64" t="s">
        <v>769</v>
      </c>
      <c r="Y220" s="113" t="str">
        <f t="shared" si="397"/>
        <v>Obsolete</v>
      </c>
      <c r="Z220" s="11">
        <f t="shared" si="401"/>
        <v>41691</v>
      </c>
      <c r="AA220" s="124" t="str">
        <f t="shared" si="402"/>
        <v>2014 - 08</v>
      </c>
      <c r="AB220" s="124">
        <f t="shared" si="403"/>
        <v>2014</v>
      </c>
    </row>
    <row r="221" spans="2:28" x14ac:dyDescent="0.25">
      <c r="B221" s="66">
        <v>41691</v>
      </c>
      <c r="C221" s="66">
        <v>41691</v>
      </c>
      <c r="D221" s="68">
        <f t="shared" ref="D221:D222" si="428">IF(B221&gt;0,MONTH(B221),"False")</f>
        <v>2</v>
      </c>
      <c r="E221" s="66" t="str">
        <f t="shared" ref="E221:E222" si="429">YEAR(B221) &amp; CHOOSE(D221,"-Jan","-Feb","-Mar","-Apr","-May","-Jun","-Jul","-Aug","-Sep","-Oct","-Nov","-Dec")</f>
        <v>2014-Feb</v>
      </c>
      <c r="F221" s="68">
        <f t="shared" ref="F221:F222" si="430">IF(C221&gt;0,MONTH(C221),"False")</f>
        <v>2</v>
      </c>
      <c r="G221" s="130" t="s">
        <v>112</v>
      </c>
      <c r="H221" s="116" t="s">
        <v>331</v>
      </c>
      <c r="J221" s="116" t="s">
        <v>78</v>
      </c>
      <c r="K221" s="116" t="s">
        <v>78</v>
      </c>
      <c r="L221" s="116" t="s">
        <v>79</v>
      </c>
      <c r="M221" s="1" t="s">
        <v>770</v>
      </c>
      <c r="N221" s="116" t="s">
        <v>124</v>
      </c>
      <c r="O221" s="116" t="s">
        <v>97</v>
      </c>
      <c r="R221" s="64" t="s">
        <v>771</v>
      </c>
      <c r="S221" s="130" t="s">
        <v>104</v>
      </c>
      <c r="X221" s="130" t="s">
        <v>652</v>
      </c>
      <c r="Y221" s="113" t="str">
        <f t="shared" si="397"/>
        <v>Pass</v>
      </c>
      <c r="Z221" s="11" t="str">
        <f t="shared" si="401"/>
        <v/>
      </c>
      <c r="AA221" s="124" t="str">
        <f t="shared" si="402"/>
        <v/>
      </c>
      <c r="AB221" s="124" t="str">
        <f t="shared" si="403"/>
        <v/>
      </c>
    </row>
    <row r="222" spans="2:28" x14ac:dyDescent="0.25">
      <c r="B222" s="65">
        <v>41691</v>
      </c>
      <c r="C222" s="66">
        <v>41691</v>
      </c>
      <c r="D222" s="68">
        <f t="shared" si="428"/>
        <v>2</v>
      </c>
      <c r="E222" s="66" t="str">
        <f t="shared" si="429"/>
        <v>2014-Feb</v>
      </c>
      <c r="F222" s="68">
        <f t="shared" si="430"/>
        <v>2</v>
      </c>
      <c r="G222" s="117" t="s">
        <v>121</v>
      </c>
      <c r="H222" s="116" t="s">
        <v>348</v>
      </c>
      <c r="J222" s="116" t="s">
        <v>77</v>
      </c>
      <c r="K222" s="116" t="s">
        <v>82</v>
      </c>
      <c r="L222" s="116" t="s">
        <v>79</v>
      </c>
      <c r="M222" s="1" t="s">
        <v>772</v>
      </c>
      <c r="N222" s="116" t="s">
        <v>124</v>
      </c>
      <c r="O222" s="116" t="s">
        <v>343</v>
      </c>
      <c r="P222" s="64" t="s">
        <v>352</v>
      </c>
      <c r="R222" s="64" t="s">
        <v>626</v>
      </c>
      <c r="S222" s="117" t="s">
        <v>104</v>
      </c>
      <c r="X222" s="117" t="s">
        <v>270</v>
      </c>
      <c r="Y222" s="113" t="str">
        <f t="shared" si="397"/>
        <v>Pass</v>
      </c>
      <c r="Z222" s="11" t="str">
        <f t="shared" si="401"/>
        <v/>
      </c>
      <c r="AA222" s="124" t="str">
        <f t="shared" si="402"/>
        <v/>
      </c>
      <c r="AB222" s="124" t="str">
        <f t="shared" si="403"/>
        <v/>
      </c>
    </row>
    <row r="223" spans="2:28" x14ac:dyDescent="0.25">
      <c r="B223" s="66">
        <v>41691</v>
      </c>
      <c r="C223" s="66">
        <v>41691</v>
      </c>
      <c r="D223" s="68">
        <f t="shared" ref="D223:D225" si="431">IF(B223&gt;0,MONTH(B223),"False")</f>
        <v>2</v>
      </c>
      <c r="E223" s="66" t="str">
        <f t="shared" ref="E223:E225" si="432">YEAR(B223) &amp; CHOOSE(D223,"-Jan","-Feb","-Mar","-Apr","-May","-Jun","-Jul","-Aug","-Sep","-Oct","-Nov","-Dec")</f>
        <v>2014-Feb</v>
      </c>
      <c r="F223" s="68">
        <f t="shared" ref="F223:F225" si="433">IF(C223&gt;0,MONTH(C223),"False")</f>
        <v>2</v>
      </c>
      <c r="G223" s="130" t="s">
        <v>112</v>
      </c>
      <c r="H223" s="116" t="s">
        <v>103</v>
      </c>
      <c r="J223" s="116" t="s">
        <v>78</v>
      </c>
      <c r="K223" s="116" t="s">
        <v>78</v>
      </c>
      <c r="L223" s="116" t="s">
        <v>79</v>
      </c>
      <c r="M223" s="1" t="s">
        <v>773</v>
      </c>
      <c r="N223" s="116" t="s">
        <v>124</v>
      </c>
      <c r="O223" s="116" t="s">
        <v>332</v>
      </c>
      <c r="R223" s="64" t="s">
        <v>475</v>
      </c>
      <c r="S223" s="130" t="s">
        <v>104</v>
      </c>
      <c r="X223" s="130" t="s">
        <v>298</v>
      </c>
      <c r="Y223" s="117" t="str">
        <f t="shared" si="397"/>
        <v>Pass</v>
      </c>
      <c r="Z223" s="11" t="str">
        <f t="shared" si="401"/>
        <v/>
      </c>
      <c r="AA223" s="124" t="str">
        <f t="shared" si="402"/>
        <v/>
      </c>
      <c r="AB223" s="124" t="str">
        <f t="shared" si="403"/>
        <v/>
      </c>
    </row>
    <row r="224" spans="2:28" x14ac:dyDescent="0.25">
      <c r="B224" s="65">
        <v>41691</v>
      </c>
      <c r="C224" s="66">
        <v>41691</v>
      </c>
      <c r="D224" s="68">
        <f t="shared" si="431"/>
        <v>2</v>
      </c>
      <c r="E224" s="66" t="str">
        <f t="shared" si="432"/>
        <v>2014-Feb</v>
      </c>
      <c r="F224" s="68">
        <f t="shared" si="433"/>
        <v>2</v>
      </c>
      <c r="G224" s="117" t="s">
        <v>121</v>
      </c>
      <c r="H224" s="116" t="s">
        <v>348</v>
      </c>
      <c r="J224" s="116" t="s">
        <v>77</v>
      </c>
      <c r="K224" s="116" t="s">
        <v>82</v>
      </c>
      <c r="L224" s="116" t="s">
        <v>79</v>
      </c>
      <c r="M224" s="1" t="s">
        <v>774</v>
      </c>
      <c r="N224" s="116" t="s">
        <v>124</v>
      </c>
      <c r="O224" s="116" t="s">
        <v>343</v>
      </c>
      <c r="P224" s="64" t="s">
        <v>352</v>
      </c>
      <c r="R224" s="64" t="s">
        <v>626</v>
      </c>
      <c r="S224" s="117" t="s">
        <v>104</v>
      </c>
      <c r="X224" s="117" t="s">
        <v>270</v>
      </c>
      <c r="Y224" s="117" t="str">
        <f t="shared" si="397"/>
        <v>Pass</v>
      </c>
      <c r="Z224" s="11" t="str">
        <f t="shared" si="401"/>
        <v/>
      </c>
      <c r="AA224" s="124" t="str">
        <f t="shared" si="402"/>
        <v/>
      </c>
      <c r="AB224" s="124" t="str">
        <f t="shared" si="403"/>
        <v/>
      </c>
    </row>
    <row r="225" spans="2:28" x14ac:dyDescent="0.25">
      <c r="B225" s="66">
        <v>41691</v>
      </c>
      <c r="C225" s="66">
        <v>41691</v>
      </c>
      <c r="D225" s="68">
        <f t="shared" si="431"/>
        <v>2</v>
      </c>
      <c r="E225" s="66" t="str">
        <f t="shared" si="432"/>
        <v>2014-Feb</v>
      </c>
      <c r="F225" s="68">
        <f t="shared" si="433"/>
        <v>2</v>
      </c>
      <c r="G225" s="126" t="s">
        <v>126</v>
      </c>
      <c r="H225" s="116" t="s">
        <v>280</v>
      </c>
      <c r="I225" s="116"/>
      <c r="J225" s="116" t="s">
        <v>78</v>
      </c>
      <c r="K225" s="116" t="s">
        <v>78</v>
      </c>
      <c r="L225" s="116" t="s">
        <v>79</v>
      </c>
      <c r="M225" s="1" t="s">
        <v>775</v>
      </c>
      <c r="N225" s="116" t="s">
        <v>124</v>
      </c>
      <c r="O225" s="116" t="s">
        <v>138</v>
      </c>
      <c r="R225" s="64" t="s">
        <v>344</v>
      </c>
      <c r="S225" s="126" t="s">
        <v>104</v>
      </c>
      <c r="X225" s="126" t="s">
        <v>544</v>
      </c>
      <c r="Y225" s="117" t="str">
        <f t="shared" si="397"/>
        <v>Pass</v>
      </c>
      <c r="Z225" s="11" t="str">
        <f t="shared" si="401"/>
        <v/>
      </c>
      <c r="AA225" s="124" t="str">
        <f t="shared" si="402"/>
        <v/>
      </c>
      <c r="AB225" s="124" t="str">
        <f t="shared" si="403"/>
        <v/>
      </c>
    </row>
    <row r="226" spans="2:28" x14ac:dyDescent="0.25">
      <c r="B226" s="65">
        <v>41694</v>
      </c>
      <c r="C226" s="66">
        <v>41694</v>
      </c>
      <c r="D226" s="68">
        <f t="shared" ref="D226:D227" si="434">IF(B226&gt;0,MONTH(B226),"False")</f>
        <v>2</v>
      </c>
      <c r="E226" s="66" t="str">
        <f t="shared" ref="E226:E227" si="435">YEAR(B226) &amp; CHOOSE(D226,"-Jan","-Feb","-Mar","-Apr","-May","-Jun","-Jul","-Aug","-Sep","-Oct","-Nov","-Dec")</f>
        <v>2014-Feb</v>
      </c>
      <c r="F226" s="68">
        <f t="shared" ref="F226:F227" si="436">IF(C226&gt;0,MONTH(C226),"False")</f>
        <v>2</v>
      </c>
      <c r="G226" s="126" t="s">
        <v>105</v>
      </c>
      <c r="H226" s="117" t="s">
        <v>280</v>
      </c>
      <c r="J226" s="117" t="s">
        <v>146</v>
      </c>
      <c r="K226" s="117" t="s">
        <v>82</v>
      </c>
      <c r="L226" s="117" t="s">
        <v>79</v>
      </c>
      <c r="M226" s="1" t="s">
        <v>776</v>
      </c>
      <c r="N226" s="117" t="s">
        <v>124</v>
      </c>
      <c r="O226" s="117" t="s">
        <v>529</v>
      </c>
      <c r="P226" s="64" t="s">
        <v>305</v>
      </c>
      <c r="R226" s="64" t="s">
        <v>780</v>
      </c>
      <c r="S226" s="126" t="s">
        <v>104</v>
      </c>
      <c r="T226" s="67" t="s">
        <v>110</v>
      </c>
      <c r="X226" s="126" t="s">
        <v>544</v>
      </c>
      <c r="Y226" s="117" t="str">
        <f t="shared" si="397"/>
        <v>Pass</v>
      </c>
      <c r="Z226" s="11" t="str">
        <f t="shared" si="401"/>
        <v/>
      </c>
      <c r="AA226" s="124" t="str">
        <f t="shared" si="402"/>
        <v/>
      </c>
      <c r="AB226" s="124" t="str">
        <f t="shared" si="403"/>
        <v/>
      </c>
    </row>
    <row r="227" spans="2:28" x14ac:dyDescent="0.25">
      <c r="B227" s="66">
        <v>41694</v>
      </c>
      <c r="C227" s="66">
        <v>41694</v>
      </c>
      <c r="D227" s="68">
        <f t="shared" si="434"/>
        <v>2</v>
      </c>
      <c r="E227" s="66" t="str">
        <f t="shared" si="435"/>
        <v>2014-Feb</v>
      </c>
      <c r="F227" s="68">
        <f t="shared" si="436"/>
        <v>2</v>
      </c>
      <c r="G227" s="131" t="s">
        <v>112</v>
      </c>
      <c r="H227" s="117" t="s">
        <v>166</v>
      </c>
      <c r="J227" s="117" t="s">
        <v>78</v>
      </c>
      <c r="K227" s="117" t="s">
        <v>78</v>
      </c>
      <c r="L227" s="117" t="s">
        <v>79</v>
      </c>
      <c r="M227" s="1" t="s">
        <v>777</v>
      </c>
      <c r="N227" s="117" t="s">
        <v>124</v>
      </c>
      <c r="O227" s="117" t="s">
        <v>287</v>
      </c>
      <c r="R227" s="64" t="s">
        <v>488</v>
      </c>
      <c r="S227" s="131" t="s">
        <v>104</v>
      </c>
      <c r="X227" s="131" t="s">
        <v>300</v>
      </c>
      <c r="Y227" s="117" t="str">
        <f t="shared" si="397"/>
        <v>Pass</v>
      </c>
      <c r="Z227" s="11" t="str">
        <f t="shared" si="401"/>
        <v/>
      </c>
      <c r="AA227" s="124" t="str">
        <f t="shared" si="402"/>
        <v/>
      </c>
      <c r="AB227" s="124" t="str">
        <f t="shared" si="403"/>
        <v/>
      </c>
    </row>
    <row r="228" spans="2:28" x14ac:dyDescent="0.25">
      <c r="B228" s="66">
        <v>41694</v>
      </c>
      <c r="C228" s="66">
        <v>41694</v>
      </c>
      <c r="D228" s="68">
        <f t="shared" ref="D228" si="437">IF(B228&gt;0,MONTH(B228),"False")</f>
        <v>2</v>
      </c>
      <c r="E228" s="66" t="str">
        <f t="shared" ref="E228" si="438">YEAR(B228) &amp; CHOOSE(D228,"-Jan","-Feb","-Mar","-Apr","-May","-Jun","-Jul","-Aug","-Sep","-Oct","-Nov","-Dec")</f>
        <v>2014-Feb</v>
      </c>
      <c r="F228" s="68">
        <f t="shared" ref="F228" si="439">IF(C228&gt;0,MONTH(C228),"False")</f>
        <v>2</v>
      </c>
      <c r="G228" s="136" t="s">
        <v>112</v>
      </c>
      <c r="H228" s="117" t="s">
        <v>348</v>
      </c>
      <c r="J228" s="117" t="s">
        <v>78</v>
      </c>
      <c r="K228" s="117" t="s">
        <v>78</v>
      </c>
      <c r="L228" s="117" t="s">
        <v>79</v>
      </c>
      <c r="M228" s="1" t="s">
        <v>778</v>
      </c>
      <c r="N228" s="117" t="s">
        <v>124</v>
      </c>
      <c r="O228" s="117" t="s">
        <v>97</v>
      </c>
      <c r="R228" s="64" t="s">
        <v>708</v>
      </c>
      <c r="S228" s="136" t="s">
        <v>104</v>
      </c>
      <c r="X228" s="136" t="s">
        <v>154</v>
      </c>
      <c r="Y228" s="117" t="str">
        <f t="shared" si="397"/>
        <v>Pass</v>
      </c>
      <c r="Z228" s="11" t="str">
        <f t="shared" si="401"/>
        <v/>
      </c>
      <c r="AA228" s="124" t="str">
        <f t="shared" si="402"/>
        <v/>
      </c>
      <c r="AB228" s="124" t="str">
        <f t="shared" si="403"/>
        <v/>
      </c>
    </row>
    <row r="229" spans="2:28" x14ac:dyDescent="0.25">
      <c r="B229" s="66">
        <v>41694</v>
      </c>
      <c r="C229" s="66">
        <v>41694</v>
      </c>
      <c r="D229" s="68">
        <f t="shared" ref="D229:D233" si="440">IF(B229&gt;0,MONTH(B229),"False")</f>
        <v>2</v>
      </c>
      <c r="E229" s="66" t="str">
        <f t="shared" ref="E229:E233" si="441">YEAR(B229) &amp; CHOOSE(D229,"-Jan","-Feb","-Mar","-Apr","-May","-Jun","-Jul","-Aug","-Sep","-Oct","-Nov","-Dec")</f>
        <v>2014-Feb</v>
      </c>
      <c r="F229" s="68">
        <f t="shared" ref="F229:F233" si="442">IF(C229&gt;0,MONTH(C229),"False")</f>
        <v>2</v>
      </c>
      <c r="G229" s="117" t="s">
        <v>87</v>
      </c>
      <c r="H229" s="117" t="s">
        <v>280</v>
      </c>
      <c r="J229" s="117" t="s">
        <v>78</v>
      </c>
      <c r="K229" s="117" t="s">
        <v>78</v>
      </c>
      <c r="L229" s="117" t="s">
        <v>79</v>
      </c>
      <c r="M229" s="1" t="s">
        <v>779</v>
      </c>
      <c r="N229" s="117" t="s">
        <v>124</v>
      </c>
      <c r="O229" s="117" t="s">
        <v>138</v>
      </c>
      <c r="R229" s="64" t="s">
        <v>344</v>
      </c>
      <c r="S229" s="291" t="s">
        <v>104</v>
      </c>
      <c r="T229" s="67" t="s">
        <v>110</v>
      </c>
      <c r="Y229" s="117" t="str">
        <f t="shared" si="397"/>
        <v>Pass</v>
      </c>
      <c r="Z229" s="11" t="str">
        <f t="shared" si="401"/>
        <v/>
      </c>
      <c r="AA229" s="124" t="str">
        <f t="shared" si="402"/>
        <v/>
      </c>
      <c r="AB229" s="124" t="str">
        <f t="shared" si="403"/>
        <v/>
      </c>
    </row>
    <row r="230" spans="2:28" x14ac:dyDescent="0.25">
      <c r="B230" s="65">
        <v>41695</v>
      </c>
      <c r="C230" s="66">
        <v>41695</v>
      </c>
      <c r="D230" s="68">
        <f t="shared" si="440"/>
        <v>2</v>
      </c>
      <c r="E230" s="66" t="str">
        <f t="shared" si="441"/>
        <v>2014-Feb</v>
      </c>
      <c r="F230" s="68">
        <f t="shared" si="442"/>
        <v>2</v>
      </c>
      <c r="G230" s="118" t="s">
        <v>93</v>
      </c>
      <c r="H230" s="118" t="s">
        <v>136</v>
      </c>
      <c r="I230" s="118"/>
      <c r="J230" s="118" t="s">
        <v>119</v>
      </c>
      <c r="K230" s="118" t="s">
        <v>119</v>
      </c>
      <c r="L230" s="118" t="s">
        <v>83</v>
      </c>
      <c r="M230" s="1" t="s">
        <v>781</v>
      </c>
      <c r="N230" s="118" t="s">
        <v>124</v>
      </c>
      <c r="O230" s="118" t="s">
        <v>272</v>
      </c>
      <c r="P230" s="64" t="s">
        <v>784</v>
      </c>
      <c r="Q230" s="2" t="s">
        <v>88</v>
      </c>
      <c r="R230" s="64" t="s">
        <v>785</v>
      </c>
      <c r="T230" s="67" t="s">
        <v>110</v>
      </c>
      <c r="Y230" s="117" t="str">
        <f t="shared" si="397"/>
        <v>Obsolete</v>
      </c>
      <c r="Z230" s="11">
        <f t="shared" si="401"/>
        <v>41695</v>
      </c>
      <c r="AA230" s="124" t="str">
        <f t="shared" si="402"/>
        <v>2014 - 09</v>
      </c>
      <c r="AB230" s="124">
        <f t="shared" si="403"/>
        <v>2014</v>
      </c>
    </row>
    <row r="231" spans="2:28" x14ac:dyDescent="0.25">
      <c r="B231" s="65">
        <v>41695</v>
      </c>
      <c r="C231" s="66">
        <v>41695</v>
      </c>
      <c r="D231" s="68">
        <f t="shared" si="440"/>
        <v>2</v>
      </c>
      <c r="E231" s="66" t="str">
        <f t="shared" si="441"/>
        <v>2014-Feb</v>
      </c>
      <c r="F231" s="68">
        <f t="shared" si="442"/>
        <v>2</v>
      </c>
      <c r="G231" s="222" t="s">
        <v>121</v>
      </c>
      <c r="H231" s="118" t="s">
        <v>136</v>
      </c>
      <c r="I231" s="118"/>
      <c r="J231" s="118" t="s">
        <v>119</v>
      </c>
      <c r="K231" s="118" t="s">
        <v>119</v>
      </c>
      <c r="L231" s="118" t="s">
        <v>83</v>
      </c>
      <c r="M231" s="1" t="s">
        <v>782</v>
      </c>
      <c r="N231" s="118" t="s">
        <v>124</v>
      </c>
      <c r="O231" s="118" t="s">
        <v>272</v>
      </c>
      <c r="P231" s="64" t="s">
        <v>784</v>
      </c>
      <c r="R231" s="64" t="s">
        <v>785</v>
      </c>
      <c r="S231" s="222" t="s">
        <v>104</v>
      </c>
      <c r="T231" s="67" t="s">
        <v>110</v>
      </c>
      <c r="X231" s="222" t="s">
        <v>159</v>
      </c>
      <c r="Y231" s="117" t="str">
        <f t="shared" si="397"/>
        <v>Pass</v>
      </c>
      <c r="Z231" s="11" t="str">
        <f t="shared" si="401"/>
        <v/>
      </c>
      <c r="AA231" s="124" t="str">
        <f t="shared" si="402"/>
        <v/>
      </c>
      <c r="AB231" s="124" t="str">
        <f t="shared" si="403"/>
        <v/>
      </c>
    </row>
    <row r="232" spans="2:28" x14ac:dyDescent="0.25">
      <c r="B232" s="65">
        <v>41695</v>
      </c>
      <c r="C232" s="66">
        <v>41695</v>
      </c>
      <c r="D232" s="68">
        <f t="shared" si="440"/>
        <v>2</v>
      </c>
      <c r="E232" s="66" t="str">
        <f t="shared" si="441"/>
        <v>2014-Feb</v>
      </c>
      <c r="F232" s="68">
        <f t="shared" si="442"/>
        <v>2</v>
      </c>
      <c r="G232" s="118" t="s">
        <v>93</v>
      </c>
      <c r="H232" s="118" t="s">
        <v>136</v>
      </c>
      <c r="I232" s="118"/>
      <c r="J232" s="118" t="s">
        <v>119</v>
      </c>
      <c r="K232" s="118" t="s">
        <v>119</v>
      </c>
      <c r="L232" s="118" t="s">
        <v>83</v>
      </c>
      <c r="M232" s="1" t="s">
        <v>783</v>
      </c>
      <c r="N232" s="118" t="s">
        <v>124</v>
      </c>
      <c r="O232" s="118" t="s">
        <v>272</v>
      </c>
      <c r="P232" s="64" t="s">
        <v>784</v>
      </c>
      <c r="Q232" s="2" t="s">
        <v>88</v>
      </c>
      <c r="R232" s="64" t="s">
        <v>785</v>
      </c>
      <c r="T232" s="67" t="s">
        <v>110</v>
      </c>
      <c r="Y232" s="117" t="str">
        <f t="shared" si="397"/>
        <v>Obsolete</v>
      </c>
      <c r="Z232" s="11">
        <f t="shared" si="401"/>
        <v>41695</v>
      </c>
      <c r="AA232" s="124" t="str">
        <f t="shared" si="402"/>
        <v>2014 - 09</v>
      </c>
      <c r="AB232" s="124">
        <f t="shared" si="403"/>
        <v>2014</v>
      </c>
    </row>
    <row r="233" spans="2:28" x14ac:dyDescent="0.25">
      <c r="B233" s="66">
        <v>41695</v>
      </c>
      <c r="C233" s="66">
        <v>41695</v>
      </c>
      <c r="D233" s="68">
        <f t="shared" si="440"/>
        <v>2</v>
      </c>
      <c r="E233" s="66" t="str">
        <f t="shared" si="441"/>
        <v>2014-Feb</v>
      </c>
      <c r="F233" s="68">
        <f t="shared" si="442"/>
        <v>2</v>
      </c>
      <c r="G233" s="134" t="s">
        <v>157</v>
      </c>
      <c r="H233" s="118" t="s">
        <v>28</v>
      </c>
      <c r="I233" s="118"/>
      <c r="J233" s="118" t="s">
        <v>78</v>
      </c>
      <c r="K233" s="118" t="s">
        <v>78</v>
      </c>
      <c r="L233" s="118" t="s">
        <v>79</v>
      </c>
      <c r="M233" s="1" t="s">
        <v>786</v>
      </c>
      <c r="N233" s="118" t="s">
        <v>124</v>
      </c>
      <c r="O233" s="118" t="s">
        <v>168</v>
      </c>
      <c r="P233" s="118"/>
      <c r="R233" s="64" t="s">
        <v>308</v>
      </c>
      <c r="S233" s="134" t="s">
        <v>104</v>
      </c>
      <c r="T233" s="67" t="s">
        <v>110</v>
      </c>
      <c r="X233" s="134" t="s">
        <v>879</v>
      </c>
      <c r="Y233" s="117" t="str">
        <f t="shared" si="397"/>
        <v>Pass</v>
      </c>
      <c r="Z233" s="11" t="str">
        <f t="shared" ref="Z233:Z270" si="443">IF(Q233="Obsolete-LQA",C233,IF(Q233="Obsolete-IT",B233,""))</f>
        <v/>
      </c>
      <c r="AA233" s="127" t="str">
        <f t="shared" ref="AA233:AA270" si="444">IFERROR(YEAR(Z233)&amp;" - "&amp; IF(LEN( WEEKNUM(Z233))=1,"0" &amp; WEEKNUM(Z233),WEEKNUM(Z233)),"")</f>
        <v/>
      </c>
      <c r="AB233" s="127" t="str">
        <f t="shared" ref="AB233:AB270" si="445">IFERROR(YEAR(Z233),"")</f>
        <v/>
      </c>
    </row>
    <row r="234" spans="2:28" x14ac:dyDescent="0.25">
      <c r="B234" s="66">
        <v>41695</v>
      </c>
      <c r="C234" s="66">
        <v>41695</v>
      </c>
      <c r="D234" s="68">
        <f t="shared" ref="D234" si="446">IF(B234&gt;0,MONTH(B234),"False")</f>
        <v>2</v>
      </c>
      <c r="E234" s="66" t="str">
        <f t="shared" ref="E234" si="447">YEAR(B234) &amp; CHOOSE(D234,"-Jan","-Feb","-Mar","-Apr","-May","-Jun","-Jul","-Aug","-Sep","-Oct","-Nov","-Dec")</f>
        <v>2014-Feb</v>
      </c>
      <c r="F234" s="68">
        <f t="shared" ref="F234" si="448">IF(C234&gt;0,MONTH(C234),"False")</f>
        <v>2</v>
      </c>
      <c r="G234" s="174" t="s">
        <v>126</v>
      </c>
      <c r="H234" s="118" t="s">
        <v>280</v>
      </c>
      <c r="I234" s="118"/>
      <c r="J234" s="118" t="s">
        <v>78</v>
      </c>
      <c r="K234" s="118" t="s">
        <v>78</v>
      </c>
      <c r="L234" s="118" t="s">
        <v>79</v>
      </c>
      <c r="M234" s="1" t="s">
        <v>787</v>
      </c>
      <c r="N234" s="118" t="s">
        <v>124</v>
      </c>
      <c r="O234" s="118" t="s">
        <v>138</v>
      </c>
      <c r="P234" s="118"/>
      <c r="R234" s="64" t="s">
        <v>344</v>
      </c>
      <c r="S234" s="174" t="s">
        <v>104</v>
      </c>
      <c r="X234" s="174" t="s">
        <v>544</v>
      </c>
      <c r="Y234" s="117" t="str">
        <f t="shared" si="397"/>
        <v>Pass</v>
      </c>
      <c r="Z234" s="11" t="str">
        <f t="shared" si="443"/>
        <v/>
      </c>
      <c r="AA234" s="127" t="str">
        <f t="shared" si="444"/>
        <v/>
      </c>
      <c r="AB234" s="127" t="str">
        <f t="shared" si="445"/>
        <v/>
      </c>
    </row>
    <row r="235" spans="2:28" x14ac:dyDescent="0.25">
      <c r="B235" s="66">
        <v>41695</v>
      </c>
      <c r="C235" s="66">
        <v>41695</v>
      </c>
      <c r="D235" s="68">
        <f t="shared" ref="D235" si="449">IF(B235&gt;0,MONTH(B235),"False")</f>
        <v>2</v>
      </c>
      <c r="E235" s="66" t="str">
        <f t="shared" ref="E235" si="450">YEAR(B235) &amp; CHOOSE(D235,"-Jan","-Feb","-Mar","-Apr","-May","-Jun","-Jul","-Aug","-Sep","-Oct","-Nov","-Dec")</f>
        <v>2014-Feb</v>
      </c>
      <c r="F235" s="68">
        <f t="shared" ref="F235" si="451">IF(C235&gt;0,MONTH(C235),"False")</f>
        <v>2</v>
      </c>
      <c r="G235" s="118" t="s">
        <v>87</v>
      </c>
      <c r="H235" s="118" t="s">
        <v>136</v>
      </c>
      <c r="J235" s="118" t="s">
        <v>150</v>
      </c>
      <c r="K235" s="118" t="s">
        <v>84</v>
      </c>
      <c r="L235" s="118" t="s">
        <v>83</v>
      </c>
      <c r="M235" s="1" t="s">
        <v>788</v>
      </c>
      <c r="N235" s="118" t="s">
        <v>124</v>
      </c>
      <c r="O235" s="118" t="s">
        <v>299</v>
      </c>
      <c r="R235" s="64" t="s">
        <v>790</v>
      </c>
      <c r="Y235" s="117" t="str">
        <f t="shared" si="397"/>
        <v>Unknown</v>
      </c>
      <c r="Z235" s="11" t="str">
        <f t="shared" si="443"/>
        <v/>
      </c>
      <c r="AA235" s="127" t="str">
        <f t="shared" si="444"/>
        <v/>
      </c>
      <c r="AB235" s="127" t="str">
        <f t="shared" si="445"/>
        <v/>
      </c>
    </row>
    <row r="236" spans="2:28" x14ac:dyDescent="0.25">
      <c r="B236" s="66">
        <v>41695</v>
      </c>
      <c r="C236" s="66">
        <v>41695</v>
      </c>
      <c r="D236" s="68">
        <f t="shared" ref="D236:D237" si="452">IF(B236&gt;0,MONTH(B236),"False")</f>
        <v>2</v>
      </c>
      <c r="E236" s="66" t="str">
        <f t="shared" ref="E236:E237" si="453">YEAR(B236) &amp; CHOOSE(D236,"-Jan","-Feb","-Mar","-Apr","-May","-Jun","-Jul","-Aug","-Sep","-Oct","-Nov","-Dec")</f>
        <v>2014-Feb</v>
      </c>
      <c r="F236" s="68">
        <f t="shared" ref="F236:F237" si="454">IF(C236&gt;0,MONTH(C236),"False")</f>
        <v>2</v>
      </c>
      <c r="G236" s="118" t="s">
        <v>87</v>
      </c>
      <c r="H236" s="118" t="s">
        <v>136</v>
      </c>
      <c r="J236" s="118" t="s">
        <v>149</v>
      </c>
      <c r="K236" s="118" t="s">
        <v>84</v>
      </c>
      <c r="L236" s="118" t="s">
        <v>83</v>
      </c>
      <c r="M236" s="1" t="s">
        <v>789</v>
      </c>
      <c r="N236" s="118" t="s">
        <v>124</v>
      </c>
      <c r="O236" s="118" t="s">
        <v>299</v>
      </c>
      <c r="R236" s="64" t="s">
        <v>790</v>
      </c>
      <c r="Y236" s="117" t="str">
        <f t="shared" si="397"/>
        <v>Unknown</v>
      </c>
      <c r="Z236" s="11" t="str">
        <f t="shared" si="443"/>
        <v/>
      </c>
      <c r="AA236" s="127" t="str">
        <f t="shared" si="444"/>
        <v/>
      </c>
      <c r="AB236" s="127" t="str">
        <f t="shared" si="445"/>
        <v/>
      </c>
    </row>
    <row r="237" spans="2:28" x14ac:dyDescent="0.25">
      <c r="B237" s="65">
        <v>41696</v>
      </c>
      <c r="C237" s="66">
        <v>41696</v>
      </c>
      <c r="D237" s="68">
        <f t="shared" si="452"/>
        <v>2</v>
      </c>
      <c r="E237" s="66" t="str">
        <f t="shared" si="453"/>
        <v>2014-Feb</v>
      </c>
      <c r="F237" s="68">
        <f t="shared" si="454"/>
        <v>2</v>
      </c>
      <c r="G237" s="127" t="s">
        <v>105</v>
      </c>
      <c r="H237" s="119" t="s">
        <v>166</v>
      </c>
      <c r="J237" s="119" t="s">
        <v>333</v>
      </c>
      <c r="K237" s="119" t="s">
        <v>82</v>
      </c>
      <c r="L237" s="119" t="s">
        <v>79</v>
      </c>
      <c r="M237" s="1" t="s">
        <v>791</v>
      </c>
      <c r="N237" s="119" t="s">
        <v>124</v>
      </c>
      <c r="O237" s="119" t="s">
        <v>116</v>
      </c>
      <c r="P237" s="64" t="s">
        <v>345</v>
      </c>
      <c r="R237" s="64" t="s">
        <v>347</v>
      </c>
      <c r="S237" s="127" t="s">
        <v>104</v>
      </c>
      <c r="X237" s="127" t="s">
        <v>462</v>
      </c>
      <c r="Y237" s="117" t="str">
        <f t="shared" si="397"/>
        <v>Pass</v>
      </c>
      <c r="Z237" s="11" t="str">
        <f t="shared" si="443"/>
        <v/>
      </c>
      <c r="AA237" s="127" t="str">
        <f t="shared" si="444"/>
        <v/>
      </c>
      <c r="AB237" s="127" t="str">
        <f t="shared" si="445"/>
        <v/>
      </c>
    </row>
    <row r="238" spans="2:28" x14ac:dyDescent="0.25">
      <c r="B238" s="65">
        <v>41696</v>
      </c>
      <c r="C238" s="66">
        <v>41698</v>
      </c>
      <c r="D238" s="68">
        <f t="shared" ref="D238:D239" si="455">IF(B238&gt;0,MONTH(B238),"False")</f>
        <v>2</v>
      </c>
      <c r="E238" s="66" t="str">
        <f t="shared" ref="E238:E239" si="456">YEAR(B238) &amp; CHOOSE(D238,"-Jan","-Feb","-Mar","-Apr","-May","-Jun","-Jul","-Aug","-Sep","-Oct","-Nov","-Dec")</f>
        <v>2014-Feb</v>
      </c>
      <c r="F238" s="68">
        <f t="shared" ref="F238:F239" si="457">IF(C238&gt;0,MONTH(C238),"False")</f>
        <v>2</v>
      </c>
      <c r="G238" s="127" t="s">
        <v>121</v>
      </c>
      <c r="H238" s="119" t="s">
        <v>28</v>
      </c>
      <c r="J238" s="119" t="s">
        <v>77</v>
      </c>
      <c r="K238" s="119" t="s">
        <v>82</v>
      </c>
      <c r="L238" s="119" t="s">
        <v>79</v>
      </c>
      <c r="M238" s="1" t="s">
        <v>792</v>
      </c>
      <c r="N238" s="119" t="s">
        <v>124</v>
      </c>
      <c r="O238" s="119" t="s">
        <v>142</v>
      </c>
      <c r="P238" s="64" t="s">
        <v>334</v>
      </c>
      <c r="R238" s="64" t="s">
        <v>335</v>
      </c>
      <c r="S238" s="127" t="s">
        <v>104</v>
      </c>
      <c r="X238" s="127" t="s">
        <v>462</v>
      </c>
      <c r="Y238" s="117" t="str">
        <f t="shared" si="397"/>
        <v>Pass</v>
      </c>
      <c r="Z238" s="11" t="str">
        <f t="shared" si="443"/>
        <v/>
      </c>
      <c r="AA238" s="127" t="str">
        <f t="shared" si="444"/>
        <v/>
      </c>
      <c r="AB238" s="127" t="str">
        <f t="shared" si="445"/>
        <v/>
      </c>
    </row>
    <row r="239" spans="2:28" x14ac:dyDescent="0.25">
      <c r="B239" s="65">
        <v>41696</v>
      </c>
      <c r="C239" s="66">
        <v>41696</v>
      </c>
      <c r="D239" s="68">
        <f t="shared" si="455"/>
        <v>2</v>
      </c>
      <c r="E239" s="66" t="str">
        <f t="shared" si="456"/>
        <v>2014-Feb</v>
      </c>
      <c r="F239" s="68">
        <f t="shared" si="457"/>
        <v>2</v>
      </c>
      <c r="G239" s="119" t="s">
        <v>93</v>
      </c>
      <c r="H239" s="119" t="s">
        <v>136</v>
      </c>
      <c r="J239" s="119" t="s">
        <v>77</v>
      </c>
      <c r="K239" s="119" t="s">
        <v>82</v>
      </c>
      <c r="L239" s="119" t="s">
        <v>79</v>
      </c>
      <c r="M239" s="1" t="s">
        <v>793</v>
      </c>
      <c r="N239" s="119" t="s">
        <v>124</v>
      </c>
      <c r="O239" s="119" t="s">
        <v>114</v>
      </c>
      <c r="P239" s="64" t="s">
        <v>750</v>
      </c>
      <c r="R239" s="64" t="s">
        <v>797</v>
      </c>
      <c r="S239" s="235" t="s">
        <v>104</v>
      </c>
      <c r="T239" s="67" t="s">
        <v>110</v>
      </c>
      <c r="Y239" s="117" t="str">
        <f t="shared" si="397"/>
        <v>Pass</v>
      </c>
      <c r="Z239" s="11" t="str">
        <f t="shared" si="443"/>
        <v/>
      </c>
      <c r="AA239" s="127" t="str">
        <f t="shared" si="444"/>
        <v/>
      </c>
      <c r="AB239" s="127" t="str">
        <f t="shared" si="445"/>
        <v/>
      </c>
    </row>
    <row r="240" spans="2:28" x14ac:dyDescent="0.25">
      <c r="B240" s="65">
        <v>41696</v>
      </c>
      <c r="C240" s="66">
        <v>41696</v>
      </c>
      <c r="D240" s="68">
        <f t="shared" ref="D240:D241" si="458">IF(B240&gt;0,MONTH(B240),"False")</f>
        <v>2</v>
      </c>
      <c r="E240" s="66" t="str">
        <f t="shared" ref="E240:E241" si="459">YEAR(B240) &amp; CHOOSE(D240,"-Jan","-Feb","-Mar","-Apr","-May","-Jun","-Jul","-Aug","-Sep","-Oct","-Nov","-Dec")</f>
        <v>2014-Feb</v>
      </c>
      <c r="F240" s="68">
        <f t="shared" ref="F240:F241" si="460">IF(C240&gt;0,MONTH(C240),"False")</f>
        <v>2</v>
      </c>
      <c r="G240" s="119" t="s">
        <v>93</v>
      </c>
      <c r="H240" s="119" t="s">
        <v>136</v>
      </c>
      <c r="I240" s="119"/>
      <c r="J240" s="119" t="s">
        <v>77</v>
      </c>
      <c r="K240" s="119" t="s">
        <v>82</v>
      </c>
      <c r="L240" s="119" t="s">
        <v>79</v>
      </c>
      <c r="M240" s="1" t="s">
        <v>794</v>
      </c>
      <c r="N240" s="119" t="s">
        <v>124</v>
      </c>
      <c r="O240" s="119" t="s">
        <v>114</v>
      </c>
      <c r="P240" s="64" t="s">
        <v>750</v>
      </c>
      <c r="R240" s="64" t="s">
        <v>797</v>
      </c>
      <c r="Y240" s="117" t="str">
        <f t="shared" si="397"/>
        <v>Unknown</v>
      </c>
      <c r="Z240" s="11" t="str">
        <f t="shared" si="443"/>
        <v/>
      </c>
      <c r="AA240" s="127" t="str">
        <f t="shared" si="444"/>
        <v/>
      </c>
      <c r="AB240" s="127" t="str">
        <f t="shared" si="445"/>
        <v/>
      </c>
    </row>
    <row r="241" spans="2:28" x14ac:dyDescent="0.25">
      <c r="B241" s="65">
        <v>41696</v>
      </c>
      <c r="C241" s="66">
        <v>41696</v>
      </c>
      <c r="D241" s="68">
        <f t="shared" si="458"/>
        <v>2</v>
      </c>
      <c r="E241" s="66" t="str">
        <f t="shared" si="459"/>
        <v>2014-Feb</v>
      </c>
      <c r="F241" s="68">
        <f t="shared" si="460"/>
        <v>2</v>
      </c>
      <c r="G241" s="119" t="s">
        <v>93</v>
      </c>
      <c r="H241" s="119" t="s">
        <v>136</v>
      </c>
      <c r="I241" s="119"/>
      <c r="J241" s="119" t="s">
        <v>77</v>
      </c>
      <c r="K241" s="119" t="s">
        <v>82</v>
      </c>
      <c r="L241" s="119" t="s">
        <v>79</v>
      </c>
      <c r="M241" s="1" t="s">
        <v>795</v>
      </c>
      <c r="N241" s="119" t="s">
        <v>124</v>
      </c>
      <c r="O241" s="119" t="s">
        <v>114</v>
      </c>
      <c r="P241" s="64" t="s">
        <v>750</v>
      </c>
      <c r="R241" s="64" t="s">
        <v>797</v>
      </c>
      <c r="Y241" s="117" t="str">
        <f t="shared" si="397"/>
        <v>Unknown</v>
      </c>
      <c r="Z241" s="11" t="str">
        <f t="shared" si="443"/>
        <v/>
      </c>
      <c r="AA241" s="127" t="str">
        <f t="shared" si="444"/>
        <v/>
      </c>
      <c r="AB241" s="127" t="str">
        <f t="shared" si="445"/>
        <v/>
      </c>
    </row>
    <row r="242" spans="2:28" x14ac:dyDescent="0.25">
      <c r="B242" s="65">
        <v>41696</v>
      </c>
      <c r="C242" s="66">
        <v>41697</v>
      </c>
      <c r="D242" s="68">
        <f t="shared" ref="D242:D243" si="461">IF(B242&gt;0,MONTH(B242),"False")</f>
        <v>2</v>
      </c>
      <c r="E242" s="66" t="str">
        <f t="shared" ref="E242:E243" si="462">YEAR(B242) &amp; CHOOSE(D242,"-Jan","-Feb","-Mar","-Apr","-May","-Jun","-Jul","-Aug","-Sep","-Oct","-Nov","-Dec")</f>
        <v>2014-Feb</v>
      </c>
      <c r="F242" s="68">
        <f t="shared" ref="F242:F243" si="463">IF(C242&gt;0,MONTH(C242),"False")</f>
        <v>2</v>
      </c>
      <c r="G242" s="119" t="s">
        <v>93</v>
      </c>
      <c r="H242" s="119" t="s">
        <v>136</v>
      </c>
      <c r="I242" s="119"/>
      <c r="J242" s="119" t="s">
        <v>120</v>
      </c>
      <c r="K242" s="119" t="s">
        <v>82</v>
      </c>
      <c r="L242" s="119" t="s">
        <v>79</v>
      </c>
      <c r="M242" s="1" t="s">
        <v>796</v>
      </c>
      <c r="N242" s="119" t="s">
        <v>124</v>
      </c>
      <c r="O242" s="119" t="s">
        <v>114</v>
      </c>
      <c r="P242" s="64" t="s">
        <v>750</v>
      </c>
      <c r="R242" s="64" t="s">
        <v>797</v>
      </c>
      <c r="S242" s="197" t="s">
        <v>104</v>
      </c>
      <c r="Y242" s="117" t="str">
        <f t="shared" si="397"/>
        <v>Pass</v>
      </c>
      <c r="Z242" s="11" t="str">
        <f t="shared" si="443"/>
        <v/>
      </c>
      <c r="AA242" s="127" t="str">
        <f t="shared" si="444"/>
        <v/>
      </c>
      <c r="AB242" s="127" t="str">
        <f t="shared" si="445"/>
        <v/>
      </c>
    </row>
    <row r="243" spans="2:28" x14ac:dyDescent="0.25">
      <c r="B243" s="66">
        <v>41697</v>
      </c>
      <c r="C243" s="66">
        <v>41697</v>
      </c>
      <c r="D243" s="68">
        <f t="shared" si="461"/>
        <v>2</v>
      </c>
      <c r="E243" s="66" t="str">
        <f t="shared" si="462"/>
        <v>2014-Feb</v>
      </c>
      <c r="F243" s="68">
        <f t="shared" si="463"/>
        <v>2</v>
      </c>
      <c r="G243" s="119" t="s">
        <v>87</v>
      </c>
      <c r="H243" s="119" t="s">
        <v>330</v>
      </c>
      <c r="J243" s="119" t="s">
        <v>78</v>
      </c>
      <c r="K243" s="119" t="s">
        <v>78</v>
      </c>
      <c r="L243" s="119" t="s">
        <v>79</v>
      </c>
      <c r="M243" s="1" t="s">
        <v>798</v>
      </c>
      <c r="N243" s="119" t="s">
        <v>124</v>
      </c>
      <c r="O243" s="119" t="s">
        <v>306</v>
      </c>
      <c r="R243" s="64" t="s">
        <v>339</v>
      </c>
      <c r="S243" s="223" t="s">
        <v>104</v>
      </c>
      <c r="Y243" s="117" t="str">
        <f t="shared" si="397"/>
        <v>Pass</v>
      </c>
      <c r="Z243" s="11" t="str">
        <f t="shared" si="443"/>
        <v/>
      </c>
      <c r="AA243" s="127" t="str">
        <f t="shared" si="444"/>
        <v/>
      </c>
      <c r="AB243" s="127" t="str">
        <f t="shared" si="445"/>
        <v/>
      </c>
    </row>
    <row r="244" spans="2:28" x14ac:dyDescent="0.25">
      <c r="B244" s="65">
        <v>41697</v>
      </c>
      <c r="C244" s="66">
        <v>41697</v>
      </c>
      <c r="D244" s="68">
        <f t="shared" ref="D244" si="464">IF(B244&gt;0,MONTH(B244),"False")</f>
        <v>2</v>
      </c>
      <c r="E244" s="66" t="str">
        <f t="shared" ref="E244" si="465">YEAR(B244) &amp; CHOOSE(D244,"-Jan","-Feb","-Mar","-Apr","-May","-Jun","-Jul","-Aug","-Sep","-Oct","-Nov","-Dec")</f>
        <v>2014-Feb</v>
      </c>
      <c r="F244" s="68">
        <f t="shared" ref="F244" si="466">IF(C244&gt;0,MONTH(C244),"False")</f>
        <v>2</v>
      </c>
      <c r="G244" s="204" t="s">
        <v>121</v>
      </c>
      <c r="H244" s="120" t="s">
        <v>166</v>
      </c>
      <c r="J244" s="120" t="s">
        <v>120</v>
      </c>
      <c r="K244" s="120" t="s">
        <v>82</v>
      </c>
      <c r="L244" s="120" t="s">
        <v>79</v>
      </c>
      <c r="M244" s="1" t="s">
        <v>799</v>
      </c>
      <c r="N244" s="120" t="s">
        <v>124</v>
      </c>
      <c r="O244" s="120" t="s">
        <v>147</v>
      </c>
      <c r="P244" s="64" t="s">
        <v>557</v>
      </c>
      <c r="R244" s="64" t="s">
        <v>594</v>
      </c>
      <c r="S244" s="204" t="s">
        <v>104</v>
      </c>
      <c r="X244" s="204" t="s">
        <v>1312</v>
      </c>
      <c r="Y244" s="117" t="str">
        <f t="shared" si="397"/>
        <v>Pass</v>
      </c>
      <c r="Z244" s="11" t="str">
        <f t="shared" si="443"/>
        <v/>
      </c>
      <c r="AA244" s="127" t="str">
        <f t="shared" si="444"/>
        <v/>
      </c>
      <c r="AB244" s="127" t="str">
        <f t="shared" si="445"/>
        <v/>
      </c>
    </row>
    <row r="245" spans="2:28" x14ac:dyDescent="0.25">
      <c r="B245" s="65">
        <v>41697</v>
      </c>
      <c r="C245" s="66">
        <v>41697</v>
      </c>
      <c r="D245" s="68">
        <f t="shared" ref="D245" si="467">IF(B245&gt;0,MONTH(B245),"False")</f>
        <v>2</v>
      </c>
      <c r="E245" s="66" t="str">
        <f t="shared" ref="E245" si="468">YEAR(B245) &amp; CHOOSE(D245,"-Jan","-Feb","-Mar","-Apr","-May","-Jun","-Jul","-Aug","-Sep","-Oct","-Nov","-Dec")</f>
        <v>2014-Feb</v>
      </c>
      <c r="F245" s="68">
        <f t="shared" ref="F245" si="469">IF(C245&gt;0,MONTH(C245),"False")</f>
        <v>2</v>
      </c>
      <c r="G245" s="122" t="s">
        <v>93</v>
      </c>
      <c r="H245" s="122" t="s">
        <v>136</v>
      </c>
      <c r="J245" s="122" t="s">
        <v>120</v>
      </c>
      <c r="K245" s="122" t="s">
        <v>82</v>
      </c>
      <c r="L245" s="122" t="s">
        <v>79</v>
      </c>
      <c r="M245" s="1" t="s">
        <v>800</v>
      </c>
      <c r="N245" s="122" t="s">
        <v>124</v>
      </c>
      <c r="O245" s="122" t="s">
        <v>147</v>
      </c>
      <c r="P245" s="64" t="s">
        <v>750</v>
      </c>
      <c r="R245" s="64" t="s">
        <v>797</v>
      </c>
      <c r="S245" s="197" t="s">
        <v>104</v>
      </c>
      <c r="Y245" s="117" t="str">
        <f t="shared" si="397"/>
        <v>Pass</v>
      </c>
      <c r="Z245" s="11" t="str">
        <f t="shared" si="443"/>
        <v/>
      </c>
      <c r="AA245" s="127" t="str">
        <f t="shared" si="444"/>
        <v/>
      </c>
      <c r="AB245" s="127" t="str">
        <f t="shared" si="445"/>
        <v/>
      </c>
    </row>
    <row r="246" spans="2:28" x14ac:dyDescent="0.25">
      <c r="B246" s="65">
        <v>41698</v>
      </c>
      <c r="C246" s="66">
        <v>41698</v>
      </c>
      <c r="D246" s="68">
        <f t="shared" ref="D246:D247" si="470">IF(B246&gt;0,MONTH(B246),"False")</f>
        <v>2</v>
      </c>
      <c r="E246" s="66" t="str">
        <f t="shared" ref="E246:E247" si="471">YEAR(B246) &amp; CHOOSE(D246,"-Jan","-Feb","-Mar","-Apr","-May","-Jun","-Jul","-Aug","-Sep","-Oct","-Nov","-Dec")</f>
        <v>2014-Feb</v>
      </c>
      <c r="F246" s="68">
        <f t="shared" ref="F246:F247" si="472">IF(C246&gt;0,MONTH(C246),"False")</f>
        <v>2</v>
      </c>
      <c r="G246" s="123" t="s">
        <v>93</v>
      </c>
      <c r="H246" s="123" t="s">
        <v>136</v>
      </c>
      <c r="I246" s="123"/>
      <c r="J246" s="123" t="s">
        <v>77</v>
      </c>
      <c r="K246" s="123" t="s">
        <v>82</v>
      </c>
      <c r="L246" s="123" t="s">
        <v>79</v>
      </c>
      <c r="M246" s="1" t="s">
        <v>801</v>
      </c>
      <c r="N246" s="123" t="s">
        <v>124</v>
      </c>
      <c r="O246" s="123" t="s">
        <v>507</v>
      </c>
      <c r="P246" s="64" t="s">
        <v>750</v>
      </c>
      <c r="R246" s="64" t="s">
        <v>797</v>
      </c>
      <c r="S246" s="235" t="s">
        <v>104</v>
      </c>
      <c r="Y246" s="117" t="str">
        <f t="shared" si="397"/>
        <v>Pass</v>
      </c>
      <c r="Z246" s="11" t="str">
        <f t="shared" si="443"/>
        <v/>
      </c>
      <c r="AA246" s="127" t="str">
        <f t="shared" si="444"/>
        <v/>
      </c>
      <c r="AB246" s="127" t="str">
        <f t="shared" si="445"/>
        <v/>
      </c>
    </row>
    <row r="247" spans="2:28" x14ac:dyDescent="0.25">
      <c r="B247" s="66">
        <v>41698</v>
      </c>
      <c r="C247" s="66">
        <v>41698</v>
      </c>
      <c r="D247" s="68">
        <f t="shared" si="470"/>
        <v>2</v>
      </c>
      <c r="E247" s="66" t="str">
        <f t="shared" si="471"/>
        <v>2014-Feb</v>
      </c>
      <c r="F247" s="68">
        <f t="shared" si="472"/>
        <v>2</v>
      </c>
      <c r="G247" s="134" t="s">
        <v>157</v>
      </c>
      <c r="H247" s="123" t="s">
        <v>28</v>
      </c>
      <c r="J247" s="123" t="s">
        <v>78</v>
      </c>
      <c r="K247" s="123" t="s">
        <v>78</v>
      </c>
      <c r="L247" s="123" t="s">
        <v>79</v>
      </c>
      <c r="M247" s="1" t="s">
        <v>802</v>
      </c>
      <c r="N247" s="123" t="s">
        <v>124</v>
      </c>
      <c r="O247" s="123" t="s">
        <v>168</v>
      </c>
      <c r="R247" s="64" t="s">
        <v>308</v>
      </c>
      <c r="S247" s="134" t="s">
        <v>104</v>
      </c>
      <c r="X247" s="134" t="s">
        <v>879</v>
      </c>
      <c r="Y247" s="117" t="str">
        <f t="shared" si="397"/>
        <v>Pass</v>
      </c>
      <c r="Z247" s="11" t="str">
        <f t="shared" si="443"/>
        <v/>
      </c>
      <c r="AA247" s="127" t="str">
        <f t="shared" si="444"/>
        <v/>
      </c>
      <c r="AB247" s="127" t="str">
        <f t="shared" si="445"/>
        <v/>
      </c>
    </row>
    <row r="248" spans="2:28" x14ac:dyDescent="0.25">
      <c r="B248" s="66">
        <v>41702</v>
      </c>
      <c r="C248" s="66">
        <v>41702</v>
      </c>
      <c r="D248" s="68">
        <f t="shared" ref="D248" si="473">IF(B248&gt;0,MONTH(B248),"False")</f>
        <v>3</v>
      </c>
      <c r="E248" s="66" t="str">
        <f t="shared" ref="E248" si="474">YEAR(B248) &amp; CHOOSE(D248,"-Jan","-Feb","-Mar","-Apr","-May","-Jun","-Jul","-Aug","-Sep","-Oct","-Nov","-Dec")</f>
        <v>2014-Mar</v>
      </c>
      <c r="F248" s="68">
        <f t="shared" ref="F248" si="475">IF(C248&gt;0,MONTH(C248),"False")</f>
        <v>3</v>
      </c>
      <c r="G248" s="128" t="s">
        <v>112</v>
      </c>
      <c r="H248" s="125" t="s">
        <v>166</v>
      </c>
      <c r="J248" s="125" t="s">
        <v>149</v>
      </c>
      <c r="K248" s="125" t="s">
        <v>84</v>
      </c>
      <c r="L248" s="125" t="s">
        <v>79</v>
      </c>
      <c r="M248" s="1" t="s">
        <v>813</v>
      </c>
      <c r="N248" s="125" t="s">
        <v>124</v>
      </c>
      <c r="O248" s="125" t="s">
        <v>156</v>
      </c>
      <c r="R248" s="64" t="s">
        <v>321</v>
      </c>
      <c r="S248" s="128" t="s">
        <v>104</v>
      </c>
      <c r="X248" s="128" t="s">
        <v>155</v>
      </c>
      <c r="Y248" s="117" t="str">
        <f t="shared" si="397"/>
        <v>Pass</v>
      </c>
      <c r="Z248" s="11" t="str">
        <f t="shared" si="443"/>
        <v/>
      </c>
      <c r="AA248" s="127" t="str">
        <f t="shared" si="444"/>
        <v/>
      </c>
      <c r="AB248" s="127" t="str">
        <f t="shared" si="445"/>
        <v/>
      </c>
    </row>
    <row r="249" spans="2:28" x14ac:dyDescent="0.25">
      <c r="B249" s="66">
        <v>41702</v>
      </c>
      <c r="C249" s="66">
        <v>41702</v>
      </c>
      <c r="D249" s="68">
        <f t="shared" ref="D249:D250" si="476">IF(B249&gt;0,MONTH(B249),"False")</f>
        <v>3</v>
      </c>
      <c r="E249" s="66" t="str">
        <f t="shared" ref="E249:E250" si="477">YEAR(B249) &amp; CHOOSE(D249,"-Jan","-Feb","-Mar","-Apr","-May","-Jun","-Jul","-Aug","-Sep","-Oct","-Nov","-Dec")</f>
        <v>2014-Mar</v>
      </c>
      <c r="F249" s="68">
        <f t="shared" ref="F249:F250" si="478">IF(C249&gt;0,MONTH(C249),"False")</f>
        <v>3</v>
      </c>
      <c r="G249" s="125" t="s">
        <v>87</v>
      </c>
      <c r="H249" s="125" t="s">
        <v>726</v>
      </c>
      <c r="J249" s="125" t="s">
        <v>78</v>
      </c>
      <c r="K249" s="125" t="s">
        <v>78</v>
      </c>
      <c r="L249" s="125" t="s">
        <v>79</v>
      </c>
      <c r="M249" s="1" t="s">
        <v>814</v>
      </c>
      <c r="N249" s="125" t="s">
        <v>124</v>
      </c>
      <c r="O249" s="125" t="s">
        <v>167</v>
      </c>
      <c r="R249" s="64" t="s">
        <v>727</v>
      </c>
      <c r="Y249" s="117" t="str">
        <f t="shared" si="397"/>
        <v>Unknown</v>
      </c>
      <c r="Z249" s="11" t="str">
        <f t="shared" si="443"/>
        <v/>
      </c>
      <c r="AA249" s="127" t="str">
        <f t="shared" si="444"/>
        <v/>
      </c>
      <c r="AB249" s="127" t="str">
        <f t="shared" si="445"/>
        <v/>
      </c>
    </row>
    <row r="250" spans="2:28" x14ac:dyDescent="0.25">
      <c r="B250" s="65">
        <v>41702</v>
      </c>
      <c r="C250" s="66">
        <v>41702</v>
      </c>
      <c r="D250" s="68">
        <f t="shared" si="476"/>
        <v>3</v>
      </c>
      <c r="E250" s="66" t="str">
        <f t="shared" si="477"/>
        <v>2014-Mar</v>
      </c>
      <c r="F250" s="68">
        <f t="shared" si="478"/>
        <v>3</v>
      </c>
      <c r="G250" s="127" t="s">
        <v>121</v>
      </c>
      <c r="H250" s="125" t="s">
        <v>28</v>
      </c>
      <c r="J250" s="125" t="s">
        <v>77</v>
      </c>
      <c r="K250" s="125" t="s">
        <v>82</v>
      </c>
      <c r="L250" s="125" t="s">
        <v>79</v>
      </c>
      <c r="M250" s="1" t="s">
        <v>815</v>
      </c>
      <c r="N250" s="125" t="s">
        <v>124</v>
      </c>
      <c r="O250" s="125" t="s">
        <v>142</v>
      </c>
      <c r="P250" s="64" t="s">
        <v>334</v>
      </c>
      <c r="R250" s="64" t="s">
        <v>335</v>
      </c>
      <c r="S250" s="127" t="s">
        <v>104</v>
      </c>
      <c r="T250" s="67" t="s">
        <v>110</v>
      </c>
      <c r="X250" s="127" t="s">
        <v>462</v>
      </c>
      <c r="Y250" s="127" t="str">
        <f t="shared" si="397"/>
        <v>Pass</v>
      </c>
      <c r="Z250" s="11" t="str">
        <f t="shared" si="443"/>
        <v/>
      </c>
      <c r="AA250" s="127" t="str">
        <f t="shared" si="444"/>
        <v/>
      </c>
      <c r="AB250" s="127" t="str">
        <f t="shared" si="445"/>
        <v/>
      </c>
    </row>
    <row r="251" spans="2:28" x14ac:dyDescent="0.25">
      <c r="B251" s="65">
        <v>41703</v>
      </c>
      <c r="C251" s="66">
        <v>41703</v>
      </c>
      <c r="D251" s="68">
        <f t="shared" ref="D251:D252" si="479">IF(B251&gt;0,MONTH(B251),"False")</f>
        <v>3</v>
      </c>
      <c r="E251" s="66" t="str">
        <f t="shared" ref="E251:E252" si="480">YEAR(B251) &amp; CHOOSE(D251,"-Jan","-Feb","-Mar","-Apr","-May","-Jun","-Jul","-Aug","-Sep","-Oct","-Nov","-Dec")</f>
        <v>2014-Mar</v>
      </c>
      <c r="F251" s="68">
        <f t="shared" ref="F251:F252" si="481">IF(C251&gt;0,MONTH(C251),"False")</f>
        <v>3</v>
      </c>
      <c r="G251" s="132" t="s">
        <v>121</v>
      </c>
      <c r="H251" s="126" t="s">
        <v>316</v>
      </c>
      <c r="J251" s="126" t="s">
        <v>77</v>
      </c>
      <c r="K251" s="126" t="s">
        <v>82</v>
      </c>
      <c r="L251" s="126" t="s">
        <v>79</v>
      </c>
      <c r="M251" s="1" t="s">
        <v>816</v>
      </c>
      <c r="N251" s="126" t="s">
        <v>124</v>
      </c>
      <c r="O251" s="126" t="s">
        <v>143</v>
      </c>
      <c r="P251" s="64" t="s">
        <v>340</v>
      </c>
      <c r="R251" s="64" t="s">
        <v>705</v>
      </c>
      <c r="S251" s="132" t="s">
        <v>104</v>
      </c>
      <c r="T251" s="67" t="s">
        <v>110</v>
      </c>
      <c r="X251" s="132" t="s">
        <v>300</v>
      </c>
      <c r="Y251" s="127" t="str">
        <f t="shared" si="397"/>
        <v>Pass</v>
      </c>
      <c r="Z251" s="11" t="str">
        <f t="shared" si="443"/>
        <v/>
      </c>
      <c r="AA251" s="127" t="str">
        <f t="shared" si="444"/>
        <v/>
      </c>
      <c r="AB251" s="127" t="str">
        <f t="shared" si="445"/>
        <v/>
      </c>
    </row>
    <row r="252" spans="2:28" x14ac:dyDescent="0.25">
      <c r="B252" s="66">
        <v>41703</v>
      </c>
      <c r="C252" s="66">
        <v>41703</v>
      </c>
      <c r="D252" s="68">
        <f t="shared" si="479"/>
        <v>3</v>
      </c>
      <c r="E252" s="66" t="str">
        <f t="shared" si="480"/>
        <v>2014-Mar</v>
      </c>
      <c r="F252" s="68">
        <f t="shared" si="481"/>
        <v>3</v>
      </c>
      <c r="G252" s="126" t="s">
        <v>87</v>
      </c>
      <c r="H252" s="126" t="s">
        <v>330</v>
      </c>
      <c r="J252" s="126" t="s">
        <v>78</v>
      </c>
      <c r="K252" s="126" t="s">
        <v>78</v>
      </c>
      <c r="L252" s="126" t="s">
        <v>79</v>
      </c>
      <c r="M252" s="1" t="s">
        <v>817</v>
      </c>
      <c r="N252" s="126" t="s">
        <v>124</v>
      </c>
      <c r="O252" s="126" t="s">
        <v>306</v>
      </c>
      <c r="R252" s="64" t="s">
        <v>339</v>
      </c>
      <c r="S252" s="223" t="s">
        <v>104</v>
      </c>
      <c r="Y252" s="127" t="str">
        <f t="shared" si="397"/>
        <v>Pass</v>
      </c>
      <c r="Z252" s="11" t="str">
        <f t="shared" si="443"/>
        <v/>
      </c>
      <c r="AA252" s="127" t="str">
        <f t="shared" si="444"/>
        <v/>
      </c>
      <c r="AB252" s="127" t="str">
        <f t="shared" si="445"/>
        <v/>
      </c>
    </row>
    <row r="253" spans="2:28" x14ac:dyDescent="0.25">
      <c r="B253" s="66">
        <v>41703</v>
      </c>
      <c r="C253" s="66">
        <v>41703</v>
      </c>
      <c r="D253" s="68">
        <f t="shared" ref="D253:D254" si="482">IF(B253&gt;0,MONTH(B253),"False")</f>
        <v>3</v>
      </c>
      <c r="E253" s="66" t="str">
        <f t="shared" ref="E253:E254" si="483">YEAR(B253) &amp; CHOOSE(D253,"-Jan","-Feb","-Mar","-Apr","-May","-Jun","-Jul","-Aug","-Sep","-Oct","-Nov","-Dec")</f>
        <v>2014-Mar</v>
      </c>
      <c r="F253" s="68">
        <f t="shared" ref="F253:F254" si="484">IF(C253&gt;0,MONTH(C253),"False")</f>
        <v>3</v>
      </c>
      <c r="G253" s="136" t="s">
        <v>112</v>
      </c>
      <c r="H253" s="126" t="s">
        <v>348</v>
      </c>
      <c r="J253" s="126" t="s">
        <v>78</v>
      </c>
      <c r="K253" s="126" t="s">
        <v>78</v>
      </c>
      <c r="L253" s="126" t="s">
        <v>79</v>
      </c>
      <c r="M253" s="1" t="s">
        <v>818</v>
      </c>
      <c r="N253" s="126" t="s">
        <v>124</v>
      </c>
      <c r="O253" s="126" t="s">
        <v>97</v>
      </c>
      <c r="R253" s="64" t="s">
        <v>708</v>
      </c>
      <c r="S253" s="136" t="s">
        <v>104</v>
      </c>
      <c r="X253" s="136" t="s">
        <v>154</v>
      </c>
      <c r="Y253" s="127" t="str">
        <f t="shared" si="397"/>
        <v>Pass</v>
      </c>
      <c r="Z253" s="11" t="str">
        <f t="shared" si="443"/>
        <v/>
      </c>
      <c r="AA253" s="127" t="str">
        <f t="shared" si="444"/>
        <v/>
      </c>
      <c r="AB253" s="127" t="str">
        <f t="shared" si="445"/>
        <v/>
      </c>
    </row>
    <row r="254" spans="2:28" x14ac:dyDescent="0.25">
      <c r="B254" s="65">
        <v>41703</v>
      </c>
      <c r="C254" s="66">
        <v>41703</v>
      </c>
      <c r="D254" s="68">
        <f t="shared" si="482"/>
        <v>3</v>
      </c>
      <c r="E254" s="66" t="str">
        <f t="shared" si="483"/>
        <v>2014-Mar</v>
      </c>
      <c r="F254" s="68">
        <f t="shared" si="484"/>
        <v>3</v>
      </c>
      <c r="G254" s="127" t="s">
        <v>121</v>
      </c>
      <c r="H254" s="126" t="s">
        <v>348</v>
      </c>
      <c r="J254" s="126" t="s">
        <v>77</v>
      </c>
      <c r="K254" s="126" t="s">
        <v>82</v>
      </c>
      <c r="L254" s="126" t="s">
        <v>79</v>
      </c>
      <c r="M254" s="1" t="s">
        <v>820</v>
      </c>
      <c r="N254" s="126" t="s">
        <v>124</v>
      </c>
      <c r="O254" s="126" t="s">
        <v>285</v>
      </c>
      <c r="P254" s="64" t="s">
        <v>352</v>
      </c>
      <c r="R254" s="64" t="s">
        <v>626</v>
      </c>
      <c r="S254" s="127" t="s">
        <v>104</v>
      </c>
      <c r="T254" s="67" t="s">
        <v>110</v>
      </c>
      <c r="X254" s="127" t="s">
        <v>270</v>
      </c>
      <c r="Y254" s="127" t="str">
        <f t="shared" si="397"/>
        <v>Pass</v>
      </c>
      <c r="Z254" s="11" t="str">
        <f t="shared" si="443"/>
        <v/>
      </c>
      <c r="AA254" s="127" t="str">
        <f t="shared" si="444"/>
        <v/>
      </c>
      <c r="AB254" s="127" t="str">
        <f t="shared" si="445"/>
        <v/>
      </c>
    </row>
    <row r="255" spans="2:28" x14ac:dyDescent="0.25">
      <c r="B255" s="66">
        <v>41703</v>
      </c>
      <c r="C255" s="66">
        <v>41703</v>
      </c>
      <c r="D255" s="68">
        <f t="shared" ref="D255" si="485">IF(B255&gt;0,MONTH(B255),"False")</f>
        <v>3</v>
      </c>
      <c r="E255" s="66" t="str">
        <f t="shared" ref="E255" si="486">YEAR(B255) &amp; CHOOSE(D255,"-Jan","-Feb","-Mar","-Apr","-May","-Jun","-Jul","-Aug","-Sep","-Oct","-Nov","-Dec")</f>
        <v>2014-Mar</v>
      </c>
      <c r="F255" s="68">
        <f t="shared" ref="F255" si="487">IF(C255&gt;0,MONTH(C255),"False")</f>
        <v>3</v>
      </c>
      <c r="G255" s="130" t="s">
        <v>112</v>
      </c>
      <c r="H255" s="126" t="s">
        <v>331</v>
      </c>
      <c r="J255" s="126" t="s">
        <v>78</v>
      </c>
      <c r="K255" s="126" t="s">
        <v>78</v>
      </c>
      <c r="L255" s="126" t="s">
        <v>79</v>
      </c>
      <c r="M255" s="1" t="s">
        <v>821</v>
      </c>
      <c r="N255" s="126" t="s">
        <v>124</v>
      </c>
      <c r="O255" s="126" t="s">
        <v>494</v>
      </c>
      <c r="R255" s="64" t="s">
        <v>771</v>
      </c>
      <c r="S255" s="130" t="s">
        <v>104</v>
      </c>
      <c r="X255" s="130" t="s">
        <v>652</v>
      </c>
      <c r="Y255" s="127" t="str">
        <f t="shared" si="397"/>
        <v>Pass</v>
      </c>
      <c r="Z255" s="11" t="str">
        <f t="shared" si="443"/>
        <v/>
      </c>
      <c r="AA255" s="127" t="str">
        <f t="shared" si="444"/>
        <v/>
      </c>
      <c r="AB255" s="127" t="str">
        <f t="shared" si="445"/>
        <v/>
      </c>
    </row>
    <row r="256" spans="2:28" x14ac:dyDescent="0.25">
      <c r="B256" s="66">
        <v>41703</v>
      </c>
      <c r="C256" s="66">
        <v>41703</v>
      </c>
      <c r="D256" s="68">
        <f t="shared" ref="D256" si="488">IF(B256&gt;0,MONTH(B256),"False")</f>
        <v>3</v>
      </c>
      <c r="E256" s="66" t="str">
        <f t="shared" ref="E256" si="489">YEAR(B256) &amp; CHOOSE(D256,"-Jan","-Feb","-Mar","-Apr","-May","-Jun","-Jul","-Aug","-Sep","-Oct","-Nov","-Dec")</f>
        <v>2014-Mar</v>
      </c>
      <c r="F256" s="68">
        <f t="shared" ref="F256" si="490">IF(C256&gt;0,MONTH(C256),"False")</f>
        <v>3</v>
      </c>
      <c r="G256" s="127" t="s">
        <v>126</v>
      </c>
      <c r="H256" s="126" t="s">
        <v>28</v>
      </c>
      <c r="J256" s="126" t="s">
        <v>78</v>
      </c>
      <c r="K256" s="126" t="s">
        <v>78</v>
      </c>
      <c r="L256" s="126" t="s">
        <v>79</v>
      </c>
      <c r="M256" s="1" t="s">
        <v>822</v>
      </c>
      <c r="N256" s="126" t="s">
        <v>124</v>
      </c>
      <c r="O256" s="126" t="s">
        <v>167</v>
      </c>
      <c r="R256" s="64" t="s">
        <v>308</v>
      </c>
      <c r="S256" s="127" t="s">
        <v>104</v>
      </c>
      <c r="X256" s="127" t="s">
        <v>462</v>
      </c>
      <c r="Y256" s="127" t="str">
        <f t="shared" si="397"/>
        <v>Pass</v>
      </c>
      <c r="Z256" s="11" t="str">
        <f t="shared" si="443"/>
        <v/>
      </c>
      <c r="AA256" s="127" t="str">
        <f t="shared" si="444"/>
        <v/>
      </c>
      <c r="AB256" s="127" t="str">
        <f t="shared" si="445"/>
        <v/>
      </c>
    </row>
    <row r="257" spans="2:28" x14ac:dyDescent="0.25">
      <c r="B257" s="66">
        <v>41704</v>
      </c>
      <c r="C257" s="66">
        <v>41704</v>
      </c>
      <c r="D257" s="68">
        <f t="shared" ref="D257:D258" si="491">IF(B257&gt;0,MONTH(B257),"False")</f>
        <v>3</v>
      </c>
      <c r="E257" s="66" t="str">
        <f t="shared" ref="E257:E258" si="492">YEAR(B257) &amp; CHOOSE(D257,"-Jan","-Feb","-Mar","-Apr","-May","-Jun","-Jul","-Aug","-Sep","-Oct","-Nov","-Dec")</f>
        <v>2014-Mar</v>
      </c>
      <c r="F257" s="68">
        <f t="shared" ref="F257:F258" si="493">IF(C257&gt;0,MONTH(C257),"False")</f>
        <v>3</v>
      </c>
      <c r="G257" s="127" t="s">
        <v>87</v>
      </c>
      <c r="H257" s="127" t="s">
        <v>280</v>
      </c>
      <c r="J257" s="127" t="s">
        <v>78</v>
      </c>
      <c r="K257" s="127" t="s">
        <v>78</v>
      </c>
      <c r="L257" s="127" t="s">
        <v>79</v>
      </c>
      <c r="M257" s="1" t="s">
        <v>823</v>
      </c>
      <c r="N257" s="127" t="s">
        <v>124</v>
      </c>
      <c r="O257" s="127" t="s">
        <v>138</v>
      </c>
      <c r="Q257" s="2" t="s">
        <v>88</v>
      </c>
      <c r="R257" s="64" t="s">
        <v>344</v>
      </c>
      <c r="Y257" s="127" t="str">
        <f t="shared" si="397"/>
        <v>Obsolete</v>
      </c>
      <c r="Z257" s="11">
        <f t="shared" si="443"/>
        <v>41704</v>
      </c>
      <c r="AA257" s="127" t="str">
        <f t="shared" si="444"/>
        <v>2014 - 10</v>
      </c>
      <c r="AB257" s="127">
        <f t="shared" si="445"/>
        <v>2014</v>
      </c>
    </row>
    <row r="258" spans="2:28" x14ac:dyDescent="0.25">
      <c r="B258" s="65">
        <v>41704</v>
      </c>
      <c r="C258" s="66">
        <v>41704</v>
      </c>
      <c r="D258" s="68">
        <f t="shared" si="491"/>
        <v>3</v>
      </c>
      <c r="E258" s="66" t="str">
        <f t="shared" si="492"/>
        <v>2014-Mar</v>
      </c>
      <c r="F258" s="68">
        <f t="shared" si="493"/>
        <v>3</v>
      </c>
      <c r="G258" s="127" t="s">
        <v>93</v>
      </c>
      <c r="H258" s="127" t="s">
        <v>103</v>
      </c>
      <c r="J258" s="127" t="s">
        <v>77</v>
      </c>
      <c r="K258" s="127" t="s">
        <v>82</v>
      </c>
      <c r="L258" s="127" t="s">
        <v>79</v>
      </c>
      <c r="M258" s="1" t="s">
        <v>824</v>
      </c>
      <c r="N258" s="127" t="s">
        <v>124</v>
      </c>
      <c r="O258" s="127" t="s">
        <v>265</v>
      </c>
      <c r="P258" s="64" t="s">
        <v>351</v>
      </c>
      <c r="Q258" s="2" t="s">
        <v>88</v>
      </c>
      <c r="R258" s="64" t="s">
        <v>361</v>
      </c>
      <c r="Y258" s="127" t="str">
        <f t="shared" si="397"/>
        <v>Obsolete</v>
      </c>
      <c r="Z258" s="11">
        <f t="shared" si="443"/>
        <v>41704</v>
      </c>
      <c r="AA258" s="127" t="str">
        <f t="shared" si="444"/>
        <v>2014 - 10</v>
      </c>
      <c r="AB258" s="127">
        <f t="shared" si="445"/>
        <v>2014</v>
      </c>
    </row>
    <row r="259" spans="2:28" x14ac:dyDescent="0.25">
      <c r="B259" s="65">
        <v>41704</v>
      </c>
      <c r="C259" s="66">
        <v>41705</v>
      </c>
      <c r="D259" s="68">
        <f t="shared" ref="D259:D260" si="494">IF(B259&gt;0,MONTH(B259),"False")</f>
        <v>3</v>
      </c>
      <c r="E259" s="66" t="str">
        <f t="shared" ref="E259:E260" si="495">YEAR(B259) &amp; CHOOSE(D259,"-Jan","-Feb","-Mar","-Apr","-May","-Jun","-Jul","-Aug","-Sep","-Oct","-Nov","-Dec")</f>
        <v>2014-Mar</v>
      </c>
      <c r="F259" s="68">
        <f t="shared" ref="F259:F260" si="496">IF(C259&gt;0,MONTH(C259),"False")</f>
        <v>3</v>
      </c>
      <c r="G259" s="128" t="s">
        <v>93</v>
      </c>
      <c r="H259" s="127" t="s">
        <v>330</v>
      </c>
      <c r="J259" s="127" t="s">
        <v>81</v>
      </c>
      <c r="K259" s="127" t="s">
        <v>82</v>
      </c>
      <c r="L259" s="127" t="s">
        <v>79</v>
      </c>
      <c r="M259" s="1" t="s">
        <v>825</v>
      </c>
      <c r="N259" s="127" t="s">
        <v>124</v>
      </c>
      <c r="O259" s="127" t="s">
        <v>125</v>
      </c>
      <c r="P259" s="64" t="s">
        <v>337</v>
      </c>
      <c r="R259" s="64" t="s">
        <v>338</v>
      </c>
      <c r="S259" s="223" t="s">
        <v>104</v>
      </c>
      <c r="Y259" s="127" t="str">
        <f t="shared" si="397"/>
        <v>Pass</v>
      </c>
      <c r="Z259" s="11" t="str">
        <f t="shared" si="443"/>
        <v/>
      </c>
      <c r="AA259" s="127" t="str">
        <f t="shared" si="444"/>
        <v/>
      </c>
      <c r="AB259" s="127" t="str">
        <f t="shared" si="445"/>
        <v/>
      </c>
    </row>
    <row r="260" spans="2:28" x14ac:dyDescent="0.25">
      <c r="B260" s="66">
        <v>41704</v>
      </c>
      <c r="C260" s="66">
        <v>41704</v>
      </c>
      <c r="D260" s="68">
        <f t="shared" si="494"/>
        <v>3</v>
      </c>
      <c r="E260" s="66" t="str">
        <f t="shared" si="495"/>
        <v>2014-Mar</v>
      </c>
      <c r="F260" s="68">
        <f t="shared" si="496"/>
        <v>3</v>
      </c>
      <c r="G260" s="127" t="s">
        <v>87</v>
      </c>
      <c r="H260" s="127" t="s">
        <v>483</v>
      </c>
      <c r="J260" s="127" t="s">
        <v>78</v>
      </c>
      <c r="K260" s="127" t="s">
        <v>78</v>
      </c>
      <c r="L260" s="127" t="s">
        <v>79</v>
      </c>
      <c r="M260" s="1" t="s">
        <v>826</v>
      </c>
      <c r="N260" s="127" t="s">
        <v>124</v>
      </c>
      <c r="O260" s="127" t="s">
        <v>306</v>
      </c>
      <c r="R260" s="64" t="s">
        <v>649</v>
      </c>
      <c r="Y260" s="127" t="str">
        <f t="shared" si="397"/>
        <v>Unknown</v>
      </c>
      <c r="Z260" s="11" t="str">
        <f t="shared" si="443"/>
        <v/>
      </c>
      <c r="AA260" s="127" t="str">
        <f t="shared" si="444"/>
        <v/>
      </c>
      <c r="AB260" s="127" t="str">
        <f t="shared" si="445"/>
        <v/>
      </c>
    </row>
    <row r="261" spans="2:28" x14ac:dyDescent="0.25">
      <c r="B261" s="66">
        <v>41705</v>
      </c>
      <c r="C261" s="66">
        <v>41705</v>
      </c>
      <c r="D261" s="68">
        <f t="shared" ref="D261" si="497">IF(B261&gt;0,MONTH(B261),"False")</f>
        <v>3</v>
      </c>
      <c r="E261" s="66" t="str">
        <f t="shared" ref="E261" si="498">YEAR(B261) &amp; CHOOSE(D261,"-Jan","-Feb","-Mar","-Apr","-May","-Jun","-Jul","-Aug","-Sep","-Oct","-Nov","-Dec")</f>
        <v>2014-Mar</v>
      </c>
      <c r="F261" s="68">
        <f t="shared" ref="F261" si="499">IF(C261&gt;0,MONTH(C261),"False")</f>
        <v>3</v>
      </c>
      <c r="G261" s="153" t="s">
        <v>126</v>
      </c>
      <c r="H261" s="128" t="s">
        <v>280</v>
      </c>
      <c r="J261" s="128" t="s">
        <v>119</v>
      </c>
      <c r="K261" s="128" t="s">
        <v>119</v>
      </c>
      <c r="L261" s="128" t="s">
        <v>79</v>
      </c>
      <c r="M261" s="1" t="s">
        <v>827</v>
      </c>
      <c r="N261" s="128" t="s">
        <v>124</v>
      </c>
      <c r="O261" s="128" t="s">
        <v>138</v>
      </c>
      <c r="R261" s="64" t="s">
        <v>362</v>
      </c>
      <c r="S261" s="153" t="s">
        <v>104</v>
      </c>
      <c r="X261" s="153" t="s">
        <v>544</v>
      </c>
      <c r="Y261" s="127" t="str">
        <f t="shared" si="397"/>
        <v>Pass</v>
      </c>
      <c r="Z261" s="11" t="str">
        <f t="shared" si="443"/>
        <v/>
      </c>
      <c r="AA261" s="127" t="str">
        <f t="shared" si="444"/>
        <v/>
      </c>
      <c r="AB261" s="127" t="str">
        <f t="shared" si="445"/>
        <v/>
      </c>
    </row>
    <row r="262" spans="2:28" x14ac:dyDescent="0.25">
      <c r="B262" s="66">
        <v>41705</v>
      </c>
      <c r="C262" s="66">
        <v>41705</v>
      </c>
      <c r="D262" s="68">
        <f t="shared" ref="D262:D263" si="500">IF(B262&gt;0,MONTH(B262),"False")</f>
        <v>3</v>
      </c>
      <c r="E262" s="66" t="str">
        <f t="shared" ref="E262:E263" si="501">YEAR(B262) &amp; CHOOSE(D262,"-Jan","-Feb","-Mar","-Apr","-May","-Jun","-Jul","-Aug","-Sep","-Oct","-Nov","-Dec")</f>
        <v>2014-Mar</v>
      </c>
      <c r="F262" s="68">
        <f t="shared" ref="F262:F263" si="502">IF(C262&gt;0,MONTH(C262),"False")</f>
        <v>3</v>
      </c>
      <c r="G262" s="153" t="s">
        <v>126</v>
      </c>
      <c r="H262" s="128" t="s">
        <v>280</v>
      </c>
      <c r="J262" s="128" t="s">
        <v>119</v>
      </c>
      <c r="K262" s="128" t="s">
        <v>119</v>
      </c>
      <c r="L262" s="128" t="s">
        <v>79</v>
      </c>
      <c r="M262" s="128" t="s">
        <v>828</v>
      </c>
      <c r="N262" s="128" t="s">
        <v>124</v>
      </c>
      <c r="O262" s="128" t="s">
        <v>138</v>
      </c>
      <c r="R262" s="64" t="s">
        <v>362</v>
      </c>
      <c r="S262" s="153" t="s">
        <v>104</v>
      </c>
      <c r="X262" s="153" t="s">
        <v>544</v>
      </c>
      <c r="Y262" s="127" t="str">
        <f t="shared" si="397"/>
        <v>Pass</v>
      </c>
      <c r="Z262" s="11" t="str">
        <f t="shared" si="443"/>
        <v/>
      </c>
      <c r="AA262" s="127" t="str">
        <f t="shared" si="444"/>
        <v/>
      </c>
      <c r="AB262" s="127" t="str">
        <f t="shared" si="445"/>
        <v/>
      </c>
    </row>
    <row r="263" spans="2:28" x14ac:dyDescent="0.25">
      <c r="B263" s="65">
        <v>41708</v>
      </c>
      <c r="C263" s="66">
        <v>41708</v>
      </c>
      <c r="D263" s="68">
        <f t="shared" si="500"/>
        <v>3</v>
      </c>
      <c r="E263" s="66" t="str">
        <f t="shared" si="501"/>
        <v>2014-Mar</v>
      </c>
      <c r="F263" s="68">
        <f t="shared" si="502"/>
        <v>3</v>
      </c>
      <c r="G263" s="128" t="s">
        <v>93</v>
      </c>
      <c r="H263" s="128" t="s">
        <v>280</v>
      </c>
      <c r="J263" s="128" t="s">
        <v>146</v>
      </c>
      <c r="K263" s="128" t="s">
        <v>82</v>
      </c>
      <c r="L263" s="128" t="s">
        <v>79</v>
      </c>
      <c r="M263" s="1" t="s">
        <v>829</v>
      </c>
      <c r="N263" s="128" t="s">
        <v>124</v>
      </c>
      <c r="O263" s="128" t="s">
        <v>286</v>
      </c>
      <c r="P263" s="64" t="s">
        <v>305</v>
      </c>
      <c r="Q263" s="2" t="s">
        <v>88</v>
      </c>
      <c r="R263" s="64" t="s">
        <v>780</v>
      </c>
      <c r="Y263" s="127" t="str">
        <f t="shared" si="397"/>
        <v>Obsolete</v>
      </c>
      <c r="Z263" s="11">
        <f t="shared" si="443"/>
        <v>41708</v>
      </c>
      <c r="AA263" s="127" t="str">
        <f t="shared" si="444"/>
        <v>2014 - 11</v>
      </c>
      <c r="AB263" s="127">
        <f t="shared" si="445"/>
        <v>2014</v>
      </c>
    </row>
    <row r="264" spans="2:28" x14ac:dyDescent="0.25">
      <c r="B264" s="65">
        <v>41708</v>
      </c>
      <c r="C264" s="66">
        <v>41708</v>
      </c>
      <c r="D264" s="68">
        <f t="shared" ref="D264" si="503">IF(B264&gt;0,MONTH(B264),"False")</f>
        <v>3</v>
      </c>
      <c r="E264" s="66" t="str">
        <f t="shared" ref="E264" si="504">YEAR(B264) &amp; CHOOSE(D264,"-Jan","-Feb","-Mar","-Apr","-May","-Jun","-Jul","-Aug","-Sep","-Oct","-Nov","-Dec")</f>
        <v>2014-Mar</v>
      </c>
      <c r="F264" s="68">
        <f t="shared" ref="F264" si="505">IF(C264&gt;0,MONTH(C264),"False")</f>
        <v>3</v>
      </c>
      <c r="G264" s="204" t="s">
        <v>121</v>
      </c>
      <c r="H264" s="128" t="s">
        <v>166</v>
      </c>
      <c r="I264" s="128"/>
      <c r="J264" s="128" t="s">
        <v>120</v>
      </c>
      <c r="K264" s="128" t="s">
        <v>82</v>
      </c>
      <c r="L264" s="128" t="s">
        <v>79</v>
      </c>
      <c r="M264" s="128" t="s">
        <v>830</v>
      </c>
      <c r="N264" s="128" t="s">
        <v>124</v>
      </c>
      <c r="O264" s="128" t="s">
        <v>147</v>
      </c>
      <c r="P264" s="64" t="s">
        <v>557</v>
      </c>
      <c r="R264" s="64" t="s">
        <v>594</v>
      </c>
      <c r="S264" s="204" t="s">
        <v>104</v>
      </c>
      <c r="X264" s="204" t="s">
        <v>1312</v>
      </c>
      <c r="Y264" s="127" t="str">
        <f t="shared" si="397"/>
        <v>Pass</v>
      </c>
      <c r="Z264" s="11" t="str">
        <f t="shared" si="443"/>
        <v/>
      </c>
      <c r="AA264" s="127" t="str">
        <f t="shared" si="444"/>
        <v/>
      </c>
      <c r="AB264" s="127" t="str">
        <f t="shared" si="445"/>
        <v/>
      </c>
    </row>
    <row r="265" spans="2:28" x14ac:dyDescent="0.25">
      <c r="B265" s="65">
        <v>41708</v>
      </c>
      <c r="C265" s="66">
        <v>41708</v>
      </c>
      <c r="D265" s="68">
        <f t="shared" ref="D265" si="506">IF(B265&gt;0,MONTH(B265),"False")</f>
        <v>3</v>
      </c>
      <c r="E265" s="66" t="str">
        <f t="shared" ref="E265" si="507">YEAR(B265) &amp; CHOOSE(D265,"-Jan","-Feb","-Mar","-Apr","-May","-Jun","-Jul","-Aug","-Sep","-Oct","-Nov","-Dec")</f>
        <v>2014-Mar</v>
      </c>
      <c r="F265" s="68">
        <f t="shared" ref="F265" si="508">IF(C265&gt;0,MONTH(C265),"False")</f>
        <v>3</v>
      </c>
      <c r="G265" s="128" t="s">
        <v>93</v>
      </c>
      <c r="H265" s="128" t="s">
        <v>136</v>
      </c>
      <c r="J265" s="128" t="s">
        <v>120</v>
      </c>
      <c r="K265" s="128" t="s">
        <v>82</v>
      </c>
      <c r="L265" s="128" t="s">
        <v>79</v>
      </c>
      <c r="M265" s="1" t="s">
        <v>831</v>
      </c>
      <c r="N265" s="128" t="s">
        <v>124</v>
      </c>
      <c r="O265" s="128" t="s">
        <v>147</v>
      </c>
      <c r="P265" s="64" t="s">
        <v>750</v>
      </c>
      <c r="R265" s="64" t="s">
        <v>797</v>
      </c>
      <c r="S265" s="197" t="s">
        <v>104</v>
      </c>
      <c r="T265" s="67" t="s">
        <v>110</v>
      </c>
      <c r="Y265" s="127" t="str">
        <f t="shared" si="397"/>
        <v>Pass</v>
      </c>
      <c r="Z265" s="11" t="str">
        <f t="shared" si="443"/>
        <v/>
      </c>
      <c r="AA265" s="127" t="str">
        <f t="shared" si="444"/>
        <v/>
      </c>
      <c r="AB265" s="127" t="str">
        <f t="shared" si="445"/>
        <v/>
      </c>
    </row>
    <row r="266" spans="2:28" x14ac:dyDescent="0.25">
      <c r="B266" s="65">
        <v>41708</v>
      </c>
      <c r="C266" s="66">
        <v>41708</v>
      </c>
      <c r="D266" s="68">
        <f t="shared" ref="D266:D267" si="509">IF(B266&gt;0,MONTH(B266),"False")</f>
        <v>3</v>
      </c>
      <c r="E266" s="66" t="str">
        <f t="shared" ref="E266:E267" si="510">YEAR(B266) &amp; CHOOSE(D266,"-Jan","-Feb","-Mar","-Apr","-May","-Jun","-Jul","-Aug","-Sep","-Oct","-Nov","-Dec")</f>
        <v>2014-Mar</v>
      </c>
      <c r="F266" s="68">
        <f t="shared" ref="F266:F267" si="511">IF(C266&gt;0,MONTH(C266),"False")</f>
        <v>3</v>
      </c>
      <c r="G266" s="132" t="s">
        <v>105</v>
      </c>
      <c r="H266" s="128" t="s">
        <v>280</v>
      </c>
      <c r="J266" s="128" t="s">
        <v>81</v>
      </c>
      <c r="K266" s="128" t="s">
        <v>82</v>
      </c>
      <c r="L266" s="128" t="s">
        <v>79</v>
      </c>
      <c r="M266" s="1" t="s">
        <v>832</v>
      </c>
      <c r="N266" s="128" t="s">
        <v>124</v>
      </c>
      <c r="O266" s="128" t="s">
        <v>286</v>
      </c>
      <c r="P266" s="64" t="s">
        <v>305</v>
      </c>
      <c r="R266" s="64" t="s">
        <v>780</v>
      </c>
      <c r="S266" s="132" t="s">
        <v>104</v>
      </c>
      <c r="T266" s="67" t="s">
        <v>110</v>
      </c>
      <c r="X266" s="132" t="s">
        <v>544</v>
      </c>
      <c r="Y266" s="127" t="str">
        <f t="shared" si="397"/>
        <v>Pass</v>
      </c>
      <c r="Z266" s="11" t="str">
        <f t="shared" si="443"/>
        <v/>
      </c>
      <c r="AA266" s="127" t="str">
        <f t="shared" si="444"/>
        <v/>
      </c>
      <c r="AB266" s="127" t="str">
        <f t="shared" si="445"/>
        <v/>
      </c>
    </row>
    <row r="267" spans="2:28" x14ac:dyDescent="0.25">
      <c r="B267" s="66">
        <v>41708</v>
      </c>
      <c r="C267" s="66">
        <v>41708</v>
      </c>
      <c r="D267" s="68">
        <f t="shared" si="509"/>
        <v>3</v>
      </c>
      <c r="E267" s="66" t="str">
        <f t="shared" si="510"/>
        <v>2014-Mar</v>
      </c>
      <c r="F267" s="68">
        <f t="shared" si="511"/>
        <v>3</v>
      </c>
      <c r="G267" s="129" t="s">
        <v>87</v>
      </c>
      <c r="H267" s="129" t="s">
        <v>166</v>
      </c>
      <c r="J267" s="129" t="s">
        <v>78</v>
      </c>
      <c r="K267" s="129" t="s">
        <v>78</v>
      </c>
      <c r="L267" s="129" t="s">
        <v>79</v>
      </c>
      <c r="M267" s="1" t="s">
        <v>833</v>
      </c>
      <c r="N267" s="129" t="s">
        <v>124</v>
      </c>
      <c r="O267" s="129" t="s">
        <v>287</v>
      </c>
      <c r="Q267" s="2" t="s">
        <v>88</v>
      </c>
      <c r="R267" s="64" t="s">
        <v>488</v>
      </c>
      <c r="Y267" s="127" t="str">
        <f t="shared" si="397"/>
        <v>Obsolete</v>
      </c>
      <c r="Z267" s="11">
        <f t="shared" si="443"/>
        <v>41708</v>
      </c>
      <c r="AA267" s="127" t="str">
        <f t="shared" si="444"/>
        <v>2014 - 11</v>
      </c>
      <c r="AB267" s="127">
        <f t="shared" si="445"/>
        <v>2014</v>
      </c>
    </row>
    <row r="268" spans="2:28" x14ac:dyDescent="0.25">
      <c r="B268" s="65">
        <v>41708</v>
      </c>
      <c r="C268" s="66">
        <v>41708</v>
      </c>
      <c r="D268" s="68">
        <f t="shared" ref="D268:D269" si="512">IF(B268&gt;0,MONTH(B268),"False")</f>
        <v>3</v>
      </c>
      <c r="E268" s="66" t="str">
        <f t="shared" ref="E268:E269" si="513">YEAR(B268) &amp; CHOOSE(D268,"-Jan","-Feb","-Mar","-Apr","-May","-Jun","-Jul","-Aug","-Sep","-Oct","-Nov","-Dec")</f>
        <v>2014-Mar</v>
      </c>
      <c r="F268" s="68">
        <f t="shared" ref="F268:F269" si="514">IF(C268&gt;0,MONTH(C268),"False")</f>
        <v>3</v>
      </c>
      <c r="G268" s="164" t="s">
        <v>121</v>
      </c>
      <c r="H268" s="129" t="s">
        <v>28</v>
      </c>
      <c r="J268" s="129" t="s">
        <v>77</v>
      </c>
      <c r="K268" s="129" t="s">
        <v>82</v>
      </c>
      <c r="L268" s="129" t="s">
        <v>79</v>
      </c>
      <c r="M268" s="1" t="s">
        <v>834</v>
      </c>
      <c r="N268" s="129" t="s">
        <v>124</v>
      </c>
      <c r="O268" s="129" t="s">
        <v>142</v>
      </c>
      <c r="P268" s="64" t="s">
        <v>334</v>
      </c>
      <c r="R268" s="64" t="s">
        <v>335</v>
      </c>
      <c r="S268" s="164" t="s">
        <v>104</v>
      </c>
      <c r="X268" s="164" t="s">
        <v>153</v>
      </c>
      <c r="Y268" s="127" t="str">
        <f t="shared" ref="Y268:Y331" si="515">IF(Q268&gt;0,"Obsolete",IF(S268&gt;0,S268,"Unknown"))</f>
        <v>Pass</v>
      </c>
      <c r="Z268" s="11" t="str">
        <f t="shared" si="443"/>
        <v/>
      </c>
      <c r="AA268" s="127" t="str">
        <f t="shared" si="444"/>
        <v/>
      </c>
      <c r="AB268" s="127" t="str">
        <f t="shared" si="445"/>
        <v/>
      </c>
    </row>
    <row r="269" spans="2:28" x14ac:dyDescent="0.25">
      <c r="B269" s="65">
        <v>41709</v>
      </c>
      <c r="C269" s="66">
        <v>41709</v>
      </c>
      <c r="D269" s="68">
        <f t="shared" si="512"/>
        <v>3</v>
      </c>
      <c r="E269" s="66" t="str">
        <f t="shared" si="513"/>
        <v>2014-Mar</v>
      </c>
      <c r="F269" s="68">
        <f t="shared" si="514"/>
        <v>3</v>
      </c>
      <c r="G269" s="130" t="s">
        <v>93</v>
      </c>
      <c r="H269" s="130" t="s">
        <v>103</v>
      </c>
      <c r="I269" s="130"/>
      <c r="J269" s="130" t="s">
        <v>77</v>
      </c>
      <c r="K269" s="130" t="s">
        <v>82</v>
      </c>
      <c r="L269" s="130" t="s">
        <v>79</v>
      </c>
      <c r="M269" s="130" t="s">
        <v>835</v>
      </c>
      <c r="N269" s="130" t="s">
        <v>124</v>
      </c>
      <c r="O269" s="130" t="s">
        <v>265</v>
      </c>
      <c r="P269" s="64" t="s">
        <v>351</v>
      </c>
      <c r="Q269" s="2" t="s">
        <v>88</v>
      </c>
      <c r="R269" s="64" t="s">
        <v>361</v>
      </c>
      <c r="S269" s="130"/>
      <c r="Y269" s="127" t="str">
        <f t="shared" si="515"/>
        <v>Obsolete</v>
      </c>
      <c r="Z269" s="11">
        <f t="shared" si="443"/>
        <v>41709</v>
      </c>
      <c r="AA269" s="127" t="str">
        <f t="shared" si="444"/>
        <v>2014 - 11</v>
      </c>
      <c r="AB269" s="127">
        <f t="shared" si="445"/>
        <v>2014</v>
      </c>
    </row>
    <row r="270" spans="2:28" x14ac:dyDescent="0.25">
      <c r="B270" s="65">
        <v>41709</v>
      </c>
      <c r="C270" s="66">
        <v>41709</v>
      </c>
      <c r="D270" s="68">
        <f t="shared" ref="D270" si="516">IF(B270&gt;0,MONTH(B270),"False")</f>
        <v>3</v>
      </c>
      <c r="E270" s="66" t="str">
        <f t="shared" ref="E270" si="517">YEAR(B270) &amp; CHOOSE(D270,"-Jan","-Feb","-Mar","-Apr","-May","-Jun","-Jul","-Aug","-Sep","-Oct","-Nov","-Dec")</f>
        <v>2014-Mar</v>
      </c>
      <c r="F270" s="68">
        <f t="shared" ref="F270" si="518">IF(C270&gt;0,MONTH(C270),"False")</f>
        <v>3</v>
      </c>
      <c r="G270" s="130" t="s">
        <v>93</v>
      </c>
      <c r="H270" s="130" t="s">
        <v>103</v>
      </c>
      <c r="I270" s="130"/>
      <c r="J270" s="130" t="s">
        <v>77</v>
      </c>
      <c r="K270" s="130" t="s">
        <v>82</v>
      </c>
      <c r="L270" s="130" t="s">
        <v>79</v>
      </c>
      <c r="M270" s="130" t="s">
        <v>836</v>
      </c>
      <c r="N270" s="130" t="s">
        <v>124</v>
      </c>
      <c r="O270" s="130" t="s">
        <v>265</v>
      </c>
      <c r="P270" s="64" t="s">
        <v>351</v>
      </c>
      <c r="Q270" s="2" t="s">
        <v>88</v>
      </c>
      <c r="R270" s="64" t="s">
        <v>361</v>
      </c>
      <c r="S270" s="130"/>
      <c r="Y270" s="127" t="str">
        <f t="shared" si="515"/>
        <v>Obsolete</v>
      </c>
      <c r="Z270" s="11">
        <f t="shared" si="443"/>
        <v>41709</v>
      </c>
      <c r="AA270" s="127" t="str">
        <f t="shared" si="444"/>
        <v>2014 - 11</v>
      </c>
      <c r="AB270" s="127">
        <f t="shared" si="445"/>
        <v>2014</v>
      </c>
    </row>
    <row r="271" spans="2:28" x14ac:dyDescent="0.25">
      <c r="B271" s="65">
        <v>41709</v>
      </c>
      <c r="C271" s="66">
        <v>41709</v>
      </c>
      <c r="D271" s="68">
        <f t="shared" ref="D271" si="519">IF(B271&gt;0,MONTH(B271),"False")</f>
        <v>3</v>
      </c>
      <c r="E271" s="66" t="str">
        <f t="shared" ref="E271" si="520">YEAR(B271) &amp; CHOOSE(D271,"-Jan","-Feb","-Mar","-Apr","-May","-Jun","-Jul","-Aug","-Sep","-Oct","-Nov","-Dec")</f>
        <v>2014-Mar</v>
      </c>
      <c r="F271" s="68">
        <f t="shared" ref="F271" si="521">IF(C271&gt;0,MONTH(C271),"False")</f>
        <v>3</v>
      </c>
      <c r="G271" s="130" t="s">
        <v>93</v>
      </c>
      <c r="H271" s="130" t="s">
        <v>115</v>
      </c>
      <c r="J271" s="130" t="s">
        <v>77</v>
      </c>
      <c r="K271" s="130" t="s">
        <v>82</v>
      </c>
      <c r="L271" s="130" t="s">
        <v>79</v>
      </c>
      <c r="M271" s="130" t="s">
        <v>838</v>
      </c>
      <c r="N271" s="130" t="s">
        <v>124</v>
      </c>
      <c r="O271" s="130" t="s">
        <v>272</v>
      </c>
      <c r="P271" s="64" t="s">
        <v>405</v>
      </c>
      <c r="Q271" s="2" t="s">
        <v>88</v>
      </c>
      <c r="R271" s="64" t="s">
        <v>480</v>
      </c>
      <c r="Y271" s="127" t="str">
        <f t="shared" si="515"/>
        <v>Obsolete</v>
      </c>
      <c r="Z271" s="11">
        <f t="shared" ref="Z271:Z300" si="522">IF(Q271="Obsolete-LQA",C271,IF(Q271="Obsolete-IT",B271,""))</f>
        <v>41709</v>
      </c>
      <c r="AA271" s="138" t="str">
        <f t="shared" ref="AA271:AA300" si="523">IFERROR(YEAR(Z271)&amp;" - "&amp; IF(LEN( WEEKNUM(Z271))=1,"0" &amp; WEEKNUM(Z271),WEEKNUM(Z271)),"")</f>
        <v>2014 - 11</v>
      </c>
      <c r="AB271" s="138">
        <f t="shared" ref="AB271:AB300" si="524">IFERROR(YEAR(Z271),"")</f>
        <v>2014</v>
      </c>
    </row>
    <row r="272" spans="2:28" x14ac:dyDescent="0.25">
      <c r="B272" s="65">
        <v>41709</v>
      </c>
      <c r="C272" s="66">
        <v>41709</v>
      </c>
      <c r="D272" s="68">
        <f t="shared" ref="D272:D275" si="525">IF(B272&gt;0,MONTH(B272),"False")</f>
        <v>3</v>
      </c>
      <c r="E272" s="66" t="str">
        <f t="shared" ref="E272:E275" si="526">YEAR(B272) &amp; CHOOSE(D272,"-Jan","-Feb","-Mar","-Apr","-May","-Jun","-Jul","-Aug","-Sep","-Oct","-Nov","-Dec")</f>
        <v>2014-Mar</v>
      </c>
      <c r="F272" s="68">
        <f t="shared" ref="F272:F275" si="527">IF(C272&gt;0,MONTH(C272),"False")</f>
        <v>3</v>
      </c>
      <c r="G272" s="130" t="s">
        <v>93</v>
      </c>
      <c r="H272" s="130" t="s">
        <v>115</v>
      </c>
      <c r="I272" s="130"/>
      <c r="J272" s="130" t="s">
        <v>77</v>
      </c>
      <c r="K272" s="130" t="s">
        <v>82</v>
      </c>
      <c r="L272" s="130" t="s">
        <v>79</v>
      </c>
      <c r="M272" s="130" t="s">
        <v>839</v>
      </c>
      <c r="N272" s="130" t="s">
        <v>124</v>
      </c>
      <c r="O272" s="130" t="s">
        <v>272</v>
      </c>
      <c r="P272" s="64" t="s">
        <v>405</v>
      </c>
      <c r="Q272" s="2" t="s">
        <v>88</v>
      </c>
      <c r="R272" s="64" t="s">
        <v>480</v>
      </c>
      <c r="Y272" s="127" t="str">
        <f t="shared" si="515"/>
        <v>Obsolete</v>
      </c>
      <c r="Z272" s="11">
        <f t="shared" si="522"/>
        <v>41709</v>
      </c>
      <c r="AA272" s="138" t="str">
        <f t="shared" si="523"/>
        <v>2014 - 11</v>
      </c>
      <c r="AB272" s="138">
        <f t="shared" si="524"/>
        <v>2014</v>
      </c>
    </row>
    <row r="273" spans="2:28" x14ac:dyDescent="0.25">
      <c r="B273" s="65">
        <v>41709</v>
      </c>
      <c r="C273" s="66">
        <v>41709</v>
      </c>
      <c r="D273" s="68">
        <f t="shared" si="525"/>
        <v>3</v>
      </c>
      <c r="E273" s="66" t="str">
        <f t="shared" si="526"/>
        <v>2014-Mar</v>
      </c>
      <c r="F273" s="68">
        <f t="shared" si="527"/>
        <v>3</v>
      </c>
      <c r="G273" s="130" t="s">
        <v>93</v>
      </c>
      <c r="H273" s="130" t="s">
        <v>115</v>
      </c>
      <c r="I273" s="130"/>
      <c r="J273" s="130" t="s">
        <v>77</v>
      </c>
      <c r="K273" s="130" t="s">
        <v>82</v>
      </c>
      <c r="L273" s="130" t="s">
        <v>79</v>
      </c>
      <c r="M273" s="130" t="s">
        <v>840</v>
      </c>
      <c r="N273" s="130" t="s">
        <v>124</v>
      </c>
      <c r="O273" s="130" t="s">
        <v>272</v>
      </c>
      <c r="P273" s="64" t="s">
        <v>405</v>
      </c>
      <c r="R273" s="64" t="s">
        <v>480</v>
      </c>
      <c r="S273" s="193" t="s">
        <v>104</v>
      </c>
      <c r="Y273" s="127" t="str">
        <f t="shared" si="515"/>
        <v>Pass</v>
      </c>
      <c r="Z273" s="11" t="str">
        <f t="shared" si="522"/>
        <v/>
      </c>
      <c r="AA273" s="138" t="str">
        <f t="shared" si="523"/>
        <v/>
      </c>
      <c r="AB273" s="138" t="str">
        <f t="shared" si="524"/>
        <v/>
      </c>
    </row>
    <row r="274" spans="2:28" x14ac:dyDescent="0.25">
      <c r="B274" s="65">
        <v>41709</v>
      </c>
      <c r="C274" s="66">
        <v>41709</v>
      </c>
      <c r="D274" s="68">
        <f t="shared" si="525"/>
        <v>3</v>
      </c>
      <c r="E274" s="66" t="str">
        <f t="shared" si="526"/>
        <v>2014-Mar</v>
      </c>
      <c r="F274" s="68">
        <f t="shared" si="527"/>
        <v>3</v>
      </c>
      <c r="G274" s="130" t="s">
        <v>93</v>
      </c>
      <c r="H274" s="130" t="s">
        <v>115</v>
      </c>
      <c r="I274" s="130"/>
      <c r="J274" s="130" t="s">
        <v>77</v>
      </c>
      <c r="K274" s="130" t="s">
        <v>82</v>
      </c>
      <c r="L274" s="130" t="s">
        <v>79</v>
      </c>
      <c r="M274" s="130" t="s">
        <v>840</v>
      </c>
      <c r="N274" s="130" t="s">
        <v>124</v>
      </c>
      <c r="O274" s="130" t="s">
        <v>272</v>
      </c>
      <c r="P274" s="64" t="s">
        <v>405</v>
      </c>
      <c r="R274" s="64" t="s">
        <v>480</v>
      </c>
      <c r="Y274" s="127" t="str">
        <f t="shared" si="515"/>
        <v>Unknown</v>
      </c>
      <c r="Z274" s="11" t="str">
        <f t="shared" si="522"/>
        <v/>
      </c>
      <c r="AA274" s="138" t="str">
        <f t="shared" si="523"/>
        <v/>
      </c>
      <c r="AB274" s="138" t="str">
        <f t="shared" si="524"/>
        <v/>
      </c>
    </row>
    <row r="275" spans="2:28" x14ac:dyDescent="0.25">
      <c r="B275" s="65">
        <v>41709</v>
      </c>
      <c r="C275" s="66">
        <v>41709</v>
      </c>
      <c r="D275" s="68">
        <f t="shared" si="525"/>
        <v>3</v>
      </c>
      <c r="E275" s="66" t="str">
        <f t="shared" si="526"/>
        <v>2014-Mar</v>
      </c>
      <c r="F275" s="68">
        <f t="shared" si="527"/>
        <v>3</v>
      </c>
      <c r="G275" s="131" t="s">
        <v>121</v>
      </c>
      <c r="H275" s="131" t="s">
        <v>103</v>
      </c>
      <c r="I275" s="131"/>
      <c r="J275" s="131" t="s">
        <v>77</v>
      </c>
      <c r="K275" s="131" t="s">
        <v>82</v>
      </c>
      <c r="L275" s="131" t="s">
        <v>79</v>
      </c>
      <c r="M275" s="131" t="s">
        <v>841</v>
      </c>
      <c r="N275" s="131" t="s">
        <v>124</v>
      </c>
      <c r="O275" s="131" t="s">
        <v>265</v>
      </c>
      <c r="P275" s="64" t="s">
        <v>351</v>
      </c>
      <c r="R275" s="64" t="s">
        <v>361</v>
      </c>
      <c r="S275" s="131" t="s">
        <v>104</v>
      </c>
      <c r="X275" s="131" t="s">
        <v>158</v>
      </c>
      <c r="Y275" s="127" t="str">
        <f t="shared" si="515"/>
        <v>Pass</v>
      </c>
      <c r="Z275" s="11" t="str">
        <f t="shared" si="522"/>
        <v/>
      </c>
      <c r="AA275" s="138" t="str">
        <f t="shared" si="523"/>
        <v/>
      </c>
      <c r="AB275" s="138" t="str">
        <f t="shared" si="524"/>
        <v/>
      </c>
    </row>
    <row r="276" spans="2:28" x14ac:dyDescent="0.25">
      <c r="B276" s="65">
        <v>41710</v>
      </c>
      <c r="C276" s="66">
        <v>41710</v>
      </c>
      <c r="D276" s="68">
        <f t="shared" ref="D276" si="528">IF(B276&gt;0,MONTH(B276),"False")</f>
        <v>3</v>
      </c>
      <c r="E276" s="66" t="str">
        <f t="shared" ref="E276" si="529">YEAR(B276) &amp; CHOOSE(D276,"-Jan","-Feb","-Mar","-Apr","-May","-Jun","-Jul","-Aug","-Sep","-Oct","-Nov","-Dec")</f>
        <v>2014-Mar</v>
      </c>
      <c r="F276" s="68">
        <f t="shared" ref="F276" si="530">IF(C276&gt;0,MONTH(C276),"False")</f>
        <v>3</v>
      </c>
      <c r="G276" s="131" t="s">
        <v>93</v>
      </c>
      <c r="H276" s="131" t="s">
        <v>136</v>
      </c>
      <c r="J276" s="131" t="s">
        <v>77</v>
      </c>
      <c r="K276" s="131" t="s">
        <v>82</v>
      </c>
      <c r="L276" s="131" t="s">
        <v>79</v>
      </c>
      <c r="M276" s="131" t="s">
        <v>842</v>
      </c>
      <c r="N276" s="131" t="s">
        <v>124</v>
      </c>
      <c r="O276" s="131" t="s">
        <v>507</v>
      </c>
      <c r="P276" s="64" t="s">
        <v>750</v>
      </c>
      <c r="Q276" s="2" t="s">
        <v>88</v>
      </c>
      <c r="R276" s="64" t="s">
        <v>797</v>
      </c>
      <c r="T276" s="67" t="s">
        <v>110</v>
      </c>
      <c r="Y276" s="131" t="str">
        <f t="shared" si="515"/>
        <v>Obsolete</v>
      </c>
      <c r="Z276" s="11">
        <f t="shared" si="522"/>
        <v>41710</v>
      </c>
      <c r="AA276" s="138" t="str">
        <f t="shared" si="523"/>
        <v>2014 - 11</v>
      </c>
      <c r="AB276" s="138">
        <f t="shared" si="524"/>
        <v>2014</v>
      </c>
    </row>
    <row r="277" spans="2:28" x14ac:dyDescent="0.25">
      <c r="B277" s="65">
        <v>41710</v>
      </c>
      <c r="C277" s="66">
        <v>41710</v>
      </c>
      <c r="D277" s="68">
        <f t="shared" ref="D277" si="531">IF(B277&gt;0,MONTH(B277),"False")</f>
        <v>3</v>
      </c>
      <c r="E277" s="66" t="str">
        <f t="shared" ref="E277" si="532">YEAR(B277) &amp; CHOOSE(D277,"-Jan","-Feb","-Mar","-Apr","-May","-Jun","-Jul","-Aug","-Sep","-Oct","-Nov","-Dec")</f>
        <v>2014-Mar</v>
      </c>
      <c r="F277" s="68">
        <f t="shared" ref="F277" si="533">IF(C277&gt;0,MONTH(C277),"False")</f>
        <v>3</v>
      </c>
      <c r="G277" s="131" t="s">
        <v>93</v>
      </c>
      <c r="H277" s="131" t="s">
        <v>136</v>
      </c>
      <c r="I277" s="131"/>
      <c r="J277" s="131" t="s">
        <v>77</v>
      </c>
      <c r="K277" s="131" t="s">
        <v>82</v>
      </c>
      <c r="L277" s="131" t="s">
        <v>79</v>
      </c>
      <c r="M277" s="131" t="s">
        <v>843</v>
      </c>
      <c r="N277" s="131" t="s">
        <v>124</v>
      </c>
      <c r="O277" s="131" t="s">
        <v>507</v>
      </c>
      <c r="P277" s="64" t="s">
        <v>750</v>
      </c>
      <c r="Q277" s="2" t="s">
        <v>88</v>
      </c>
      <c r="R277" s="64" t="s">
        <v>797</v>
      </c>
      <c r="S277" s="131"/>
      <c r="T277" s="67" t="s">
        <v>110</v>
      </c>
      <c r="Y277" s="131" t="str">
        <f t="shared" si="515"/>
        <v>Obsolete</v>
      </c>
      <c r="Z277" s="11">
        <f t="shared" si="522"/>
        <v>41710</v>
      </c>
      <c r="AA277" s="138" t="str">
        <f t="shared" si="523"/>
        <v>2014 - 11</v>
      </c>
      <c r="AB277" s="138">
        <f t="shared" si="524"/>
        <v>2014</v>
      </c>
    </row>
    <row r="278" spans="2:28" x14ac:dyDescent="0.25">
      <c r="B278" s="65">
        <v>41710</v>
      </c>
      <c r="C278" s="66">
        <v>41710</v>
      </c>
      <c r="D278" s="68">
        <f t="shared" ref="D278" si="534">IF(B278&gt;0,MONTH(B278),"False")</f>
        <v>3</v>
      </c>
      <c r="E278" s="66" t="str">
        <f t="shared" ref="E278" si="535">YEAR(B278) &amp; CHOOSE(D278,"-Jan","-Feb","-Mar","-Apr","-May","-Jun","-Jul","-Aug","-Sep","-Oct","-Nov","-Dec")</f>
        <v>2014-Mar</v>
      </c>
      <c r="F278" s="68">
        <f t="shared" ref="F278" si="536">IF(C278&gt;0,MONTH(C278),"False")</f>
        <v>3</v>
      </c>
      <c r="G278" s="132" t="s">
        <v>105</v>
      </c>
      <c r="H278" s="131" t="s">
        <v>280</v>
      </c>
      <c r="J278" s="131" t="s">
        <v>146</v>
      </c>
      <c r="K278" s="131" t="s">
        <v>82</v>
      </c>
      <c r="L278" s="131" t="s">
        <v>79</v>
      </c>
      <c r="M278" s="1" t="s">
        <v>844</v>
      </c>
      <c r="N278" s="131" t="s">
        <v>124</v>
      </c>
      <c r="O278" s="131" t="s">
        <v>286</v>
      </c>
      <c r="P278" s="64" t="s">
        <v>305</v>
      </c>
      <c r="R278" s="64" t="s">
        <v>780</v>
      </c>
      <c r="S278" s="132" t="s">
        <v>104</v>
      </c>
      <c r="X278" s="132" t="s">
        <v>544</v>
      </c>
      <c r="Y278" s="131" t="str">
        <f t="shared" si="515"/>
        <v>Pass</v>
      </c>
      <c r="Z278" s="11" t="str">
        <f t="shared" si="522"/>
        <v/>
      </c>
      <c r="AA278" s="138" t="str">
        <f t="shared" si="523"/>
        <v/>
      </c>
      <c r="AB278" s="138" t="str">
        <f t="shared" si="524"/>
        <v/>
      </c>
    </row>
    <row r="279" spans="2:28" x14ac:dyDescent="0.25">
      <c r="B279" s="65">
        <v>41711</v>
      </c>
      <c r="C279" s="66">
        <v>41745</v>
      </c>
      <c r="D279" s="68">
        <f t="shared" ref="D279:D280" si="537">IF(B279&gt;0,MONTH(B279),"False")</f>
        <v>3</v>
      </c>
      <c r="E279" s="66" t="str">
        <f t="shared" ref="E279:E280" si="538">YEAR(B279) &amp; CHOOSE(D279,"-Jan","-Feb","-Mar","-Apr","-May","-Jun","-Jul","-Aug","-Sep","-Oct","-Nov","-Dec")</f>
        <v>2014-Mar</v>
      </c>
      <c r="F279" s="68">
        <f t="shared" ref="F279:F280" si="539">IF(C279&gt;0,MONTH(C279),"False")</f>
        <v>4</v>
      </c>
      <c r="G279" s="166" t="s">
        <v>93</v>
      </c>
      <c r="H279" s="132" t="s">
        <v>76</v>
      </c>
      <c r="J279" s="132" t="s">
        <v>77</v>
      </c>
      <c r="K279" s="132" t="s">
        <v>78</v>
      </c>
      <c r="L279" s="132" t="s">
        <v>79</v>
      </c>
      <c r="M279" s="1" t="s">
        <v>845</v>
      </c>
      <c r="N279" s="132" t="s">
        <v>124</v>
      </c>
      <c r="O279" s="132" t="s">
        <v>304</v>
      </c>
      <c r="P279" s="64" t="s">
        <v>846</v>
      </c>
      <c r="Q279" s="2" t="s">
        <v>88</v>
      </c>
      <c r="R279" s="64" t="s">
        <v>1038</v>
      </c>
      <c r="Y279" s="131" t="str">
        <f t="shared" si="515"/>
        <v>Obsolete</v>
      </c>
      <c r="Z279" s="11">
        <f t="shared" si="522"/>
        <v>41745</v>
      </c>
      <c r="AA279" s="138" t="str">
        <f t="shared" si="523"/>
        <v>2014 - 16</v>
      </c>
      <c r="AB279" s="138">
        <f t="shared" si="524"/>
        <v>2014</v>
      </c>
    </row>
    <row r="280" spans="2:28" x14ac:dyDescent="0.25">
      <c r="B280" s="65">
        <v>41711</v>
      </c>
      <c r="C280" s="66">
        <v>41711</v>
      </c>
      <c r="D280" s="68">
        <f t="shared" si="537"/>
        <v>3</v>
      </c>
      <c r="E280" s="66" t="str">
        <f t="shared" si="538"/>
        <v>2014-Mar</v>
      </c>
      <c r="F280" s="68">
        <f t="shared" si="539"/>
        <v>3</v>
      </c>
      <c r="G280" s="132" t="s">
        <v>93</v>
      </c>
      <c r="H280" s="132" t="s">
        <v>28</v>
      </c>
      <c r="J280" s="132" t="s">
        <v>77</v>
      </c>
      <c r="K280" s="132" t="s">
        <v>82</v>
      </c>
      <c r="L280" s="132" t="s">
        <v>79</v>
      </c>
      <c r="M280" s="1" t="s">
        <v>847</v>
      </c>
      <c r="N280" s="132" t="s">
        <v>124</v>
      </c>
      <c r="O280" s="132" t="s">
        <v>142</v>
      </c>
      <c r="P280" s="64" t="s">
        <v>334</v>
      </c>
      <c r="Q280" s="2" t="s">
        <v>88</v>
      </c>
      <c r="R280" s="64" t="s">
        <v>335</v>
      </c>
      <c r="Y280" s="131" t="str">
        <f t="shared" si="515"/>
        <v>Obsolete</v>
      </c>
      <c r="Z280" s="11">
        <f t="shared" si="522"/>
        <v>41711</v>
      </c>
      <c r="AA280" s="138" t="str">
        <f t="shared" si="523"/>
        <v>2014 - 11</v>
      </c>
      <c r="AB280" s="138">
        <f t="shared" si="524"/>
        <v>2014</v>
      </c>
    </row>
    <row r="281" spans="2:28" x14ac:dyDescent="0.25">
      <c r="B281" s="65">
        <v>41711</v>
      </c>
      <c r="C281" s="66">
        <v>41711</v>
      </c>
      <c r="D281" s="68">
        <f t="shared" ref="D281" si="540">IF(B281&gt;0,MONTH(B281),"False")</f>
        <v>3</v>
      </c>
      <c r="E281" s="66" t="str">
        <f t="shared" ref="E281" si="541">YEAR(B281) &amp; CHOOSE(D281,"-Jan","-Feb","-Mar","-Apr","-May","-Jun","-Jul","-Aug","-Sep","-Oct","-Nov","-Dec")</f>
        <v>2014-Mar</v>
      </c>
      <c r="F281" s="68">
        <f t="shared" ref="F281" si="542">IF(C281&gt;0,MONTH(C281),"False")</f>
        <v>3</v>
      </c>
      <c r="G281" s="204" t="s">
        <v>121</v>
      </c>
      <c r="H281" s="132" t="s">
        <v>166</v>
      </c>
      <c r="J281" s="132" t="s">
        <v>120</v>
      </c>
      <c r="K281" s="132" t="s">
        <v>82</v>
      </c>
      <c r="L281" s="132" t="s">
        <v>79</v>
      </c>
      <c r="M281" s="1" t="s">
        <v>848</v>
      </c>
      <c r="N281" s="132" t="s">
        <v>124</v>
      </c>
      <c r="O281" s="132" t="s">
        <v>147</v>
      </c>
      <c r="P281" s="64" t="s">
        <v>557</v>
      </c>
      <c r="R281" s="64" t="s">
        <v>594</v>
      </c>
      <c r="S281" s="204" t="s">
        <v>104</v>
      </c>
      <c r="X281" s="204" t="s">
        <v>1312</v>
      </c>
      <c r="Y281" s="131" t="str">
        <f t="shared" si="515"/>
        <v>Pass</v>
      </c>
      <c r="Z281" s="11" t="str">
        <f t="shared" si="522"/>
        <v/>
      </c>
      <c r="AA281" s="138" t="str">
        <f t="shared" si="523"/>
        <v/>
      </c>
      <c r="AB281" s="138" t="str">
        <f t="shared" si="524"/>
        <v/>
      </c>
    </row>
    <row r="282" spans="2:28" x14ac:dyDescent="0.25">
      <c r="B282" s="65">
        <v>41711</v>
      </c>
      <c r="C282" s="66">
        <v>41711</v>
      </c>
      <c r="D282" s="68">
        <f t="shared" ref="D282:D283" si="543">IF(B282&gt;0,MONTH(B282),"False")</f>
        <v>3</v>
      </c>
      <c r="E282" s="66" t="str">
        <f t="shared" ref="E282:E283" si="544">YEAR(B282) &amp; CHOOSE(D282,"-Jan","-Feb","-Mar","-Apr","-May","-Jun","-Jul","-Aug","-Sep","-Oct","-Nov","-Dec")</f>
        <v>2014-Mar</v>
      </c>
      <c r="F282" s="68">
        <f t="shared" ref="F282:F283" si="545">IF(C282&gt;0,MONTH(C282),"False")</f>
        <v>3</v>
      </c>
      <c r="G282" s="180" t="s">
        <v>121</v>
      </c>
      <c r="H282" s="132" t="s">
        <v>139</v>
      </c>
      <c r="J282" s="132" t="s">
        <v>77</v>
      </c>
      <c r="K282" s="132" t="s">
        <v>82</v>
      </c>
      <c r="L282" s="132" t="s">
        <v>79</v>
      </c>
      <c r="M282" s="1" t="s">
        <v>849</v>
      </c>
      <c r="N282" s="132" t="s">
        <v>124</v>
      </c>
      <c r="O282" s="132" t="s">
        <v>273</v>
      </c>
      <c r="P282" s="64" t="s">
        <v>359</v>
      </c>
      <c r="R282" s="64" t="s">
        <v>360</v>
      </c>
      <c r="S282" s="180" t="s">
        <v>104</v>
      </c>
      <c r="X282" s="180" t="s">
        <v>1152</v>
      </c>
      <c r="Y282" s="131" t="str">
        <f t="shared" si="515"/>
        <v>Pass</v>
      </c>
      <c r="Z282" s="11" t="str">
        <f t="shared" si="522"/>
        <v/>
      </c>
      <c r="AA282" s="138" t="str">
        <f t="shared" si="523"/>
        <v/>
      </c>
      <c r="AB282" s="138" t="str">
        <f t="shared" si="524"/>
        <v/>
      </c>
    </row>
    <row r="283" spans="2:28" x14ac:dyDescent="0.25">
      <c r="B283" s="65">
        <v>41711</v>
      </c>
      <c r="C283" s="66">
        <v>41711</v>
      </c>
      <c r="D283" s="68">
        <f t="shared" si="543"/>
        <v>3</v>
      </c>
      <c r="E283" s="66" t="str">
        <f t="shared" si="544"/>
        <v>2014-Mar</v>
      </c>
      <c r="F283" s="68">
        <f t="shared" si="545"/>
        <v>3</v>
      </c>
      <c r="G283" s="132" t="s">
        <v>127</v>
      </c>
      <c r="H283" s="132" t="s">
        <v>28</v>
      </c>
      <c r="I283" s="132"/>
      <c r="J283" s="132" t="s">
        <v>77</v>
      </c>
      <c r="K283" s="132" t="s">
        <v>82</v>
      </c>
      <c r="L283" s="132" t="s">
        <v>79</v>
      </c>
      <c r="M283" s="132" t="s">
        <v>850</v>
      </c>
      <c r="N283" s="132" t="s">
        <v>124</v>
      </c>
      <c r="O283" s="132" t="s">
        <v>142</v>
      </c>
      <c r="P283" s="64" t="s">
        <v>334</v>
      </c>
      <c r="R283" s="64" t="s">
        <v>335</v>
      </c>
      <c r="S283" s="132" t="s">
        <v>104</v>
      </c>
      <c r="X283" s="132" t="s">
        <v>155</v>
      </c>
      <c r="Y283" s="131" t="str">
        <f t="shared" si="515"/>
        <v>Pass</v>
      </c>
      <c r="Z283" s="11" t="str">
        <f t="shared" si="522"/>
        <v/>
      </c>
      <c r="AA283" s="138" t="str">
        <f t="shared" si="523"/>
        <v/>
      </c>
      <c r="AB283" s="138" t="str">
        <f t="shared" si="524"/>
        <v/>
      </c>
    </row>
    <row r="284" spans="2:28" x14ac:dyDescent="0.25">
      <c r="B284" s="65">
        <v>41711</v>
      </c>
      <c r="C284" s="66">
        <v>41711</v>
      </c>
      <c r="D284" s="68">
        <f t="shared" ref="D284" si="546">IF(B284&gt;0,MONTH(B284),"False")</f>
        <v>3</v>
      </c>
      <c r="E284" s="66" t="str">
        <f t="shared" ref="E284" si="547">YEAR(B284) &amp; CHOOSE(D284,"-Jan","-Feb","-Mar","-Apr","-May","-Jun","-Jul","-Aug","-Sep","-Oct","-Nov","-Dec")</f>
        <v>2014-Mar</v>
      </c>
      <c r="F284" s="68">
        <f t="shared" ref="F284" si="548">IF(C284&gt;0,MONTH(C284),"False")</f>
        <v>3</v>
      </c>
      <c r="G284" s="164" t="s">
        <v>127</v>
      </c>
      <c r="H284" s="132" t="s">
        <v>28</v>
      </c>
      <c r="I284" s="132"/>
      <c r="J284" s="132" t="s">
        <v>77</v>
      </c>
      <c r="K284" s="132" t="s">
        <v>82</v>
      </c>
      <c r="L284" s="132" t="s">
        <v>79</v>
      </c>
      <c r="M284" s="1" t="s">
        <v>851</v>
      </c>
      <c r="N284" s="132" t="s">
        <v>124</v>
      </c>
      <c r="O284" s="132" t="s">
        <v>142</v>
      </c>
      <c r="P284" s="64" t="s">
        <v>334</v>
      </c>
      <c r="R284" s="64" t="s">
        <v>335</v>
      </c>
      <c r="S284" s="164" t="s">
        <v>104</v>
      </c>
      <c r="X284" s="164" t="s">
        <v>153</v>
      </c>
      <c r="Y284" s="131" t="str">
        <f t="shared" si="515"/>
        <v>Pass</v>
      </c>
      <c r="Z284" s="11" t="str">
        <f t="shared" si="522"/>
        <v/>
      </c>
      <c r="AA284" s="138" t="str">
        <f t="shared" si="523"/>
        <v/>
      </c>
      <c r="AB284" s="138" t="str">
        <f t="shared" si="524"/>
        <v/>
      </c>
    </row>
    <row r="285" spans="2:28" x14ac:dyDescent="0.25">
      <c r="B285" s="66">
        <v>41712</v>
      </c>
      <c r="C285" s="66">
        <v>41712</v>
      </c>
      <c r="D285" s="68">
        <f t="shared" ref="D285" si="549">IF(B285&gt;0,MONTH(B285),"False")</f>
        <v>3</v>
      </c>
      <c r="E285" s="66" t="str">
        <f t="shared" ref="E285" si="550">YEAR(B285) &amp; CHOOSE(D285,"-Jan","-Feb","-Mar","-Apr","-May","-Jun","-Jul","-Aug","-Sep","-Oct","-Nov","-Dec")</f>
        <v>2014-Mar</v>
      </c>
      <c r="F285" s="68">
        <f t="shared" ref="F285" si="551">IF(C285&gt;0,MONTH(C285),"False")</f>
        <v>3</v>
      </c>
      <c r="G285" s="135" t="s">
        <v>112</v>
      </c>
      <c r="H285" s="132" t="s">
        <v>280</v>
      </c>
      <c r="J285" s="132" t="s">
        <v>78</v>
      </c>
      <c r="K285" s="132" t="s">
        <v>78</v>
      </c>
      <c r="L285" s="132" t="s">
        <v>79</v>
      </c>
      <c r="M285" s="1" t="s">
        <v>852</v>
      </c>
      <c r="N285" s="132" t="s">
        <v>124</v>
      </c>
      <c r="O285" s="132" t="s">
        <v>138</v>
      </c>
      <c r="R285" s="64" t="s">
        <v>344</v>
      </c>
      <c r="S285" s="135" t="s">
        <v>104</v>
      </c>
      <c r="X285" s="135" t="s">
        <v>544</v>
      </c>
      <c r="Y285" s="131" t="str">
        <f t="shared" si="515"/>
        <v>Pass</v>
      </c>
      <c r="Z285" s="11" t="str">
        <f t="shared" si="522"/>
        <v/>
      </c>
      <c r="AA285" s="138" t="str">
        <f t="shared" si="523"/>
        <v/>
      </c>
      <c r="AB285" s="138" t="str">
        <f t="shared" si="524"/>
        <v/>
      </c>
    </row>
    <row r="286" spans="2:28" x14ac:dyDescent="0.25">
      <c r="B286" s="66">
        <v>41712</v>
      </c>
      <c r="C286" s="66">
        <v>41712</v>
      </c>
      <c r="D286" s="68">
        <f t="shared" ref="D286:D287" si="552">IF(B286&gt;0,MONTH(B286),"False")</f>
        <v>3</v>
      </c>
      <c r="E286" s="66" t="str">
        <f t="shared" ref="E286:E287" si="553">YEAR(B286) &amp; CHOOSE(D286,"-Jan","-Feb","-Mar","-Apr","-May","-Jun","-Jul","-Aug","-Sep","-Oct","-Nov","-Dec")</f>
        <v>2014-Mar</v>
      </c>
      <c r="F286" s="68">
        <f t="shared" ref="F286:F287" si="554">IF(C286&gt;0,MONTH(C286),"False")</f>
        <v>3</v>
      </c>
      <c r="G286" s="132" t="s">
        <v>87</v>
      </c>
      <c r="H286" s="132" t="s">
        <v>166</v>
      </c>
      <c r="J286" s="132" t="s">
        <v>150</v>
      </c>
      <c r="K286" s="132" t="s">
        <v>84</v>
      </c>
      <c r="L286" s="132" t="s">
        <v>83</v>
      </c>
      <c r="M286" s="1" t="s">
        <v>853</v>
      </c>
      <c r="N286" s="132" t="s">
        <v>124</v>
      </c>
      <c r="O286" s="132" t="s">
        <v>350</v>
      </c>
      <c r="Q286" s="2" t="s">
        <v>88</v>
      </c>
      <c r="R286" s="64" t="s">
        <v>854</v>
      </c>
      <c r="T286" s="67" t="s">
        <v>110</v>
      </c>
      <c r="Y286" s="131" t="str">
        <f t="shared" si="515"/>
        <v>Obsolete</v>
      </c>
      <c r="Z286" s="11">
        <f t="shared" si="522"/>
        <v>41712</v>
      </c>
      <c r="AA286" s="138" t="str">
        <f t="shared" si="523"/>
        <v>2014 - 11</v>
      </c>
      <c r="AB286" s="138">
        <f t="shared" si="524"/>
        <v>2014</v>
      </c>
    </row>
    <row r="287" spans="2:28" x14ac:dyDescent="0.25">
      <c r="B287" s="65">
        <v>41712</v>
      </c>
      <c r="C287" s="66"/>
      <c r="D287" s="68">
        <f t="shared" si="552"/>
        <v>3</v>
      </c>
      <c r="E287" s="66" t="str">
        <f t="shared" si="553"/>
        <v>2014-Mar</v>
      </c>
      <c r="F287" s="68" t="str">
        <f t="shared" si="554"/>
        <v>False</v>
      </c>
      <c r="G287" s="132" t="s">
        <v>75</v>
      </c>
      <c r="H287" s="132" t="s">
        <v>166</v>
      </c>
      <c r="J287" s="132" t="s">
        <v>98</v>
      </c>
      <c r="K287" s="132" t="s">
        <v>82</v>
      </c>
      <c r="L287" s="132" t="s">
        <v>79</v>
      </c>
      <c r="M287" s="1" t="s">
        <v>855</v>
      </c>
      <c r="N287" s="132" t="s">
        <v>124</v>
      </c>
      <c r="O287" s="132" t="s">
        <v>125</v>
      </c>
      <c r="P287" s="64" t="s">
        <v>336</v>
      </c>
      <c r="Q287" s="2" t="s">
        <v>88</v>
      </c>
      <c r="R287" s="64" t="s">
        <v>762</v>
      </c>
      <c r="Y287" s="131" t="str">
        <f t="shared" si="515"/>
        <v>Obsolete</v>
      </c>
      <c r="Z287" s="11">
        <f t="shared" si="522"/>
        <v>0</v>
      </c>
      <c r="AA287" s="138" t="str">
        <f t="shared" si="523"/>
        <v>1900 - 00</v>
      </c>
      <c r="AB287" s="138">
        <f t="shared" si="524"/>
        <v>1900</v>
      </c>
    </row>
    <row r="288" spans="2:28" x14ac:dyDescent="0.25">
      <c r="B288" s="65">
        <v>41712</v>
      </c>
      <c r="C288" s="66">
        <v>41712</v>
      </c>
      <c r="D288" s="68">
        <f t="shared" ref="D288:D289" si="555">IF(B288&gt;0,MONTH(B288),"False")</f>
        <v>3</v>
      </c>
      <c r="E288" s="66" t="str">
        <f t="shared" ref="E288:E289" si="556">YEAR(B288) &amp; CHOOSE(D288,"-Jan","-Feb","-Mar","-Apr","-May","-Jun","-Jul","-Aug","-Sep","-Oct","-Nov","-Dec")</f>
        <v>2014-Mar</v>
      </c>
      <c r="F288" s="68">
        <f t="shared" ref="F288:F289" si="557">IF(C288&gt;0,MONTH(C288),"False")</f>
        <v>3</v>
      </c>
      <c r="G288" s="136" t="s">
        <v>121</v>
      </c>
      <c r="H288" s="132" t="s">
        <v>280</v>
      </c>
      <c r="J288" s="132" t="s">
        <v>81</v>
      </c>
      <c r="K288" s="132" t="s">
        <v>82</v>
      </c>
      <c r="L288" s="132" t="s">
        <v>79</v>
      </c>
      <c r="M288" s="1" t="s">
        <v>856</v>
      </c>
      <c r="N288" s="132" t="s">
        <v>124</v>
      </c>
      <c r="O288" s="132" t="s">
        <v>529</v>
      </c>
      <c r="P288" s="64" t="s">
        <v>305</v>
      </c>
      <c r="R288" s="64" t="s">
        <v>780</v>
      </c>
      <c r="S288" s="136" t="s">
        <v>104</v>
      </c>
      <c r="X288" s="136" t="s">
        <v>544</v>
      </c>
      <c r="Y288" s="131" t="str">
        <f t="shared" si="515"/>
        <v>Pass</v>
      </c>
      <c r="Z288" s="11" t="str">
        <f t="shared" si="522"/>
        <v/>
      </c>
      <c r="AA288" s="138" t="str">
        <f t="shared" si="523"/>
        <v/>
      </c>
      <c r="AB288" s="138" t="str">
        <f t="shared" si="524"/>
        <v/>
      </c>
    </row>
    <row r="289" spans="2:28" x14ac:dyDescent="0.25">
      <c r="B289" s="66">
        <v>41712</v>
      </c>
      <c r="C289" s="66">
        <v>41712</v>
      </c>
      <c r="D289" s="68">
        <f t="shared" si="555"/>
        <v>3</v>
      </c>
      <c r="E289" s="66" t="str">
        <f t="shared" si="556"/>
        <v>2014-Mar</v>
      </c>
      <c r="F289" s="68">
        <f t="shared" si="557"/>
        <v>3</v>
      </c>
      <c r="G289" s="134" t="s">
        <v>157</v>
      </c>
      <c r="H289" s="132" t="s">
        <v>28</v>
      </c>
      <c r="J289" s="132" t="s">
        <v>78</v>
      </c>
      <c r="K289" s="132" t="s">
        <v>78</v>
      </c>
      <c r="L289" s="132" t="s">
        <v>79</v>
      </c>
      <c r="M289" s="1" t="s">
        <v>857</v>
      </c>
      <c r="N289" s="132" t="s">
        <v>124</v>
      </c>
      <c r="O289" s="132" t="s">
        <v>167</v>
      </c>
      <c r="R289" s="64" t="s">
        <v>308</v>
      </c>
      <c r="S289" s="134" t="s">
        <v>104</v>
      </c>
      <c r="X289" s="134" t="s">
        <v>879</v>
      </c>
      <c r="Y289" s="131" t="str">
        <f t="shared" si="515"/>
        <v>Pass</v>
      </c>
      <c r="Z289" s="11" t="str">
        <f t="shared" si="522"/>
        <v/>
      </c>
      <c r="AA289" s="138" t="str">
        <f t="shared" si="523"/>
        <v/>
      </c>
      <c r="AB289" s="138" t="str">
        <f t="shared" si="524"/>
        <v/>
      </c>
    </row>
    <row r="290" spans="2:28" x14ac:dyDescent="0.25">
      <c r="B290" s="66">
        <v>41712</v>
      </c>
      <c r="C290" s="66">
        <v>41712</v>
      </c>
      <c r="D290" s="68">
        <f t="shared" ref="D290:D291" si="558">IF(B290&gt;0,MONTH(B290),"False")</f>
        <v>3</v>
      </c>
      <c r="E290" s="66" t="str">
        <f t="shared" ref="E290:E291" si="559">YEAR(B290) &amp; CHOOSE(D290,"-Jan","-Feb","-Mar","-Apr","-May","-Jun","-Jul","-Aug","-Sep","-Oct","-Nov","-Dec")</f>
        <v>2014-Mar</v>
      </c>
      <c r="F290" s="68">
        <f t="shared" ref="F290:F291" si="560">IF(C290&gt;0,MONTH(C290),"False")</f>
        <v>3</v>
      </c>
      <c r="G290" s="132" t="s">
        <v>87</v>
      </c>
      <c r="H290" s="132" t="s">
        <v>166</v>
      </c>
      <c r="J290" s="132" t="s">
        <v>149</v>
      </c>
      <c r="K290" s="132" t="s">
        <v>84</v>
      </c>
      <c r="L290" s="132" t="s">
        <v>79</v>
      </c>
      <c r="M290" s="1" t="s">
        <v>858</v>
      </c>
      <c r="N290" s="132" t="s">
        <v>124</v>
      </c>
      <c r="O290" s="132" t="s">
        <v>350</v>
      </c>
      <c r="Q290" s="2" t="s">
        <v>88</v>
      </c>
      <c r="R290" s="64" t="s">
        <v>859</v>
      </c>
      <c r="Y290" s="131" t="str">
        <f t="shared" si="515"/>
        <v>Obsolete</v>
      </c>
      <c r="Z290" s="11">
        <f t="shared" si="522"/>
        <v>41712</v>
      </c>
      <c r="AA290" s="138" t="str">
        <f t="shared" si="523"/>
        <v>2014 - 11</v>
      </c>
      <c r="AB290" s="138">
        <f t="shared" si="524"/>
        <v>2014</v>
      </c>
    </row>
    <row r="291" spans="2:28" x14ac:dyDescent="0.25">
      <c r="B291" s="65">
        <v>41712</v>
      </c>
      <c r="C291" s="66">
        <v>41724</v>
      </c>
      <c r="D291" s="68">
        <f t="shared" si="558"/>
        <v>3</v>
      </c>
      <c r="E291" s="66" t="str">
        <f t="shared" si="559"/>
        <v>2014-Mar</v>
      </c>
      <c r="F291" s="68">
        <f t="shared" si="560"/>
        <v>3</v>
      </c>
      <c r="G291" s="140" t="s">
        <v>93</v>
      </c>
      <c r="H291" s="132" t="s">
        <v>166</v>
      </c>
      <c r="J291" s="132" t="s">
        <v>146</v>
      </c>
      <c r="K291" s="132" t="s">
        <v>82</v>
      </c>
      <c r="L291" s="132" t="s">
        <v>79</v>
      </c>
      <c r="M291" s="1" t="s">
        <v>860</v>
      </c>
      <c r="N291" s="132" t="s">
        <v>124</v>
      </c>
      <c r="O291" s="132" t="s">
        <v>509</v>
      </c>
      <c r="P291" s="64" t="s">
        <v>485</v>
      </c>
      <c r="Q291" s="2" t="s">
        <v>88</v>
      </c>
      <c r="R291" s="64" t="s">
        <v>920</v>
      </c>
      <c r="T291" s="67" t="s">
        <v>110</v>
      </c>
      <c r="Y291" s="131" t="str">
        <f t="shared" si="515"/>
        <v>Obsolete</v>
      </c>
      <c r="Z291" s="11">
        <f t="shared" si="522"/>
        <v>41724</v>
      </c>
      <c r="AA291" s="138" t="str">
        <f t="shared" si="523"/>
        <v>2014 - 13</v>
      </c>
      <c r="AB291" s="138">
        <f t="shared" si="524"/>
        <v>2014</v>
      </c>
    </row>
    <row r="292" spans="2:28" x14ac:dyDescent="0.25">
      <c r="B292" s="66">
        <v>41712</v>
      </c>
      <c r="C292" s="66">
        <v>41712</v>
      </c>
      <c r="D292" s="68">
        <f t="shared" ref="D292" si="561">IF(B292&gt;0,MONTH(B292),"False")</f>
        <v>3</v>
      </c>
      <c r="E292" s="66" t="str">
        <f t="shared" ref="E292" si="562">YEAR(B292) &amp; CHOOSE(D292,"-Jan","-Feb","-Mar","-Apr","-May","-Jun","-Jul","-Aug","-Sep","-Oct","-Nov","-Dec")</f>
        <v>2014-Mar</v>
      </c>
      <c r="F292" s="68">
        <f t="shared" ref="F292" si="563">IF(C292&gt;0,MONTH(C292),"False")</f>
        <v>3</v>
      </c>
      <c r="G292" s="132" t="s">
        <v>87</v>
      </c>
      <c r="H292" s="132" t="s">
        <v>166</v>
      </c>
      <c r="J292" s="132" t="s">
        <v>77</v>
      </c>
      <c r="K292" s="132" t="s">
        <v>82</v>
      </c>
      <c r="L292" s="132" t="s">
        <v>83</v>
      </c>
      <c r="M292" s="1" t="s">
        <v>861</v>
      </c>
      <c r="N292" s="132" t="s">
        <v>124</v>
      </c>
      <c r="O292" s="132" t="s">
        <v>353</v>
      </c>
      <c r="R292" s="64" t="s">
        <v>862</v>
      </c>
      <c r="Y292" s="131" t="str">
        <f t="shared" si="515"/>
        <v>Unknown</v>
      </c>
      <c r="Z292" s="11" t="str">
        <f t="shared" si="522"/>
        <v/>
      </c>
      <c r="AA292" s="138" t="str">
        <f t="shared" si="523"/>
        <v/>
      </c>
      <c r="AB292" s="138" t="str">
        <f t="shared" si="524"/>
        <v/>
      </c>
    </row>
    <row r="293" spans="2:28" x14ac:dyDescent="0.25">
      <c r="B293" s="66">
        <v>41714</v>
      </c>
      <c r="C293" s="66">
        <v>41714</v>
      </c>
      <c r="D293" s="68">
        <f t="shared" ref="D293:D294" si="564">IF(B293&gt;0,MONTH(B293),"False")</f>
        <v>3</v>
      </c>
      <c r="E293" s="66" t="str">
        <f t="shared" ref="E293:E294" si="565">YEAR(B293) &amp; CHOOSE(D293,"-Jan","-Feb","-Mar","-Apr","-May","-Jun","-Jul","-Aug","-Sep","-Oct","-Nov","-Dec")</f>
        <v>2014-Mar</v>
      </c>
      <c r="F293" s="68">
        <f t="shared" ref="F293:F294" si="566">IF(C293&gt;0,MONTH(C293),"False")</f>
        <v>3</v>
      </c>
      <c r="G293" s="132" t="s">
        <v>87</v>
      </c>
      <c r="H293" s="132" t="s">
        <v>166</v>
      </c>
      <c r="J293" s="132" t="s">
        <v>120</v>
      </c>
      <c r="K293" s="132" t="s">
        <v>82</v>
      </c>
      <c r="L293" s="132" t="s">
        <v>83</v>
      </c>
      <c r="M293" s="1" t="s">
        <v>863</v>
      </c>
      <c r="N293" s="132" t="s">
        <v>124</v>
      </c>
      <c r="O293" s="132" t="s">
        <v>147</v>
      </c>
      <c r="R293" s="64" t="s">
        <v>864</v>
      </c>
      <c r="T293" s="67" t="s">
        <v>110</v>
      </c>
      <c r="Y293" s="131" t="str">
        <f t="shared" si="515"/>
        <v>Unknown</v>
      </c>
      <c r="Z293" s="11" t="str">
        <f t="shared" si="522"/>
        <v/>
      </c>
      <c r="AA293" s="138" t="str">
        <f t="shared" si="523"/>
        <v/>
      </c>
      <c r="AB293" s="138" t="str">
        <f t="shared" si="524"/>
        <v/>
      </c>
    </row>
    <row r="294" spans="2:28" x14ac:dyDescent="0.25">
      <c r="B294" s="65">
        <v>41717</v>
      </c>
      <c r="C294" s="66">
        <v>41717</v>
      </c>
      <c r="D294" s="68">
        <f t="shared" si="564"/>
        <v>3</v>
      </c>
      <c r="E294" s="66" t="str">
        <f t="shared" si="565"/>
        <v>2014-Mar</v>
      </c>
      <c r="F294" s="68">
        <f t="shared" si="566"/>
        <v>3</v>
      </c>
      <c r="G294" s="140" t="s">
        <v>127</v>
      </c>
      <c r="H294" s="134" t="s">
        <v>28</v>
      </c>
      <c r="J294" s="134" t="s">
        <v>77</v>
      </c>
      <c r="K294" s="134" t="s">
        <v>82</v>
      </c>
      <c r="L294" s="134" t="s">
        <v>79</v>
      </c>
      <c r="M294" s="1" t="s">
        <v>865</v>
      </c>
      <c r="N294" s="134" t="s">
        <v>124</v>
      </c>
      <c r="O294" s="134" t="s">
        <v>142</v>
      </c>
      <c r="P294" s="64" t="s">
        <v>334</v>
      </c>
      <c r="R294" s="64" t="s">
        <v>335</v>
      </c>
      <c r="S294" s="140" t="s">
        <v>104</v>
      </c>
      <c r="X294" s="140" t="s">
        <v>153</v>
      </c>
      <c r="Y294" s="131" t="str">
        <f t="shared" si="515"/>
        <v>Pass</v>
      </c>
      <c r="Z294" s="11" t="str">
        <f t="shared" si="522"/>
        <v/>
      </c>
      <c r="AA294" s="138" t="str">
        <f t="shared" si="523"/>
        <v/>
      </c>
      <c r="AB294" s="138" t="str">
        <f t="shared" si="524"/>
        <v/>
      </c>
    </row>
    <row r="295" spans="2:28" x14ac:dyDescent="0.25">
      <c r="B295" s="66">
        <v>41717</v>
      </c>
      <c r="C295" s="66">
        <v>41717</v>
      </c>
      <c r="D295" s="68">
        <f t="shared" ref="D295:D299" si="567">IF(B295&gt;0,MONTH(B295),"False")</f>
        <v>3</v>
      </c>
      <c r="E295" s="66" t="str">
        <f t="shared" ref="E295:E299" si="568">YEAR(B295) &amp; CHOOSE(D295,"-Jan","-Feb","-Mar","-Apr","-May","-Jun","-Jul","-Aug","-Sep","-Oct","-Nov","-Dec")</f>
        <v>2014-Mar</v>
      </c>
      <c r="F295" s="68">
        <f t="shared" ref="F295:F299" si="569">IF(C295&gt;0,MONTH(C295),"False")</f>
        <v>3</v>
      </c>
      <c r="G295" s="134" t="s">
        <v>157</v>
      </c>
      <c r="H295" s="134" t="s">
        <v>28</v>
      </c>
      <c r="J295" s="134" t="s">
        <v>78</v>
      </c>
      <c r="K295" s="134" t="s">
        <v>78</v>
      </c>
      <c r="L295" s="134" t="s">
        <v>79</v>
      </c>
      <c r="M295" s="1" t="s">
        <v>866</v>
      </c>
      <c r="N295" s="134" t="s">
        <v>124</v>
      </c>
      <c r="O295" s="134" t="s">
        <v>168</v>
      </c>
      <c r="R295" s="64" t="s">
        <v>308</v>
      </c>
      <c r="S295" s="134" t="s">
        <v>104</v>
      </c>
      <c r="X295" s="134" t="s">
        <v>879</v>
      </c>
      <c r="Y295" s="131" t="str">
        <f t="shared" si="515"/>
        <v>Pass</v>
      </c>
      <c r="Z295" s="11" t="str">
        <f t="shared" si="522"/>
        <v/>
      </c>
      <c r="AA295" s="138" t="str">
        <f t="shared" si="523"/>
        <v/>
      </c>
      <c r="AB295" s="138" t="str">
        <f t="shared" si="524"/>
        <v/>
      </c>
    </row>
    <row r="296" spans="2:28" x14ac:dyDescent="0.25">
      <c r="B296" s="65">
        <v>41717</v>
      </c>
      <c r="C296" s="66">
        <v>41717</v>
      </c>
      <c r="D296" s="68">
        <f t="shared" si="567"/>
        <v>3</v>
      </c>
      <c r="E296" s="66" t="str">
        <f t="shared" si="568"/>
        <v>2014-Mar</v>
      </c>
      <c r="F296" s="68">
        <f t="shared" si="569"/>
        <v>3</v>
      </c>
      <c r="G296" s="155" t="s">
        <v>105</v>
      </c>
      <c r="H296" s="134" t="s">
        <v>76</v>
      </c>
      <c r="J296" s="134" t="s">
        <v>77</v>
      </c>
      <c r="K296" s="134" t="s">
        <v>176</v>
      </c>
      <c r="L296" s="134" t="s">
        <v>83</v>
      </c>
      <c r="M296" s="1" t="s">
        <v>867</v>
      </c>
      <c r="N296" s="134" t="s">
        <v>124</v>
      </c>
      <c r="O296" s="134" t="s">
        <v>164</v>
      </c>
      <c r="P296" s="64" t="s">
        <v>868</v>
      </c>
      <c r="R296" s="64" t="s">
        <v>875</v>
      </c>
      <c r="S296" s="155" t="s">
        <v>104</v>
      </c>
      <c r="X296" s="155" t="s">
        <v>819</v>
      </c>
      <c r="Y296" s="131" t="str">
        <f t="shared" si="515"/>
        <v>Pass</v>
      </c>
      <c r="Z296" s="11" t="str">
        <f t="shared" si="522"/>
        <v/>
      </c>
      <c r="AA296" s="138" t="str">
        <f t="shared" si="523"/>
        <v/>
      </c>
      <c r="AB296" s="138" t="str">
        <f t="shared" si="524"/>
        <v/>
      </c>
    </row>
    <row r="297" spans="2:28" x14ac:dyDescent="0.25">
      <c r="B297" s="65">
        <v>41717</v>
      </c>
      <c r="C297" s="66">
        <v>41717</v>
      </c>
      <c r="D297" s="68">
        <f t="shared" si="567"/>
        <v>3</v>
      </c>
      <c r="E297" s="66" t="str">
        <f t="shared" si="568"/>
        <v>2014-Mar</v>
      </c>
      <c r="F297" s="68">
        <f t="shared" si="569"/>
        <v>3</v>
      </c>
      <c r="G297" s="155" t="s">
        <v>105</v>
      </c>
      <c r="H297" s="134" t="s">
        <v>76</v>
      </c>
      <c r="J297" s="134" t="s">
        <v>77</v>
      </c>
      <c r="K297" s="134" t="s">
        <v>262</v>
      </c>
      <c r="L297" s="134" t="s">
        <v>83</v>
      </c>
      <c r="M297" s="1" t="s">
        <v>869</v>
      </c>
      <c r="N297" s="134" t="s">
        <v>124</v>
      </c>
      <c r="O297" s="134" t="s">
        <v>164</v>
      </c>
      <c r="P297" s="64" t="s">
        <v>870</v>
      </c>
      <c r="R297" s="64" t="s">
        <v>876</v>
      </c>
      <c r="S297" s="155" t="s">
        <v>104</v>
      </c>
      <c r="X297" s="155" t="s">
        <v>819</v>
      </c>
      <c r="Y297" s="131" t="str">
        <f t="shared" si="515"/>
        <v>Pass</v>
      </c>
      <c r="Z297" s="11" t="str">
        <f t="shared" si="522"/>
        <v/>
      </c>
      <c r="AA297" s="138" t="str">
        <f t="shared" si="523"/>
        <v/>
      </c>
      <c r="AB297" s="138" t="str">
        <f t="shared" si="524"/>
        <v/>
      </c>
    </row>
    <row r="298" spans="2:28" x14ac:dyDescent="0.25">
      <c r="B298" s="65">
        <v>41717</v>
      </c>
      <c r="C298" s="66">
        <v>41717</v>
      </c>
      <c r="D298" s="68">
        <f t="shared" si="567"/>
        <v>3</v>
      </c>
      <c r="E298" s="66" t="str">
        <f t="shared" si="568"/>
        <v>2014-Mar</v>
      </c>
      <c r="F298" s="68">
        <f t="shared" si="569"/>
        <v>3</v>
      </c>
      <c r="G298" s="134" t="s">
        <v>93</v>
      </c>
      <c r="H298" s="134" t="s">
        <v>76</v>
      </c>
      <c r="J298" s="134" t="s">
        <v>77</v>
      </c>
      <c r="K298" s="134" t="s">
        <v>261</v>
      </c>
      <c r="L298" s="134" t="s">
        <v>83</v>
      </c>
      <c r="M298" s="1" t="s">
        <v>871</v>
      </c>
      <c r="N298" s="134" t="s">
        <v>124</v>
      </c>
      <c r="O298" s="134" t="s">
        <v>164</v>
      </c>
      <c r="P298" s="64" t="s">
        <v>872</v>
      </c>
      <c r="R298" s="64" t="s">
        <v>877</v>
      </c>
      <c r="Y298" s="131" t="str">
        <f t="shared" si="515"/>
        <v>Unknown</v>
      </c>
      <c r="Z298" s="11" t="str">
        <f t="shared" si="522"/>
        <v/>
      </c>
      <c r="AA298" s="138" t="str">
        <f t="shared" si="523"/>
        <v/>
      </c>
      <c r="AB298" s="138" t="str">
        <f t="shared" si="524"/>
        <v/>
      </c>
    </row>
    <row r="299" spans="2:28" x14ac:dyDescent="0.25">
      <c r="B299" s="65">
        <v>41717</v>
      </c>
      <c r="C299" s="66">
        <v>41717</v>
      </c>
      <c r="D299" s="68">
        <f t="shared" si="567"/>
        <v>3</v>
      </c>
      <c r="E299" s="66" t="str">
        <f t="shared" si="568"/>
        <v>2014-Mar</v>
      </c>
      <c r="F299" s="68">
        <f t="shared" si="569"/>
        <v>3</v>
      </c>
      <c r="G299" s="134" t="s">
        <v>93</v>
      </c>
      <c r="H299" s="134" t="s">
        <v>76</v>
      </c>
      <c r="J299" s="134" t="s">
        <v>77</v>
      </c>
      <c r="K299" s="134" t="s">
        <v>260</v>
      </c>
      <c r="L299" s="134" t="s">
        <v>83</v>
      </c>
      <c r="M299" s="1" t="s">
        <v>873</v>
      </c>
      <c r="N299" s="134" t="s">
        <v>124</v>
      </c>
      <c r="O299" s="134" t="s">
        <v>164</v>
      </c>
      <c r="P299" s="64" t="s">
        <v>874</v>
      </c>
      <c r="R299" s="64" t="s">
        <v>878</v>
      </c>
      <c r="Y299" s="131" t="str">
        <f t="shared" si="515"/>
        <v>Unknown</v>
      </c>
      <c r="Z299" s="11" t="str">
        <f t="shared" si="522"/>
        <v/>
      </c>
      <c r="AA299" s="138" t="str">
        <f t="shared" si="523"/>
        <v/>
      </c>
      <c r="AB299" s="138" t="str">
        <f t="shared" si="524"/>
        <v/>
      </c>
    </row>
    <row r="300" spans="2:28" x14ac:dyDescent="0.25">
      <c r="B300" s="65">
        <v>41718</v>
      </c>
      <c r="C300" s="66">
        <v>41718</v>
      </c>
      <c r="D300" s="68">
        <f t="shared" ref="D300" si="570">IF(B300&gt;0,MONTH(B300),"False")</f>
        <v>3</v>
      </c>
      <c r="E300" s="66" t="str">
        <f t="shared" ref="E300" si="571">YEAR(B300) &amp; CHOOSE(D300,"-Jan","-Feb","-Mar","-Apr","-May","-Jun","-Jul","-Aug","-Sep","-Oct","-Nov","-Dec")</f>
        <v>2014-Mar</v>
      </c>
      <c r="F300" s="68">
        <f t="shared" ref="F300" si="572">IF(C300&gt;0,MONTH(C300),"False")</f>
        <v>3</v>
      </c>
      <c r="G300" s="135" t="s">
        <v>93</v>
      </c>
      <c r="H300" s="135" t="s">
        <v>280</v>
      </c>
      <c r="J300" s="135" t="s">
        <v>81</v>
      </c>
      <c r="K300" s="135" t="s">
        <v>82</v>
      </c>
      <c r="L300" s="135" t="s">
        <v>79</v>
      </c>
      <c r="M300" s="1" t="s">
        <v>880</v>
      </c>
      <c r="N300" s="135" t="s">
        <v>124</v>
      </c>
      <c r="O300" s="135" t="s">
        <v>286</v>
      </c>
      <c r="P300" s="64" t="s">
        <v>305</v>
      </c>
      <c r="Q300" s="2" t="s">
        <v>88</v>
      </c>
      <c r="R300" s="64" t="s">
        <v>780</v>
      </c>
      <c r="Y300" s="131" t="str">
        <f t="shared" si="515"/>
        <v>Obsolete</v>
      </c>
      <c r="Z300" s="11">
        <f t="shared" si="522"/>
        <v>41718</v>
      </c>
      <c r="AA300" s="138" t="str">
        <f t="shared" si="523"/>
        <v>2014 - 12</v>
      </c>
      <c r="AB300" s="138">
        <f t="shared" si="524"/>
        <v>2014</v>
      </c>
    </row>
    <row r="301" spans="2:28" x14ac:dyDescent="0.25">
      <c r="B301" s="65">
        <v>41718</v>
      </c>
      <c r="C301" s="66">
        <v>41718</v>
      </c>
      <c r="D301" s="68">
        <f t="shared" ref="D301:D302" si="573">IF(B301&gt;0,MONTH(B301),"False")</f>
        <v>3</v>
      </c>
      <c r="E301" s="66" t="str">
        <f t="shared" ref="E301:E302" si="574">YEAR(B301) &amp; CHOOSE(D301,"-Jan","-Feb","-Mar","-Apr","-May","-Jun","-Jul","-Aug","-Sep","-Oct","-Nov","-Dec")</f>
        <v>2014-Mar</v>
      </c>
      <c r="F301" s="68">
        <f t="shared" ref="F301:F302" si="575">IF(C301&gt;0,MONTH(C301),"False")</f>
        <v>3</v>
      </c>
      <c r="G301" s="153" t="s">
        <v>105</v>
      </c>
      <c r="H301" s="135" t="s">
        <v>280</v>
      </c>
      <c r="I301" s="135"/>
      <c r="J301" s="135" t="s">
        <v>77</v>
      </c>
      <c r="K301" s="135" t="s">
        <v>82</v>
      </c>
      <c r="L301" s="135" t="s">
        <v>79</v>
      </c>
      <c r="M301" s="1" t="s">
        <v>881</v>
      </c>
      <c r="N301" s="135" t="s">
        <v>124</v>
      </c>
      <c r="O301" s="135" t="s">
        <v>286</v>
      </c>
      <c r="P301" s="64" t="s">
        <v>305</v>
      </c>
      <c r="R301" s="64" t="s">
        <v>780</v>
      </c>
      <c r="S301" s="153" t="s">
        <v>104</v>
      </c>
      <c r="X301" s="153" t="s">
        <v>544</v>
      </c>
      <c r="Y301" s="131" t="str">
        <f t="shared" si="515"/>
        <v>Pass</v>
      </c>
      <c r="Z301" s="11" t="str">
        <f t="shared" ref="Z301:Z314" si="576">IF(Q301="Obsolete-LQA",C301,IF(Q301="Obsolete-IT",B301,""))</f>
        <v/>
      </c>
      <c r="AA301" s="138" t="str">
        <f t="shared" ref="AA301:AA314" si="577">IFERROR(YEAR(Z301)&amp;" - "&amp; IF(LEN( WEEKNUM(Z301))=1,"0" &amp; WEEKNUM(Z301),WEEKNUM(Z301)),"")</f>
        <v/>
      </c>
      <c r="AB301" s="138" t="str">
        <f t="shared" ref="AB301:AB314" si="578">IFERROR(YEAR(Z301),"")</f>
        <v/>
      </c>
    </row>
    <row r="302" spans="2:28" x14ac:dyDescent="0.25">
      <c r="B302" s="66">
        <v>41718</v>
      </c>
      <c r="C302" s="66">
        <v>41718</v>
      </c>
      <c r="D302" s="68">
        <f t="shared" si="573"/>
        <v>3</v>
      </c>
      <c r="E302" s="66" t="str">
        <f t="shared" si="574"/>
        <v>2014-Mar</v>
      </c>
      <c r="F302" s="68">
        <f t="shared" si="575"/>
        <v>3</v>
      </c>
      <c r="G302" s="135" t="s">
        <v>87</v>
      </c>
      <c r="H302" s="135" t="s">
        <v>166</v>
      </c>
      <c r="I302" s="135"/>
      <c r="J302" s="135" t="s">
        <v>119</v>
      </c>
      <c r="K302" s="135" t="s">
        <v>119</v>
      </c>
      <c r="L302" s="135" t="s">
        <v>83</v>
      </c>
      <c r="M302" s="1" t="s">
        <v>882</v>
      </c>
      <c r="N302" s="135" t="s">
        <v>124</v>
      </c>
      <c r="O302" s="135" t="s">
        <v>589</v>
      </c>
      <c r="R302" s="64" t="s">
        <v>479</v>
      </c>
      <c r="Y302" s="131" t="str">
        <f t="shared" si="515"/>
        <v>Unknown</v>
      </c>
      <c r="Z302" s="11" t="str">
        <f t="shared" si="576"/>
        <v/>
      </c>
      <c r="AA302" s="138" t="str">
        <f t="shared" si="577"/>
        <v/>
      </c>
      <c r="AB302" s="138" t="str">
        <f t="shared" si="578"/>
        <v/>
      </c>
    </row>
    <row r="303" spans="2:28" x14ac:dyDescent="0.25">
      <c r="B303" s="66">
        <v>41718</v>
      </c>
      <c r="C303" s="66">
        <v>41718</v>
      </c>
      <c r="D303" s="68">
        <f t="shared" ref="D303:D304" si="579">IF(B303&gt;0,MONTH(B303),"False")</f>
        <v>3</v>
      </c>
      <c r="E303" s="66" t="str">
        <f t="shared" ref="E303:E304" si="580">YEAR(B303) &amp; CHOOSE(D303,"-Jan","-Feb","-Mar","-Apr","-May","-Jun","-Jul","-Aug","-Sep","-Oct","-Nov","-Dec")</f>
        <v>2014-Mar</v>
      </c>
      <c r="F303" s="68">
        <f t="shared" ref="F303:F304" si="581">IF(C303&gt;0,MONTH(C303),"False")</f>
        <v>3</v>
      </c>
      <c r="G303" s="137" t="s">
        <v>126</v>
      </c>
      <c r="H303" s="135" t="s">
        <v>280</v>
      </c>
      <c r="J303" s="135" t="s">
        <v>78</v>
      </c>
      <c r="K303" s="135" t="s">
        <v>78</v>
      </c>
      <c r="L303" s="135" t="s">
        <v>79</v>
      </c>
      <c r="M303" s="1" t="s">
        <v>883</v>
      </c>
      <c r="N303" s="135" t="s">
        <v>124</v>
      </c>
      <c r="O303" s="135" t="s">
        <v>138</v>
      </c>
      <c r="R303" s="64" t="s">
        <v>344</v>
      </c>
      <c r="S303" s="137" t="s">
        <v>104</v>
      </c>
      <c r="X303" s="137" t="s">
        <v>544</v>
      </c>
      <c r="Y303" s="131" t="str">
        <f t="shared" si="515"/>
        <v>Pass</v>
      </c>
      <c r="Z303" s="11" t="str">
        <f t="shared" si="576"/>
        <v/>
      </c>
      <c r="AA303" s="138" t="str">
        <f t="shared" si="577"/>
        <v/>
      </c>
      <c r="AB303" s="138" t="str">
        <f t="shared" si="578"/>
        <v/>
      </c>
    </row>
    <row r="304" spans="2:28" x14ac:dyDescent="0.25">
      <c r="B304" s="65">
        <v>41718</v>
      </c>
      <c r="C304" s="66">
        <v>41718</v>
      </c>
      <c r="D304" s="68">
        <f t="shared" si="579"/>
        <v>3</v>
      </c>
      <c r="E304" s="66" t="str">
        <f t="shared" si="580"/>
        <v>2014-Mar</v>
      </c>
      <c r="F304" s="68">
        <f t="shared" si="581"/>
        <v>3</v>
      </c>
      <c r="G304" s="153" t="s">
        <v>105</v>
      </c>
      <c r="H304" s="135" t="s">
        <v>280</v>
      </c>
      <c r="I304" s="135"/>
      <c r="J304" s="135" t="s">
        <v>81</v>
      </c>
      <c r="K304" s="135" t="s">
        <v>82</v>
      </c>
      <c r="L304" s="135" t="s">
        <v>79</v>
      </c>
      <c r="M304" s="135" t="s">
        <v>884</v>
      </c>
      <c r="N304" s="135" t="s">
        <v>124</v>
      </c>
      <c r="O304" s="135" t="s">
        <v>286</v>
      </c>
      <c r="P304" s="64" t="s">
        <v>305</v>
      </c>
      <c r="R304" s="64" t="s">
        <v>780</v>
      </c>
      <c r="S304" s="153" t="s">
        <v>104</v>
      </c>
      <c r="X304" s="153" t="s">
        <v>544</v>
      </c>
      <c r="Y304" s="131" t="str">
        <f t="shared" si="515"/>
        <v>Pass</v>
      </c>
      <c r="Z304" s="11" t="str">
        <f t="shared" si="576"/>
        <v/>
      </c>
      <c r="AA304" s="138" t="str">
        <f t="shared" si="577"/>
        <v/>
      </c>
      <c r="AB304" s="138" t="str">
        <f t="shared" si="578"/>
        <v/>
      </c>
    </row>
    <row r="305" spans="2:28" x14ac:dyDescent="0.25">
      <c r="B305" s="65">
        <v>41718</v>
      </c>
      <c r="C305" s="66">
        <v>41718</v>
      </c>
      <c r="D305" s="68">
        <f t="shared" ref="D305:D307" si="582">IF(B305&gt;0,MONTH(B305),"False")</f>
        <v>3</v>
      </c>
      <c r="E305" s="66" t="str">
        <f t="shared" ref="E305:E307" si="583">YEAR(B305) &amp; CHOOSE(D305,"-Jan","-Feb","-Mar","-Apr","-May","-Jun","-Jul","-Aug","-Sep","-Oct","-Nov","-Dec")</f>
        <v>2014-Mar</v>
      </c>
      <c r="F305" s="68">
        <f t="shared" ref="F305:F307" si="584">IF(C305&gt;0,MONTH(C305),"False")</f>
        <v>3</v>
      </c>
      <c r="G305" s="136" t="s">
        <v>121</v>
      </c>
      <c r="H305" s="135" t="s">
        <v>280</v>
      </c>
      <c r="I305" s="135"/>
      <c r="J305" s="135" t="s">
        <v>81</v>
      </c>
      <c r="K305" s="135" t="s">
        <v>82</v>
      </c>
      <c r="L305" s="135" t="s">
        <v>79</v>
      </c>
      <c r="M305" s="135" t="s">
        <v>885</v>
      </c>
      <c r="N305" s="135" t="s">
        <v>124</v>
      </c>
      <c r="O305" s="135" t="s">
        <v>286</v>
      </c>
      <c r="P305" s="64" t="s">
        <v>305</v>
      </c>
      <c r="R305" s="64" t="s">
        <v>780</v>
      </c>
      <c r="S305" s="136" t="s">
        <v>104</v>
      </c>
      <c r="X305" s="136" t="s">
        <v>544</v>
      </c>
      <c r="Y305" s="131" t="str">
        <f t="shared" si="515"/>
        <v>Pass</v>
      </c>
      <c r="Z305" s="11" t="str">
        <f t="shared" si="576"/>
        <v/>
      </c>
      <c r="AA305" s="138" t="str">
        <f t="shared" si="577"/>
        <v/>
      </c>
      <c r="AB305" s="138" t="str">
        <f t="shared" si="578"/>
        <v/>
      </c>
    </row>
    <row r="306" spans="2:28" x14ac:dyDescent="0.25">
      <c r="B306" s="66">
        <v>41719</v>
      </c>
      <c r="C306" s="66">
        <v>41719</v>
      </c>
      <c r="D306" s="68">
        <f t="shared" si="582"/>
        <v>3</v>
      </c>
      <c r="E306" s="66" t="str">
        <f t="shared" si="583"/>
        <v>2014-Mar</v>
      </c>
      <c r="F306" s="68">
        <f t="shared" si="584"/>
        <v>3</v>
      </c>
      <c r="G306" s="136" t="s">
        <v>87</v>
      </c>
      <c r="H306" s="136" t="s">
        <v>136</v>
      </c>
      <c r="J306" s="136" t="s">
        <v>78</v>
      </c>
      <c r="K306" s="136" t="s">
        <v>78</v>
      </c>
      <c r="L306" s="136" t="s">
        <v>83</v>
      </c>
      <c r="M306" s="1" t="s">
        <v>886</v>
      </c>
      <c r="N306" s="136" t="s">
        <v>124</v>
      </c>
      <c r="O306" s="136" t="s">
        <v>324</v>
      </c>
      <c r="R306" s="64" t="s">
        <v>887</v>
      </c>
      <c r="Y306" s="131" t="str">
        <f t="shared" si="515"/>
        <v>Unknown</v>
      </c>
      <c r="Z306" s="11" t="str">
        <f t="shared" si="576"/>
        <v/>
      </c>
      <c r="AA306" s="138" t="str">
        <f t="shared" si="577"/>
        <v/>
      </c>
      <c r="AB306" s="138" t="str">
        <f t="shared" si="578"/>
        <v/>
      </c>
    </row>
    <row r="307" spans="2:28" x14ac:dyDescent="0.25">
      <c r="B307" s="65">
        <v>41719</v>
      </c>
      <c r="C307" s="66">
        <v>41719</v>
      </c>
      <c r="D307" s="68">
        <f t="shared" si="582"/>
        <v>3</v>
      </c>
      <c r="E307" s="66" t="str">
        <f t="shared" si="583"/>
        <v>2014-Mar</v>
      </c>
      <c r="F307" s="68">
        <f t="shared" si="584"/>
        <v>3</v>
      </c>
      <c r="G307" s="136" t="s">
        <v>93</v>
      </c>
      <c r="H307" s="136" t="s">
        <v>280</v>
      </c>
      <c r="J307" s="136" t="s">
        <v>81</v>
      </c>
      <c r="K307" s="136" t="s">
        <v>82</v>
      </c>
      <c r="L307" s="136" t="s">
        <v>79</v>
      </c>
      <c r="M307" s="1" t="s">
        <v>888</v>
      </c>
      <c r="N307" s="136" t="s">
        <v>124</v>
      </c>
      <c r="O307" s="136" t="s">
        <v>286</v>
      </c>
      <c r="P307" s="64" t="s">
        <v>305</v>
      </c>
      <c r="Q307" s="2" t="s">
        <v>88</v>
      </c>
      <c r="R307" s="64" t="s">
        <v>780</v>
      </c>
      <c r="Y307" s="131" t="str">
        <f t="shared" si="515"/>
        <v>Obsolete</v>
      </c>
      <c r="Z307" s="11">
        <f t="shared" si="576"/>
        <v>41719</v>
      </c>
      <c r="AA307" s="138" t="str">
        <f t="shared" si="577"/>
        <v>2014 - 12</v>
      </c>
      <c r="AB307" s="138">
        <f t="shared" si="578"/>
        <v>2014</v>
      </c>
    </row>
    <row r="308" spans="2:28" x14ac:dyDescent="0.25">
      <c r="B308" s="65">
        <v>41719</v>
      </c>
      <c r="C308" s="66">
        <v>41719</v>
      </c>
      <c r="D308" s="68">
        <f t="shared" ref="D308:D309" si="585">IF(B308&gt;0,MONTH(B308),"False")</f>
        <v>3</v>
      </c>
      <c r="E308" s="66" t="str">
        <f t="shared" ref="E308:E309" si="586">YEAR(B308) &amp; CHOOSE(D308,"-Jan","-Feb","-Mar","-Apr","-May","-Jun","-Jul","-Aug","-Sep","-Oct","-Nov","-Dec")</f>
        <v>2014-Mar</v>
      </c>
      <c r="F308" s="68">
        <f t="shared" ref="F308:F309" si="587">IF(C308&gt;0,MONTH(C308),"False")</f>
        <v>3</v>
      </c>
      <c r="G308" s="136" t="s">
        <v>93</v>
      </c>
      <c r="H308" s="136" t="s">
        <v>28</v>
      </c>
      <c r="J308" s="136" t="s">
        <v>77</v>
      </c>
      <c r="K308" s="136" t="s">
        <v>82</v>
      </c>
      <c r="L308" s="136" t="s">
        <v>79</v>
      </c>
      <c r="M308" s="1" t="s">
        <v>889</v>
      </c>
      <c r="N308" s="136" t="s">
        <v>124</v>
      </c>
      <c r="O308" s="136" t="s">
        <v>142</v>
      </c>
      <c r="P308" s="64" t="s">
        <v>334</v>
      </c>
      <c r="Q308" s="2" t="s">
        <v>88</v>
      </c>
      <c r="R308" s="64" t="s">
        <v>335</v>
      </c>
      <c r="Y308" s="131" t="str">
        <f t="shared" si="515"/>
        <v>Obsolete</v>
      </c>
      <c r="Z308" s="11">
        <f t="shared" si="576"/>
        <v>41719</v>
      </c>
      <c r="AA308" s="138" t="str">
        <f t="shared" si="577"/>
        <v>2014 - 12</v>
      </c>
      <c r="AB308" s="138">
        <f t="shared" si="578"/>
        <v>2014</v>
      </c>
    </row>
    <row r="309" spans="2:28" x14ac:dyDescent="0.25">
      <c r="B309" s="66">
        <v>41719</v>
      </c>
      <c r="C309" s="66">
        <v>41719</v>
      </c>
      <c r="D309" s="68">
        <f t="shared" si="585"/>
        <v>3</v>
      </c>
      <c r="E309" s="66" t="str">
        <f t="shared" si="586"/>
        <v>2014-Mar</v>
      </c>
      <c r="F309" s="68">
        <f t="shared" si="587"/>
        <v>3</v>
      </c>
      <c r="G309" s="136" t="s">
        <v>87</v>
      </c>
      <c r="H309" s="136" t="s">
        <v>136</v>
      </c>
      <c r="I309" s="136"/>
      <c r="J309" s="136" t="s">
        <v>78</v>
      </c>
      <c r="K309" s="136" t="s">
        <v>78</v>
      </c>
      <c r="L309" s="136" t="s">
        <v>79</v>
      </c>
      <c r="M309" s="1" t="s">
        <v>890</v>
      </c>
      <c r="N309" s="136" t="s">
        <v>124</v>
      </c>
      <c r="O309" s="136" t="s">
        <v>324</v>
      </c>
      <c r="R309" s="64" t="s">
        <v>887</v>
      </c>
      <c r="Y309" s="131" t="str">
        <f t="shared" si="515"/>
        <v>Unknown</v>
      </c>
      <c r="Z309" s="11" t="str">
        <f t="shared" si="576"/>
        <v/>
      </c>
      <c r="AA309" s="138" t="str">
        <f t="shared" si="577"/>
        <v/>
      </c>
      <c r="AB309" s="138" t="str">
        <f t="shared" si="578"/>
        <v/>
      </c>
    </row>
    <row r="310" spans="2:28" x14ac:dyDescent="0.25">
      <c r="B310" s="65">
        <v>41719</v>
      </c>
      <c r="C310" s="66">
        <v>41719</v>
      </c>
      <c r="D310" s="68">
        <f t="shared" ref="D310:D311" si="588">IF(B310&gt;0,MONTH(B310),"False")</f>
        <v>3</v>
      </c>
      <c r="E310" s="66" t="str">
        <f t="shared" ref="E310:E311" si="589">YEAR(B310) &amp; CHOOSE(D310,"-Jan","-Feb","-Mar","-Apr","-May","-Jun","-Jul","-Aug","-Sep","-Oct","-Nov","-Dec")</f>
        <v>2014-Mar</v>
      </c>
      <c r="F310" s="68">
        <f t="shared" ref="F310:F311" si="590">IF(C310&gt;0,MONTH(C310),"False")</f>
        <v>3</v>
      </c>
      <c r="G310" s="164" t="s">
        <v>127</v>
      </c>
      <c r="H310" s="136" t="s">
        <v>28</v>
      </c>
      <c r="I310" s="136"/>
      <c r="J310" s="136" t="s">
        <v>77</v>
      </c>
      <c r="K310" s="136" t="s">
        <v>82</v>
      </c>
      <c r="L310" s="136" t="s">
        <v>79</v>
      </c>
      <c r="M310" s="136" t="s">
        <v>891</v>
      </c>
      <c r="N310" s="136" t="s">
        <v>124</v>
      </c>
      <c r="O310" s="136" t="s">
        <v>142</v>
      </c>
      <c r="P310" s="64" t="s">
        <v>334</v>
      </c>
      <c r="R310" s="64" t="s">
        <v>335</v>
      </c>
      <c r="S310" s="164" t="s">
        <v>104</v>
      </c>
      <c r="X310" s="164" t="s">
        <v>153</v>
      </c>
      <c r="Y310" s="131" t="str">
        <f t="shared" si="515"/>
        <v>Pass</v>
      </c>
      <c r="Z310" s="11" t="str">
        <f t="shared" si="576"/>
        <v/>
      </c>
      <c r="AA310" s="138" t="str">
        <f t="shared" si="577"/>
        <v/>
      </c>
      <c r="AB310" s="138" t="str">
        <f t="shared" si="578"/>
        <v/>
      </c>
    </row>
    <row r="311" spans="2:28" x14ac:dyDescent="0.25">
      <c r="B311" s="66">
        <v>41719</v>
      </c>
      <c r="C311" s="66">
        <v>41719</v>
      </c>
      <c r="D311" s="68">
        <f t="shared" si="588"/>
        <v>3</v>
      </c>
      <c r="E311" s="66" t="str">
        <f t="shared" si="589"/>
        <v>2014-Mar</v>
      </c>
      <c r="F311" s="68">
        <f t="shared" si="590"/>
        <v>3</v>
      </c>
      <c r="G311" s="136" t="s">
        <v>87</v>
      </c>
      <c r="H311" s="136" t="s">
        <v>166</v>
      </c>
      <c r="J311" s="136" t="s">
        <v>149</v>
      </c>
      <c r="K311" s="136" t="s">
        <v>84</v>
      </c>
      <c r="L311" s="136" t="s">
        <v>79</v>
      </c>
      <c r="M311" s="1" t="s">
        <v>892</v>
      </c>
      <c r="N311" s="136" t="s">
        <v>124</v>
      </c>
      <c r="O311" s="136" t="s">
        <v>156</v>
      </c>
      <c r="Q311" s="2" t="s">
        <v>88</v>
      </c>
      <c r="R311" s="64" t="s">
        <v>321</v>
      </c>
      <c r="Y311" s="131" t="str">
        <f t="shared" si="515"/>
        <v>Obsolete</v>
      </c>
      <c r="Z311" s="11">
        <f t="shared" si="576"/>
        <v>41719</v>
      </c>
      <c r="AA311" s="138" t="str">
        <f t="shared" si="577"/>
        <v>2014 - 12</v>
      </c>
      <c r="AB311" s="138">
        <f t="shared" si="578"/>
        <v>2014</v>
      </c>
    </row>
    <row r="312" spans="2:28" x14ac:dyDescent="0.25">
      <c r="B312" s="66">
        <v>41719</v>
      </c>
      <c r="C312" s="66">
        <v>41719</v>
      </c>
      <c r="D312" s="68">
        <f t="shared" ref="D312:D313" si="591">IF(B312&gt;0,MONTH(B312),"False")</f>
        <v>3</v>
      </c>
      <c r="E312" s="66" t="str">
        <f t="shared" ref="E312:E313" si="592">YEAR(B312) &amp; CHOOSE(D312,"-Jan","-Feb","-Mar","-Apr","-May","-Jun","-Jul","-Aug","-Sep","-Oct","-Nov","-Dec")</f>
        <v>2014-Mar</v>
      </c>
      <c r="F312" s="68">
        <f t="shared" ref="F312:F313" si="593">IF(C312&gt;0,MONTH(C312),"False")</f>
        <v>3</v>
      </c>
      <c r="G312" s="136" t="s">
        <v>87</v>
      </c>
      <c r="H312" s="136" t="s">
        <v>166</v>
      </c>
      <c r="J312" s="136" t="s">
        <v>146</v>
      </c>
      <c r="K312" s="136" t="s">
        <v>260</v>
      </c>
      <c r="L312" s="136" t="s">
        <v>83</v>
      </c>
      <c r="M312" s="1" t="s">
        <v>893</v>
      </c>
      <c r="N312" s="136" t="s">
        <v>124</v>
      </c>
      <c r="O312" s="136" t="s">
        <v>299</v>
      </c>
      <c r="Q312" s="2" t="s">
        <v>88</v>
      </c>
      <c r="R312" s="64" t="s">
        <v>894</v>
      </c>
      <c r="T312" s="67" t="s">
        <v>110</v>
      </c>
      <c r="Y312" s="131" t="str">
        <f t="shared" si="515"/>
        <v>Obsolete</v>
      </c>
      <c r="Z312" s="11">
        <f t="shared" si="576"/>
        <v>41719</v>
      </c>
      <c r="AA312" s="138" t="str">
        <f t="shared" si="577"/>
        <v>2014 - 12</v>
      </c>
      <c r="AB312" s="138">
        <f t="shared" si="578"/>
        <v>2014</v>
      </c>
    </row>
    <row r="313" spans="2:28" x14ac:dyDescent="0.25">
      <c r="B313" s="65">
        <v>41719</v>
      </c>
      <c r="C313" s="66">
        <v>41719</v>
      </c>
      <c r="D313" s="68">
        <f t="shared" si="591"/>
        <v>3</v>
      </c>
      <c r="E313" s="66" t="str">
        <f t="shared" si="592"/>
        <v>2014-Mar</v>
      </c>
      <c r="F313" s="68">
        <f t="shared" si="593"/>
        <v>3</v>
      </c>
      <c r="G313" s="136" t="s">
        <v>93</v>
      </c>
      <c r="H313" s="136" t="s">
        <v>280</v>
      </c>
      <c r="I313" s="136"/>
      <c r="J313" s="136" t="s">
        <v>81</v>
      </c>
      <c r="K313" s="136" t="s">
        <v>82</v>
      </c>
      <c r="L313" s="136" t="s">
        <v>79</v>
      </c>
      <c r="M313" s="136" t="s">
        <v>895</v>
      </c>
      <c r="N313" s="136" t="s">
        <v>124</v>
      </c>
      <c r="O313" s="136" t="s">
        <v>286</v>
      </c>
      <c r="P313" s="64" t="s">
        <v>305</v>
      </c>
      <c r="Q313" s="2" t="s">
        <v>88</v>
      </c>
      <c r="R313" s="64" t="s">
        <v>780</v>
      </c>
      <c r="S313" s="136"/>
      <c r="Y313" s="131" t="str">
        <f t="shared" si="515"/>
        <v>Obsolete</v>
      </c>
      <c r="Z313" s="11">
        <f t="shared" si="576"/>
        <v>41719</v>
      </c>
      <c r="AA313" s="138" t="str">
        <f t="shared" si="577"/>
        <v>2014 - 12</v>
      </c>
      <c r="AB313" s="138">
        <f t="shared" si="578"/>
        <v>2014</v>
      </c>
    </row>
    <row r="314" spans="2:28" x14ac:dyDescent="0.25">
      <c r="B314" s="66">
        <v>41719</v>
      </c>
      <c r="C314" s="66">
        <v>41719</v>
      </c>
      <c r="D314" s="68">
        <f t="shared" ref="D314:D315" si="594">IF(B314&gt;0,MONTH(B314),"False")</f>
        <v>3</v>
      </c>
      <c r="E314" s="66" t="str">
        <f t="shared" ref="E314:E315" si="595">YEAR(B314) &amp; CHOOSE(D314,"-Jan","-Feb","-Mar","-Apr","-May","-Jun","-Jul","-Aug","-Sep","-Oct","-Nov","-Dec")</f>
        <v>2014-Mar</v>
      </c>
      <c r="F314" s="68">
        <f t="shared" ref="F314:F315" si="596">IF(C314&gt;0,MONTH(C314),"False")</f>
        <v>3</v>
      </c>
      <c r="G314" s="136" t="s">
        <v>87</v>
      </c>
      <c r="H314" s="136" t="s">
        <v>280</v>
      </c>
      <c r="J314" s="136" t="s">
        <v>78</v>
      </c>
      <c r="K314" s="136" t="s">
        <v>78</v>
      </c>
      <c r="L314" s="136" t="s">
        <v>79</v>
      </c>
      <c r="M314" s="1" t="s">
        <v>896</v>
      </c>
      <c r="N314" s="136" t="s">
        <v>124</v>
      </c>
      <c r="O314" s="136" t="s">
        <v>138</v>
      </c>
      <c r="Q314" s="2" t="s">
        <v>88</v>
      </c>
      <c r="R314" s="64" t="s">
        <v>344</v>
      </c>
      <c r="Y314" s="131" t="str">
        <f t="shared" si="515"/>
        <v>Obsolete</v>
      </c>
      <c r="Z314" s="11">
        <f t="shared" si="576"/>
        <v>41719</v>
      </c>
      <c r="AA314" s="138" t="str">
        <f t="shared" si="577"/>
        <v>2014 - 12</v>
      </c>
      <c r="AB314" s="138">
        <f t="shared" si="578"/>
        <v>2014</v>
      </c>
    </row>
    <row r="315" spans="2:28" x14ac:dyDescent="0.25">
      <c r="B315" s="65">
        <v>41720</v>
      </c>
      <c r="C315" s="66">
        <v>41720</v>
      </c>
      <c r="D315" s="68">
        <f t="shared" si="594"/>
        <v>3</v>
      </c>
      <c r="E315" s="66" t="str">
        <f t="shared" si="595"/>
        <v>2014-Mar</v>
      </c>
      <c r="F315" s="68">
        <f t="shared" si="596"/>
        <v>3</v>
      </c>
      <c r="G315" s="177" t="s">
        <v>121</v>
      </c>
      <c r="H315" s="177" t="s">
        <v>28</v>
      </c>
      <c r="I315" s="136"/>
      <c r="J315" s="136" t="s">
        <v>77</v>
      </c>
      <c r="K315" s="136" t="s">
        <v>82</v>
      </c>
      <c r="L315" s="136" t="s">
        <v>79</v>
      </c>
      <c r="M315" s="1" t="s">
        <v>897</v>
      </c>
      <c r="N315" s="136" t="s">
        <v>124</v>
      </c>
      <c r="O315" s="136" t="s">
        <v>142</v>
      </c>
      <c r="P315" s="64" t="s">
        <v>334</v>
      </c>
      <c r="R315" s="64" t="s">
        <v>335</v>
      </c>
      <c r="S315" s="177" t="s">
        <v>104</v>
      </c>
      <c r="T315" s="67" t="s">
        <v>110</v>
      </c>
      <c r="X315" s="177" t="s">
        <v>155</v>
      </c>
      <c r="Y315" s="131" t="str">
        <f t="shared" si="515"/>
        <v>Pass</v>
      </c>
      <c r="Z315" s="11" t="str">
        <f t="shared" ref="Z315:Z322" si="597">IF(Q315="Obsolete-LQA",C315,IF(Q315="Obsolete-IT",B315,""))</f>
        <v/>
      </c>
      <c r="AA315" s="154" t="str">
        <f t="shared" ref="AA315:AA322" si="598">IFERROR(YEAR(Z315)&amp;" - "&amp; IF(LEN( WEEKNUM(Z315))=1,"0" &amp; WEEKNUM(Z315),WEEKNUM(Z315)),"")</f>
        <v/>
      </c>
      <c r="AB315" s="154" t="str">
        <f t="shared" ref="AB315:AB322" si="599">IFERROR(YEAR(Z315),"")</f>
        <v/>
      </c>
    </row>
    <row r="316" spans="2:28" x14ac:dyDescent="0.25">
      <c r="B316" s="65">
        <v>41720</v>
      </c>
      <c r="C316" s="66">
        <v>41720</v>
      </c>
      <c r="D316" s="68">
        <f t="shared" ref="D316" si="600">IF(B316&gt;0,MONTH(B316),"False")</f>
        <v>3</v>
      </c>
      <c r="E316" s="66" t="str">
        <f t="shared" ref="E316" si="601">YEAR(B316) &amp; CHOOSE(D316,"-Jan","-Feb","-Mar","-Apr","-May","-Jun","-Jul","-Aug","-Sep","-Oct","-Nov","-Dec")</f>
        <v>2014-Mar</v>
      </c>
      <c r="F316" s="68">
        <f t="shared" ref="F316" si="602">IF(C316&gt;0,MONTH(C316),"False")</f>
        <v>3</v>
      </c>
      <c r="G316" s="141" t="s">
        <v>105</v>
      </c>
      <c r="H316" s="137" t="s">
        <v>280</v>
      </c>
      <c r="J316" s="137" t="s">
        <v>81</v>
      </c>
      <c r="K316" s="137" t="s">
        <v>82</v>
      </c>
      <c r="L316" s="137" t="s">
        <v>79</v>
      </c>
      <c r="M316" s="1" t="s">
        <v>898</v>
      </c>
      <c r="N316" s="137" t="s">
        <v>124</v>
      </c>
      <c r="O316" s="137" t="s">
        <v>286</v>
      </c>
      <c r="P316" s="64" t="s">
        <v>305</v>
      </c>
      <c r="R316" s="64" t="s">
        <v>780</v>
      </c>
      <c r="S316" s="141" t="s">
        <v>104</v>
      </c>
      <c r="X316" s="141" t="s">
        <v>544</v>
      </c>
      <c r="Y316" s="131" t="str">
        <f t="shared" si="515"/>
        <v>Pass</v>
      </c>
      <c r="Z316" s="11" t="str">
        <f t="shared" si="597"/>
        <v/>
      </c>
      <c r="AA316" s="154" t="str">
        <f t="shared" si="598"/>
        <v/>
      </c>
      <c r="AB316" s="154" t="str">
        <f t="shared" si="599"/>
        <v/>
      </c>
    </row>
    <row r="317" spans="2:28" x14ac:dyDescent="0.25">
      <c r="B317" s="65">
        <v>41720</v>
      </c>
      <c r="C317" s="66">
        <v>41720</v>
      </c>
      <c r="D317" s="68">
        <f t="shared" ref="D317:D318" si="603">IF(B317&gt;0,MONTH(B317),"False")</f>
        <v>3</v>
      </c>
      <c r="E317" s="66" t="str">
        <f t="shared" ref="E317:E318" si="604">YEAR(B317) &amp; CHOOSE(D317,"-Jan","-Feb","-Mar","-Apr","-May","-Jun","-Jul","-Aug","-Sep","-Oct","-Nov","-Dec")</f>
        <v>2014-Mar</v>
      </c>
      <c r="F317" s="68">
        <f t="shared" ref="F317:F318" si="605">IF(C317&gt;0,MONTH(C317),"False")</f>
        <v>3</v>
      </c>
      <c r="G317" s="141" t="s">
        <v>105</v>
      </c>
      <c r="H317" s="137" t="s">
        <v>280</v>
      </c>
      <c r="I317" s="137"/>
      <c r="J317" s="137" t="s">
        <v>146</v>
      </c>
      <c r="K317" s="137" t="s">
        <v>82</v>
      </c>
      <c r="L317" s="137" t="s">
        <v>79</v>
      </c>
      <c r="M317" s="1" t="s">
        <v>899</v>
      </c>
      <c r="N317" s="137" t="s">
        <v>124</v>
      </c>
      <c r="O317" s="137" t="s">
        <v>286</v>
      </c>
      <c r="P317" s="64" t="s">
        <v>305</v>
      </c>
      <c r="R317" s="64" t="s">
        <v>780</v>
      </c>
      <c r="S317" s="141" t="s">
        <v>104</v>
      </c>
      <c r="X317" s="141" t="s">
        <v>544</v>
      </c>
      <c r="Y317" s="131" t="str">
        <f t="shared" si="515"/>
        <v>Pass</v>
      </c>
      <c r="Z317" s="11" t="str">
        <f t="shared" si="597"/>
        <v/>
      </c>
      <c r="AA317" s="154" t="str">
        <f t="shared" si="598"/>
        <v/>
      </c>
      <c r="AB317" s="154" t="str">
        <f t="shared" si="599"/>
        <v/>
      </c>
    </row>
    <row r="318" spans="2:28" x14ac:dyDescent="0.25">
      <c r="B318" s="65">
        <v>41720</v>
      </c>
      <c r="C318" s="66">
        <v>41720</v>
      </c>
      <c r="D318" s="68">
        <f t="shared" si="603"/>
        <v>3</v>
      </c>
      <c r="E318" s="66" t="str">
        <f t="shared" si="604"/>
        <v>2014-Mar</v>
      </c>
      <c r="F318" s="68">
        <f t="shared" si="605"/>
        <v>3</v>
      </c>
      <c r="G318" s="141" t="s">
        <v>105</v>
      </c>
      <c r="H318" s="137" t="s">
        <v>280</v>
      </c>
      <c r="I318" s="137"/>
      <c r="J318" s="137" t="s">
        <v>81</v>
      </c>
      <c r="K318" s="137" t="s">
        <v>82</v>
      </c>
      <c r="L318" s="137" t="s">
        <v>79</v>
      </c>
      <c r="M318" s="137" t="s">
        <v>900</v>
      </c>
      <c r="N318" s="137" t="s">
        <v>124</v>
      </c>
      <c r="O318" s="137" t="s">
        <v>286</v>
      </c>
      <c r="P318" s="64" t="s">
        <v>305</v>
      </c>
      <c r="R318" s="64" t="s">
        <v>780</v>
      </c>
      <c r="S318" s="141" t="s">
        <v>104</v>
      </c>
      <c r="T318" s="67" t="s">
        <v>110</v>
      </c>
      <c r="X318" s="141" t="s">
        <v>544</v>
      </c>
      <c r="Y318" s="131" t="str">
        <f t="shared" si="515"/>
        <v>Pass</v>
      </c>
      <c r="Z318" s="11" t="str">
        <f t="shared" si="597"/>
        <v/>
      </c>
      <c r="AA318" s="154" t="str">
        <f t="shared" si="598"/>
        <v/>
      </c>
      <c r="AB318" s="154" t="str">
        <f t="shared" si="599"/>
        <v/>
      </c>
    </row>
    <row r="319" spans="2:28" x14ac:dyDescent="0.25">
      <c r="B319" s="65">
        <v>41720</v>
      </c>
      <c r="C319" s="66">
        <v>41720</v>
      </c>
      <c r="D319" s="68">
        <f t="shared" ref="D319:D320" si="606">IF(B319&gt;0,MONTH(B319),"False")</f>
        <v>3</v>
      </c>
      <c r="E319" s="66" t="str">
        <f t="shared" ref="E319:E320" si="607">YEAR(B319) &amp; CHOOSE(D319,"-Jan","-Feb","-Mar","-Apr","-May","-Jun","-Jul","-Aug","-Sep","-Oct","-Nov","-Dec")</f>
        <v>2014-Mar</v>
      </c>
      <c r="F319" s="68">
        <f t="shared" ref="F319:F320" si="608">IF(C319&gt;0,MONTH(C319),"False")</f>
        <v>3</v>
      </c>
      <c r="G319" s="141" t="s">
        <v>105</v>
      </c>
      <c r="H319" s="137" t="s">
        <v>280</v>
      </c>
      <c r="I319" s="137"/>
      <c r="J319" s="137" t="s">
        <v>146</v>
      </c>
      <c r="K319" s="137" t="s">
        <v>82</v>
      </c>
      <c r="L319" s="137" t="s">
        <v>79</v>
      </c>
      <c r="M319" s="137" t="s">
        <v>901</v>
      </c>
      <c r="N319" s="137" t="s">
        <v>124</v>
      </c>
      <c r="O319" s="137" t="s">
        <v>286</v>
      </c>
      <c r="P319" s="64" t="s">
        <v>305</v>
      </c>
      <c r="R319" s="64" t="s">
        <v>780</v>
      </c>
      <c r="S319" s="141" t="s">
        <v>104</v>
      </c>
      <c r="X319" s="141" t="s">
        <v>544</v>
      </c>
      <c r="Y319" s="131" t="str">
        <f t="shared" si="515"/>
        <v>Pass</v>
      </c>
      <c r="Z319" s="11" t="str">
        <f t="shared" si="597"/>
        <v/>
      </c>
      <c r="AA319" s="154" t="str">
        <f t="shared" si="598"/>
        <v/>
      </c>
      <c r="AB319" s="154" t="str">
        <f t="shared" si="599"/>
        <v/>
      </c>
    </row>
    <row r="320" spans="2:28" x14ac:dyDescent="0.25">
      <c r="B320" s="66">
        <v>41722</v>
      </c>
      <c r="C320" s="66">
        <v>41722</v>
      </c>
      <c r="D320" s="68">
        <f t="shared" si="606"/>
        <v>3</v>
      </c>
      <c r="E320" s="66" t="str">
        <f t="shared" si="607"/>
        <v>2014-Mar</v>
      </c>
      <c r="F320" s="68">
        <f t="shared" si="608"/>
        <v>3</v>
      </c>
      <c r="G320" s="141" t="s">
        <v>126</v>
      </c>
      <c r="H320" s="139" t="s">
        <v>280</v>
      </c>
      <c r="I320" s="139"/>
      <c r="J320" s="139" t="s">
        <v>78</v>
      </c>
      <c r="K320" s="139" t="s">
        <v>78</v>
      </c>
      <c r="L320" s="139" t="s">
        <v>79</v>
      </c>
      <c r="M320" s="1" t="s">
        <v>907</v>
      </c>
      <c r="N320" s="139" t="s">
        <v>124</v>
      </c>
      <c r="O320" s="139" t="s">
        <v>138</v>
      </c>
      <c r="P320" s="139"/>
      <c r="R320" s="64" t="s">
        <v>344</v>
      </c>
      <c r="S320" s="141" t="s">
        <v>104</v>
      </c>
      <c r="X320" s="141" t="s">
        <v>544</v>
      </c>
      <c r="Y320" s="131" t="str">
        <f t="shared" si="515"/>
        <v>Pass</v>
      </c>
      <c r="Z320" s="11" t="str">
        <f t="shared" si="597"/>
        <v/>
      </c>
      <c r="AA320" s="154" t="str">
        <f t="shared" si="598"/>
        <v/>
      </c>
      <c r="AB320" s="154" t="str">
        <f t="shared" si="599"/>
        <v/>
      </c>
    </row>
    <row r="321" spans="2:28" x14ac:dyDescent="0.25">
      <c r="B321" s="65">
        <v>41722</v>
      </c>
      <c r="C321" s="66">
        <v>41722</v>
      </c>
      <c r="D321" s="68">
        <f t="shared" ref="D321:D324" si="609">IF(B321&gt;0,MONTH(B321),"False")</f>
        <v>3</v>
      </c>
      <c r="E321" s="66" t="str">
        <f t="shared" ref="E321:E324" si="610">YEAR(B321) &amp; CHOOSE(D321,"-Jan","-Feb","-Mar","-Apr","-May","-Jun","-Jul","-Aug","-Sep","-Oct","-Nov","-Dec")</f>
        <v>2014-Mar</v>
      </c>
      <c r="F321" s="68">
        <f t="shared" ref="F321:F324" si="611">IF(C321&gt;0,MONTH(C321),"False")</f>
        <v>3</v>
      </c>
      <c r="G321" s="139" t="s">
        <v>93</v>
      </c>
      <c r="H321" s="139" t="s">
        <v>103</v>
      </c>
      <c r="J321" s="139" t="s">
        <v>77</v>
      </c>
      <c r="K321" s="139" t="s">
        <v>82</v>
      </c>
      <c r="L321" s="139" t="s">
        <v>79</v>
      </c>
      <c r="M321" s="1" t="s">
        <v>908</v>
      </c>
      <c r="N321" s="139" t="s">
        <v>124</v>
      </c>
      <c r="O321" s="139" t="s">
        <v>265</v>
      </c>
      <c r="P321" s="64" t="s">
        <v>351</v>
      </c>
      <c r="Q321" s="2" t="s">
        <v>88</v>
      </c>
      <c r="R321" s="64" t="s">
        <v>361</v>
      </c>
      <c r="Y321" s="131" t="str">
        <f t="shared" si="515"/>
        <v>Obsolete</v>
      </c>
      <c r="Z321" s="11">
        <f t="shared" si="597"/>
        <v>41722</v>
      </c>
      <c r="AA321" s="154" t="str">
        <f t="shared" si="598"/>
        <v>2014 - 13</v>
      </c>
      <c r="AB321" s="154">
        <f t="shared" si="599"/>
        <v>2014</v>
      </c>
    </row>
    <row r="322" spans="2:28" x14ac:dyDescent="0.25">
      <c r="B322" s="65">
        <v>41722</v>
      </c>
      <c r="C322" s="66">
        <v>41722</v>
      </c>
      <c r="D322" s="68">
        <f t="shared" si="609"/>
        <v>3</v>
      </c>
      <c r="E322" s="66" t="str">
        <f t="shared" si="610"/>
        <v>2014-Mar</v>
      </c>
      <c r="F322" s="68">
        <f t="shared" si="611"/>
        <v>3</v>
      </c>
      <c r="G322" s="164" t="s">
        <v>127</v>
      </c>
      <c r="H322" s="139" t="s">
        <v>28</v>
      </c>
      <c r="I322" s="139"/>
      <c r="J322" s="139" t="s">
        <v>77</v>
      </c>
      <c r="K322" s="139" t="s">
        <v>82</v>
      </c>
      <c r="L322" s="139" t="s">
        <v>79</v>
      </c>
      <c r="M322" s="1" t="s">
        <v>909</v>
      </c>
      <c r="N322" s="139" t="s">
        <v>124</v>
      </c>
      <c r="O322" s="139" t="s">
        <v>142</v>
      </c>
      <c r="P322" s="64" t="s">
        <v>334</v>
      </c>
      <c r="Q322" s="2" t="s">
        <v>88</v>
      </c>
      <c r="R322" s="64" t="s">
        <v>335</v>
      </c>
      <c r="S322" s="164" t="s">
        <v>104</v>
      </c>
      <c r="X322" s="164" t="s">
        <v>153</v>
      </c>
      <c r="Y322" s="131" t="str">
        <f t="shared" si="515"/>
        <v>Obsolete</v>
      </c>
      <c r="Z322" s="11">
        <f t="shared" si="597"/>
        <v>41722</v>
      </c>
      <c r="AA322" s="154" t="str">
        <f t="shared" si="598"/>
        <v>2014 - 13</v>
      </c>
      <c r="AB322" s="154">
        <f t="shared" si="599"/>
        <v>2014</v>
      </c>
    </row>
    <row r="323" spans="2:28" x14ac:dyDescent="0.25">
      <c r="B323" s="66">
        <v>41722</v>
      </c>
      <c r="C323" s="66">
        <v>41722</v>
      </c>
      <c r="D323" s="68">
        <f t="shared" si="609"/>
        <v>3</v>
      </c>
      <c r="E323" s="66" t="str">
        <f t="shared" si="610"/>
        <v>2014-Mar</v>
      </c>
      <c r="F323" s="68">
        <f t="shared" si="611"/>
        <v>3</v>
      </c>
      <c r="G323" s="139" t="s">
        <v>87</v>
      </c>
      <c r="H323" s="139" t="s">
        <v>136</v>
      </c>
      <c r="J323" s="139" t="s">
        <v>292</v>
      </c>
      <c r="K323" s="139" t="s">
        <v>292</v>
      </c>
      <c r="L323" s="139" t="s">
        <v>83</v>
      </c>
      <c r="M323" s="1" t="s">
        <v>910</v>
      </c>
      <c r="N323" s="139" t="s">
        <v>124</v>
      </c>
      <c r="O323" s="139" t="s">
        <v>589</v>
      </c>
      <c r="R323" s="64" t="s">
        <v>911</v>
      </c>
      <c r="Y323" s="131" t="str">
        <f t="shared" si="515"/>
        <v>Unknown</v>
      </c>
      <c r="Z323" s="11" t="str">
        <f t="shared" ref="Z323:Z349" si="612">IF(Q323="Obsolete-LQA",C323,IF(Q323="Obsolete-IT",B323,""))</f>
        <v/>
      </c>
      <c r="AA323" s="156" t="str">
        <f t="shared" ref="AA323:AA349" si="613">IFERROR(YEAR(Z323)&amp;" - "&amp; IF(LEN( WEEKNUM(Z323))=1,"0" &amp; WEEKNUM(Z323),WEEKNUM(Z323)),"")</f>
        <v/>
      </c>
      <c r="AB323" s="156" t="str">
        <f t="shared" ref="AB323:AB349" si="614">IFERROR(YEAR(Z323),"")</f>
        <v/>
      </c>
    </row>
    <row r="324" spans="2:28" x14ac:dyDescent="0.25">
      <c r="B324" s="65">
        <v>41722</v>
      </c>
      <c r="C324" s="66">
        <v>41722</v>
      </c>
      <c r="D324" s="68">
        <f t="shared" si="609"/>
        <v>3</v>
      </c>
      <c r="E324" s="66" t="str">
        <f t="shared" si="610"/>
        <v>2014-Mar</v>
      </c>
      <c r="F324" s="68">
        <f t="shared" si="611"/>
        <v>3</v>
      </c>
      <c r="G324" s="139" t="s">
        <v>93</v>
      </c>
      <c r="H324" s="139" t="s">
        <v>280</v>
      </c>
      <c r="I324" s="139"/>
      <c r="J324" s="139" t="s">
        <v>81</v>
      </c>
      <c r="K324" s="139" t="s">
        <v>82</v>
      </c>
      <c r="L324" s="139" t="s">
        <v>79</v>
      </c>
      <c r="M324" s="1" t="s">
        <v>912</v>
      </c>
      <c r="N324" s="139" t="s">
        <v>124</v>
      </c>
      <c r="O324" s="139" t="s">
        <v>286</v>
      </c>
      <c r="P324" s="64" t="s">
        <v>305</v>
      </c>
      <c r="R324" s="64" t="s">
        <v>780</v>
      </c>
      <c r="S324" s="291" t="s">
        <v>104</v>
      </c>
      <c r="Y324" s="131" t="str">
        <f t="shared" si="515"/>
        <v>Pass</v>
      </c>
      <c r="Z324" s="11" t="str">
        <f t="shared" si="612"/>
        <v/>
      </c>
      <c r="AA324" s="156" t="str">
        <f t="shared" si="613"/>
        <v/>
      </c>
      <c r="AB324" s="156" t="str">
        <f t="shared" si="614"/>
        <v/>
      </c>
    </row>
    <row r="325" spans="2:28" x14ac:dyDescent="0.25">
      <c r="B325" s="66">
        <v>41723</v>
      </c>
      <c r="C325" s="66">
        <v>41723</v>
      </c>
      <c r="D325" s="68">
        <f t="shared" ref="D325:D326" si="615">IF(B325&gt;0,MONTH(B325),"False")</f>
        <v>3</v>
      </c>
      <c r="E325" s="66" t="str">
        <f t="shared" ref="E325:E326" si="616">YEAR(B325) &amp; CHOOSE(D325,"-Jan","-Feb","-Mar","-Apr","-May","-Jun","-Jul","-Aug","-Sep","-Oct","-Nov","-Dec")</f>
        <v>2014-Mar</v>
      </c>
      <c r="F325" s="68">
        <f t="shared" ref="F325:F326" si="617">IF(C325&gt;0,MONTH(C325),"False")</f>
        <v>3</v>
      </c>
      <c r="G325" s="141" t="s">
        <v>126</v>
      </c>
      <c r="H325" s="140" t="s">
        <v>280</v>
      </c>
      <c r="J325" s="140" t="s">
        <v>78</v>
      </c>
      <c r="K325" s="140" t="s">
        <v>78</v>
      </c>
      <c r="L325" s="140" t="s">
        <v>79</v>
      </c>
      <c r="M325" s="1" t="s">
        <v>913</v>
      </c>
      <c r="N325" s="140" t="s">
        <v>124</v>
      </c>
      <c r="O325" s="140" t="s">
        <v>138</v>
      </c>
      <c r="R325" s="64" t="s">
        <v>344</v>
      </c>
      <c r="S325" s="141" t="s">
        <v>104</v>
      </c>
      <c r="X325" s="141" t="s">
        <v>544</v>
      </c>
      <c r="Y325" s="131" t="str">
        <f t="shared" si="515"/>
        <v>Pass</v>
      </c>
      <c r="Z325" s="11" t="str">
        <f t="shared" si="612"/>
        <v/>
      </c>
      <c r="AA325" s="156" t="str">
        <f t="shared" si="613"/>
        <v/>
      </c>
      <c r="AB325" s="156" t="str">
        <f t="shared" si="614"/>
        <v/>
      </c>
    </row>
    <row r="326" spans="2:28" x14ac:dyDescent="0.25">
      <c r="B326" s="65">
        <v>41723</v>
      </c>
      <c r="C326" s="66">
        <v>41723</v>
      </c>
      <c r="D326" s="68">
        <f t="shared" si="615"/>
        <v>3</v>
      </c>
      <c r="E326" s="66" t="str">
        <f t="shared" si="616"/>
        <v>2014-Mar</v>
      </c>
      <c r="F326" s="68">
        <f t="shared" si="617"/>
        <v>3</v>
      </c>
      <c r="G326" s="155" t="s">
        <v>105</v>
      </c>
      <c r="H326" s="140" t="s">
        <v>76</v>
      </c>
      <c r="J326" s="140" t="s">
        <v>77</v>
      </c>
      <c r="K326" s="140" t="s">
        <v>261</v>
      </c>
      <c r="L326" s="140" t="s">
        <v>79</v>
      </c>
      <c r="M326" s="1" t="s">
        <v>914</v>
      </c>
      <c r="N326" s="140" t="s">
        <v>124</v>
      </c>
      <c r="O326" s="140" t="s">
        <v>164</v>
      </c>
      <c r="P326" s="64" t="s">
        <v>916</v>
      </c>
      <c r="R326" s="64" t="s">
        <v>918</v>
      </c>
      <c r="S326" s="155" t="s">
        <v>104</v>
      </c>
      <c r="X326" s="155" t="s">
        <v>819</v>
      </c>
      <c r="Y326" s="131" t="str">
        <f t="shared" si="515"/>
        <v>Pass</v>
      </c>
      <c r="Z326" s="11" t="str">
        <f t="shared" si="612"/>
        <v/>
      </c>
      <c r="AA326" s="156" t="str">
        <f t="shared" si="613"/>
        <v/>
      </c>
      <c r="AB326" s="156" t="str">
        <f t="shared" si="614"/>
        <v/>
      </c>
    </row>
    <row r="327" spans="2:28" x14ac:dyDescent="0.25">
      <c r="B327" s="65">
        <v>41723</v>
      </c>
      <c r="C327" s="66">
        <v>41723</v>
      </c>
      <c r="D327" s="68">
        <f t="shared" ref="D327:D328" si="618">IF(B327&gt;0,MONTH(B327),"False")</f>
        <v>3</v>
      </c>
      <c r="E327" s="66" t="str">
        <f t="shared" ref="E327:E328" si="619">YEAR(B327) &amp; CHOOSE(D327,"-Jan","-Feb","-Mar","-Apr","-May","-Jun","-Jul","-Aug","-Sep","-Oct","-Nov","-Dec")</f>
        <v>2014-Mar</v>
      </c>
      <c r="F327" s="68">
        <f t="shared" ref="F327:F328" si="620">IF(C327&gt;0,MONTH(C327),"False")</f>
        <v>3</v>
      </c>
      <c r="G327" s="155" t="s">
        <v>105</v>
      </c>
      <c r="H327" s="140" t="s">
        <v>76</v>
      </c>
      <c r="I327" s="140"/>
      <c r="J327" s="140" t="s">
        <v>77</v>
      </c>
      <c r="K327" s="140" t="s">
        <v>260</v>
      </c>
      <c r="L327" s="140" t="s">
        <v>79</v>
      </c>
      <c r="M327" s="1" t="s">
        <v>915</v>
      </c>
      <c r="N327" s="140" t="s">
        <v>124</v>
      </c>
      <c r="O327" s="140" t="s">
        <v>164</v>
      </c>
      <c r="P327" s="64" t="s">
        <v>917</v>
      </c>
      <c r="R327" s="64" t="s">
        <v>919</v>
      </c>
      <c r="S327" s="155" t="s">
        <v>104</v>
      </c>
      <c r="X327" s="155" t="s">
        <v>819</v>
      </c>
      <c r="Y327" s="131" t="str">
        <f t="shared" si="515"/>
        <v>Pass</v>
      </c>
      <c r="Z327" s="11" t="str">
        <f t="shared" si="612"/>
        <v/>
      </c>
      <c r="AA327" s="156" t="str">
        <f t="shared" si="613"/>
        <v/>
      </c>
      <c r="AB327" s="156" t="str">
        <f t="shared" si="614"/>
        <v/>
      </c>
    </row>
    <row r="328" spans="2:28" x14ac:dyDescent="0.25">
      <c r="B328" s="66">
        <v>41723</v>
      </c>
      <c r="C328" s="66">
        <v>41723</v>
      </c>
      <c r="D328" s="68">
        <f t="shared" si="618"/>
        <v>3</v>
      </c>
      <c r="E328" s="66" t="str">
        <f t="shared" si="619"/>
        <v>2014-Mar</v>
      </c>
      <c r="F328" s="68">
        <f t="shared" si="620"/>
        <v>3</v>
      </c>
      <c r="G328" s="140" t="s">
        <v>87</v>
      </c>
      <c r="H328" s="140" t="s">
        <v>166</v>
      </c>
      <c r="J328" s="140" t="s">
        <v>149</v>
      </c>
      <c r="K328" s="140" t="s">
        <v>84</v>
      </c>
      <c r="L328" s="140" t="s">
        <v>83</v>
      </c>
      <c r="M328" s="1" t="s">
        <v>921</v>
      </c>
      <c r="N328" s="140" t="s">
        <v>124</v>
      </c>
      <c r="O328" s="140" t="s">
        <v>148</v>
      </c>
      <c r="R328" s="64" t="s">
        <v>922</v>
      </c>
      <c r="T328" s="67" t="s">
        <v>110</v>
      </c>
      <c r="Y328" s="131" t="str">
        <f t="shared" si="515"/>
        <v>Unknown</v>
      </c>
      <c r="Z328" s="11" t="str">
        <f t="shared" si="612"/>
        <v/>
      </c>
      <c r="AA328" s="156" t="str">
        <f t="shared" si="613"/>
        <v/>
      </c>
      <c r="AB328" s="156" t="str">
        <f t="shared" si="614"/>
        <v/>
      </c>
    </row>
    <row r="329" spans="2:28" x14ac:dyDescent="0.25">
      <c r="B329" s="65">
        <v>41724</v>
      </c>
      <c r="C329" s="66">
        <v>41724</v>
      </c>
      <c r="D329" s="68">
        <f t="shared" ref="D329" si="621">IF(B329&gt;0,MONTH(B329),"False")</f>
        <v>3</v>
      </c>
      <c r="E329" s="66" t="str">
        <f t="shared" ref="E329" si="622">YEAR(B329) &amp; CHOOSE(D329,"-Jan","-Feb","-Mar","-Apr","-May","-Jun","-Jul","-Aug","-Sep","-Oct","-Nov","-Dec")</f>
        <v>2014-Mar</v>
      </c>
      <c r="F329" s="68">
        <f t="shared" ref="F329" si="623">IF(C329&gt;0,MONTH(C329),"False")</f>
        <v>3</v>
      </c>
      <c r="G329" s="141" t="s">
        <v>93</v>
      </c>
      <c r="H329" s="141" t="s">
        <v>280</v>
      </c>
      <c r="J329" s="141" t="s">
        <v>81</v>
      </c>
      <c r="K329" s="141" t="s">
        <v>82</v>
      </c>
      <c r="L329" s="141" t="s">
        <v>79</v>
      </c>
      <c r="M329" s="1" t="s">
        <v>931</v>
      </c>
      <c r="N329" s="141" t="s">
        <v>124</v>
      </c>
      <c r="O329" s="141" t="s">
        <v>143</v>
      </c>
      <c r="P329" s="64" t="s">
        <v>305</v>
      </c>
      <c r="Q329" s="2" t="s">
        <v>88</v>
      </c>
      <c r="R329" s="64" t="s">
        <v>780</v>
      </c>
      <c r="Y329" s="131" t="str">
        <f t="shared" si="515"/>
        <v>Obsolete</v>
      </c>
      <c r="Z329" s="11">
        <f t="shared" si="612"/>
        <v>41724</v>
      </c>
      <c r="AA329" s="156" t="str">
        <f t="shared" si="613"/>
        <v>2014 - 13</v>
      </c>
      <c r="AB329" s="156">
        <f t="shared" si="614"/>
        <v>2014</v>
      </c>
    </row>
    <row r="330" spans="2:28" x14ac:dyDescent="0.25">
      <c r="B330" s="65">
        <v>41724</v>
      </c>
      <c r="C330" s="66">
        <v>41724</v>
      </c>
      <c r="D330" s="68">
        <f t="shared" ref="D330:D331" si="624">IF(B330&gt;0,MONTH(B330),"False")</f>
        <v>3</v>
      </c>
      <c r="E330" s="66" t="str">
        <f t="shared" ref="E330:E331" si="625">YEAR(B330) &amp; CHOOSE(D330,"-Jan","-Feb","-Mar","-Apr","-May","-Jun","-Jul","-Aug","-Sep","-Oct","-Nov","-Dec")</f>
        <v>2014-Mar</v>
      </c>
      <c r="F330" s="68">
        <f t="shared" ref="F330:F331" si="626">IF(C330&gt;0,MONTH(C330),"False")</f>
        <v>3</v>
      </c>
      <c r="G330" s="141" t="s">
        <v>93</v>
      </c>
      <c r="H330" s="141" t="s">
        <v>136</v>
      </c>
      <c r="J330" s="141" t="s">
        <v>77</v>
      </c>
      <c r="K330" s="141" t="s">
        <v>119</v>
      </c>
      <c r="L330" s="141" t="s">
        <v>79</v>
      </c>
      <c r="M330" s="1" t="s">
        <v>932</v>
      </c>
      <c r="N330" s="141" t="s">
        <v>124</v>
      </c>
      <c r="O330" s="141" t="s">
        <v>507</v>
      </c>
      <c r="P330" s="64" t="s">
        <v>784</v>
      </c>
      <c r="Q330" s="2" t="s">
        <v>88</v>
      </c>
      <c r="R330" s="64" t="s">
        <v>785</v>
      </c>
      <c r="Y330" s="131" t="str">
        <f t="shared" si="515"/>
        <v>Obsolete</v>
      </c>
      <c r="Z330" s="11">
        <f t="shared" si="612"/>
        <v>41724</v>
      </c>
      <c r="AA330" s="156" t="str">
        <f t="shared" si="613"/>
        <v>2014 - 13</v>
      </c>
      <c r="AB330" s="156">
        <f t="shared" si="614"/>
        <v>2014</v>
      </c>
    </row>
    <row r="331" spans="2:28" x14ac:dyDescent="0.25">
      <c r="B331" s="65">
        <v>41724</v>
      </c>
      <c r="C331" s="66">
        <v>41724</v>
      </c>
      <c r="D331" s="68">
        <f t="shared" si="624"/>
        <v>3</v>
      </c>
      <c r="E331" s="66" t="str">
        <f t="shared" si="625"/>
        <v>2014-Mar</v>
      </c>
      <c r="F331" s="68">
        <f t="shared" si="626"/>
        <v>3</v>
      </c>
      <c r="G331" s="141" t="s">
        <v>93</v>
      </c>
      <c r="H331" s="141" t="s">
        <v>136</v>
      </c>
      <c r="J331" s="141" t="s">
        <v>77</v>
      </c>
      <c r="K331" s="141" t="s">
        <v>119</v>
      </c>
      <c r="L331" s="141" t="s">
        <v>79</v>
      </c>
      <c r="M331" s="1" t="s">
        <v>933</v>
      </c>
      <c r="N331" s="141" t="s">
        <v>124</v>
      </c>
      <c r="O331" s="141" t="s">
        <v>507</v>
      </c>
      <c r="P331" s="64" t="s">
        <v>784</v>
      </c>
      <c r="R331" s="64" t="s">
        <v>785</v>
      </c>
      <c r="Y331" s="131" t="str">
        <f t="shared" si="515"/>
        <v>Unknown</v>
      </c>
      <c r="Z331" s="11" t="str">
        <f t="shared" si="612"/>
        <v/>
      </c>
      <c r="AA331" s="156" t="str">
        <f t="shared" si="613"/>
        <v/>
      </c>
      <c r="AB331" s="156" t="str">
        <f t="shared" si="614"/>
        <v/>
      </c>
    </row>
    <row r="332" spans="2:28" x14ac:dyDescent="0.25">
      <c r="B332" s="65">
        <v>41725</v>
      </c>
      <c r="C332" s="66">
        <v>41725</v>
      </c>
      <c r="D332" s="68">
        <f t="shared" ref="D332" si="627">IF(B332&gt;0,MONTH(B332),"False")</f>
        <v>3</v>
      </c>
      <c r="E332" s="66" t="str">
        <f t="shared" ref="E332" si="628">YEAR(B332) &amp; CHOOSE(D332,"-Jan","-Feb","-Mar","-Apr","-May","-Jun","-Jul","-Aug","-Sep","-Oct","-Nov","-Dec")</f>
        <v>2014-Mar</v>
      </c>
      <c r="F332" s="68">
        <f t="shared" ref="F332" si="629">IF(C332&gt;0,MONTH(C332),"False")</f>
        <v>3</v>
      </c>
      <c r="G332" s="152" t="s">
        <v>121</v>
      </c>
      <c r="H332" s="152" t="s">
        <v>348</v>
      </c>
      <c r="J332" s="152" t="s">
        <v>77</v>
      </c>
      <c r="K332" s="152" t="s">
        <v>82</v>
      </c>
      <c r="L332" s="152" t="s">
        <v>79</v>
      </c>
      <c r="M332" s="1" t="s">
        <v>934</v>
      </c>
      <c r="N332" s="152" t="s">
        <v>124</v>
      </c>
      <c r="O332" s="152" t="s">
        <v>285</v>
      </c>
      <c r="P332" s="64" t="s">
        <v>352</v>
      </c>
      <c r="R332" s="64" t="s">
        <v>626</v>
      </c>
      <c r="S332" s="152" t="s">
        <v>104</v>
      </c>
      <c r="X332" s="152" t="s">
        <v>270</v>
      </c>
      <c r="Y332" s="131" t="str">
        <f t="shared" ref="Y332:Y395" si="630">IF(Q332&gt;0,"Obsolete",IF(S332&gt;0,S332,"Unknown"))</f>
        <v>Pass</v>
      </c>
      <c r="Z332" s="11" t="str">
        <f t="shared" si="612"/>
        <v/>
      </c>
      <c r="AA332" s="156" t="str">
        <f t="shared" si="613"/>
        <v/>
      </c>
      <c r="AB332" s="156" t="str">
        <f t="shared" si="614"/>
        <v/>
      </c>
    </row>
    <row r="333" spans="2:28" x14ac:dyDescent="0.25">
      <c r="B333" s="66">
        <v>41725</v>
      </c>
      <c r="C333" s="66">
        <v>41725</v>
      </c>
      <c r="D333" s="68">
        <f t="shared" ref="D333" si="631">IF(B333&gt;0,MONTH(B333),"False")</f>
        <v>3</v>
      </c>
      <c r="E333" s="66" t="str">
        <f t="shared" ref="E333" si="632">YEAR(B333) &amp; CHOOSE(D333,"-Jan","-Feb","-Mar","-Apr","-May","-Jun","-Jul","-Aug","-Sep","-Oct","-Nov","-Dec")</f>
        <v>2014-Mar</v>
      </c>
      <c r="F333" s="68">
        <f t="shared" ref="F333" si="633">IF(C333&gt;0,MONTH(C333),"False")</f>
        <v>3</v>
      </c>
      <c r="G333" s="152" t="s">
        <v>87</v>
      </c>
      <c r="H333" s="152" t="s">
        <v>166</v>
      </c>
      <c r="J333" s="152" t="s">
        <v>78</v>
      </c>
      <c r="K333" s="152" t="s">
        <v>78</v>
      </c>
      <c r="L333" s="152" t="s">
        <v>79</v>
      </c>
      <c r="M333" s="1" t="s">
        <v>935</v>
      </c>
      <c r="N333" s="152" t="s">
        <v>124</v>
      </c>
      <c r="O333" s="152" t="s">
        <v>167</v>
      </c>
      <c r="R333" s="64" t="s">
        <v>488</v>
      </c>
      <c r="Y333" s="131" t="str">
        <f t="shared" si="630"/>
        <v>Unknown</v>
      </c>
      <c r="Z333" s="11" t="str">
        <f t="shared" si="612"/>
        <v/>
      </c>
      <c r="AA333" s="156" t="str">
        <f t="shared" si="613"/>
        <v/>
      </c>
      <c r="AB333" s="156" t="str">
        <f t="shared" si="614"/>
        <v/>
      </c>
    </row>
    <row r="334" spans="2:28" x14ac:dyDescent="0.25">
      <c r="B334" s="66">
        <v>41725</v>
      </c>
      <c r="C334" s="66">
        <v>41725</v>
      </c>
      <c r="D334" s="68">
        <f t="shared" ref="D334" si="634">IF(B334&gt;0,MONTH(B334),"False")</f>
        <v>3</v>
      </c>
      <c r="E334" s="66" t="str">
        <f t="shared" ref="E334" si="635">YEAR(B334) &amp; CHOOSE(D334,"-Jan","-Feb","-Mar","-Apr","-May","-Jun","-Jul","-Aug","-Sep","-Oct","-Nov","-Dec")</f>
        <v>2014-Mar</v>
      </c>
      <c r="F334" s="68">
        <f t="shared" ref="F334" si="636">IF(C334&gt;0,MONTH(C334),"False")</f>
        <v>3</v>
      </c>
      <c r="G334" s="152" t="s">
        <v>87</v>
      </c>
      <c r="H334" s="152" t="s">
        <v>726</v>
      </c>
      <c r="J334" s="152" t="s">
        <v>78</v>
      </c>
      <c r="K334" s="152" t="s">
        <v>78</v>
      </c>
      <c r="L334" s="152" t="s">
        <v>79</v>
      </c>
      <c r="M334" s="1" t="s">
        <v>936</v>
      </c>
      <c r="N334" s="152" t="s">
        <v>124</v>
      </c>
      <c r="O334" s="152" t="s">
        <v>167</v>
      </c>
      <c r="R334" s="64" t="s">
        <v>727</v>
      </c>
      <c r="Y334" s="131" t="str">
        <f t="shared" si="630"/>
        <v>Unknown</v>
      </c>
      <c r="Z334" s="11" t="str">
        <f t="shared" si="612"/>
        <v/>
      </c>
      <c r="AA334" s="156" t="str">
        <f t="shared" si="613"/>
        <v/>
      </c>
      <c r="AB334" s="156" t="str">
        <f t="shared" si="614"/>
        <v/>
      </c>
    </row>
    <row r="335" spans="2:28" x14ac:dyDescent="0.25">
      <c r="B335" s="65">
        <v>41725</v>
      </c>
      <c r="C335" s="66">
        <v>41726</v>
      </c>
      <c r="D335" s="68">
        <f t="shared" ref="D335:D336" si="637">IF(B335&gt;0,MONTH(B335),"False")</f>
        <v>3</v>
      </c>
      <c r="E335" s="66" t="str">
        <f t="shared" ref="E335:E336" si="638">YEAR(B335) &amp; CHOOSE(D335,"-Jan","-Feb","-Mar","-Apr","-May","-Jun","-Jul","-Aug","-Sep","-Oct","-Nov","-Dec")</f>
        <v>2014-Mar</v>
      </c>
      <c r="F335" s="68">
        <f t="shared" ref="F335:F336" si="639">IF(C335&gt;0,MONTH(C335),"False")</f>
        <v>3</v>
      </c>
      <c r="G335" s="153" t="s">
        <v>93</v>
      </c>
      <c r="H335" s="152" t="s">
        <v>166</v>
      </c>
      <c r="J335" s="152" t="s">
        <v>333</v>
      </c>
      <c r="K335" s="152" t="s">
        <v>82</v>
      </c>
      <c r="L335" s="152" t="s">
        <v>79</v>
      </c>
      <c r="M335" s="1" t="s">
        <v>937</v>
      </c>
      <c r="N335" s="152" t="s">
        <v>124</v>
      </c>
      <c r="O335" s="152" t="s">
        <v>116</v>
      </c>
      <c r="P335" s="64" t="s">
        <v>345</v>
      </c>
      <c r="R335" s="64" t="s">
        <v>347</v>
      </c>
      <c r="Y335" s="131" t="str">
        <f t="shared" si="630"/>
        <v>Unknown</v>
      </c>
      <c r="Z335" s="11" t="str">
        <f t="shared" si="612"/>
        <v/>
      </c>
      <c r="AA335" s="156" t="str">
        <f t="shared" si="613"/>
        <v/>
      </c>
      <c r="AB335" s="156" t="str">
        <f t="shared" si="614"/>
        <v/>
      </c>
    </row>
    <row r="336" spans="2:28" x14ac:dyDescent="0.25">
      <c r="B336" s="65">
        <v>41726</v>
      </c>
      <c r="C336" s="66">
        <v>41726</v>
      </c>
      <c r="D336" s="68">
        <f t="shared" si="637"/>
        <v>3</v>
      </c>
      <c r="E336" s="66" t="str">
        <f t="shared" si="638"/>
        <v>2014-Mar</v>
      </c>
      <c r="F336" s="68">
        <f t="shared" si="639"/>
        <v>3</v>
      </c>
      <c r="G336" s="164" t="s">
        <v>127</v>
      </c>
      <c r="H336" s="153" t="s">
        <v>28</v>
      </c>
      <c r="I336" s="153"/>
      <c r="J336" s="153" t="s">
        <v>77</v>
      </c>
      <c r="K336" s="153" t="s">
        <v>82</v>
      </c>
      <c r="L336" s="153" t="s">
        <v>79</v>
      </c>
      <c r="M336" s="1" t="s">
        <v>938</v>
      </c>
      <c r="N336" s="153" t="s">
        <v>124</v>
      </c>
      <c r="O336" s="153" t="s">
        <v>142</v>
      </c>
      <c r="P336" s="64" t="s">
        <v>334</v>
      </c>
      <c r="R336" s="64" t="s">
        <v>335</v>
      </c>
      <c r="S336" s="164" t="s">
        <v>104</v>
      </c>
      <c r="X336" s="164" t="s">
        <v>153</v>
      </c>
      <c r="Y336" s="131" t="str">
        <f t="shared" si="630"/>
        <v>Pass</v>
      </c>
      <c r="Z336" s="11" t="str">
        <f t="shared" si="612"/>
        <v/>
      </c>
      <c r="AA336" s="156" t="str">
        <f t="shared" si="613"/>
        <v/>
      </c>
      <c r="AB336" s="156" t="str">
        <f t="shared" si="614"/>
        <v/>
      </c>
    </row>
    <row r="337" spans="2:28" x14ac:dyDescent="0.25">
      <c r="B337" s="65">
        <v>41726</v>
      </c>
      <c r="C337" s="66">
        <v>41733</v>
      </c>
      <c r="D337" s="68">
        <f t="shared" ref="D337" si="640">IF(B337&gt;0,MONTH(B337),"False")</f>
        <v>3</v>
      </c>
      <c r="E337" s="66" t="str">
        <f t="shared" ref="E337" si="641">YEAR(B337) &amp; CHOOSE(D337,"-Jan","-Feb","-Mar","-Apr","-May","-Jun","-Jul","-Aug","-Sep","-Oct","-Nov","-Dec")</f>
        <v>2014-Mar</v>
      </c>
      <c r="F337" s="68">
        <f t="shared" ref="F337" si="642">IF(C337&gt;0,MONTH(C337),"False")</f>
        <v>4</v>
      </c>
      <c r="G337" s="160" t="s">
        <v>93</v>
      </c>
      <c r="H337" s="153" t="s">
        <v>348</v>
      </c>
      <c r="J337" s="153" t="s">
        <v>77</v>
      </c>
      <c r="K337" s="153" t="s">
        <v>82</v>
      </c>
      <c r="L337" s="153" t="s">
        <v>79</v>
      </c>
      <c r="M337" s="1" t="s">
        <v>939</v>
      </c>
      <c r="N337" s="153" t="s">
        <v>124</v>
      </c>
      <c r="O337" s="153" t="s">
        <v>285</v>
      </c>
      <c r="P337" s="64" t="s">
        <v>352</v>
      </c>
      <c r="R337" s="64" t="s">
        <v>626</v>
      </c>
      <c r="S337" s="235" t="s">
        <v>104</v>
      </c>
      <c r="T337" s="67" t="s">
        <v>110</v>
      </c>
      <c r="Y337" s="131" t="str">
        <f t="shared" si="630"/>
        <v>Pass</v>
      </c>
      <c r="Z337" s="11" t="str">
        <f t="shared" si="612"/>
        <v/>
      </c>
      <c r="AA337" s="156" t="str">
        <f t="shared" si="613"/>
        <v/>
      </c>
      <c r="AB337" s="156" t="str">
        <f t="shared" si="614"/>
        <v/>
      </c>
    </row>
    <row r="338" spans="2:28" x14ac:dyDescent="0.25">
      <c r="B338" s="65">
        <v>41726</v>
      </c>
      <c r="C338" s="66">
        <v>41733</v>
      </c>
      <c r="D338" s="68">
        <f t="shared" ref="D338:D344" si="643">IF(B338&gt;0,MONTH(B338),"False")</f>
        <v>3</v>
      </c>
      <c r="E338" s="66" t="str">
        <f t="shared" ref="E338:E344" si="644">YEAR(B338) &amp; CHOOSE(D338,"-Jan","-Feb","-Mar","-Apr","-May","-Jun","-Jul","-Aug","-Sep","-Oct","-Nov","-Dec")</f>
        <v>2014-Mar</v>
      </c>
      <c r="F338" s="68">
        <f t="shared" ref="F338:F344" si="645">IF(C338&gt;0,MONTH(C338),"False")</f>
        <v>4</v>
      </c>
      <c r="G338" s="160" t="s">
        <v>93</v>
      </c>
      <c r="H338" s="153" t="s">
        <v>348</v>
      </c>
      <c r="I338" s="153"/>
      <c r="J338" s="153" t="s">
        <v>77</v>
      </c>
      <c r="K338" s="153" t="s">
        <v>82</v>
      </c>
      <c r="L338" s="153" t="s">
        <v>79</v>
      </c>
      <c r="M338" s="153" t="s">
        <v>940</v>
      </c>
      <c r="N338" s="153" t="s">
        <v>124</v>
      </c>
      <c r="O338" s="153" t="s">
        <v>285</v>
      </c>
      <c r="P338" s="64" t="s">
        <v>352</v>
      </c>
      <c r="R338" s="64" t="s">
        <v>626</v>
      </c>
      <c r="S338" s="235" t="s">
        <v>104</v>
      </c>
      <c r="T338" s="67" t="s">
        <v>110</v>
      </c>
      <c r="Y338" s="131" t="str">
        <f t="shared" si="630"/>
        <v>Pass</v>
      </c>
      <c r="Z338" s="11" t="str">
        <f t="shared" si="612"/>
        <v/>
      </c>
      <c r="AA338" s="156" t="str">
        <f t="shared" si="613"/>
        <v/>
      </c>
      <c r="AB338" s="156" t="str">
        <f t="shared" si="614"/>
        <v/>
      </c>
    </row>
    <row r="339" spans="2:28" x14ac:dyDescent="0.25">
      <c r="B339" s="65">
        <v>41726</v>
      </c>
      <c r="C339" s="66">
        <v>41733</v>
      </c>
      <c r="D339" s="68">
        <f t="shared" si="643"/>
        <v>3</v>
      </c>
      <c r="E339" s="66" t="str">
        <f t="shared" si="644"/>
        <v>2014-Mar</v>
      </c>
      <c r="F339" s="68">
        <f t="shared" si="645"/>
        <v>4</v>
      </c>
      <c r="G339" s="160" t="s">
        <v>93</v>
      </c>
      <c r="H339" s="153" t="s">
        <v>348</v>
      </c>
      <c r="I339" s="153"/>
      <c r="J339" s="153" t="s">
        <v>77</v>
      </c>
      <c r="K339" s="153" t="s">
        <v>82</v>
      </c>
      <c r="L339" s="153" t="s">
        <v>79</v>
      </c>
      <c r="M339" s="153" t="s">
        <v>941</v>
      </c>
      <c r="N339" s="153" t="s">
        <v>124</v>
      </c>
      <c r="O339" s="153" t="s">
        <v>285</v>
      </c>
      <c r="P339" s="64" t="s">
        <v>352</v>
      </c>
      <c r="R339" s="64" t="s">
        <v>626</v>
      </c>
      <c r="S339" s="235" t="s">
        <v>104</v>
      </c>
      <c r="T339" s="67" t="s">
        <v>110</v>
      </c>
      <c r="Y339" s="131" t="str">
        <f t="shared" si="630"/>
        <v>Pass</v>
      </c>
      <c r="Z339" s="11" t="str">
        <f t="shared" si="612"/>
        <v/>
      </c>
      <c r="AA339" s="156" t="str">
        <f t="shared" si="613"/>
        <v/>
      </c>
      <c r="AB339" s="156" t="str">
        <f t="shared" si="614"/>
        <v/>
      </c>
    </row>
    <row r="340" spans="2:28" x14ac:dyDescent="0.25">
      <c r="B340" s="65">
        <v>41726</v>
      </c>
      <c r="C340" s="66">
        <v>41733</v>
      </c>
      <c r="D340" s="68">
        <f t="shared" si="643"/>
        <v>3</v>
      </c>
      <c r="E340" s="66" t="str">
        <f t="shared" si="644"/>
        <v>2014-Mar</v>
      </c>
      <c r="F340" s="68">
        <f t="shared" si="645"/>
        <v>4</v>
      </c>
      <c r="G340" s="160" t="s">
        <v>93</v>
      </c>
      <c r="H340" s="153" t="s">
        <v>348</v>
      </c>
      <c r="I340" s="153"/>
      <c r="J340" s="153" t="s">
        <v>77</v>
      </c>
      <c r="K340" s="153" t="s">
        <v>82</v>
      </c>
      <c r="L340" s="153" t="s">
        <v>79</v>
      </c>
      <c r="M340" s="153" t="s">
        <v>942</v>
      </c>
      <c r="N340" s="153" t="s">
        <v>124</v>
      </c>
      <c r="O340" s="153" t="s">
        <v>285</v>
      </c>
      <c r="P340" s="64" t="s">
        <v>352</v>
      </c>
      <c r="R340" s="64" t="s">
        <v>626</v>
      </c>
      <c r="S340" s="235" t="s">
        <v>104</v>
      </c>
      <c r="Y340" s="131" t="str">
        <f t="shared" si="630"/>
        <v>Pass</v>
      </c>
      <c r="Z340" s="11" t="str">
        <f t="shared" si="612"/>
        <v/>
      </c>
      <c r="AA340" s="156" t="str">
        <f t="shared" si="613"/>
        <v/>
      </c>
      <c r="AB340" s="156" t="str">
        <f t="shared" si="614"/>
        <v/>
      </c>
    </row>
    <row r="341" spans="2:28" x14ac:dyDescent="0.25">
      <c r="B341" s="65">
        <v>41726</v>
      </c>
      <c r="C341" s="66">
        <v>41733</v>
      </c>
      <c r="D341" s="68">
        <f t="shared" si="643"/>
        <v>3</v>
      </c>
      <c r="E341" s="66" t="str">
        <f t="shared" si="644"/>
        <v>2014-Mar</v>
      </c>
      <c r="F341" s="68">
        <f t="shared" si="645"/>
        <v>4</v>
      </c>
      <c r="G341" s="160" t="s">
        <v>93</v>
      </c>
      <c r="H341" s="153" t="s">
        <v>348</v>
      </c>
      <c r="I341" s="153"/>
      <c r="J341" s="153" t="s">
        <v>77</v>
      </c>
      <c r="K341" s="153" t="s">
        <v>82</v>
      </c>
      <c r="L341" s="153" t="s">
        <v>79</v>
      </c>
      <c r="M341" s="153" t="s">
        <v>943</v>
      </c>
      <c r="N341" s="153" t="s">
        <v>124</v>
      </c>
      <c r="O341" s="153" t="s">
        <v>285</v>
      </c>
      <c r="P341" s="64" t="s">
        <v>352</v>
      </c>
      <c r="R341" s="64" t="s">
        <v>626</v>
      </c>
      <c r="S341" s="235" t="s">
        <v>104</v>
      </c>
      <c r="Y341" s="131" t="str">
        <f t="shared" si="630"/>
        <v>Pass</v>
      </c>
      <c r="Z341" s="11" t="str">
        <f t="shared" si="612"/>
        <v/>
      </c>
      <c r="AA341" s="156" t="str">
        <f t="shared" si="613"/>
        <v/>
      </c>
      <c r="AB341" s="156" t="str">
        <f t="shared" si="614"/>
        <v/>
      </c>
    </row>
    <row r="342" spans="2:28" x14ac:dyDescent="0.25">
      <c r="B342" s="65">
        <v>41726</v>
      </c>
      <c r="C342" s="66">
        <v>41733</v>
      </c>
      <c r="D342" s="68">
        <f t="shared" si="643"/>
        <v>3</v>
      </c>
      <c r="E342" s="66" t="str">
        <f t="shared" si="644"/>
        <v>2014-Mar</v>
      </c>
      <c r="F342" s="68">
        <f t="shared" si="645"/>
        <v>4</v>
      </c>
      <c r="G342" s="160" t="s">
        <v>93</v>
      </c>
      <c r="H342" s="153" t="s">
        <v>348</v>
      </c>
      <c r="I342" s="153"/>
      <c r="J342" s="153" t="s">
        <v>77</v>
      </c>
      <c r="K342" s="153" t="s">
        <v>82</v>
      </c>
      <c r="L342" s="153" t="s">
        <v>79</v>
      </c>
      <c r="M342" s="153" t="s">
        <v>944</v>
      </c>
      <c r="N342" s="153" t="s">
        <v>124</v>
      </c>
      <c r="O342" s="153" t="s">
        <v>285</v>
      </c>
      <c r="P342" s="64" t="s">
        <v>352</v>
      </c>
      <c r="R342" s="64" t="s">
        <v>626</v>
      </c>
      <c r="S342" s="235" t="s">
        <v>104</v>
      </c>
      <c r="Y342" s="131" t="str">
        <f t="shared" si="630"/>
        <v>Pass</v>
      </c>
      <c r="Z342" s="11" t="str">
        <f t="shared" si="612"/>
        <v/>
      </c>
      <c r="AA342" s="156" t="str">
        <f t="shared" si="613"/>
        <v/>
      </c>
      <c r="AB342" s="156" t="str">
        <f t="shared" si="614"/>
        <v/>
      </c>
    </row>
    <row r="343" spans="2:28" x14ac:dyDescent="0.25">
      <c r="B343" s="65">
        <v>41726</v>
      </c>
      <c r="C343" s="66">
        <v>41733</v>
      </c>
      <c r="D343" s="68">
        <f t="shared" si="643"/>
        <v>3</v>
      </c>
      <c r="E343" s="66" t="str">
        <f t="shared" si="644"/>
        <v>2014-Mar</v>
      </c>
      <c r="F343" s="68">
        <f t="shared" si="645"/>
        <v>4</v>
      </c>
      <c r="G343" s="160" t="s">
        <v>93</v>
      </c>
      <c r="H343" s="153" t="s">
        <v>348</v>
      </c>
      <c r="I343" s="153"/>
      <c r="J343" s="153" t="s">
        <v>77</v>
      </c>
      <c r="K343" s="153" t="s">
        <v>82</v>
      </c>
      <c r="L343" s="153" t="s">
        <v>79</v>
      </c>
      <c r="M343" s="153" t="s">
        <v>945</v>
      </c>
      <c r="N343" s="153" t="s">
        <v>124</v>
      </c>
      <c r="O343" s="153" t="s">
        <v>285</v>
      </c>
      <c r="P343" s="64" t="s">
        <v>352</v>
      </c>
      <c r="R343" s="64" t="s">
        <v>626</v>
      </c>
      <c r="S343" s="235" t="s">
        <v>104</v>
      </c>
      <c r="T343" s="67" t="s">
        <v>110</v>
      </c>
      <c r="Y343" s="131" t="str">
        <f t="shared" si="630"/>
        <v>Pass</v>
      </c>
      <c r="Z343" s="11" t="str">
        <f t="shared" si="612"/>
        <v/>
      </c>
      <c r="AA343" s="156" t="str">
        <f t="shared" si="613"/>
        <v/>
      </c>
      <c r="AB343" s="156" t="str">
        <f t="shared" si="614"/>
        <v/>
      </c>
    </row>
    <row r="344" spans="2:28" x14ac:dyDescent="0.25">
      <c r="B344" s="65">
        <v>41726</v>
      </c>
      <c r="C344" s="66">
        <v>41726</v>
      </c>
      <c r="D344" s="68">
        <f t="shared" si="643"/>
        <v>3</v>
      </c>
      <c r="E344" s="66" t="str">
        <f t="shared" si="644"/>
        <v>2014-Mar</v>
      </c>
      <c r="F344" s="68">
        <f t="shared" si="645"/>
        <v>3</v>
      </c>
      <c r="G344" s="204" t="s">
        <v>121</v>
      </c>
      <c r="H344" s="153" t="s">
        <v>166</v>
      </c>
      <c r="J344" s="153" t="s">
        <v>120</v>
      </c>
      <c r="K344" s="153" t="s">
        <v>82</v>
      </c>
      <c r="L344" s="153" t="s">
        <v>79</v>
      </c>
      <c r="M344" s="1" t="s">
        <v>946</v>
      </c>
      <c r="N344" s="153" t="s">
        <v>124</v>
      </c>
      <c r="O344" s="153" t="s">
        <v>147</v>
      </c>
      <c r="P344" s="64" t="s">
        <v>557</v>
      </c>
      <c r="R344" s="64" t="s">
        <v>594</v>
      </c>
      <c r="S344" s="204" t="s">
        <v>104</v>
      </c>
      <c r="X344" s="204" t="s">
        <v>1312</v>
      </c>
      <c r="Y344" s="131" t="str">
        <f t="shared" si="630"/>
        <v>Pass</v>
      </c>
      <c r="Z344" s="11" t="str">
        <f t="shared" si="612"/>
        <v/>
      </c>
      <c r="AA344" s="156" t="str">
        <f t="shared" si="613"/>
        <v/>
      </c>
      <c r="AB344" s="156" t="str">
        <f t="shared" si="614"/>
        <v/>
      </c>
    </row>
    <row r="345" spans="2:28" x14ac:dyDescent="0.25">
      <c r="B345" s="65">
        <v>41726</v>
      </c>
      <c r="C345" s="66">
        <v>41726</v>
      </c>
      <c r="D345" s="68">
        <f t="shared" ref="D345:D346" si="646">IF(B345&gt;0,MONTH(B345),"False")</f>
        <v>3</v>
      </c>
      <c r="E345" s="66" t="str">
        <f t="shared" ref="E345:E346" si="647">YEAR(B345) &amp; CHOOSE(D345,"-Jan","-Feb","-Mar","-Apr","-May","-Jun","-Jul","-Aug","-Sep","-Oct","-Nov","-Dec")</f>
        <v>2014-Mar</v>
      </c>
      <c r="F345" s="68">
        <f t="shared" ref="F345:F346" si="648">IF(C345&gt;0,MONTH(C345),"False")</f>
        <v>3</v>
      </c>
      <c r="G345" s="153" t="s">
        <v>93</v>
      </c>
      <c r="H345" s="153" t="s">
        <v>136</v>
      </c>
      <c r="J345" s="153" t="s">
        <v>120</v>
      </c>
      <c r="K345" s="153" t="s">
        <v>82</v>
      </c>
      <c r="L345" s="153" t="s">
        <v>79</v>
      </c>
      <c r="M345" s="1" t="s">
        <v>947</v>
      </c>
      <c r="N345" s="153" t="s">
        <v>124</v>
      </c>
      <c r="O345" s="153" t="s">
        <v>147</v>
      </c>
      <c r="P345" s="64" t="s">
        <v>750</v>
      </c>
      <c r="Q345" s="2" t="s">
        <v>88</v>
      </c>
      <c r="R345" s="64" t="s">
        <v>797</v>
      </c>
      <c r="Y345" s="131" t="str">
        <f t="shared" si="630"/>
        <v>Obsolete</v>
      </c>
      <c r="Z345" s="11">
        <f t="shared" si="612"/>
        <v>41726</v>
      </c>
      <c r="AA345" s="156" t="str">
        <f t="shared" si="613"/>
        <v>2014 - 13</v>
      </c>
      <c r="AB345" s="156">
        <f t="shared" si="614"/>
        <v>2014</v>
      </c>
    </row>
    <row r="346" spans="2:28" x14ac:dyDescent="0.25">
      <c r="B346" s="65">
        <v>41726</v>
      </c>
      <c r="C346" s="66">
        <v>41729</v>
      </c>
      <c r="D346" s="68">
        <f t="shared" si="646"/>
        <v>3</v>
      </c>
      <c r="E346" s="66" t="str">
        <f t="shared" si="647"/>
        <v>2014-Mar</v>
      </c>
      <c r="F346" s="68">
        <f t="shared" si="648"/>
        <v>3</v>
      </c>
      <c r="G346" s="155" t="s">
        <v>93</v>
      </c>
      <c r="H346" s="153" t="s">
        <v>136</v>
      </c>
      <c r="J346" s="153" t="s">
        <v>77</v>
      </c>
      <c r="K346" s="153" t="s">
        <v>82</v>
      </c>
      <c r="L346" s="153" t="s">
        <v>79</v>
      </c>
      <c r="M346" s="1" t="s">
        <v>948</v>
      </c>
      <c r="N346" s="153" t="s">
        <v>124</v>
      </c>
      <c r="O346" s="153" t="s">
        <v>114</v>
      </c>
      <c r="P346" s="64" t="s">
        <v>750</v>
      </c>
      <c r="Q346" s="2" t="s">
        <v>88</v>
      </c>
      <c r="R346" s="64" t="s">
        <v>797</v>
      </c>
      <c r="Y346" s="131" t="str">
        <f t="shared" si="630"/>
        <v>Obsolete</v>
      </c>
      <c r="Z346" s="11">
        <f t="shared" si="612"/>
        <v>41729</v>
      </c>
      <c r="AA346" s="156" t="str">
        <f t="shared" si="613"/>
        <v>2014 - 14</v>
      </c>
      <c r="AB346" s="156">
        <f t="shared" si="614"/>
        <v>2014</v>
      </c>
    </row>
    <row r="347" spans="2:28" x14ac:dyDescent="0.25">
      <c r="B347" s="66">
        <v>41726</v>
      </c>
      <c r="C347" s="66">
        <v>41726</v>
      </c>
      <c r="D347" s="68">
        <f t="shared" ref="D347" si="649">IF(B347&gt;0,MONTH(B347),"False")</f>
        <v>3</v>
      </c>
      <c r="E347" s="66" t="str">
        <f t="shared" ref="E347" si="650">YEAR(B347) &amp; CHOOSE(D347,"-Jan","-Feb","-Mar","-Apr","-May","-Jun","-Jul","-Aug","-Sep","-Oct","-Nov","-Dec")</f>
        <v>2014-Mar</v>
      </c>
      <c r="F347" s="68">
        <f t="shared" ref="F347" si="651">IF(C347&gt;0,MONTH(C347),"False")</f>
        <v>3</v>
      </c>
      <c r="G347" s="155" t="s">
        <v>126</v>
      </c>
      <c r="H347" s="153" t="s">
        <v>348</v>
      </c>
      <c r="J347" s="153" t="s">
        <v>149</v>
      </c>
      <c r="K347" s="153" t="s">
        <v>84</v>
      </c>
      <c r="L347" s="153" t="s">
        <v>79</v>
      </c>
      <c r="M347" s="1" t="s">
        <v>949</v>
      </c>
      <c r="N347" s="153" t="s">
        <v>124</v>
      </c>
      <c r="O347" s="153" t="s">
        <v>350</v>
      </c>
      <c r="R347" s="64" t="s">
        <v>679</v>
      </c>
      <c r="S347" s="155" t="s">
        <v>104</v>
      </c>
      <c r="X347" s="155" t="s">
        <v>268</v>
      </c>
      <c r="Y347" s="131" t="str">
        <f t="shared" si="630"/>
        <v>Pass</v>
      </c>
      <c r="Z347" s="11" t="str">
        <f t="shared" si="612"/>
        <v/>
      </c>
      <c r="AA347" s="156" t="str">
        <f t="shared" si="613"/>
        <v/>
      </c>
      <c r="AB347" s="156" t="str">
        <f t="shared" si="614"/>
        <v/>
      </c>
    </row>
    <row r="348" spans="2:28" x14ac:dyDescent="0.25">
      <c r="B348" s="66">
        <v>41726</v>
      </c>
      <c r="C348" s="66">
        <v>41726</v>
      </c>
      <c r="D348" s="68">
        <f t="shared" ref="D348" si="652">IF(B348&gt;0,MONTH(B348),"False")</f>
        <v>3</v>
      </c>
      <c r="E348" s="66" t="str">
        <f t="shared" ref="E348" si="653">YEAR(B348) &amp; CHOOSE(D348,"-Jan","-Feb","-Mar","-Apr","-May","-Jun","-Jul","-Aug","-Sep","-Oct","-Nov","-Dec")</f>
        <v>2014-Mar</v>
      </c>
      <c r="F348" s="68">
        <f t="shared" ref="F348" si="654">IF(C348&gt;0,MONTH(C348),"False")</f>
        <v>3</v>
      </c>
      <c r="G348" s="153" t="s">
        <v>87</v>
      </c>
      <c r="H348" s="153" t="s">
        <v>166</v>
      </c>
      <c r="J348" s="153" t="s">
        <v>149</v>
      </c>
      <c r="K348" s="153" t="s">
        <v>84</v>
      </c>
      <c r="L348" s="153" t="s">
        <v>79</v>
      </c>
      <c r="M348" s="1" t="s">
        <v>950</v>
      </c>
      <c r="N348" s="153" t="s">
        <v>124</v>
      </c>
      <c r="O348" s="153" t="s">
        <v>350</v>
      </c>
      <c r="R348" s="64" t="s">
        <v>354</v>
      </c>
      <c r="Y348" s="131" t="str">
        <f t="shared" si="630"/>
        <v>Unknown</v>
      </c>
      <c r="Z348" s="11" t="str">
        <f t="shared" si="612"/>
        <v/>
      </c>
      <c r="AA348" s="156" t="str">
        <f t="shared" si="613"/>
        <v/>
      </c>
      <c r="AB348" s="156" t="str">
        <f t="shared" si="614"/>
        <v/>
      </c>
    </row>
    <row r="349" spans="2:28" x14ac:dyDescent="0.25">
      <c r="B349" s="66">
        <v>41726</v>
      </c>
      <c r="C349" s="66">
        <v>41726</v>
      </c>
      <c r="D349" s="68">
        <f t="shared" ref="D349:D350" si="655">IF(B349&gt;0,MONTH(B349),"False")</f>
        <v>3</v>
      </c>
      <c r="E349" s="66" t="str">
        <f t="shared" ref="E349:E350" si="656">YEAR(B349) &amp; CHOOSE(D349,"-Jan","-Feb","-Mar","-Apr","-May","-Jun","-Jul","-Aug","-Sep","-Oct","-Nov","-Dec")</f>
        <v>2014-Mar</v>
      </c>
      <c r="F349" s="68">
        <f t="shared" ref="F349:F350" si="657">IF(C349&gt;0,MONTH(C349),"False")</f>
        <v>3</v>
      </c>
      <c r="G349" s="153" t="s">
        <v>87</v>
      </c>
      <c r="H349" s="153" t="s">
        <v>28</v>
      </c>
      <c r="J349" s="153" t="s">
        <v>78</v>
      </c>
      <c r="K349" s="153" t="s">
        <v>78</v>
      </c>
      <c r="L349" s="153" t="s">
        <v>79</v>
      </c>
      <c r="M349" s="1" t="s">
        <v>951</v>
      </c>
      <c r="N349" s="153" t="s">
        <v>124</v>
      </c>
      <c r="O349" s="153" t="s">
        <v>168</v>
      </c>
      <c r="R349" s="64" t="s">
        <v>308</v>
      </c>
      <c r="Y349" s="131" t="str">
        <f t="shared" si="630"/>
        <v>Unknown</v>
      </c>
      <c r="Z349" s="11" t="str">
        <f t="shared" si="612"/>
        <v/>
      </c>
      <c r="AA349" s="156" t="str">
        <f t="shared" si="613"/>
        <v/>
      </c>
      <c r="AB349" s="156" t="str">
        <f t="shared" si="614"/>
        <v/>
      </c>
    </row>
    <row r="350" spans="2:28" x14ac:dyDescent="0.25">
      <c r="B350" s="65">
        <v>41726</v>
      </c>
      <c r="C350" s="66">
        <v>41726</v>
      </c>
      <c r="D350" s="68">
        <f t="shared" si="655"/>
        <v>3</v>
      </c>
      <c r="E350" s="66" t="str">
        <f t="shared" si="656"/>
        <v>2014-Mar</v>
      </c>
      <c r="F350" s="68">
        <f t="shared" si="657"/>
        <v>3</v>
      </c>
      <c r="G350" s="158" t="s">
        <v>105</v>
      </c>
      <c r="H350" s="153" t="s">
        <v>280</v>
      </c>
      <c r="J350" s="153" t="s">
        <v>81</v>
      </c>
      <c r="K350" s="153" t="s">
        <v>82</v>
      </c>
      <c r="L350" s="153" t="s">
        <v>79</v>
      </c>
      <c r="M350" s="1" t="s">
        <v>952</v>
      </c>
      <c r="N350" s="153" t="s">
        <v>124</v>
      </c>
      <c r="O350" s="153" t="s">
        <v>286</v>
      </c>
      <c r="P350" s="64" t="s">
        <v>305</v>
      </c>
      <c r="R350" s="64" t="s">
        <v>780</v>
      </c>
      <c r="S350" s="158" t="s">
        <v>104</v>
      </c>
      <c r="X350" s="158" t="s">
        <v>544</v>
      </c>
      <c r="Y350" s="131" t="str">
        <f t="shared" si="630"/>
        <v>Pass</v>
      </c>
      <c r="Z350" s="11" t="str">
        <f t="shared" ref="Z350:Z353" si="658">IF(Q350="Obsolete-LQA",C350,IF(Q350="Obsolete-IT",B350,""))</f>
        <v/>
      </c>
      <c r="AA350" s="156" t="str">
        <f t="shared" ref="AA350:AA353" si="659">IFERROR(YEAR(Z350)&amp;" - "&amp; IF(LEN( WEEKNUM(Z350))=1,"0" &amp; WEEKNUM(Z350),WEEKNUM(Z350)),"")</f>
        <v/>
      </c>
      <c r="AB350" s="156" t="str">
        <f t="shared" ref="AB350:AB353" si="660">IFERROR(YEAR(Z350),"")</f>
        <v/>
      </c>
    </row>
    <row r="351" spans="2:28" x14ac:dyDescent="0.25">
      <c r="B351" s="66">
        <v>41729</v>
      </c>
      <c r="C351" s="66">
        <v>41729</v>
      </c>
      <c r="D351" s="68">
        <f t="shared" ref="D351:D352" si="661">IF(B351&gt;0,MONTH(B351),"False")</f>
        <v>3</v>
      </c>
      <c r="E351" s="66" t="str">
        <f t="shared" ref="E351:E352" si="662">YEAR(B351) &amp; CHOOSE(D351,"-Jan","-Feb","-Mar","-Apr","-May","-Jun","-Jul","-Aug","-Sep","-Oct","-Nov","-Dec")</f>
        <v>2014-Mar</v>
      </c>
      <c r="F351" s="68">
        <f t="shared" ref="F351:F352" si="663">IF(C351&gt;0,MONTH(C351),"False")</f>
        <v>3</v>
      </c>
      <c r="G351" s="158" t="s">
        <v>126</v>
      </c>
      <c r="H351" s="155" t="s">
        <v>280</v>
      </c>
      <c r="J351" s="155" t="s">
        <v>78</v>
      </c>
      <c r="K351" s="155" t="s">
        <v>78</v>
      </c>
      <c r="L351" s="155" t="s">
        <v>79</v>
      </c>
      <c r="M351" s="1" t="s">
        <v>953</v>
      </c>
      <c r="N351" s="155" t="s">
        <v>124</v>
      </c>
      <c r="O351" s="155" t="s">
        <v>138</v>
      </c>
      <c r="R351" s="64" t="s">
        <v>344</v>
      </c>
      <c r="S351" s="158" t="s">
        <v>104</v>
      </c>
      <c r="X351" s="158" t="s">
        <v>544</v>
      </c>
      <c r="Y351" s="156" t="str">
        <f t="shared" si="630"/>
        <v>Pass</v>
      </c>
      <c r="Z351" s="11" t="str">
        <f t="shared" si="658"/>
        <v/>
      </c>
      <c r="AA351" s="156" t="str">
        <f t="shared" si="659"/>
        <v/>
      </c>
      <c r="AB351" s="156" t="str">
        <f t="shared" si="660"/>
        <v/>
      </c>
    </row>
    <row r="352" spans="2:28" x14ac:dyDescent="0.25">
      <c r="B352" s="65">
        <v>41729</v>
      </c>
      <c r="C352" s="66">
        <v>41729</v>
      </c>
      <c r="D352" s="68">
        <f t="shared" si="661"/>
        <v>3</v>
      </c>
      <c r="E352" s="66" t="str">
        <f t="shared" si="662"/>
        <v>2014-Mar</v>
      </c>
      <c r="F352" s="68">
        <f t="shared" si="663"/>
        <v>3</v>
      </c>
      <c r="G352" s="155" t="s">
        <v>93</v>
      </c>
      <c r="H352" s="155" t="s">
        <v>136</v>
      </c>
      <c r="J352" s="155" t="s">
        <v>77</v>
      </c>
      <c r="K352" s="155" t="s">
        <v>82</v>
      </c>
      <c r="L352" s="155" t="s">
        <v>79</v>
      </c>
      <c r="M352" s="1" t="s">
        <v>954</v>
      </c>
      <c r="N352" s="155" t="s">
        <v>124</v>
      </c>
      <c r="O352" s="155" t="s">
        <v>507</v>
      </c>
      <c r="P352" s="64" t="s">
        <v>750</v>
      </c>
      <c r="R352" s="64" t="s">
        <v>797</v>
      </c>
      <c r="S352" s="235" t="s">
        <v>104</v>
      </c>
      <c r="Y352" s="156" t="str">
        <f t="shared" si="630"/>
        <v>Pass</v>
      </c>
      <c r="Z352" s="11" t="str">
        <f t="shared" si="658"/>
        <v/>
      </c>
      <c r="AA352" s="156" t="str">
        <f t="shared" si="659"/>
        <v/>
      </c>
      <c r="AB352" s="156" t="str">
        <f t="shared" si="660"/>
        <v/>
      </c>
    </row>
    <row r="353" spans="2:28" x14ac:dyDescent="0.25">
      <c r="B353" s="65">
        <v>41729</v>
      </c>
      <c r="C353" s="66">
        <v>41729</v>
      </c>
      <c r="D353" s="68">
        <f t="shared" ref="D353" si="664">IF(B353&gt;0,MONTH(B353),"False")</f>
        <v>3</v>
      </c>
      <c r="E353" s="66" t="str">
        <f t="shared" ref="E353" si="665">YEAR(B353) &amp; CHOOSE(D353,"-Jan","-Feb","-Mar","-Apr","-May","-Jun","-Jul","-Aug","-Sep","-Oct","-Nov","-Dec")</f>
        <v>2014-Mar</v>
      </c>
      <c r="F353" s="68">
        <f t="shared" ref="F353" si="666">IF(C353&gt;0,MONTH(C353),"False")</f>
        <v>3</v>
      </c>
      <c r="G353" s="155" t="s">
        <v>93</v>
      </c>
      <c r="H353" s="155" t="s">
        <v>280</v>
      </c>
      <c r="J353" s="155" t="s">
        <v>98</v>
      </c>
      <c r="K353" s="155" t="s">
        <v>82</v>
      </c>
      <c r="L353" s="155" t="s">
        <v>79</v>
      </c>
      <c r="M353" s="1" t="s">
        <v>955</v>
      </c>
      <c r="N353" s="155" t="s">
        <v>124</v>
      </c>
      <c r="O353" s="155" t="s">
        <v>143</v>
      </c>
      <c r="P353" s="64" t="s">
        <v>642</v>
      </c>
      <c r="Q353" s="2" t="s">
        <v>88</v>
      </c>
      <c r="R353" s="64" t="s">
        <v>780</v>
      </c>
      <c r="Y353" s="156" t="str">
        <f t="shared" si="630"/>
        <v>Obsolete</v>
      </c>
      <c r="Z353" s="11">
        <f t="shared" si="658"/>
        <v>41729</v>
      </c>
      <c r="AA353" s="156" t="str">
        <f t="shared" si="659"/>
        <v>2014 - 14</v>
      </c>
      <c r="AB353" s="156">
        <f t="shared" si="660"/>
        <v>2014</v>
      </c>
    </row>
    <row r="354" spans="2:28" x14ac:dyDescent="0.25">
      <c r="B354" s="65">
        <v>41729</v>
      </c>
      <c r="C354" s="66">
        <v>41729</v>
      </c>
      <c r="D354" s="68">
        <f t="shared" ref="D354:D355" si="667">IF(B354&gt;0,MONTH(B354),"False")</f>
        <v>3</v>
      </c>
      <c r="E354" s="66" t="str">
        <f t="shared" ref="E354:E355" si="668">YEAR(B354) &amp; CHOOSE(D354,"-Jan","-Feb","-Mar","-Apr","-May","-Jun","-Jul","-Aug","-Sep","-Oct","-Nov","-Dec")</f>
        <v>2014-Mar</v>
      </c>
      <c r="F354" s="68">
        <f t="shared" ref="F354:F355" si="669">IF(C354&gt;0,MONTH(C354),"False")</f>
        <v>3</v>
      </c>
      <c r="G354" s="155" t="s">
        <v>93</v>
      </c>
      <c r="H354" s="155" t="s">
        <v>280</v>
      </c>
      <c r="I354" s="155"/>
      <c r="J354" s="155" t="s">
        <v>98</v>
      </c>
      <c r="K354" s="155" t="s">
        <v>82</v>
      </c>
      <c r="L354" s="155" t="s">
        <v>79</v>
      </c>
      <c r="M354" s="155" t="s">
        <v>956</v>
      </c>
      <c r="N354" s="155" t="s">
        <v>124</v>
      </c>
      <c r="O354" s="155" t="s">
        <v>143</v>
      </c>
      <c r="P354" s="64" t="s">
        <v>642</v>
      </c>
      <c r="Q354" s="2" t="s">
        <v>88</v>
      </c>
      <c r="R354" s="64" t="s">
        <v>780</v>
      </c>
      <c r="Y354" s="156" t="str">
        <f t="shared" si="630"/>
        <v>Obsolete</v>
      </c>
      <c r="Z354" s="11">
        <f t="shared" ref="Z354:Z417" si="670">IF(Q354="Obsolete-LQA",C354,IF(Q354="Obsolete-IT",B354,""))</f>
        <v>41729</v>
      </c>
      <c r="AA354" s="156" t="str">
        <f>IFERROR(YEAR(Z354)&amp;" - "&amp; IF(LEN( WEEKNUM(Z354))=1,"0" &amp; WEEKNUM(Z354),WEEKNUM(Z354)),"")</f>
        <v>2014 - 14</v>
      </c>
      <c r="AB354" s="156">
        <f>IFERROR(YEAR(Z354),"")</f>
        <v>2014</v>
      </c>
    </row>
    <row r="355" spans="2:28" x14ac:dyDescent="0.25">
      <c r="B355" s="66">
        <v>41729</v>
      </c>
      <c r="C355" s="66">
        <v>41729</v>
      </c>
      <c r="D355" s="68">
        <f t="shared" si="667"/>
        <v>3</v>
      </c>
      <c r="E355" s="66" t="str">
        <f t="shared" si="668"/>
        <v>2014-Mar</v>
      </c>
      <c r="F355" s="68">
        <f t="shared" si="669"/>
        <v>3</v>
      </c>
      <c r="G355" s="155" t="s">
        <v>87</v>
      </c>
      <c r="H355" s="155" t="s">
        <v>280</v>
      </c>
      <c r="J355" s="155" t="s">
        <v>333</v>
      </c>
      <c r="K355" s="155" t="s">
        <v>84</v>
      </c>
      <c r="L355" s="155" t="s">
        <v>83</v>
      </c>
      <c r="M355" s="1" t="s">
        <v>957</v>
      </c>
      <c r="N355" s="155" t="s">
        <v>124</v>
      </c>
      <c r="O355" s="155" t="s">
        <v>958</v>
      </c>
      <c r="R355" s="64" t="s">
        <v>959</v>
      </c>
      <c r="Y355" s="156" t="str">
        <f t="shared" si="630"/>
        <v>Unknown</v>
      </c>
      <c r="Z355" s="11" t="str">
        <f t="shared" si="670"/>
        <v/>
      </c>
      <c r="AA355" s="205" t="str">
        <f t="shared" ref="AA355:AA381" si="671">IFERROR(YEAR(Z355)&amp;" - "&amp; IF(LEN( WEEKNUM(Z355))=1,"0" &amp; WEEKNUM(Z355),WEEKNUM(Z355)),"")</f>
        <v/>
      </c>
      <c r="AB355" s="205" t="str">
        <f t="shared" ref="AB355:AB381" si="672">IFERROR(YEAR(Z355),"")</f>
        <v/>
      </c>
    </row>
    <row r="356" spans="2:28" x14ac:dyDescent="0.25">
      <c r="B356" s="65">
        <v>41729</v>
      </c>
      <c r="C356" s="66">
        <v>41729</v>
      </c>
      <c r="D356" s="68">
        <f t="shared" ref="D356:D357" si="673">IF(B356&gt;0,MONTH(B356),"False")</f>
        <v>3</v>
      </c>
      <c r="E356" s="66" t="str">
        <f t="shared" ref="E356:E357" si="674">YEAR(B356) &amp; CHOOSE(D356,"-Jan","-Feb","-Mar","-Apr","-May","-Jun","-Jul","-Aug","-Sep","-Oct","-Nov","-Dec")</f>
        <v>2014-Mar</v>
      </c>
      <c r="F356" s="68">
        <f t="shared" ref="F356:F357" si="675">IF(C356&gt;0,MONTH(C356),"False")</f>
        <v>3</v>
      </c>
      <c r="G356" s="159" t="s">
        <v>121</v>
      </c>
      <c r="H356" s="155" t="s">
        <v>280</v>
      </c>
      <c r="J356" s="155" t="s">
        <v>77</v>
      </c>
      <c r="K356" s="155" t="s">
        <v>82</v>
      </c>
      <c r="L356" s="155" t="s">
        <v>79</v>
      </c>
      <c r="M356" s="1" t="s">
        <v>960</v>
      </c>
      <c r="N356" s="155" t="s">
        <v>124</v>
      </c>
      <c r="O356" s="155" t="s">
        <v>286</v>
      </c>
      <c r="P356" s="64" t="s">
        <v>305</v>
      </c>
      <c r="R356" s="64" t="s">
        <v>961</v>
      </c>
      <c r="S356" s="159" t="s">
        <v>104</v>
      </c>
      <c r="X356" s="159" t="s">
        <v>544</v>
      </c>
      <c r="Y356" s="156" t="str">
        <f t="shared" si="630"/>
        <v>Pass</v>
      </c>
      <c r="Z356" s="11" t="str">
        <f t="shared" si="670"/>
        <v/>
      </c>
      <c r="AA356" s="205" t="str">
        <f t="shared" si="671"/>
        <v/>
      </c>
      <c r="AB356" s="205" t="str">
        <f t="shared" si="672"/>
        <v/>
      </c>
    </row>
    <row r="357" spans="2:28" x14ac:dyDescent="0.25">
      <c r="B357" s="66">
        <v>41730</v>
      </c>
      <c r="C357" s="66">
        <v>41730</v>
      </c>
      <c r="D357" s="68">
        <f t="shared" si="673"/>
        <v>4</v>
      </c>
      <c r="E357" s="66" t="str">
        <f t="shared" si="674"/>
        <v>2014-Apr</v>
      </c>
      <c r="F357" s="68">
        <f t="shared" si="675"/>
        <v>4</v>
      </c>
      <c r="G357" s="170" t="s">
        <v>157</v>
      </c>
      <c r="H357" s="157" t="s">
        <v>166</v>
      </c>
      <c r="J357" s="157" t="s">
        <v>149</v>
      </c>
      <c r="K357" s="157" t="s">
        <v>84</v>
      </c>
      <c r="L357" s="157" t="s">
        <v>79</v>
      </c>
      <c r="M357" s="1" t="s">
        <v>962</v>
      </c>
      <c r="N357" s="157" t="s">
        <v>124</v>
      </c>
      <c r="O357" s="157" t="s">
        <v>156</v>
      </c>
      <c r="R357" s="64" t="s">
        <v>321</v>
      </c>
      <c r="S357" s="170" t="s">
        <v>104</v>
      </c>
      <c r="X357" s="170" t="s">
        <v>155</v>
      </c>
      <c r="Y357" s="159" t="str">
        <f t="shared" si="630"/>
        <v>Pass</v>
      </c>
      <c r="Z357" s="11" t="str">
        <f t="shared" si="670"/>
        <v/>
      </c>
      <c r="AA357" s="205" t="str">
        <f t="shared" si="671"/>
        <v/>
      </c>
      <c r="AB357" s="205" t="str">
        <f t="shared" si="672"/>
        <v/>
      </c>
    </row>
    <row r="358" spans="2:28" x14ac:dyDescent="0.25">
      <c r="B358" s="65">
        <v>41730</v>
      </c>
      <c r="C358" s="66">
        <v>41730</v>
      </c>
      <c r="D358" s="68">
        <f t="shared" ref="D358" si="676">IF(B358&gt;0,MONTH(B358),"False")</f>
        <v>4</v>
      </c>
      <c r="E358" s="66" t="str">
        <f t="shared" ref="E358" si="677">YEAR(B358) &amp; CHOOSE(D358,"-Jan","-Feb","-Mar","-Apr","-May","-Jun","-Jul","-Aug","-Sep","-Oct","-Nov","-Dec")</f>
        <v>2014-Apr</v>
      </c>
      <c r="F358" s="68">
        <f t="shared" ref="F358" si="678">IF(C358&gt;0,MONTH(C358),"False")</f>
        <v>4</v>
      </c>
      <c r="G358" s="159" t="s">
        <v>121</v>
      </c>
      <c r="H358" s="157" t="s">
        <v>103</v>
      </c>
      <c r="J358" s="157" t="s">
        <v>77</v>
      </c>
      <c r="K358" s="157" t="s">
        <v>82</v>
      </c>
      <c r="L358" s="157" t="s">
        <v>79</v>
      </c>
      <c r="M358" s="1" t="s">
        <v>963</v>
      </c>
      <c r="N358" s="157" t="s">
        <v>124</v>
      </c>
      <c r="O358" s="157" t="s">
        <v>265</v>
      </c>
      <c r="P358" s="64" t="s">
        <v>351</v>
      </c>
      <c r="R358" s="64" t="s">
        <v>361</v>
      </c>
      <c r="S358" s="159" t="s">
        <v>104</v>
      </c>
      <c r="T358" s="67" t="s">
        <v>110</v>
      </c>
      <c r="X358" s="159" t="s">
        <v>158</v>
      </c>
      <c r="Y358" s="159" t="str">
        <f t="shared" si="630"/>
        <v>Pass</v>
      </c>
      <c r="Z358" s="11" t="str">
        <f t="shared" si="670"/>
        <v/>
      </c>
      <c r="AA358" s="205" t="str">
        <f t="shared" si="671"/>
        <v/>
      </c>
      <c r="AB358" s="205" t="str">
        <f t="shared" si="672"/>
        <v/>
      </c>
    </row>
    <row r="359" spans="2:28" x14ac:dyDescent="0.25">
      <c r="B359" s="65">
        <v>41731</v>
      </c>
      <c r="C359" s="66">
        <v>41731</v>
      </c>
      <c r="D359" s="68">
        <f t="shared" ref="D359" si="679">IF(B359&gt;0,MONTH(B359),"False")</f>
        <v>4</v>
      </c>
      <c r="E359" s="66" t="str">
        <f t="shared" ref="E359" si="680">YEAR(B359) &amp; CHOOSE(D359,"-Jan","-Feb","-Mar","-Apr","-May","-Jun","-Jul","-Aug","-Sep","-Oct","-Nov","-Dec")</f>
        <v>2014-Apr</v>
      </c>
      <c r="F359" s="68">
        <f t="shared" ref="F359" si="681">IF(C359&gt;0,MONTH(C359),"False")</f>
        <v>4</v>
      </c>
      <c r="G359" s="158" t="s">
        <v>93</v>
      </c>
      <c r="H359" s="158" t="s">
        <v>266</v>
      </c>
      <c r="J359" s="158" t="s">
        <v>275</v>
      </c>
      <c r="K359" s="158" t="s">
        <v>82</v>
      </c>
      <c r="L359" s="158" t="s">
        <v>79</v>
      </c>
      <c r="M359" s="1" t="s">
        <v>964</v>
      </c>
      <c r="N359" s="158" t="s">
        <v>124</v>
      </c>
      <c r="O359" s="158" t="s">
        <v>273</v>
      </c>
      <c r="P359" s="64" t="s">
        <v>600</v>
      </c>
      <c r="R359" s="64" t="s">
        <v>478</v>
      </c>
      <c r="Y359" s="159" t="str">
        <f t="shared" si="630"/>
        <v>Unknown</v>
      </c>
      <c r="Z359" s="11" t="str">
        <f t="shared" si="670"/>
        <v/>
      </c>
      <c r="AA359" s="205" t="str">
        <f t="shared" si="671"/>
        <v/>
      </c>
      <c r="AB359" s="205" t="str">
        <f t="shared" si="672"/>
        <v/>
      </c>
    </row>
    <row r="360" spans="2:28" x14ac:dyDescent="0.25">
      <c r="B360" s="65">
        <v>41731</v>
      </c>
      <c r="C360" s="66">
        <v>41731</v>
      </c>
      <c r="D360" s="68">
        <f t="shared" ref="D360" si="682">IF(B360&gt;0,MONTH(B360),"False")</f>
        <v>4</v>
      </c>
      <c r="E360" s="66" t="str">
        <f t="shared" ref="E360" si="683">YEAR(B360) &amp; CHOOSE(D360,"-Jan","-Feb","-Mar","-Apr","-May","-Jun","-Jul","-Aug","-Sep","-Oct","-Nov","-Dec")</f>
        <v>2014-Apr</v>
      </c>
      <c r="F360" s="68">
        <f t="shared" ref="F360" si="684">IF(C360&gt;0,MONTH(C360),"False")</f>
        <v>4</v>
      </c>
      <c r="G360" s="164" t="s">
        <v>127</v>
      </c>
      <c r="H360" s="158" t="s">
        <v>28</v>
      </c>
      <c r="J360" s="158" t="s">
        <v>77</v>
      </c>
      <c r="K360" s="158" t="s">
        <v>82</v>
      </c>
      <c r="L360" s="158" t="s">
        <v>79</v>
      </c>
      <c r="M360" s="1" t="s">
        <v>965</v>
      </c>
      <c r="N360" s="158" t="s">
        <v>124</v>
      </c>
      <c r="O360" s="158" t="s">
        <v>142</v>
      </c>
      <c r="P360" s="64" t="s">
        <v>334</v>
      </c>
      <c r="R360" s="64" t="s">
        <v>335</v>
      </c>
      <c r="S360" s="164" t="s">
        <v>104</v>
      </c>
      <c r="X360" s="164" t="s">
        <v>153</v>
      </c>
      <c r="Y360" s="159" t="str">
        <f t="shared" si="630"/>
        <v>Pass</v>
      </c>
      <c r="Z360" s="11" t="str">
        <f t="shared" si="670"/>
        <v/>
      </c>
      <c r="AA360" s="205" t="str">
        <f t="shared" si="671"/>
        <v/>
      </c>
      <c r="AB360" s="205" t="str">
        <f t="shared" si="672"/>
        <v/>
      </c>
    </row>
    <row r="361" spans="2:28" x14ac:dyDescent="0.25">
      <c r="B361" s="66">
        <v>41731</v>
      </c>
      <c r="C361" s="66">
        <v>41731</v>
      </c>
      <c r="D361" s="68">
        <f t="shared" ref="D361:D362" si="685">IF(B361&gt;0,MONTH(B361),"False")</f>
        <v>4</v>
      </c>
      <c r="E361" s="66" t="str">
        <f t="shared" ref="E361:E362" si="686">YEAR(B361) &amp; CHOOSE(D361,"-Jan","-Feb","-Mar","-Apr","-May","-Jun","-Jul","-Aug","-Sep","-Oct","-Nov","-Dec")</f>
        <v>2014-Apr</v>
      </c>
      <c r="F361" s="68">
        <f t="shared" ref="F361:F362" si="687">IF(C361&gt;0,MONTH(C361),"False")</f>
        <v>4</v>
      </c>
      <c r="G361" s="159" t="s">
        <v>126</v>
      </c>
      <c r="H361" s="158" t="s">
        <v>280</v>
      </c>
      <c r="J361" s="158" t="s">
        <v>78</v>
      </c>
      <c r="K361" s="158" t="s">
        <v>78</v>
      </c>
      <c r="L361" s="158" t="s">
        <v>79</v>
      </c>
      <c r="M361" s="1" t="s">
        <v>966</v>
      </c>
      <c r="N361" s="158" t="s">
        <v>124</v>
      </c>
      <c r="O361" s="158" t="s">
        <v>138</v>
      </c>
      <c r="R361" s="64" t="s">
        <v>344</v>
      </c>
      <c r="S361" s="159" t="s">
        <v>104</v>
      </c>
      <c r="X361" s="159" t="s">
        <v>544</v>
      </c>
      <c r="Y361" s="159" t="str">
        <f t="shared" si="630"/>
        <v>Pass</v>
      </c>
      <c r="Z361" s="11" t="str">
        <f t="shared" si="670"/>
        <v/>
      </c>
      <c r="AA361" s="205" t="str">
        <f t="shared" si="671"/>
        <v/>
      </c>
      <c r="AB361" s="205" t="str">
        <f t="shared" si="672"/>
        <v/>
      </c>
    </row>
    <row r="362" spans="2:28" x14ac:dyDescent="0.25">
      <c r="B362" s="65">
        <v>41731</v>
      </c>
      <c r="C362" s="66">
        <v>41731</v>
      </c>
      <c r="D362" s="68">
        <f t="shared" si="685"/>
        <v>4</v>
      </c>
      <c r="E362" s="66" t="str">
        <f t="shared" si="686"/>
        <v>2014-Apr</v>
      </c>
      <c r="F362" s="68">
        <f t="shared" si="687"/>
        <v>4</v>
      </c>
      <c r="G362" s="158" t="s">
        <v>93</v>
      </c>
      <c r="H362" s="158" t="s">
        <v>136</v>
      </c>
      <c r="J362" s="158" t="s">
        <v>120</v>
      </c>
      <c r="K362" s="158" t="s">
        <v>82</v>
      </c>
      <c r="L362" s="158" t="s">
        <v>79</v>
      </c>
      <c r="M362" s="1" t="s">
        <v>967</v>
      </c>
      <c r="N362" s="158" t="s">
        <v>124</v>
      </c>
      <c r="O362" s="158" t="s">
        <v>147</v>
      </c>
      <c r="P362" s="64" t="s">
        <v>750</v>
      </c>
      <c r="Q362" s="2" t="s">
        <v>88</v>
      </c>
      <c r="R362" s="64" t="s">
        <v>797</v>
      </c>
      <c r="Y362" s="159" t="str">
        <f t="shared" si="630"/>
        <v>Obsolete</v>
      </c>
      <c r="Z362" s="11">
        <f t="shared" si="670"/>
        <v>41731</v>
      </c>
      <c r="AA362" s="205" t="str">
        <f t="shared" si="671"/>
        <v>2014 - 14</v>
      </c>
      <c r="AB362" s="205">
        <f t="shared" si="672"/>
        <v>2014</v>
      </c>
    </row>
    <row r="363" spans="2:28" x14ac:dyDescent="0.25">
      <c r="B363" s="65">
        <v>41731</v>
      </c>
      <c r="C363" s="66">
        <v>41731</v>
      </c>
      <c r="D363" s="68">
        <f t="shared" ref="D363" si="688">IF(B363&gt;0,MONTH(B363),"False")</f>
        <v>4</v>
      </c>
      <c r="E363" s="66" t="str">
        <f t="shared" ref="E363" si="689">YEAR(B363) &amp; CHOOSE(D363,"-Jan","-Feb","-Mar","-Apr","-May","-Jun","-Jul","-Aug","-Sep","-Oct","-Nov","-Dec")</f>
        <v>2014-Apr</v>
      </c>
      <c r="F363" s="68">
        <f t="shared" ref="F363" si="690">IF(C363&gt;0,MONTH(C363),"False")</f>
        <v>4</v>
      </c>
      <c r="G363" s="158" t="s">
        <v>93</v>
      </c>
      <c r="H363" s="158" t="s">
        <v>136</v>
      </c>
      <c r="I363" s="158"/>
      <c r="J363" s="158" t="s">
        <v>120</v>
      </c>
      <c r="K363" s="158" t="s">
        <v>82</v>
      </c>
      <c r="L363" s="158" t="s">
        <v>79</v>
      </c>
      <c r="M363" s="158" t="s">
        <v>968</v>
      </c>
      <c r="N363" s="158" t="s">
        <v>124</v>
      </c>
      <c r="O363" s="158" t="s">
        <v>114</v>
      </c>
      <c r="P363" s="64" t="s">
        <v>750</v>
      </c>
      <c r="R363" s="64" t="s">
        <v>797</v>
      </c>
      <c r="S363" s="235" t="s">
        <v>104</v>
      </c>
      <c r="Y363" s="159" t="str">
        <f t="shared" si="630"/>
        <v>Pass</v>
      </c>
      <c r="Z363" s="11" t="str">
        <f t="shared" si="670"/>
        <v/>
      </c>
      <c r="AA363" s="205" t="str">
        <f t="shared" si="671"/>
        <v/>
      </c>
      <c r="AB363" s="205" t="str">
        <f t="shared" si="672"/>
        <v/>
      </c>
    </row>
    <row r="364" spans="2:28" x14ac:dyDescent="0.25">
      <c r="B364" s="65">
        <v>41732</v>
      </c>
      <c r="C364" s="66">
        <v>41732</v>
      </c>
      <c r="D364" s="68">
        <f t="shared" ref="D364" si="691">IF(B364&gt;0,MONTH(B364),"False")</f>
        <v>4</v>
      </c>
      <c r="E364" s="66" t="str">
        <f t="shared" ref="E364" si="692">YEAR(B364) &amp; CHOOSE(D364,"-Jan","-Feb","-Mar","-Apr","-May","-Jun","-Jul","-Aug","-Sep","-Oct","-Nov","-Dec")</f>
        <v>2014-Apr</v>
      </c>
      <c r="F364" s="68">
        <f t="shared" ref="F364" si="693">IF(C364&gt;0,MONTH(C364),"False")</f>
        <v>4</v>
      </c>
      <c r="G364" s="159" t="s">
        <v>93</v>
      </c>
      <c r="H364" s="159" t="s">
        <v>136</v>
      </c>
      <c r="J364" s="159" t="s">
        <v>77</v>
      </c>
      <c r="K364" s="159" t="s">
        <v>82</v>
      </c>
      <c r="L364" s="159" t="s">
        <v>79</v>
      </c>
      <c r="M364" s="1" t="s">
        <v>969</v>
      </c>
      <c r="N364" s="159" t="s">
        <v>124</v>
      </c>
      <c r="O364" s="159" t="s">
        <v>114</v>
      </c>
      <c r="P364" s="64" t="s">
        <v>750</v>
      </c>
      <c r="R364" s="64" t="s">
        <v>797</v>
      </c>
      <c r="S364" s="235" t="s">
        <v>104</v>
      </c>
      <c r="Y364" s="159" t="str">
        <f t="shared" si="630"/>
        <v>Pass</v>
      </c>
      <c r="Z364" s="11" t="str">
        <f t="shared" si="670"/>
        <v/>
      </c>
      <c r="AA364" s="205" t="str">
        <f t="shared" si="671"/>
        <v/>
      </c>
      <c r="AB364" s="205" t="str">
        <f t="shared" si="672"/>
        <v/>
      </c>
    </row>
    <row r="365" spans="2:28" x14ac:dyDescent="0.25">
      <c r="B365" s="65">
        <v>41732</v>
      </c>
      <c r="C365" s="66">
        <v>41732</v>
      </c>
      <c r="D365" s="68">
        <f t="shared" ref="D365" si="694">IF(B365&gt;0,MONTH(B365),"False")</f>
        <v>4</v>
      </c>
      <c r="E365" s="66" t="str">
        <f t="shared" ref="E365" si="695">YEAR(B365) &amp; CHOOSE(D365,"-Jan","-Feb","-Mar","-Apr","-May","-Jun","-Jul","-Aug","-Sep","-Oct","-Nov","-Dec")</f>
        <v>2014-Apr</v>
      </c>
      <c r="F365" s="68">
        <f t="shared" ref="F365" si="696">IF(C365&gt;0,MONTH(C365),"False")</f>
        <v>4</v>
      </c>
      <c r="G365" s="159" t="s">
        <v>93</v>
      </c>
      <c r="H365" s="159" t="s">
        <v>136</v>
      </c>
      <c r="I365" s="159"/>
      <c r="J365" s="159" t="s">
        <v>77</v>
      </c>
      <c r="K365" s="159" t="s">
        <v>82</v>
      </c>
      <c r="L365" s="159" t="s">
        <v>79</v>
      </c>
      <c r="M365" s="159" t="s">
        <v>970</v>
      </c>
      <c r="N365" s="159" t="s">
        <v>124</v>
      </c>
      <c r="O365" s="159" t="s">
        <v>114</v>
      </c>
      <c r="P365" s="64" t="s">
        <v>750</v>
      </c>
      <c r="R365" s="64" t="s">
        <v>797</v>
      </c>
      <c r="S365" s="197" t="s">
        <v>104</v>
      </c>
      <c r="Y365" s="159" t="str">
        <f t="shared" si="630"/>
        <v>Pass</v>
      </c>
      <c r="Z365" s="11" t="str">
        <f t="shared" si="670"/>
        <v/>
      </c>
      <c r="AA365" s="205" t="str">
        <f t="shared" si="671"/>
        <v/>
      </c>
      <c r="AB365" s="205" t="str">
        <f t="shared" si="672"/>
        <v/>
      </c>
    </row>
    <row r="366" spans="2:28" x14ac:dyDescent="0.25">
      <c r="B366" s="66">
        <v>41732</v>
      </c>
      <c r="C366" s="66">
        <v>41732</v>
      </c>
      <c r="D366" s="68">
        <f t="shared" ref="D366:D367" si="697">IF(B366&gt;0,MONTH(B366),"False")</f>
        <v>4</v>
      </c>
      <c r="E366" s="66" t="str">
        <f t="shared" ref="E366:E367" si="698">YEAR(B366) &amp; CHOOSE(D366,"-Jan","-Feb","-Mar","-Apr","-May","-Jun","-Jul","-Aug","-Sep","-Oct","-Nov","-Dec")</f>
        <v>2014-Apr</v>
      </c>
      <c r="F366" s="68">
        <f t="shared" ref="F366:F367" si="699">IF(C366&gt;0,MONTH(C366),"False")</f>
        <v>4</v>
      </c>
      <c r="G366" s="159" t="s">
        <v>87</v>
      </c>
      <c r="H366" s="159" t="s">
        <v>166</v>
      </c>
      <c r="J366" s="159" t="s">
        <v>77</v>
      </c>
      <c r="K366" s="159" t="s">
        <v>82</v>
      </c>
      <c r="L366" s="159" t="s">
        <v>79</v>
      </c>
      <c r="M366" s="1" t="s">
        <v>971</v>
      </c>
      <c r="N366" s="159" t="s">
        <v>124</v>
      </c>
      <c r="O366" s="159" t="s">
        <v>147</v>
      </c>
      <c r="R366" s="64" t="s">
        <v>862</v>
      </c>
      <c r="Y366" s="159" t="str">
        <f t="shared" si="630"/>
        <v>Unknown</v>
      </c>
      <c r="Z366" s="11" t="str">
        <f t="shared" si="670"/>
        <v/>
      </c>
      <c r="AA366" s="205" t="str">
        <f t="shared" si="671"/>
        <v/>
      </c>
      <c r="AB366" s="205" t="str">
        <f t="shared" si="672"/>
        <v/>
      </c>
    </row>
    <row r="367" spans="2:28" x14ac:dyDescent="0.25">
      <c r="B367" s="65">
        <v>41732</v>
      </c>
      <c r="C367" s="66">
        <v>41732</v>
      </c>
      <c r="D367" s="68">
        <f t="shared" si="697"/>
        <v>4</v>
      </c>
      <c r="E367" s="66" t="str">
        <f t="shared" si="698"/>
        <v>2014-Apr</v>
      </c>
      <c r="F367" s="68">
        <f t="shared" si="699"/>
        <v>4</v>
      </c>
      <c r="G367" s="159" t="s">
        <v>93</v>
      </c>
      <c r="H367" s="159" t="s">
        <v>136</v>
      </c>
      <c r="I367" s="159"/>
      <c r="J367" s="159" t="s">
        <v>77</v>
      </c>
      <c r="K367" s="159" t="s">
        <v>82</v>
      </c>
      <c r="L367" s="159" t="s">
        <v>79</v>
      </c>
      <c r="M367" s="1" t="s">
        <v>972</v>
      </c>
      <c r="N367" s="159" t="s">
        <v>124</v>
      </c>
      <c r="O367" s="159" t="s">
        <v>147</v>
      </c>
      <c r="P367" s="64" t="s">
        <v>750</v>
      </c>
      <c r="R367" s="64" t="s">
        <v>797</v>
      </c>
      <c r="S367" s="197" t="s">
        <v>104</v>
      </c>
      <c r="T367" s="67" t="s">
        <v>110</v>
      </c>
      <c r="Y367" s="159" t="str">
        <f t="shared" si="630"/>
        <v>Pass</v>
      </c>
      <c r="Z367" s="11" t="str">
        <f t="shared" si="670"/>
        <v/>
      </c>
      <c r="AA367" s="205" t="str">
        <f t="shared" si="671"/>
        <v/>
      </c>
      <c r="AB367" s="205" t="str">
        <f t="shared" si="672"/>
        <v/>
      </c>
    </row>
    <row r="368" spans="2:28" x14ac:dyDescent="0.25">
      <c r="B368" s="66">
        <v>41732</v>
      </c>
      <c r="C368" s="66">
        <v>41732</v>
      </c>
      <c r="D368" s="68">
        <f t="shared" ref="D368:D369" si="700">IF(B368&gt;0,MONTH(B368),"False")</f>
        <v>4</v>
      </c>
      <c r="E368" s="66" t="str">
        <f t="shared" ref="E368:E369" si="701">YEAR(B368) &amp; CHOOSE(D368,"-Jan","-Feb","-Mar","-Apr","-May","-Jun","-Jul","-Aug","-Sep","-Oct","-Nov","-Dec")</f>
        <v>2014-Apr</v>
      </c>
      <c r="F368" s="68">
        <f t="shared" ref="F368:F369" si="702">IF(C368&gt;0,MONTH(C368),"False")</f>
        <v>4</v>
      </c>
      <c r="G368" s="163" t="s">
        <v>126</v>
      </c>
      <c r="H368" s="159" t="s">
        <v>280</v>
      </c>
      <c r="J368" s="159" t="s">
        <v>78</v>
      </c>
      <c r="K368" s="159" t="s">
        <v>78</v>
      </c>
      <c r="L368" s="159" t="s">
        <v>79</v>
      </c>
      <c r="M368" s="1" t="s">
        <v>973</v>
      </c>
      <c r="N368" s="159" t="s">
        <v>124</v>
      </c>
      <c r="O368" s="159" t="s">
        <v>138</v>
      </c>
      <c r="R368" s="64" t="s">
        <v>344</v>
      </c>
      <c r="S368" s="163" t="s">
        <v>104</v>
      </c>
      <c r="X368" s="163" t="s">
        <v>544</v>
      </c>
      <c r="Y368" s="159" t="str">
        <f t="shared" si="630"/>
        <v>Pass</v>
      </c>
      <c r="Z368" s="11" t="str">
        <f t="shared" si="670"/>
        <v/>
      </c>
      <c r="AA368" s="205" t="str">
        <f t="shared" si="671"/>
        <v/>
      </c>
      <c r="AB368" s="205" t="str">
        <f t="shared" si="672"/>
        <v/>
      </c>
    </row>
    <row r="369" spans="2:28" x14ac:dyDescent="0.25">
      <c r="B369" s="65">
        <v>41733</v>
      </c>
      <c r="C369" s="66">
        <v>41733</v>
      </c>
      <c r="D369" s="68">
        <f t="shared" si="700"/>
        <v>4</v>
      </c>
      <c r="E369" s="66" t="str">
        <f t="shared" si="701"/>
        <v>2014-Apr</v>
      </c>
      <c r="F369" s="68">
        <f t="shared" si="702"/>
        <v>4</v>
      </c>
      <c r="G369" s="160" t="s">
        <v>93</v>
      </c>
      <c r="H369" s="160" t="s">
        <v>280</v>
      </c>
      <c r="J369" s="160" t="s">
        <v>81</v>
      </c>
      <c r="K369" s="160" t="s">
        <v>82</v>
      </c>
      <c r="L369" s="160" t="s">
        <v>79</v>
      </c>
      <c r="M369" s="1" t="s">
        <v>974</v>
      </c>
      <c r="N369" s="160" t="s">
        <v>124</v>
      </c>
      <c r="O369" s="160" t="s">
        <v>301</v>
      </c>
      <c r="P369" s="64" t="s">
        <v>305</v>
      </c>
      <c r="R369" s="64" t="s">
        <v>961</v>
      </c>
      <c r="S369" s="291" t="s">
        <v>104</v>
      </c>
      <c r="Y369" s="159" t="str">
        <f t="shared" si="630"/>
        <v>Pass</v>
      </c>
      <c r="Z369" s="11" t="str">
        <f t="shared" si="670"/>
        <v/>
      </c>
      <c r="AA369" s="205" t="str">
        <f t="shared" si="671"/>
        <v/>
      </c>
      <c r="AB369" s="205" t="str">
        <f t="shared" si="672"/>
        <v/>
      </c>
    </row>
    <row r="370" spans="2:28" x14ac:dyDescent="0.25">
      <c r="B370" s="65">
        <v>41733</v>
      </c>
      <c r="C370" s="66">
        <v>41733</v>
      </c>
      <c r="D370" s="68">
        <f t="shared" ref="D370" si="703">IF(B370&gt;0,MONTH(B370),"False")</f>
        <v>4</v>
      </c>
      <c r="E370" s="66" t="str">
        <f t="shared" ref="E370" si="704">YEAR(B370) &amp; CHOOSE(D370,"-Jan","-Feb","-Mar","-Apr","-May","-Jun","-Jul","-Aug","-Sep","-Oct","-Nov","-Dec")</f>
        <v>2014-Apr</v>
      </c>
      <c r="F370" s="68">
        <f t="shared" ref="F370" si="705">IF(C370&gt;0,MONTH(C370),"False")</f>
        <v>4</v>
      </c>
      <c r="G370" s="160" t="s">
        <v>93</v>
      </c>
      <c r="H370" s="160" t="s">
        <v>280</v>
      </c>
      <c r="I370" s="160"/>
      <c r="J370" s="160" t="s">
        <v>98</v>
      </c>
      <c r="K370" s="160" t="s">
        <v>82</v>
      </c>
      <c r="L370" s="160" t="s">
        <v>79</v>
      </c>
      <c r="M370" s="160" t="s">
        <v>975</v>
      </c>
      <c r="N370" s="160" t="s">
        <v>124</v>
      </c>
      <c r="O370" s="160" t="s">
        <v>301</v>
      </c>
      <c r="P370" s="64" t="s">
        <v>305</v>
      </c>
      <c r="Q370" s="2" t="s">
        <v>88</v>
      </c>
      <c r="R370" s="64" t="s">
        <v>961</v>
      </c>
      <c r="T370" s="67" t="s">
        <v>110</v>
      </c>
      <c r="Y370" s="159" t="str">
        <f t="shared" si="630"/>
        <v>Obsolete</v>
      </c>
      <c r="Z370" s="11">
        <f t="shared" si="670"/>
        <v>41733</v>
      </c>
      <c r="AA370" s="205" t="str">
        <f t="shared" si="671"/>
        <v>2014 - 14</v>
      </c>
      <c r="AB370" s="205">
        <f t="shared" si="672"/>
        <v>2014</v>
      </c>
    </row>
    <row r="371" spans="2:28" x14ac:dyDescent="0.25">
      <c r="B371" s="65">
        <v>41733</v>
      </c>
      <c r="C371" s="66">
        <v>41733</v>
      </c>
      <c r="D371" s="68">
        <f t="shared" ref="D371" si="706">IF(B371&gt;0,MONTH(B371),"False")</f>
        <v>4</v>
      </c>
      <c r="E371" s="66" t="str">
        <f t="shared" ref="E371" si="707">YEAR(B371) &amp; CHOOSE(D371,"-Jan","-Feb","-Mar","-Apr","-May","-Jun","-Jul","-Aug","-Sep","-Oct","-Nov","-Dec")</f>
        <v>2014-Apr</v>
      </c>
      <c r="F371" s="68">
        <f t="shared" ref="F371" si="708">IF(C371&gt;0,MONTH(C371),"False")</f>
        <v>4</v>
      </c>
      <c r="G371" s="160" t="s">
        <v>93</v>
      </c>
      <c r="H371" s="160" t="s">
        <v>280</v>
      </c>
      <c r="I371" s="160"/>
      <c r="J371" s="160" t="s">
        <v>98</v>
      </c>
      <c r="K371" s="160" t="s">
        <v>82</v>
      </c>
      <c r="L371" s="160" t="s">
        <v>79</v>
      </c>
      <c r="M371" s="160" t="s">
        <v>976</v>
      </c>
      <c r="N371" s="160" t="s">
        <v>124</v>
      </c>
      <c r="O371" s="160" t="s">
        <v>301</v>
      </c>
      <c r="P371" s="64" t="s">
        <v>305</v>
      </c>
      <c r="Q371" s="2" t="s">
        <v>88</v>
      </c>
      <c r="R371" s="64" t="s">
        <v>961</v>
      </c>
      <c r="Y371" s="159" t="str">
        <f t="shared" si="630"/>
        <v>Obsolete</v>
      </c>
      <c r="Z371" s="11">
        <f t="shared" si="670"/>
        <v>41733</v>
      </c>
      <c r="AA371" s="205" t="str">
        <f t="shared" si="671"/>
        <v>2014 - 14</v>
      </c>
      <c r="AB371" s="205">
        <f t="shared" si="672"/>
        <v>2014</v>
      </c>
    </row>
    <row r="372" spans="2:28" x14ac:dyDescent="0.25">
      <c r="B372" s="65">
        <v>41733</v>
      </c>
      <c r="C372" s="66">
        <v>41733</v>
      </c>
      <c r="D372" s="68">
        <f t="shared" ref="D372" si="709">IF(B372&gt;0,MONTH(B372),"False")</f>
        <v>4</v>
      </c>
      <c r="E372" s="66" t="str">
        <f t="shared" ref="E372" si="710">YEAR(B372) &amp; CHOOSE(D372,"-Jan","-Feb","-Mar","-Apr","-May","-Jun","-Jul","-Aug","-Sep","-Oct","-Nov","-Dec")</f>
        <v>2014-Apr</v>
      </c>
      <c r="F372" s="68">
        <f t="shared" ref="F372" si="711">IF(C372&gt;0,MONTH(C372),"False")</f>
        <v>4</v>
      </c>
      <c r="G372" s="160" t="s">
        <v>93</v>
      </c>
      <c r="H372" s="160" t="s">
        <v>348</v>
      </c>
      <c r="J372" s="160" t="s">
        <v>77</v>
      </c>
      <c r="K372" s="160" t="s">
        <v>82</v>
      </c>
      <c r="L372" s="160" t="s">
        <v>79</v>
      </c>
      <c r="M372" s="1" t="s">
        <v>977</v>
      </c>
      <c r="N372" s="160" t="s">
        <v>124</v>
      </c>
      <c r="O372" s="160" t="s">
        <v>285</v>
      </c>
      <c r="P372" s="64" t="s">
        <v>352</v>
      </c>
      <c r="R372" s="64" t="s">
        <v>626</v>
      </c>
      <c r="S372" s="235" t="s">
        <v>104</v>
      </c>
      <c r="Y372" s="159" t="str">
        <f t="shared" si="630"/>
        <v>Pass</v>
      </c>
      <c r="Z372" s="11" t="str">
        <f t="shared" si="670"/>
        <v/>
      </c>
      <c r="AA372" s="205" t="str">
        <f t="shared" si="671"/>
        <v/>
      </c>
      <c r="AB372" s="205" t="str">
        <f t="shared" si="672"/>
        <v/>
      </c>
    </row>
    <row r="373" spans="2:28" x14ac:dyDescent="0.25">
      <c r="B373" s="66">
        <v>41733</v>
      </c>
      <c r="C373" s="66">
        <v>41733</v>
      </c>
      <c r="D373" s="68">
        <f t="shared" ref="D373:D374" si="712">IF(B373&gt;0,MONTH(B373),"False")</f>
        <v>4</v>
      </c>
      <c r="E373" s="66" t="str">
        <f t="shared" ref="E373:E374" si="713">YEAR(B373) &amp; CHOOSE(D373,"-Jan","-Feb","-Mar","-Apr","-May","-Jun","-Jul","-Aug","-Sep","-Oct","-Nov","-Dec")</f>
        <v>2014-Apr</v>
      </c>
      <c r="F373" s="68">
        <f t="shared" ref="F373:F374" si="714">IF(C373&gt;0,MONTH(C373),"False")</f>
        <v>4</v>
      </c>
      <c r="G373" s="160" t="s">
        <v>87</v>
      </c>
      <c r="H373" s="160" t="s">
        <v>348</v>
      </c>
      <c r="J373" s="160" t="s">
        <v>78</v>
      </c>
      <c r="K373" s="160" t="s">
        <v>78</v>
      </c>
      <c r="L373" s="160" t="s">
        <v>79</v>
      </c>
      <c r="M373" s="1" t="s">
        <v>978</v>
      </c>
      <c r="N373" s="160" t="s">
        <v>124</v>
      </c>
      <c r="O373" s="160" t="s">
        <v>97</v>
      </c>
      <c r="R373" s="64" t="s">
        <v>708</v>
      </c>
      <c r="S373" s="235" t="s">
        <v>104</v>
      </c>
      <c r="Y373" s="159" t="str">
        <f t="shared" si="630"/>
        <v>Pass</v>
      </c>
      <c r="Z373" s="11" t="str">
        <f t="shared" si="670"/>
        <v/>
      </c>
      <c r="AA373" s="205" t="str">
        <f t="shared" si="671"/>
        <v/>
      </c>
      <c r="AB373" s="205" t="str">
        <f t="shared" si="672"/>
        <v/>
      </c>
    </row>
    <row r="374" spans="2:28" x14ac:dyDescent="0.25">
      <c r="B374" s="65">
        <v>41733</v>
      </c>
      <c r="C374" s="66">
        <v>41733</v>
      </c>
      <c r="D374" s="68">
        <f t="shared" si="712"/>
        <v>4</v>
      </c>
      <c r="E374" s="66" t="str">
        <f t="shared" si="713"/>
        <v>2014-Apr</v>
      </c>
      <c r="F374" s="68">
        <f t="shared" si="714"/>
        <v>4</v>
      </c>
      <c r="G374" s="160" t="s">
        <v>93</v>
      </c>
      <c r="H374" s="160" t="s">
        <v>280</v>
      </c>
      <c r="I374" s="160"/>
      <c r="J374" s="160" t="s">
        <v>81</v>
      </c>
      <c r="K374" s="160" t="s">
        <v>82</v>
      </c>
      <c r="L374" s="160" t="s">
        <v>79</v>
      </c>
      <c r="M374" s="160" t="s">
        <v>979</v>
      </c>
      <c r="N374" s="160" t="s">
        <v>124</v>
      </c>
      <c r="O374" s="160" t="s">
        <v>286</v>
      </c>
      <c r="P374" s="64" t="s">
        <v>305</v>
      </c>
      <c r="Q374" s="2" t="s">
        <v>88</v>
      </c>
      <c r="R374" s="64" t="s">
        <v>961</v>
      </c>
      <c r="Y374" s="159" t="str">
        <f t="shared" si="630"/>
        <v>Obsolete</v>
      </c>
      <c r="Z374" s="11">
        <f t="shared" si="670"/>
        <v>41733</v>
      </c>
      <c r="AA374" s="205" t="str">
        <f t="shared" si="671"/>
        <v>2014 - 14</v>
      </c>
      <c r="AB374" s="205">
        <f t="shared" si="672"/>
        <v>2014</v>
      </c>
    </row>
    <row r="375" spans="2:28" x14ac:dyDescent="0.25">
      <c r="B375" s="66">
        <v>41733</v>
      </c>
      <c r="C375" s="66">
        <v>41733</v>
      </c>
      <c r="D375" s="68">
        <f t="shared" ref="D375:D376" si="715">IF(B375&gt;0,MONTH(B375),"False")</f>
        <v>4</v>
      </c>
      <c r="E375" s="66" t="str">
        <f t="shared" ref="E375:E376" si="716">YEAR(B375) &amp; CHOOSE(D375,"-Jan","-Feb","-Mar","-Apr","-May","-Jun","-Jul","-Aug","-Sep","-Oct","-Nov","-Dec")</f>
        <v>2014-Apr</v>
      </c>
      <c r="F375" s="68">
        <f t="shared" ref="F375:F376" si="717">IF(C375&gt;0,MONTH(C375),"False")</f>
        <v>4</v>
      </c>
      <c r="G375" s="160" t="s">
        <v>87</v>
      </c>
      <c r="H375" s="160" t="s">
        <v>166</v>
      </c>
      <c r="J375" s="160" t="s">
        <v>333</v>
      </c>
      <c r="K375" s="160" t="s">
        <v>84</v>
      </c>
      <c r="L375" s="160" t="s">
        <v>83</v>
      </c>
      <c r="M375" s="1" t="s">
        <v>980</v>
      </c>
      <c r="N375" s="160" t="s">
        <v>124</v>
      </c>
      <c r="O375" s="160" t="s">
        <v>958</v>
      </c>
      <c r="R375" s="64" t="s">
        <v>346</v>
      </c>
      <c r="Y375" s="159" t="str">
        <f t="shared" si="630"/>
        <v>Unknown</v>
      </c>
      <c r="Z375" s="11" t="str">
        <f t="shared" si="670"/>
        <v/>
      </c>
      <c r="AA375" s="205" t="str">
        <f t="shared" si="671"/>
        <v/>
      </c>
      <c r="AB375" s="205" t="str">
        <f t="shared" si="672"/>
        <v/>
      </c>
    </row>
    <row r="376" spans="2:28" x14ac:dyDescent="0.25">
      <c r="B376" s="65">
        <v>41734</v>
      </c>
      <c r="C376" s="66">
        <v>41734</v>
      </c>
      <c r="D376" s="68">
        <f t="shared" si="715"/>
        <v>4</v>
      </c>
      <c r="E376" s="66" t="str">
        <f t="shared" si="716"/>
        <v>2014-Apr</v>
      </c>
      <c r="F376" s="68">
        <f t="shared" si="717"/>
        <v>4</v>
      </c>
      <c r="G376" s="191" t="s">
        <v>121</v>
      </c>
      <c r="H376" s="160" t="s">
        <v>166</v>
      </c>
      <c r="J376" s="160" t="s">
        <v>333</v>
      </c>
      <c r="K376" s="160" t="s">
        <v>82</v>
      </c>
      <c r="L376" s="160" t="s">
        <v>83</v>
      </c>
      <c r="M376" s="1" t="s">
        <v>981</v>
      </c>
      <c r="N376" s="160" t="s">
        <v>124</v>
      </c>
      <c r="O376" s="160" t="s">
        <v>116</v>
      </c>
      <c r="P376" s="64" t="s">
        <v>345</v>
      </c>
      <c r="R376" s="64" t="s">
        <v>347</v>
      </c>
      <c r="S376" s="191" t="s">
        <v>104</v>
      </c>
      <c r="X376" s="191" t="s">
        <v>462</v>
      </c>
      <c r="Y376" s="159" t="str">
        <f t="shared" si="630"/>
        <v>Pass</v>
      </c>
      <c r="Z376" s="11" t="str">
        <f t="shared" si="670"/>
        <v/>
      </c>
      <c r="AA376" s="205" t="str">
        <f t="shared" si="671"/>
        <v/>
      </c>
      <c r="AB376" s="205" t="str">
        <f t="shared" si="672"/>
        <v/>
      </c>
    </row>
    <row r="377" spans="2:28" x14ac:dyDescent="0.25">
      <c r="B377" s="65">
        <v>41734</v>
      </c>
      <c r="C377" s="66">
        <v>41736</v>
      </c>
      <c r="D377" s="68">
        <f t="shared" ref="D377:D378" si="718">IF(B377&gt;0,MONTH(B377),"False")</f>
        <v>4</v>
      </c>
      <c r="E377" s="66" t="str">
        <f t="shared" ref="E377:E378" si="719">YEAR(B377) &amp; CHOOSE(D377,"-Jan","-Feb","-Mar","-Apr","-May","-Jun","-Jul","-Aug","-Sep","-Oct","-Nov","-Dec")</f>
        <v>2014-Apr</v>
      </c>
      <c r="F377" s="68">
        <f t="shared" ref="F377:F378" si="720">IF(C377&gt;0,MONTH(C377),"False")</f>
        <v>4</v>
      </c>
      <c r="G377" s="161" t="s">
        <v>93</v>
      </c>
      <c r="H377" s="160" t="s">
        <v>166</v>
      </c>
      <c r="J377" s="160" t="s">
        <v>77</v>
      </c>
      <c r="K377" s="160" t="s">
        <v>82</v>
      </c>
      <c r="L377" s="160" t="s">
        <v>83</v>
      </c>
      <c r="M377" s="1" t="s">
        <v>982</v>
      </c>
      <c r="N377" s="160" t="s">
        <v>124</v>
      </c>
      <c r="O377" s="160" t="s">
        <v>353</v>
      </c>
      <c r="P377" s="64" t="s">
        <v>319</v>
      </c>
      <c r="R377" s="64" t="s">
        <v>320</v>
      </c>
      <c r="S377" s="235" t="s">
        <v>104</v>
      </c>
      <c r="Y377" s="159" t="str">
        <f t="shared" si="630"/>
        <v>Pass</v>
      </c>
      <c r="Z377" s="11" t="str">
        <f t="shared" si="670"/>
        <v/>
      </c>
      <c r="AA377" s="205" t="str">
        <f t="shared" si="671"/>
        <v/>
      </c>
      <c r="AB377" s="205" t="str">
        <f t="shared" si="672"/>
        <v/>
      </c>
    </row>
    <row r="378" spans="2:28" x14ac:dyDescent="0.25">
      <c r="B378" s="66">
        <v>41734</v>
      </c>
      <c r="C378" s="66">
        <v>41734</v>
      </c>
      <c r="D378" s="68">
        <f t="shared" si="718"/>
        <v>4</v>
      </c>
      <c r="E378" s="66" t="str">
        <f t="shared" si="719"/>
        <v>2014-Apr</v>
      </c>
      <c r="F378" s="68">
        <f t="shared" si="720"/>
        <v>4</v>
      </c>
      <c r="G378" s="160" t="s">
        <v>87</v>
      </c>
      <c r="H378" s="160" t="s">
        <v>280</v>
      </c>
      <c r="J378" s="160" t="s">
        <v>333</v>
      </c>
      <c r="K378" s="160" t="s">
        <v>84</v>
      </c>
      <c r="L378" s="160" t="s">
        <v>83</v>
      </c>
      <c r="M378" s="1" t="s">
        <v>983</v>
      </c>
      <c r="N378" s="160" t="s">
        <v>124</v>
      </c>
      <c r="O378" s="160" t="s">
        <v>958</v>
      </c>
      <c r="R378" s="64" t="s">
        <v>984</v>
      </c>
      <c r="T378" s="67" t="s">
        <v>110</v>
      </c>
      <c r="Y378" s="159" t="str">
        <f t="shared" si="630"/>
        <v>Unknown</v>
      </c>
      <c r="Z378" s="11" t="str">
        <f t="shared" si="670"/>
        <v/>
      </c>
      <c r="AA378" s="205" t="str">
        <f t="shared" si="671"/>
        <v/>
      </c>
      <c r="AB378" s="205" t="str">
        <f t="shared" si="672"/>
        <v/>
      </c>
    </row>
    <row r="379" spans="2:28" x14ac:dyDescent="0.25">
      <c r="B379" s="66">
        <v>41734</v>
      </c>
      <c r="C379" s="66">
        <v>41734</v>
      </c>
      <c r="D379" s="68">
        <f t="shared" ref="D379:D380" si="721">IF(B379&gt;0,MONTH(B379),"False")</f>
        <v>4</v>
      </c>
      <c r="E379" s="66" t="str">
        <f t="shared" ref="E379:E380" si="722">YEAR(B379) &amp; CHOOSE(D379,"-Jan","-Feb","-Mar","-Apr","-May","-Jun","-Jul","-Aug","-Sep","-Oct","-Nov","-Dec")</f>
        <v>2014-Apr</v>
      </c>
      <c r="F379" s="68">
        <f t="shared" ref="F379:F380" si="723">IF(C379&gt;0,MONTH(C379),"False")</f>
        <v>4</v>
      </c>
      <c r="G379" s="160" t="s">
        <v>87</v>
      </c>
      <c r="H379" s="160" t="s">
        <v>166</v>
      </c>
      <c r="J379" s="160" t="s">
        <v>146</v>
      </c>
      <c r="K379" s="160" t="s">
        <v>260</v>
      </c>
      <c r="L379" s="160" t="s">
        <v>83</v>
      </c>
      <c r="M379" s="1" t="s">
        <v>985</v>
      </c>
      <c r="N379" s="160" t="s">
        <v>124</v>
      </c>
      <c r="O379" s="160" t="s">
        <v>986</v>
      </c>
      <c r="R379" s="64" t="s">
        <v>894</v>
      </c>
      <c r="Y379" s="159" t="str">
        <f t="shared" si="630"/>
        <v>Unknown</v>
      </c>
      <c r="Z379" s="11" t="str">
        <f t="shared" si="670"/>
        <v/>
      </c>
      <c r="AA379" s="205" t="str">
        <f t="shared" si="671"/>
        <v/>
      </c>
      <c r="AB379" s="205" t="str">
        <f t="shared" si="672"/>
        <v/>
      </c>
    </row>
    <row r="380" spans="2:28" x14ac:dyDescent="0.25">
      <c r="B380" s="65">
        <v>41736</v>
      </c>
      <c r="C380" s="66">
        <v>41736</v>
      </c>
      <c r="D380" s="68">
        <f t="shared" si="721"/>
        <v>4</v>
      </c>
      <c r="E380" s="66" t="str">
        <f t="shared" si="722"/>
        <v>2014-Apr</v>
      </c>
      <c r="F380" s="68">
        <f t="shared" si="723"/>
        <v>4</v>
      </c>
      <c r="G380" s="161" t="s">
        <v>93</v>
      </c>
      <c r="H380" s="161" t="s">
        <v>166</v>
      </c>
      <c r="J380" s="161" t="s">
        <v>146</v>
      </c>
      <c r="K380" s="161" t="s">
        <v>82</v>
      </c>
      <c r="L380" s="161" t="s">
        <v>79</v>
      </c>
      <c r="M380" s="1" t="s">
        <v>987</v>
      </c>
      <c r="N380" s="161" t="s">
        <v>124</v>
      </c>
      <c r="O380" s="161" t="s">
        <v>302</v>
      </c>
      <c r="P380" s="64" t="s">
        <v>485</v>
      </c>
      <c r="R380" s="64" t="s">
        <v>920</v>
      </c>
      <c r="S380" s="198" t="s">
        <v>104</v>
      </c>
      <c r="T380" s="67" t="s">
        <v>110</v>
      </c>
      <c r="Y380" s="159" t="str">
        <f t="shared" si="630"/>
        <v>Pass</v>
      </c>
      <c r="Z380" s="11" t="str">
        <f t="shared" si="670"/>
        <v/>
      </c>
      <c r="AA380" s="205" t="str">
        <f t="shared" si="671"/>
        <v/>
      </c>
      <c r="AB380" s="205" t="str">
        <f t="shared" si="672"/>
        <v/>
      </c>
    </row>
    <row r="381" spans="2:28" x14ac:dyDescent="0.25">
      <c r="B381" s="66">
        <v>41736</v>
      </c>
      <c r="C381" s="66">
        <v>41736</v>
      </c>
      <c r="D381" s="68">
        <f t="shared" ref="D381:D382" si="724">IF(B381&gt;0,MONTH(B381),"False")</f>
        <v>4</v>
      </c>
      <c r="E381" s="66" t="str">
        <f t="shared" ref="E381:E382" si="725">YEAR(B381) &amp; CHOOSE(D381,"-Jan","-Feb","-Mar","-Apr","-May","-Jun","-Jul","-Aug","-Sep","-Oct","-Nov","-Dec")</f>
        <v>2014-Apr</v>
      </c>
      <c r="F381" s="68">
        <f t="shared" ref="F381:F382" si="726">IF(C381&gt;0,MONTH(C381),"False")</f>
        <v>4</v>
      </c>
      <c r="G381" s="161" t="s">
        <v>87</v>
      </c>
      <c r="H381" s="161" t="s">
        <v>166</v>
      </c>
      <c r="J381" s="161" t="s">
        <v>149</v>
      </c>
      <c r="K381" s="161" t="s">
        <v>84</v>
      </c>
      <c r="L381" s="161" t="s">
        <v>83</v>
      </c>
      <c r="M381" s="1" t="s">
        <v>988</v>
      </c>
      <c r="N381" s="161" t="s">
        <v>124</v>
      </c>
      <c r="O381" s="161" t="s">
        <v>148</v>
      </c>
      <c r="R381" s="64" t="s">
        <v>989</v>
      </c>
      <c r="Y381" s="159" t="str">
        <f t="shared" si="630"/>
        <v>Unknown</v>
      </c>
      <c r="Z381" s="11" t="str">
        <f t="shared" si="670"/>
        <v/>
      </c>
      <c r="AA381" s="205" t="str">
        <f t="shared" si="671"/>
        <v/>
      </c>
      <c r="AB381" s="205" t="str">
        <f t="shared" si="672"/>
        <v/>
      </c>
    </row>
    <row r="382" spans="2:28" x14ac:dyDescent="0.25">
      <c r="B382" s="65">
        <v>41736</v>
      </c>
      <c r="C382" s="66">
        <v>41736</v>
      </c>
      <c r="D382" s="68">
        <f t="shared" si="724"/>
        <v>4</v>
      </c>
      <c r="E382" s="66" t="str">
        <f t="shared" si="725"/>
        <v>2014-Apr</v>
      </c>
      <c r="F382" s="68">
        <f t="shared" si="726"/>
        <v>4</v>
      </c>
      <c r="G382" s="161" t="s">
        <v>93</v>
      </c>
      <c r="H382" s="161" t="s">
        <v>28</v>
      </c>
      <c r="J382" s="161" t="s">
        <v>77</v>
      </c>
      <c r="K382" s="161" t="s">
        <v>82</v>
      </c>
      <c r="L382" s="161" t="s">
        <v>79</v>
      </c>
      <c r="M382" s="1" t="s">
        <v>990</v>
      </c>
      <c r="N382" s="161" t="s">
        <v>124</v>
      </c>
      <c r="O382" s="161" t="s">
        <v>142</v>
      </c>
      <c r="P382" s="64" t="s">
        <v>334</v>
      </c>
      <c r="Q382" s="2" t="s">
        <v>88</v>
      </c>
      <c r="R382" s="64" t="s">
        <v>335</v>
      </c>
      <c r="Y382" s="164" t="str">
        <f t="shared" si="630"/>
        <v>Obsolete</v>
      </c>
      <c r="Z382" s="11">
        <f t="shared" si="670"/>
        <v>41736</v>
      </c>
      <c r="AA382" s="205" t="str">
        <f t="shared" ref="AA382:AA440" si="727">IFERROR(YEAR(Z382)&amp;" - "&amp; IF(LEN( WEEKNUM(Z382))=1,"0" &amp; WEEKNUM(Z382),WEEKNUM(Z382)),"")</f>
        <v>2014 - 15</v>
      </c>
      <c r="AB382" s="205">
        <f t="shared" ref="AB382:AB440" si="728">IFERROR(YEAR(Z382),"")</f>
        <v>2014</v>
      </c>
    </row>
    <row r="383" spans="2:28" x14ac:dyDescent="0.25">
      <c r="B383" s="65">
        <v>41736</v>
      </c>
      <c r="C383" s="66">
        <v>41736</v>
      </c>
      <c r="D383" s="68">
        <f t="shared" ref="D383" si="729">IF(B383&gt;0,MONTH(B383),"False")</f>
        <v>4</v>
      </c>
      <c r="E383" s="66" t="str">
        <f t="shared" ref="E383" si="730">YEAR(B383) &amp; CHOOSE(D383,"-Jan","-Feb","-Mar","-Apr","-May","-Jun","-Jul","-Aug","-Sep","-Oct","-Nov","-Dec")</f>
        <v>2014-Apr</v>
      </c>
      <c r="F383" s="68">
        <f t="shared" ref="F383" si="731">IF(C383&gt;0,MONTH(C383),"False")</f>
        <v>4</v>
      </c>
      <c r="G383" s="164" t="s">
        <v>127</v>
      </c>
      <c r="H383" s="161" t="s">
        <v>28</v>
      </c>
      <c r="I383" s="161"/>
      <c r="J383" s="161" t="s">
        <v>77</v>
      </c>
      <c r="K383" s="161" t="s">
        <v>82</v>
      </c>
      <c r="L383" s="161" t="s">
        <v>79</v>
      </c>
      <c r="M383" s="161" t="s">
        <v>991</v>
      </c>
      <c r="N383" s="161" t="s">
        <v>124</v>
      </c>
      <c r="O383" s="161" t="s">
        <v>142</v>
      </c>
      <c r="P383" s="64" t="s">
        <v>334</v>
      </c>
      <c r="R383" s="64" t="s">
        <v>335</v>
      </c>
      <c r="S383" s="164" t="s">
        <v>104</v>
      </c>
      <c r="X383" s="164" t="s">
        <v>155</v>
      </c>
      <c r="Y383" s="164" t="str">
        <f t="shared" si="630"/>
        <v>Pass</v>
      </c>
      <c r="Z383" s="11" t="str">
        <f t="shared" si="670"/>
        <v/>
      </c>
      <c r="AA383" s="205" t="str">
        <f t="shared" si="727"/>
        <v/>
      </c>
      <c r="AB383" s="205" t="str">
        <f t="shared" si="728"/>
        <v/>
      </c>
    </row>
    <row r="384" spans="2:28" x14ac:dyDescent="0.25">
      <c r="B384" s="65">
        <v>41736</v>
      </c>
      <c r="C384" s="66">
        <v>41736</v>
      </c>
      <c r="D384" s="68">
        <f t="shared" ref="D384" si="732">IF(B384&gt;0,MONTH(B384),"False")</f>
        <v>4</v>
      </c>
      <c r="E384" s="66" t="str">
        <f t="shared" ref="E384" si="733">YEAR(B384) &amp; CHOOSE(D384,"-Jan","-Feb","-Mar","-Apr","-May","-Jun","-Jul","-Aug","-Sep","-Oct","-Nov","-Dec")</f>
        <v>2014-Apr</v>
      </c>
      <c r="F384" s="68">
        <f t="shared" ref="F384" si="734">IF(C384&gt;0,MONTH(C384),"False")</f>
        <v>4</v>
      </c>
      <c r="G384" s="164" t="s">
        <v>127</v>
      </c>
      <c r="H384" s="161" t="s">
        <v>28</v>
      </c>
      <c r="I384" s="161"/>
      <c r="J384" s="161" t="s">
        <v>77</v>
      </c>
      <c r="K384" s="161" t="s">
        <v>82</v>
      </c>
      <c r="L384" s="161" t="s">
        <v>79</v>
      </c>
      <c r="M384" s="161" t="s">
        <v>992</v>
      </c>
      <c r="N384" s="161" t="s">
        <v>124</v>
      </c>
      <c r="O384" s="161" t="s">
        <v>142</v>
      </c>
      <c r="P384" s="64" t="s">
        <v>334</v>
      </c>
      <c r="R384" s="64" t="s">
        <v>335</v>
      </c>
      <c r="S384" s="164" t="s">
        <v>104</v>
      </c>
      <c r="X384" s="164" t="s">
        <v>284</v>
      </c>
      <c r="Y384" s="164" t="str">
        <f t="shared" si="630"/>
        <v>Pass</v>
      </c>
      <c r="Z384" s="11" t="str">
        <f t="shared" si="670"/>
        <v/>
      </c>
      <c r="AA384" s="205" t="str">
        <f t="shared" si="727"/>
        <v/>
      </c>
      <c r="AB384" s="205" t="str">
        <f t="shared" si="728"/>
        <v/>
      </c>
    </row>
    <row r="385" spans="2:28" x14ac:dyDescent="0.25">
      <c r="B385" s="65">
        <v>41736</v>
      </c>
      <c r="C385" s="66">
        <v>41736</v>
      </c>
      <c r="D385" s="68">
        <f t="shared" ref="D385" si="735">IF(B385&gt;0,MONTH(B385),"False")</f>
        <v>4</v>
      </c>
      <c r="E385" s="66" t="str">
        <f t="shared" ref="E385" si="736">YEAR(B385) &amp; CHOOSE(D385,"-Jan","-Feb","-Mar","-Apr","-May","-Jun","-Jul","-Aug","-Sep","-Oct","-Nov","-Dec")</f>
        <v>2014-Apr</v>
      </c>
      <c r="F385" s="68">
        <f t="shared" ref="F385" si="737">IF(C385&gt;0,MONTH(C385),"False")</f>
        <v>4</v>
      </c>
      <c r="G385" s="161" t="s">
        <v>93</v>
      </c>
      <c r="H385" s="161" t="s">
        <v>166</v>
      </c>
      <c r="J385" s="161" t="s">
        <v>77</v>
      </c>
      <c r="K385" s="161" t="s">
        <v>82</v>
      </c>
      <c r="L385" s="161" t="s">
        <v>79</v>
      </c>
      <c r="M385" s="1" t="s">
        <v>993</v>
      </c>
      <c r="N385" s="161" t="s">
        <v>124</v>
      </c>
      <c r="O385" s="161" t="s">
        <v>353</v>
      </c>
      <c r="P385" s="64" t="s">
        <v>319</v>
      </c>
      <c r="R385" s="64" t="s">
        <v>320</v>
      </c>
      <c r="S385" s="235" t="s">
        <v>104</v>
      </c>
      <c r="Y385" s="164" t="str">
        <f t="shared" si="630"/>
        <v>Pass</v>
      </c>
      <c r="Z385" s="11" t="str">
        <f t="shared" si="670"/>
        <v/>
      </c>
      <c r="AA385" s="205" t="str">
        <f t="shared" si="727"/>
        <v/>
      </c>
      <c r="AB385" s="205" t="str">
        <f t="shared" si="728"/>
        <v/>
      </c>
    </row>
    <row r="386" spans="2:28" x14ac:dyDescent="0.25">
      <c r="B386" s="65">
        <v>41736</v>
      </c>
      <c r="C386" s="66">
        <v>41736</v>
      </c>
      <c r="D386" s="68">
        <f t="shared" ref="D386" si="738">IF(B386&gt;0,MONTH(B386),"False")</f>
        <v>4</v>
      </c>
      <c r="E386" s="66" t="str">
        <f t="shared" ref="E386" si="739">YEAR(B386) &amp; CHOOSE(D386,"-Jan","-Feb","-Mar","-Apr","-May","-Jun","-Jul","-Aug","-Sep","-Oct","-Nov","-Dec")</f>
        <v>2014-Apr</v>
      </c>
      <c r="F386" s="68">
        <f t="shared" ref="F386" si="740">IF(C386&gt;0,MONTH(C386),"False")</f>
        <v>4</v>
      </c>
      <c r="G386" s="161" t="s">
        <v>93</v>
      </c>
      <c r="H386" s="161" t="s">
        <v>280</v>
      </c>
      <c r="J386" s="161" t="s">
        <v>98</v>
      </c>
      <c r="K386" s="161" t="s">
        <v>82</v>
      </c>
      <c r="L386" s="161" t="s">
        <v>79</v>
      </c>
      <c r="M386" s="1" t="s">
        <v>994</v>
      </c>
      <c r="N386" s="161" t="s">
        <v>124</v>
      </c>
      <c r="O386" s="161" t="s">
        <v>301</v>
      </c>
      <c r="P386" s="64" t="s">
        <v>642</v>
      </c>
      <c r="Q386" s="2" t="s">
        <v>88</v>
      </c>
      <c r="R386" s="64" t="s">
        <v>996</v>
      </c>
      <c r="Y386" s="164" t="str">
        <f t="shared" si="630"/>
        <v>Obsolete</v>
      </c>
      <c r="Z386" s="11">
        <f t="shared" si="670"/>
        <v>41736</v>
      </c>
      <c r="AA386" s="205" t="str">
        <f t="shared" si="727"/>
        <v>2014 - 15</v>
      </c>
      <c r="AB386" s="205">
        <f t="shared" si="728"/>
        <v>2014</v>
      </c>
    </row>
    <row r="387" spans="2:28" x14ac:dyDescent="0.25">
      <c r="B387" s="65">
        <v>41736</v>
      </c>
      <c r="C387" s="66">
        <v>41736</v>
      </c>
      <c r="D387" s="68">
        <f t="shared" ref="D387:D388" si="741">IF(B387&gt;0,MONTH(B387),"False")</f>
        <v>4</v>
      </c>
      <c r="E387" s="66" t="str">
        <f t="shared" ref="E387:E388" si="742">YEAR(B387) &amp; CHOOSE(D387,"-Jan","-Feb","-Mar","-Apr","-May","-Jun","-Jul","-Aug","-Sep","-Oct","-Nov","-Dec")</f>
        <v>2014-Apr</v>
      </c>
      <c r="F387" s="68">
        <f t="shared" ref="F387:F388" si="743">IF(C387&gt;0,MONTH(C387),"False")</f>
        <v>4</v>
      </c>
      <c r="G387" s="161" t="s">
        <v>93</v>
      </c>
      <c r="H387" s="161" t="s">
        <v>280</v>
      </c>
      <c r="I387" s="161"/>
      <c r="J387" s="161" t="s">
        <v>98</v>
      </c>
      <c r="K387" s="161" t="s">
        <v>82</v>
      </c>
      <c r="L387" s="161" t="s">
        <v>79</v>
      </c>
      <c r="M387" s="1" t="s">
        <v>995</v>
      </c>
      <c r="N387" s="161" t="s">
        <v>124</v>
      </c>
      <c r="O387" s="161" t="s">
        <v>301</v>
      </c>
      <c r="P387" s="64" t="s">
        <v>642</v>
      </c>
      <c r="Q387" s="2" t="s">
        <v>88</v>
      </c>
      <c r="R387" s="64" t="s">
        <v>996</v>
      </c>
      <c r="Y387" s="164" t="str">
        <f t="shared" si="630"/>
        <v>Obsolete</v>
      </c>
      <c r="Z387" s="11">
        <f t="shared" si="670"/>
        <v>41736</v>
      </c>
      <c r="AA387" s="205" t="str">
        <f t="shared" si="727"/>
        <v>2014 - 15</v>
      </c>
      <c r="AB387" s="205">
        <f t="shared" si="728"/>
        <v>2014</v>
      </c>
    </row>
    <row r="388" spans="2:28" x14ac:dyDescent="0.25">
      <c r="B388" s="66">
        <v>41736</v>
      </c>
      <c r="C388" s="66">
        <v>41736</v>
      </c>
      <c r="D388" s="68">
        <f t="shared" si="741"/>
        <v>4</v>
      </c>
      <c r="E388" s="66" t="str">
        <f t="shared" si="742"/>
        <v>2014-Apr</v>
      </c>
      <c r="F388" s="68">
        <f t="shared" si="743"/>
        <v>4</v>
      </c>
      <c r="G388" s="161" t="s">
        <v>87</v>
      </c>
      <c r="H388" s="161" t="s">
        <v>166</v>
      </c>
      <c r="J388" s="161" t="s">
        <v>149</v>
      </c>
      <c r="K388" s="161" t="s">
        <v>84</v>
      </c>
      <c r="L388" s="161" t="s">
        <v>83</v>
      </c>
      <c r="M388" s="1" t="s">
        <v>997</v>
      </c>
      <c r="N388" s="161" t="s">
        <v>124</v>
      </c>
      <c r="O388" s="161" t="s">
        <v>156</v>
      </c>
      <c r="R388" s="64" t="s">
        <v>859</v>
      </c>
      <c r="Y388" s="164" t="str">
        <f t="shared" si="630"/>
        <v>Unknown</v>
      </c>
      <c r="Z388" s="11" t="str">
        <f t="shared" si="670"/>
        <v/>
      </c>
      <c r="AA388" s="205" t="str">
        <f t="shared" si="727"/>
        <v/>
      </c>
      <c r="AB388" s="205" t="str">
        <f t="shared" si="728"/>
        <v/>
      </c>
    </row>
    <row r="389" spans="2:28" x14ac:dyDescent="0.25">
      <c r="B389" s="66">
        <v>41738</v>
      </c>
      <c r="C389" s="66">
        <v>41738</v>
      </c>
      <c r="D389" s="68">
        <f t="shared" ref="D389:D390" si="744">IF(B389&gt;0,MONTH(B389),"False")</f>
        <v>4</v>
      </c>
      <c r="E389" s="66" t="str">
        <f t="shared" ref="E389:E390" si="745">YEAR(B389) &amp; CHOOSE(D389,"-Jan","-Feb","-Mar","-Apr","-May","-Jun","-Jul","-Aug","-Sep","-Oct","-Nov","-Dec")</f>
        <v>2014-Apr</v>
      </c>
      <c r="F389" s="68">
        <f t="shared" ref="F389:F390" si="746">IF(C389&gt;0,MONTH(C389),"False")</f>
        <v>4</v>
      </c>
      <c r="G389" s="163" t="s">
        <v>87</v>
      </c>
      <c r="H389" s="163" t="s">
        <v>166</v>
      </c>
      <c r="J389" s="163" t="s">
        <v>150</v>
      </c>
      <c r="K389" s="163" t="s">
        <v>84</v>
      </c>
      <c r="L389" s="163" t="s">
        <v>83</v>
      </c>
      <c r="M389" s="1" t="s">
        <v>998</v>
      </c>
      <c r="N389" s="163" t="s">
        <v>124</v>
      </c>
      <c r="O389" s="163" t="s">
        <v>156</v>
      </c>
      <c r="R389" s="64" t="s">
        <v>854</v>
      </c>
      <c r="Y389" s="164" t="str">
        <f t="shared" si="630"/>
        <v>Unknown</v>
      </c>
      <c r="Z389" s="11" t="str">
        <f t="shared" si="670"/>
        <v/>
      </c>
      <c r="AA389" s="205" t="str">
        <f t="shared" si="727"/>
        <v/>
      </c>
      <c r="AB389" s="205" t="str">
        <f t="shared" si="728"/>
        <v/>
      </c>
    </row>
    <row r="390" spans="2:28" x14ac:dyDescent="0.25">
      <c r="B390" s="65">
        <v>41738</v>
      </c>
      <c r="C390" s="66">
        <v>41738</v>
      </c>
      <c r="D390" s="68">
        <f t="shared" si="744"/>
        <v>4</v>
      </c>
      <c r="E390" s="66" t="str">
        <f t="shared" si="745"/>
        <v>2014-Apr</v>
      </c>
      <c r="F390" s="68">
        <f t="shared" si="746"/>
        <v>4</v>
      </c>
      <c r="G390" s="163" t="s">
        <v>93</v>
      </c>
      <c r="H390" s="163" t="s">
        <v>136</v>
      </c>
      <c r="J390" s="163" t="s">
        <v>119</v>
      </c>
      <c r="K390" s="163" t="s">
        <v>119</v>
      </c>
      <c r="L390" s="163" t="s">
        <v>83</v>
      </c>
      <c r="M390" s="1" t="s">
        <v>999</v>
      </c>
      <c r="N390" s="163" t="s">
        <v>124</v>
      </c>
      <c r="O390" s="163" t="s">
        <v>507</v>
      </c>
      <c r="P390" s="64" t="s">
        <v>784</v>
      </c>
      <c r="Q390" s="2" t="s">
        <v>88</v>
      </c>
      <c r="R390" s="64" t="s">
        <v>785</v>
      </c>
      <c r="Y390" s="164" t="str">
        <f t="shared" si="630"/>
        <v>Obsolete</v>
      </c>
      <c r="Z390" s="11">
        <f t="shared" si="670"/>
        <v>41738</v>
      </c>
      <c r="AA390" s="205" t="str">
        <f t="shared" si="727"/>
        <v>2014 - 15</v>
      </c>
      <c r="AB390" s="205">
        <f t="shared" si="728"/>
        <v>2014</v>
      </c>
    </row>
    <row r="391" spans="2:28" x14ac:dyDescent="0.25">
      <c r="B391" s="65">
        <v>41738</v>
      </c>
      <c r="C391" s="66">
        <v>41740</v>
      </c>
      <c r="D391" s="68">
        <f t="shared" ref="D391" si="747">IF(B391&gt;0,MONTH(B391),"False")</f>
        <v>4</v>
      </c>
      <c r="E391" s="66" t="str">
        <f t="shared" ref="E391" si="748">YEAR(B391) &amp; CHOOSE(D391,"-Jan","-Feb","-Mar","-Apr","-May","-Jun","-Jul","-Aug","-Sep","-Oct","-Nov","-Dec")</f>
        <v>2014-Apr</v>
      </c>
      <c r="F391" s="68">
        <f t="shared" ref="F391" si="749">IF(C391&gt;0,MONTH(C391),"False")</f>
        <v>4</v>
      </c>
      <c r="G391" s="164" t="s">
        <v>93</v>
      </c>
      <c r="H391" s="163" t="s">
        <v>136</v>
      </c>
      <c r="J391" s="163" t="s">
        <v>98</v>
      </c>
      <c r="K391" s="163" t="s">
        <v>82</v>
      </c>
      <c r="L391" s="163" t="s">
        <v>79</v>
      </c>
      <c r="M391" s="1" t="s">
        <v>1000</v>
      </c>
      <c r="N391" s="163" t="s">
        <v>124</v>
      </c>
      <c r="O391" s="163" t="s">
        <v>285</v>
      </c>
      <c r="P391" s="64" t="s">
        <v>1001</v>
      </c>
      <c r="R391" s="64" t="s">
        <v>1012</v>
      </c>
      <c r="Y391" s="164" t="str">
        <f t="shared" si="630"/>
        <v>Unknown</v>
      </c>
      <c r="Z391" s="11" t="str">
        <f t="shared" si="670"/>
        <v/>
      </c>
      <c r="AA391" s="205" t="str">
        <f t="shared" si="727"/>
        <v/>
      </c>
      <c r="AB391" s="205" t="str">
        <f t="shared" si="728"/>
        <v/>
      </c>
    </row>
    <row r="392" spans="2:28" x14ac:dyDescent="0.25">
      <c r="B392" s="65">
        <v>41738</v>
      </c>
      <c r="C392" s="66"/>
      <c r="D392" s="68">
        <f t="shared" ref="D392:D393" si="750">IF(B392&gt;0,MONTH(B392),"False")</f>
        <v>4</v>
      </c>
      <c r="E392" s="66" t="str">
        <f t="shared" ref="E392:E393" si="751">YEAR(B392) &amp; CHOOSE(D392,"-Jan","-Feb","-Mar","-Apr","-May","-Jun","-Jul","-Aug","-Sep","-Oct","-Nov","-Dec")</f>
        <v>2014-Apr</v>
      </c>
      <c r="F392" s="68" t="str">
        <f t="shared" ref="F392:F393" si="752">IF(C392&gt;0,MONTH(C392),"False")</f>
        <v>False</v>
      </c>
      <c r="G392" s="163" t="s">
        <v>75</v>
      </c>
      <c r="H392" s="163" t="s">
        <v>166</v>
      </c>
      <c r="J392" s="163" t="s">
        <v>333</v>
      </c>
      <c r="K392" s="163" t="s">
        <v>82</v>
      </c>
      <c r="L392" s="163" t="s">
        <v>79</v>
      </c>
      <c r="M392" s="1" t="s">
        <v>1002</v>
      </c>
      <c r="N392" s="163" t="s">
        <v>124</v>
      </c>
      <c r="O392" s="163" t="s">
        <v>116</v>
      </c>
      <c r="P392" s="64" t="s">
        <v>345</v>
      </c>
      <c r="Q392" s="2" t="s">
        <v>88</v>
      </c>
      <c r="Y392" s="164" t="str">
        <f t="shared" si="630"/>
        <v>Obsolete</v>
      </c>
      <c r="Z392" s="11">
        <f t="shared" si="670"/>
        <v>0</v>
      </c>
      <c r="AA392" s="205" t="str">
        <f t="shared" si="727"/>
        <v>1900 - 00</v>
      </c>
      <c r="AB392" s="205">
        <f t="shared" si="728"/>
        <v>1900</v>
      </c>
    </row>
    <row r="393" spans="2:28" x14ac:dyDescent="0.25">
      <c r="B393" s="66">
        <v>41738</v>
      </c>
      <c r="C393" s="66">
        <v>41738</v>
      </c>
      <c r="D393" s="68">
        <f t="shared" si="750"/>
        <v>4</v>
      </c>
      <c r="E393" s="66" t="str">
        <f t="shared" si="751"/>
        <v>2014-Apr</v>
      </c>
      <c r="F393" s="68">
        <f t="shared" si="752"/>
        <v>4</v>
      </c>
      <c r="G393" s="163" t="s">
        <v>87</v>
      </c>
      <c r="H393" s="163" t="s">
        <v>166</v>
      </c>
      <c r="J393" s="163" t="s">
        <v>77</v>
      </c>
      <c r="K393" s="163" t="s">
        <v>82</v>
      </c>
      <c r="L393" s="163" t="s">
        <v>83</v>
      </c>
      <c r="M393" s="1" t="s">
        <v>1003</v>
      </c>
      <c r="N393" s="163" t="s">
        <v>124</v>
      </c>
      <c r="O393" s="163" t="s">
        <v>353</v>
      </c>
      <c r="R393" s="64" t="s">
        <v>862</v>
      </c>
      <c r="Y393" s="164" t="str">
        <f t="shared" si="630"/>
        <v>Unknown</v>
      </c>
      <c r="Z393" s="11" t="str">
        <f t="shared" si="670"/>
        <v/>
      </c>
      <c r="AA393" s="205" t="str">
        <f t="shared" si="727"/>
        <v/>
      </c>
      <c r="AB393" s="205" t="str">
        <f t="shared" si="728"/>
        <v/>
      </c>
    </row>
    <row r="394" spans="2:28" x14ac:dyDescent="0.25">
      <c r="B394" s="66">
        <v>41738</v>
      </c>
      <c r="C394" s="66">
        <v>41738</v>
      </c>
      <c r="D394" s="68">
        <f t="shared" ref="D394:D395" si="753">IF(B394&gt;0,MONTH(B394),"False")</f>
        <v>4</v>
      </c>
      <c r="E394" s="66" t="str">
        <f t="shared" ref="E394:E395" si="754">YEAR(B394) &amp; CHOOSE(D394,"-Jan","-Feb","-Mar","-Apr","-May","-Jun","-Jul","-Aug","-Sep","-Oct","-Nov","-Dec")</f>
        <v>2014-Apr</v>
      </c>
      <c r="F394" s="68">
        <f t="shared" ref="F394:F395" si="755">IF(C394&gt;0,MONTH(C394),"False")</f>
        <v>4</v>
      </c>
      <c r="G394" s="163" t="s">
        <v>87</v>
      </c>
      <c r="H394" s="163" t="s">
        <v>166</v>
      </c>
      <c r="J394" s="163" t="s">
        <v>146</v>
      </c>
      <c r="K394" s="163" t="s">
        <v>260</v>
      </c>
      <c r="L394" s="163" t="s">
        <v>79</v>
      </c>
      <c r="M394" s="1" t="s">
        <v>1004</v>
      </c>
      <c r="N394" s="163" t="s">
        <v>124</v>
      </c>
      <c r="O394" s="163" t="s">
        <v>148</v>
      </c>
      <c r="Q394" s="2" t="s">
        <v>88</v>
      </c>
      <c r="R394" s="64" t="s">
        <v>894</v>
      </c>
      <c r="Y394" s="164" t="str">
        <f t="shared" si="630"/>
        <v>Obsolete</v>
      </c>
      <c r="Z394" s="11">
        <f t="shared" si="670"/>
        <v>41738</v>
      </c>
      <c r="AA394" s="205" t="str">
        <f t="shared" si="727"/>
        <v>2014 - 15</v>
      </c>
      <c r="AB394" s="205">
        <f t="shared" si="728"/>
        <v>2014</v>
      </c>
    </row>
    <row r="395" spans="2:28" x14ac:dyDescent="0.25">
      <c r="B395" s="65">
        <v>41738</v>
      </c>
      <c r="C395" s="66">
        <v>41738</v>
      </c>
      <c r="D395" s="68">
        <f t="shared" si="753"/>
        <v>4</v>
      </c>
      <c r="E395" s="66" t="str">
        <f t="shared" si="754"/>
        <v>2014-Apr</v>
      </c>
      <c r="F395" s="68">
        <f t="shared" si="755"/>
        <v>4</v>
      </c>
      <c r="G395" s="163" t="s">
        <v>93</v>
      </c>
      <c r="H395" s="163" t="s">
        <v>166</v>
      </c>
      <c r="J395" s="163" t="s">
        <v>146</v>
      </c>
      <c r="K395" s="163" t="s">
        <v>82</v>
      </c>
      <c r="L395" s="163" t="s">
        <v>79</v>
      </c>
      <c r="M395" s="1" t="s">
        <v>1005</v>
      </c>
      <c r="N395" s="163" t="s">
        <v>124</v>
      </c>
      <c r="O395" s="163" t="s">
        <v>302</v>
      </c>
      <c r="P395" s="64" t="s">
        <v>485</v>
      </c>
      <c r="R395" s="64" t="s">
        <v>920</v>
      </c>
      <c r="S395" s="198" t="s">
        <v>104</v>
      </c>
      <c r="Y395" s="164" t="str">
        <f t="shared" si="630"/>
        <v>Pass</v>
      </c>
      <c r="Z395" s="11" t="str">
        <f t="shared" si="670"/>
        <v/>
      </c>
      <c r="AA395" s="205" t="str">
        <f t="shared" si="727"/>
        <v/>
      </c>
      <c r="AB395" s="205" t="str">
        <f t="shared" si="728"/>
        <v/>
      </c>
    </row>
    <row r="396" spans="2:28" x14ac:dyDescent="0.25">
      <c r="B396" s="66">
        <v>41738</v>
      </c>
      <c r="C396" s="66">
        <v>41738</v>
      </c>
      <c r="D396" s="68">
        <f t="shared" ref="D396:D397" si="756">IF(B396&gt;0,MONTH(B396),"False")</f>
        <v>4</v>
      </c>
      <c r="E396" s="66" t="str">
        <f t="shared" ref="E396:E397" si="757">YEAR(B396) &amp; CHOOSE(D396,"-Jan","-Feb","-Mar","-Apr","-May","-Jun","-Jul","-Aug","-Sep","-Oct","-Nov","-Dec")</f>
        <v>2014-Apr</v>
      </c>
      <c r="F396" s="68">
        <f t="shared" ref="F396:F397" si="758">IF(C396&gt;0,MONTH(C396),"False")</f>
        <v>4</v>
      </c>
      <c r="G396" s="163" t="s">
        <v>87</v>
      </c>
      <c r="H396" s="163" t="s">
        <v>136</v>
      </c>
      <c r="J396" s="163" t="s">
        <v>150</v>
      </c>
      <c r="K396" s="163" t="s">
        <v>84</v>
      </c>
      <c r="L396" s="163" t="s">
        <v>83</v>
      </c>
      <c r="M396" s="1" t="s">
        <v>1006</v>
      </c>
      <c r="N396" s="163" t="s">
        <v>124</v>
      </c>
      <c r="O396" s="163" t="s">
        <v>156</v>
      </c>
      <c r="R396" s="64" t="s">
        <v>1007</v>
      </c>
      <c r="Y396" s="164" t="str">
        <f t="shared" ref="Y396:Y459" si="759">IF(Q396&gt;0,"Obsolete",IF(S396&gt;0,S396,"Unknown"))</f>
        <v>Unknown</v>
      </c>
      <c r="Z396" s="11" t="str">
        <f t="shared" si="670"/>
        <v/>
      </c>
      <c r="AA396" s="205" t="str">
        <f t="shared" si="727"/>
        <v/>
      </c>
      <c r="AB396" s="205" t="str">
        <f t="shared" si="728"/>
        <v/>
      </c>
    </row>
    <row r="397" spans="2:28" x14ac:dyDescent="0.25">
      <c r="B397" s="65">
        <v>41738</v>
      </c>
      <c r="C397" s="66">
        <v>41738</v>
      </c>
      <c r="D397" s="68">
        <f t="shared" si="756"/>
        <v>4</v>
      </c>
      <c r="E397" s="66" t="str">
        <f t="shared" si="757"/>
        <v>2014-Apr</v>
      </c>
      <c r="F397" s="68">
        <f t="shared" si="758"/>
        <v>4</v>
      </c>
      <c r="G397" s="163" t="s">
        <v>93</v>
      </c>
      <c r="H397" s="163" t="s">
        <v>280</v>
      </c>
      <c r="J397" s="163" t="s">
        <v>81</v>
      </c>
      <c r="K397" s="163" t="s">
        <v>82</v>
      </c>
      <c r="L397" s="163" t="s">
        <v>79</v>
      </c>
      <c r="M397" s="1" t="s">
        <v>1008</v>
      </c>
      <c r="N397" s="163" t="s">
        <v>124</v>
      </c>
      <c r="O397" s="163" t="s">
        <v>286</v>
      </c>
      <c r="P397" s="64" t="s">
        <v>996</v>
      </c>
      <c r="R397" s="64" t="s">
        <v>305</v>
      </c>
      <c r="S397" s="305" t="s">
        <v>104</v>
      </c>
      <c r="Y397" s="164" t="str">
        <f t="shared" si="759"/>
        <v>Pass</v>
      </c>
      <c r="Z397" s="11" t="str">
        <f t="shared" si="670"/>
        <v/>
      </c>
      <c r="AA397" s="205" t="str">
        <f t="shared" si="727"/>
        <v/>
      </c>
      <c r="AB397" s="205" t="str">
        <f t="shared" si="728"/>
        <v/>
      </c>
    </row>
    <row r="398" spans="2:28" x14ac:dyDescent="0.25">
      <c r="B398" s="66">
        <v>41738</v>
      </c>
      <c r="C398" s="66">
        <v>41738</v>
      </c>
      <c r="D398" s="68">
        <f t="shared" ref="D398:D399" si="760">IF(B398&gt;0,MONTH(B398),"False")</f>
        <v>4</v>
      </c>
      <c r="E398" s="66" t="str">
        <f t="shared" ref="E398:E399" si="761">YEAR(B398) &amp; CHOOSE(D398,"-Jan","-Feb","-Mar","-Apr","-May","-Jun","-Jul","-Aug","-Sep","-Oct","-Nov","-Dec")</f>
        <v>2014-Apr</v>
      </c>
      <c r="F398" s="68">
        <f t="shared" ref="F398:F399" si="762">IF(C398&gt;0,MONTH(C398),"False")</f>
        <v>4</v>
      </c>
      <c r="G398" s="163" t="s">
        <v>87</v>
      </c>
      <c r="H398" s="163" t="s">
        <v>136</v>
      </c>
      <c r="J398" s="163" t="s">
        <v>149</v>
      </c>
      <c r="K398" s="163" t="s">
        <v>84</v>
      </c>
      <c r="L398" s="163" t="s">
        <v>83</v>
      </c>
      <c r="M398" s="1" t="s">
        <v>1009</v>
      </c>
      <c r="N398" s="163" t="s">
        <v>124</v>
      </c>
      <c r="O398" s="163" t="s">
        <v>156</v>
      </c>
      <c r="R398" s="64" t="s">
        <v>1007</v>
      </c>
      <c r="T398" s="67" t="s">
        <v>110</v>
      </c>
      <c r="Y398" s="164" t="str">
        <f t="shared" si="759"/>
        <v>Unknown</v>
      </c>
      <c r="Z398" s="11" t="str">
        <f t="shared" si="670"/>
        <v/>
      </c>
      <c r="AA398" s="205" t="str">
        <f t="shared" si="727"/>
        <v/>
      </c>
      <c r="AB398" s="205" t="str">
        <f t="shared" si="728"/>
        <v/>
      </c>
    </row>
    <row r="399" spans="2:28" x14ac:dyDescent="0.25">
      <c r="B399" s="65">
        <v>41740</v>
      </c>
      <c r="C399" s="66">
        <v>41740</v>
      </c>
      <c r="D399" s="68">
        <f t="shared" si="760"/>
        <v>4</v>
      </c>
      <c r="E399" s="66" t="str">
        <f t="shared" si="761"/>
        <v>2014-Apr</v>
      </c>
      <c r="F399" s="68">
        <f t="shared" si="762"/>
        <v>4</v>
      </c>
      <c r="G399" s="164" t="s">
        <v>93</v>
      </c>
      <c r="H399" s="164" t="s">
        <v>280</v>
      </c>
      <c r="J399" s="164" t="s">
        <v>81</v>
      </c>
      <c r="K399" s="164" t="s">
        <v>82</v>
      </c>
      <c r="L399" s="164" t="s">
        <v>79</v>
      </c>
      <c r="M399" s="1" t="s">
        <v>1010</v>
      </c>
      <c r="N399" s="164" t="s">
        <v>124</v>
      </c>
      <c r="O399" s="164" t="s">
        <v>301</v>
      </c>
      <c r="P399" s="64" t="s">
        <v>305</v>
      </c>
      <c r="R399" s="64" t="s">
        <v>996</v>
      </c>
      <c r="S399" s="291" t="s">
        <v>104</v>
      </c>
      <c r="Y399" s="164" t="str">
        <f t="shared" si="759"/>
        <v>Pass</v>
      </c>
      <c r="Z399" s="11" t="str">
        <f t="shared" si="670"/>
        <v/>
      </c>
      <c r="AA399" s="205" t="str">
        <f t="shared" si="727"/>
        <v/>
      </c>
      <c r="AB399" s="205" t="str">
        <f t="shared" si="728"/>
        <v/>
      </c>
    </row>
    <row r="400" spans="2:28" x14ac:dyDescent="0.25">
      <c r="B400" s="65">
        <v>41740</v>
      </c>
      <c r="C400" s="66">
        <v>41740</v>
      </c>
      <c r="D400" s="68">
        <f t="shared" ref="D400" si="763">IF(B400&gt;0,MONTH(B400),"False")</f>
        <v>4</v>
      </c>
      <c r="E400" s="66" t="str">
        <f t="shared" ref="E400" si="764">YEAR(B400) &amp; CHOOSE(D400,"-Jan","-Feb","-Mar","-Apr","-May","-Jun","-Jul","-Aug","-Sep","-Oct","-Nov","-Dec")</f>
        <v>2014-Apr</v>
      </c>
      <c r="F400" s="68">
        <f t="shared" ref="F400" si="765">IF(C400&gt;0,MONTH(C400),"False")</f>
        <v>4</v>
      </c>
      <c r="G400" s="164" t="s">
        <v>93</v>
      </c>
      <c r="H400" s="164" t="s">
        <v>280</v>
      </c>
      <c r="I400" s="164"/>
      <c r="J400" s="164" t="s">
        <v>98</v>
      </c>
      <c r="K400" s="164" t="s">
        <v>82</v>
      </c>
      <c r="L400" s="164" t="s">
        <v>79</v>
      </c>
      <c r="M400" s="1" t="s">
        <v>1011</v>
      </c>
      <c r="N400" s="164" t="s">
        <v>124</v>
      </c>
      <c r="O400" s="164" t="s">
        <v>125</v>
      </c>
      <c r="P400" s="64" t="s">
        <v>642</v>
      </c>
      <c r="R400" s="64" t="s">
        <v>996</v>
      </c>
      <c r="S400" s="291" t="s">
        <v>104</v>
      </c>
      <c r="T400" s="67" t="s">
        <v>110</v>
      </c>
      <c r="Y400" s="164" t="str">
        <f t="shared" si="759"/>
        <v>Pass</v>
      </c>
      <c r="Z400" s="11" t="str">
        <f t="shared" si="670"/>
        <v/>
      </c>
      <c r="AA400" s="205" t="str">
        <f t="shared" si="727"/>
        <v/>
      </c>
      <c r="AB400" s="205" t="str">
        <f t="shared" si="728"/>
        <v/>
      </c>
    </row>
    <row r="401" spans="2:28" x14ac:dyDescent="0.25">
      <c r="B401" s="65">
        <v>41740</v>
      </c>
      <c r="C401" s="66">
        <v>41740</v>
      </c>
      <c r="D401" s="68">
        <f t="shared" ref="D401" si="766">IF(B401&gt;0,MONTH(B401),"False")</f>
        <v>4</v>
      </c>
      <c r="E401" s="66" t="str">
        <f t="shared" ref="E401" si="767">YEAR(B401) &amp; CHOOSE(D401,"-Jan","-Feb","-Mar","-Apr","-May","-Jun","-Jul","-Aug","-Sep","-Oct","-Nov","-Dec")</f>
        <v>2014-Apr</v>
      </c>
      <c r="F401" s="68">
        <f t="shared" ref="F401" si="768">IF(C401&gt;0,MONTH(C401),"False")</f>
        <v>4</v>
      </c>
      <c r="G401" s="164" t="s">
        <v>93</v>
      </c>
      <c r="H401" s="164" t="s">
        <v>280</v>
      </c>
      <c r="I401" s="164"/>
      <c r="J401" s="164" t="s">
        <v>98</v>
      </c>
      <c r="K401" s="164" t="s">
        <v>82</v>
      </c>
      <c r="L401" s="164" t="s">
        <v>79</v>
      </c>
      <c r="M401" s="164" t="s">
        <v>1014</v>
      </c>
      <c r="N401" s="164" t="s">
        <v>124</v>
      </c>
      <c r="O401" s="164" t="s">
        <v>125</v>
      </c>
      <c r="P401" s="64" t="s">
        <v>642</v>
      </c>
      <c r="R401" s="64" t="s">
        <v>996</v>
      </c>
      <c r="S401" s="291" t="s">
        <v>104</v>
      </c>
      <c r="Y401" s="164" t="str">
        <f t="shared" si="759"/>
        <v>Pass</v>
      </c>
      <c r="Z401" s="11" t="str">
        <f t="shared" si="670"/>
        <v/>
      </c>
      <c r="AA401" s="205" t="str">
        <f t="shared" si="727"/>
        <v/>
      </c>
      <c r="AB401" s="205" t="str">
        <f t="shared" si="728"/>
        <v/>
      </c>
    </row>
    <row r="402" spans="2:28" x14ac:dyDescent="0.25">
      <c r="B402" s="65">
        <v>41740</v>
      </c>
      <c r="C402" s="66">
        <v>41740</v>
      </c>
      <c r="D402" s="68">
        <f t="shared" ref="D402" si="769">IF(B402&gt;0,MONTH(B402),"False")</f>
        <v>4</v>
      </c>
      <c r="E402" s="66" t="str">
        <f t="shared" ref="E402" si="770">YEAR(B402) &amp; CHOOSE(D402,"-Jan","-Feb","-Mar","-Apr","-May","-Jun","-Jul","-Aug","-Sep","-Oct","-Nov","-Dec")</f>
        <v>2014-Apr</v>
      </c>
      <c r="F402" s="68">
        <f t="shared" ref="F402" si="771">IF(C402&gt;0,MONTH(C402),"False")</f>
        <v>4</v>
      </c>
      <c r="G402" s="164" t="s">
        <v>93</v>
      </c>
      <c r="H402" s="164" t="s">
        <v>136</v>
      </c>
      <c r="I402" s="164"/>
      <c r="J402" s="164" t="s">
        <v>98</v>
      </c>
      <c r="K402" s="164" t="s">
        <v>82</v>
      </c>
      <c r="L402" s="164" t="s">
        <v>79</v>
      </c>
      <c r="M402" s="164" t="s">
        <v>1013</v>
      </c>
      <c r="N402" s="164" t="s">
        <v>124</v>
      </c>
      <c r="O402" s="164" t="s">
        <v>285</v>
      </c>
      <c r="P402" s="64" t="s">
        <v>1001</v>
      </c>
      <c r="Q402" s="2" t="s">
        <v>88</v>
      </c>
      <c r="R402" s="64" t="s">
        <v>1012</v>
      </c>
      <c r="Y402" s="164" t="str">
        <f t="shared" si="759"/>
        <v>Obsolete</v>
      </c>
      <c r="Z402" s="11">
        <f t="shared" si="670"/>
        <v>41740</v>
      </c>
      <c r="AA402" s="205" t="str">
        <f t="shared" si="727"/>
        <v>2014 - 15</v>
      </c>
      <c r="AB402" s="205">
        <f t="shared" si="728"/>
        <v>2014</v>
      </c>
    </row>
    <row r="403" spans="2:28" x14ac:dyDescent="0.25">
      <c r="B403" s="65">
        <v>41740</v>
      </c>
      <c r="C403" s="66">
        <v>41740</v>
      </c>
      <c r="D403" s="68">
        <f t="shared" ref="D403" si="772">IF(B403&gt;0,MONTH(B403),"False")</f>
        <v>4</v>
      </c>
      <c r="E403" s="66" t="str">
        <f t="shared" ref="E403" si="773">YEAR(B403) &amp; CHOOSE(D403,"-Jan","-Feb","-Mar","-Apr","-May","-Jun","-Jul","-Aug","-Sep","-Oct","-Nov","-Dec")</f>
        <v>2014-Apr</v>
      </c>
      <c r="F403" s="68">
        <f t="shared" ref="F403" si="774">IF(C403&gt;0,MONTH(C403),"False")</f>
        <v>4</v>
      </c>
      <c r="G403" s="164" t="s">
        <v>93</v>
      </c>
      <c r="H403" s="164" t="s">
        <v>136</v>
      </c>
      <c r="I403" s="164"/>
      <c r="J403" s="164" t="s">
        <v>120</v>
      </c>
      <c r="K403" s="164" t="s">
        <v>82</v>
      </c>
      <c r="L403" s="164" t="s">
        <v>79</v>
      </c>
      <c r="M403" s="1" t="s">
        <v>1015</v>
      </c>
      <c r="N403" s="164" t="s">
        <v>124</v>
      </c>
      <c r="O403" s="164" t="s">
        <v>147</v>
      </c>
      <c r="P403" s="64" t="s">
        <v>750</v>
      </c>
      <c r="R403" s="64" t="s">
        <v>1016</v>
      </c>
      <c r="S403" s="197" t="s">
        <v>104</v>
      </c>
      <c r="Y403" s="164" t="str">
        <f t="shared" si="759"/>
        <v>Pass</v>
      </c>
      <c r="Z403" s="11" t="str">
        <f t="shared" si="670"/>
        <v/>
      </c>
      <c r="AA403" s="205" t="str">
        <f t="shared" si="727"/>
        <v/>
      </c>
      <c r="AB403" s="205" t="str">
        <f t="shared" si="728"/>
        <v/>
      </c>
    </row>
    <row r="404" spans="2:28" x14ac:dyDescent="0.25">
      <c r="B404" s="66">
        <v>41740</v>
      </c>
      <c r="C404" s="66">
        <v>41740</v>
      </c>
      <c r="D404" s="68">
        <f t="shared" ref="D404:D405" si="775">IF(B404&gt;0,MONTH(B404),"False")</f>
        <v>4</v>
      </c>
      <c r="E404" s="66" t="str">
        <f t="shared" ref="E404:E405" si="776">YEAR(B404) &amp; CHOOSE(D404,"-Jan","-Feb","-Mar","-Apr","-May","-Jun","-Jul","-Aug","-Sep","-Oct","-Nov","-Dec")</f>
        <v>2014-Apr</v>
      </c>
      <c r="F404" s="68">
        <f t="shared" ref="F404:F405" si="777">IF(C404&gt;0,MONTH(C404),"False")</f>
        <v>4</v>
      </c>
      <c r="G404" s="164" t="s">
        <v>87</v>
      </c>
      <c r="H404" s="164" t="s">
        <v>28</v>
      </c>
      <c r="J404" s="164" t="s">
        <v>78</v>
      </c>
      <c r="K404" s="164" t="s">
        <v>78</v>
      </c>
      <c r="L404" s="164" t="s">
        <v>79</v>
      </c>
      <c r="M404" s="1" t="s">
        <v>951</v>
      </c>
      <c r="N404" s="164" t="s">
        <v>124</v>
      </c>
      <c r="O404" s="164" t="s">
        <v>168</v>
      </c>
      <c r="R404" s="64" t="s">
        <v>1017</v>
      </c>
      <c r="Y404" s="164" t="str">
        <f t="shared" si="759"/>
        <v>Unknown</v>
      </c>
      <c r="Z404" s="11" t="str">
        <f t="shared" si="670"/>
        <v/>
      </c>
      <c r="AA404" s="205" t="str">
        <f t="shared" si="727"/>
        <v/>
      </c>
      <c r="AB404" s="205" t="str">
        <f t="shared" si="728"/>
        <v/>
      </c>
    </row>
    <row r="405" spans="2:28" x14ac:dyDescent="0.25">
      <c r="B405" s="65">
        <v>41740</v>
      </c>
      <c r="C405" s="66">
        <v>41740</v>
      </c>
      <c r="D405" s="68">
        <f t="shared" si="775"/>
        <v>4</v>
      </c>
      <c r="E405" s="66" t="str">
        <f t="shared" si="776"/>
        <v>2014-Apr</v>
      </c>
      <c r="F405" s="68">
        <f t="shared" si="777"/>
        <v>4</v>
      </c>
      <c r="G405" s="164" t="s">
        <v>93</v>
      </c>
      <c r="H405" s="164" t="s">
        <v>136</v>
      </c>
      <c r="J405" s="164" t="s">
        <v>77</v>
      </c>
      <c r="K405" s="164" t="s">
        <v>82</v>
      </c>
      <c r="L405" s="164" t="s">
        <v>79</v>
      </c>
      <c r="M405" s="1" t="s">
        <v>1018</v>
      </c>
      <c r="N405" s="164" t="s">
        <v>124</v>
      </c>
      <c r="O405" s="164" t="s">
        <v>114</v>
      </c>
      <c r="P405" s="64" t="s">
        <v>750</v>
      </c>
      <c r="R405" s="64" t="s">
        <v>1016</v>
      </c>
      <c r="S405" s="235" t="s">
        <v>104</v>
      </c>
      <c r="T405" s="67" t="s">
        <v>110</v>
      </c>
      <c r="Y405" s="164" t="str">
        <f t="shared" si="759"/>
        <v>Pass</v>
      </c>
      <c r="Z405" s="11" t="str">
        <f t="shared" si="670"/>
        <v/>
      </c>
      <c r="AA405" s="205" t="str">
        <f t="shared" si="727"/>
        <v/>
      </c>
      <c r="AB405" s="205" t="str">
        <f t="shared" si="728"/>
        <v/>
      </c>
    </row>
    <row r="406" spans="2:28" x14ac:dyDescent="0.25">
      <c r="B406" s="66">
        <v>41740</v>
      </c>
      <c r="C406" s="66">
        <v>41740</v>
      </c>
      <c r="D406" s="68">
        <f t="shared" ref="D406:D407" si="778">IF(B406&gt;0,MONTH(B406),"False")</f>
        <v>4</v>
      </c>
      <c r="E406" s="66" t="str">
        <f t="shared" ref="E406:E407" si="779">YEAR(B406) &amp; CHOOSE(D406,"-Jan","-Feb","-Mar","-Apr","-May","-Jun","-Jul","-Aug","-Sep","-Oct","-Nov","-Dec")</f>
        <v>2014-Apr</v>
      </c>
      <c r="F406" s="68">
        <f t="shared" ref="F406:F407" si="780">IF(C406&gt;0,MONTH(C406),"False")</f>
        <v>4</v>
      </c>
      <c r="G406" s="167" t="s">
        <v>126</v>
      </c>
      <c r="H406" s="164" t="s">
        <v>280</v>
      </c>
      <c r="J406" s="164" t="s">
        <v>78</v>
      </c>
      <c r="K406" s="164" t="s">
        <v>78</v>
      </c>
      <c r="L406" s="164" t="s">
        <v>79</v>
      </c>
      <c r="M406" s="1" t="s">
        <v>1019</v>
      </c>
      <c r="N406" s="164" t="s">
        <v>124</v>
      </c>
      <c r="O406" s="164" t="s">
        <v>138</v>
      </c>
      <c r="R406" s="64" t="s">
        <v>344</v>
      </c>
      <c r="S406" s="167" t="s">
        <v>104</v>
      </c>
      <c r="X406" s="167" t="s">
        <v>544</v>
      </c>
      <c r="Y406" s="164" t="str">
        <f t="shared" si="759"/>
        <v>Pass</v>
      </c>
      <c r="Z406" s="11" t="str">
        <f t="shared" si="670"/>
        <v/>
      </c>
      <c r="AA406" s="205" t="str">
        <f t="shared" si="727"/>
        <v/>
      </c>
      <c r="AB406" s="205" t="str">
        <f t="shared" si="728"/>
        <v/>
      </c>
    </row>
    <row r="407" spans="2:28" x14ac:dyDescent="0.25">
      <c r="B407" s="65">
        <v>41740</v>
      </c>
      <c r="C407" s="66">
        <v>41740</v>
      </c>
      <c r="D407" s="68">
        <f t="shared" si="778"/>
        <v>4</v>
      </c>
      <c r="E407" s="66" t="str">
        <f t="shared" si="779"/>
        <v>2014-Apr</v>
      </c>
      <c r="F407" s="68">
        <f t="shared" si="780"/>
        <v>4</v>
      </c>
      <c r="G407" s="164" t="s">
        <v>93</v>
      </c>
      <c r="H407" s="164" t="s">
        <v>136</v>
      </c>
      <c r="I407" s="164"/>
      <c r="J407" s="164" t="s">
        <v>77</v>
      </c>
      <c r="K407" s="164" t="s">
        <v>82</v>
      </c>
      <c r="L407" s="164" t="s">
        <v>79</v>
      </c>
      <c r="M407" s="1" t="s">
        <v>1020</v>
      </c>
      <c r="N407" s="164" t="s">
        <v>124</v>
      </c>
      <c r="O407" s="164" t="s">
        <v>114</v>
      </c>
      <c r="P407" s="64" t="s">
        <v>750</v>
      </c>
      <c r="R407" s="64" t="s">
        <v>1016</v>
      </c>
      <c r="Y407" s="164" t="str">
        <f t="shared" si="759"/>
        <v>Unknown</v>
      </c>
      <c r="Z407" s="11" t="str">
        <f t="shared" si="670"/>
        <v/>
      </c>
      <c r="AA407" s="205" t="str">
        <f t="shared" si="727"/>
        <v/>
      </c>
      <c r="AB407" s="205" t="str">
        <f t="shared" si="728"/>
        <v/>
      </c>
    </row>
    <row r="408" spans="2:28" x14ac:dyDescent="0.25">
      <c r="B408" s="66">
        <v>41740</v>
      </c>
      <c r="C408" s="66">
        <v>41740</v>
      </c>
      <c r="D408" s="68">
        <f t="shared" ref="D408:D409" si="781">IF(B408&gt;0,MONTH(B408),"False")</f>
        <v>4</v>
      </c>
      <c r="E408" s="66" t="str">
        <f t="shared" ref="E408:E409" si="782">YEAR(B408) &amp; CHOOSE(D408,"-Jan","-Feb","-Mar","-Apr","-May","-Jun","-Jul","-Aug","-Sep","-Oct","-Nov","-Dec")</f>
        <v>2014-Apr</v>
      </c>
      <c r="F408" s="68">
        <f t="shared" ref="F408:F409" si="783">IF(C408&gt;0,MONTH(C408),"False")</f>
        <v>4</v>
      </c>
      <c r="G408" s="164" t="s">
        <v>87</v>
      </c>
      <c r="H408" s="164" t="s">
        <v>166</v>
      </c>
      <c r="J408" s="164" t="s">
        <v>146</v>
      </c>
      <c r="K408" s="164" t="s">
        <v>260</v>
      </c>
      <c r="L408" s="164" t="s">
        <v>79</v>
      </c>
      <c r="M408" s="1" t="s">
        <v>1021</v>
      </c>
      <c r="N408" s="164" t="s">
        <v>124</v>
      </c>
      <c r="O408" s="164" t="s">
        <v>148</v>
      </c>
      <c r="R408" s="64" t="s">
        <v>894</v>
      </c>
      <c r="Y408" s="164" t="str">
        <f t="shared" si="759"/>
        <v>Unknown</v>
      </c>
      <c r="Z408" s="11" t="str">
        <f t="shared" si="670"/>
        <v/>
      </c>
      <c r="AA408" s="205" t="str">
        <f t="shared" si="727"/>
        <v/>
      </c>
      <c r="AB408" s="205" t="str">
        <f t="shared" si="728"/>
        <v/>
      </c>
    </row>
    <row r="409" spans="2:28" x14ac:dyDescent="0.25">
      <c r="B409" s="65">
        <v>41740</v>
      </c>
      <c r="C409" s="66">
        <v>41740</v>
      </c>
      <c r="D409" s="68">
        <f t="shared" si="781"/>
        <v>4</v>
      </c>
      <c r="E409" s="66" t="str">
        <f t="shared" si="782"/>
        <v>2014-Apr</v>
      </c>
      <c r="F409" s="68">
        <f t="shared" si="783"/>
        <v>4</v>
      </c>
      <c r="G409" s="164" t="s">
        <v>93</v>
      </c>
      <c r="H409" s="164" t="s">
        <v>166</v>
      </c>
      <c r="J409" s="164" t="s">
        <v>77</v>
      </c>
      <c r="K409" s="164" t="s">
        <v>82</v>
      </c>
      <c r="L409" s="164" t="s">
        <v>79</v>
      </c>
      <c r="M409" s="1" t="s">
        <v>1022</v>
      </c>
      <c r="N409" s="164" t="s">
        <v>124</v>
      </c>
      <c r="O409" s="164" t="s">
        <v>353</v>
      </c>
      <c r="P409" s="64" t="s">
        <v>319</v>
      </c>
      <c r="R409" s="64" t="s">
        <v>320</v>
      </c>
      <c r="S409" s="235" t="s">
        <v>104</v>
      </c>
      <c r="Y409" s="164" t="str">
        <f t="shared" si="759"/>
        <v>Pass</v>
      </c>
      <c r="Z409" s="11" t="str">
        <f t="shared" si="670"/>
        <v/>
      </c>
      <c r="AA409" s="205" t="str">
        <f t="shared" si="727"/>
        <v/>
      </c>
      <c r="AB409" s="205" t="str">
        <f t="shared" si="728"/>
        <v/>
      </c>
    </row>
    <row r="410" spans="2:28" x14ac:dyDescent="0.25">
      <c r="B410" s="66">
        <v>41740</v>
      </c>
      <c r="C410" s="66">
        <v>41740</v>
      </c>
      <c r="D410" s="68">
        <f t="shared" ref="D410" si="784">IF(B410&gt;0,MONTH(B410),"False")</f>
        <v>4</v>
      </c>
      <c r="E410" s="66" t="str">
        <f t="shared" ref="E410" si="785">YEAR(B410) &amp; CHOOSE(D410,"-Jan","-Feb","-Mar","-Apr","-May","-Jun","-Jul","-Aug","-Sep","-Oct","-Nov","-Dec")</f>
        <v>2014-Apr</v>
      </c>
      <c r="F410" s="68">
        <f t="shared" ref="F410" si="786">IF(C410&gt;0,MONTH(C410),"False")</f>
        <v>4</v>
      </c>
      <c r="G410" s="164" t="s">
        <v>87</v>
      </c>
      <c r="H410" s="164" t="s">
        <v>136</v>
      </c>
      <c r="J410" s="164" t="s">
        <v>98</v>
      </c>
      <c r="K410" s="164" t="s">
        <v>84</v>
      </c>
      <c r="L410" s="164" t="s">
        <v>83</v>
      </c>
      <c r="M410" s="1" t="s">
        <v>1023</v>
      </c>
      <c r="N410" s="164" t="s">
        <v>124</v>
      </c>
      <c r="O410" s="164" t="s">
        <v>152</v>
      </c>
      <c r="R410" s="64" t="s">
        <v>1024</v>
      </c>
      <c r="Y410" s="164" t="str">
        <f t="shared" si="759"/>
        <v>Unknown</v>
      </c>
      <c r="Z410" s="11" t="str">
        <f t="shared" si="670"/>
        <v/>
      </c>
      <c r="AA410" s="205" t="str">
        <f t="shared" si="727"/>
        <v/>
      </c>
      <c r="AB410" s="205" t="str">
        <f t="shared" si="728"/>
        <v/>
      </c>
    </row>
    <row r="411" spans="2:28" x14ac:dyDescent="0.25">
      <c r="B411" s="66">
        <v>41741</v>
      </c>
      <c r="C411" s="66">
        <v>41741</v>
      </c>
      <c r="D411" s="68">
        <f t="shared" ref="D411:D412" si="787">IF(B411&gt;0,MONTH(B411),"False")</f>
        <v>4</v>
      </c>
      <c r="E411" s="66" t="str">
        <f t="shared" ref="E411:E412" si="788">YEAR(B411) &amp; CHOOSE(D411,"-Jan","-Feb","-Mar","-Apr","-May","-Jun","-Jul","-Aug","-Sep","-Oct","-Nov","-Dec")</f>
        <v>2014-Apr</v>
      </c>
      <c r="F411" s="68">
        <f t="shared" ref="F411:F412" si="789">IF(C411&gt;0,MONTH(C411),"False")</f>
        <v>4</v>
      </c>
      <c r="G411" s="164" t="s">
        <v>87</v>
      </c>
      <c r="H411" s="164" t="s">
        <v>166</v>
      </c>
      <c r="J411" s="164" t="s">
        <v>333</v>
      </c>
      <c r="K411" s="164" t="s">
        <v>84</v>
      </c>
      <c r="L411" s="164" t="s">
        <v>83</v>
      </c>
      <c r="M411" s="1" t="s">
        <v>1025</v>
      </c>
      <c r="N411" s="164" t="s">
        <v>124</v>
      </c>
      <c r="O411" s="164" t="s">
        <v>1026</v>
      </c>
      <c r="R411" s="64" t="s">
        <v>346</v>
      </c>
      <c r="Y411" s="164" t="str">
        <f t="shared" si="759"/>
        <v>Unknown</v>
      </c>
      <c r="Z411" s="11" t="str">
        <f t="shared" si="670"/>
        <v/>
      </c>
      <c r="AA411" s="205" t="str">
        <f t="shared" si="727"/>
        <v/>
      </c>
      <c r="AB411" s="205" t="str">
        <f t="shared" si="728"/>
        <v/>
      </c>
    </row>
    <row r="412" spans="2:28" x14ac:dyDescent="0.25">
      <c r="B412" s="65">
        <v>41743</v>
      </c>
      <c r="C412" s="66">
        <v>41743</v>
      </c>
      <c r="D412" s="68">
        <f t="shared" si="787"/>
        <v>4</v>
      </c>
      <c r="E412" s="66" t="str">
        <f t="shared" si="788"/>
        <v>2014-Apr</v>
      </c>
      <c r="F412" s="68">
        <f t="shared" si="789"/>
        <v>4</v>
      </c>
      <c r="G412" s="168" t="s">
        <v>105</v>
      </c>
      <c r="H412" s="165" t="s">
        <v>280</v>
      </c>
      <c r="J412" s="165" t="s">
        <v>81</v>
      </c>
      <c r="K412" s="165" t="s">
        <v>82</v>
      </c>
      <c r="L412" s="165" t="s">
        <v>79</v>
      </c>
      <c r="M412" s="1" t="s">
        <v>1027</v>
      </c>
      <c r="N412" s="165" t="s">
        <v>124</v>
      </c>
      <c r="O412" s="165" t="s">
        <v>286</v>
      </c>
      <c r="P412" s="64" t="s">
        <v>961</v>
      </c>
      <c r="R412" s="64" t="s">
        <v>1031</v>
      </c>
      <c r="S412" s="168" t="s">
        <v>104</v>
      </c>
      <c r="T412" s="67" t="s">
        <v>110</v>
      </c>
      <c r="X412" s="168" t="s">
        <v>544</v>
      </c>
      <c r="Y412" s="164" t="str">
        <f t="shared" si="759"/>
        <v>Pass</v>
      </c>
      <c r="Z412" s="11" t="str">
        <f t="shared" si="670"/>
        <v/>
      </c>
      <c r="AA412" s="205" t="str">
        <f t="shared" si="727"/>
        <v/>
      </c>
      <c r="AB412" s="205" t="str">
        <f t="shared" si="728"/>
        <v/>
      </c>
    </row>
    <row r="413" spans="2:28" x14ac:dyDescent="0.25">
      <c r="B413" s="65">
        <v>41743</v>
      </c>
      <c r="C413" s="66">
        <v>41743</v>
      </c>
      <c r="D413" s="68">
        <f t="shared" ref="D413:D414" si="790">IF(B413&gt;0,MONTH(B413),"False")</f>
        <v>4</v>
      </c>
      <c r="E413" s="66" t="str">
        <f t="shared" ref="E413:E414" si="791">YEAR(B413) &amp; CHOOSE(D413,"-Jan","-Feb","-Mar","-Apr","-May","-Jun","-Jul","-Aug","-Sep","-Oct","-Nov","-Dec")</f>
        <v>2014-Apr</v>
      </c>
      <c r="F413" s="68">
        <f t="shared" ref="F413:F414" si="792">IF(C413&gt;0,MONTH(C413),"False")</f>
        <v>4</v>
      </c>
      <c r="G413" s="196" t="s">
        <v>105</v>
      </c>
      <c r="H413" s="165" t="s">
        <v>166</v>
      </c>
      <c r="J413" s="165" t="s">
        <v>333</v>
      </c>
      <c r="K413" s="165" t="s">
        <v>82</v>
      </c>
      <c r="L413" s="165" t="s">
        <v>79</v>
      </c>
      <c r="M413" s="1" t="s">
        <v>1028</v>
      </c>
      <c r="N413" s="165" t="s">
        <v>124</v>
      </c>
      <c r="O413" s="165" t="s">
        <v>116</v>
      </c>
      <c r="P413" s="64" t="s">
        <v>345</v>
      </c>
      <c r="R413" s="64" t="s">
        <v>347</v>
      </c>
      <c r="S413" s="196" t="s">
        <v>104</v>
      </c>
      <c r="X413" s="196" t="s">
        <v>462</v>
      </c>
      <c r="Y413" s="164" t="str">
        <f t="shared" si="759"/>
        <v>Pass</v>
      </c>
      <c r="Z413" s="11" t="str">
        <f t="shared" si="670"/>
        <v/>
      </c>
      <c r="AA413" s="205" t="str">
        <f t="shared" si="727"/>
        <v/>
      </c>
      <c r="AB413" s="205" t="str">
        <f t="shared" si="728"/>
        <v/>
      </c>
    </row>
    <row r="414" spans="2:28" x14ac:dyDescent="0.25">
      <c r="B414" s="66">
        <v>41743</v>
      </c>
      <c r="C414" s="66">
        <v>41743</v>
      </c>
      <c r="D414" s="68">
        <f t="shared" si="790"/>
        <v>4</v>
      </c>
      <c r="E414" s="66" t="str">
        <f t="shared" si="791"/>
        <v>2014-Apr</v>
      </c>
      <c r="F414" s="68">
        <f t="shared" si="792"/>
        <v>4</v>
      </c>
      <c r="G414" s="165" t="s">
        <v>87</v>
      </c>
      <c r="H414" s="165" t="s">
        <v>280</v>
      </c>
      <c r="J414" s="165" t="s">
        <v>333</v>
      </c>
      <c r="K414" s="165" t="s">
        <v>84</v>
      </c>
      <c r="L414" s="165" t="s">
        <v>83</v>
      </c>
      <c r="M414" s="1" t="s">
        <v>1029</v>
      </c>
      <c r="N414" s="165" t="s">
        <v>124</v>
      </c>
      <c r="O414" s="165" t="s">
        <v>325</v>
      </c>
      <c r="R414" s="64" t="s">
        <v>1030</v>
      </c>
      <c r="T414" s="67" t="s">
        <v>110</v>
      </c>
      <c r="Y414" s="164" t="str">
        <f t="shared" si="759"/>
        <v>Unknown</v>
      </c>
      <c r="Z414" s="11" t="str">
        <f t="shared" si="670"/>
        <v/>
      </c>
      <c r="AA414" s="205" t="str">
        <f t="shared" si="727"/>
        <v/>
      </c>
      <c r="AB414" s="205" t="str">
        <f t="shared" si="728"/>
        <v/>
      </c>
    </row>
    <row r="415" spans="2:28" x14ac:dyDescent="0.25">
      <c r="B415" s="66">
        <v>41743</v>
      </c>
      <c r="C415" s="66">
        <v>41743</v>
      </c>
      <c r="D415" s="68">
        <f t="shared" ref="D415" si="793">IF(B415&gt;0,MONTH(B415),"False")</f>
        <v>4</v>
      </c>
      <c r="E415" s="66" t="str">
        <f t="shared" ref="E415" si="794">YEAR(B415) &amp; CHOOSE(D415,"-Jan","-Feb","-Mar","-Apr","-May","-Jun","-Jul","-Aug","-Sep","-Oct","-Nov","-Dec")</f>
        <v>2014-Apr</v>
      </c>
      <c r="F415" s="68">
        <f t="shared" ref="F415" si="795">IF(C415&gt;0,MONTH(C415),"False")</f>
        <v>4</v>
      </c>
      <c r="G415" s="177" t="s">
        <v>112</v>
      </c>
      <c r="H415" s="165" t="s">
        <v>28</v>
      </c>
      <c r="J415" s="165" t="s">
        <v>78</v>
      </c>
      <c r="K415" s="165" t="s">
        <v>78</v>
      </c>
      <c r="L415" s="165" t="s">
        <v>79</v>
      </c>
      <c r="M415" s="1" t="s">
        <v>1032</v>
      </c>
      <c r="N415" s="165" t="s">
        <v>124</v>
      </c>
      <c r="O415" s="165" t="s">
        <v>168</v>
      </c>
      <c r="R415" s="64" t="s">
        <v>308</v>
      </c>
      <c r="S415" s="177" t="s">
        <v>104</v>
      </c>
      <c r="X415" s="177" t="s">
        <v>165</v>
      </c>
      <c r="Y415" s="164" t="str">
        <f t="shared" si="759"/>
        <v>Pass</v>
      </c>
      <c r="Z415" s="11" t="str">
        <f t="shared" si="670"/>
        <v/>
      </c>
      <c r="AA415" s="205" t="str">
        <f t="shared" si="727"/>
        <v/>
      </c>
      <c r="AB415" s="205" t="str">
        <f t="shared" si="728"/>
        <v/>
      </c>
    </row>
    <row r="416" spans="2:28" x14ac:dyDescent="0.25">
      <c r="B416" s="66">
        <v>41743</v>
      </c>
      <c r="C416" s="66">
        <v>41743</v>
      </c>
      <c r="D416" s="68">
        <f t="shared" ref="D416:D417" si="796">IF(B416&gt;0,MONTH(B416),"False")</f>
        <v>4</v>
      </c>
      <c r="E416" s="66" t="str">
        <f t="shared" ref="E416:E417" si="797">YEAR(B416) &amp; CHOOSE(D416,"-Jan","-Feb","-Mar","-Apr","-May","-Jun","-Jul","-Aug","-Sep","-Oct","-Nov","-Dec")</f>
        <v>2014-Apr</v>
      </c>
      <c r="F416" s="68">
        <f t="shared" ref="F416:F417" si="798">IF(C416&gt;0,MONTH(C416),"False")</f>
        <v>4</v>
      </c>
      <c r="G416" s="165" t="s">
        <v>87</v>
      </c>
      <c r="H416" s="165" t="s">
        <v>136</v>
      </c>
      <c r="J416" s="165" t="s">
        <v>78</v>
      </c>
      <c r="K416" s="165" t="s">
        <v>78</v>
      </c>
      <c r="L416" s="165" t="s">
        <v>79</v>
      </c>
      <c r="M416" s="1" t="s">
        <v>1033</v>
      </c>
      <c r="N416" s="165" t="s">
        <v>124</v>
      </c>
      <c r="O416" s="165" t="s">
        <v>167</v>
      </c>
      <c r="Q416" s="2" t="s">
        <v>88</v>
      </c>
      <c r="R416" s="64" t="s">
        <v>1034</v>
      </c>
      <c r="Y416" s="164" t="str">
        <f t="shared" si="759"/>
        <v>Obsolete</v>
      </c>
      <c r="Z416" s="11">
        <f t="shared" si="670"/>
        <v>41743</v>
      </c>
      <c r="AA416" s="205" t="str">
        <f t="shared" si="727"/>
        <v>2014 - 16</v>
      </c>
      <c r="AB416" s="205">
        <f t="shared" si="728"/>
        <v>2014</v>
      </c>
    </row>
    <row r="417" spans="2:28" x14ac:dyDescent="0.25">
      <c r="B417" s="65">
        <v>41743</v>
      </c>
      <c r="C417" s="66">
        <v>41743</v>
      </c>
      <c r="D417" s="68">
        <f t="shared" si="796"/>
        <v>4</v>
      </c>
      <c r="E417" s="66" t="str">
        <f t="shared" si="797"/>
        <v>2014-Apr</v>
      </c>
      <c r="F417" s="68">
        <f t="shared" si="798"/>
        <v>4</v>
      </c>
      <c r="G417" s="165" t="s">
        <v>93</v>
      </c>
      <c r="H417" s="165" t="s">
        <v>280</v>
      </c>
      <c r="J417" s="165" t="s">
        <v>98</v>
      </c>
      <c r="K417" s="165" t="s">
        <v>82</v>
      </c>
      <c r="L417" s="165" t="s">
        <v>79</v>
      </c>
      <c r="M417" s="1" t="s">
        <v>1035</v>
      </c>
      <c r="N417" s="165" t="s">
        <v>124</v>
      </c>
      <c r="O417" s="165" t="s">
        <v>125</v>
      </c>
      <c r="P417" s="64" t="s">
        <v>642</v>
      </c>
      <c r="R417" s="64" t="s">
        <v>1031</v>
      </c>
      <c r="S417" s="357" t="s">
        <v>104</v>
      </c>
      <c r="X417" s="357" t="s">
        <v>544</v>
      </c>
      <c r="Y417" s="164" t="str">
        <f t="shared" si="759"/>
        <v>Pass</v>
      </c>
      <c r="Z417" s="11" t="str">
        <f t="shared" si="670"/>
        <v/>
      </c>
      <c r="AA417" s="205" t="str">
        <f t="shared" si="727"/>
        <v/>
      </c>
      <c r="AB417" s="205" t="str">
        <f t="shared" si="728"/>
        <v/>
      </c>
    </row>
    <row r="418" spans="2:28" x14ac:dyDescent="0.25">
      <c r="B418" s="65">
        <v>41743</v>
      </c>
      <c r="C418" s="66">
        <v>41743</v>
      </c>
      <c r="D418" s="68">
        <f t="shared" ref="D418:D419" si="799">IF(B418&gt;0,MONTH(B418),"False")</f>
        <v>4</v>
      </c>
      <c r="E418" s="66" t="str">
        <f t="shared" ref="E418:E419" si="800">YEAR(B418) &amp; CHOOSE(D418,"-Jan","-Feb","-Mar","-Apr","-May","-Jun","-Jul","-Aug","-Sep","-Oct","-Nov","-Dec")</f>
        <v>2014-Apr</v>
      </c>
      <c r="F418" s="68">
        <f t="shared" ref="F418:F419" si="801">IF(C418&gt;0,MONTH(C418),"False")</f>
        <v>4</v>
      </c>
      <c r="G418" s="196" t="s">
        <v>105</v>
      </c>
      <c r="H418" s="165" t="s">
        <v>280</v>
      </c>
      <c r="J418" s="165" t="s">
        <v>333</v>
      </c>
      <c r="K418" s="165" t="s">
        <v>82</v>
      </c>
      <c r="L418" s="165" t="s">
        <v>79</v>
      </c>
      <c r="M418" s="1" t="s">
        <v>1036</v>
      </c>
      <c r="N418" s="165" t="s">
        <v>124</v>
      </c>
      <c r="O418" s="165" t="s">
        <v>116</v>
      </c>
      <c r="P418" s="64" t="s">
        <v>305</v>
      </c>
      <c r="R418" s="64" t="s">
        <v>1031</v>
      </c>
      <c r="S418" s="196" t="s">
        <v>104</v>
      </c>
      <c r="X418" s="196" t="s">
        <v>462</v>
      </c>
      <c r="Y418" s="164" t="str">
        <f t="shared" si="759"/>
        <v>Pass</v>
      </c>
      <c r="Z418" s="11" t="str">
        <f t="shared" ref="Z418:Z481" si="802">IF(Q418="Obsolete-LQA",C418,IF(Q418="Obsolete-IT",B418,""))</f>
        <v/>
      </c>
      <c r="AA418" s="205" t="str">
        <f t="shared" si="727"/>
        <v/>
      </c>
      <c r="AB418" s="205" t="str">
        <f t="shared" si="728"/>
        <v/>
      </c>
    </row>
    <row r="419" spans="2:28" x14ac:dyDescent="0.25">
      <c r="B419" s="66">
        <v>41743</v>
      </c>
      <c r="C419" s="66">
        <v>41743</v>
      </c>
      <c r="D419" s="68">
        <f t="shared" si="799"/>
        <v>4</v>
      </c>
      <c r="E419" s="66" t="str">
        <f t="shared" si="800"/>
        <v>2014-Apr</v>
      </c>
      <c r="F419" s="68">
        <f t="shared" si="801"/>
        <v>4</v>
      </c>
      <c r="G419" s="165" t="s">
        <v>87</v>
      </c>
      <c r="H419" s="165" t="s">
        <v>166</v>
      </c>
      <c r="J419" s="165" t="s">
        <v>146</v>
      </c>
      <c r="K419" s="165" t="s">
        <v>260</v>
      </c>
      <c r="L419" s="165" t="s">
        <v>79</v>
      </c>
      <c r="M419" s="1" t="s">
        <v>1037</v>
      </c>
      <c r="N419" s="165" t="s">
        <v>124</v>
      </c>
      <c r="O419" s="165" t="s">
        <v>148</v>
      </c>
      <c r="P419" s="64" t="s">
        <v>894</v>
      </c>
      <c r="Y419" s="164" t="str">
        <f t="shared" si="759"/>
        <v>Unknown</v>
      </c>
      <c r="Z419" s="11" t="str">
        <f t="shared" si="802"/>
        <v/>
      </c>
      <c r="AA419" s="205" t="str">
        <f t="shared" si="727"/>
        <v/>
      </c>
      <c r="AB419" s="205" t="str">
        <f t="shared" si="728"/>
        <v/>
      </c>
    </row>
    <row r="420" spans="2:28" x14ac:dyDescent="0.25">
      <c r="B420" s="65">
        <v>41744</v>
      </c>
      <c r="C420" s="66">
        <v>41744</v>
      </c>
      <c r="D420" s="68">
        <f t="shared" ref="D420:D421" si="803">IF(B420&gt;0,MONTH(B420),"False")</f>
        <v>4</v>
      </c>
      <c r="E420" s="66" t="str">
        <f t="shared" ref="E420:E421" si="804">YEAR(B420) &amp; CHOOSE(D420,"-Jan","-Feb","-Mar","-Apr","-May","-Jun","-Jul","-Aug","-Sep","-Oct","-Nov","-Dec")</f>
        <v>2014-Apr</v>
      </c>
      <c r="F420" s="68">
        <f t="shared" ref="F420:F421" si="805">IF(C420&gt;0,MONTH(C420),"False")</f>
        <v>4</v>
      </c>
      <c r="G420" s="166" t="s">
        <v>93</v>
      </c>
      <c r="H420" s="166" t="s">
        <v>136</v>
      </c>
      <c r="J420" s="166" t="s">
        <v>98</v>
      </c>
      <c r="K420" s="166" t="s">
        <v>82</v>
      </c>
      <c r="L420" s="166" t="s">
        <v>79</v>
      </c>
      <c r="M420" s="1" t="s">
        <v>1039</v>
      </c>
      <c r="N420" s="166" t="s">
        <v>124</v>
      </c>
      <c r="O420" s="166" t="s">
        <v>273</v>
      </c>
      <c r="P420" s="64" t="s">
        <v>1001</v>
      </c>
      <c r="R420" s="64" t="s">
        <v>1012</v>
      </c>
      <c r="Y420" s="164" t="str">
        <f t="shared" si="759"/>
        <v>Unknown</v>
      </c>
      <c r="Z420" s="11" t="str">
        <f t="shared" si="802"/>
        <v/>
      </c>
      <c r="AA420" s="205" t="str">
        <f t="shared" si="727"/>
        <v/>
      </c>
      <c r="AB420" s="205" t="str">
        <f t="shared" si="728"/>
        <v/>
      </c>
    </row>
    <row r="421" spans="2:28" x14ac:dyDescent="0.25">
      <c r="B421" s="66">
        <v>41744</v>
      </c>
      <c r="C421" s="66">
        <v>41744</v>
      </c>
      <c r="D421" s="68">
        <f t="shared" si="803"/>
        <v>4</v>
      </c>
      <c r="E421" s="66" t="str">
        <f t="shared" si="804"/>
        <v>2014-Apr</v>
      </c>
      <c r="F421" s="68">
        <f t="shared" si="805"/>
        <v>4</v>
      </c>
      <c r="G421" s="166" t="s">
        <v>87</v>
      </c>
      <c r="H421" s="166" t="s">
        <v>166</v>
      </c>
      <c r="J421" s="166" t="s">
        <v>149</v>
      </c>
      <c r="K421" s="166" t="s">
        <v>84</v>
      </c>
      <c r="L421" s="166" t="s">
        <v>79</v>
      </c>
      <c r="M421" s="1" t="s">
        <v>1040</v>
      </c>
      <c r="N421" s="166" t="s">
        <v>124</v>
      </c>
      <c r="O421" s="166" t="s">
        <v>148</v>
      </c>
      <c r="R421" s="64" t="s">
        <v>1041</v>
      </c>
      <c r="T421" s="67" t="s">
        <v>110</v>
      </c>
      <c r="Y421" s="164" t="str">
        <f t="shared" si="759"/>
        <v>Unknown</v>
      </c>
      <c r="Z421" s="11" t="str">
        <f t="shared" si="802"/>
        <v/>
      </c>
      <c r="AA421" s="205" t="str">
        <f t="shared" si="727"/>
        <v/>
      </c>
      <c r="AB421" s="205" t="str">
        <f t="shared" si="728"/>
        <v/>
      </c>
    </row>
    <row r="422" spans="2:28" x14ac:dyDescent="0.25">
      <c r="B422" s="66">
        <v>41744</v>
      </c>
      <c r="C422" s="66">
        <v>41744</v>
      </c>
      <c r="D422" s="68">
        <f t="shared" ref="D422" si="806">IF(B422&gt;0,MONTH(B422),"False")</f>
        <v>4</v>
      </c>
      <c r="E422" s="66" t="str">
        <f t="shared" ref="E422" si="807">YEAR(B422) &amp; CHOOSE(D422,"-Jan","-Feb","-Mar","-Apr","-May","-Jun","-Jul","-Aug","-Sep","-Oct","-Nov","-Dec")</f>
        <v>2014-Apr</v>
      </c>
      <c r="F422" s="68">
        <f t="shared" ref="F422" si="808">IF(C422&gt;0,MONTH(C422),"False")</f>
        <v>4</v>
      </c>
      <c r="G422" s="174" t="s">
        <v>126</v>
      </c>
      <c r="H422" s="166" t="s">
        <v>166</v>
      </c>
      <c r="J422" s="166" t="s">
        <v>78</v>
      </c>
      <c r="K422" s="166" t="s">
        <v>78</v>
      </c>
      <c r="L422" s="166" t="s">
        <v>79</v>
      </c>
      <c r="M422" s="1" t="s">
        <v>1042</v>
      </c>
      <c r="N422" s="166" t="s">
        <v>124</v>
      </c>
      <c r="O422" s="166" t="s">
        <v>287</v>
      </c>
      <c r="R422" s="64" t="s">
        <v>488</v>
      </c>
      <c r="S422" s="174" t="s">
        <v>104</v>
      </c>
      <c r="X422" s="174" t="s">
        <v>300</v>
      </c>
      <c r="Y422" s="164" t="str">
        <f t="shared" si="759"/>
        <v>Pass</v>
      </c>
      <c r="Z422" s="11" t="str">
        <f t="shared" si="802"/>
        <v/>
      </c>
      <c r="AA422" s="205" t="str">
        <f t="shared" si="727"/>
        <v/>
      </c>
      <c r="AB422" s="205" t="str">
        <f t="shared" si="728"/>
        <v/>
      </c>
    </row>
    <row r="423" spans="2:28" x14ac:dyDescent="0.25">
      <c r="B423" s="66">
        <v>41744</v>
      </c>
      <c r="C423" s="66">
        <v>41744</v>
      </c>
      <c r="D423" s="68">
        <f t="shared" ref="D423:D424" si="809">IF(B423&gt;0,MONTH(B423),"False")</f>
        <v>4</v>
      </c>
      <c r="E423" s="66" t="str">
        <f t="shared" ref="E423:E424" si="810">YEAR(B423) &amp; CHOOSE(D423,"-Jan","-Feb","-Mar","-Apr","-May","-Jun","-Jul","-Aug","-Sep","-Oct","-Nov","-Dec")</f>
        <v>2014-Apr</v>
      </c>
      <c r="F423" s="68">
        <f t="shared" ref="F423:F424" si="811">IF(C423&gt;0,MONTH(C423),"False")</f>
        <v>4</v>
      </c>
      <c r="G423" s="172" t="s">
        <v>126</v>
      </c>
      <c r="H423" s="166" t="s">
        <v>280</v>
      </c>
      <c r="J423" s="166" t="s">
        <v>78</v>
      </c>
      <c r="K423" s="166" t="s">
        <v>78</v>
      </c>
      <c r="L423" s="166" t="s">
        <v>79</v>
      </c>
      <c r="M423" s="1" t="s">
        <v>1043</v>
      </c>
      <c r="N423" s="166" t="s">
        <v>124</v>
      </c>
      <c r="O423" s="166" t="s">
        <v>138</v>
      </c>
      <c r="R423" s="64" t="s">
        <v>344</v>
      </c>
      <c r="S423" s="172" t="s">
        <v>104</v>
      </c>
      <c r="X423" s="172" t="s">
        <v>544</v>
      </c>
      <c r="Y423" s="171" t="str">
        <f t="shared" si="759"/>
        <v>Pass</v>
      </c>
      <c r="Z423" s="11" t="str">
        <f t="shared" si="802"/>
        <v/>
      </c>
      <c r="AA423" s="205" t="str">
        <f t="shared" si="727"/>
        <v/>
      </c>
      <c r="AB423" s="205" t="str">
        <f t="shared" si="728"/>
        <v/>
      </c>
    </row>
    <row r="424" spans="2:28" x14ac:dyDescent="0.25">
      <c r="B424" s="65">
        <v>41745</v>
      </c>
      <c r="C424" s="66">
        <v>41745</v>
      </c>
      <c r="D424" s="68">
        <f t="shared" si="809"/>
        <v>4</v>
      </c>
      <c r="E424" s="66" t="str">
        <f t="shared" si="810"/>
        <v>2014-Apr</v>
      </c>
      <c r="F424" s="68">
        <f t="shared" si="811"/>
        <v>4</v>
      </c>
      <c r="G424" s="167" t="s">
        <v>93</v>
      </c>
      <c r="H424" s="167" t="s">
        <v>166</v>
      </c>
      <c r="J424" s="167" t="s">
        <v>77</v>
      </c>
      <c r="K424" s="167" t="s">
        <v>82</v>
      </c>
      <c r="L424" s="167" t="s">
        <v>79</v>
      </c>
      <c r="M424" s="1" t="s">
        <v>1044</v>
      </c>
      <c r="N424" s="167" t="s">
        <v>124</v>
      </c>
      <c r="O424" s="167" t="s">
        <v>353</v>
      </c>
      <c r="P424" s="64" t="s">
        <v>319</v>
      </c>
      <c r="R424" s="64" t="s">
        <v>320</v>
      </c>
      <c r="S424" s="237" t="s">
        <v>104</v>
      </c>
      <c r="Y424" s="171" t="str">
        <f t="shared" si="759"/>
        <v>Pass</v>
      </c>
      <c r="Z424" s="11" t="str">
        <f t="shared" si="802"/>
        <v/>
      </c>
      <c r="AA424" s="205" t="str">
        <f t="shared" si="727"/>
        <v/>
      </c>
      <c r="AB424" s="205" t="str">
        <f t="shared" si="728"/>
        <v/>
      </c>
    </row>
    <row r="425" spans="2:28" x14ac:dyDescent="0.25">
      <c r="B425" s="66">
        <v>41745</v>
      </c>
      <c r="C425" s="66">
        <v>41745</v>
      </c>
      <c r="D425" s="68">
        <f t="shared" ref="D425:D426" si="812">IF(B425&gt;0,MONTH(B425),"False")</f>
        <v>4</v>
      </c>
      <c r="E425" s="66" t="str">
        <f t="shared" ref="E425:E426" si="813">YEAR(B425) &amp; CHOOSE(D425,"-Jan","-Feb","-Mar","-Apr","-May","-Jun","-Jul","-Aug","-Sep","-Oct","-Nov","-Dec")</f>
        <v>2014-Apr</v>
      </c>
      <c r="F425" s="68">
        <f t="shared" ref="F425:F426" si="814">IF(C425&gt;0,MONTH(C425),"False")</f>
        <v>4</v>
      </c>
      <c r="G425" s="167" t="s">
        <v>87</v>
      </c>
      <c r="H425" s="167" t="s">
        <v>348</v>
      </c>
      <c r="J425" s="167" t="s">
        <v>78</v>
      </c>
      <c r="K425" s="167" t="s">
        <v>78</v>
      </c>
      <c r="L425" s="167" t="s">
        <v>79</v>
      </c>
      <c r="M425" s="1" t="s">
        <v>1045</v>
      </c>
      <c r="N425" s="167" t="s">
        <v>124</v>
      </c>
      <c r="O425" s="167" t="s">
        <v>97</v>
      </c>
      <c r="R425" s="64" t="s">
        <v>708</v>
      </c>
      <c r="S425" s="235" t="s">
        <v>104</v>
      </c>
      <c r="Y425" s="171" t="str">
        <f t="shared" si="759"/>
        <v>Pass</v>
      </c>
      <c r="Z425" s="11" t="str">
        <f t="shared" si="802"/>
        <v/>
      </c>
      <c r="AA425" s="205" t="str">
        <f t="shared" si="727"/>
        <v/>
      </c>
      <c r="AB425" s="205" t="str">
        <f t="shared" si="728"/>
        <v/>
      </c>
    </row>
    <row r="426" spans="2:28" x14ac:dyDescent="0.25">
      <c r="B426" s="65">
        <v>41745</v>
      </c>
      <c r="C426" s="66">
        <v>41745</v>
      </c>
      <c r="D426" s="68">
        <f t="shared" si="812"/>
        <v>4</v>
      </c>
      <c r="E426" s="66" t="str">
        <f t="shared" si="813"/>
        <v>2014-Apr</v>
      </c>
      <c r="F426" s="68">
        <f t="shared" si="814"/>
        <v>4</v>
      </c>
      <c r="G426" s="167" t="s">
        <v>93</v>
      </c>
      <c r="H426" s="167" t="s">
        <v>115</v>
      </c>
      <c r="J426" s="167" t="s">
        <v>77</v>
      </c>
      <c r="K426" s="167" t="s">
        <v>82</v>
      </c>
      <c r="L426" s="167" t="s">
        <v>79</v>
      </c>
      <c r="M426" s="1" t="s">
        <v>1046</v>
      </c>
      <c r="N426" s="167" t="s">
        <v>124</v>
      </c>
      <c r="O426" s="167" t="s">
        <v>507</v>
      </c>
      <c r="P426" s="64" t="s">
        <v>405</v>
      </c>
      <c r="R426" s="64" t="s">
        <v>480</v>
      </c>
      <c r="S426" s="193" t="s">
        <v>104</v>
      </c>
      <c r="Y426" s="171" t="str">
        <f t="shared" si="759"/>
        <v>Pass</v>
      </c>
      <c r="Z426" s="11" t="str">
        <f t="shared" si="802"/>
        <v/>
      </c>
      <c r="AA426" s="205" t="str">
        <f t="shared" si="727"/>
        <v/>
      </c>
      <c r="AB426" s="205" t="str">
        <f t="shared" si="728"/>
        <v/>
      </c>
    </row>
    <row r="427" spans="2:28" x14ac:dyDescent="0.25">
      <c r="B427" s="65">
        <v>41745</v>
      </c>
      <c r="C427" s="66">
        <v>41745</v>
      </c>
      <c r="D427" s="68">
        <f t="shared" ref="D427:D428" si="815">IF(B427&gt;0,MONTH(B427),"False")</f>
        <v>4</v>
      </c>
      <c r="E427" s="66" t="str">
        <f t="shared" ref="E427:E428" si="816">YEAR(B427) &amp; CHOOSE(D427,"-Jan","-Feb","-Mar","-Apr","-May","-Jun","-Jul","-Aug","-Sep","-Oct","-Nov","-Dec")</f>
        <v>2014-Apr</v>
      </c>
      <c r="F427" s="68">
        <f t="shared" ref="F427:F428" si="817">IF(C427&gt;0,MONTH(C427),"False")</f>
        <v>4</v>
      </c>
      <c r="G427" s="167" t="s">
        <v>93</v>
      </c>
      <c r="H427" s="167" t="s">
        <v>115</v>
      </c>
      <c r="I427" s="167"/>
      <c r="J427" s="167" t="s">
        <v>77</v>
      </c>
      <c r="K427" s="167" t="s">
        <v>82</v>
      </c>
      <c r="L427" s="167" t="s">
        <v>79</v>
      </c>
      <c r="M427" s="1" t="s">
        <v>1047</v>
      </c>
      <c r="N427" s="167" t="s">
        <v>124</v>
      </c>
      <c r="O427" s="167" t="s">
        <v>507</v>
      </c>
      <c r="P427" s="64" t="s">
        <v>405</v>
      </c>
      <c r="R427" s="64" t="s">
        <v>480</v>
      </c>
      <c r="S427" s="193" t="s">
        <v>104</v>
      </c>
      <c r="Y427" s="171" t="str">
        <f t="shared" si="759"/>
        <v>Pass</v>
      </c>
      <c r="Z427" s="11" t="str">
        <f t="shared" si="802"/>
        <v/>
      </c>
      <c r="AA427" s="205" t="str">
        <f t="shared" si="727"/>
        <v/>
      </c>
      <c r="AB427" s="205" t="str">
        <f t="shared" si="728"/>
        <v/>
      </c>
    </row>
    <row r="428" spans="2:28" x14ac:dyDescent="0.25">
      <c r="B428" s="65">
        <v>41745</v>
      </c>
      <c r="C428" s="66">
        <v>41745</v>
      </c>
      <c r="D428" s="68">
        <f t="shared" si="815"/>
        <v>4</v>
      </c>
      <c r="E428" s="66" t="str">
        <f t="shared" si="816"/>
        <v>2014-Apr</v>
      </c>
      <c r="F428" s="68">
        <f t="shared" si="817"/>
        <v>4</v>
      </c>
      <c r="G428" s="167" t="s">
        <v>93</v>
      </c>
      <c r="H428" s="167" t="s">
        <v>115</v>
      </c>
      <c r="I428" s="167"/>
      <c r="J428" s="167" t="s">
        <v>77</v>
      </c>
      <c r="K428" s="167" t="s">
        <v>82</v>
      </c>
      <c r="L428" s="167" t="s">
        <v>79</v>
      </c>
      <c r="M428" s="1" t="s">
        <v>1048</v>
      </c>
      <c r="N428" s="167" t="s">
        <v>124</v>
      </c>
      <c r="O428" s="167" t="s">
        <v>507</v>
      </c>
      <c r="P428" s="64" t="s">
        <v>405</v>
      </c>
      <c r="R428" s="64" t="s">
        <v>480</v>
      </c>
      <c r="S428" s="193" t="s">
        <v>104</v>
      </c>
      <c r="Y428" s="171" t="str">
        <f t="shared" si="759"/>
        <v>Pass</v>
      </c>
      <c r="Z428" s="11" t="str">
        <f t="shared" si="802"/>
        <v/>
      </c>
      <c r="AA428" s="205" t="str">
        <f t="shared" si="727"/>
        <v/>
      </c>
      <c r="AB428" s="205" t="str">
        <f t="shared" si="728"/>
        <v/>
      </c>
    </row>
    <row r="429" spans="2:28" x14ac:dyDescent="0.25">
      <c r="B429" s="65">
        <v>41745</v>
      </c>
      <c r="C429" s="66">
        <v>41745</v>
      </c>
      <c r="D429" s="68">
        <f t="shared" ref="D429" si="818">IF(B429&gt;0,MONTH(B429),"False")</f>
        <v>4</v>
      </c>
      <c r="E429" s="66" t="str">
        <f t="shared" ref="E429" si="819">YEAR(B429) &amp; CHOOSE(D429,"-Jan","-Feb","-Mar","-Apr","-May","-Jun","-Jul","-Aug","-Sep","-Oct","-Nov","-Dec")</f>
        <v>2014-Apr</v>
      </c>
      <c r="F429" s="68">
        <f t="shared" ref="F429" si="820">IF(C429&gt;0,MONTH(C429),"False")</f>
        <v>4</v>
      </c>
      <c r="G429" s="180" t="s">
        <v>127</v>
      </c>
      <c r="H429" s="167" t="s">
        <v>28</v>
      </c>
      <c r="J429" s="167" t="s">
        <v>77</v>
      </c>
      <c r="K429" s="167" t="s">
        <v>82</v>
      </c>
      <c r="L429" s="167" t="s">
        <v>79</v>
      </c>
      <c r="M429" s="1" t="s">
        <v>1049</v>
      </c>
      <c r="N429" s="167" t="s">
        <v>124</v>
      </c>
      <c r="O429" s="167" t="s">
        <v>142</v>
      </c>
      <c r="P429" s="64" t="s">
        <v>334</v>
      </c>
      <c r="R429" s="64" t="s">
        <v>335</v>
      </c>
      <c r="S429" s="180" t="s">
        <v>104</v>
      </c>
      <c r="X429" s="180" t="s">
        <v>284</v>
      </c>
      <c r="Y429" s="171" t="str">
        <f t="shared" si="759"/>
        <v>Pass</v>
      </c>
      <c r="Z429" s="11" t="str">
        <f t="shared" si="802"/>
        <v/>
      </c>
      <c r="AA429" s="205" t="str">
        <f t="shared" si="727"/>
        <v/>
      </c>
      <c r="AB429" s="205" t="str">
        <f t="shared" si="728"/>
        <v/>
      </c>
    </row>
    <row r="430" spans="2:28" x14ac:dyDescent="0.25">
      <c r="B430" s="65">
        <v>41745</v>
      </c>
      <c r="C430" s="66">
        <v>41745</v>
      </c>
      <c r="D430" s="68">
        <f t="shared" ref="D430" si="821">IF(B430&gt;0,MONTH(B430),"False")</f>
        <v>4</v>
      </c>
      <c r="E430" s="66" t="str">
        <f t="shared" ref="E430" si="822">YEAR(B430) &amp; CHOOSE(D430,"-Jan","-Feb","-Mar","-Apr","-May","-Jun","-Jul","-Aug","-Sep","-Oct","-Nov","-Dec")</f>
        <v>2014-Apr</v>
      </c>
      <c r="F430" s="68">
        <f t="shared" ref="F430" si="823">IF(C430&gt;0,MONTH(C430),"False")</f>
        <v>4</v>
      </c>
      <c r="G430" s="167" t="s">
        <v>93</v>
      </c>
      <c r="H430" s="167" t="s">
        <v>136</v>
      </c>
      <c r="J430" s="167" t="s">
        <v>120</v>
      </c>
      <c r="K430" s="167" t="s">
        <v>82</v>
      </c>
      <c r="L430" s="167" t="s">
        <v>79</v>
      </c>
      <c r="M430" s="1" t="s">
        <v>1050</v>
      </c>
      <c r="N430" s="167" t="s">
        <v>124</v>
      </c>
      <c r="O430" s="167" t="s">
        <v>114</v>
      </c>
      <c r="P430" s="64" t="s">
        <v>750</v>
      </c>
      <c r="R430" s="64" t="s">
        <v>1016</v>
      </c>
      <c r="S430" s="197" t="s">
        <v>104</v>
      </c>
      <c r="T430" s="67" t="s">
        <v>110</v>
      </c>
      <c r="Y430" s="171" t="str">
        <f t="shared" si="759"/>
        <v>Pass</v>
      </c>
      <c r="Z430" s="11" t="str">
        <f t="shared" si="802"/>
        <v/>
      </c>
      <c r="AA430" s="205" t="str">
        <f t="shared" si="727"/>
        <v/>
      </c>
      <c r="AB430" s="205" t="str">
        <f t="shared" si="728"/>
        <v/>
      </c>
    </row>
    <row r="431" spans="2:28" x14ac:dyDescent="0.25">
      <c r="B431" s="65">
        <v>41745</v>
      </c>
      <c r="C431" s="66">
        <v>41745</v>
      </c>
      <c r="D431" s="68">
        <f t="shared" ref="D431" si="824">IF(B431&gt;0,MONTH(B431),"False")</f>
        <v>4</v>
      </c>
      <c r="E431" s="66" t="str">
        <f t="shared" ref="E431" si="825">YEAR(B431) &amp; CHOOSE(D431,"-Jan","-Feb","-Mar","-Apr","-May","-Jun","-Jul","-Aug","-Sep","-Oct","-Nov","-Dec")</f>
        <v>2014-Apr</v>
      </c>
      <c r="F431" s="68">
        <f t="shared" ref="F431" si="826">IF(C431&gt;0,MONTH(C431),"False")</f>
        <v>4</v>
      </c>
      <c r="G431" s="167" t="s">
        <v>93</v>
      </c>
      <c r="H431" s="167" t="s">
        <v>136</v>
      </c>
      <c r="I431" s="167"/>
      <c r="J431" s="167" t="s">
        <v>77</v>
      </c>
      <c r="K431" s="167" t="s">
        <v>82</v>
      </c>
      <c r="L431" s="167" t="s">
        <v>79</v>
      </c>
      <c r="M431" s="1" t="s">
        <v>1051</v>
      </c>
      <c r="N431" s="167" t="s">
        <v>124</v>
      </c>
      <c r="O431" s="167" t="s">
        <v>114</v>
      </c>
      <c r="P431" s="64" t="s">
        <v>750</v>
      </c>
      <c r="Q431" s="2" t="s">
        <v>88</v>
      </c>
      <c r="R431" s="64" t="s">
        <v>1016</v>
      </c>
      <c r="Y431" s="171" t="str">
        <f t="shared" si="759"/>
        <v>Obsolete</v>
      </c>
      <c r="Z431" s="11">
        <f t="shared" si="802"/>
        <v>41745</v>
      </c>
      <c r="AA431" s="205" t="str">
        <f t="shared" si="727"/>
        <v>2014 - 16</v>
      </c>
      <c r="AB431" s="205">
        <f t="shared" si="728"/>
        <v>2014</v>
      </c>
    </row>
    <row r="432" spans="2:28" x14ac:dyDescent="0.25">
      <c r="B432" s="66">
        <v>41746</v>
      </c>
      <c r="C432" s="66">
        <v>41746</v>
      </c>
      <c r="D432" s="68">
        <f t="shared" ref="D432" si="827">IF(B432&gt;0,MONTH(B432),"False")</f>
        <v>4</v>
      </c>
      <c r="E432" s="66" t="str">
        <f t="shared" ref="E432" si="828">YEAR(B432) &amp; CHOOSE(D432,"-Jan","-Feb","-Mar","-Apr","-May","-Jun","-Jul","-Aug","-Sep","-Oct","-Nov","-Dec")</f>
        <v>2014-Apr</v>
      </c>
      <c r="F432" s="68">
        <f t="shared" ref="F432" si="829">IF(C432&gt;0,MONTH(C432),"False")</f>
        <v>4</v>
      </c>
      <c r="G432" s="172" t="s">
        <v>126</v>
      </c>
      <c r="H432" s="168" t="s">
        <v>280</v>
      </c>
      <c r="J432" s="168" t="s">
        <v>119</v>
      </c>
      <c r="K432" s="168" t="s">
        <v>119</v>
      </c>
      <c r="L432" s="168" t="s">
        <v>79</v>
      </c>
      <c r="M432" s="1" t="s">
        <v>1052</v>
      </c>
      <c r="N432" s="168" t="s">
        <v>124</v>
      </c>
      <c r="O432" s="168" t="s">
        <v>304</v>
      </c>
      <c r="R432" s="64" t="s">
        <v>362</v>
      </c>
      <c r="S432" s="172" t="s">
        <v>104</v>
      </c>
      <c r="X432" s="172" t="s">
        <v>544</v>
      </c>
      <c r="Y432" s="171" t="str">
        <f t="shared" si="759"/>
        <v>Pass</v>
      </c>
      <c r="Z432" s="11" t="str">
        <f t="shared" si="802"/>
        <v/>
      </c>
      <c r="AA432" s="205" t="str">
        <f t="shared" si="727"/>
        <v/>
      </c>
      <c r="AB432" s="205" t="str">
        <f t="shared" si="728"/>
        <v/>
      </c>
    </row>
    <row r="433" spans="2:28" x14ac:dyDescent="0.25">
      <c r="B433" s="66">
        <v>41746</v>
      </c>
      <c r="C433" s="66">
        <v>41746</v>
      </c>
      <c r="D433" s="68">
        <f t="shared" ref="D433" si="830">IF(B433&gt;0,MONTH(B433),"False")</f>
        <v>4</v>
      </c>
      <c r="E433" s="66" t="str">
        <f t="shared" ref="E433" si="831">YEAR(B433) &amp; CHOOSE(D433,"-Jan","-Feb","-Mar","-Apr","-May","-Jun","-Jul","-Aug","-Sep","-Oct","-Nov","-Dec")</f>
        <v>2014-Apr</v>
      </c>
      <c r="F433" s="68">
        <f t="shared" ref="F433" si="832">IF(C433&gt;0,MONTH(C433),"False")</f>
        <v>4</v>
      </c>
      <c r="G433" s="177" t="s">
        <v>112</v>
      </c>
      <c r="H433" s="168" t="s">
        <v>28</v>
      </c>
      <c r="J433" s="168" t="s">
        <v>78</v>
      </c>
      <c r="K433" s="168" t="s">
        <v>78</v>
      </c>
      <c r="L433" s="168" t="s">
        <v>79</v>
      </c>
      <c r="M433" s="1" t="s">
        <v>1053</v>
      </c>
      <c r="N433" s="168" t="s">
        <v>124</v>
      </c>
      <c r="O433" s="168" t="s">
        <v>168</v>
      </c>
      <c r="R433" s="64" t="s">
        <v>308</v>
      </c>
      <c r="S433" s="177" t="s">
        <v>104</v>
      </c>
      <c r="T433" s="67" t="s">
        <v>110</v>
      </c>
      <c r="X433" s="177" t="s">
        <v>165</v>
      </c>
      <c r="Y433" s="171" t="str">
        <f t="shared" si="759"/>
        <v>Pass</v>
      </c>
      <c r="Z433" s="11" t="str">
        <f t="shared" si="802"/>
        <v/>
      </c>
      <c r="AA433" s="205" t="str">
        <f t="shared" si="727"/>
        <v/>
      </c>
      <c r="AB433" s="205" t="str">
        <f t="shared" si="728"/>
        <v/>
      </c>
    </row>
    <row r="434" spans="2:28" x14ac:dyDescent="0.25">
      <c r="B434" s="66">
        <v>41746</v>
      </c>
      <c r="C434" s="66">
        <v>41746</v>
      </c>
      <c r="D434" s="68">
        <f t="shared" ref="D434:D435" si="833">IF(B434&gt;0,MONTH(B434),"False")</f>
        <v>4</v>
      </c>
      <c r="E434" s="66" t="str">
        <f t="shared" ref="E434:E435" si="834">YEAR(B434) &amp; CHOOSE(D434,"-Jan","-Feb","-Mar","-Apr","-May","-Jun","-Jul","-Aug","-Sep","-Oct","-Nov","-Dec")</f>
        <v>2014-Apr</v>
      </c>
      <c r="F434" s="68">
        <f t="shared" ref="F434:F435" si="835">IF(C434&gt;0,MONTH(C434),"False")</f>
        <v>4</v>
      </c>
      <c r="G434" s="172" t="s">
        <v>126</v>
      </c>
      <c r="H434" s="168" t="s">
        <v>280</v>
      </c>
      <c r="J434" s="168" t="s">
        <v>78</v>
      </c>
      <c r="K434" s="168" t="s">
        <v>78</v>
      </c>
      <c r="L434" s="168" t="s">
        <v>79</v>
      </c>
      <c r="M434" s="1" t="s">
        <v>1054</v>
      </c>
      <c r="N434" s="168" t="s">
        <v>124</v>
      </c>
      <c r="O434" s="168" t="s">
        <v>138</v>
      </c>
      <c r="R434" s="64" t="s">
        <v>344</v>
      </c>
      <c r="S434" s="172" t="s">
        <v>104</v>
      </c>
      <c r="X434" s="172" t="s">
        <v>544</v>
      </c>
      <c r="Y434" s="171" t="str">
        <f t="shared" si="759"/>
        <v>Pass</v>
      </c>
      <c r="Z434" s="11" t="str">
        <f t="shared" si="802"/>
        <v/>
      </c>
      <c r="AA434" s="205" t="str">
        <f t="shared" si="727"/>
        <v/>
      </c>
      <c r="AB434" s="205" t="str">
        <f t="shared" si="728"/>
        <v/>
      </c>
    </row>
    <row r="435" spans="2:28" x14ac:dyDescent="0.25">
      <c r="B435" s="65">
        <v>41746</v>
      </c>
      <c r="C435" s="66">
        <v>41746</v>
      </c>
      <c r="D435" s="68">
        <f t="shared" si="833"/>
        <v>4</v>
      </c>
      <c r="E435" s="66" t="str">
        <f t="shared" si="834"/>
        <v>2014-Apr</v>
      </c>
      <c r="F435" s="68">
        <f t="shared" si="835"/>
        <v>4</v>
      </c>
      <c r="G435" s="168" t="s">
        <v>93</v>
      </c>
      <c r="H435" s="168" t="s">
        <v>136</v>
      </c>
      <c r="I435" s="168"/>
      <c r="J435" s="168" t="s">
        <v>77</v>
      </c>
      <c r="K435" s="168" t="s">
        <v>82</v>
      </c>
      <c r="L435" s="168" t="s">
        <v>79</v>
      </c>
      <c r="M435" s="1" t="s">
        <v>1055</v>
      </c>
      <c r="N435" s="168" t="s">
        <v>124</v>
      </c>
      <c r="O435" s="168" t="s">
        <v>114</v>
      </c>
      <c r="P435" s="64" t="s">
        <v>750</v>
      </c>
      <c r="R435" s="64" t="s">
        <v>1016</v>
      </c>
      <c r="S435" s="235" t="s">
        <v>104</v>
      </c>
      <c r="T435" s="67" t="s">
        <v>110</v>
      </c>
      <c r="Y435" s="171" t="str">
        <f t="shared" si="759"/>
        <v>Pass</v>
      </c>
      <c r="Z435" s="11" t="str">
        <f t="shared" si="802"/>
        <v/>
      </c>
      <c r="AA435" s="205" t="str">
        <f t="shared" si="727"/>
        <v/>
      </c>
      <c r="AB435" s="205" t="str">
        <f t="shared" si="728"/>
        <v/>
      </c>
    </row>
    <row r="436" spans="2:28" x14ac:dyDescent="0.25">
      <c r="B436" s="66">
        <v>41746</v>
      </c>
      <c r="C436" s="66">
        <v>41746</v>
      </c>
      <c r="D436" s="68">
        <f t="shared" ref="D436:D437" si="836">IF(B436&gt;0,MONTH(B436),"False")</f>
        <v>4</v>
      </c>
      <c r="E436" s="66" t="str">
        <f t="shared" ref="E436:E437" si="837">YEAR(B436) &amp; CHOOSE(D436,"-Jan","-Feb","-Mar","-Apr","-May","-Jun","-Jul","-Aug","-Sep","-Oct","-Nov","-Dec")</f>
        <v>2014-Apr</v>
      </c>
      <c r="F436" s="68">
        <f t="shared" ref="F436:F437" si="838">IF(C436&gt;0,MONTH(C436),"False")</f>
        <v>4</v>
      </c>
      <c r="G436" s="168" t="s">
        <v>87</v>
      </c>
      <c r="H436" s="168" t="s">
        <v>166</v>
      </c>
      <c r="J436" s="168" t="s">
        <v>150</v>
      </c>
      <c r="K436" s="168" t="s">
        <v>84</v>
      </c>
      <c r="L436" s="168" t="s">
        <v>83</v>
      </c>
      <c r="M436" s="1" t="s">
        <v>1056</v>
      </c>
      <c r="N436" s="168" t="s">
        <v>124</v>
      </c>
      <c r="O436" s="168" t="s">
        <v>264</v>
      </c>
      <c r="R436" s="64" t="s">
        <v>1057</v>
      </c>
      <c r="Y436" s="171" t="str">
        <f t="shared" si="759"/>
        <v>Unknown</v>
      </c>
      <c r="Z436" s="11" t="str">
        <f t="shared" si="802"/>
        <v/>
      </c>
      <c r="AA436" s="205" t="str">
        <f t="shared" si="727"/>
        <v/>
      </c>
      <c r="AB436" s="205" t="str">
        <f t="shared" si="728"/>
        <v/>
      </c>
    </row>
    <row r="437" spans="2:28" x14ac:dyDescent="0.25">
      <c r="B437" s="65">
        <v>41746</v>
      </c>
      <c r="C437" s="66">
        <v>41746</v>
      </c>
      <c r="D437" s="68">
        <f t="shared" si="836"/>
        <v>4</v>
      </c>
      <c r="E437" s="66" t="str">
        <f t="shared" si="837"/>
        <v>2014-Apr</v>
      </c>
      <c r="F437" s="68">
        <f t="shared" si="838"/>
        <v>4</v>
      </c>
      <c r="G437" s="168" t="s">
        <v>93</v>
      </c>
      <c r="H437" s="168" t="s">
        <v>136</v>
      </c>
      <c r="I437" s="168"/>
      <c r="J437" s="168" t="s">
        <v>77</v>
      </c>
      <c r="K437" s="168" t="s">
        <v>82</v>
      </c>
      <c r="L437" s="168" t="s">
        <v>79</v>
      </c>
      <c r="M437" s="1" t="s">
        <v>1058</v>
      </c>
      <c r="N437" s="168" t="s">
        <v>124</v>
      </c>
      <c r="O437" s="168" t="s">
        <v>507</v>
      </c>
      <c r="P437" s="64" t="s">
        <v>750</v>
      </c>
      <c r="R437" s="64" t="s">
        <v>1016</v>
      </c>
      <c r="S437" s="235" t="s">
        <v>104</v>
      </c>
      <c r="Y437" s="171" t="str">
        <f t="shared" si="759"/>
        <v>Pass</v>
      </c>
      <c r="Z437" s="11" t="str">
        <f t="shared" si="802"/>
        <v/>
      </c>
      <c r="AA437" s="205" t="str">
        <f t="shared" si="727"/>
        <v/>
      </c>
      <c r="AB437" s="205" t="str">
        <f t="shared" si="728"/>
        <v/>
      </c>
    </row>
    <row r="438" spans="2:28" x14ac:dyDescent="0.25">
      <c r="B438" s="66">
        <v>41746</v>
      </c>
      <c r="C438" s="66">
        <v>41746</v>
      </c>
      <c r="D438" s="68">
        <f t="shared" ref="D438" si="839">IF(B438&gt;0,MONTH(B438),"False")</f>
        <v>4</v>
      </c>
      <c r="E438" s="66" t="str">
        <f t="shared" ref="E438" si="840">YEAR(B438) &amp; CHOOSE(D438,"-Jan","-Feb","-Mar","-Apr","-May","-Jun","-Jul","-Aug","-Sep","-Oct","-Nov","-Dec")</f>
        <v>2014-Apr</v>
      </c>
      <c r="F438" s="68">
        <f t="shared" ref="F438" si="841">IF(C438&gt;0,MONTH(C438),"False")</f>
        <v>4</v>
      </c>
      <c r="G438" s="168" t="s">
        <v>87</v>
      </c>
      <c r="H438" s="168" t="s">
        <v>166</v>
      </c>
      <c r="J438" s="168" t="s">
        <v>149</v>
      </c>
      <c r="K438" s="168" t="s">
        <v>84</v>
      </c>
      <c r="L438" s="168" t="s">
        <v>83</v>
      </c>
      <c r="M438" s="1" t="s">
        <v>1059</v>
      </c>
      <c r="N438" s="168" t="s">
        <v>124</v>
      </c>
      <c r="O438" s="169" t="s">
        <v>264</v>
      </c>
      <c r="R438" s="64" t="s">
        <v>1060</v>
      </c>
      <c r="Y438" s="171" t="str">
        <f t="shared" si="759"/>
        <v>Unknown</v>
      </c>
      <c r="Z438" s="11" t="str">
        <f t="shared" si="802"/>
        <v/>
      </c>
      <c r="AA438" s="205" t="str">
        <f t="shared" si="727"/>
        <v/>
      </c>
      <c r="AB438" s="205" t="str">
        <f t="shared" si="728"/>
        <v/>
      </c>
    </row>
    <row r="439" spans="2:28" x14ac:dyDescent="0.25">
      <c r="B439" s="66">
        <v>41747</v>
      </c>
      <c r="C439" s="66">
        <v>41747</v>
      </c>
      <c r="D439" s="68">
        <f t="shared" ref="D439:D440" si="842">IF(B439&gt;0,MONTH(B439),"False")</f>
        <v>4</v>
      </c>
      <c r="E439" s="66" t="str">
        <f t="shared" ref="E439:E440" si="843">YEAR(B439) &amp; CHOOSE(D439,"-Jan","-Feb","-Mar","-Apr","-May","-Jun","-Jul","-Aug","-Sep","-Oct","-Nov","-Dec")</f>
        <v>2014-Apr</v>
      </c>
      <c r="F439" s="68">
        <f t="shared" ref="F439:F440" si="844">IF(C439&gt;0,MONTH(C439),"False")</f>
        <v>4</v>
      </c>
      <c r="G439" s="172" t="s">
        <v>126</v>
      </c>
      <c r="H439" s="169" t="s">
        <v>280</v>
      </c>
      <c r="J439" s="169" t="s">
        <v>78</v>
      </c>
      <c r="K439" s="169" t="s">
        <v>78</v>
      </c>
      <c r="L439" s="169" t="s">
        <v>79</v>
      </c>
      <c r="M439" s="1" t="s">
        <v>1061</v>
      </c>
      <c r="N439" s="169" t="s">
        <v>124</v>
      </c>
      <c r="O439" s="169" t="s">
        <v>304</v>
      </c>
      <c r="R439" s="64" t="s">
        <v>344</v>
      </c>
      <c r="S439" s="172" t="s">
        <v>104</v>
      </c>
      <c r="X439" s="172" t="s">
        <v>544</v>
      </c>
      <c r="Y439" s="171" t="str">
        <f t="shared" si="759"/>
        <v>Pass</v>
      </c>
      <c r="Z439" s="11" t="str">
        <f t="shared" si="802"/>
        <v/>
      </c>
      <c r="AA439" s="205" t="str">
        <f t="shared" si="727"/>
        <v/>
      </c>
      <c r="AB439" s="205" t="str">
        <f t="shared" si="728"/>
        <v/>
      </c>
    </row>
    <row r="440" spans="2:28" x14ac:dyDescent="0.25">
      <c r="B440" s="65">
        <v>41747</v>
      </c>
      <c r="C440" s="66">
        <v>41747</v>
      </c>
      <c r="D440" s="68">
        <f t="shared" si="842"/>
        <v>4</v>
      </c>
      <c r="E440" s="66" t="str">
        <f t="shared" si="843"/>
        <v>2014-Apr</v>
      </c>
      <c r="F440" s="68">
        <f t="shared" si="844"/>
        <v>4</v>
      </c>
      <c r="G440" s="173" t="s">
        <v>105</v>
      </c>
      <c r="H440" s="169" t="s">
        <v>280</v>
      </c>
      <c r="J440" s="169" t="s">
        <v>81</v>
      </c>
      <c r="K440" s="169" t="s">
        <v>82</v>
      </c>
      <c r="L440" s="169" t="s">
        <v>79</v>
      </c>
      <c r="M440" s="1" t="s">
        <v>1062</v>
      </c>
      <c r="N440" s="169" t="s">
        <v>124</v>
      </c>
      <c r="O440" s="169" t="s">
        <v>286</v>
      </c>
      <c r="P440" s="64" t="s">
        <v>305</v>
      </c>
      <c r="R440" s="64" t="s">
        <v>1031</v>
      </c>
      <c r="S440" s="173" t="s">
        <v>104</v>
      </c>
      <c r="T440" s="67" t="s">
        <v>110</v>
      </c>
      <c r="X440" s="173" t="s">
        <v>544</v>
      </c>
      <c r="Y440" s="171" t="str">
        <f t="shared" si="759"/>
        <v>Pass</v>
      </c>
      <c r="Z440" s="11" t="str">
        <f t="shared" si="802"/>
        <v/>
      </c>
      <c r="AA440" s="205" t="str">
        <f t="shared" si="727"/>
        <v/>
      </c>
      <c r="AB440" s="205" t="str">
        <f t="shared" si="728"/>
        <v/>
      </c>
    </row>
    <row r="441" spans="2:28" x14ac:dyDescent="0.25">
      <c r="B441" s="65">
        <v>41747</v>
      </c>
      <c r="C441" s="66">
        <v>41747</v>
      </c>
      <c r="D441" s="68">
        <f t="shared" ref="D441" si="845">IF(B441&gt;0,MONTH(B441),"False")</f>
        <v>4</v>
      </c>
      <c r="E441" s="66" t="str">
        <f t="shared" ref="E441" si="846">YEAR(B441) &amp; CHOOSE(D441,"-Jan","-Feb","-Mar","-Apr","-May","-Jun","-Jul","-Aug","-Sep","-Oct","-Nov","-Dec")</f>
        <v>2014-Apr</v>
      </c>
      <c r="F441" s="68">
        <f t="shared" ref="F441" si="847">IF(C441&gt;0,MONTH(C441),"False")</f>
        <v>4</v>
      </c>
      <c r="G441" s="169" t="s">
        <v>93</v>
      </c>
      <c r="H441" s="169" t="s">
        <v>28</v>
      </c>
      <c r="J441" s="169" t="s">
        <v>77</v>
      </c>
      <c r="K441" s="169" t="s">
        <v>82</v>
      </c>
      <c r="L441" s="169" t="s">
        <v>79</v>
      </c>
      <c r="M441" s="1" t="s">
        <v>1063</v>
      </c>
      <c r="N441" s="169" t="s">
        <v>124</v>
      </c>
      <c r="O441" s="169" t="s">
        <v>162</v>
      </c>
      <c r="P441" s="64" t="s">
        <v>334</v>
      </c>
      <c r="Q441" s="2" t="s">
        <v>88</v>
      </c>
      <c r="R441" s="64" t="s">
        <v>335</v>
      </c>
      <c r="Y441" s="171" t="str">
        <f t="shared" si="759"/>
        <v>Obsolete</v>
      </c>
      <c r="Z441" s="11">
        <f t="shared" si="802"/>
        <v>41747</v>
      </c>
      <c r="AA441" s="205" t="str">
        <f>IFERROR(YEAR(Z441)&amp;" - "&amp; IF(LEN( WEEKNUM(Z441))=1,"0" &amp; WEEKNUM(Z441),WEEKNUM(Z441)),"")</f>
        <v>2014 - 16</v>
      </c>
      <c r="AB441" s="205">
        <f>IFERROR(YEAR(Z441),"")</f>
        <v>2014</v>
      </c>
    </row>
    <row r="442" spans="2:28" x14ac:dyDescent="0.25">
      <c r="B442" s="65">
        <v>41747</v>
      </c>
      <c r="C442" s="66">
        <v>41747</v>
      </c>
      <c r="D442" s="68">
        <f t="shared" ref="D442" si="848">IF(B442&gt;0,MONTH(B442),"False")</f>
        <v>4</v>
      </c>
      <c r="E442" s="66" t="str">
        <f t="shared" ref="E442" si="849">YEAR(B442) &amp; CHOOSE(D442,"-Jan","-Feb","-Mar","-Apr","-May","-Jun","-Jul","-Aug","-Sep","-Oct","-Nov","-Dec")</f>
        <v>2014-Apr</v>
      </c>
      <c r="F442" s="68">
        <f t="shared" ref="F442" si="850">IF(C442&gt;0,MONTH(C442),"False")</f>
        <v>4</v>
      </c>
      <c r="G442" s="169" t="s">
        <v>93</v>
      </c>
      <c r="H442" s="169" t="s">
        <v>136</v>
      </c>
      <c r="J442" s="169" t="s">
        <v>77</v>
      </c>
      <c r="K442" s="169" t="s">
        <v>82</v>
      </c>
      <c r="L442" s="169" t="s">
        <v>79</v>
      </c>
      <c r="M442" s="1" t="s">
        <v>1064</v>
      </c>
      <c r="N442" s="169" t="s">
        <v>124</v>
      </c>
      <c r="O442" s="169" t="s">
        <v>507</v>
      </c>
      <c r="P442" s="64" t="s">
        <v>750</v>
      </c>
      <c r="R442" s="64" t="s">
        <v>1016</v>
      </c>
      <c r="S442" s="235" t="s">
        <v>104</v>
      </c>
      <c r="Y442" s="171" t="str">
        <f t="shared" si="759"/>
        <v>Pass</v>
      </c>
      <c r="Z442" s="11" t="str">
        <f t="shared" si="802"/>
        <v/>
      </c>
      <c r="AA442" s="205" t="str">
        <f t="shared" ref="AA442:AA462" si="851">IFERROR(YEAR(Z442)&amp;" - "&amp; IF(LEN( WEEKNUM(Z442))=1,"0" &amp; WEEKNUM(Z442),WEEKNUM(Z442)),"")</f>
        <v/>
      </c>
      <c r="AB442" s="205" t="str">
        <f t="shared" ref="AB442:AB462" si="852">IFERROR(YEAR(Z442),"")</f>
        <v/>
      </c>
    </row>
    <row r="443" spans="2:28" x14ac:dyDescent="0.25">
      <c r="B443" s="65">
        <v>41747</v>
      </c>
      <c r="C443" s="66">
        <v>41747</v>
      </c>
      <c r="D443" s="68">
        <f t="shared" ref="D443" si="853">IF(B443&gt;0,MONTH(B443),"False")</f>
        <v>4</v>
      </c>
      <c r="E443" s="66" t="str">
        <f t="shared" ref="E443" si="854">YEAR(B443) &amp; CHOOSE(D443,"-Jan","-Feb","-Mar","-Apr","-May","-Jun","-Jul","-Aug","-Sep","-Oct","-Nov","-Dec")</f>
        <v>2014-Apr</v>
      </c>
      <c r="F443" s="68">
        <f t="shared" ref="F443" si="855">IF(C443&gt;0,MONTH(C443),"False")</f>
        <v>4</v>
      </c>
      <c r="G443" s="169" t="s">
        <v>93</v>
      </c>
      <c r="H443" s="169" t="s">
        <v>136</v>
      </c>
      <c r="I443" s="169"/>
      <c r="J443" s="169" t="s">
        <v>77</v>
      </c>
      <c r="K443" s="169" t="s">
        <v>82</v>
      </c>
      <c r="L443" s="169" t="s">
        <v>79</v>
      </c>
      <c r="M443" s="169" t="s">
        <v>1065</v>
      </c>
      <c r="N443" s="169" t="s">
        <v>124</v>
      </c>
      <c r="O443" s="169" t="s">
        <v>507</v>
      </c>
      <c r="P443" s="64" t="s">
        <v>750</v>
      </c>
      <c r="R443" s="64" t="s">
        <v>1016</v>
      </c>
      <c r="Y443" s="171" t="str">
        <f t="shared" si="759"/>
        <v>Unknown</v>
      </c>
      <c r="Z443" s="11" t="str">
        <f t="shared" si="802"/>
        <v/>
      </c>
      <c r="AA443" s="205" t="str">
        <f t="shared" si="851"/>
        <v/>
      </c>
      <c r="AB443" s="205" t="str">
        <f t="shared" si="852"/>
        <v/>
      </c>
    </row>
    <row r="444" spans="2:28" x14ac:dyDescent="0.25">
      <c r="B444" s="65">
        <v>41747</v>
      </c>
      <c r="C444" s="66">
        <v>41747</v>
      </c>
      <c r="D444" s="68">
        <f t="shared" ref="D444:D445" si="856">IF(B444&gt;0,MONTH(B444),"False")</f>
        <v>4</v>
      </c>
      <c r="E444" s="66" t="str">
        <f t="shared" ref="E444:E445" si="857">YEAR(B444) &amp; CHOOSE(D444,"-Jan","-Feb","-Mar","-Apr","-May","-Jun","-Jul","-Aug","-Sep","-Oct","-Nov","-Dec")</f>
        <v>2014-Apr</v>
      </c>
      <c r="F444" s="68">
        <f t="shared" ref="F444:F445" si="858">IF(C444&gt;0,MONTH(C444),"False")</f>
        <v>4</v>
      </c>
      <c r="G444" s="173" t="s">
        <v>105</v>
      </c>
      <c r="H444" s="169" t="s">
        <v>280</v>
      </c>
      <c r="J444" s="169" t="s">
        <v>81</v>
      </c>
      <c r="K444" s="169" t="s">
        <v>82</v>
      </c>
      <c r="L444" s="169" t="s">
        <v>79</v>
      </c>
      <c r="M444" s="1" t="s">
        <v>1066</v>
      </c>
      <c r="N444" s="169" t="s">
        <v>124</v>
      </c>
      <c r="O444" s="169" t="s">
        <v>286</v>
      </c>
      <c r="P444" s="64" t="s">
        <v>305</v>
      </c>
      <c r="R444" s="64" t="s">
        <v>1031</v>
      </c>
      <c r="S444" s="173" t="s">
        <v>104</v>
      </c>
      <c r="X444" s="173" t="s">
        <v>544</v>
      </c>
      <c r="Y444" s="171" t="str">
        <f t="shared" si="759"/>
        <v>Pass</v>
      </c>
      <c r="Z444" s="11" t="str">
        <f t="shared" si="802"/>
        <v/>
      </c>
      <c r="AA444" s="205" t="str">
        <f t="shared" si="851"/>
        <v/>
      </c>
      <c r="AB444" s="205" t="str">
        <f t="shared" si="852"/>
        <v/>
      </c>
    </row>
    <row r="445" spans="2:28" x14ac:dyDescent="0.25">
      <c r="B445" s="66">
        <v>41747</v>
      </c>
      <c r="C445" s="66">
        <v>41747</v>
      </c>
      <c r="D445" s="68">
        <f t="shared" si="856"/>
        <v>4</v>
      </c>
      <c r="E445" s="66" t="str">
        <f t="shared" si="857"/>
        <v>2014-Apr</v>
      </c>
      <c r="F445" s="68">
        <f t="shared" si="858"/>
        <v>4</v>
      </c>
      <c r="G445" s="169" t="s">
        <v>87</v>
      </c>
      <c r="H445" s="169" t="s">
        <v>136</v>
      </c>
      <c r="J445" s="169" t="s">
        <v>150</v>
      </c>
      <c r="K445" s="169" t="s">
        <v>84</v>
      </c>
      <c r="L445" s="169" t="s">
        <v>83</v>
      </c>
      <c r="M445" s="1" t="s">
        <v>1067</v>
      </c>
      <c r="N445" s="169" t="s">
        <v>124</v>
      </c>
      <c r="O445" s="169" t="s">
        <v>299</v>
      </c>
      <c r="R445" s="64" t="s">
        <v>1068</v>
      </c>
      <c r="Y445" s="171" t="str">
        <f t="shared" si="759"/>
        <v>Unknown</v>
      </c>
      <c r="Z445" s="11" t="str">
        <f t="shared" si="802"/>
        <v/>
      </c>
      <c r="AA445" s="205" t="str">
        <f t="shared" si="851"/>
        <v/>
      </c>
      <c r="AB445" s="205" t="str">
        <f t="shared" si="852"/>
        <v/>
      </c>
    </row>
    <row r="446" spans="2:28" x14ac:dyDescent="0.25">
      <c r="B446" s="66">
        <v>41747</v>
      </c>
      <c r="C446" s="66">
        <v>41747</v>
      </c>
      <c r="D446" s="68">
        <f t="shared" ref="D446:D447" si="859">IF(B446&gt;0,MONTH(B446),"False")</f>
        <v>4</v>
      </c>
      <c r="E446" s="66" t="str">
        <f t="shared" ref="E446:E447" si="860">YEAR(B446) &amp; CHOOSE(D446,"-Jan","-Feb","-Mar","-Apr","-May","-Jun","-Jul","-Aug","-Sep","-Oct","-Nov","-Dec")</f>
        <v>2014-Apr</v>
      </c>
      <c r="F446" s="68">
        <f t="shared" ref="F446:F447" si="861">IF(C446&gt;0,MONTH(C446),"False")</f>
        <v>4</v>
      </c>
      <c r="G446" s="169" t="s">
        <v>87</v>
      </c>
      <c r="H446" s="169" t="s">
        <v>136</v>
      </c>
      <c r="I446" s="169"/>
      <c r="J446" s="169" t="s">
        <v>149</v>
      </c>
      <c r="K446" s="169" t="s">
        <v>84</v>
      </c>
      <c r="L446" s="169" t="s">
        <v>83</v>
      </c>
      <c r="M446" s="169" t="s">
        <v>1069</v>
      </c>
      <c r="N446" s="169" t="s">
        <v>124</v>
      </c>
      <c r="O446" s="169" t="s">
        <v>299</v>
      </c>
      <c r="P446" s="169"/>
      <c r="R446" s="64" t="s">
        <v>1068</v>
      </c>
      <c r="T446" s="67" t="s">
        <v>110</v>
      </c>
      <c r="Y446" s="171" t="str">
        <f t="shared" si="759"/>
        <v>Unknown</v>
      </c>
      <c r="Z446" s="11" t="str">
        <f t="shared" si="802"/>
        <v/>
      </c>
      <c r="AA446" s="205" t="str">
        <f t="shared" si="851"/>
        <v/>
      </c>
      <c r="AB446" s="205" t="str">
        <f t="shared" si="852"/>
        <v/>
      </c>
    </row>
    <row r="447" spans="2:28" x14ac:dyDescent="0.25">
      <c r="B447" s="65">
        <v>41750</v>
      </c>
      <c r="C447" s="66">
        <v>41750</v>
      </c>
      <c r="D447" s="68">
        <f t="shared" si="859"/>
        <v>4</v>
      </c>
      <c r="E447" s="66" t="str">
        <f t="shared" si="860"/>
        <v>2014-Apr</v>
      </c>
      <c r="F447" s="68">
        <f t="shared" si="861"/>
        <v>4</v>
      </c>
      <c r="G447" s="170" t="s">
        <v>93</v>
      </c>
      <c r="H447" s="170" t="s">
        <v>136</v>
      </c>
      <c r="J447" s="170" t="s">
        <v>77</v>
      </c>
      <c r="K447" s="170" t="s">
        <v>82</v>
      </c>
      <c r="L447" s="170" t="s">
        <v>79</v>
      </c>
      <c r="M447" s="1" t="s">
        <v>1070</v>
      </c>
      <c r="N447" s="170" t="s">
        <v>124</v>
      </c>
      <c r="O447" s="170" t="s">
        <v>507</v>
      </c>
      <c r="P447" s="64" t="s">
        <v>750</v>
      </c>
      <c r="R447" s="64" t="s">
        <v>1071</v>
      </c>
      <c r="S447" s="235" t="s">
        <v>104</v>
      </c>
      <c r="T447" s="67" t="s">
        <v>110</v>
      </c>
      <c r="Y447" s="171" t="str">
        <f t="shared" si="759"/>
        <v>Pass</v>
      </c>
      <c r="Z447" s="11" t="str">
        <f t="shared" si="802"/>
        <v/>
      </c>
      <c r="AA447" s="205" t="str">
        <f t="shared" si="851"/>
        <v/>
      </c>
      <c r="AB447" s="205" t="str">
        <f t="shared" si="852"/>
        <v/>
      </c>
    </row>
    <row r="448" spans="2:28" x14ac:dyDescent="0.25">
      <c r="B448" s="66">
        <v>41750</v>
      </c>
      <c r="C448" s="66">
        <v>41750</v>
      </c>
      <c r="D448" s="68">
        <f t="shared" ref="D448:D449" si="862">IF(B448&gt;0,MONTH(B448),"False")</f>
        <v>4</v>
      </c>
      <c r="E448" s="66" t="str">
        <f t="shared" ref="E448:E449" si="863">YEAR(B448) &amp; CHOOSE(D448,"-Jan","-Feb","-Mar","-Apr","-May","-Jun","-Jul","-Aug","-Sep","-Oct","-Nov","-Dec")</f>
        <v>2014-Apr</v>
      </c>
      <c r="F448" s="68">
        <f t="shared" ref="F448:F449" si="864">IF(C448&gt;0,MONTH(C448),"False")</f>
        <v>4</v>
      </c>
      <c r="G448" s="170" t="s">
        <v>87</v>
      </c>
      <c r="H448" s="170" t="s">
        <v>136</v>
      </c>
      <c r="J448" s="170" t="s">
        <v>78</v>
      </c>
      <c r="K448" s="170" t="s">
        <v>78</v>
      </c>
      <c r="L448" s="170" t="s">
        <v>79</v>
      </c>
      <c r="M448" s="1" t="s">
        <v>1072</v>
      </c>
      <c r="N448" s="170" t="s">
        <v>124</v>
      </c>
      <c r="O448" s="170" t="s">
        <v>332</v>
      </c>
      <c r="R448" s="64" t="s">
        <v>1073</v>
      </c>
      <c r="Y448" s="171" t="str">
        <f t="shared" si="759"/>
        <v>Unknown</v>
      </c>
      <c r="Z448" s="11" t="str">
        <f t="shared" si="802"/>
        <v/>
      </c>
      <c r="AA448" s="205" t="str">
        <f t="shared" si="851"/>
        <v/>
      </c>
      <c r="AB448" s="205" t="str">
        <f t="shared" si="852"/>
        <v/>
      </c>
    </row>
    <row r="449" spans="2:28" x14ac:dyDescent="0.25">
      <c r="B449" s="65">
        <v>41750</v>
      </c>
      <c r="C449" s="66">
        <v>41750</v>
      </c>
      <c r="D449" s="68">
        <f t="shared" si="862"/>
        <v>4</v>
      </c>
      <c r="E449" s="66" t="str">
        <f t="shared" si="863"/>
        <v>2014-Apr</v>
      </c>
      <c r="F449" s="68">
        <f t="shared" si="864"/>
        <v>4</v>
      </c>
      <c r="G449" s="171" t="s">
        <v>105</v>
      </c>
      <c r="H449" s="170" t="s">
        <v>280</v>
      </c>
      <c r="J449" s="170" t="s">
        <v>81</v>
      </c>
      <c r="K449" s="170" t="s">
        <v>82</v>
      </c>
      <c r="L449" s="170" t="s">
        <v>79</v>
      </c>
      <c r="M449" s="1" t="s">
        <v>1074</v>
      </c>
      <c r="N449" s="170" t="s">
        <v>124</v>
      </c>
      <c r="O449" s="170" t="s">
        <v>301</v>
      </c>
      <c r="P449" s="64" t="s">
        <v>305</v>
      </c>
      <c r="R449" s="64" t="s">
        <v>1031</v>
      </c>
      <c r="S449" s="171" t="s">
        <v>104</v>
      </c>
      <c r="X449" s="171" t="s">
        <v>544</v>
      </c>
      <c r="Y449" s="171" t="str">
        <f t="shared" si="759"/>
        <v>Pass</v>
      </c>
      <c r="Z449" s="11" t="str">
        <f t="shared" si="802"/>
        <v/>
      </c>
      <c r="AA449" s="205" t="str">
        <f t="shared" si="851"/>
        <v/>
      </c>
      <c r="AB449" s="205" t="str">
        <f t="shared" si="852"/>
        <v/>
      </c>
    </row>
    <row r="450" spans="2:28" x14ac:dyDescent="0.25">
      <c r="B450" s="65">
        <v>41750</v>
      </c>
      <c r="C450" s="66">
        <v>41750</v>
      </c>
      <c r="D450" s="68">
        <f t="shared" ref="D450" si="865">IF(B450&gt;0,MONTH(B450),"False")</f>
        <v>4</v>
      </c>
      <c r="E450" s="66" t="str">
        <f t="shared" ref="E450" si="866">YEAR(B450) &amp; CHOOSE(D450,"-Jan","-Feb","-Mar","-Apr","-May","-Jun","-Jul","-Aug","-Sep","-Oct","-Nov","-Dec")</f>
        <v>2014-Apr</v>
      </c>
      <c r="F450" s="68">
        <f t="shared" ref="F450" si="867">IF(C450&gt;0,MONTH(C450),"False")</f>
        <v>4</v>
      </c>
      <c r="G450" s="174" t="s">
        <v>105</v>
      </c>
      <c r="H450" s="170" t="s">
        <v>280</v>
      </c>
      <c r="I450" s="170"/>
      <c r="J450" s="170" t="s">
        <v>81</v>
      </c>
      <c r="K450" s="170" t="s">
        <v>82</v>
      </c>
      <c r="L450" s="170" t="s">
        <v>79</v>
      </c>
      <c r="M450" s="170" t="s">
        <v>1075</v>
      </c>
      <c r="N450" s="170" t="s">
        <v>124</v>
      </c>
      <c r="O450" s="170" t="s">
        <v>301</v>
      </c>
      <c r="P450" s="64" t="s">
        <v>305</v>
      </c>
      <c r="R450" s="64" t="s">
        <v>1031</v>
      </c>
      <c r="S450" s="174" t="s">
        <v>104</v>
      </c>
      <c r="X450" s="174" t="s">
        <v>544</v>
      </c>
      <c r="Y450" s="171" t="str">
        <f t="shared" si="759"/>
        <v>Pass</v>
      </c>
      <c r="Z450" s="11" t="str">
        <f t="shared" si="802"/>
        <v/>
      </c>
      <c r="AA450" s="205" t="str">
        <f t="shared" si="851"/>
        <v/>
      </c>
      <c r="AB450" s="205" t="str">
        <f t="shared" si="852"/>
        <v/>
      </c>
    </row>
    <row r="451" spans="2:28" x14ac:dyDescent="0.25">
      <c r="B451" s="66">
        <v>41750</v>
      </c>
      <c r="C451" s="66">
        <v>41750</v>
      </c>
      <c r="D451" s="68">
        <f t="shared" ref="D451" si="868">IF(B451&gt;0,MONTH(B451),"False")</f>
        <v>4</v>
      </c>
      <c r="E451" s="66" t="str">
        <f t="shared" ref="E451" si="869">YEAR(B451) &amp; CHOOSE(D451,"-Jan","-Feb","-Mar","-Apr","-May","-Jun","-Jul","-Aug","-Sep","-Oct","-Nov","-Dec")</f>
        <v>2014-Apr</v>
      </c>
      <c r="F451" s="68">
        <f t="shared" ref="F451" si="870">IF(C451&gt;0,MONTH(C451),"False")</f>
        <v>4</v>
      </c>
      <c r="G451" s="170" t="s">
        <v>87</v>
      </c>
      <c r="H451" s="170" t="s">
        <v>166</v>
      </c>
      <c r="J451" s="170" t="s">
        <v>120</v>
      </c>
      <c r="K451" s="170" t="s">
        <v>82</v>
      </c>
      <c r="L451" s="170" t="s">
        <v>83</v>
      </c>
      <c r="M451" s="1" t="s">
        <v>1076</v>
      </c>
      <c r="N451" s="170" t="s">
        <v>124</v>
      </c>
      <c r="O451" s="170" t="s">
        <v>147</v>
      </c>
      <c r="R451" s="64" t="s">
        <v>864</v>
      </c>
      <c r="Y451" s="171" t="str">
        <f t="shared" si="759"/>
        <v>Unknown</v>
      </c>
      <c r="Z451" s="11" t="str">
        <f t="shared" si="802"/>
        <v/>
      </c>
      <c r="AA451" s="205" t="str">
        <f t="shared" si="851"/>
        <v/>
      </c>
      <c r="AB451" s="205" t="str">
        <f t="shared" si="852"/>
        <v/>
      </c>
    </row>
    <row r="452" spans="2:28" x14ac:dyDescent="0.25">
      <c r="B452" s="66">
        <v>41750</v>
      </c>
      <c r="C452" s="66">
        <v>41750</v>
      </c>
      <c r="D452" s="68">
        <f t="shared" ref="D452:D454" si="871">IF(B452&gt;0,MONTH(B452),"False")</f>
        <v>4</v>
      </c>
      <c r="E452" s="66" t="str">
        <f t="shared" ref="E452:E454" si="872">YEAR(B452) &amp; CHOOSE(D452,"-Jan","-Feb","-Mar","-Apr","-May","-Jun","-Jul","-Aug","-Sep","-Oct","-Nov","-Dec")</f>
        <v>2014-Apr</v>
      </c>
      <c r="F452" s="68">
        <f t="shared" ref="F452:F454" si="873">IF(C452&gt;0,MONTH(C452),"False")</f>
        <v>4</v>
      </c>
      <c r="G452" s="170" t="s">
        <v>87</v>
      </c>
      <c r="H452" s="170" t="s">
        <v>166</v>
      </c>
      <c r="J452" s="170" t="s">
        <v>77</v>
      </c>
      <c r="K452" s="170" t="s">
        <v>82</v>
      </c>
      <c r="L452" s="170" t="s">
        <v>83</v>
      </c>
      <c r="M452" s="1" t="s">
        <v>1077</v>
      </c>
      <c r="N452" s="170" t="s">
        <v>124</v>
      </c>
      <c r="O452" s="170" t="s">
        <v>353</v>
      </c>
      <c r="R452" s="64" t="s">
        <v>862</v>
      </c>
      <c r="Y452" s="171" t="str">
        <f t="shared" si="759"/>
        <v>Unknown</v>
      </c>
      <c r="Z452" s="11" t="str">
        <f t="shared" si="802"/>
        <v/>
      </c>
      <c r="AA452" s="205" t="str">
        <f t="shared" si="851"/>
        <v/>
      </c>
      <c r="AB452" s="205" t="str">
        <f t="shared" si="852"/>
        <v/>
      </c>
    </row>
    <row r="453" spans="2:28" x14ac:dyDescent="0.25">
      <c r="B453" s="65">
        <v>41750</v>
      </c>
      <c r="C453" s="66">
        <v>41751</v>
      </c>
      <c r="D453" s="68">
        <f t="shared" si="871"/>
        <v>4</v>
      </c>
      <c r="E453" s="66" t="str">
        <f t="shared" si="872"/>
        <v>2014-Apr</v>
      </c>
      <c r="F453" s="68">
        <f t="shared" si="873"/>
        <v>4</v>
      </c>
      <c r="G453" s="171" t="s">
        <v>93</v>
      </c>
      <c r="H453" s="170" t="s">
        <v>136</v>
      </c>
      <c r="J453" s="170" t="s">
        <v>120</v>
      </c>
      <c r="K453" s="170" t="s">
        <v>82</v>
      </c>
      <c r="L453" s="170" t="s">
        <v>79</v>
      </c>
      <c r="M453" s="1" t="s">
        <v>1078</v>
      </c>
      <c r="N453" s="170" t="s">
        <v>124</v>
      </c>
      <c r="O453" s="170" t="s">
        <v>507</v>
      </c>
      <c r="P453" s="64" t="s">
        <v>750</v>
      </c>
      <c r="R453" s="64" t="s">
        <v>1071</v>
      </c>
      <c r="S453" s="197" t="s">
        <v>104</v>
      </c>
      <c r="T453" s="67" t="s">
        <v>110</v>
      </c>
      <c r="Y453" s="171" t="str">
        <f t="shared" si="759"/>
        <v>Pass</v>
      </c>
      <c r="Z453" s="11" t="str">
        <f t="shared" si="802"/>
        <v/>
      </c>
      <c r="AA453" s="205" t="str">
        <f t="shared" si="851"/>
        <v/>
      </c>
      <c r="AB453" s="205" t="str">
        <f t="shared" si="852"/>
        <v/>
      </c>
    </row>
    <row r="454" spans="2:28" x14ac:dyDescent="0.25">
      <c r="B454" s="65">
        <v>41751</v>
      </c>
      <c r="C454" s="66">
        <v>41751</v>
      </c>
      <c r="D454" s="68">
        <f t="shared" si="871"/>
        <v>4</v>
      </c>
      <c r="E454" s="66" t="str">
        <f t="shared" si="872"/>
        <v>2014-Apr</v>
      </c>
      <c r="F454" s="68">
        <f t="shared" si="873"/>
        <v>4</v>
      </c>
      <c r="G454" s="171" t="s">
        <v>93</v>
      </c>
      <c r="H454" s="171" t="s">
        <v>136</v>
      </c>
      <c r="J454" s="171" t="s">
        <v>77</v>
      </c>
      <c r="K454" s="171" t="s">
        <v>82</v>
      </c>
      <c r="L454" s="171" t="s">
        <v>79</v>
      </c>
      <c r="M454" s="1" t="s">
        <v>1079</v>
      </c>
      <c r="N454" s="171" t="s">
        <v>124</v>
      </c>
      <c r="O454" s="171" t="s">
        <v>507</v>
      </c>
      <c r="P454" s="64" t="s">
        <v>750</v>
      </c>
      <c r="R454" s="64" t="s">
        <v>1071</v>
      </c>
      <c r="S454" s="235" t="s">
        <v>104</v>
      </c>
      <c r="Y454" s="171" t="str">
        <f t="shared" si="759"/>
        <v>Pass</v>
      </c>
      <c r="Z454" s="11" t="str">
        <f t="shared" si="802"/>
        <v/>
      </c>
      <c r="AA454" s="205" t="str">
        <f t="shared" si="851"/>
        <v/>
      </c>
      <c r="AB454" s="205" t="str">
        <f t="shared" si="852"/>
        <v/>
      </c>
    </row>
    <row r="455" spans="2:28" x14ac:dyDescent="0.25">
      <c r="B455" s="65">
        <v>41751</v>
      </c>
      <c r="C455" s="66">
        <v>41751</v>
      </c>
      <c r="D455" s="68">
        <f t="shared" ref="D455:D456" si="874">IF(B455&gt;0,MONTH(B455),"False")</f>
        <v>4</v>
      </c>
      <c r="E455" s="66" t="str">
        <f t="shared" ref="E455:E456" si="875">YEAR(B455) &amp; CHOOSE(D455,"-Jan","-Feb","-Mar","-Apr","-May","-Jun","-Jul","-Aug","-Sep","-Oct","-Nov","-Dec")</f>
        <v>2014-Apr</v>
      </c>
      <c r="F455" s="68">
        <f t="shared" ref="F455:F456" si="876">IF(C455&gt;0,MONTH(C455),"False")</f>
        <v>4</v>
      </c>
      <c r="G455" s="171" t="s">
        <v>93</v>
      </c>
      <c r="H455" s="171" t="s">
        <v>280</v>
      </c>
      <c r="J455" s="171" t="s">
        <v>81</v>
      </c>
      <c r="K455" s="171" t="s">
        <v>82</v>
      </c>
      <c r="L455" s="171" t="s">
        <v>79</v>
      </c>
      <c r="M455" s="1" t="s">
        <v>1080</v>
      </c>
      <c r="N455" s="171" t="s">
        <v>124</v>
      </c>
      <c r="O455" s="171" t="s">
        <v>529</v>
      </c>
      <c r="P455" s="64" t="s">
        <v>305</v>
      </c>
      <c r="Q455" s="2" t="s">
        <v>88</v>
      </c>
      <c r="R455" s="64" t="s">
        <v>1031</v>
      </c>
      <c r="T455" s="67" t="s">
        <v>110</v>
      </c>
      <c r="Y455" s="171" t="str">
        <f t="shared" si="759"/>
        <v>Obsolete</v>
      </c>
      <c r="Z455" s="11">
        <f t="shared" si="802"/>
        <v>41751</v>
      </c>
      <c r="AA455" s="205" t="str">
        <f t="shared" si="851"/>
        <v>2014 - 17</v>
      </c>
      <c r="AB455" s="205">
        <f t="shared" si="852"/>
        <v>2014</v>
      </c>
    </row>
    <row r="456" spans="2:28" x14ac:dyDescent="0.25">
      <c r="B456" s="66">
        <v>41751</v>
      </c>
      <c r="C456" s="66">
        <v>41751</v>
      </c>
      <c r="D456" s="68">
        <f t="shared" si="874"/>
        <v>4</v>
      </c>
      <c r="E456" s="66" t="str">
        <f t="shared" si="875"/>
        <v>2014-Apr</v>
      </c>
      <c r="F456" s="68">
        <f t="shared" si="876"/>
        <v>4</v>
      </c>
      <c r="G456" s="172" t="s">
        <v>126</v>
      </c>
      <c r="H456" s="171" t="s">
        <v>280</v>
      </c>
      <c r="J456" s="171" t="s">
        <v>78</v>
      </c>
      <c r="K456" s="171" t="s">
        <v>78</v>
      </c>
      <c r="L456" s="171" t="s">
        <v>79</v>
      </c>
      <c r="M456" s="1" t="s">
        <v>1081</v>
      </c>
      <c r="N456" s="171" t="s">
        <v>124</v>
      </c>
      <c r="O456" s="171" t="s">
        <v>304</v>
      </c>
      <c r="R456" s="64" t="s">
        <v>344</v>
      </c>
      <c r="S456" s="172" t="s">
        <v>104</v>
      </c>
      <c r="X456" s="172" t="s">
        <v>544</v>
      </c>
      <c r="Y456" s="171" t="str">
        <f t="shared" si="759"/>
        <v>Pass</v>
      </c>
      <c r="Z456" s="11" t="str">
        <f t="shared" si="802"/>
        <v/>
      </c>
      <c r="AA456" s="205" t="str">
        <f t="shared" si="851"/>
        <v/>
      </c>
      <c r="AB456" s="205" t="str">
        <f t="shared" si="852"/>
        <v/>
      </c>
    </row>
    <row r="457" spans="2:28" x14ac:dyDescent="0.25">
      <c r="B457" s="65">
        <v>41751</v>
      </c>
      <c r="C457" s="66">
        <v>41751</v>
      </c>
      <c r="D457" s="68">
        <f t="shared" ref="D457:D458" si="877">IF(B457&gt;0,MONTH(B457),"False")</f>
        <v>4</v>
      </c>
      <c r="E457" s="66" t="str">
        <f t="shared" ref="E457:E458" si="878">YEAR(B457) &amp; CHOOSE(D457,"-Jan","-Feb","-Mar","-Apr","-May","-Jun","-Jul","-Aug","-Sep","-Oct","-Nov","-Dec")</f>
        <v>2014-Apr</v>
      </c>
      <c r="F457" s="68">
        <f t="shared" ref="F457:F458" si="879">IF(C457&gt;0,MONTH(C457),"False")</f>
        <v>4</v>
      </c>
      <c r="G457" s="171" t="s">
        <v>93</v>
      </c>
      <c r="H457" s="171" t="s">
        <v>166</v>
      </c>
      <c r="J457" s="171" t="s">
        <v>120</v>
      </c>
      <c r="K457" s="171" t="s">
        <v>82</v>
      </c>
      <c r="L457" s="171" t="s">
        <v>79</v>
      </c>
      <c r="M457" s="1" t="s">
        <v>1082</v>
      </c>
      <c r="N457" s="171" t="s">
        <v>124</v>
      </c>
      <c r="O457" s="171" t="s">
        <v>147</v>
      </c>
      <c r="P457" s="64" t="s">
        <v>557</v>
      </c>
      <c r="Q457" s="2" t="s">
        <v>88</v>
      </c>
      <c r="R457" s="64" t="s">
        <v>594</v>
      </c>
      <c r="Y457" s="171" t="str">
        <f t="shared" si="759"/>
        <v>Obsolete</v>
      </c>
      <c r="Z457" s="11">
        <f t="shared" si="802"/>
        <v>41751</v>
      </c>
      <c r="AA457" s="205" t="str">
        <f t="shared" si="851"/>
        <v>2014 - 17</v>
      </c>
      <c r="AB457" s="205">
        <f t="shared" si="852"/>
        <v>2014</v>
      </c>
    </row>
    <row r="458" spans="2:28" x14ac:dyDescent="0.25">
      <c r="B458" s="66">
        <v>41751</v>
      </c>
      <c r="C458" s="66">
        <v>41751</v>
      </c>
      <c r="D458" s="68">
        <f t="shared" si="877"/>
        <v>4</v>
      </c>
      <c r="E458" s="66" t="str">
        <f t="shared" si="878"/>
        <v>2014-Apr</v>
      </c>
      <c r="F458" s="68">
        <f t="shared" si="879"/>
        <v>4</v>
      </c>
      <c r="G458" s="218" t="s">
        <v>126</v>
      </c>
      <c r="H458" s="171" t="s">
        <v>28</v>
      </c>
      <c r="J458" s="171" t="s">
        <v>78</v>
      </c>
      <c r="K458" s="171" t="s">
        <v>78</v>
      </c>
      <c r="L458" s="171" t="s">
        <v>79</v>
      </c>
      <c r="M458" s="1" t="s">
        <v>1083</v>
      </c>
      <c r="N458" s="171" t="s">
        <v>124</v>
      </c>
      <c r="O458" s="171" t="s">
        <v>168</v>
      </c>
      <c r="R458" s="64" t="s">
        <v>308</v>
      </c>
      <c r="S458" s="218" t="s">
        <v>104</v>
      </c>
      <c r="X458" s="218" t="s">
        <v>879</v>
      </c>
      <c r="Y458" s="171" t="str">
        <f t="shared" si="759"/>
        <v>Pass</v>
      </c>
      <c r="Z458" s="11" t="str">
        <f t="shared" si="802"/>
        <v/>
      </c>
      <c r="AA458" s="205" t="str">
        <f t="shared" si="851"/>
        <v/>
      </c>
      <c r="AB458" s="205" t="str">
        <f t="shared" si="852"/>
        <v/>
      </c>
    </row>
    <row r="459" spans="2:28" x14ac:dyDescent="0.25">
      <c r="B459" s="65">
        <v>41751</v>
      </c>
      <c r="C459" s="66">
        <v>41751</v>
      </c>
      <c r="D459" s="68">
        <f t="shared" ref="D459:D460" si="880">IF(B459&gt;0,MONTH(B459),"False")</f>
        <v>4</v>
      </c>
      <c r="E459" s="66" t="str">
        <f t="shared" ref="E459:E460" si="881">YEAR(B459) &amp; CHOOSE(D459,"-Jan","-Feb","-Mar","-Apr","-May","-Jun","-Jul","-Aug","-Sep","-Oct","-Nov","-Dec")</f>
        <v>2014-Apr</v>
      </c>
      <c r="F459" s="68">
        <f t="shared" ref="F459:F460" si="882">IF(C459&gt;0,MONTH(C459),"False")</f>
        <v>4</v>
      </c>
      <c r="G459" s="172" t="s">
        <v>105</v>
      </c>
      <c r="H459" s="171" t="s">
        <v>280</v>
      </c>
      <c r="J459" s="171" t="s">
        <v>81</v>
      </c>
      <c r="K459" s="171" t="s">
        <v>82</v>
      </c>
      <c r="L459" s="171" t="s">
        <v>79</v>
      </c>
      <c r="M459" s="1" t="s">
        <v>1084</v>
      </c>
      <c r="N459" s="171" t="s">
        <v>124</v>
      </c>
      <c r="O459" s="171" t="s">
        <v>529</v>
      </c>
      <c r="P459" s="64" t="s">
        <v>305</v>
      </c>
      <c r="R459" s="64" t="s">
        <v>1031</v>
      </c>
      <c r="S459" s="172" t="s">
        <v>104</v>
      </c>
      <c r="X459" s="172" t="s">
        <v>819</v>
      </c>
      <c r="Y459" s="171" t="str">
        <f t="shared" si="759"/>
        <v>Pass</v>
      </c>
      <c r="Z459" s="11" t="str">
        <f t="shared" si="802"/>
        <v/>
      </c>
      <c r="AA459" s="205" t="str">
        <f t="shared" si="851"/>
        <v/>
      </c>
      <c r="AB459" s="205" t="str">
        <f t="shared" si="852"/>
        <v/>
      </c>
    </row>
    <row r="460" spans="2:28" x14ac:dyDescent="0.25">
      <c r="B460" s="66">
        <v>41751</v>
      </c>
      <c r="C460" s="66">
        <v>41751</v>
      </c>
      <c r="D460" s="68">
        <f t="shared" si="880"/>
        <v>4</v>
      </c>
      <c r="E460" s="66" t="str">
        <f t="shared" si="881"/>
        <v>2014-Apr</v>
      </c>
      <c r="F460" s="68">
        <f t="shared" si="882"/>
        <v>4</v>
      </c>
      <c r="G460" s="171" t="s">
        <v>87</v>
      </c>
      <c r="H460" s="171" t="s">
        <v>348</v>
      </c>
      <c r="J460" s="171" t="s">
        <v>292</v>
      </c>
      <c r="K460" s="171" t="s">
        <v>119</v>
      </c>
      <c r="L460" s="171" t="s">
        <v>79</v>
      </c>
      <c r="M460" s="1" t="s">
        <v>1085</v>
      </c>
      <c r="N460" s="171" t="s">
        <v>124</v>
      </c>
      <c r="O460" s="171" t="s">
        <v>325</v>
      </c>
      <c r="R460" s="64" t="s">
        <v>1086</v>
      </c>
      <c r="S460" s="235" t="s">
        <v>104</v>
      </c>
      <c r="T460" s="67" t="s">
        <v>110</v>
      </c>
      <c r="Y460" s="171" t="str">
        <f t="shared" ref="Y460:Y523" si="883">IF(Q460&gt;0,"Obsolete",IF(S460&gt;0,S460,"Unknown"))</f>
        <v>Pass</v>
      </c>
      <c r="Z460" s="11" t="str">
        <f t="shared" si="802"/>
        <v/>
      </c>
      <c r="AA460" s="205" t="str">
        <f t="shared" si="851"/>
        <v/>
      </c>
      <c r="AB460" s="205" t="str">
        <f t="shared" si="852"/>
        <v/>
      </c>
    </row>
    <row r="461" spans="2:28" x14ac:dyDescent="0.25">
      <c r="B461" s="65">
        <v>41751</v>
      </c>
      <c r="C461" s="66">
        <v>41751</v>
      </c>
      <c r="D461" s="68">
        <f t="shared" ref="D461" si="884">IF(B461&gt;0,MONTH(B461),"False")</f>
        <v>4</v>
      </c>
      <c r="E461" s="66" t="str">
        <f t="shared" ref="E461" si="885">YEAR(B461) &amp; CHOOSE(D461,"-Jan","-Feb","-Mar","-Apr","-May","-Jun","-Jul","-Aug","-Sep","-Oct","-Nov","-Dec")</f>
        <v>2014-Apr</v>
      </c>
      <c r="F461" s="68">
        <f t="shared" ref="F461" si="886">IF(C461&gt;0,MONTH(C461),"False")</f>
        <v>4</v>
      </c>
      <c r="G461" s="171" t="s">
        <v>93</v>
      </c>
      <c r="H461" s="171" t="s">
        <v>136</v>
      </c>
      <c r="J461" s="171" t="s">
        <v>77</v>
      </c>
      <c r="K461" s="171" t="s">
        <v>82</v>
      </c>
      <c r="L461" s="171" t="s">
        <v>79</v>
      </c>
      <c r="M461" s="1" t="s">
        <v>1087</v>
      </c>
      <c r="N461" s="171" t="s">
        <v>124</v>
      </c>
      <c r="O461" s="171" t="s">
        <v>114</v>
      </c>
      <c r="P461" s="64" t="s">
        <v>750</v>
      </c>
      <c r="R461" s="64" t="s">
        <v>1071</v>
      </c>
      <c r="Y461" s="171" t="str">
        <f t="shared" si="883"/>
        <v>Unknown</v>
      </c>
      <c r="Z461" s="11" t="str">
        <f t="shared" si="802"/>
        <v/>
      </c>
      <c r="AA461" s="205" t="str">
        <f t="shared" si="851"/>
        <v/>
      </c>
      <c r="AB461" s="205" t="str">
        <f t="shared" si="852"/>
        <v/>
      </c>
    </row>
    <row r="462" spans="2:28" x14ac:dyDescent="0.25">
      <c r="B462" s="65">
        <v>41751</v>
      </c>
      <c r="C462" s="66">
        <v>41751</v>
      </c>
      <c r="D462" s="68">
        <f t="shared" ref="D462:D463" si="887">IF(B462&gt;0,MONTH(B462),"False")</f>
        <v>4</v>
      </c>
      <c r="E462" s="66" t="str">
        <f t="shared" ref="E462:E463" si="888">YEAR(B462) &amp; CHOOSE(D462,"-Jan","-Feb","-Mar","-Apr","-May","-Jun","-Jul","-Aug","-Sep","-Oct","-Nov","-Dec")</f>
        <v>2014-Apr</v>
      </c>
      <c r="F462" s="68">
        <f t="shared" ref="F462:F463" si="889">IF(C462&gt;0,MONTH(C462),"False")</f>
        <v>4</v>
      </c>
      <c r="G462" s="171" t="s">
        <v>93</v>
      </c>
      <c r="H462" s="171" t="s">
        <v>166</v>
      </c>
      <c r="J462" s="171" t="s">
        <v>146</v>
      </c>
      <c r="K462" s="171" t="s">
        <v>82</v>
      </c>
      <c r="L462" s="171" t="s">
        <v>79</v>
      </c>
      <c r="M462" s="1" t="s">
        <v>1088</v>
      </c>
      <c r="N462" s="171" t="s">
        <v>124</v>
      </c>
      <c r="O462" s="171" t="s">
        <v>272</v>
      </c>
      <c r="P462" s="64" t="s">
        <v>485</v>
      </c>
      <c r="R462" s="64" t="s">
        <v>920</v>
      </c>
      <c r="S462" s="198" t="s">
        <v>104</v>
      </c>
      <c r="T462" s="67" t="s">
        <v>110</v>
      </c>
      <c r="Y462" s="171" t="str">
        <f t="shared" si="883"/>
        <v>Pass</v>
      </c>
      <c r="Z462" s="11" t="str">
        <f t="shared" si="802"/>
        <v/>
      </c>
      <c r="AA462" s="205" t="str">
        <f t="shared" si="851"/>
        <v/>
      </c>
      <c r="AB462" s="205" t="str">
        <f t="shared" si="852"/>
        <v/>
      </c>
    </row>
    <row r="463" spans="2:28" x14ac:dyDescent="0.25">
      <c r="B463" s="66">
        <v>41752</v>
      </c>
      <c r="C463" s="66">
        <v>41752</v>
      </c>
      <c r="D463" s="68">
        <f t="shared" si="887"/>
        <v>4</v>
      </c>
      <c r="E463" s="66" t="str">
        <f t="shared" si="888"/>
        <v>2014-Apr</v>
      </c>
      <c r="F463" s="68">
        <f t="shared" si="889"/>
        <v>4</v>
      </c>
      <c r="G463" s="172" t="s">
        <v>87</v>
      </c>
      <c r="H463" s="172" t="s">
        <v>166</v>
      </c>
      <c r="J463" s="172" t="s">
        <v>146</v>
      </c>
      <c r="K463" s="172" t="s">
        <v>260</v>
      </c>
      <c r="L463" s="172" t="s">
        <v>79</v>
      </c>
      <c r="M463" s="1" t="s">
        <v>1089</v>
      </c>
      <c r="N463" s="172" t="s">
        <v>124</v>
      </c>
      <c r="O463" s="172" t="s">
        <v>148</v>
      </c>
      <c r="R463" s="64" t="s">
        <v>894</v>
      </c>
      <c r="Y463" s="171" t="str">
        <f t="shared" si="883"/>
        <v>Unknown</v>
      </c>
      <c r="Z463" s="11" t="str">
        <f t="shared" si="802"/>
        <v/>
      </c>
      <c r="AA463" s="205" t="str">
        <f t="shared" ref="AA463:AA509" si="890">IFERROR(YEAR(Z463)&amp;" - "&amp; IF(LEN( WEEKNUM(Z463))=1,"0" &amp; WEEKNUM(Z463),WEEKNUM(Z463)),"")</f>
        <v/>
      </c>
      <c r="AB463" s="205" t="str">
        <f t="shared" ref="AB463:AB509" si="891">IFERROR(YEAR(Z463),"")</f>
        <v/>
      </c>
    </row>
    <row r="464" spans="2:28" x14ac:dyDescent="0.25">
      <c r="B464" s="65">
        <v>41752</v>
      </c>
      <c r="C464" s="66">
        <v>41752</v>
      </c>
      <c r="D464" s="68">
        <f t="shared" ref="D464:D465" si="892">IF(B464&gt;0,MONTH(B464),"False")</f>
        <v>4</v>
      </c>
      <c r="E464" s="66" t="str">
        <f t="shared" ref="E464:E465" si="893">YEAR(B464) &amp; CHOOSE(D464,"-Jan","-Feb","-Mar","-Apr","-May","-Jun","-Jul","-Aug","-Sep","-Oct","-Nov","-Dec")</f>
        <v>2014-Apr</v>
      </c>
      <c r="F464" s="68">
        <f t="shared" ref="F464:F465" si="894">IF(C464&gt;0,MONTH(C464),"False")</f>
        <v>4</v>
      </c>
      <c r="G464" s="172" t="s">
        <v>93</v>
      </c>
      <c r="H464" s="172" t="s">
        <v>136</v>
      </c>
      <c r="J464" s="172" t="s">
        <v>120</v>
      </c>
      <c r="K464" s="172" t="s">
        <v>82</v>
      </c>
      <c r="L464" s="172" t="s">
        <v>79</v>
      </c>
      <c r="M464" s="1" t="s">
        <v>1090</v>
      </c>
      <c r="N464" s="172" t="s">
        <v>124</v>
      </c>
      <c r="O464" s="172" t="s">
        <v>114</v>
      </c>
      <c r="P464" s="64" t="s">
        <v>750</v>
      </c>
      <c r="R464" s="64" t="s">
        <v>1071</v>
      </c>
      <c r="S464" s="197" t="s">
        <v>104</v>
      </c>
      <c r="Y464" s="171" t="str">
        <f t="shared" si="883"/>
        <v>Pass</v>
      </c>
      <c r="Z464" s="11" t="str">
        <f t="shared" si="802"/>
        <v/>
      </c>
      <c r="AA464" s="205" t="str">
        <f t="shared" si="890"/>
        <v/>
      </c>
      <c r="AB464" s="205" t="str">
        <f t="shared" si="891"/>
        <v/>
      </c>
    </row>
    <row r="465" spans="2:28" x14ac:dyDescent="0.25">
      <c r="B465" s="66">
        <v>41752</v>
      </c>
      <c r="C465" s="66">
        <v>41752</v>
      </c>
      <c r="D465" s="68">
        <f t="shared" si="892"/>
        <v>4</v>
      </c>
      <c r="E465" s="66" t="str">
        <f t="shared" si="893"/>
        <v>2014-Apr</v>
      </c>
      <c r="F465" s="68">
        <f t="shared" si="894"/>
        <v>4</v>
      </c>
      <c r="G465" s="195" t="s">
        <v>126</v>
      </c>
      <c r="H465" s="172" t="s">
        <v>280</v>
      </c>
      <c r="J465" s="172" t="s">
        <v>78</v>
      </c>
      <c r="K465" s="172" t="s">
        <v>78</v>
      </c>
      <c r="L465" s="172" t="s">
        <v>79</v>
      </c>
      <c r="M465" s="1" t="s">
        <v>1091</v>
      </c>
      <c r="N465" s="172" t="s">
        <v>124</v>
      </c>
      <c r="O465" s="172" t="s">
        <v>138</v>
      </c>
      <c r="R465" s="64" t="s">
        <v>344</v>
      </c>
      <c r="S465" s="195" t="s">
        <v>104</v>
      </c>
      <c r="X465" s="195" t="s">
        <v>544</v>
      </c>
      <c r="Y465" s="171" t="str">
        <f t="shared" si="883"/>
        <v>Pass</v>
      </c>
      <c r="Z465" s="11" t="str">
        <f t="shared" si="802"/>
        <v/>
      </c>
      <c r="AA465" s="205" t="str">
        <f t="shared" si="890"/>
        <v/>
      </c>
      <c r="AB465" s="205" t="str">
        <f t="shared" si="891"/>
        <v/>
      </c>
    </row>
    <row r="466" spans="2:28" x14ac:dyDescent="0.25">
      <c r="B466" s="66">
        <v>41752</v>
      </c>
      <c r="C466" s="66">
        <v>41752</v>
      </c>
      <c r="D466" s="68">
        <f t="shared" ref="D466" si="895">IF(B466&gt;0,MONTH(B466),"False")</f>
        <v>4</v>
      </c>
      <c r="E466" s="66" t="str">
        <f t="shared" ref="E466" si="896">YEAR(B466) &amp; CHOOSE(D466,"-Jan","-Feb","-Mar","-Apr","-May","-Jun","-Jul","-Aug","-Sep","-Oct","-Nov","-Dec")</f>
        <v>2014-Apr</v>
      </c>
      <c r="F466" s="68">
        <f t="shared" ref="F466" si="897">IF(C466&gt;0,MONTH(C466),"False")</f>
        <v>4</v>
      </c>
      <c r="G466" s="172" t="s">
        <v>126</v>
      </c>
      <c r="H466" s="172" t="s">
        <v>280</v>
      </c>
      <c r="J466" s="172" t="s">
        <v>119</v>
      </c>
      <c r="K466" s="172" t="s">
        <v>119</v>
      </c>
      <c r="L466" s="172" t="s">
        <v>79</v>
      </c>
      <c r="M466" s="1" t="s">
        <v>1092</v>
      </c>
      <c r="N466" s="172" t="s">
        <v>124</v>
      </c>
      <c r="O466" s="172" t="s">
        <v>138</v>
      </c>
      <c r="R466" s="64" t="s">
        <v>362</v>
      </c>
      <c r="S466" s="172" t="s">
        <v>104</v>
      </c>
      <c r="X466" s="172" t="s">
        <v>544</v>
      </c>
      <c r="Y466" s="171" t="str">
        <f t="shared" si="883"/>
        <v>Pass</v>
      </c>
      <c r="Z466" s="11" t="str">
        <f t="shared" si="802"/>
        <v/>
      </c>
      <c r="AA466" s="205" t="str">
        <f t="shared" si="890"/>
        <v/>
      </c>
      <c r="AB466" s="205" t="str">
        <f t="shared" si="891"/>
        <v/>
      </c>
    </row>
    <row r="467" spans="2:28" x14ac:dyDescent="0.25">
      <c r="B467" s="66">
        <v>41752</v>
      </c>
      <c r="C467" s="66">
        <v>41752</v>
      </c>
      <c r="D467" s="68">
        <f t="shared" ref="D467" si="898">IF(B467&gt;0,MONTH(B467),"False")</f>
        <v>4</v>
      </c>
      <c r="E467" s="66" t="str">
        <f t="shared" ref="E467" si="899">YEAR(B467) &amp; CHOOSE(D467,"-Jan","-Feb","-Mar","-Apr","-May","-Jun","-Jul","-Aug","-Sep","-Oct","-Nov","-Dec")</f>
        <v>2014-Apr</v>
      </c>
      <c r="F467" s="68">
        <f t="shared" ref="F467" si="900">IF(C467&gt;0,MONTH(C467),"False")</f>
        <v>4</v>
      </c>
      <c r="G467" s="180" t="s">
        <v>157</v>
      </c>
      <c r="H467" s="172" t="s">
        <v>28</v>
      </c>
      <c r="J467" s="172" t="s">
        <v>119</v>
      </c>
      <c r="K467" s="172" t="s">
        <v>119</v>
      </c>
      <c r="L467" s="172" t="s">
        <v>79</v>
      </c>
      <c r="M467" s="1" t="s">
        <v>1093</v>
      </c>
      <c r="N467" s="172" t="s">
        <v>124</v>
      </c>
      <c r="O467" s="172" t="s">
        <v>325</v>
      </c>
      <c r="R467" s="64" t="s">
        <v>341</v>
      </c>
      <c r="S467" s="180" t="s">
        <v>104</v>
      </c>
      <c r="X467" s="180" t="s">
        <v>284</v>
      </c>
      <c r="Y467" s="171" t="str">
        <f t="shared" si="883"/>
        <v>Pass</v>
      </c>
      <c r="Z467" s="11" t="str">
        <f t="shared" si="802"/>
        <v/>
      </c>
      <c r="AA467" s="205" t="str">
        <f t="shared" si="890"/>
        <v/>
      </c>
      <c r="AB467" s="205" t="str">
        <f t="shared" si="891"/>
        <v/>
      </c>
    </row>
    <row r="468" spans="2:28" x14ac:dyDescent="0.25">
      <c r="B468" s="66">
        <v>41752</v>
      </c>
      <c r="C468" s="66">
        <v>41752</v>
      </c>
      <c r="D468" s="68">
        <f t="shared" ref="D468" si="901">IF(B468&gt;0,MONTH(B468),"False")</f>
        <v>4</v>
      </c>
      <c r="E468" s="66" t="str">
        <f t="shared" ref="E468" si="902">YEAR(B468) &amp; CHOOSE(D468,"-Jan","-Feb","-Mar","-Apr","-May","-Jun","-Jul","-Aug","-Sep","-Oct","-Nov","-Dec")</f>
        <v>2014-Apr</v>
      </c>
      <c r="F468" s="68">
        <f t="shared" ref="F468" si="903">IF(C468&gt;0,MONTH(C468),"False")</f>
        <v>4</v>
      </c>
      <c r="G468" s="172" t="s">
        <v>87</v>
      </c>
      <c r="H468" s="172" t="s">
        <v>166</v>
      </c>
      <c r="J468" s="172" t="s">
        <v>333</v>
      </c>
      <c r="K468" s="172" t="s">
        <v>84</v>
      </c>
      <c r="L468" s="172" t="s">
        <v>83</v>
      </c>
      <c r="M468" s="1" t="s">
        <v>1094</v>
      </c>
      <c r="N468" s="172" t="s">
        <v>124</v>
      </c>
      <c r="O468" s="172" t="s">
        <v>325</v>
      </c>
      <c r="R468" s="64" t="s">
        <v>346</v>
      </c>
      <c r="Y468" s="171" t="str">
        <f t="shared" si="883"/>
        <v>Unknown</v>
      </c>
      <c r="Z468" s="11" t="str">
        <f t="shared" si="802"/>
        <v/>
      </c>
      <c r="AA468" s="205" t="str">
        <f t="shared" si="890"/>
        <v/>
      </c>
      <c r="AB468" s="205" t="str">
        <f t="shared" si="891"/>
        <v/>
      </c>
    </row>
    <row r="469" spans="2:28" x14ac:dyDescent="0.25">
      <c r="B469" s="66">
        <v>41752</v>
      </c>
      <c r="C469" s="66">
        <v>41752</v>
      </c>
      <c r="D469" s="68">
        <f t="shared" ref="D469:D470" si="904">IF(B469&gt;0,MONTH(B469),"False")</f>
        <v>4</v>
      </c>
      <c r="E469" s="66" t="str">
        <f t="shared" ref="E469:E470" si="905">YEAR(B469) &amp; CHOOSE(D469,"-Jan","-Feb","-Mar","-Apr","-May","-Jun","-Jul","-Aug","-Sep","-Oct","-Nov","-Dec")</f>
        <v>2014-Apr</v>
      </c>
      <c r="F469" s="68">
        <f t="shared" ref="F469:F470" si="906">IF(C469&gt;0,MONTH(C469),"False")</f>
        <v>4</v>
      </c>
      <c r="G469" s="197" t="s">
        <v>126</v>
      </c>
      <c r="H469" s="172" t="s">
        <v>280</v>
      </c>
      <c r="J469" s="172" t="s">
        <v>333</v>
      </c>
      <c r="K469" s="172" t="s">
        <v>84</v>
      </c>
      <c r="L469" s="172" t="s">
        <v>83</v>
      </c>
      <c r="M469" s="1" t="s">
        <v>1095</v>
      </c>
      <c r="N469" s="172" t="s">
        <v>124</v>
      </c>
      <c r="O469" s="172" t="s">
        <v>325</v>
      </c>
      <c r="R469" s="64" t="s">
        <v>1096</v>
      </c>
      <c r="S469" s="197" t="s">
        <v>104</v>
      </c>
      <c r="X469" s="197" t="s">
        <v>462</v>
      </c>
      <c r="Y469" s="171" t="str">
        <f t="shared" si="883"/>
        <v>Pass</v>
      </c>
      <c r="Z469" s="11" t="str">
        <f t="shared" si="802"/>
        <v/>
      </c>
      <c r="AA469" s="205" t="str">
        <f t="shared" si="890"/>
        <v/>
      </c>
      <c r="AB469" s="205" t="str">
        <f t="shared" si="891"/>
        <v/>
      </c>
    </row>
    <row r="470" spans="2:28" x14ac:dyDescent="0.25">
      <c r="B470" s="65">
        <v>41753</v>
      </c>
      <c r="C470" s="66">
        <v>41753</v>
      </c>
      <c r="D470" s="68">
        <f t="shared" si="904"/>
        <v>4</v>
      </c>
      <c r="E470" s="66" t="str">
        <f t="shared" si="905"/>
        <v>2014-Apr</v>
      </c>
      <c r="F470" s="68">
        <f t="shared" si="906"/>
        <v>4</v>
      </c>
      <c r="G470" s="196" t="s">
        <v>105</v>
      </c>
      <c r="H470" s="173" t="s">
        <v>166</v>
      </c>
      <c r="J470" s="173" t="s">
        <v>333</v>
      </c>
      <c r="K470" s="173" t="s">
        <v>82</v>
      </c>
      <c r="L470" s="173" t="s">
        <v>79</v>
      </c>
      <c r="M470" s="1" t="s">
        <v>1097</v>
      </c>
      <c r="N470" s="173" t="s">
        <v>124</v>
      </c>
      <c r="O470" s="173" t="s">
        <v>116</v>
      </c>
      <c r="P470" s="64" t="s">
        <v>345</v>
      </c>
      <c r="R470" s="64" t="s">
        <v>347</v>
      </c>
      <c r="S470" s="196" t="s">
        <v>104</v>
      </c>
      <c r="X470" s="196" t="s">
        <v>462</v>
      </c>
      <c r="Y470" s="171" t="str">
        <f t="shared" si="883"/>
        <v>Pass</v>
      </c>
      <c r="Z470" s="11" t="str">
        <f t="shared" si="802"/>
        <v/>
      </c>
      <c r="AA470" s="205" t="str">
        <f t="shared" si="890"/>
        <v/>
      </c>
      <c r="AB470" s="205" t="str">
        <f t="shared" si="891"/>
        <v/>
      </c>
    </row>
    <row r="471" spans="2:28" x14ac:dyDescent="0.25">
      <c r="B471" s="66">
        <v>41753</v>
      </c>
      <c r="C471" s="66">
        <v>41753</v>
      </c>
      <c r="D471" s="68">
        <f t="shared" ref="D471:D472" si="907">IF(B471&gt;0,MONTH(B471),"False")</f>
        <v>4</v>
      </c>
      <c r="E471" s="66" t="str">
        <f t="shared" ref="E471:E472" si="908">YEAR(B471) &amp; CHOOSE(D471,"-Jan","-Feb","-Mar","-Apr","-May","-Jun","-Jul","-Aug","-Sep","-Oct","-Nov","-Dec")</f>
        <v>2014-Apr</v>
      </c>
      <c r="F471" s="68">
        <f t="shared" ref="F471:F472" si="909">IF(C471&gt;0,MONTH(C471),"False")</f>
        <v>4</v>
      </c>
      <c r="G471" s="175" t="s">
        <v>112</v>
      </c>
      <c r="H471" s="173" t="s">
        <v>166</v>
      </c>
      <c r="J471" s="173" t="s">
        <v>78</v>
      </c>
      <c r="K471" s="173" t="s">
        <v>78</v>
      </c>
      <c r="L471" s="173" t="s">
        <v>79</v>
      </c>
      <c r="M471" s="1" t="s">
        <v>1098</v>
      </c>
      <c r="N471" s="173" t="s">
        <v>124</v>
      </c>
      <c r="O471" s="173" t="s">
        <v>287</v>
      </c>
      <c r="R471" s="64" t="s">
        <v>488</v>
      </c>
      <c r="S471" s="175" t="s">
        <v>104</v>
      </c>
      <c r="X471" s="175" t="s">
        <v>300</v>
      </c>
      <c r="Y471" s="171" t="str">
        <f t="shared" si="883"/>
        <v>Pass</v>
      </c>
      <c r="Z471" s="11" t="str">
        <f t="shared" si="802"/>
        <v/>
      </c>
      <c r="AA471" s="205" t="str">
        <f t="shared" si="890"/>
        <v/>
      </c>
      <c r="AB471" s="205" t="str">
        <f t="shared" si="891"/>
        <v/>
      </c>
    </row>
    <row r="472" spans="2:28" x14ac:dyDescent="0.25">
      <c r="B472" s="65">
        <v>41753</v>
      </c>
      <c r="C472" s="66">
        <v>41753</v>
      </c>
      <c r="D472" s="68">
        <f t="shared" si="907"/>
        <v>4</v>
      </c>
      <c r="E472" s="66" t="str">
        <f t="shared" si="908"/>
        <v>2014-Apr</v>
      </c>
      <c r="F472" s="68">
        <f t="shared" si="909"/>
        <v>4</v>
      </c>
      <c r="G472" s="229" t="s">
        <v>105</v>
      </c>
      <c r="H472" s="173" t="s">
        <v>166</v>
      </c>
      <c r="J472" s="173" t="s">
        <v>98</v>
      </c>
      <c r="K472" s="173" t="s">
        <v>82</v>
      </c>
      <c r="L472" s="173" t="s">
        <v>79</v>
      </c>
      <c r="M472" s="1" t="s">
        <v>1099</v>
      </c>
      <c r="N472" s="173" t="s">
        <v>124</v>
      </c>
      <c r="O472" s="173" t="s">
        <v>301</v>
      </c>
      <c r="P472" s="64" t="s">
        <v>336</v>
      </c>
      <c r="R472" s="64" t="s">
        <v>762</v>
      </c>
      <c r="S472" s="229" t="s">
        <v>104</v>
      </c>
      <c r="T472" s="67" t="s">
        <v>110</v>
      </c>
      <c r="X472" s="229" t="s">
        <v>297</v>
      </c>
      <c r="Y472" s="171" t="str">
        <f t="shared" si="883"/>
        <v>Pass</v>
      </c>
      <c r="Z472" s="11" t="str">
        <f t="shared" si="802"/>
        <v/>
      </c>
      <c r="AA472" s="205" t="str">
        <f t="shared" si="890"/>
        <v/>
      </c>
      <c r="AB472" s="205" t="str">
        <f t="shared" si="891"/>
        <v/>
      </c>
    </row>
    <row r="473" spans="2:28" x14ac:dyDescent="0.25">
      <c r="B473" s="66">
        <v>41754</v>
      </c>
      <c r="C473" s="66">
        <v>41754</v>
      </c>
      <c r="D473" s="68">
        <f t="shared" ref="D473" si="910">IF(B473&gt;0,MONTH(B473),"False")</f>
        <v>4</v>
      </c>
      <c r="E473" s="66" t="str">
        <f t="shared" ref="E473" si="911">YEAR(B473) &amp; CHOOSE(D473,"-Jan","-Feb","-Mar","-Apr","-May","-Jun","-Jul","-Aug","-Sep","-Oct","-Nov","-Dec")</f>
        <v>2014-Apr</v>
      </c>
      <c r="F473" s="68">
        <f t="shared" ref="F473" si="912">IF(C473&gt;0,MONTH(C473),"False")</f>
        <v>4</v>
      </c>
      <c r="G473" s="180" t="s">
        <v>157</v>
      </c>
      <c r="H473" s="174" t="s">
        <v>28</v>
      </c>
      <c r="J473" s="174" t="s">
        <v>78</v>
      </c>
      <c r="K473" s="174" t="s">
        <v>78</v>
      </c>
      <c r="L473" s="174" t="s">
        <v>79</v>
      </c>
      <c r="M473" s="1" t="s">
        <v>1100</v>
      </c>
      <c r="N473" s="174" t="s">
        <v>124</v>
      </c>
      <c r="O473" s="174" t="s">
        <v>167</v>
      </c>
      <c r="R473" s="64" t="s">
        <v>308</v>
      </c>
      <c r="S473" s="180" t="s">
        <v>104</v>
      </c>
      <c r="T473" s="67" t="s">
        <v>110</v>
      </c>
      <c r="X473" s="180" t="s">
        <v>879</v>
      </c>
      <c r="Y473" s="171" t="str">
        <f t="shared" si="883"/>
        <v>Pass</v>
      </c>
      <c r="Z473" s="11" t="str">
        <f t="shared" si="802"/>
        <v/>
      </c>
      <c r="AA473" s="205" t="str">
        <f t="shared" si="890"/>
        <v/>
      </c>
      <c r="AB473" s="205" t="str">
        <f t="shared" si="891"/>
        <v/>
      </c>
    </row>
    <row r="474" spans="2:28" x14ac:dyDescent="0.25">
      <c r="B474" s="65">
        <v>41754</v>
      </c>
      <c r="C474" s="66">
        <v>41754</v>
      </c>
      <c r="D474" s="68">
        <f t="shared" ref="D474:D475" si="913">IF(B474&gt;0,MONTH(B474),"False")</f>
        <v>4</v>
      </c>
      <c r="E474" s="66" t="str">
        <f t="shared" ref="E474:E475" si="914">YEAR(B474) &amp; CHOOSE(D474,"-Jan","-Feb","-Mar","-Apr","-May","-Jun","-Jul","-Aug","-Sep","-Oct","-Nov","-Dec")</f>
        <v>2014-Apr</v>
      </c>
      <c r="F474" s="68">
        <f t="shared" ref="F474:F475" si="915">IF(C474&gt;0,MONTH(C474),"False")</f>
        <v>4</v>
      </c>
      <c r="G474" s="174" t="s">
        <v>93</v>
      </c>
      <c r="H474" s="174" t="s">
        <v>115</v>
      </c>
      <c r="J474" s="174" t="s">
        <v>77</v>
      </c>
      <c r="K474" s="174" t="s">
        <v>82</v>
      </c>
      <c r="L474" s="174" t="s">
        <v>79</v>
      </c>
      <c r="M474" s="1" t="s">
        <v>1101</v>
      </c>
      <c r="N474" s="174" t="s">
        <v>124</v>
      </c>
      <c r="O474" s="174" t="s">
        <v>507</v>
      </c>
      <c r="P474" s="64" t="s">
        <v>405</v>
      </c>
      <c r="R474" s="64" t="s">
        <v>480</v>
      </c>
      <c r="S474" s="193" t="s">
        <v>104</v>
      </c>
      <c r="Y474" s="171" t="str">
        <f t="shared" si="883"/>
        <v>Pass</v>
      </c>
      <c r="Z474" s="11" t="str">
        <f t="shared" si="802"/>
        <v/>
      </c>
      <c r="AA474" s="205" t="str">
        <f t="shared" si="890"/>
        <v/>
      </c>
      <c r="AB474" s="205" t="str">
        <f t="shared" si="891"/>
        <v/>
      </c>
    </row>
    <row r="475" spans="2:28" x14ac:dyDescent="0.25">
      <c r="B475" s="66">
        <v>41754</v>
      </c>
      <c r="C475" s="66">
        <v>41754</v>
      </c>
      <c r="D475" s="68">
        <f t="shared" si="913"/>
        <v>4</v>
      </c>
      <c r="E475" s="66" t="str">
        <f t="shared" si="914"/>
        <v>2014-Apr</v>
      </c>
      <c r="F475" s="68">
        <f t="shared" si="915"/>
        <v>4</v>
      </c>
      <c r="G475" s="174" t="s">
        <v>87</v>
      </c>
      <c r="H475" s="174" t="s">
        <v>166</v>
      </c>
      <c r="J475" s="174" t="s">
        <v>78</v>
      </c>
      <c r="K475" s="174" t="s">
        <v>78</v>
      </c>
      <c r="L475" s="174" t="s">
        <v>79</v>
      </c>
      <c r="M475" s="1" t="s">
        <v>1102</v>
      </c>
      <c r="N475" s="174" t="s">
        <v>124</v>
      </c>
      <c r="O475" s="174" t="s">
        <v>287</v>
      </c>
      <c r="Q475" s="2" t="s">
        <v>88</v>
      </c>
      <c r="R475" s="64" t="s">
        <v>488</v>
      </c>
      <c r="T475" s="67" t="s">
        <v>110</v>
      </c>
      <c r="Y475" s="171" t="str">
        <f t="shared" si="883"/>
        <v>Obsolete</v>
      </c>
      <c r="Z475" s="11">
        <f t="shared" si="802"/>
        <v>41754</v>
      </c>
      <c r="AA475" s="205" t="str">
        <f t="shared" si="890"/>
        <v>2014 - 17</v>
      </c>
      <c r="AB475" s="205">
        <f t="shared" si="891"/>
        <v>2014</v>
      </c>
    </row>
    <row r="476" spans="2:28" x14ac:dyDescent="0.25">
      <c r="B476" s="65">
        <v>41754</v>
      </c>
      <c r="C476" s="66">
        <v>41754</v>
      </c>
      <c r="D476" s="68">
        <f t="shared" ref="D476:D477" si="916">IF(B476&gt;0,MONTH(B476),"False")</f>
        <v>4</v>
      </c>
      <c r="E476" s="66" t="str">
        <f t="shared" ref="E476:E477" si="917">YEAR(B476) &amp; CHOOSE(D476,"-Jan","-Feb","-Mar","-Apr","-May","-Jun","-Jul","-Aug","-Sep","-Oct","-Nov","-Dec")</f>
        <v>2014-Apr</v>
      </c>
      <c r="F476" s="68">
        <f t="shared" ref="F476:F477" si="918">IF(C476&gt;0,MONTH(C476),"False")</f>
        <v>4</v>
      </c>
      <c r="G476" s="174" t="s">
        <v>93</v>
      </c>
      <c r="H476" s="174" t="s">
        <v>136</v>
      </c>
      <c r="J476" s="174" t="s">
        <v>77</v>
      </c>
      <c r="K476" s="174" t="s">
        <v>82</v>
      </c>
      <c r="L476" s="174" t="s">
        <v>79</v>
      </c>
      <c r="M476" s="1" t="s">
        <v>1103</v>
      </c>
      <c r="N476" s="174" t="s">
        <v>124</v>
      </c>
      <c r="O476" s="174" t="s">
        <v>507</v>
      </c>
      <c r="P476" s="64" t="s">
        <v>750</v>
      </c>
      <c r="R476" s="64" t="s">
        <v>1071</v>
      </c>
      <c r="S476" s="235" t="s">
        <v>104</v>
      </c>
      <c r="Y476" s="171" t="str">
        <f t="shared" si="883"/>
        <v>Pass</v>
      </c>
      <c r="Z476" s="11" t="str">
        <f t="shared" si="802"/>
        <v/>
      </c>
      <c r="AA476" s="205" t="str">
        <f t="shared" si="890"/>
        <v/>
      </c>
      <c r="AB476" s="205" t="str">
        <f t="shared" si="891"/>
        <v/>
      </c>
    </row>
    <row r="477" spans="2:28" x14ac:dyDescent="0.25">
      <c r="B477" s="66">
        <v>41754</v>
      </c>
      <c r="C477" s="66">
        <v>41754</v>
      </c>
      <c r="D477" s="68">
        <f t="shared" si="916"/>
        <v>4</v>
      </c>
      <c r="E477" s="66" t="str">
        <f t="shared" si="917"/>
        <v>2014-Apr</v>
      </c>
      <c r="F477" s="68">
        <f t="shared" si="918"/>
        <v>4</v>
      </c>
      <c r="G477" s="174" t="s">
        <v>87</v>
      </c>
      <c r="H477" s="174" t="s">
        <v>166</v>
      </c>
      <c r="J477" s="174" t="s">
        <v>78</v>
      </c>
      <c r="K477" s="174" t="s">
        <v>78</v>
      </c>
      <c r="L477" s="174" t="s">
        <v>79</v>
      </c>
      <c r="M477" s="1" t="s">
        <v>1104</v>
      </c>
      <c r="N477" s="174" t="s">
        <v>124</v>
      </c>
      <c r="O477" s="174" t="s">
        <v>167</v>
      </c>
      <c r="R477" s="64" t="s">
        <v>727</v>
      </c>
      <c r="Y477" s="171" t="str">
        <f t="shared" si="883"/>
        <v>Unknown</v>
      </c>
      <c r="Z477" s="11" t="str">
        <f t="shared" si="802"/>
        <v/>
      </c>
      <c r="AA477" s="205" t="str">
        <f t="shared" si="890"/>
        <v/>
      </c>
      <c r="AB477" s="205" t="str">
        <f t="shared" si="891"/>
        <v/>
      </c>
    </row>
    <row r="478" spans="2:28" x14ac:dyDescent="0.25">
      <c r="B478" s="65">
        <v>41754</v>
      </c>
      <c r="C478" s="66">
        <v>41754</v>
      </c>
      <c r="D478" s="68">
        <f t="shared" ref="D478" si="919">IF(B478&gt;0,MONTH(B478),"False")</f>
        <v>4</v>
      </c>
      <c r="E478" s="66" t="str">
        <f t="shared" ref="E478" si="920">YEAR(B478) &amp; CHOOSE(D478,"-Jan","-Feb","-Mar","-Apr","-May","-Jun","-Jul","-Aug","-Sep","-Oct","-Nov","-Dec")</f>
        <v>2014-Apr</v>
      </c>
      <c r="F478" s="68">
        <f t="shared" ref="F478" si="921">IF(C478&gt;0,MONTH(C478),"False")</f>
        <v>4</v>
      </c>
      <c r="G478" s="174" t="s">
        <v>75</v>
      </c>
      <c r="H478" s="174" t="s">
        <v>266</v>
      </c>
      <c r="J478" s="174" t="s">
        <v>275</v>
      </c>
      <c r="K478" s="174" t="s">
        <v>82</v>
      </c>
      <c r="L478" s="174" t="s">
        <v>79</v>
      </c>
      <c r="M478" s="1" t="s">
        <v>1105</v>
      </c>
      <c r="N478" s="174" t="s">
        <v>124</v>
      </c>
      <c r="O478" s="174" t="s">
        <v>273</v>
      </c>
      <c r="P478" s="64" t="s">
        <v>600</v>
      </c>
      <c r="Y478" s="171" t="str">
        <f t="shared" si="883"/>
        <v>Unknown</v>
      </c>
      <c r="Z478" s="11" t="str">
        <f t="shared" si="802"/>
        <v/>
      </c>
      <c r="AA478" s="205" t="str">
        <f t="shared" si="890"/>
        <v/>
      </c>
      <c r="AB478" s="205" t="str">
        <f t="shared" si="891"/>
        <v/>
      </c>
    </row>
    <row r="479" spans="2:28" x14ac:dyDescent="0.25">
      <c r="B479" s="65">
        <v>41754</v>
      </c>
      <c r="C479" s="66"/>
      <c r="D479" s="68">
        <f t="shared" ref="D479:D480" si="922">IF(B479&gt;0,MONTH(B479),"False")</f>
        <v>4</v>
      </c>
      <c r="E479" s="66" t="str">
        <f t="shared" ref="E479:E480" si="923">YEAR(B479) &amp; CHOOSE(D479,"-Jan","-Feb","-Mar","-Apr","-May","-Jun","-Jul","-Aug","-Sep","-Oct","-Nov","-Dec")</f>
        <v>2014-Apr</v>
      </c>
      <c r="F479" s="68" t="str">
        <f t="shared" ref="F479:F480" si="924">IF(C479&gt;0,MONTH(C479),"False")</f>
        <v>False</v>
      </c>
      <c r="G479" s="174" t="s">
        <v>75</v>
      </c>
      <c r="H479" s="174" t="s">
        <v>166</v>
      </c>
      <c r="J479" s="174" t="s">
        <v>77</v>
      </c>
      <c r="K479" s="174" t="s">
        <v>82</v>
      </c>
      <c r="L479" s="174" t="s">
        <v>79</v>
      </c>
      <c r="M479" s="1" t="s">
        <v>1106</v>
      </c>
      <c r="N479" s="174" t="s">
        <v>124</v>
      </c>
      <c r="O479" s="174" t="s">
        <v>353</v>
      </c>
      <c r="P479" s="64" t="s">
        <v>319</v>
      </c>
      <c r="Q479" s="2" t="s">
        <v>94</v>
      </c>
      <c r="Y479" s="171" t="str">
        <f t="shared" si="883"/>
        <v>Obsolete</v>
      </c>
      <c r="Z479" s="11">
        <f t="shared" si="802"/>
        <v>41754</v>
      </c>
      <c r="AA479" s="205" t="str">
        <f t="shared" si="890"/>
        <v>2014 - 17</v>
      </c>
      <c r="AB479" s="205">
        <f t="shared" si="891"/>
        <v>2014</v>
      </c>
    </row>
    <row r="480" spans="2:28" x14ac:dyDescent="0.25">
      <c r="B480" s="65">
        <v>41755</v>
      </c>
      <c r="C480" s="66">
        <v>41755</v>
      </c>
      <c r="D480" s="68">
        <f t="shared" si="922"/>
        <v>4</v>
      </c>
      <c r="E480" s="66" t="str">
        <f t="shared" si="923"/>
        <v>2014-Apr</v>
      </c>
      <c r="F480" s="68">
        <f t="shared" si="924"/>
        <v>4</v>
      </c>
      <c r="G480" s="174" t="s">
        <v>105</v>
      </c>
      <c r="H480" s="174" t="s">
        <v>280</v>
      </c>
      <c r="J480" s="174" t="s">
        <v>81</v>
      </c>
      <c r="K480" s="174" t="s">
        <v>82</v>
      </c>
      <c r="L480" s="174" t="s">
        <v>79</v>
      </c>
      <c r="M480" s="1" t="s">
        <v>1107</v>
      </c>
      <c r="N480" s="174" t="s">
        <v>124</v>
      </c>
      <c r="O480" s="174" t="s">
        <v>529</v>
      </c>
      <c r="P480" s="64" t="s">
        <v>305</v>
      </c>
      <c r="R480" s="64" t="s">
        <v>1108</v>
      </c>
      <c r="S480" s="174" t="s">
        <v>104</v>
      </c>
      <c r="X480" s="174" t="s">
        <v>544</v>
      </c>
      <c r="Y480" s="171" t="str">
        <f t="shared" si="883"/>
        <v>Pass</v>
      </c>
      <c r="Z480" s="11" t="str">
        <f t="shared" si="802"/>
        <v/>
      </c>
      <c r="AA480" s="205" t="str">
        <f t="shared" si="890"/>
        <v/>
      </c>
      <c r="AB480" s="205" t="str">
        <f t="shared" si="891"/>
        <v/>
      </c>
    </row>
    <row r="481" spans="2:28" x14ac:dyDescent="0.25">
      <c r="B481" s="66">
        <v>41757</v>
      </c>
      <c r="C481" s="66">
        <v>41757</v>
      </c>
      <c r="D481" s="68">
        <f t="shared" ref="D481:D482" si="925">IF(B481&gt;0,MONTH(B481),"False")</f>
        <v>4</v>
      </c>
      <c r="E481" s="66" t="str">
        <f t="shared" ref="E481:E482" si="926">YEAR(B481) &amp; CHOOSE(D481,"-Jan","-Feb","-Mar","-Apr","-May","-Jun","-Jul","-Aug","-Sep","-Oct","-Nov","-Dec")</f>
        <v>2014-Apr</v>
      </c>
      <c r="F481" s="68">
        <f t="shared" ref="F481:F482" si="927">IF(C481&gt;0,MONTH(C481),"False")</f>
        <v>4</v>
      </c>
      <c r="G481" s="175" t="s">
        <v>87</v>
      </c>
      <c r="H481" s="175" t="s">
        <v>166</v>
      </c>
      <c r="J481" s="175" t="s">
        <v>146</v>
      </c>
      <c r="K481" s="175" t="s">
        <v>260</v>
      </c>
      <c r="L481" s="175" t="s">
        <v>79</v>
      </c>
      <c r="M481" s="1" t="s">
        <v>1109</v>
      </c>
      <c r="N481" s="175" t="s">
        <v>124</v>
      </c>
      <c r="O481" s="175" t="s">
        <v>148</v>
      </c>
      <c r="R481" s="64" t="s">
        <v>894</v>
      </c>
      <c r="Y481" s="171" t="str">
        <f t="shared" si="883"/>
        <v>Unknown</v>
      </c>
      <c r="Z481" s="11" t="str">
        <f t="shared" si="802"/>
        <v/>
      </c>
      <c r="AA481" s="205" t="str">
        <f t="shared" si="890"/>
        <v/>
      </c>
      <c r="AB481" s="205" t="str">
        <f t="shared" si="891"/>
        <v/>
      </c>
    </row>
    <row r="482" spans="2:28" x14ac:dyDescent="0.25">
      <c r="B482" s="65">
        <v>41757</v>
      </c>
      <c r="C482" s="66">
        <v>41757</v>
      </c>
      <c r="D482" s="68">
        <f t="shared" si="925"/>
        <v>4</v>
      </c>
      <c r="E482" s="66" t="str">
        <f t="shared" si="926"/>
        <v>2014-Apr</v>
      </c>
      <c r="F482" s="68">
        <f t="shared" si="927"/>
        <v>4</v>
      </c>
      <c r="G482" s="175" t="s">
        <v>93</v>
      </c>
      <c r="H482" s="175" t="s">
        <v>103</v>
      </c>
      <c r="J482" s="175" t="s">
        <v>77</v>
      </c>
      <c r="K482" s="175" t="s">
        <v>82</v>
      </c>
      <c r="L482" s="175" t="s">
        <v>79</v>
      </c>
      <c r="M482" s="1" t="s">
        <v>1110</v>
      </c>
      <c r="N482" s="175" t="s">
        <v>124</v>
      </c>
      <c r="O482" s="175" t="s">
        <v>265</v>
      </c>
      <c r="P482" s="64" t="s">
        <v>351</v>
      </c>
      <c r="Q482" s="2" t="s">
        <v>88</v>
      </c>
      <c r="R482" s="64" t="s">
        <v>361</v>
      </c>
      <c r="Y482" s="171" t="str">
        <f t="shared" si="883"/>
        <v>Obsolete</v>
      </c>
      <c r="Z482" s="11">
        <f t="shared" ref="Z482:Z545" si="928">IF(Q482="Obsolete-LQA",C482,IF(Q482="Obsolete-IT",B482,""))</f>
        <v>41757</v>
      </c>
      <c r="AA482" s="205" t="str">
        <f t="shared" si="890"/>
        <v>2014 - 18</v>
      </c>
      <c r="AB482" s="205">
        <f t="shared" si="891"/>
        <v>2014</v>
      </c>
    </row>
    <row r="483" spans="2:28" x14ac:dyDescent="0.25">
      <c r="B483" s="65">
        <v>41757</v>
      </c>
      <c r="C483" s="66">
        <v>41757</v>
      </c>
      <c r="D483" s="68">
        <f t="shared" ref="D483" si="929">IF(B483&gt;0,MONTH(B483),"False")</f>
        <v>4</v>
      </c>
      <c r="E483" s="66" t="str">
        <f t="shared" ref="E483" si="930">YEAR(B483) &amp; CHOOSE(D483,"-Jan","-Feb","-Mar","-Apr","-May","-Jun","-Jul","-Aug","-Sep","-Oct","-Nov","-Dec")</f>
        <v>2014-Apr</v>
      </c>
      <c r="F483" s="68">
        <f t="shared" ref="F483" si="931">IF(C483&gt;0,MONTH(C483),"False")</f>
        <v>4</v>
      </c>
      <c r="G483" s="175" t="s">
        <v>93</v>
      </c>
      <c r="H483" s="175" t="s">
        <v>166</v>
      </c>
      <c r="J483" s="175" t="s">
        <v>146</v>
      </c>
      <c r="K483" s="175" t="s">
        <v>82</v>
      </c>
      <c r="L483" s="175" t="s">
        <v>79</v>
      </c>
      <c r="M483" s="1" t="s">
        <v>1111</v>
      </c>
      <c r="N483" s="175" t="s">
        <v>124</v>
      </c>
      <c r="O483" s="175" t="s">
        <v>272</v>
      </c>
      <c r="P483" s="64" t="s">
        <v>485</v>
      </c>
      <c r="R483" s="64" t="s">
        <v>920</v>
      </c>
      <c r="S483" s="198" t="s">
        <v>104</v>
      </c>
      <c r="Y483" s="171" t="str">
        <f t="shared" si="883"/>
        <v>Pass</v>
      </c>
      <c r="Z483" s="11" t="str">
        <f t="shared" si="928"/>
        <v/>
      </c>
      <c r="AA483" s="205" t="str">
        <f t="shared" si="890"/>
        <v/>
      </c>
      <c r="AB483" s="205" t="str">
        <f t="shared" si="891"/>
        <v/>
      </c>
    </row>
    <row r="484" spans="2:28" x14ac:dyDescent="0.25">
      <c r="B484" s="65">
        <v>41757</v>
      </c>
      <c r="C484" s="66">
        <v>41757</v>
      </c>
      <c r="D484" s="68">
        <f t="shared" ref="D484" si="932">IF(B484&gt;0,MONTH(B484),"False")</f>
        <v>4</v>
      </c>
      <c r="E484" s="66" t="str">
        <f t="shared" ref="E484" si="933">YEAR(B484) &amp; CHOOSE(D484,"-Jan","-Feb","-Mar","-Apr","-May","-Jun","-Jul","-Aug","-Sep","-Oct","-Nov","-Dec")</f>
        <v>2014-Apr</v>
      </c>
      <c r="F484" s="68">
        <f t="shared" ref="F484" si="934">IF(C484&gt;0,MONTH(C484),"False")</f>
        <v>4</v>
      </c>
      <c r="G484" s="175" t="s">
        <v>93</v>
      </c>
      <c r="H484" s="175" t="s">
        <v>136</v>
      </c>
      <c r="J484" s="175" t="s">
        <v>120</v>
      </c>
      <c r="K484" s="175" t="s">
        <v>82</v>
      </c>
      <c r="L484" s="175" t="s">
        <v>79</v>
      </c>
      <c r="M484" s="1" t="s">
        <v>1112</v>
      </c>
      <c r="N484" s="175" t="s">
        <v>124</v>
      </c>
      <c r="O484" s="175" t="s">
        <v>507</v>
      </c>
      <c r="P484" s="64" t="s">
        <v>750</v>
      </c>
      <c r="R484" s="64" t="s">
        <v>1071</v>
      </c>
      <c r="S484" s="197" t="s">
        <v>104</v>
      </c>
      <c r="Y484" s="171" t="str">
        <f t="shared" si="883"/>
        <v>Pass</v>
      </c>
      <c r="Z484" s="11" t="str">
        <f t="shared" si="928"/>
        <v/>
      </c>
      <c r="AA484" s="205" t="str">
        <f t="shared" si="890"/>
        <v/>
      </c>
      <c r="AB484" s="205" t="str">
        <f t="shared" si="891"/>
        <v/>
      </c>
    </row>
    <row r="485" spans="2:28" x14ac:dyDescent="0.25">
      <c r="B485" s="65">
        <v>41757</v>
      </c>
      <c r="C485" s="66">
        <v>41757</v>
      </c>
      <c r="D485" s="68">
        <f t="shared" ref="D485" si="935">IF(B485&gt;0,MONTH(B485),"False")</f>
        <v>4</v>
      </c>
      <c r="E485" s="66" t="str">
        <f t="shared" ref="E485" si="936">YEAR(B485) &amp; CHOOSE(D485,"-Jan","-Feb","-Mar","-Apr","-May","-Jun","-Jul","-Aug","-Sep","-Oct","-Nov","-Dec")</f>
        <v>2014-Apr</v>
      </c>
      <c r="F485" s="68">
        <f t="shared" ref="F485" si="937">IF(C485&gt;0,MONTH(C485),"False")</f>
        <v>4</v>
      </c>
      <c r="G485" s="175" t="s">
        <v>93</v>
      </c>
      <c r="H485" s="175" t="s">
        <v>136</v>
      </c>
      <c r="J485" s="175" t="s">
        <v>77</v>
      </c>
      <c r="K485" s="175" t="s">
        <v>82</v>
      </c>
      <c r="L485" s="175" t="s">
        <v>79</v>
      </c>
      <c r="M485" s="1" t="s">
        <v>1113</v>
      </c>
      <c r="N485" s="175" t="s">
        <v>124</v>
      </c>
      <c r="O485" s="175" t="s">
        <v>507</v>
      </c>
      <c r="P485" s="64" t="s">
        <v>750</v>
      </c>
      <c r="Q485" s="2" t="s">
        <v>88</v>
      </c>
      <c r="R485" s="64" t="s">
        <v>1071</v>
      </c>
      <c r="Y485" s="171" t="str">
        <f t="shared" si="883"/>
        <v>Obsolete</v>
      </c>
      <c r="Z485" s="11">
        <f t="shared" si="928"/>
        <v>41757</v>
      </c>
      <c r="AA485" s="205" t="str">
        <f t="shared" si="890"/>
        <v>2014 - 18</v>
      </c>
      <c r="AB485" s="205">
        <f t="shared" si="891"/>
        <v>2014</v>
      </c>
    </row>
    <row r="486" spans="2:28" x14ac:dyDescent="0.25">
      <c r="B486" s="65">
        <v>41758</v>
      </c>
      <c r="C486" s="66">
        <v>41758</v>
      </c>
      <c r="D486" s="68">
        <f t="shared" ref="D486" si="938">IF(B486&gt;0,MONTH(B486),"False")</f>
        <v>4</v>
      </c>
      <c r="E486" s="66" t="str">
        <f t="shared" ref="E486" si="939">YEAR(B486) &amp; CHOOSE(D486,"-Jan","-Feb","-Mar","-Apr","-May","-Jun","-Jul","-Aug","-Sep","-Oct","-Nov","-Dec")</f>
        <v>2014-Apr</v>
      </c>
      <c r="F486" s="68">
        <f t="shared" ref="F486" si="940">IF(C486&gt;0,MONTH(C486),"False")</f>
        <v>4</v>
      </c>
      <c r="G486" s="177" t="s">
        <v>105</v>
      </c>
      <c r="H486" s="176" t="s">
        <v>280</v>
      </c>
      <c r="J486" s="176" t="s">
        <v>81</v>
      </c>
      <c r="K486" s="176" t="s">
        <v>82</v>
      </c>
      <c r="L486" s="176" t="s">
        <v>79</v>
      </c>
      <c r="M486" s="1" t="s">
        <v>1114</v>
      </c>
      <c r="N486" s="176" t="s">
        <v>124</v>
      </c>
      <c r="O486" s="176" t="s">
        <v>529</v>
      </c>
      <c r="P486" s="64" t="s">
        <v>305</v>
      </c>
      <c r="R486" s="64" t="s">
        <v>1108</v>
      </c>
      <c r="S486" s="177" t="s">
        <v>104</v>
      </c>
      <c r="X486" s="177" t="s">
        <v>161</v>
      </c>
      <c r="Y486" s="177" t="str">
        <f t="shared" si="883"/>
        <v>Pass</v>
      </c>
      <c r="Z486" s="11" t="str">
        <f t="shared" si="928"/>
        <v/>
      </c>
      <c r="AA486" s="205" t="str">
        <f t="shared" si="890"/>
        <v/>
      </c>
      <c r="AB486" s="205" t="str">
        <f t="shared" si="891"/>
        <v/>
      </c>
    </row>
    <row r="487" spans="2:28" x14ac:dyDescent="0.25">
      <c r="B487" s="66">
        <v>41758</v>
      </c>
      <c r="C487" s="66">
        <v>41758</v>
      </c>
      <c r="D487" s="68">
        <f t="shared" ref="D487" si="941">IF(B487&gt;0,MONTH(B487),"False")</f>
        <v>4</v>
      </c>
      <c r="E487" s="66" t="str">
        <f t="shared" ref="E487" si="942">YEAR(B487) &amp; CHOOSE(D487,"-Jan","-Feb","-Mar","-Apr","-May","-Jun","-Jul","-Aug","-Sep","-Oct","-Nov","-Dec")</f>
        <v>2014-Apr</v>
      </c>
      <c r="F487" s="68">
        <f t="shared" ref="F487" si="943">IF(C487&gt;0,MONTH(C487),"False")</f>
        <v>4</v>
      </c>
      <c r="G487" s="176" t="s">
        <v>87</v>
      </c>
      <c r="H487" s="176" t="s">
        <v>166</v>
      </c>
      <c r="J487" s="176" t="s">
        <v>149</v>
      </c>
      <c r="K487" s="176" t="s">
        <v>84</v>
      </c>
      <c r="L487" s="176" t="s">
        <v>79</v>
      </c>
      <c r="M487" s="1" t="s">
        <v>1115</v>
      </c>
      <c r="N487" s="176" t="s">
        <v>124</v>
      </c>
      <c r="O487" s="176" t="s">
        <v>148</v>
      </c>
      <c r="R487" s="64" t="s">
        <v>1041</v>
      </c>
      <c r="Y487" s="177" t="str">
        <f t="shared" si="883"/>
        <v>Unknown</v>
      </c>
      <c r="Z487" s="11" t="str">
        <f t="shared" si="928"/>
        <v/>
      </c>
      <c r="AA487" s="205" t="str">
        <f t="shared" si="890"/>
        <v/>
      </c>
      <c r="AB487" s="205" t="str">
        <f t="shared" si="891"/>
        <v/>
      </c>
    </row>
    <row r="488" spans="2:28" x14ac:dyDescent="0.25">
      <c r="B488" s="66">
        <v>41758</v>
      </c>
      <c r="C488" s="66">
        <v>41758</v>
      </c>
      <c r="D488" s="68">
        <f t="shared" ref="D488:D489" si="944">IF(B488&gt;0,MONTH(B488),"False")</f>
        <v>4</v>
      </c>
      <c r="E488" s="66" t="str">
        <f t="shared" ref="E488:E489" si="945">YEAR(B488) &amp; CHOOSE(D488,"-Jan","-Feb","-Mar","-Apr","-May","-Jun","-Jul","-Aug","-Sep","-Oct","-Nov","-Dec")</f>
        <v>2014-Apr</v>
      </c>
      <c r="F488" s="68">
        <f t="shared" ref="F488:F489" si="946">IF(C488&gt;0,MONTH(C488),"False")</f>
        <v>4</v>
      </c>
      <c r="G488" s="176" t="s">
        <v>87</v>
      </c>
      <c r="H488" s="176" t="s">
        <v>166</v>
      </c>
      <c r="J488" s="176" t="s">
        <v>119</v>
      </c>
      <c r="K488" s="176" t="s">
        <v>119</v>
      </c>
      <c r="L488" s="176" t="s">
        <v>83</v>
      </c>
      <c r="M488" s="1" t="s">
        <v>1116</v>
      </c>
      <c r="N488" s="176" t="s">
        <v>124</v>
      </c>
      <c r="O488" s="176" t="s">
        <v>589</v>
      </c>
      <c r="R488" s="64" t="s">
        <v>473</v>
      </c>
      <c r="Y488" s="177" t="str">
        <f t="shared" si="883"/>
        <v>Unknown</v>
      </c>
      <c r="Z488" s="11" t="str">
        <f t="shared" si="928"/>
        <v/>
      </c>
      <c r="AA488" s="205" t="str">
        <f t="shared" si="890"/>
        <v/>
      </c>
      <c r="AB488" s="205" t="str">
        <f t="shared" si="891"/>
        <v/>
      </c>
    </row>
    <row r="489" spans="2:28" x14ac:dyDescent="0.25">
      <c r="B489" s="65">
        <v>41758</v>
      </c>
      <c r="C489" s="66">
        <v>41758</v>
      </c>
      <c r="D489" s="68">
        <f t="shared" si="944"/>
        <v>4</v>
      </c>
      <c r="E489" s="66" t="str">
        <f t="shared" si="945"/>
        <v>2014-Apr</v>
      </c>
      <c r="F489" s="68">
        <f t="shared" si="946"/>
        <v>4</v>
      </c>
      <c r="G489" s="176" t="s">
        <v>93</v>
      </c>
      <c r="H489" s="176" t="s">
        <v>136</v>
      </c>
      <c r="J489" s="176" t="s">
        <v>77</v>
      </c>
      <c r="K489" s="176" t="s">
        <v>82</v>
      </c>
      <c r="L489" s="176" t="s">
        <v>79</v>
      </c>
      <c r="M489" s="1" t="s">
        <v>1117</v>
      </c>
      <c r="N489" s="176" t="s">
        <v>124</v>
      </c>
      <c r="O489" s="176" t="s">
        <v>114</v>
      </c>
      <c r="P489" s="64" t="s">
        <v>750</v>
      </c>
      <c r="R489" s="64" t="s">
        <v>1071</v>
      </c>
      <c r="S489" s="235" t="s">
        <v>104</v>
      </c>
      <c r="T489" s="67" t="s">
        <v>110</v>
      </c>
      <c r="Y489" s="177" t="str">
        <f t="shared" si="883"/>
        <v>Pass</v>
      </c>
      <c r="Z489" s="11" t="str">
        <f t="shared" si="928"/>
        <v/>
      </c>
      <c r="AA489" s="205" t="str">
        <f t="shared" si="890"/>
        <v/>
      </c>
      <c r="AB489" s="205" t="str">
        <f t="shared" si="891"/>
        <v/>
      </c>
    </row>
    <row r="490" spans="2:28" x14ac:dyDescent="0.25">
      <c r="B490" s="65">
        <v>41758</v>
      </c>
      <c r="C490" s="66">
        <v>41758</v>
      </c>
      <c r="D490" s="68">
        <f t="shared" ref="D490:D491" si="947">IF(B490&gt;0,MONTH(B490),"False")</f>
        <v>4</v>
      </c>
      <c r="E490" s="66" t="str">
        <f t="shared" ref="E490:E491" si="948">YEAR(B490) &amp; CHOOSE(D490,"-Jan","-Feb","-Mar","-Apr","-May","-Jun","-Jul","-Aug","-Sep","-Oct","-Nov","-Dec")</f>
        <v>2014-Apr</v>
      </c>
      <c r="F490" s="68">
        <f t="shared" ref="F490:F491" si="949">IF(C490&gt;0,MONTH(C490),"False")</f>
        <v>4</v>
      </c>
      <c r="G490" s="176" t="s">
        <v>93</v>
      </c>
      <c r="H490" s="176" t="s">
        <v>166</v>
      </c>
      <c r="J490" s="176" t="s">
        <v>77</v>
      </c>
      <c r="K490" s="176" t="s">
        <v>82</v>
      </c>
      <c r="L490" s="176" t="s">
        <v>79</v>
      </c>
      <c r="M490" s="1" t="s">
        <v>1118</v>
      </c>
      <c r="N490" s="176" t="s">
        <v>124</v>
      </c>
      <c r="O490" s="176" t="s">
        <v>353</v>
      </c>
      <c r="P490" s="64" t="s">
        <v>319</v>
      </c>
      <c r="R490" s="64" t="s">
        <v>320</v>
      </c>
      <c r="S490" s="235" t="s">
        <v>104</v>
      </c>
      <c r="Y490" s="177" t="str">
        <f t="shared" si="883"/>
        <v>Pass</v>
      </c>
      <c r="Z490" s="11" t="str">
        <f t="shared" si="928"/>
        <v/>
      </c>
      <c r="AA490" s="205" t="str">
        <f t="shared" si="890"/>
        <v/>
      </c>
      <c r="AB490" s="205" t="str">
        <f t="shared" si="891"/>
        <v/>
      </c>
    </row>
    <row r="491" spans="2:28" x14ac:dyDescent="0.25">
      <c r="B491" s="66">
        <v>41758</v>
      </c>
      <c r="C491" s="66">
        <v>41758</v>
      </c>
      <c r="D491" s="68">
        <f t="shared" si="947"/>
        <v>4</v>
      </c>
      <c r="E491" s="66" t="str">
        <f t="shared" si="948"/>
        <v>2014-Apr</v>
      </c>
      <c r="F491" s="68">
        <f t="shared" si="949"/>
        <v>4</v>
      </c>
      <c r="G491" s="176" t="s">
        <v>87</v>
      </c>
      <c r="H491" s="176" t="s">
        <v>166</v>
      </c>
      <c r="J491" s="176" t="s">
        <v>149</v>
      </c>
      <c r="K491" s="176" t="s">
        <v>84</v>
      </c>
      <c r="L491" s="176" t="s">
        <v>79</v>
      </c>
      <c r="M491" s="1" t="s">
        <v>1119</v>
      </c>
      <c r="N491" s="176" t="s">
        <v>124</v>
      </c>
      <c r="O491" s="176" t="s">
        <v>264</v>
      </c>
      <c r="R491" s="64" t="s">
        <v>1120</v>
      </c>
      <c r="Y491" s="177" t="str">
        <f t="shared" si="883"/>
        <v>Unknown</v>
      </c>
      <c r="Z491" s="11" t="str">
        <f t="shared" si="928"/>
        <v/>
      </c>
      <c r="AA491" s="205" t="str">
        <f t="shared" si="890"/>
        <v/>
      </c>
      <c r="AB491" s="205" t="str">
        <f t="shared" si="891"/>
        <v/>
      </c>
    </row>
    <row r="492" spans="2:28" x14ac:dyDescent="0.25">
      <c r="B492" s="65">
        <v>41758</v>
      </c>
      <c r="C492" s="66">
        <v>41758</v>
      </c>
      <c r="D492" s="68">
        <f t="shared" ref="D492:D493" si="950">IF(B492&gt;0,MONTH(B492),"False")</f>
        <v>4</v>
      </c>
      <c r="E492" s="66" t="str">
        <f t="shared" ref="E492:E493" si="951">YEAR(B492) &amp; CHOOSE(D492,"-Jan","-Feb","-Mar","-Apr","-May","-Jun","-Jul","-Aug","-Sep","-Oct","-Nov","-Dec")</f>
        <v>2014-Apr</v>
      </c>
      <c r="F492" s="68">
        <f t="shared" ref="F492:F493" si="952">IF(C492&gt;0,MONTH(C492),"False")</f>
        <v>4</v>
      </c>
      <c r="G492" s="176" t="s">
        <v>93</v>
      </c>
      <c r="H492" s="176" t="s">
        <v>28</v>
      </c>
      <c r="J492" s="176" t="s">
        <v>77</v>
      </c>
      <c r="K492" s="176" t="s">
        <v>82</v>
      </c>
      <c r="L492" s="176" t="s">
        <v>79</v>
      </c>
      <c r="M492" s="1" t="s">
        <v>1121</v>
      </c>
      <c r="N492" s="176" t="s">
        <v>124</v>
      </c>
      <c r="O492" s="176" t="s">
        <v>162</v>
      </c>
      <c r="P492" s="64" t="s">
        <v>334</v>
      </c>
      <c r="Q492" s="2" t="s">
        <v>88</v>
      </c>
      <c r="R492" s="64" t="s">
        <v>335</v>
      </c>
      <c r="Y492" s="177" t="str">
        <f t="shared" si="883"/>
        <v>Obsolete</v>
      </c>
      <c r="Z492" s="11">
        <f t="shared" si="928"/>
        <v>41758</v>
      </c>
      <c r="AA492" s="205" t="str">
        <f t="shared" si="890"/>
        <v>2014 - 18</v>
      </c>
      <c r="AB492" s="205">
        <f t="shared" si="891"/>
        <v>2014</v>
      </c>
    </row>
    <row r="493" spans="2:28" x14ac:dyDescent="0.25">
      <c r="B493" s="66">
        <v>41758</v>
      </c>
      <c r="C493" s="66">
        <v>41758</v>
      </c>
      <c r="D493" s="68">
        <f t="shared" si="950"/>
        <v>4</v>
      </c>
      <c r="E493" s="66" t="str">
        <f t="shared" si="951"/>
        <v>2014-Apr</v>
      </c>
      <c r="F493" s="68">
        <f t="shared" si="952"/>
        <v>4</v>
      </c>
      <c r="G493" s="176" t="s">
        <v>87</v>
      </c>
      <c r="H493" s="176" t="s">
        <v>166</v>
      </c>
      <c r="J493" s="176" t="s">
        <v>146</v>
      </c>
      <c r="K493" s="176" t="s">
        <v>260</v>
      </c>
      <c r="L493" s="176" t="s">
        <v>79</v>
      </c>
      <c r="M493" s="1" t="s">
        <v>1122</v>
      </c>
      <c r="N493" s="176" t="s">
        <v>124</v>
      </c>
      <c r="O493" s="176" t="s">
        <v>148</v>
      </c>
      <c r="Q493" s="2" t="s">
        <v>88</v>
      </c>
      <c r="R493" s="64" t="s">
        <v>894</v>
      </c>
      <c r="T493" s="67" t="s">
        <v>110</v>
      </c>
      <c r="Y493" s="177" t="str">
        <f t="shared" si="883"/>
        <v>Obsolete</v>
      </c>
      <c r="Z493" s="11">
        <f t="shared" si="928"/>
        <v>41758</v>
      </c>
      <c r="AA493" s="205" t="str">
        <f t="shared" si="890"/>
        <v>2014 - 18</v>
      </c>
      <c r="AB493" s="205">
        <f t="shared" si="891"/>
        <v>2014</v>
      </c>
    </row>
    <row r="494" spans="2:28" x14ac:dyDescent="0.25">
      <c r="B494" s="66">
        <v>41758</v>
      </c>
      <c r="C494" s="66">
        <v>41758</v>
      </c>
      <c r="D494" s="68">
        <f t="shared" ref="D494" si="953">IF(B494&gt;0,MONTH(B494),"False")</f>
        <v>4</v>
      </c>
      <c r="E494" s="66" t="str">
        <f t="shared" ref="E494" si="954">YEAR(B494) &amp; CHOOSE(D494,"-Jan","-Feb","-Mar","-Apr","-May","-Jun","-Jul","-Aug","-Sep","-Oct","-Nov","-Dec")</f>
        <v>2014-Apr</v>
      </c>
      <c r="F494" s="68">
        <f t="shared" ref="F494" si="955">IF(C494&gt;0,MONTH(C494),"False")</f>
        <v>4</v>
      </c>
      <c r="G494" s="176" t="s">
        <v>87</v>
      </c>
      <c r="H494" s="176" t="s">
        <v>166</v>
      </c>
      <c r="J494" s="176" t="s">
        <v>149</v>
      </c>
      <c r="K494" s="176" t="s">
        <v>84</v>
      </c>
      <c r="L494" s="176" t="s">
        <v>79</v>
      </c>
      <c r="M494" s="1" t="s">
        <v>1123</v>
      </c>
      <c r="N494" s="176" t="s">
        <v>124</v>
      </c>
      <c r="O494" s="176" t="s">
        <v>148</v>
      </c>
      <c r="Q494" s="2" t="s">
        <v>88</v>
      </c>
      <c r="R494" s="64" t="s">
        <v>1041</v>
      </c>
      <c r="T494" s="67" t="s">
        <v>110</v>
      </c>
      <c r="Y494" s="177" t="str">
        <f t="shared" si="883"/>
        <v>Obsolete</v>
      </c>
      <c r="Z494" s="11">
        <f t="shared" si="928"/>
        <v>41758</v>
      </c>
      <c r="AA494" s="205" t="str">
        <f t="shared" si="890"/>
        <v>2014 - 18</v>
      </c>
      <c r="AB494" s="205">
        <f t="shared" si="891"/>
        <v>2014</v>
      </c>
    </row>
    <row r="495" spans="2:28" x14ac:dyDescent="0.25">
      <c r="B495" s="66">
        <v>41758</v>
      </c>
      <c r="C495" s="66">
        <v>41758</v>
      </c>
      <c r="D495" s="68">
        <f t="shared" ref="D495" si="956">IF(B495&gt;0,MONTH(B495),"False")</f>
        <v>4</v>
      </c>
      <c r="E495" s="66" t="str">
        <f t="shared" ref="E495" si="957">YEAR(B495) &amp; CHOOSE(D495,"-Jan","-Feb","-Mar","-Apr","-May","-Jun","-Jul","-Aug","-Sep","-Oct","-Nov","-Dec")</f>
        <v>2014-Apr</v>
      </c>
      <c r="F495" s="68">
        <f t="shared" ref="F495" si="958">IF(C495&gt;0,MONTH(C495),"False")</f>
        <v>4</v>
      </c>
      <c r="G495" s="176" t="s">
        <v>87</v>
      </c>
      <c r="H495" s="176" t="s">
        <v>136</v>
      </c>
      <c r="J495" s="176" t="s">
        <v>149</v>
      </c>
      <c r="K495" s="176" t="s">
        <v>84</v>
      </c>
      <c r="L495" s="176" t="s">
        <v>79</v>
      </c>
      <c r="M495" s="1" t="s">
        <v>1124</v>
      </c>
      <c r="N495" s="176" t="s">
        <v>124</v>
      </c>
      <c r="O495" s="176" t="s">
        <v>264</v>
      </c>
      <c r="R495" s="64" t="s">
        <v>1125</v>
      </c>
      <c r="Y495" s="177" t="str">
        <f t="shared" si="883"/>
        <v>Unknown</v>
      </c>
      <c r="Z495" s="11" t="str">
        <f t="shared" si="928"/>
        <v/>
      </c>
      <c r="AA495" s="205" t="str">
        <f t="shared" si="890"/>
        <v/>
      </c>
      <c r="AB495" s="205" t="str">
        <f t="shared" si="891"/>
        <v/>
      </c>
    </row>
    <row r="496" spans="2:28" x14ac:dyDescent="0.25">
      <c r="B496" s="66">
        <v>41759</v>
      </c>
      <c r="C496" s="66">
        <v>41759</v>
      </c>
      <c r="D496" s="68">
        <f t="shared" ref="D496" si="959">IF(B496&gt;0,MONTH(B496),"False")</f>
        <v>4</v>
      </c>
      <c r="E496" s="66" t="str">
        <f t="shared" ref="E496" si="960">YEAR(B496) &amp; CHOOSE(D496,"-Jan","-Feb","-Mar","-Apr","-May","-Jun","-Jul","-Aug","-Sep","-Oct","-Nov","-Dec")</f>
        <v>2014-Apr</v>
      </c>
      <c r="F496" s="68">
        <f t="shared" ref="F496" si="961">IF(C496&gt;0,MONTH(C496),"False")</f>
        <v>4</v>
      </c>
      <c r="G496" s="195" t="s">
        <v>126</v>
      </c>
      <c r="H496" s="177" t="s">
        <v>280</v>
      </c>
      <c r="J496" s="177" t="s">
        <v>78</v>
      </c>
      <c r="K496" s="177" t="s">
        <v>78</v>
      </c>
      <c r="L496" s="177" t="s">
        <v>79</v>
      </c>
      <c r="M496" s="1" t="s">
        <v>1126</v>
      </c>
      <c r="N496" s="177" t="s">
        <v>124</v>
      </c>
      <c r="O496" s="177" t="s">
        <v>304</v>
      </c>
      <c r="R496" s="64" t="s">
        <v>344</v>
      </c>
      <c r="S496" s="195" t="s">
        <v>104</v>
      </c>
      <c r="X496" s="195" t="s">
        <v>544</v>
      </c>
      <c r="Y496" s="177" t="str">
        <f t="shared" si="883"/>
        <v>Pass</v>
      </c>
      <c r="Z496" s="11" t="str">
        <f t="shared" si="928"/>
        <v/>
      </c>
      <c r="AA496" s="205" t="str">
        <f t="shared" si="890"/>
        <v/>
      </c>
      <c r="AB496" s="205" t="str">
        <f t="shared" si="891"/>
        <v/>
      </c>
    </row>
    <row r="497" spans="2:28" x14ac:dyDescent="0.25">
      <c r="B497" s="66">
        <v>41759</v>
      </c>
      <c r="C497" s="66">
        <v>41759</v>
      </c>
      <c r="D497" s="68">
        <f t="shared" ref="D497:D498" si="962">IF(B497&gt;0,MONTH(B497),"False")</f>
        <v>4</v>
      </c>
      <c r="E497" s="66" t="str">
        <f t="shared" ref="E497:E498" si="963">YEAR(B497) &amp; CHOOSE(D497,"-Jan","-Feb","-Mar","-Apr","-May","-Jun","-Jul","-Aug","-Sep","-Oct","-Nov","-Dec")</f>
        <v>2014-Apr</v>
      </c>
      <c r="F497" s="68">
        <f t="shared" ref="F497:F498" si="964">IF(C497&gt;0,MONTH(C497),"False")</f>
        <v>4</v>
      </c>
      <c r="G497" s="196" t="s">
        <v>126</v>
      </c>
      <c r="H497" s="177" t="s">
        <v>280</v>
      </c>
      <c r="J497" s="177" t="s">
        <v>119</v>
      </c>
      <c r="K497" s="177" t="s">
        <v>119</v>
      </c>
      <c r="L497" s="177" t="s">
        <v>79</v>
      </c>
      <c r="M497" s="1" t="s">
        <v>1127</v>
      </c>
      <c r="N497" s="177" t="s">
        <v>124</v>
      </c>
      <c r="O497" s="177" t="s">
        <v>167</v>
      </c>
      <c r="R497" s="64" t="s">
        <v>362</v>
      </c>
      <c r="S497" s="196" t="s">
        <v>104</v>
      </c>
      <c r="X497" s="196" t="s">
        <v>544</v>
      </c>
      <c r="Y497" s="177" t="str">
        <f t="shared" si="883"/>
        <v>Pass</v>
      </c>
      <c r="Z497" s="11" t="str">
        <f t="shared" si="928"/>
        <v/>
      </c>
      <c r="AA497" s="205" t="str">
        <f t="shared" si="890"/>
        <v/>
      </c>
      <c r="AB497" s="205" t="str">
        <f t="shared" si="891"/>
        <v/>
      </c>
    </row>
    <row r="498" spans="2:28" x14ac:dyDescent="0.25">
      <c r="B498" s="66">
        <v>41759</v>
      </c>
      <c r="C498" s="66">
        <v>41759</v>
      </c>
      <c r="D498" s="68">
        <f t="shared" si="962"/>
        <v>4</v>
      </c>
      <c r="E498" s="66" t="str">
        <f t="shared" si="963"/>
        <v>2014-Apr</v>
      </c>
      <c r="F498" s="68">
        <f t="shared" si="964"/>
        <v>4</v>
      </c>
      <c r="G498" s="196" t="s">
        <v>126</v>
      </c>
      <c r="H498" s="177" t="s">
        <v>280</v>
      </c>
      <c r="J498" s="177" t="s">
        <v>119</v>
      </c>
      <c r="K498" s="177" t="s">
        <v>119</v>
      </c>
      <c r="L498" s="177" t="s">
        <v>79</v>
      </c>
      <c r="M498" s="1" t="s">
        <v>1128</v>
      </c>
      <c r="N498" s="177" t="s">
        <v>124</v>
      </c>
      <c r="O498" s="177" t="s">
        <v>138</v>
      </c>
      <c r="R498" s="64" t="s">
        <v>362</v>
      </c>
      <c r="S498" s="196" t="s">
        <v>104</v>
      </c>
      <c r="X498" s="196" t="s">
        <v>544</v>
      </c>
      <c r="Y498" s="177" t="str">
        <f t="shared" si="883"/>
        <v>Pass</v>
      </c>
      <c r="Z498" s="11" t="str">
        <f t="shared" si="928"/>
        <v/>
      </c>
      <c r="AA498" s="205" t="str">
        <f t="shared" si="890"/>
        <v/>
      </c>
      <c r="AB498" s="205" t="str">
        <f t="shared" si="891"/>
        <v/>
      </c>
    </row>
    <row r="499" spans="2:28" x14ac:dyDescent="0.25">
      <c r="B499" s="65">
        <v>41759</v>
      </c>
      <c r="C499" s="66">
        <v>41759</v>
      </c>
      <c r="D499" s="68">
        <f t="shared" ref="D499" si="965">IF(B499&gt;0,MONTH(B499),"False")</f>
        <v>4</v>
      </c>
      <c r="E499" s="66" t="str">
        <f t="shared" ref="E499" si="966">YEAR(B499) &amp; CHOOSE(D499,"-Jan","-Feb","-Mar","-Apr","-May","-Jun","-Jul","-Aug","-Sep","-Oct","-Nov","-Dec")</f>
        <v>2014-Apr</v>
      </c>
      <c r="F499" s="68">
        <f t="shared" ref="F499" si="967">IF(C499&gt;0,MONTH(C499),"False")</f>
        <v>4</v>
      </c>
      <c r="G499" s="177" t="s">
        <v>93</v>
      </c>
      <c r="H499" s="177" t="s">
        <v>166</v>
      </c>
      <c r="J499" s="177" t="s">
        <v>146</v>
      </c>
      <c r="K499" s="177" t="s">
        <v>82</v>
      </c>
      <c r="L499" s="177" t="s">
        <v>79</v>
      </c>
      <c r="M499" s="1" t="s">
        <v>1129</v>
      </c>
      <c r="N499" s="177" t="s">
        <v>124</v>
      </c>
      <c r="O499" s="177" t="s">
        <v>272</v>
      </c>
      <c r="P499" s="64" t="s">
        <v>485</v>
      </c>
      <c r="R499" s="64" t="s">
        <v>920</v>
      </c>
      <c r="S499" s="198" t="s">
        <v>104</v>
      </c>
      <c r="Y499" s="177" t="str">
        <f t="shared" si="883"/>
        <v>Pass</v>
      </c>
      <c r="Z499" s="11" t="str">
        <f t="shared" si="928"/>
        <v/>
      </c>
      <c r="AA499" s="205" t="str">
        <f t="shared" si="890"/>
        <v/>
      </c>
      <c r="AB499" s="205" t="str">
        <f t="shared" si="891"/>
        <v/>
      </c>
    </row>
    <row r="500" spans="2:28" x14ac:dyDescent="0.25">
      <c r="B500" s="65">
        <v>41759</v>
      </c>
      <c r="C500" s="66">
        <v>41759</v>
      </c>
      <c r="D500" s="68">
        <f t="shared" ref="D500:D502" si="968">IF(B500&gt;0,MONTH(B500),"False")</f>
        <v>4</v>
      </c>
      <c r="E500" s="66" t="str">
        <f t="shared" ref="E500:E502" si="969">YEAR(B500) &amp; CHOOSE(D500,"-Jan","-Feb","-Mar","-Apr","-May","-Jun","-Jul","-Aug","-Sep","-Oct","-Nov","-Dec")</f>
        <v>2014-Apr</v>
      </c>
      <c r="F500" s="68">
        <f t="shared" ref="F500:F502" si="970">IF(C500&gt;0,MONTH(C500),"False")</f>
        <v>4</v>
      </c>
      <c r="G500" s="178" t="s">
        <v>93</v>
      </c>
      <c r="H500" s="177" t="s">
        <v>280</v>
      </c>
      <c r="J500" s="177" t="s">
        <v>81</v>
      </c>
      <c r="K500" s="177" t="s">
        <v>82</v>
      </c>
      <c r="L500" s="177" t="s">
        <v>79</v>
      </c>
      <c r="M500" s="1" t="s">
        <v>1130</v>
      </c>
      <c r="N500" s="177" t="s">
        <v>124</v>
      </c>
      <c r="O500" s="177" t="s">
        <v>529</v>
      </c>
      <c r="P500" s="64" t="s">
        <v>305</v>
      </c>
      <c r="Q500" s="2" t="s">
        <v>88</v>
      </c>
      <c r="R500" s="64" t="s">
        <v>1108</v>
      </c>
      <c r="Y500" s="177" t="str">
        <f t="shared" si="883"/>
        <v>Obsolete</v>
      </c>
      <c r="Z500" s="11">
        <f t="shared" si="928"/>
        <v>41759</v>
      </c>
      <c r="AA500" s="205" t="str">
        <f t="shared" si="890"/>
        <v>2014 - 18</v>
      </c>
      <c r="AB500" s="205">
        <f t="shared" si="891"/>
        <v>2014</v>
      </c>
    </row>
    <row r="501" spans="2:28" x14ac:dyDescent="0.25">
      <c r="B501" s="65">
        <v>41759</v>
      </c>
      <c r="C501" s="66">
        <v>41759</v>
      </c>
      <c r="D501" s="68">
        <f t="shared" si="968"/>
        <v>4</v>
      </c>
      <c r="E501" s="66" t="str">
        <f t="shared" si="969"/>
        <v>2014-Apr</v>
      </c>
      <c r="F501" s="68">
        <f t="shared" si="970"/>
        <v>4</v>
      </c>
      <c r="G501" s="177" t="s">
        <v>93</v>
      </c>
      <c r="H501" s="177" t="s">
        <v>280</v>
      </c>
      <c r="J501" s="177" t="s">
        <v>81</v>
      </c>
      <c r="K501" s="177" t="s">
        <v>82</v>
      </c>
      <c r="L501" s="177" t="s">
        <v>79</v>
      </c>
      <c r="M501" s="1" t="s">
        <v>1131</v>
      </c>
      <c r="N501" s="177" t="s">
        <v>124</v>
      </c>
      <c r="O501" s="177" t="s">
        <v>125</v>
      </c>
      <c r="P501" s="64" t="s">
        <v>305</v>
      </c>
      <c r="Q501" s="2" t="s">
        <v>88</v>
      </c>
      <c r="R501" s="64" t="s">
        <v>1108</v>
      </c>
      <c r="Y501" s="177" t="str">
        <f t="shared" si="883"/>
        <v>Obsolete</v>
      </c>
      <c r="Z501" s="11">
        <f t="shared" si="928"/>
        <v>41759</v>
      </c>
      <c r="AA501" s="205" t="str">
        <f t="shared" si="890"/>
        <v>2014 - 18</v>
      </c>
      <c r="AB501" s="205">
        <f t="shared" si="891"/>
        <v>2014</v>
      </c>
    </row>
    <row r="502" spans="2:28" x14ac:dyDescent="0.25">
      <c r="B502" s="66">
        <v>41759</v>
      </c>
      <c r="C502" s="66">
        <v>41759</v>
      </c>
      <c r="D502" s="68">
        <f t="shared" si="968"/>
        <v>4</v>
      </c>
      <c r="E502" s="66" t="str">
        <f t="shared" si="969"/>
        <v>2014-Apr</v>
      </c>
      <c r="F502" s="68">
        <f t="shared" si="970"/>
        <v>4</v>
      </c>
      <c r="G502" s="198" t="s">
        <v>126</v>
      </c>
      <c r="H502" s="177" t="s">
        <v>348</v>
      </c>
      <c r="J502" s="177" t="s">
        <v>150</v>
      </c>
      <c r="K502" s="177" t="s">
        <v>84</v>
      </c>
      <c r="L502" s="177" t="s">
        <v>83</v>
      </c>
      <c r="M502" s="1" t="s">
        <v>1132</v>
      </c>
      <c r="N502" s="177" t="s">
        <v>124</v>
      </c>
      <c r="O502" s="177" t="s">
        <v>299</v>
      </c>
      <c r="R502" s="64" t="s">
        <v>679</v>
      </c>
      <c r="S502" s="198" t="s">
        <v>104</v>
      </c>
      <c r="X502" s="198" t="s">
        <v>268</v>
      </c>
      <c r="Y502" s="179" t="str">
        <f t="shared" si="883"/>
        <v>Pass</v>
      </c>
      <c r="Z502" s="11" t="str">
        <f t="shared" si="928"/>
        <v/>
      </c>
      <c r="AA502" s="205" t="str">
        <f t="shared" si="890"/>
        <v/>
      </c>
      <c r="AB502" s="205" t="str">
        <f t="shared" si="891"/>
        <v/>
      </c>
    </row>
    <row r="503" spans="2:28" x14ac:dyDescent="0.25">
      <c r="B503" s="65">
        <v>41760</v>
      </c>
      <c r="C503" s="66">
        <v>41760</v>
      </c>
      <c r="D503" s="68">
        <f t="shared" ref="D503" si="971">IF(B503&gt;0,MONTH(B503),"False")</f>
        <v>5</v>
      </c>
      <c r="E503" s="66" t="str">
        <f t="shared" ref="E503" si="972">YEAR(B503) &amp; CHOOSE(D503,"-Jan","-Feb","-Mar","-Apr","-May","-Jun","-Jul","-Aug","-Sep","-Oct","-Nov","-Dec")</f>
        <v>2014-May</v>
      </c>
      <c r="F503" s="68">
        <f t="shared" ref="F503" si="973">IF(C503&gt;0,MONTH(C503),"False")</f>
        <v>5</v>
      </c>
      <c r="G503" s="179" t="s">
        <v>93</v>
      </c>
      <c r="H503" s="179" t="s">
        <v>12</v>
      </c>
      <c r="J503" s="179" t="s">
        <v>140</v>
      </c>
      <c r="K503" s="179" t="s">
        <v>84</v>
      </c>
      <c r="L503" s="179" t="s">
        <v>83</v>
      </c>
      <c r="M503" s="1" t="s">
        <v>1133</v>
      </c>
      <c r="N503" s="179" t="s">
        <v>124</v>
      </c>
      <c r="O503" s="179" t="s">
        <v>109</v>
      </c>
      <c r="P503" s="64" t="s">
        <v>1134</v>
      </c>
      <c r="R503" s="64" t="s">
        <v>1138</v>
      </c>
      <c r="Y503" s="179" t="str">
        <f t="shared" si="883"/>
        <v>Unknown</v>
      </c>
      <c r="Z503" s="11" t="str">
        <f t="shared" si="928"/>
        <v/>
      </c>
      <c r="AA503" s="205" t="str">
        <f t="shared" si="890"/>
        <v/>
      </c>
      <c r="AB503" s="205" t="str">
        <f t="shared" si="891"/>
        <v/>
      </c>
    </row>
    <row r="504" spans="2:28" x14ac:dyDescent="0.25">
      <c r="B504" s="66">
        <v>41760</v>
      </c>
      <c r="C504" s="66">
        <v>41760</v>
      </c>
      <c r="D504" s="68">
        <f t="shared" ref="D504" si="974">IF(B504&gt;0,MONTH(B504),"False")</f>
        <v>5</v>
      </c>
      <c r="E504" s="66" t="str">
        <f t="shared" ref="E504" si="975">YEAR(B504) &amp; CHOOSE(D504,"-Jan","-Feb","-Mar","-Apr","-May","-Jun","-Jul","-Aug","-Sep","-Oct","-Nov","-Dec")</f>
        <v>2014-May</v>
      </c>
      <c r="F504" s="68">
        <f t="shared" ref="F504" si="976">IF(C504&gt;0,MONTH(C504),"False")</f>
        <v>5</v>
      </c>
      <c r="G504" s="179" t="s">
        <v>87</v>
      </c>
      <c r="H504" s="179" t="s">
        <v>280</v>
      </c>
      <c r="J504" s="179" t="s">
        <v>149</v>
      </c>
      <c r="K504" s="179" t="s">
        <v>84</v>
      </c>
      <c r="L504" s="179" t="s">
        <v>83</v>
      </c>
      <c r="M504" s="1" t="s">
        <v>1135</v>
      </c>
      <c r="N504" s="179" t="s">
        <v>124</v>
      </c>
      <c r="O504" s="179" t="s">
        <v>148</v>
      </c>
      <c r="Q504" s="2" t="s">
        <v>88</v>
      </c>
      <c r="R504" s="64" t="s">
        <v>1096</v>
      </c>
      <c r="T504" s="67" t="s">
        <v>110</v>
      </c>
      <c r="Y504" s="179" t="str">
        <f t="shared" si="883"/>
        <v>Obsolete</v>
      </c>
      <c r="Z504" s="11">
        <f t="shared" si="928"/>
        <v>41760</v>
      </c>
      <c r="AA504" s="205" t="str">
        <f t="shared" si="890"/>
        <v>2014 - 18</v>
      </c>
      <c r="AB504" s="205">
        <f t="shared" si="891"/>
        <v>2014</v>
      </c>
    </row>
    <row r="505" spans="2:28" x14ac:dyDescent="0.25">
      <c r="B505" s="66">
        <v>41760</v>
      </c>
      <c r="C505" s="66">
        <v>41760</v>
      </c>
      <c r="D505" s="68">
        <f t="shared" ref="D505:D506" si="977">IF(B505&gt;0,MONTH(B505),"False")</f>
        <v>5</v>
      </c>
      <c r="E505" s="66" t="str">
        <f t="shared" ref="E505:E506" si="978">YEAR(B505) &amp; CHOOSE(D505,"-Jan","-Feb","-Mar","-Apr","-May","-Jun","-Jul","-Aug","-Sep","-Oct","-Nov","-Dec")</f>
        <v>2014-May</v>
      </c>
      <c r="F505" s="68">
        <f t="shared" ref="F505:F506" si="979">IF(C505&gt;0,MONTH(C505),"False")</f>
        <v>5</v>
      </c>
      <c r="G505" s="179" t="s">
        <v>87</v>
      </c>
      <c r="H505" s="179" t="s">
        <v>280</v>
      </c>
      <c r="J505" s="179" t="s">
        <v>146</v>
      </c>
      <c r="K505" s="179" t="s">
        <v>260</v>
      </c>
      <c r="L505" s="179" t="s">
        <v>83</v>
      </c>
      <c r="M505" s="1" t="s">
        <v>1136</v>
      </c>
      <c r="N505" s="179" t="s">
        <v>124</v>
      </c>
      <c r="O505" s="179" t="s">
        <v>148</v>
      </c>
      <c r="Q505" s="2" t="s">
        <v>88</v>
      </c>
      <c r="R505" s="64" t="s">
        <v>1096</v>
      </c>
      <c r="T505" s="67" t="s">
        <v>110</v>
      </c>
      <c r="Y505" s="179" t="str">
        <f t="shared" si="883"/>
        <v>Obsolete</v>
      </c>
      <c r="Z505" s="11">
        <f t="shared" si="928"/>
        <v>41760</v>
      </c>
      <c r="AA505" s="205" t="str">
        <f t="shared" si="890"/>
        <v>2014 - 18</v>
      </c>
      <c r="AB505" s="205">
        <f t="shared" si="891"/>
        <v>2014</v>
      </c>
    </row>
    <row r="506" spans="2:28" x14ac:dyDescent="0.25">
      <c r="B506" s="65">
        <v>41760</v>
      </c>
      <c r="C506" s="66">
        <v>41760</v>
      </c>
      <c r="D506" s="68">
        <f t="shared" si="977"/>
        <v>5</v>
      </c>
      <c r="E506" s="66" t="str">
        <f t="shared" si="978"/>
        <v>2014-May</v>
      </c>
      <c r="F506" s="68">
        <f t="shared" si="979"/>
        <v>5</v>
      </c>
      <c r="G506" s="195" t="s">
        <v>105</v>
      </c>
      <c r="H506" s="179" t="s">
        <v>280</v>
      </c>
      <c r="J506" s="179" t="s">
        <v>146</v>
      </c>
      <c r="K506" s="179" t="s">
        <v>82</v>
      </c>
      <c r="L506" s="179" t="s">
        <v>79</v>
      </c>
      <c r="M506" s="1" t="s">
        <v>1137</v>
      </c>
      <c r="N506" s="179" t="s">
        <v>124</v>
      </c>
      <c r="O506" s="179" t="s">
        <v>286</v>
      </c>
      <c r="P506" s="64" t="s">
        <v>305</v>
      </c>
      <c r="R506" s="64" t="s">
        <v>1108</v>
      </c>
      <c r="S506" s="195" t="s">
        <v>104</v>
      </c>
      <c r="T506" s="67" t="s">
        <v>110</v>
      </c>
      <c r="X506" s="195" t="s">
        <v>819</v>
      </c>
      <c r="Y506" s="179" t="str">
        <f t="shared" si="883"/>
        <v>Pass</v>
      </c>
      <c r="Z506" s="11" t="str">
        <f t="shared" si="928"/>
        <v/>
      </c>
      <c r="AA506" s="205" t="str">
        <f t="shared" si="890"/>
        <v/>
      </c>
      <c r="AB506" s="205" t="str">
        <f t="shared" si="891"/>
        <v/>
      </c>
    </row>
    <row r="507" spans="2:28" x14ac:dyDescent="0.25">
      <c r="B507" s="66">
        <v>41760</v>
      </c>
      <c r="C507" s="66">
        <v>41760</v>
      </c>
      <c r="D507" s="68">
        <f t="shared" ref="D507:D508" si="980">IF(B507&gt;0,MONTH(B507),"False")</f>
        <v>5</v>
      </c>
      <c r="E507" s="66" t="str">
        <f t="shared" ref="E507:E508" si="981">YEAR(B507) &amp; CHOOSE(D507,"-Jan","-Feb","-Mar","-Apr","-May","-Jun","-Jul","-Aug","-Sep","-Oct","-Nov","-Dec")</f>
        <v>2014-May</v>
      </c>
      <c r="F507" s="68">
        <f t="shared" ref="F507:F508" si="982">IF(C507&gt;0,MONTH(C507),"False")</f>
        <v>5</v>
      </c>
      <c r="G507" s="197" t="s">
        <v>112</v>
      </c>
      <c r="H507" s="179" t="s">
        <v>316</v>
      </c>
      <c r="J507" s="179" t="s">
        <v>78</v>
      </c>
      <c r="K507" s="179" t="s">
        <v>78</v>
      </c>
      <c r="L507" s="179" t="s">
        <v>79</v>
      </c>
      <c r="M507" s="1" t="s">
        <v>1139</v>
      </c>
      <c r="N507" s="179" t="s">
        <v>124</v>
      </c>
      <c r="O507" s="179" t="s">
        <v>287</v>
      </c>
      <c r="R507" s="64" t="s">
        <v>1140</v>
      </c>
      <c r="S507" s="197" t="s">
        <v>104</v>
      </c>
      <c r="X507" s="197" t="s">
        <v>300</v>
      </c>
      <c r="Y507" s="179" t="str">
        <f t="shared" si="883"/>
        <v>Pass</v>
      </c>
      <c r="Z507" s="11" t="str">
        <f t="shared" si="928"/>
        <v/>
      </c>
      <c r="AA507" s="205" t="str">
        <f t="shared" si="890"/>
        <v/>
      </c>
      <c r="AB507" s="205" t="str">
        <f t="shared" si="891"/>
        <v/>
      </c>
    </row>
    <row r="508" spans="2:28" x14ac:dyDescent="0.25">
      <c r="B508" s="65">
        <v>41760</v>
      </c>
      <c r="C508" s="66">
        <v>41760</v>
      </c>
      <c r="D508" s="68">
        <f t="shared" si="980"/>
        <v>5</v>
      </c>
      <c r="E508" s="66" t="str">
        <f t="shared" si="981"/>
        <v>2014-May</v>
      </c>
      <c r="F508" s="68">
        <f t="shared" si="982"/>
        <v>5</v>
      </c>
      <c r="G508" s="179" t="s">
        <v>105</v>
      </c>
      <c r="H508" s="179" t="s">
        <v>280</v>
      </c>
      <c r="J508" s="179" t="s">
        <v>81</v>
      </c>
      <c r="K508" s="179" t="s">
        <v>82</v>
      </c>
      <c r="L508" s="179" t="s">
        <v>79</v>
      </c>
      <c r="M508" s="179" t="s">
        <v>1142</v>
      </c>
      <c r="N508" s="179" t="s">
        <v>124</v>
      </c>
      <c r="O508" s="179" t="s">
        <v>125</v>
      </c>
      <c r="P508" s="64" t="s">
        <v>305</v>
      </c>
      <c r="R508" s="64" t="s">
        <v>1108</v>
      </c>
      <c r="S508" s="179" t="s">
        <v>104</v>
      </c>
      <c r="X508" s="179" t="s">
        <v>161</v>
      </c>
      <c r="Y508" s="179" t="str">
        <f t="shared" si="883"/>
        <v>Pass</v>
      </c>
      <c r="Z508" s="11" t="str">
        <f t="shared" si="928"/>
        <v/>
      </c>
      <c r="AA508" s="205" t="str">
        <f t="shared" si="890"/>
        <v/>
      </c>
      <c r="AB508" s="205" t="str">
        <f t="shared" si="891"/>
        <v/>
      </c>
    </row>
    <row r="509" spans="2:28" x14ac:dyDescent="0.25">
      <c r="B509" s="65">
        <v>41760</v>
      </c>
      <c r="C509" s="66">
        <v>41760</v>
      </c>
      <c r="D509" s="68">
        <f t="shared" ref="D509:D510" si="983">IF(B509&gt;0,MONTH(B509),"False")</f>
        <v>5</v>
      </c>
      <c r="E509" s="66" t="str">
        <f t="shared" ref="E509:E510" si="984">YEAR(B509) &amp; CHOOSE(D509,"-Jan","-Feb","-Mar","-Apr","-May","-Jun","-Jul","-Aug","-Sep","-Oct","-Nov","-Dec")</f>
        <v>2014-May</v>
      </c>
      <c r="F509" s="68">
        <f t="shared" ref="F509:F510" si="985">IF(C509&gt;0,MONTH(C509),"False")</f>
        <v>5</v>
      </c>
      <c r="G509" s="179" t="s">
        <v>105</v>
      </c>
      <c r="H509" s="179" t="s">
        <v>280</v>
      </c>
      <c r="I509" s="179"/>
      <c r="J509" s="179" t="s">
        <v>81</v>
      </c>
      <c r="K509" s="179" t="s">
        <v>82</v>
      </c>
      <c r="L509" s="179" t="s">
        <v>79</v>
      </c>
      <c r="M509" s="1" t="s">
        <v>1143</v>
      </c>
      <c r="N509" s="179" t="s">
        <v>124</v>
      </c>
      <c r="O509" s="179" t="s">
        <v>529</v>
      </c>
      <c r="P509" s="64" t="s">
        <v>305</v>
      </c>
      <c r="R509" s="64" t="s">
        <v>1108</v>
      </c>
      <c r="S509" s="179" t="s">
        <v>104</v>
      </c>
      <c r="X509" s="179" t="s">
        <v>161</v>
      </c>
      <c r="Y509" s="179" t="str">
        <f t="shared" si="883"/>
        <v>Pass</v>
      </c>
      <c r="Z509" s="11" t="str">
        <f t="shared" si="928"/>
        <v/>
      </c>
      <c r="AA509" s="205" t="str">
        <f t="shared" si="890"/>
        <v/>
      </c>
      <c r="AB509" s="205" t="str">
        <f t="shared" si="891"/>
        <v/>
      </c>
    </row>
    <row r="510" spans="2:28" x14ac:dyDescent="0.25">
      <c r="B510" s="65">
        <v>41760</v>
      </c>
      <c r="C510" s="66">
        <v>41760</v>
      </c>
      <c r="D510" s="68">
        <f t="shared" si="983"/>
        <v>5</v>
      </c>
      <c r="E510" s="66" t="str">
        <f t="shared" si="984"/>
        <v>2014-May</v>
      </c>
      <c r="F510" s="68">
        <f t="shared" si="985"/>
        <v>5</v>
      </c>
      <c r="G510" s="180" t="s">
        <v>127</v>
      </c>
      <c r="H510" s="179" t="s">
        <v>28</v>
      </c>
      <c r="J510" s="179" t="s">
        <v>77</v>
      </c>
      <c r="K510" s="179" t="s">
        <v>82</v>
      </c>
      <c r="L510" s="179" t="s">
        <v>79</v>
      </c>
      <c r="M510" s="1" t="s">
        <v>1144</v>
      </c>
      <c r="N510" s="179" t="s">
        <v>124</v>
      </c>
      <c r="O510" s="179" t="s">
        <v>162</v>
      </c>
      <c r="P510" s="64" t="s">
        <v>334</v>
      </c>
      <c r="R510" s="64" t="s">
        <v>335</v>
      </c>
      <c r="S510" s="180" t="s">
        <v>104</v>
      </c>
      <c r="X510" s="180" t="s">
        <v>284</v>
      </c>
      <c r="Y510" s="179" t="str">
        <f t="shared" si="883"/>
        <v>Pass</v>
      </c>
      <c r="Z510" s="11" t="str">
        <f t="shared" si="928"/>
        <v/>
      </c>
      <c r="AA510" s="205" t="str">
        <f t="shared" ref="AA510:AA573" si="986">IFERROR(YEAR(Z510)&amp;" - "&amp; IF(LEN( WEEKNUM(Z510))=1,"0" &amp; WEEKNUM(Z510),WEEKNUM(Z510)),"")</f>
        <v/>
      </c>
      <c r="AB510" s="205" t="str">
        <f t="shared" ref="AB510:AB573" si="987">IFERROR(YEAR(Z510),"")</f>
        <v/>
      </c>
    </row>
    <row r="511" spans="2:28" x14ac:dyDescent="0.25">
      <c r="B511" s="65">
        <v>41760</v>
      </c>
      <c r="C511" s="66">
        <v>41760</v>
      </c>
      <c r="D511" s="68">
        <f t="shared" ref="D511" si="988">IF(B511&gt;0,MONTH(B511),"False")</f>
        <v>5</v>
      </c>
      <c r="E511" s="66" t="str">
        <f t="shared" ref="E511" si="989">YEAR(B511) &amp; CHOOSE(D511,"-Jan","-Feb","-Mar","-Apr","-May","-Jun","-Jul","-Aug","-Sep","-Oct","-Nov","-Dec")</f>
        <v>2014-May</v>
      </c>
      <c r="F511" s="68">
        <f t="shared" ref="F511" si="990">IF(C511&gt;0,MONTH(C511),"False")</f>
        <v>5</v>
      </c>
      <c r="G511" s="204" t="s">
        <v>121</v>
      </c>
      <c r="H511" s="179" t="s">
        <v>166</v>
      </c>
      <c r="J511" s="179" t="s">
        <v>120</v>
      </c>
      <c r="K511" s="179" t="s">
        <v>82</v>
      </c>
      <c r="L511" s="179" t="s">
        <v>79</v>
      </c>
      <c r="M511" s="1" t="s">
        <v>1141</v>
      </c>
      <c r="N511" s="179" t="s">
        <v>124</v>
      </c>
      <c r="O511" s="179" t="s">
        <v>147</v>
      </c>
      <c r="P511" s="64" t="s">
        <v>557</v>
      </c>
      <c r="R511" s="64" t="s">
        <v>594</v>
      </c>
      <c r="S511" s="204" t="s">
        <v>104</v>
      </c>
      <c r="X511" s="204" t="s">
        <v>1312</v>
      </c>
      <c r="Y511" s="179" t="str">
        <f t="shared" si="883"/>
        <v>Pass</v>
      </c>
      <c r="Z511" s="11" t="str">
        <f t="shared" si="928"/>
        <v/>
      </c>
      <c r="AA511" s="205" t="str">
        <f t="shared" si="986"/>
        <v/>
      </c>
      <c r="AB511" s="205" t="str">
        <f t="shared" si="987"/>
        <v/>
      </c>
    </row>
    <row r="512" spans="2:28" x14ac:dyDescent="0.25">
      <c r="B512" s="65">
        <v>41761</v>
      </c>
      <c r="C512" s="66">
        <v>41761</v>
      </c>
      <c r="D512" s="68">
        <f t="shared" ref="D512" si="991">IF(B512&gt;0,MONTH(B512),"False")</f>
        <v>5</v>
      </c>
      <c r="E512" s="66" t="str">
        <f t="shared" ref="E512" si="992">YEAR(B512) &amp; CHOOSE(D512,"-Jan","-Feb","-Mar","-Apr","-May","-Jun","-Jul","-Aug","-Sep","-Oct","-Nov","-Dec")</f>
        <v>2014-May</v>
      </c>
      <c r="F512" s="68">
        <f t="shared" ref="F512" si="993">IF(C512&gt;0,MONTH(C512),"False")</f>
        <v>5</v>
      </c>
      <c r="G512" s="180" t="s">
        <v>93</v>
      </c>
      <c r="H512" s="180" t="s">
        <v>136</v>
      </c>
      <c r="J512" s="180" t="s">
        <v>120</v>
      </c>
      <c r="K512" s="180" t="s">
        <v>82</v>
      </c>
      <c r="L512" s="180" t="s">
        <v>79</v>
      </c>
      <c r="M512" s="1" t="s">
        <v>1145</v>
      </c>
      <c r="N512" s="180" t="s">
        <v>124</v>
      </c>
      <c r="O512" s="180" t="s">
        <v>147</v>
      </c>
      <c r="P512" s="64" t="s">
        <v>750</v>
      </c>
      <c r="R512" s="64" t="s">
        <v>1146</v>
      </c>
      <c r="S512" s="197" t="s">
        <v>104</v>
      </c>
      <c r="T512" s="67" t="s">
        <v>110</v>
      </c>
      <c r="Y512" s="179" t="str">
        <f t="shared" si="883"/>
        <v>Pass</v>
      </c>
      <c r="Z512" s="11" t="str">
        <f t="shared" si="928"/>
        <v/>
      </c>
      <c r="AA512" s="205" t="str">
        <f t="shared" si="986"/>
        <v/>
      </c>
      <c r="AB512" s="205" t="str">
        <f t="shared" si="987"/>
        <v/>
      </c>
    </row>
    <row r="513" spans="2:28" x14ac:dyDescent="0.25">
      <c r="B513" s="66">
        <v>41761</v>
      </c>
      <c r="C513" s="66">
        <v>41761</v>
      </c>
      <c r="D513" s="68">
        <f t="shared" ref="D513:D514" si="994">IF(B513&gt;0,MONTH(B513),"False")</f>
        <v>5</v>
      </c>
      <c r="E513" s="66" t="str">
        <f t="shared" ref="E513:E514" si="995">YEAR(B513) &amp; CHOOSE(D513,"-Jan","-Feb","-Mar","-Apr","-May","-Jun","-Jul","-Aug","-Sep","-Oct","-Nov","-Dec")</f>
        <v>2014-May</v>
      </c>
      <c r="F513" s="68">
        <f t="shared" ref="F513:F514" si="996">IF(C513&gt;0,MONTH(C513),"False")</f>
        <v>5</v>
      </c>
      <c r="G513" s="180" t="s">
        <v>87</v>
      </c>
      <c r="H513" s="180" t="s">
        <v>166</v>
      </c>
      <c r="J513" s="180" t="s">
        <v>77</v>
      </c>
      <c r="K513" s="180" t="s">
        <v>82</v>
      </c>
      <c r="L513" s="180" t="s">
        <v>79</v>
      </c>
      <c r="M513" s="1" t="s">
        <v>1147</v>
      </c>
      <c r="N513" s="180" t="s">
        <v>124</v>
      </c>
      <c r="O513" s="180" t="s">
        <v>147</v>
      </c>
      <c r="R513" s="64" t="s">
        <v>862</v>
      </c>
      <c r="Y513" s="179" t="str">
        <f t="shared" si="883"/>
        <v>Unknown</v>
      </c>
      <c r="Z513" s="11" t="str">
        <f t="shared" si="928"/>
        <v/>
      </c>
      <c r="AA513" s="205" t="str">
        <f t="shared" si="986"/>
        <v/>
      </c>
      <c r="AB513" s="205" t="str">
        <f t="shared" si="987"/>
        <v/>
      </c>
    </row>
    <row r="514" spans="2:28" x14ac:dyDescent="0.25">
      <c r="B514" s="65">
        <v>41761</v>
      </c>
      <c r="C514" s="66">
        <v>41761</v>
      </c>
      <c r="D514" s="68">
        <f t="shared" si="994"/>
        <v>5</v>
      </c>
      <c r="E514" s="66" t="str">
        <f t="shared" si="995"/>
        <v>2014-May</v>
      </c>
      <c r="F514" s="68">
        <f t="shared" si="996"/>
        <v>5</v>
      </c>
      <c r="G514" s="202" t="s">
        <v>105</v>
      </c>
      <c r="H514" s="180" t="s">
        <v>280</v>
      </c>
      <c r="J514" s="180" t="s">
        <v>146</v>
      </c>
      <c r="K514" s="180" t="s">
        <v>82</v>
      </c>
      <c r="L514" s="180" t="s">
        <v>79</v>
      </c>
      <c r="M514" s="1" t="s">
        <v>1148</v>
      </c>
      <c r="N514" s="180" t="s">
        <v>124</v>
      </c>
      <c r="O514" s="180" t="s">
        <v>116</v>
      </c>
      <c r="P514" s="64" t="s">
        <v>305</v>
      </c>
      <c r="R514" s="64" t="s">
        <v>1108</v>
      </c>
      <c r="S514" s="202" t="s">
        <v>104</v>
      </c>
      <c r="X514" s="202" t="s">
        <v>544</v>
      </c>
      <c r="Y514" s="179" t="str">
        <f t="shared" si="883"/>
        <v>Pass</v>
      </c>
      <c r="Z514" s="11" t="str">
        <f t="shared" si="928"/>
        <v/>
      </c>
      <c r="AA514" s="205" t="str">
        <f t="shared" si="986"/>
        <v/>
      </c>
      <c r="AB514" s="205" t="str">
        <f t="shared" si="987"/>
        <v/>
      </c>
    </row>
    <row r="515" spans="2:28" x14ac:dyDescent="0.25">
      <c r="B515" s="65">
        <v>41761</v>
      </c>
      <c r="C515" s="66">
        <v>41761</v>
      </c>
      <c r="D515" s="68">
        <f t="shared" ref="D515" si="997">IF(B515&gt;0,MONTH(B515),"False")</f>
        <v>5</v>
      </c>
      <c r="E515" s="66" t="str">
        <f t="shared" ref="E515" si="998">YEAR(B515) &amp; CHOOSE(D515,"-Jan","-Feb","-Mar","-Apr","-May","-Jun","-Jul","-Aug","-Sep","-Oct","-Nov","-Dec")</f>
        <v>2014-May</v>
      </c>
      <c r="F515" s="68">
        <f t="shared" ref="F515" si="999">IF(C515&gt;0,MONTH(C515),"False")</f>
        <v>5</v>
      </c>
      <c r="G515" s="202" t="s">
        <v>105</v>
      </c>
      <c r="H515" s="180" t="s">
        <v>280</v>
      </c>
      <c r="J515" s="180" t="s">
        <v>81</v>
      </c>
      <c r="K515" s="180" t="s">
        <v>82</v>
      </c>
      <c r="L515" s="180" t="s">
        <v>79</v>
      </c>
      <c r="M515" s="1" t="s">
        <v>1149</v>
      </c>
      <c r="N515" s="180" t="s">
        <v>124</v>
      </c>
      <c r="O515" s="180" t="s">
        <v>116</v>
      </c>
      <c r="P515" s="64" t="s">
        <v>305</v>
      </c>
      <c r="R515" s="64" t="s">
        <v>1108</v>
      </c>
      <c r="S515" s="202" t="s">
        <v>104</v>
      </c>
      <c r="X515" s="202" t="s">
        <v>544</v>
      </c>
      <c r="Y515" s="179" t="str">
        <f t="shared" si="883"/>
        <v>Pass</v>
      </c>
      <c r="Z515" s="11" t="str">
        <f t="shared" si="928"/>
        <v/>
      </c>
      <c r="AA515" s="205" t="str">
        <f t="shared" si="986"/>
        <v/>
      </c>
      <c r="AB515" s="205" t="str">
        <f t="shared" si="987"/>
        <v/>
      </c>
    </row>
    <row r="516" spans="2:28" x14ac:dyDescent="0.25">
      <c r="B516" s="65">
        <v>41761</v>
      </c>
      <c r="C516" s="66">
        <v>41761</v>
      </c>
      <c r="D516" s="68">
        <f t="shared" ref="D516:D519" si="1000">IF(B516&gt;0,MONTH(B516),"False")</f>
        <v>5</v>
      </c>
      <c r="E516" s="66" t="str">
        <f t="shared" ref="E516:E519" si="1001">YEAR(B516) &amp; CHOOSE(D516,"-Jan","-Feb","-Mar","-Apr","-May","-Jun","-Jul","-Aug","-Sep","-Oct","-Nov","-Dec")</f>
        <v>2014-May</v>
      </c>
      <c r="F516" s="68">
        <f t="shared" ref="F516:F519" si="1002">IF(C516&gt;0,MONTH(C516),"False")</f>
        <v>5</v>
      </c>
      <c r="G516" s="180" t="s">
        <v>121</v>
      </c>
      <c r="H516" s="180" t="s">
        <v>280</v>
      </c>
      <c r="I516" s="180"/>
      <c r="J516" s="180" t="s">
        <v>81</v>
      </c>
      <c r="K516" s="180" t="s">
        <v>82</v>
      </c>
      <c r="L516" s="180" t="s">
        <v>79</v>
      </c>
      <c r="M516" s="185" t="s">
        <v>1149</v>
      </c>
      <c r="N516" s="180" t="s">
        <v>124</v>
      </c>
      <c r="O516" s="180" t="s">
        <v>529</v>
      </c>
      <c r="P516" s="64" t="s">
        <v>305</v>
      </c>
      <c r="R516" s="64" t="s">
        <v>1108</v>
      </c>
      <c r="S516" s="180" t="s">
        <v>104</v>
      </c>
      <c r="X516" s="180" t="s">
        <v>819</v>
      </c>
      <c r="Y516" s="179" t="str">
        <f t="shared" si="883"/>
        <v>Pass</v>
      </c>
      <c r="Z516" s="11" t="str">
        <f t="shared" si="928"/>
        <v/>
      </c>
      <c r="AA516" s="205" t="str">
        <f t="shared" si="986"/>
        <v/>
      </c>
      <c r="AB516" s="205" t="str">
        <f t="shared" si="987"/>
        <v/>
      </c>
    </row>
    <row r="517" spans="2:28" x14ac:dyDescent="0.25">
      <c r="B517" s="65">
        <v>41761</v>
      </c>
      <c r="C517" s="66">
        <v>41761</v>
      </c>
      <c r="D517" s="68">
        <f t="shared" si="1000"/>
        <v>5</v>
      </c>
      <c r="E517" s="66" t="str">
        <f t="shared" si="1001"/>
        <v>2014-May</v>
      </c>
      <c r="F517" s="68">
        <f t="shared" si="1002"/>
        <v>5</v>
      </c>
      <c r="G517" s="180" t="s">
        <v>93</v>
      </c>
      <c r="H517" s="180" t="s">
        <v>103</v>
      </c>
      <c r="I517" s="180"/>
      <c r="J517" s="180" t="s">
        <v>77</v>
      </c>
      <c r="K517" s="180" t="s">
        <v>82</v>
      </c>
      <c r="L517" s="180" t="s">
        <v>79</v>
      </c>
      <c r="M517" s="180" t="s">
        <v>1150</v>
      </c>
      <c r="N517" s="180" t="s">
        <v>124</v>
      </c>
      <c r="O517" s="180" t="s">
        <v>265</v>
      </c>
      <c r="P517" s="64" t="s">
        <v>351</v>
      </c>
      <c r="Q517" s="2" t="s">
        <v>88</v>
      </c>
      <c r="R517" s="64" t="s">
        <v>361</v>
      </c>
      <c r="Y517" s="179" t="str">
        <f t="shared" si="883"/>
        <v>Obsolete</v>
      </c>
      <c r="Z517" s="11">
        <f t="shared" si="928"/>
        <v>41761</v>
      </c>
      <c r="AA517" s="205" t="str">
        <f t="shared" si="986"/>
        <v>2014 - 18</v>
      </c>
      <c r="AB517" s="205">
        <f t="shared" si="987"/>
        <v>2014</v>
      </c>
    </row>
    <row r="518" spans="2:28" x14ac:dyDescent="0.25">
      <c r="B518" s="66">
        <v>41761</v>
      </c>
      <c r="C518" s="66">
        <v>41761</v>
      </c>
      <c r="D518" s="68">
        <f t="shared" si="1000"/>
        <v>5</v>
      </c>
      <c r="E518" s="66" t="str">
        <f t="shared" si="1001"/>
        <v>2014-May</v>
      </c>
      <c r="F518" s="68">
        <f t="shared" si="1002"/>
        <v>5</v>
      </c>
      <c r="G518" s="218" t="s">
        <v>126</v>
      </c>
      <c r="H518" s="180" t="s">
        <v>28</v>
      </c>
      <c r="J518" s="180" t="s">
        <v>78</v>
      </c>
      <c r="K518" s="180" t="s">
        <v>78</v>
      </c>
      <c r="L518" s="180" t="s">
        <v>79</v>
      </c>
      <c r="M518" s="1" t="s">
        <v>1151</v>
      </c>
      <c r="N518" s="180" t="s">
        <v>124</v>
      </c>
      <c r="O518" s="180" t="s">
        <v>168</v>
      </c>
      <c r="R518" s="64" t="s">
        <v>308</v>
      </c>
      <c r="S518" s="218" t="s">
        <v>104</v>
      </c>
      <c r="X518" s="218" t="s">
        <v>879</v>
      </c>
      <c r="Y518" s="179" t="str">
        <f t="shared" si="883"/>
        <v>Pass</v>
      </c>
      <c r="Z518" s="11" t="str">
        <f t="shared" si="928"/>
        <v/>
      </c>
      <c r="AA518" s="205" t="str">
        <f t="shared" si="986"/>
        <v/>
      </c>
      <c r="AB518" s="205" t="str">
        <f t="shared" si="987"/>
        <v/>
      </c>
    </row>
    <row r="519" spans="2:28" s="545" customFormat="1" x14ac:dyDescent="0.25">
      <c r="B519" s="543">
        <v>41761</v>
      </c>
      <c r="C519" s="543">
        <v>41761</v>
      </c>
      <c r="D519" s="544">
        <f t="shared" si="1000"/>
        <v>5</v>
      </c>
      <c r="E519" s="543" t="str">
        <f t="shared" si="1001"/>
        <v>2014-May</v>
      </c>
      <c r="F519" s="544">
        <f t="shared" si="1002"/>
        <v>5</v>
      </c>
      <c r="G519" s="545" t="s">
        <v>112</v>
      </c>
      <c r="H519" s="545" t="s">
        <v>166</v>
      </c>
      <c r="J519" s="545" t="s">
        <v>140</v>
      </c>
      <c r="K519" s="545" t="s">
        <v>84</v>
      </c>
      <c r="L519" s="545" t="s">
        <v>83</v>
      </c>
      <c r="M519" s="545" t="s">
        <v>1133</v>
      </c>
      <c r="N519" s="545" t="s">
        <v>124</v>
      </c>
      <c r="O519" s="541" t="s">
        <v>147</v>
      </c>
      <c r="P519" s="546" t="s">
        <v>1134</v>
      </c>
      <c r="Q519" s="547"/>
      <c r="R519" s="546" t="s">
        <v>1138</v>
      </c>
      <c r="S519" s="545" t="s">
        <v>104</v>
      </c>
      <c r="T519" s="548"/>
      <c r="X519" s="545" t="s">
        <v>2799</v>
      </c>
      <c r="Y519" s="545" t="str">
        <f t="shared" si="883"/>
        <v>Pass</v>
      </c>
      <c r="Z519" s="543" t="str">
        <f t="shared" si="928"/>
        <v/>
      </c>
      <c r="AA519" s="545" t="str">
        <f t="shared" si="986"/>
        <v/>
      </c>
      <c r="AB519" s="545" t="str">
        <f t="shared" si="987"/>
        <v/>
      </c>
    </row>
    <row r="520" spans="2:28" x14ac:dyDescent="0.25">
      <c r="B520" s="66">
        <v>41764</v>
      </c>
      <c r="C520" s="66">
        <v>41764</v>
      </c>
      <c r="D520" s="68">
        <f t="shared" ref="D520" si="1003">IF(B520&gt;0,MONTH(B520),"False")</f>
        <v>5</v>
      </c>
      <c r="E520" s="66" t="str">
        <f t="shared" ref="E520" si="1004">YEAR(B520) &amp; CHOOSE(D520,"-Jan","-Feb","-Mar","-Apr","-May","-Jun","-Jul","-Aug","-Sep","-Oct","-Nov","-Dec")</f>
        <v>2014-May</v>
      </c>
      <c r="F520" s="68">
        <f t="shared" ref="F520" si="1005">IF(C520&gt;0,MONTH(C520),"False")</f>
        <v>5</v>
      </c>
      <c r="G520" s="185" t="s">
        <v>87</v>
      </c>
      <c r="H520" s="185" t="s">
        <v>166</v>
      </c>
      <c r="J520" s="185" t="s">
        <v>120</v>
      </c>
      <c r="K520" s="185" t="s">
        <v>82</v>
      </c>
      <c r="L520" s="185" t="s">
        <v>83</v>
      </c>
      <c r="M520" s="1" t="s">
        <v>1154</v>
      </c>
      <c r="N520" s="185" t="s">
        <v>124</v>
      </c>
      <c r="O520" s="185" t="s">
        <v>353</v>
      </c>
      <c r="R520" s="64" t="s">
        <v>864</v>
      </c>
      <c r="Y520" s="179" t="str">
        <f t="shared" si="883"/>
        <v>Unknown</v>
      </c>
      <c r="Z520" s="11" t="str">
        <f t="shared" si="928"/>
        <v/>
      </c>
      <c r="AA520" s="205" t="str">
        <f t="shared" si="986"/>
        <v/>
      </c>
      <c r="AB520" s="205" t="str">
        <f t="shared" si="987"/>
        <v/>
      </c>
    </row>
    <row r="521" spans="2:28" x14ac:dyDescent="0.25">
      <c r="B521" s="65">
        <v>41764</v>
      </c>
      <c r="C521" s="66">
        <v>41766</v>
      </c>
      <c r="D521" s="68">
        <f t="shared" ref="D521:D523" si="1006">IF(B521&gt;0,MONTH(B521),"False")</f>
        <v>5</v>
      </c>
      <c r="E521" s="66" t="str">
        <f t="shared" ref="E521:E523" si="1007">YEAR(B521) &amp; CHOOSE(D521,"-Jan","-Feb","-Mar","-Apr","-May","-Jun","-Jul","-Aug","-Sep","-Oct","-Nov","-Dec")</f>
        <v>2014-May</v>
      </c>
      <c r="F521" s="68">
        <f t="shared" ref="F521:F523" si="1008">IF(C521&gt;0,MONTH(C521),"False")</f>
        <v>5</v>
      </c>
      <c r="G521" s="229" t="s">
        <v>105</v>
      </c>
      <c r="H521" s="185" t="s">
        <v>166</v>
      </c>
      <c r="J521" s="185" t="s">
        <v>98</v>
      </c>
      <c r="K521" s="185" t="s">
        <v>82</v>
      </c>
      <c r="L521" s="185" t="s">
        <v>83</v>
      </c>
      <c r="M521" s="1" t="s">
        <v>1155</v>
      </c>
      <c r="N521" s="185" t="s">
        <v>124</v>
      </c>
      <c r="O521" s="185" t="s">
        <v>301</v>
      </c>
      <c r="P521" s="64" t="s">
        <v>336</v>
      </c>
      <c r="R521" s="64" t="s">
        <v>762</v>
      </c>
      <c r="S521" s="229" t="s">
        <v>104</v>
      </c>
      <c r="T521" s="67" t="s">
        <v>110</v>
      </c>
      <c r="X521" s="229" t="s">
        <v>297</v>
      </c>
      <c r="Y521" s="179" t="str">
        <f t="shared" si="883"/>
        <v>Pass</v>
      </c>
      <c r="Z521" s="11" t="str">
        <f t="shared" si="928"/>
        <v/>
      </c>
      <c r="AA521" s="205" t="str">
        <f t="shared" si="986"/>
        <v/>
      </c>
      <c r="AB521" s="205" t="str">
        <f t="shared" si="987"/>
        <v/>
      </c>
    </row>
    <row r="522" spans="2:28" x14ac:dyDescent="0.25">
      <c r="B522" s="65">
        <v>41764</v>
      </c>
      <c r="C522" s="66">
        <v>41764</v>
      </c>
      <c r="D522" s="68">
        <f t="shared" si="1006"/>
        <v>5</v>
      </c>
      <c r="E522" s="66" t="str">
        <f t="shared" si="1007"/>
        <v>2014-May</v>
      </c>
      <c r="F522" s="68">
        <f t="shared" si="1008"/>
        <v>5</v>
      </c>
      <c r="G522" s="185" t="s">
        <v>93</v>
      </c>
      <c r="H522" s="185" t="s">
        <v>136</v>
      </c>
      <c r="J522" s="185" t="s">
        <v>77</v>
      </c>
      <c r="K522" s="185" t="s">
        <v>82</v>
      </c>
      <c r="L522" s="185" t="s">
        <v>79</v>
      </c>
      <c r="M522" s="1" t="s">
        <v>1156</v>
      </c>
      <c r="N522" s="185" t="s">
        <v>124</v>
      </c>
      <c r="O522" s="185" t="s">
        <v>114</v>
      </c>
      <c r="P522" s="64" t="s">
        <v>750</v>
      </c>
      <c r="R522" s="64" t="s">
        <v>1146</v>
      </c>
      <c r="S522" s="235" t="s">
        <v>104</v>
      </c>
      <c r="Y522" s="179" t="str">
        <f t="shared" si="883"/>
        <v>Pass</v>
      </c>
      <c r="Z522" s="11" t="str">
        <f t="shared" si="928"/>
        <v/>
      </c>
      <c r="AA522" s="205" t="str">
        <f t="shared" si="986"/>
        <v/>
      </c>
      <c r="AB522" s="205" t="str">
        <f t="shared" si="987"/>
        <v/>
      </c>
    </row>
    <row r="523" spans="2:28" x14ac:dyDescent="0.25">
      <c r="B523" s="66">
        <v>41764</v>
      </c>
      <c r="C523" s="66">
        <v>41764</v>
      </c>
      <c r="D523" s="68">
        <f t="shared" si="1006"/>
        <v>5</v>
      </c>
      <c r="E523" s="66" t="str">
        <f t="shared" si="1007"/>
        <v>2014-May</v>
      </c>
      <c r="F523" s="68">
        <f t="shared" si="1008"/>
        <v>5</v>
      </c>
      <c r="G523" s="190" t="s">
        <v>112</v>
      </c>
      <c r="H523" s="185" t="s">
        <v>103</v>
      </c>
      <c r="J523" s="185" t="s">
        <v>78</v>
      </c>
      <c r="K523" s="185" t="s">
        <v>78</v>
      </c>
      <c r="L523" s="185" t="s">
        <v>79</v>
      </c>
      <c r="M523" s="1" t="s">
        <v>1157</v>
      </c>
      <c r="N523" s="185" t="s">
        <v>124</v>
      </c>
      <c r="O523" s="185" t="s">
        <v>332</v>
      </c>
      <c r="R523" s="64" t="s">
        <v>475</v>
      </c>
      <c r="S523" s="190" t="s">
        <v>104</v>
      </c>
      <c r="T523" s="67" t="s">
        <v>110</v>
      </c>
      <c r="X523" s="190" t="s">
        <v>298</v>
      </c>
      <c r="Y523" s="179" t="str">
        <f t="shared" si="883"/>
        <v>Pass</v>
      </c>
      <c r="Z523" s="11" t="str">
        <f t="shared" si="928"/>
        <v/>
      </c>
      <c r="AA523" s="205" t="str">
        <f t="shared" si="986"/>
        <v/>
      </c>
      <c r="AB523" s="205" t="str">
        <f t="shared" si="987"/>
        <v/>
      </c>
    </row>
    <row r="524" spans="2:28" x14ac:dyDescent="0.25">
      <c r="B524" s="65">
        <v>41765</v>
      </c>
      <c r="C524" s="66">
        <v>41766</v>
      </c>
      <c r="D524" s="68">
        <f t="shared" ref="D524:D526" si="1009">IF(B524&gt;0,MONTH(B524),"False")</f>
        <v>5</v>
      </c>
      <c r="E524" s="66" t="str">
        <f t="shared" ref="E524:E526" si="1010">YEAR(B524) &amp; CHOOSE(D524,"-Jan","-Feb","-Mar","-Apr","-May","-Jun","-Jul","-Aug","-Sep","-Oct","-Nov","-Dec")</f>
        <v>2014-May</v>
      </c>
      <c r="F524" s="68">
        <f t="shared" ref="F524:F526" si="1011">IF(C524&gt;0,MONTH(C524),"False")</f>
        <v>5</v>
      </c>
      <c r="G524" s="187" t="s">
        <v>93</v>
      </c>
      <c r="H524" s="186" t="s">
        <v>348</v>
      </c>
      <c r="J524" s="186" t="s">
        <v>77</v>
      </c>
      <c r="K524" s="186" t="s">
        <v>82</v>
      </c>
      <c r="L524" s="186" t="s">
        <v>79</v>
      </c>
      <c r="M524" s="1" t="s">
        <v>1158</v>
      </c>
      <c r="N524" s="186" t="s">
        <v>124</v>
      </c>
      <c r="O524" s="186" t="s">
        <v>285</v>
      </c>
      <c r="P524" s="64" t="s">
        <v>352</v>
      </c>
      <c r="Q524" s="2" t="s">
        <v>88</v>
      </c>
      <c r="R524" s="64" t="s">
        <v>626</v>
      </c>
      <c r="T524" s="67" t="s">
        <v>110</v>
      </c>
      <c r="Y524" s="179" t="str">
        <f t="shared" ref="Y524:Y588" si="1012">IF(Q524&gt;0,"Obsolete",IF(S524&gt;0,S524,"Unknown"))</f>
        <v>Obsolete</v>
      </c>
      <c r="Z524" s="11">
        <f t="shared" si="928"/>
        <v>41766</v>
      </c>
      <c r="AA524" s="205" t="str">
        <f t="shared" si="986"/>
        <v>2014 - 19</v>
      </c>
      <c r="AB524" s="205">
        <f t="shared" si="987"/>
        <v>2014</v>
      </c>
    </row>
    <row r="525" spans="2:28" x14ac:dyDescent="0.25">
      <c r="B525" s="66">
        <v>41765</v>
      </c>
      <c r="C525" s="66">
        <v>41765</v>
      </c>
      <c r="D525" s="68">
        <f t="shared" si="1009"/>
        <v>5</v>
      </c>
      <c r="E525" s="66" t="str">
        <f t="shared" si="1010"/>
        <v>2014-May</v>
      </c>
      <c r="F525" s="68">
        <f t="shared" si="1011"/>
        <v>5</v>
      </c>
      <c r="G525" s="186" t="s">
        <v>87</v>
      </c>
      <c r="H525" s="186" t="s">
        <v>136</v>
      </c>
      <c r="J525" s="186" t="s">
        <v>78</v>
      </c>
      <c r="K525" s="186" t="s">
        <v>78</v>
      </c>
      <c r="L525" s="186" t="s">
        <v>79</v>
      </c>
      <c r="M525" s="1" t="s">
        <v>1159</v>
      </c>
      <c r="N525" s="186" t="s">
        <v>124</v>
      </c>
      <c r="O525" s="186" t="s">
        <v>324</v>
      </c>
      <c r="R525" s="64" t="s">
        <v>1160</v>
      </c>
      <c r="Y525" s="179" t="str">
        <f t="shared" si="1012"/>
        <v>Unknown</v>
      </c>
      <c r="Z525" s="11" t="str">
        <f t="shared" si="928"/>
        <v/>
      </c>
      <c r="AA525" s="205" t="str">
        <f t="shared" si="986"/>
        <v/>
      </c>
      <c r="AB525" s="205" t="str">
        <f t="shared" si="987"/>
        <v/>
      </c>
    </row>
    <row r="526" spans="2:28" x14ac:dyDescent="0.25">
      <c r="B526" s="65">
        <v>41765</v>
      </c>
      <c r="C526" s="66">
        <v>41765</v>
      </c>
      <c r="D526" s="68">
        <f t="shared" si="1009"/>
        <v>5</v>
      </c>
      <c r="E526" s="66" t="str">
        <f t="shared" si="1010"/>
        <v>2014-May</v>
      </c>
      <c r="F526" s="68">
        <f t="shared" si="1011"/>
        <v>5</v>
      </c>
      <c r="G526" s="196" t="s">
        <v>105</v>
      </c>
      <c r="H526" s="186" t="s">
        <v>166</v>
      </c>
      <c r="J526" s="186" t="s">
        <v>333</v>
      </c>
      <c r="K526" s="186" t="s">
        <v>82</v>
      </c>
      <c r="L526" s="186" t="s">
        <v>79</v>
      </c>
      <c r="M526" s="1" t="s">
        <v>1161</v>
      </c>
      <c r="N526" s="186" t="s">
        <v>124</v>
      </c>
      <c r="O526" s="186" t="s">
        <v>116</v>
      </c>
      <c r="P526" s="64" t="s">
        <v>345</v>
      </c>
      <c r="R526" s="64" t="s">
        <v>347</v>
      </c>
      <c r="S526" s="196" t="s">
        <v>104</v>
      </c>
      <c r="X526" s="196" t="s">
        <v>462</v>
      </c>
      <c r="Y526" s="179" t="str">
        <f t="shared" si="1012"/>
        <v>Pass</v>
      </c>
      <c r="Z526" s="11" t="str">
        <f t="shared" si="928"/>
        <v/>
      </c>
      <c r="AA526" s="205" t="str">
        <f t="shared" si="986"/>
        <v/>
      </c>
      <c r="AB526" s="205" t="str">
        <f t="shared" si="987"/>
        <v/>
      </c>
    </row>
    <row r="527" spans="2:28" x14ac:dyDescent="0.25">
      <c r="B527" s="65">
        <v>41765</v>
      </c>
      <c r="C527" s="66">
        <v>41765</v>
      </c>
      <c r="D527" s="68">
        <f t="shared" ref="D527" si="1013">IF(B527&gt;0,MONTH(B527),"False")</f>
        <v>5</v>
      </c>
      <c r="E527" s="66" t="str">
        <f t="shared" ref="E527" si="1014">YEAR(B527) &amp; CHOOSE(D527,"-Jan","-Feb","-Mar","-Apr","-May","-Jun","-Jul","-Aug","-Sep","-Oct","-Nov","-Dec")</f>
        <v>2014-May</v>
      </c>
      <c r="F527" s="68">
        <f t="shared" ref="F527" si="1015">IF(C527&gt;0,MONTH(C527),"False")</f>
        <v>5</v>
      </c>
      <c r="G527" s="204" t="s">
        <v>121</v>
      </c>
      <c r="H527" s="186" t="s">
        <v>166</v>
      </c>
      <c r="J527" s="186" t="s">
        <v>120</v>
      </c>
      <c r="K527" s="186" t="s">
        <v>82</v>
      </c>
      <c r="L527" s="186" t="s">
        <v>79</v>
      </c>
      <c r="M527" s="1" t="s">
        <v>1162</v>
      </c>
      <c r="N527" s="186" t="s">
        <v>124</v>
      </c>
      <c r="O527" s="186" t="s">
        <v>147</v>
      </c>
      <c r="P527" s="64" t="s">
        <v>557</v>
      </c>
      <c r="R527" s="64" t="s">
        <v>594</v>
      </c>
      <c r="S527" s="204" t="s">
        <v>104</v>
      </c>
      <c r="X527" s="204" t="s">
        <v>1312</v>
      </c>
      <c r="Y527" s="179" t="str">
        <f t="shared" si="1012"/>
        <v>Pass</v>
      </c>
      <c r="Z527" s="11" t="str">
        <f t="shared" si="928"/>
        <v/>
      </c>
      <c r="AA527" s="205" t="str">
        <f t="shared" si="986"/>
        <v/>
      </c>
      <c r="AB527" s="205" t="str">
        <f t="shared" si="987"/>
        <v/>
      </c>
    </row>
    <row r="528" spans="2:28" x14ac:dyDescent="0.25">
      <c r="B528" s="65">
        <v>41765</v>
      </c>
      <c r="C528" s="66">
        <v>41765</v>
      </c>
      <c r="D528" s="68">
        <f t="shared" ref="D528" si="1016">IF(B528&gt;0,MONTH(B528),"False")</f>
        <v>5</v>
      </c>
      <c r="E528" s="66" t="str">
        <f t="shared" ref="E528" si="1017">YEAR(B528) &amp; CHOOSE(D528,"-Jan","-Feb","-Mar","-Apr","-May","-Jun","-Jul","-Aug","-Sep","-Oct","-Nov","-Dec")</f>
        <v>2014-May</v>
      </c>
      <c r="F528" s="68">
        <f t="shared" ref="F528" si="1018">IF(C528&gt;0,MONTH(C528),"False")</f>
        <v>5</v>
      </c>
      <c r="G528" s="186" t="s">
        <v>93</v>
      </c>
      <c r="H528" s="186" t="s">
        <v>136</v>
      </c>
      <c r="J528" s="186" t="s">
        <v>120</v>
      </c>
      <c r="K528" s="186" t="s">
        <v>82</v>
      </c>
      <c r="L528" s="186" t="s">
        <v>79</v>
      </c>
      <c r="M528" s="1" t="s">
        <v>1163</v>
      </c>
      <c r="N528" s="186" t="s">
        <v>124</v>
      </c>
      <c r="O528" s="186" t="s">
        <v>147</v>
      </c>
      <c r="P528" s="64" t="s">
        <v>750</v>
      </c>
      <c r="R528" s="64" t="s">
        <v>1146</v>
      </c>
      <c r="S528" s="197" t="s">
        <v>104</v>
      </c>
      <c r="Y528" s="179" t="str">
        <f t="shared" si="1012"/>
        <v>Pass</v>
      </c>
      <c r="Z528" s="11" t="str">
        <f t="shared" si="928"/>
        <v/>
      </c>
      <c r="AA528" s="205" t="str">
        <f t="shared" si="986"/>
        <v/>
      </c>
      <c r="AB528" s="205" t="str">
        <f t="shared" si="987"/>
        <v/>
      </c>
    </row>
    <row r="529" spans="2:28" x14ac:dyDescent="0.25">
      <c r="B529" s="66">
        <v>41766</v>
      </c>
      <c r="C529" s="66">
        <v>41766</v>
      </c>
      <c r="D529" s="68">
        <f t="shared" ref="D529" si="1019">IF(B529&gt;0,MONTH(B529),"False")</f>
        <v>5</v>
      </c>
      <c r="E529" s="66" t="str">
        <f t="shared" ref="E529" si="1020">YEAR(B529) &amp; CHOOSE(D529,"-Jan","-Feb","-Mar","-Apr","-May","-Jun","-Jul","-Aug","-Sep","-Oct","-Nov","-Dec")</f>
        <v>2014-May</v>
      </c>
      <c r="F529" s="68">
        <f t="shared" ref="F529" si="1021">IF(C529&gt;0,MONTH(C529),"False")</f>
        <v>5</v>
      </c>
      <c r="G529" s="187" t="s">
        <v>87</v>
      </c>
      <c r="H529" s="187" t="s">
        <v>166</v>
      </c>
      <c r="J529" s="187" t="s">
        <v>98</v>
      </c>
      <c r="K529" s="187" t="s">
        <v>84</v>
      </c>
      <c r="L529" s="187" t="s">
        <v>83</v>
      </c>
      <c r="M529" s="1" t="s">
        <v>1164</v>
      </c>
      <c r="N529" s="187" t="s">
        <v>124</v>
      </c>
      <c r="O529" s="187" t="s">
        <v>152</v>
      </c>
      <c r="R529" s="64" t="s">
        <v>1165</v>
      </c>
      <c r="Y529" s="179" t="str">
        <f t="shared" si="1012"/>
        <v>Unknown</v>
      </c>
      <c r="Z529" s="11" t="str">
        <f t="shared" si="928"/>
        <v/>
      </c>
      <c r="AA529" s="205" t="str">
        <f t="shared" si="986"/>
        <v/>
      </c>
      <c r="AB529" s="205" t="str">
        <f t="shared" si="987"/>
        <v/>
      </c>
    </row>
    <row r="530" spans="2:28" x14ac:dyDescent="0.25">
      <c r="B530" s="65">
        <v>41766</v>
      </c>
      <c r="C530" s="66">
        <v>41766</v>
      </c>
      <c r="D530" s="68">
        <f t="shared" ref="D530:D531" si="1022">IF(B530&gt;0,MONTH(B530),"False")</f>
        <v>5</v>
      </c>
      <c r="E530" s="66" t="str">
        <f t="shared" ref="E530:E531" si="1023">YEAR(B530) &amp; CHOOSE(D530,"-Jan","-Feb","-Mar","-Apr","-May","-Jun","-Jul","-Aug","-Sep","-Oct","-Nov","-Dec")</f>
        <v>2014-May</v>
      </c>
      <c r="F530" s="68">
        <f t="shared" ref="F530:F531" si="1024">IF(C530&gt;0,MONTH(C530),"False")</f>
        <v>5</v>
      </c>
      <c r="G530" s="187" t="s">
        <v>105</v>
      </c>
      <c r="H530" s="187" t="s">
        <v>280</v>
      </c>
      <c r="J530" s="187" t="s">
        <v>81</v>
      </c>
      <c r="K530" s="187" t="s">
        <v>82</v>
      </c>
      <c r="L530" s="187" t="s">
        <v>79</v>
      </c>
      <c r="M530" s="1" t="s">
        <v>1166</v>
      </c>
      <c r="N530" s="187" t="s">
        <v>124</v>
      </c>
      <c r="O530" s="187" t="s">
        <v>529</v>
      </c>
      <c r="P530" s="64" t="s">
        <v>1108</v>
      </c>
      <c r="R530" s="64" t="s">
        <v>305</v>
      </c>
      <c r="S530" s="187" t="s">
        <v>104</v>
      </c>
      <c r="X530" s="187" t="s">
        <v>161</v>
      </c>
      <c r="Y530" s="179" t="str">
        <f t="shared" si="1012"/>
        <v>Pass</v>
      </c>
      <c r="Z530" s="11" t="str">
        <f t="shared" si="928"/>
        <v/>
      </c>
      <c r="AA530" s="205" t="str">
        <f t="shared" si="986"/>
        <v/>
      </c>
      <c r="AB530" s="205" t="str">
        <f t="shared" si="987"/>
        <v/>
      </c>
    </row>
    <row r="531" spans="2:28" x14ac:dyDescent="0.25">
      <c r="B531" s="66">
        <v>41766</v>
      </c>
      <c r="C531" s="66">
        <v>41766</v>
      </c>
      <c r="D531" s="68">
        <f t="shared" si="1022"/>
        <v>5</v>
      </c>
      <c r="E531" s="66" t="str">
        <f t="shared" si="1023"/>
        <v>2014-May</v>
      </c>
      <c r="F531" s="68">
        <f t="shared" si="1024"/>
        <v>5</v>
      </c>
      <c r="G531" s="187" t="s">
        <v>87</v>
      </c>
      <c r="H531" s="187" t="s">
        <v>348</v>
      </c>
      <c r="J531" s="187" t="s">
        <v>78</v>
      </c>
      <c r="K531" s="187" t="s">
        <v>78</v>
      </c>
      <c r="L531" s="187" t="s">
        <v>79</v>
      </c>
      <c r="M531" s="1" t="s">
        <v>1167</v>
      </c>
      <c r="N531" s="187" t="s">
        <v>124</v>
      </c>
      <c r="O531" s="187" t="s">
        <v>145</v>
      </c>
      <c r="R531" s="64" t="s">
        <v>708</v>
      </c>
      <c r="S531" s="235" t="s">
        <v>104</v>
      </c>
      <c r="Y531" s="179" t="str">
        <f t="shared" si="1012"/>
        <v>Pass</v>
      </c>
      <c r="Z531" s="11" t="str">
        <f t="shared" si="928"/>
        <v/>
      </c>
      <c r="AA531" s="205" t="str">
        <f t="shared" si="986"/>
        <v/>
      </c>
      <c r="AB531" s="205" t="str">
        <f t="shared" si="987"/>
        <v/>
      </c>
    </row>
    <row r="532" spans="2:28" x14ac:dyDescent="0.25">
      <c r="B532" s="65">
        <v>41767</v>
      </c>
      <c r="C532" s="66">
        <v>41767</v>
      </c>
      <c r="D532" s="68">
        <f t="shared" ref="D532" si="1025">IF(B532&gt;0,MONTH(B532),"False")</f>
        <v>5</v>
      </c>
      <c r="E532" s="66" t="str">
        <f t="shared" ref="E532" si="1026">YEAR(B532) &amp; CHOOSE(D532,"-Jan","-Feb","-Mar","-Apr","-May","-Jun","-Jul","-Aug","-Sep","-Oct","-Nov","-Dec")</f>
        <v>2014-May</v>
      </c>
      <c r="F532" s="68">
        <f t="shared" ref="F532" si="1027">IF(C532&gt;0,MONTH(C532),"False")</f>
        <v>5</v>
      </c>
      <c r="G532" s="188" t="s">
        <v>105</v>
      </c>
      <c r="H532" s="188" t="s">
        <v>280</v>
      </c>
      <c r="I532" s="188"/>
      <c r="J532" s="188" t="s">
        <v>81</v>
      </c>
      <c r="K532" s="188" t="s">
        <v>82</v>
      </c>
      <c r="L532" s="188" t="s">
        <v>79</v>
      </c>
      <c r="M532" s="188" t="s">
        <v>1168</v>
      </c>
      <c r="N532" s="188" t="s">
        <v>124</v>
      </c>
      <c r="O532" s="188" t="s">
        <v>529</v>
      </c>
      <c r="P532" s="64" t="s">
        <v>1108</v>
      </c>
      <c r="R532" s="64" t="s">
        <v>305</v>
      </c>
      <c r="S532" s="188" t="s">
        <v>104</v>
      </c>
      <c r="T532" s="67"/>
      <c r="U532" s="188"/>
      <c r="V532" s="188"/>
      <c r="W532" s="188"/>
      <c r="X532" s="188" t="s">
        <v>161</v>
      </c>
      <c r="Y532" s="188" t="str">
        <f t="shared" ref="Y532" si="1028">IF(Q532&gt;0,"Obsolete",IF(S532&gt;0,S532,"Unknown"))</f>
        <v>Pass</v>
      </c>
      <c r="Z532" s="11" t="str">
        <f t="shared" si="928"/>
        <v/>
      </c>
      <c r="AA532" s="205" t="str">
        <f t="shared" si="986"/>
        <v/>
      </c>
      <c r="AB532" s="205" t="str">
        <f t="shared" si="987"/>
        <v/>
      </c>
    </row>
    <row r="533" spans="2:28" x14ac:dyDescent="0.25">
      <c r="B533" s="66">
        <v>41767</v>
      </c>
      <c r="C533" s="66">
        <v>41767</v>
      </c>
      <c r="D533" s="68">
        <f t="shared" ref="D533:D534" si="1029">IF(B533&gt;0,MONTH(B533),"False")</f>
        <v>5</v>
      </c>
      <c r="E533" s="66" t="str">
        <f t="shared" ref="E533:E534" si="1030">YEAR(B533) &amp; CHOOSE(D533,"-Jan","-Feb","-Mar","-Apr","-May","-Jun","-Jul","-Aug","-Sep","-Oct","-Nov","-Dec")</f>
        <v>2014-May</v>
      </c>
      <c r="F533" s="68">
        <f t="shared" ref="F533:F534" si="1031">IF(C533&gt;0,MONTH(C533),"False")</f>
        <v>5</v>
      </c>
      <c r="G533" s="188" t="s">
        <v>87</v>
      </c>
      <c r="H533" s="188" t="s">
        <v>280</v>
      </c>
      <c r="J533" s="188" t="s">
        <v>98</v>
      </c>
      <c r="K533" s="188" t="s">
        <v>84</v>
      </c>
      <c r="L533" s="188" t="s">
        <v>83</v>
      </c>
      <c r="M533" s="1" t="s">
        <v>1169</v>
      </c>
      <c r="N533" s="188" t="s">
        <v>124</v>
      </c>
      <c r="O533" s="188" t="s">
        <v>152</v>
      </c>
      <c r="R533" s="64" t="s">
        <v>1096</v>
      </c>
      <c r="Y533" s="179" t="str">
        <f t="shared" si="1012"/>
        <v>Unknown</v>
      </c>
      <c r="Z533" s="11" t="str">
        <f t="shared" si="928"/>
        <v/>
      </c>
      <c r="AA533" s="205" t="str">
        <f t="shared" si="986"/>
        <v/>
      </c>
      <c r="AB533" s="205" t="str">
        <f t="shared" si="987"/>
        <v/>
      </c>
    </row>
    <row r="534" spans="2:28" x14ac:dyDescent="0.25">
      <c r="B534" s="65">
        <v>41767</v>
      </c>
      <c r="C534" s="66">
        <v>41767</v>
      </c>
      <c r="D534" s="68">
        <f t="shared" si="1029"/>
        <v>5</v>
      </c>
      <c r="E534" s="66" t="str">
        <f t="shared" si="1030"/>
        <v>2014-May</v>
      </c>
      <c r="F534" s="68">
        <f t="shared" si="1031"/>
        <v>5</v>
      </c>
      <c r="G534" s="188" t="s">
        <v>93</v>
      </c>
      <c r="H534" s="188" t="s">
        <v>136</v>
      </c>
      <c r="J534" s="188" t="s">
        <v>77</v>
      </c>
      <c r="K534" s="188" t="s">
        <v>82</v>
      </c>
      <c r="L534" s="188" t="s">
        <v>79</v>
      </c>
      <c r="M534" s="1" t="s">
        <v>1170</v>
      </c>
      <c r="N534" s="188" t="s">
        <v>124</v>
      </c>
      <c r="O534" s="188" t="s">
        <v>114</v>
      </c>
      <c r="P534" s="64" t="s">
        <v>750</v>
      </c>
      <c r="R534" s="64" t="s">
        <v>1146</v>
      </c>
      <c r="S534" s="235" t="s">
        <v>104</v>
      </c>
      <c r="Y534" s="179" t="str">
        <f t="shared" si="1012"/>
        <v>Pass</v>
      </c>
      <c r="Z534" s="11" t="str">
        <f t="shared" si="928"/>
        <v/>
      </c>
      <c r="AA534" s="205" t="str">
        <f t="shared" si="986"/>
        <v/>
      </c>
      <c r="AB534" s="205" t="str">
        <f t="shared" si="987"/>
        <v/>
      </c>
    </row>
    <row r="535" spans="2:28" x14ac:dyDescent="0.25">
      <c r="B535" s="66">
        <v>41767</v>
      </c>
      <c r="C535" s="66">
        <v>41767</v>
      </c>
      <c r="D535" s="68">
        <f t="shared" ref="D535:D536" si="1032">IF(B535&gt;0,MONTH(B535),"False")</f>
        <v>5</v>
      </c>
      <c r="E535" s="66" t="str">
        <f t="shared" ref="E535:E536" si="1033">YEAR(B535) &amp; CHOOSE(D535,"-Jan","-Feb","-Mar","-Apr","-May","-Jun","-Jul","-Aug","-Sep","-Oct","-Nov","-Dec")</f>
        <v>2014-May</v>
      </c>
      <c r="F535" s="68">
        <f t="shared" ref="F535:F536" si="1034">IF(C535&gt;0,MONTH(C535),"False")</f>
        <v>5</v>
      </c>
      <c r="G535" s="188" t="s">
        <v>87</v>
      </c>
      <c r="H535" s="188" t="s">
        <v>166</v>
      </c>
      <c r="J535" s="188" t="s">
        <v>146</v>
      </c>
      <c r="K535" s="188" t="s">
        <v>260</v>
      </c>
      <c r="L535" s="188" t="s">
        <v>79</v>
      </c>
      <c r="M535" s="1" t="s">
        <v>1171</v>
      </c>
      <c r="N535" s="188" t="s">
        <v>124</v>
      </c>
      <c r="O535" s="188" t="s">
        <v>148</v>
      </c>
      <c r="R535" s="64" t="s">
        <v>894</v>
      </c>
      <c r="S535" s="198" t="s">
        <v>104</v>
      </c>
      <c r="T535" s="67" t="s">
        <v>110</v>
      </c>
      <c r="Y535" s="179" t="str">
        <f t="shared" si="1012"/>
        <v>Pass</v>
      </c>
      <c r="Z535" s="11" t="str">
        <f t="shared" si="928"/>
        <v/>
      </c>
      <c r="AA535" s="205" t="str">
        <f t="shared" si="986"/>
        <v/>
      </c>
      <c r="AB535" s="205" t="str">
        <f t="shared" si="987"/>
        <v/>
      </c>
    </row>
    <row r="536" spans="2:28" x14ac:dyDescent="0.25">
      <c r="B536" s="65">
        <v>41767</v>
      </c>
      <c r="C536" s="66">
        <v>41767</v>
      </c>
      <c r="D536" s="68">
        <f t="shared" si="1032"/>
        <v>5</v>
      </c>
      <c r="E536" s="66" t="str">
        <f t="shared" si="1033"/>
        <v>2014-May</v>
      </c>
      <c r="F536" s="68">
        <f t="shared" si="1034"/>
        <v>5</v>
      </c>
      <c r="G536" s="188" t="s">
        <v>93</v>
      </c>
      <c r="H536" s="188" t="s">
        <v>136</v>
      </c>
      <c r="I536" s="188"/>
      <c r="J536" s="188" t="s">
        <v>77</v>
      </c>
      <c r="K536" s="188" t="s">
        <v>82</v>
      </c>
      <c r="L536" s="188" t="s">
        <v>79</v>
      </c>
      <c r="M536" s="1" t="s">
        <v>1172</v>
      </c>
      <c r="N536" s="188" t="s">
        <v>124</v>
      </c>
      <c r="O536" s="188" t="s">
        <v>114</v>
      </c>
      <c r="P536" s="64" t="s">
        <v>750</v>
      </c>
      <c r="R536" s="64" t="s">
        <v>1146</v>
      </c>
      <c r="T536" s="67" t="s">
        <v>110</v>
      </c>
      <c r="Y536" s="179" t="str">
        <f t="shared" si="1012"/>
        <v>Unknown</v>
      </c>
      <c r="Z536" s="11" t="str">
        <f t="shared" si="928"/>
        <v/>
      </c>
      <c r="AA536" s="205" t="str">
        <f t="shared" si="986"/>
        <v/>
      </c>
      <c r="AB536" s="205" t="str">
        <f t="shared" si="987"/>
        <v/>
      </c>
    </row>
    <row r="537" spans="2:28" x14ac:dyDescent="0.25">
      <c r="B537" s="65">
        <v>41767</v>
      </c>
      <c r="C537" s="66">
        <v>41767</v>
      </c>
      <c r="D537" s="68">
        <f t="shared" ref="D537" si="1035">IF(B537&gt;0,MONTH(B537),"False")</f>
        <v>5</v>
      </c>
      <c r="E537" s="66" t="str">
        <f t="shared" ref="E537" si="1036">YEAR(B537) &amp; CHOOSE(D537,"-Jan","-Feb","-Mar","-Apr","-May","-Jun","-Jul","-Aug","-Sep","-Oct","-Nov","-Dec")</f>
        <v>2014-May</v>
      </c>
      <c r="F537" s="68">
        <f t="shared" ref="F537" si="1037">IF(C537&gt;0,MONTH(C537),"False")</f>
        <v>5</v>
      </c>
      <c r="G537" s="188" t="s">
        <v>93</v>
      </c>
      <c r="H537" s="188" t="s">
        <v>280</v>
      </c>
      <c r="J537" s="188" t="s">
        <v>81</v>
      </c>
      <c r="K537" s="188" t="s">
        <v>82</v>
      </c>
      <c r="L537" s="188" t="s">
        <v>79</v>
      </c>
      <c r="M537" s="1" t="s">
        <v>1173</v>
      </c>
      <c r="N537" s="188" t="s">
        <v>124</v>
      </c>
      <c r="O537" s="188" t="s">
        <v>286</v>
      </c>
      <c r="P537" s="64" t="s">
        <v>305</v>
      </c>
      <c r="Q537" s="2" t="s">
        <v>88</v>
      </c>
      <c r="R537" s="64" t="s">
        <v>1108</v>
      </c>
      <c r="T537" s="67" t="s">
        <v>110</v>
      </c>
      <c r="Y537" s="179" t="str">
        <f t="shared" si="1012"/>
        <v>Obsolete</v>
      </c>
      <c r="Z537" s="11">
        <f t="shared" si="928"/>
        <v>41767</v>
      </c>
      <c r="AA537" s="205" t="str">
        <f t="shared" si="986"/>
        <v>2014 - 19</v>
      </c>
      <c r="AB537" s="205">
        <f t="shared" si="987"/>
        <v>2014</v>
      </c>
    </row>
    <row r="538" spans="2:28" x14ac:dyDescent="0.25">
      <c r="B538" s="66">
        <v>41768</v>
      </c>
      <c r="C538" s="66">
        <v>41768</v>
      </c>
      <c r="D538" s="68">
        <f t="shared" ref="D538" si="1038">IF(B538&gt;0,MONTH(B538),"False")</f>
        <v>5</v>
      </c>
      <c r="E538" s="66" t="str">
        <f t="shared" ref="E538" si="1039">YEAR(B538) &amp; CHOOSE(D538,"-Jan","-Feb","-Mar","-Apr","-May","-Jun","-Jul","-Aug","-Sep","-Oct","-Nov","-Dec")</f>
        <v>2014-May</v>
      </c>
      <c r="F538" s="68">
        <f t="shared" ref="F538" si="1040">IF(C538&gt;0,MONTH(C538),"False")</f>
        <v>5</v>
      </c>
      <c r="G538" s="195" t="s">
        <v>126</v>
      </c>
      <c r="H538" s="189" t="s">
        <v>280</v>
      </c>
      <c r="J538" s="189" t="s">
        <v>146</v>
      </c>
      <c r="K538" s="189" t="s">
        <v>260</v>
      </c>
      <c r="L538" s="189" t="s">
        <v>83</v>
      </c>
      <c r="M538" s="1" t="s">
        <v>1174</v>
      </c>
      <c r="N538" s="189" t="s">
        <v>124</v>
      </c>
      <c r="O538" s="189" t="s">
        <v>148</v>
      </c>
      <c r="R538" s="64" t="s">
        <v>1096</v>
      </c>
      <c r="S538" s="195" t="s">
        <v>104</v>
      </c>
      <c r="T538" s="67" t="s">
        <v>110</v>
      </c>
      <c r="X538" s="195" t="s">
        <v>819</v>
      </c>
      <c r="Y538" s="179" t="str">
        <f t="shared" si="1012"/>
        <v>Pass</v>
      </c>
      <c r="Z538" s="11" t="str">
        <f t="shared" si="928"/>
        <v/>
      </c>
      <c r="AA538" s="205" t="str">
        <f t="shared" si="986"/>
        <v/>
      </c>
      <c r="AB538" s="205" t="str">
        <f t="shared" si="987"/>
        <v/>
      </c>
    </row>
    <row r="539" spans="2:28" x14ac:dyDescent="0.25">
      <c r="B539" s="65">
        <v>41768</v>
      </c>
      <c r="C539" s="66">
        <v>41768</v>
      </c>
      <c r="D539" s="68">
        <f t="shared" ref="D539" si="1041">IF(B539&gt;0,MONTH(B539),"False")</f>
        <v>5</v>
      </c>
      <c r="E539" s="66" t="str">
        <f t="shared" ref="E539" si="1042">YEAR(B539) &amp; CHOOSE(D539,"-Jan","-Feb","-Mar","-Apr","-May","-Jun","-Jul","-Aug","-Sep","-Oct","-Nov","-Dec")</f>
        <v>2014-May</v>
      </c>
      <c r="F539" s="68">
        <f t="shared" ref="F539" si="1043">IF(C539&gt;0,MONTH(C539),"False")</f>
        <v>5</v>
      </c>
      <c r="G539" s="189" t="s">
        <v>93</v>
      </c>
      <c r="H539" s="189" t="s">
        <v>166</v>
      </c>
      <c r="J539" s="189" t="s">
        <v>146</v>
      </c>
      <c r="K539" s="189" t="s">
        <v>82</v>
      </c>
      <c r="L539" s="189" t="s">
        <v>79</v>
      </c>
      <c r="M539" s="1" t="s">
        <v>1175</v>
      </c>
      <c r="N539" s="189" t="s">
        <v>124</v>
      </c>
      <c r="O539" s="189" t="s">
        <v>302</v>
      </c>
      <c r="P539" s="64" t="s">
        <v>485</v>
      </c>
      <c r="R539" s="64" t="s">
        <v>920</v>
      </c>
      <c r="S539" s="198" t="s">
        <v>104</v>
      </c>
      <c r="Y539" s="179" t="str">
        <f t="shared" si="1012"/>
        <v>Pass</v>
      </c>
      <c r="Z539" s="11" t="str">
        <f t="shared" si="928"/>
        <v/>
      </c>
      <c r="AA539" s="205" t="str">
        <f t="shared" si="986"/>
        <v/>
      </c>
      <c r="AB539" s="205" t="str">
        <f t="shared" si="987"/>
        <v/>
      </c>
    </row>
    <row r="540" spans="2:28" x14ac:dyDescent="0.25">
      <c r="B540" s="65">
        <v>41768</v>
      </c>
      <c r="C540" s="66">
        <v>41768</v>
      </c>
      <c r="D540" s="68">
        <f t="shared" ref="D540" si="1044">IF(B540&gt;0,MONTH(B540),"False")</f>
        <v>5</v>
      </c>
      <c r="E540" s="66" t="str">
        <f t="shared" ref="E540" si="1045">YEAR(B540) &amp; CHOOSE(D540,"-Jan","-Feb","-Mar","-Apr","-May","-Jun","-Jul","-Aug","-Sep","-Oct","-Nov","-Dec")</f>
        <v>2014-May</v>
      </c>
      <c r="F540" s="68">
        <f t="shared" ref="F540" si="1046">IF(C540&gt;0,MONTH(C540),"False")</f>
        <v>5</v>
      </c>
      <c r="G540" s="195" t="s">
        <v>105</v>
      </c>
      <c r="H540" s="189" t="s">
        <v>280</v>
      </c>
      <c r="J540" s="189" t="s">
        <v>146</v>
      </c>
      <c r="K540" s="189" t="s">
        <v>82</v>
      </c>
      <c r="L540" s="189" t="s">
        <v>79</v>
      </c>
      <c r="M540" s="1" t="s">
        <v>1176</v>
      </c>
      <c r="N540" s="189" t="s">
        <v>124</v>
      </c>
      <c r="O540" s="189" t="s">
        <v>272</v>
      </c>
      <c r="P540" s="64" t="s">
        <v>305</v>
      </c>
      <c r="R540" s="64" t="s">
        <v>1108</v>
      </c>
      <c r="S540" s="195" t="s">
        <v>104</v>
      </c>
      <c r="T540" s="67" t="s">
        <v>110</v>
      </c>
      <c r="X540" s="195" t="s">
        <v>819</v>
      </c>
      <c r="Y540" s="195" t="str">
        <f t="shared" si="1012"/>
        <v>Pass</v>
      </c>
      <c r="Z540" s="11" t="str">
        <f t="shared" si="928"/>
        <v/>
      </c>
      <c r="AA540" s="205" t="str">
        <f t="shared" si="986"/>
        <v/>
      </c>
      <c r="AB540" s="205" t="str">
        <f t="shared" si="987"/>
        <v/>
      </c>
    </row>
    <row r="541" spans="2:28" x14ac:dyDescent="0.25">
      <c r="B541" s="65">
        <v>41768</v>
      </c>
      <c r="C541" s="66">
        <v>41768</v>
      </c>
      <c r="D541" s="68">
        <f t="shared" ref="D541" si="1047">IF(B541&gt;0,MONTH(B541),"False")</f>
        <v>5</v>
      </c>
      <c r="E541" s="66" t="str">
        <f t="shared" ref="E541" si="1048">YEAR(B541) &amp; CHOOSE(D541,"-Jan","-Feb","-Mar","-Apr","-May","-Jun","-Jul","-Aug","-Sep","-Oct","-Nov","-Dec")</f>
        <v>2014-May</v>
      </c>
      <c r="F541" s="68">
        <f t="shared" ref="F541" si="1049">IF(C541&gt;0,MONTH(C541),"False")</f>
        <v>5</v>
      </c>
      <c r="G541" s="189" t="s">
        <v>105</v>
      </c>
      <c r="H541" s="189" t="s">
        <v>280</v>
      </c>
      <c r="J541" s="189" t="s">
        <v>81</v>
      </c>
      <c r="K541" s="189" t="s">
        <v>82</v>
      </c>
      <c r="L541" s="189" t="s">
        <v>79</v>
      </c>
      <c r="M541" s="1" t="s">
        <v>1177</v>
      </c>
      <c r="N541" s="189" t="s">
        <v>124</v>
      </c>
      <c r="O541" s="189" t="s">
        <v>301</v>
      </c>
      <c r="P541" s="64" t="s">
        <v>305</v>
      </c>
      <c r="R541" s="64" t="s">
        <v>1108</v>
      </c>
      <c r="S541" s="189" t="s">
        <v>104</v>
      </c>
      <c r="X541" s="189" t="s">
        <v>161</v>
      </c>
      <c r="Y541" s="179" t="str">
        <f t="shared" si="1012"/>
        <v>Pass</v>
      </c>
      <c r="Z541" s="11" t="str">
        <f t="shared" si="928"/>
        <v/>
      </c>
      <c r="AA541" s="205" t="str">
        <f t="shared" si="986"/>
        <v/>
      </c>
      <c r="AB541" s="205" t="str">
        <f t="shared" si="987"/>
        <v/>
      </c>
    </row>
    <row r="542" spans="2:28" x14ac:dyDescent="0.25">
      <c r="B542" s="65">
        <v>41768</v>
      </c>
      <c r="C542" s="66">
        <v>41768</v>
      </c>
      <c r="D542" s="68">
        <f t="shared" ref="D542:D543" si="1050">IF(B542&gt;0,MONTH(B542),"False")</f>
        <v>5</v>
      </c>
      <c r="E542" s="66" t="str">
        <f t="shared" ref="E542:E543" si="1051">YEAR(B542) &amp; CHOOSE(D542,"-Jan","-Feb","-Mar","-Apr","-May","-Jun","-Jul","-Aug","-Sep","-Oct","-Nov","-Dec")</f>
        <v>2014-May</v>
      </c>
      <c r="F542" s="68">
        <f t="shared" ref="F542:F543" si="1052">IF(C542&gt;0,MONTH(C542),"False")</f>
        <v>5</v>
      </c>
      <c r="G542" s="195" t="s">
        <v>105</v>
      </c>
      <c r="H542" s="189" t="s">
        <v>280</v>
      </c>
      <c r="I542" s="189"/>
      <c r="J542" s="189" t="s">
        <v>81</v>
      </c>
      <c r="K542" s="189" t="s">
        <v>82</v>
      </c>
      <c r="L542" s="189" t="s">
        <v>79</v>
      </c>
      <c r="M542" s="189" t="s">
        <v>1178</v>
      </c>
      <c r="N542" s="189" t="s">
        <v>124</v>
      </c>
      <c r="O542" s="189" t="s">
        <v>116</v>
      </c>
      <c r="P542" s="64" t="s">
        <v>305</v>
      </c>
      <c r="R542" s="64" t="s">
        <v>1108</v>
      </c>
      <c r="S542" s="195" t="s">
        <v>104</v>
      </c>
      <c r="X542" s="195" t="s">
        <v>544</v>
      </c>
      <c r="Y542" s="179" t="str">
        <f t="shared" si="1012"/>
        <v>Pass</v>
      </c>
      <c r="Z542" s="11" t="str">
        <f t="shared" si="928"/>
        <v/>
      </c>
      <c r="AA542" s="205" t="str">
        <f t="shared" si="986"/>
        <v/>
      </c>
      <c r="AB542" s="205" t="str">
        <f t="shared" si="987"/>
        <v/>
      </c>
    </row>
    <row r="543" spans="2:28" x14ac:dyDescent="0.25">
      <c r="B543" s="66">
        <v>41768</v>
      </c>
      <c r="C543" s="66">
        <v>41768</v>
      </c>
      <c r="D543" s="68">
        <f t="shared" si="1050"/>
        <v>5</v>
      </c>
      <c r="E543" s="66" t="str">
        <f t="shared" si="1051"/>
        <v>2014-May</v>
      </c>
      <c r="F543" s="68">
        <f t="shared" si="1052"/>
        <v>5</v>
      </c>
      <c r="G543" s="189" t="s">
        <v>87</v>
      </c>
      <c r="H543" s="189" t="s">
        <v>280</v>
      </c>
      <c r="J543" s="189" t="s">
        <v>149</v>
      </c>
      <c r="K543" s="189" t="s">
        <v>84</v>
      </c>
      <c r="L543" s="189" t="s">
        <v>83</v>
      </c>
      <c r="M543" s="1" t="s">
        <v>1179</v>
      </c>
      <c r="N543" s="189" t="s">
        <v>124</v>
      </c>
      <c r="O543" s="189" t="s">
        <v>148</v>
      </c>
      <c r="Q543" s="2" t="s">
        <v>88</v>
      </c>
      <c r="R543" s="64" t="s">
        <v>1096</v>
      </c>
      <c r="Y543" s="179" t="str">
        <f t="shared" si="1012"/>
        <v>Obsolete</v>
      </c>
      <c r="Z543" s="11">
        <f t="shared" si="928"/>
        <v>41768</v>
      </c>
      <c r="AA543" s="205" t="str">
        <f t="shared" si="986"/>
        <v>2014 - 19</v>
      </c>
      <c r="AB543" s="205">
        <f t="shared" si="987"/>
        <v>2014</v>
      </c>
    </row>
    <row r="544" spans="2:28" x14ac:dyDescent="0.25">
      <c r="B544" s="65">
        <v>41768</v>
      </c>
      <c r="C544" s="66">
        <v>41772</v>
      </c>
      <c r="D544" s="68">
        <f t="shared" ref="D544:D545" si="1053">IF(B544&gt;0,MONTH(B544),"False")</f>
        <v>5</v>
      </c>
      <c r="E544" s="66" t="str">
        <f t="shared" ref="E544:E545" si="1054">YEAR(B544) &amp; CHOOSE(D544,"-Jan","-Feb","-Mar","-Apr","-May","-Jun","-Jul","-Aug","-Sep","-Oct","-Nov","-Dec")</f>
        <v>2014-May</v>
      </c>
      <c r="F544" s="68">
        <f t="shared" ref="F544:F545" si="1055">IF(C544&gt;0,MONTH(C544),"False")</f>
        <v>5</v>
      </c>
      <c r="G544" s="191" t="s">
        <v>93</v>
      </c>
      <c r="H544" s="189" t="s">
        <v>166</v>
      </c>
      <c r="J544" s="189" t="s">
        <v>77</v>
      </c>
      <c r="K544" s="189" t="s">
        <v>82</v>
      </c>
      <c r="L544" s="189" t="s">
        <v>79</v>
      </c>
      <c r="M544" s="197" t="s">
        <v>1179</v>
      </c>
      <c r="N544" s="189" t="s">
        <v>124</v>
      </c>
      <c r="O544" s="189" t="s">
        <v>353</v>
      </c>
      <c r="P544" s="64" t="s">
        <v>319</v>
      </c>
      <c r="R544" s="64" t="s">
        <v>320</v>
      </c>
      <c r="Y544" s="179" t="str">
        <f t="shared" si="1012"/>
        <v>Unknown</v>
      </c>
      <c r="Z544" s="11" t="str">
        <f t="shared" si="928"/>
        <v/>
      </c>
      <c r="AA544" s="205" t="str">
        <f t="shared" si="986"/>
        <v/>
      </c>
      <c r="AB544" s="205" t="str">
        <f t="shared" si="987"/>
        <v/>
      </c>
    </row>
    <row r="545" spans="2:28" x14ac:dyDescent="0.25">
      <c r="B545" s="66">
        <v>41768</v>
      </c>
      <c r="C545" s="66">
        <v>41768</v>
      </c>
      <c r="D545" s="68">
        <f t="shared" si="1053"/>
        <v>5</v>
      </c>
      <c r="E545" s="66" t="str">
        <f t="shared" si="1054"/>
        <v>2014-May</v>
      </c>
      <c r="F545" s="68">
        <f t="shared" si="1055"/>
        <v>5</v>
      </c>
      <c r="G545" s="189" t="s">
        <v>87</v>
      </c>
      <c r="H545" s="189" t="s">
        <v>280</v>
      </c>
      <c r="J545" s="189" t="s">
        <v>78</v>
      </c>
      <c r="K545" s="189" t="s">
        <v>78</v>
      </c>
      <c r="L545" s="189" t="s">
        <v>79</v>
      </c>
      <c r="M545" s="1" t="s">
        <v>1180</v>
      </c>
      <c r="N545" s="189" t="s">
        <v>124</v>
      </c>
      <c r="O545" s="189" t="s">
        <v>306</v>
      </c>
      <c r="Q545" s="2" t="s">
        <v>88</v>
      </c>
      <c r="R545" s="64" t="s">
        <v>344</v>
      </c>
      <c r="Y545" s="179" t="str">
        <f t="shared" si="1012"/>
        <v>Obsolete</v>
      </c>
      <c r="Z545" s="11">
        <f t="shared" si="928"/>
        <v>41768</v>
      </c>
      <c r="AA545" s="205" t="str">
        <f t="shared" si="986"/>
        <v>2014 - 19</v>
      </c>
      <c r="AB545" s="205">
        <f t="shared" si="987"/>
        <v>2014</v>
      </c>
    </row>
    <row r="546" spans="2:28" x14ac:dyDescent="0.25">
      <c r="B546" s="65">
        <v>41771</v>
      </c>
      <c r="C546" s="66">
        <v>41771</v>
      </c>
      <c r="D546" s="68">
        <f t="shared" ref="D546" si="1056">IF(B546&gt;0,MONTH(B546),"False")</f>
        <v>5</v>
      </c>
      <c r="E546" s="66" t="str">
        <f t="shared" ref="E546" si="1057">YEAR(B546) &amp; CHOOSE(D546,"-Jan","-Feb","-Mar","-Apr","-May","-Jun","-Jul","-Aug","-Sep","-Oct","-Nov","-Dec")</f>
        <v>2014-May</v>
      </c>
      <c r="F546" s="68">
        <f t="shared" ref="F546" si="1058">IF(C546&gt;0,MONTH(C546),"False")</f>
        <v>5</v>
      </c>
      <c r="G546" s="190" t="s">
        <v>93</v>
      </c>
      <c r="H546" s="190" t="s">
        <v>136</v>
      </c>
      <c r="J546" s="190" t="s">
        <v>120</v>
      </c>
      <c r="K546" s="190" t="s">
        <v>82</v>
      </c>
      <c r="L546" s="190" t="s">
        <v>79</v>
      </c>
      <c r="M546" s="1" t="s">
        <v>1181</v>
      </c>
      <c r="N546" s="190" t="s">
        <v>124</v>
      </c>
      <c r="O546" s="190" t="s">
        <v>147</v>
      </c>
      <c r="P546" s="64" t="s">
        <v>750</v>
      </c>
      <c r="R546" s="64" t="s">
        <v>1146</v>
      </c>
      <c r="S546" s="197" t="s">
        <v>104</v>
      </c>
      <c r="T546" s="67" t="s">
        <v>110</v>
      </c>
      <c r="Y546" s="179" t="str">
        <f t="shared" si="1012"/>
        <v>Pass</v>
      </c>
      <c r="Z546" s="11" t="str">
        <f t="shared" ref="Z546:Z574" si="1059">IF(Q546="Obsolete-LQA",C546,IF(Q546="Obsolete-IT",B546,""))</f>
        <v/>
      </c>
      <c r="AA546" s="205" t="str">
        <f t="shared" si="986"/>
        <v/>
      </c>
      <c r="AB546" s="205" t="str">
        <f t="shared" si="987"/>
        <v/>
      </c>
    </row>
    <row r="547" spans="2:28" x14ac:dyDescent="0.25">
      <c r="B547" s="65">
        <v>41771</v>
      </c>
      <c r="C547" s="66">
        <v>41771</v>
      </c>
      <c r="D547" s="68">
        <f t="shared" ref="D547" si="1060">IF(B547&gt;0,MONTH(B547),"False")</f>
        <v>5</v>
      </c>
      <c r="E547" s="66" t="str">
        <f t="shared" ref="E547" si="1061">YEAR(B547) &amp; CHOOSE(D547,"-Jan","-Feb","-Mar","-Apr","-May","-Jun","-Jul","-Aug","-Sep","-Oct","-Nov","-Dec")</f>
        <v>2014-May</v>
      </c>
      <c r="F547" s="68">
        <f t="shared" ref="F547" si="1062">IF(C547&gt;0,MONTH(C547),"False")</f>
        <v>5</v>
      </c>
      <c r="G547" s="190" t="s">
        <v>93</v>
      </c>
      <c r="H547" s="190" t="s">
        <v>28</v>
      </c>
      <c r="J547" s="190" t="s">
        <v>77</v>
      </c>
      <c r="K547" s="190" t="s">
        <v>82</v>
      </c>
      <c r="L547" s="190" t="s">
        <v>79</v>
      </c>
      <c r="M547" s="1" t="s">
        <v>1182</v>
      </c>
      <c r="N547" s="190" t="s">
        <v>124</v>
      </c>
      <c r="O547" s="190" t="s">
        <v>142</v>
      </c>
      <c r="P547" s="64" t="s">
        <v>334</v>
      </c>
      <c r="R547" s="64" t="s">
        <v>335</v>
      </c>
      <c r="Y547" s="179" t="str">
        <f t="shared" si="1012"/>
        <v>Unknown</v>
      </c>
      <c r="Z547" s="11" t="str">
        <f t="shared" si="1059"/>
        <v/>
      </c>
      <c r="AA547" s="205" t="str">
        <f t="shared" si="986"/>
        <v/>
      </c>
      <c r="AB547" s="205" t="str">
        <f t="shared" si="987"/>
        <v/>
      </c>
    </row>
    <row r="548" spans="2:28" x14ac:dyDescent="0.25">
      <c r="B548" s="65">
        <v>41771</v>
      </c>
      <c r="C548" s="66">
        <v>41771</v>
      </c>
      <c r="D548" s="68">
        <f t="shared" ref="D548" si="1063">IF(B548&gt;0,MONTH(B548),"False")</f>
        <v>5</v>
      </c>
      <c r="E548" s="66" t="str">
        <f t="shared" ref="E548" si="1064">YEAR(B548) &amp; CHOOSE(D548,"-Jan","-Feb","-Mar","-Apr","-May","-Jun","-Jul","-Aug","-Sep","-Oct","-Nov","-Dec")</f>
        <v>2014-May</v>
      </c>
      <c r="F548" s="68">
        <f t="shared" ref="F548" si="1065">IF(C548&gt;0,MONTH(C548),"False")</f>
        <v>5</v>
      </c>
      <c r="G548" s="204" t="s">
        <v>121</v>
      </c>
      <c r="H548" s="190" t="s">
        <v>166</v>
      </c>
      <c r="J548" s="190" t="s">
        <v>120</v>
      </c>
      <c r="K548" s="190" t="s">
        <v>82</v>
      </c>
      <c r="L548" s="190" t="s">
        <v>79</v>
      </c>
      <c r="M548" s="1" t="s">
        <v>1183</v>
      </c>
      <c r="N548" s="190" t="s">
        <v>124</v>
      </c>
      <c r="O548" s="190" t="s">
        <v>147</v>
      </c>
      <c r="P548" s="64" t="s">
        <v>557</v>
      </c>
      <c r="R548" s="64" t="s">
        <v>594</v>
      </c>
      <c r="S548" s="204" t="s">
        <v>104</v>
      </c>
      <c r="X548" s="204" t="s">
        <v>1312</v>
      </c>
      <c r="Y548" s="179" t="str">
        <f t="shared" si="1012"/>
        <v>Pass</v>
      </c>
      <c r="Z548" s="11" t="str">
        <f t="shared" si="1059"/>
        <v/>
      </c>
      <c r="AA548" s="205" t="str">
        <f t="shared" si="986"/>
        <v/>
      </c>
      <c r="AB548" s="205" t="str">
        <f t="shared" si="987"/>
        <v/>
      </c>
    </row>
    <row r="549" spans="2:28" x14ac:dyDescent="0.25">
      <c r="B549" s="66">
        <v>41771</v>
      </c>
      <c r="C549" s="66">
        <v>41771</v>
      </c>
      <c r="D549" s="68">
        <f t="shared" ref="D549" si="1066">IF(B549&gt;0,MONTH(B549),"False")</f>
        <v>5</v>
      </c>
      <c r="E549" s="66" t="str">
        <f t="shared" ref="E549" si="1067">YEAR(B549) &amp; CHOOSE(D549,"-Jan","-Feb","-Mar","-Apr","-May","-Jun","-Jul","-Aug","-Sep","-Oct","-Nov","-Dec")</f>
        <v>2014-May</v>
      </c>
      <c r="F549" s="68">
        <f t="shared" ref="F549" si="1068">IF(C549&gt;0,MONTH(C549),"False")</f>
        <v>5</v>
      </c>
      <c r="G549" s="195" t="s">
        <v>126</v>
      </c>
      <c r="H549" s="190" t="s">
        <v>280</v>
      </c>
      <c r="J549" s="190" t="s">
        <v>78</v>
      </c>
      <c r="K549" s="190" t="s">
        <v>78</v>
      </c>
      <c r="L549" s="190" t="s">
        <v>79</v>
      </c>
      <c r="M549" s="1" t="s">
        <v>1184</v>
      </c>
      <c r="N549" s="190" t="s">
        <v>124</v>
      </c>
      <c r="O549" s="190" t="s">
        <v>167</v>
      </c>
      <c r="R549" s="64" t="s">
        <v>344</v>
      </c>
      <c r="S549" s="195" t="s">
        <v>104</v>
      </c>
      <c r="X549" s="195" t="s">
        <v>544</v>
      </c>
      <c r="Y549" s="179" t="str">
        <f t="shared" si="1012"/>
        <v>Pass</v>
      </c>
      <c r="Z549" s="11" t="str">
        <f t="shared" si="1059"/>
        <v/>
      </c>
      <c r="AA549" s="205" t="str">
        <f t="shared" si="986"/>
        <v/>
      </c>
      <c r="AB549" s="205" t="str">
        <f t="shared" si="987"/>
        <v/>
      </c>
    </row>
    <row r="550" spans="2:28" x14ac:dyDescent="0.25">
      <c r="B550" s="66">
        <v>41772</v>
      </c>
      <c r="C550" s="66">
        <v>41772</v>
      </c>
      <c r="D550" s="68">
        <f t="shared" ref="D550" si="1069">IF(B550&gt;0,MONTH(B550),"False")</f>
        <v>5</v>
      </c>
      <c r="E550" s="66" t="str">
        <f t="shared" ref="E550" si="1070">YEAR(B550) &amp; CHOOSE(D550,"-Jan","-Feb","-Mar","-Apr","-May","-Jun","-Jul","-Aug","-Sep","-Oct","-Nov","-Dec")</f>
        <v>2014-May</v>
      </c>
      <c r="F550" s="68">
        <f t="shared" ref="F550" si="1071">IF(C550&gt;0,MONTH(C550),"False")</f>
        <v>5</v>
      </c>
      <c r="G550" s="191" t="s">
        <v>87</v>
      </c>
      <c r="H550" s="191" t="s">
        <v>166</v>
      </c>
      <c r="J550" s="191" t="s">
        <v>333</v>
      </c>
      <c r="K550" s="191" t="s">
        <v>84</v>
      </c>
      <c r="L550" s="191" t="s">
        <v>83</v>
      </c>
      <c r="M550" s="1" t="s">
        <v>1185</v>
      </c>
      <c r="N550" s="191" t="s">
        <v>124</v>
      </c>
      <c r="O550" s="191" t="s">
        <v>325</v>
      </c>
      <c r="R550" s="64" t="s">
        <v>346</v>
      </c>
      <c r="Y550" s="179" t="str">
        <f t="shared" si="1012"/>
        <v>Unknown</v>
      </c>
      <c r="Z550" s="11" t="str">
        <f t="shared" si="1059"/>
        <v/>
      </c>
      <c r="AA550" s="205" t="str">
        <f t="shared" si="986"/>
        <v/>
      </c>
      <c r="AB550" s="205" t="str">
        <f t="shared" si="987"/>
        <v/>
      </c>
    </row>
    <row r="551" spans="2:28" x14ac:dyDescent="0.25">
      <c r="B551" s="65">
        <v>41772</v>
      </c>
      <c r="C551" s="66">
        <v>41772</v>
      </c>
      <c r="D551" s="68">
        <f t="shared" ref="D551:D552" si="1072">IF(B551&gt;0,MONTH(B551),"False")</f>
        <v>5</v>
      </c>
      <c r="E551" s="66" t="str">
        <f t="shared" ref="E551:E552" si="1073">YEAR(B551) &amp; CHOOSE(D551,"-Jan","-Feb","-Mar","-Apr","-May","-Jun","-Jul","-Aug","-Sep","-Oct","-Nov","-Dec")</f>
        <v>2014-May</v>
      </c>
      <c r="F551" s="68">
        <f t="shared" ref="F551:F552" si="1074">IF(C551&gt;0,MONTH(C551),"False")</f>
        <v>5</v>
      </c>
      <c r="G551" s="191" t="s">
        <v>93</v>
      </c>
      <c r="H551" s="191" t="s">
        <v>348</v>
      </c>
      <c r="J551" s="191" t="s">
        <v>77</v>
      </c>
      <c r="K551" s="191" t="s">
        <v>82</v>
      </c>
      <c r="L551" s="191" t="s">
        <v>79</v>
      </c>
      <c r="M551" s="1" t="s">
        <v>1186</v>
      </c>
      <c r="N551" s="191" t="s">
        <v>124</v>
      </c>
      <c r="O551" s="191" t="s">
        <v>285</v>
      </c>
      <c r="P551" s="64" t="s">
        <v>352</v>
      </c>
      <c r="R551" s="64" t="s">
        <v>626</v>
      </c>
      <c r="S551" s="235" t="s">
        <v>104</v>
      </c>
      <c r="Y551" s="179" t="str">
        <f t="shared" si="1012"/>
        <v>Pass</v>
      </c>
      <c r="Z551" s="11" t="str">
        <f t="shared" si="1059"/>
        <v/>
      </c>
      <c r="AA551" s="205" t="str">
        <f t="shared" si="986"/>
        <v/>
      </c>
      <c r="AB551" s="205" t="str">
        <f t="shared" si="987"/>
        <v/>
      </c>
    </row>
    <row r="552" spans="2:28" x14ac:dyDescent="0.25">
      <c r="B552" s="66">
        <v>41772</v>
      </c>
      <c r="C552" s="66">
        <v>41772</v>
      </c>
      <c r="D552" s="68">
        <f t="shared" si="1072"/>
        <v>5</v>
      </c>
      <c r="E552" s="66" t="str">
        <f t="shared" si="1073"/>
        <v>2014-May</v>
      </c>
      <c r="F552" s="68">
        <f t="shared" si="1074"/>
        <v>5</v>
      </c>
      <c r="G552" s="191" t="s">
        <v>87</v>
      </c>
      <c r="H552" s="191" t="s">
        <v>330</v>
      </c>
      <c r="J552" s="191" t="s">
        <v>78</v>
      </c>
      <c r="K552" s="191" t="s">
        <v>78</v>
      </c>
      <c r="L552" s="191" t="s">
        <v>79</v>
      </c>
      <c r="M552" s="1" t="s">
        <v>1187</v>
      </c>
      <c r="N552" s="191" t="s">
        <v>124</v>
      </c>
      <c r="O552" s="191" t="s">
        <v>306</v>
      </c>
      <c r="R552" s="64" t="s">
        <v>339</v>
      </c>
      <c r="S552" s="223" t="s">
        <v>104</v>
      </c>
      <c r="T552" s="67" t="s">
        <v>110</v>
      </c>
      <c r="Y552" s="179" t="str">
        <f t="shared" si="1012"/>
        <v>Pass</v>
      </c>
      <c r="Z552" s="11" t="str">
        <f t="shared" si="1059"/>
        <v/>
      </c>
      <c r="AA552" s="205" t="str">
        <f t="shared" si="986"/>
        <v/>
      </c>
      <c r="AB552" s="205" t="str">
        <f t="shared" si="987"/>
        <v/>
      </c>
    </row>
    <row r="553" spans="2:28" x14ac:dyDescent="0.25">
      <c r="B553" s="65">
        <v>41772</v>
      </c>
      <c r="C553" s="66">
        <v>41772</v>
      </c>
      <c r="D553" s="68">
        <f t="shared" ref="D553" si="1075">IF(B553&gt;0,MONTH(B553),"False")</f>
        <v>5</v>
      </c>
      <c r="E553" s="66" t="str">
        <f t="shared" ref="E553" si="1076">YEAR(B553) &amp; CHOOSE(D553,"-Jan","-Feb","-Mar","-Apr","-May","-Jun","-Jul","-Aug","-Sep","-Oct","-Nov","-Dec")</f>
        <v>2014-May</v>
      </c>
      <c r="F553" s="68">
        <f t="shared" ref="F553" si="1077">IF(C553&gt;0,MONTH(C553),"False")</f>
        <v>5</v>
      </c>
      <c r="G553" s="191" t="s">
        <v>93</v>
      </c>
      <c r="H553" s="191" t="s">
        <v>136</v>
      </c>
      <c r="J553" s="191" t="s">
        <v>77</v>
      </c>
      <c r="K553" s="191" t="s">
        <v>82</v>
      </c>
      <c r="L553" s="191" t="s">
        <v>79</v>
      </c>
      <c r="M553" s="1" t="s">
        <v>1188</v>
      </c>
      <c r="N553" s="191" t="s">
        <v>124</v>
      </c>
      <c r="O553" s="191" t="s">
        <v>507</v>
      </c>
      <c r="P553" s="64" t="s">
        <v>750</v>
      </c>
      <c r="R553" s="64" t="s">
        <v>1146</v>
      </c>
      <c r="S553" s="235" t="s">
        <v>104</v>
      </c>
      <c r="Y553" s="179" t="str">
        <f t="shared" si="1012"/>
        <v>Pass</v>
      </c>
      <c r="Z553" s="11" t="str">
        <f t="shared" si="1059"/>
        <v/>
      </c>
      <c r="AA553" s="205" t="str">
        <f t="shared" si="986"/>
        <v/>
      </c>
      <c r="AB553" s="205" t="str">
        <f t="shared" si="987"/>
        <v/>
      </c>
    </row>
    <row r="554" spans="2:28" x14ac:dyDescent="0.25">
      <c r="B554" s="65">
        <v>41772</v>
      </c>
      <c r="C554" s="66">
        <v>41772</v>
      </c>
      <c r="D554" s="68">
        <f t="shared" ref="D554" si="1078">IF(B554&gt;0,MONTH(B554),"False")</f>
        <v>5</v>
      </c>
      <c r="E554" s="66" t="str">
        <f t="shared" ref="E554" si="1079">YEAR(B554) &amp; CHOOSE(D554,"-Jan","-Feb","-Mar","-Apr","-May","-Jun","-Jul","-Aug","-Sep","-Oct","-Nov","-Dec")</f>
        <v>2014-May</v>
      </c>
      <c r="F554" s="68">
        <f t="shared" ref="F554" si="1080">IF(C554&gt;0,MONTH(C554),"False")</f>
        <v>5</v>
      </c>
      <c r="G554" s="191" t="s">
        <v>93</v>
      </c>
      <c r="H554" s="191" t="s">
        <v>136</v>
      </c>
      <c r="I554" s="191"/>
      <c r="J554" s="191" t="s">
        <v>77</v>
      </c>
      <c r="K554" s="191" t="s">
        <v>82</v>
      </c>
      <c r="L554" s="191" t="s">
        <v>79</v>
      </c>
      <c r="M554" s="191" t="s">
        <v>1189</v>
      </c>
      <c r="N554" s="191" t="s">
        <v>124</v>
      </c>
      <c r="O554" s="191" t="s">
        <v>507</v>
      </c>
      <c r="P554" s="64" t="s">
        <v>750</v>
      </c>
      <c r="R554" s="64" t="s">
        <v>1146</v>
      </c>
      <c r="S554" s="235" t="s">
        <v>104</v>
      </c>
      <c r="Y554" s="179" t="str">
        <f t="shared" si="1012"/>
        <v>Pass</v>
      </c>
      <c r="Z554" s="11" t="str">
        <f t="shared" si="1059"/>
        <v/>
      </c>
      <c r="AA554" s="205" t="str">
        <f t="shared" si="986"/>
        <v/>
      </c>
      <c r="AB554" s="205" t="str">
        <f t="shared" si="987"/>
        <v/>
      </c>
    </row>
    <row r="555" spans="2:28" x14ac:dyDescent="0.25">
      <c r="B555" s="65">
        <v>41772</v>
      </c>
      <c r="C555" s="66">
        <v>41772</v>
      </c>
      <c r="D555" s="68">
        <f t="shared" ref="D555:D556" si="1081">IF(B555&gt;0,MONTH(B555),"False")</f>
        <v>5</v>
      </c>
      <c r="E555" s="66" t="str">
        <f t="shared" ref="E555:E556" si="1082">YEAR(B555) &amp; CHOOSE(D555,"-Jan","-Feb","-Mar","-Apr","-May","-Jun","-Jul","-Aug","-Sep","-Oct","-Nov","-Dec")</f>
        <v>2014-May</v>
      </c>
      <c r="F555" s="68">
        <f t="shared" ref="F555:F556" si="1083">IF(C555&gt;0,MONTH(C555),"False")</f>
        <v>5</v>
      </c>
      <c r="G555" s="191" t="s">
        <v>93</v>
      </c>
      <c r="H555" s="191" t="s">
        <v>166</v>
      </c>
      <c r="J555" s="191" t="s">
        <v>146</v>
      </c>
      <c r="K555" s="191" t="s">
        <v>82</v>
      </c>
      <c r="L555" s="191" t="s">
        <v>79</v>
      </c>
      <c r="M555" s="1" t="s">
        <v>1190</v>
      </c>
      <c r="N555" s="191" t="s">
        <v>124</v>
      </c>
      <c r="O555" s="191" t="s">
        <v>302</v>
      </c>
      <c r="P555" s="64" t="s">
        <v>485</v>
      </c>
      <c r="R555" s="64" t="s">
        <v>920</v>
      </c>
      <c r="S555" s="198" t="s">
        <v>104</v>
      </c>
      <c r="T555" s="67" t="s">
        <v>110</v>
      </c>
      <c r="Y555" s="179" t="str">
        <f t="shared" si="1012"/>
        <v>Pass</v>
      </c>
      <c r="Z555" s="11" t="str">
        <f t="shared" si="1059"/>
        <v/>
      </c>
      <c r="AA555" s="205" t="str">
        <f t="shared" si="986"/>
        <v/>
      </c>
      <c r="AB555" s="205" t="str">
        <f t="shared" si="987"/>
        <v/>
      </c>
    </row>
    <row r="556" spans="2:28" x14ac:dyDescent="0.25">
      <c r="B556" s="66">
        <v>41772</v>
      </c>
      <c r="C556" s="66">
        <v>41772</v>
      </c>
      <c r="D556" s="68">
        <f t="shared" si="1081"/>
        <v>5</v>
      </c>
      <c r="E556" s="66" t="str">
        <f t="shared" si="1082"/>
        <v>2014-May</v>
      </c>
      <c r="F556" s="68">
        <f t="shared" si="1083"/>
        <v>5</v>
      </c>
      <c r="G556" s="191" t="s">
        <v>87</v>
      </c>
      <c r="H556" s="191" t="s">
        <v>166</v>
      </c>
      <c r="J556" s="191" t="s">
        <v>150</v>
      </c>
      <c r="K556" s="191" t="s">
        <v>84</v>
      </c>
      <c r="L556" s="191" t="s">
        <v>79</v>
      </c>
      <c r="M556" s="1" t="s">
        <v>1191</v>
      </c>
      <c r="N556" s="191" t="s">
        <v>124</v>
      </c>
      <c r="O556" s="191" t="s">
        <v>299</v>
      </c>
      <c r="R556" s="64" t="s">
        <v>1192</v>
      </c>
      <c r="Y556" s="179" t="str">
        <f t="shared" si="1012"/>
        <v>Unknown</v>
      </c>
      <c r="Z556" s="11" t="str">
        <f t="shared" si="1059"/>
        <v/>
      </c>
      <c r="AA556" s="205" t="str">
        <f t="shared" si="986"/>
        <v/>
      </c>
      <c r="AB556" s="205" t="str">
        <f t="shared" si="987"/>
        <v/>
      </c>
    </row>
    <row r="557" spans="2:28" x14ac:dyDescent="0.25">
      <c r="B557" s="66">
        <v>41772</v>
      </c>
      <c r="C557" s="66">
        <v>41772</v>
      </c>
      <c r="D557" s="68">
        <f t="shared" ref="D557" si="1084">IF(B557&gt;0,MONTH(B557),"False")</f>
        <v>5</v>
      </c>
      <c r="E557" s="66" t="str">
        <f t="shared" ref="E557" si="1085">YEAR(B557) &amp; CHOOSE(D557,"-Jan","-Feb","-Mar","-Apr","-May","-Jun","-Jul","-Aug","-Sep","-Oct","-Nov","-Dec")</f>
        <v>2014-May</v>
      </c>
      <c r="F557" s="68">
        <f t="shared" ref="F557" si="1086">IF(C557&gt;0,MONTH(C557),"False")</f>
        <v>5</v>
      </c>
      <c r="G557" s="196" t="s">
        <v>126</v>
      </c>
      <c r="H557" s="191" t="s">
        <v>280</v>
      </c>
      <c r="J557" s="191" t="s">
        <v>119</v>
      </c>
      <c r="K557" s="191" t="s">
        <v>119</v>
      </c>
      <c r="L557" s="191" t="s">
        <v>79</v>
      </c>
      <c r="M557" s="1" t="s">
        <v>1193</v>
      </c>
      <c r="N557" s="191" t="s">
        <v>124</v>
      </c>
      <c r="O557" s="191" t="s">
        <v>304</v>
      </c>
      <c r="R557" s="64" t="s">
        <v>362</v>
      </c>
      <c r="S557" s="196" t="s">
        <v>104</v>
      </c>
      <c r="X557" s="196" t="s">
        <v>544</v>
      </c>
      <c r="Y557" s="179" t="str">
        <f t="shared" si="1012"/>
        <v>Pass</v>
      </c>
      <c r="Z557" s="11" t="str">
        <f t="shared" si="1059"/>
        <v/>
      </c>
      <c r="AA557" s="205" t="str">
        <f t="shared" si="986"/>
        <v/>
      </c>
      <c r="AB557" s="205" t="str">
        <f t="shared" si="987"/>
        <v/>
      </c>
    </row>
    <row r="558" spans="2:28" x14ac:dyDescent="0.25">
      <c r="B558" s="66">
        <v>41772</v>
      </c>
      <c r="C558" s="66">
        <v>41772</v>
      </c>
      <c r="D558" s="68">
        <f t="shared" ref="D558" si="1087">IF(B558&gt;0,MONTH(B558),"False")</f>
        <v>5</v>
      </c>
      <c r="E558" s="66" t="str">
        <f t="shared" ref="E558" si="1088">YEAR(B558) &amp; CHOOSE(D558,"-Jan","-Feb","-Mar","-Apr","-May","-Jun","-Jul","-Aug","-Sep","-Oct","-Nov","-Dec")</f>
        <v>2014-May</v>
      </c>
      <c r="F558" s="68">
        <f t="shared" ref="F558" si="1089">IF(C558&gt;0,MONTH(C558),"False")</f>
        <v>5</v>
      </c>
      <c r="G558" s="191" t="s">
        <v>87</v>
      </c>
      <c r="H558" s="191" t="s">
        <v>280</v>
      </c>
      <c r="J558" s="191" t="s">
        <v>333</v>
      </c>
      <c r="K558" s="191" t="s">
        <v>84</v>
      </c>
      <c r="L558" s="191" t="s">
        <v>83</v>
      </c>
      <c r="M558" s="1" t="s">
        <v>1194</v>
      </c>
      <c r="N558" s="191" t="s">
        <v>124</v>
      </c>
      <c r="O558" s="191" t="s">
        <v>325</v>
      </c>
      <c r="R558" s="64" t="s">
        <v>1096</v>
      </c>
      <c r="T558" s="67" t="s">
        <v>110</v>
      </c>
      <c r="Y558" s="179" t="str">
        <f t="shared" si="1012"/>
        <v>Unknown</v>
      </c>
      <c r="Z558" s="11" t="str">
        <f t="shared" si="1059"/>
        <v/>
      </c>
      <c r="AA558" s="205" t="str">
        <f t="shared" si="986"/>
        <v/>
      </c>
      <c r="AB558" s="205" t="str">
        <f t="shared" si="987"/>
        <v/>
      </c>
    </row>
    <row r="559" spans="2:28" x14ac:dyDescent="0.25">
      <c r="B559" s="66">
        <v>41772</v>
      </c>
      <c r="C559" s="66">
        <v>41772</v>
      </c>
      <c r="D559" s="68">
        <f t="shared" ref="D559:D560" si="1090">IF(B559&gt;0,MONTH(B559),"False")</f>
        <v>5</v>
      </c>
      <c r="E559" s="66" t="str">
        <f t="shared" ref="E559:E560" si="1091">YEAR(B559) &amp; CHOOSE(D559,"-Jan","-Feb","-Mar","-Apr","-May","-Jun","-Jul","-Aug","-Sep","-Oct","-Nov","-Dec")</f>
        <v>2014-May</v>
      </c>
      <c r="F559" s="68">
        <f t="shared" ref="F559:F560" si="1092">IF(C559&gt;0,MONTH(C559),"False")</f>
        <v>5</v>
      </c>
      <c r="G559" s="195" t="s">
        <v>126</v>
      </c>
      <c r="H559" s="191" t="s">
        <v>280</v>
      </c>
      <c r="J559" s="191" t="s">
        <v>78</v>
      </c>
      <c r="K559" s="191" t="s">
        <v>78</v>
      </c>
      <c r="L559" s="191" t="s">
        <v>79</v>
      </c>
      <c r="M559" s="1" t="s">
        <v>1195</v>
      </c>
      <c r="N559" s="191" t="s">
        <v>124</v>
      </c>
      <c r="O559" s="191" t="s">
        <v>167</v>
      </c>
      <c r="Q559" s="2" t="s">
        <v>88</v>
      </c>
      <c r="R559" s="64" t="s">
        <v>344</v>
      </c>
      <c r="S559" s="195" t="s">
        <v>104</v>
      </c>
      <c r="X559" s="195" t="s">
        <v>544</v>
      </c>
      <c r="Y559" s="179" t="str">
        <f t="shared" si="1012"/>
        <v>Obsolete</v>
      </c>
      <c r="Z559" s="11">
        <f t="shared" si="1059"/>
        <v>41772</v>
      </c>
      <c r="AA559" s="205" t="str">
        <f t="shared" si="986"/>
        <v>2014 - 20</v>
      </c>
      <c r="AB559" s="205">
        <f t="shared" si="987"/>
        <v>2014</v>
      </c>
    </row>
    <row r="560" spans="2:28" x14ac:dyDescent="0.25">
      <c r="B560" s="65">
        <v>41772</v>
      </c>
      <c r="C560" s="66">
        <v>41772</v>
      </c>
      <c r="D560" s="68">
        <f t="shared" si="1090"/>
        <v>5</v>
      </c>
      <c r="E560" s="66" t="str">
        <f t="shared" si="1091"/>
        <v>2014-May</v>
      </c>
      <c r="F560" s="68">
        <f t="shared" si="1092"/>
        <v>5</v>
      </c>
      <c r="G560" s="196" t="s">
        <v>105</v>
      </c>
      <c r="H560" s="191" t="s">
        <v>280</v>
      </c>
      <c r="J560" s="191" t="s">
        <v>333</v>
      </c>
      <c r="K560" s="191" t="s">
        <v>82</v>
      </c>
      <c r="L560" s="191" t="s">
        <v>79</v>
      </c>
      <c r="M560" s="1" t="s">
        <v>1196</v>
      </c>
      <c r="N560" s="191" t="s">
        <v>124</v>
      </c>
      <c r="O560" s="191" t="s">
        <v>116</v>
      </c>
      <c r="P560" s="64" t="s">
        <v>305</v>
      </c>
      <c r="R560" s="64" t="s">
        <v>1108</v>
      </c>
      <c r="S560" s="196" t="s">
        <v>104</v>
      </c>
      <c r="X560" s="196" t="s">
        <v>462</v>
      </c>
      <c r="Y560" s="179" t="str">
        <f t="shared" si="1012"/>
        <v>Pass</v>
      </c>
      <c r="Z560" s="11" t="str">
        <f t="shared" si="1059"/>
        <v/>
      </c>
      <c r="AA560" s="205" t="str">
        <f t="shared" si="986"/>
        <v/>
      </c>
      <c r="AB560" s="205" t="str">
        <f t="shared" si="987"/>
        <v/>
      </c>
    </row>
    <row r="561" spans="2:28" x14ac:dyDescent="0.25">
      <c r="B561" s="66">
        <v>41773</v>
      </c>
      <c r="C561" s="66">
        <v>41773</v>
      </c>
      <c r="D561" s="68">
        <f t="shared" ref="D561" si="1093">IF(B561&gt;0,MONTH(B561),"False")</f>
        <v>5</v>
      </c>
      <c r="E561" s="66" t="str">
        <f t="shared" ref="E561" si="1094">YEAR(B561) &amp; CHOOSE(D561,"-Jan","-Feb","-Mar","-Apr","-May","-Jun","-Jul","-Aug","-Sep","-Oct","-Nov","-Dec")</f>
        <v>2014-May</v>
      </c>
      <c r="F561" s="68">
        <f t="shared" ref="F561" si="1095">IF(C561&gt;0,MONTH(C561),"False")</f>
        <v>5</v>
      </c>
      <c r="G561" s="192" t="s">
        <v>87</v>
      </c>
      <c r="H561" s="192" t="s">
        <v>166</v>
      </c>
      <c r="J561" s="192" t="s">
        <v>149</v>
      </c>
      <c r="K561" s="192" t="s">
        <v>84</v>
      </c>
      <c r="L561" s="192" t="s">
        <v>79</v>
      </c>
      <c r="M561" s="1" t="s">
        <v>1197</v>
      </c>
      <c r="N561" s="192" t="s">
        <v>124</v>
      </c>
      <c r="O561" s="192" t="s">
        <v>1198</v>
      </c>
      <c r="R561" s="64" t="s">
        <v>1041</v>
      </c>
      <c r="S561" s="198" t="s">
        <v>104</v>
      </c>
      <c r="T561" s="67" t="s">
        <v>110</v>
      </c>
      <c r="Y561" s="179" t="str">
        <f t="shared" si="1012"/>
        <v>Pass</v>
      </c>
      <c r="Z561" s="11" t="str">
        <f t="shared" si="1059"/>
        <v/>
      </c>
      <c r="AA561" s="205" t="str">
        <f t="shared" si="986"/>
        <v/>
      </c>
      <c r="AB561" s="205" t="str">
        <f t="shared" si="987"/>
        <v/>
      </c>
    </row>
    <row r="562" spans="2:28" x14ac:dyDescent="0.25">
      <c r="B562" s="66">
        <v>41773</v>
      </c>
      <c r="C562" s="66">
        <v>41773</v>
      </c>
      <c r="D562" s="68">
        <f t="shared" ref="D562" si="1096">IF(B562&gt;0,MONTH(B562),"False")</f>
        <v>5</v>
      </c>
      <c r="E562" s="66" t="str">
        <f t="shared" ref="E562" si="1097">YEAR(B562) &amp; CHOOSE(D562,"-Jan","-Feb","-Mar","-Apr","-May","-Jun","-Jul","-Aug","-Sep","-Oct","-Nov","-Dec")</f>
        <v>2014-May</v>
      </c>
      <c r="F562" s="68">
        <f t="shared" ref="F562" si="1098">IF(C562&gt;0,MONTH(C562),"False")</f>
        <v>5</v>
      </c>
      <c r="G562" s="192" t="s">
        <v>87</v>
      </c>
      <c r="H562" s="192" t="s">
        <v>136</v>
      </c>
      <c r="J562" s="192" t="s">
        <v>150</v>
      </c>
      <c r="K562" s="192" t="s">
        <v>84</v>
      </c>
      <c r="L562" s="192" t="s">
        <v>79</v>
      </c>
      <c r="M562" s="1" t="s">
        <v>1199</v>
      </c>
      <c r="N562" s="192" t="s">
        <v>124</v>
      </c>
      <c r="O562" s="192" t="s">
        <v>299</v>
      </c>
      <c r="R562" s="64" t="s">
        <v>1125</v>
      </c>
      <c r="T562" s="67" t="s">
        <v>110</v>
      </c>
      <c r="Y562" s="179" t="str">
        <f t="shared" si="1012"/>
        <v>Unknown</v>
      </c>
      <c r="Z562" s="11" t="str">
        <f t="shared" si="1059"/>
        <v/>
      </c>
      <c r="AA562" s="205" t="str">
        <f t="shared" si="986"/>
        <v/>
      </c>
      <c r="AB562" s="205" t="str">
        <f t="shared" si="987"/>
        <v/>
      </c>
    </row>
    <row r="563" spans="2:28" x14ac:dyDescent="0.25">
      <c r="B563" s="66">
        <v>41773</v>
      </c>
      <c r="C563" s="66">
        <v>41773</v>
      </c>
      <c r="D563" s="68">
        <f t="shared" ref="D563" si="1099">IF(B563&gt;0,MONTH(B563),"False")</f>
        <v>5</v>
      </c>
      <c r="E563" s="66" t="str">
        <f t="shared" ref="E563" si="1100">YEAR(B563) &amp; CHOOSE(D563,"-Jan","-Feb","-Mar","-Apr","-May","-Jun","-Jul","-Aug","-Sep","-Oct","-Nov","-Dec")</f>
        <v>2014-May</v>
      </c>
      <c r="F563" s="68">
        <f t="shared" ref="F563" si="1101">IF(C563&gt;0,MONTH(C563),"False")</f>
        <v>5</v>
      </c>
      <c r="G563" s="192" t="s">
        <v>87</v>
      </c>
      <c r="H563" s="192" t="s">
        <v>136</v>
      </c>
      <c r="J563" s="192" t="s">
        <v>98</v>
      </c>
      <c r="K563" s="192" t="s">
        <v>84</v>
      </c>
      <c r="L563" s="192" t="s">
        <v>79</v>
      </c>
      <c r="M563" s="1" t="s">
        <v>1200</v>
      </c>
      <c r="N563" s="192" t="s">
        <v>124</v>
      </c>
      <c r="O563" s="192" t="s">
        <v>152</v>
      </c>
      <c r="R563" s="64" t="s">
        <v>1024</v>
      </c>
      <c r="Y563" s="195" t="str">
        <f t="shared" si="1012"/>
        <v>Unknown</v>
      </c>
      <c r="Z563" s="11" t="str">
        <f t="shared" si="1059"/>
        <v/>
      </c>
      <c r="AA563" s="205" t="str">
        <f t="shared" si="986"/>
        <v/>
      </c>
      <c r="AB563" s="205" t="str">
        <f t="shared" si="987"/>
        <v/>
      </c>
    </row>
    <row r="564" spans="2:28" x14ac:dyDescent="0.25">
      <c r="B564" s="66">
        <v>41773</v>
      </c>
      <c r="C564" s="66">
        <v>41773</v>
      </c>
      <c r="D564" s="68">
        <f t="shared" ref="D564" si="1102">IF(B564&gt;0,MONTH(B564),"False")</f>
        <v>5</v>
      </c>
      <c r="E564" s="66" t="str">
        <f t="shared" ref="E564" si="1103">YEAR(B564) &amp; CHOOSE(D564,"-Jan","-Feb","-Mar","-Apr","-May","-Jun","-Jul","-Aug","-Sep","-Oct","-Nov","-Dec")</f>
        <v>2014-May</v>
      </c>
      <c r="F564" s="68">
        <f t="shared" ref="F564" si="1104">IF(C564&gt;0,MONTH(C564),"False")</f>
        <v>5</v>
      </c>
      <c r="G564" s="198" t="s">
        <v>112</v>
      </c>
      <c r="H564" s="192" t="s">
        <v>348</v>
      </c>
      <c r="J564" s="192" t="s">
        <v>149</v>
      </c>
      <c r="K564" s="192" t="s">
        <v>84</v>
      </c>
      <c r="L564" s="192" t="s">
        <v>79</v>
      </c>
      <c r="M564" s="1" t="s">
        <v>1201</v>
      </c>
      <c r="N564" s="192" t="s">
        <v>124</v>
      </c>
      <c r="O564" s="192" t="s">
        <v>350</v>
      </c>
      <c r="R564" s="64" t="s">
        <v>1202</v>
      </c>
      <c r="S564" s="198" t="s">
        <v>104</v>
      </c>
      <c r="T564" s="67" t="s">
        <v>110</v>
      </c>
      <c r="X564" s="198" t="s">
        <v>268</v>
      </c>
      <c r="Y564" s="195" t="str">
        <f t="shared" si="1012"/>
        <v>Pass</v>
      </c>
      <c r="Z564" s="11" t="str">
        <f t="shared" si="1059"/>
        <v/>
      </c>
      <c r="AA564" s="205" t="str">
        <f t="shared" si="986"/>
        <v/>
      </c>
      <c r="AB564" s="205" t="str">
        <f t="shared" si="987"/>
        <v/>
      </c>
    </row>
    <row r="565" spans="2:28" x14ac:dyDescent="0.25">
      <c r="B565" s="65">
        <v>41773</v>
      </c>
      <c r="C565" s="66">
        <v>41773</v>
      </c>
      <c r="D565" s="68">
        <f t="shared" ref="D565:D566" si="1105">IF(B565&gt;0,MONTH(B565),"False")</f>
        <v>5</v>
      </c>
      <c r="E565" s="66" t="str">
        <f t="shared" ref="E565:E566" si="1106">YEAR(B565) &amp; CHOOSE(D565,"-Jan","-Feb","-Mar","-Apr","-May","-Jun","-Jul","-Aug","-Sep","-Oct","-Nov","-Dec")</f>
        <v>2014-May</v>
      </c>
      <c r="F565" s="68">
        <f t="shared" ref="F565:F566" si="1107">IF(C565&gt;0,MONTH(C565),"False")</f>
        <v>5</v>
      </c>
      <c r="G565" s="192" t="s">
        <v>93</v>
      </c>
      <c r="H565" s="192" t="s">
        <v>136</v>
      </c>
      <c r="J565" s="192" t="s">
        <v>98</v>
      </c>
      <c r="K565" s="192" t="s">
        <v>82</v>
      </c>
      <c r="L565" s="192" t="s">
        <v>79</v>
      </c>
      <c r="M565" s="1" t="s">
        <v>1203</v>
      </c>
      <c r="N565" s="192" t="s">
        <v>124</v>
      </c>
      <c r="O565" s="192" t="s">
        <v>273</v>
      </c>
      <c r="P565" s="64" t="s">
        <v>750</v>
      </c>
      <c r="Q565" s="2" t="s">
        <v>88</v>
      </c>
      <c r="R565" s="64" t="s">
        <v>1146</v>
      </c>
      <c r="Y565" s="195" t="str">
        <f t="shared" si="1012"/>
        <v>Obsolete</v>
      </c>
      <c r="Z565" s="11">
        <f t="shared" si="1059"/>
        <v>41773</v>
      </c>
      <c r="AA565" s="205" t="str">
        <f t="shared" si="986"/>
        <v>2014 - 20</v>
      </c>
      <c r="AB565" s="205">
        <f t="shared" si="987"/>
        <v>2014</v>
      </c>
    </row>
    <row r="566" spans="2:28" x14ac:dyDescent="0.25">
      <c r="B566" s="66">
        <v>41773</v>
      </c>
      <c r="C566" s="66">
        <v>41773</v>
      </c>
      <c r="D566" s="68">
        <f t="shared" si="1105"/>
        <v>5</v>
      </c>
      <c r="E566" s="66" t="str">
        <f t="shared" si="1106"/>
        <v>2014-May</v>
      </c>
      <c r="F566" s="68">
        <f t="shared" si="1107"/>
        <v>5</v>
      </c>
      <c r="G566" s="195" t="s">
        <v>126</v>
      </c>
      <c r="H566" s="192" t="s">
        <v>280</v>
      </c>
      <c r="J566" s="192" t="s">
        <v>78</v>
      </c>
      <c r="K566" s="192" t="s">
        <v>78</v>
      </c>
      <c r="L566" s="192" t="s">
        <v>79</v>
      </c>
      <c r="M566" s="1" t="s">
        <v>1204</v>
      </c>
      <c r="N566" s="192" t="s">
        <v>124</v>
      </c>
      <c r="O566" s="192" t="s">
        <v>304</v>
      </c>
      <c r="R566" s="64" t="s">
        <v>344</v>
      </c>
      <c r="S566" s="195" t="s">
        <v>104</v>
      </c>
      <c r="X566" s="195" t="s">
        <v>544</v>
      </c>
      <c r="Y566" s="195" t="str">
        <f t="shared" si="1012"/>
        <v>Pass</v>
      </c>
      <c r="Z566" s="11" t="str">
        <f t="shared" si="1059"/>
        <v/>
      </c>
      <c r="AA566" s="205" t="str">
        <f t="shared" si="986"/>
        <v/>
      </c>
      <c r="AB566" s="205" t="str">
        <f t="shared" si="987"/>
        <v/>
      </c>
    </row>
    <row r="567" spans="2:28" x14ac:dyDescent="0.25">
      <c r="B567" s="65">
        <v>41773</v>
      </c>
      <c r="C567" s="66">
        <v>41773</v>
      </c>
      <c r="D567" s="68">
        <f t="shared" ref="D567" si="1108">IF(B567&gt;0,MONTH(B567),"False")</f>
        <v>5</v>
      </c>
      <c r="E567" s="66" t="str">
        <f t="shared" ref="E567" si="1109">YEAR(B567) &amp; CHOOSE(D567,"-Jan","-Feb","-Mar","-Apr","-May","-Jun","-Jul","-Aug","-Sep","-Oct","-Nov","-Dec")</f>
        <v>2014-May</v>
      </c>
      <c r="F567" s="68">
        <f t="shared" ref="F567" si="1110">IF(C567&gt;0,MONTH(C567),"False")</f>
        <v>5</v>
      </c>
      <c r="G567" s="195" t="s">
        <v>105</v>
      </c>
      <c r="H567" s="192" t="s">
        <v>280</v>
      </c>
      <c r="J567" s="192" t="s">
        <v>146</v>
      </c>
      <c r="K567" s="192" t="s">
        <v>82</v>
      </c>
      <c r="L567" s="192" t="s">
        <v>79</v>
      </c>
      <c r="M567" s="1" t="s">
        <v>1205</v>
      </c>
      <c r="N567" s="192" t="s">
        <v>124</v>
      </c>
      <c r="O567" s="192" t="s">
        <v>272</v>
      </c>
      <c r="P567" s="64" t="s">
        <v>305</v>
      </c>
      <c r="R567" s="64" t="s">
        <v>1108</v>
      </c>
      <c r="S567" s="195" t="s">
        <v>104</v>
      </c>
      <c r="T567" s="67" t="s">
        <v>110</v>
      </c>
      <c r="X567" s="195" t="s">
        <v>819</v>
      </c>
      <c r="Y567" s="195" t="str">
        <f t="shared" si="1012"/>
        <v>Pass</v>
      </c>
      <c r="Z567" s="11" t="str">
        <f t="shared" si="1059"/>
        <v/>
      </c>
      <c r="AA567" s="205" t="str">
        <f t="shared" si="986"/>
        <v/>
      </c>
      <c r="AB567" s="205" t="str">
        <f t="shared" si="987"/>
        <v/>
      </c>
    </row>
    <row r="568" spans="2:28" x14ac:dyDescent="0.25">
      <c r="B568" s="65">
        <v>41773</v>
      </c>
      <c r="C568" s="66">
        <v>41773</v>
      </c>
      <c r="D568" s="68">
        <f t="shared" ref="D568:D569" si="1111">IF(B568&gt;0,MONTH(B568),"False")</f>
        <v>5</v>
      </c>
      <c r="E568" s="66" t="str">
        <f t="shared" ref="E568:E569" si="1112">YEAR(B568) &amp; CHOOSE(D568,"-Jan","-Feb","-Mar","-Apr","-May","-Jun","-Jul","-Aug","-Sep","-Oct","-Nov","-Dec")</f>
        <v>2014-May</v>
      </c>
      <c r="F568" s="68">
        <f t="shared" ref="F568:F569" si="1113">IF(C568&gt;0,MONTH(C568),"False")</f>
        <v>5</v>
      </c>
      <c r="G568" s="196" t="s">
        <v>105</v>
      </c>
      <c r="H568" s="192" t="s">
        <v>280</v>
      </c>
      <c r="J568" s="192" t="s">
        <v>81</v>
      </c>
      <c r="K568" s="192" t="s">
        <v>82</v>
      </c>
      <c r="L568" s="192" t="s">
        <v>79</v>
      </c>
      <c r="M568" s="1" t="s">
        <v>1206</v>
      </c>
      <c r="N568" s="192" t="s">
        <v>124</v>
      </c>
      <c r="O568" s="192" t="s">
        <v>116</v>
      </c>
      <c r="P568" s="64" t="s">
        <v>305</v>
      </c>
      <c r="R568" s="64" t="s">
        <v>1108</v>
      </c>
      <c r="S568" s="196" t="s">
        <v>104</v>
      </c>
      <c r="X568" s="196" t="s">
        <v>462</v>
      </c>
      <c r="Y568" s="195" t="str">
        <f t="shared" si="1012"/>
        <v>Pass</v>
      </c>
      <c r="Z568" s="11" t="str">
        <f t="shared" si="1059"/>
        <v/>
      </c>
      <c r="AA568" s="205" t="str">
        <f t="shared" si="986"/>
        <v/>
      </c>
      <c r="AB568" s="205" t="str">
        <f t="shared" si="987"/>
        <v/>
      </c>
    </row>
    <row r="569" spans="2:28" x14ac:dyDescent="0.25">
      <c r="B569" s="66">
        <v>41773</v>
      </c>
      <c r="C569" s="66">
        <v>41773</v>
      </c>
      <c r="D569" s="68">
        <f t="shared" si="1111"/>
        <v>5</v>
      </c>
      <c r="E569" s="66" t="str">
        <f t="shared" si="1112"/>
        <v>2014-May</v>
      </c>
      <c r="F569" s="68">
        <f t="shared" si="1113"/>
        <v>5</v>
      </c>
      <c r="G569" s="192" t="s">
        <v>87</v>
      </c>
      <c r="H569" s="192" t="s">
        <v>166</v>
      </c>
      <c r="J569" s="192" t="s">
        <v>120</v>
      </c>
      <c r="K569" s="192" t="s">
        <v>82</v>
      </c>
      <c r="L569" s="192" t="s">
        <v>79</v>
      </c>
      <c r="M569" s="1" t="s">
        <v>1207</v>
      </c>
      <c r="N569" s="192" t="s">
        <v>124</v>
      </c>
      <c r="O569" s="192" t="s">
        <v>147</v>
      </c>
      <c r="R569" s="64" t="s">
        <v>864</v>
      </c>
      <c r="Y569" s="195" t="str">
        <f t="shared" si="1012"/>
        <v>Unknown</v>
      </c>
      <c r="Z569" s="11" t="str">
        <f t="shared" si="1059"/>
        <v/>
      </c>
      <c r="AA569" s="205" t="str">
        <f t="shared" si="986"/>
        <v/>
      </c>
      <c r="AB569" s="205" t="str">
        <f t="shared" si="987"/>
        <v/>
      </c>
    </row>
    <row r="570" spans="2:28" x14ac:dyDescent="0.25">
      <c r="B570" s="65">
        <v>41773</v>
      </c>
      <c r="C570" s="66">
        <v>41773</v>
      </c>
      <c r="D570" s="68">
        <f t="shared" ref="D570" si="1114">IF(B570&gt;0,MONTH(B570),"False")</f>
        <v>5</v>
      </c>
      <c r="E570" s="66" t="str">
        <f t="shared" ref="E570" si="1115">YEAR(B570) &amp; CHOOSE(D570,"-Jan","-Feb","-Mar","-Apr","-May","-Jun","-Jul","-Aug","-Sep","-Oct","-Nov","-Dec")</f>
        <v>2014-May</v>
      </c>
      <c r="F570" s="68">
        <f t="shared" ref="F570" si="1116">IF(C570&gt;0,MONTH(C570),"False")</f>
        <v>5</v>
      </c>
      <c r="G570" s="192" t="s">
        <v>93</v>
      </c>
      <c r="H570" s="192" t="s">
        <v>166</v>
      </c>
      <c r="J570" s="192" t="s">
        <v>146</v>
      </c>
      <c r="K570" s="192" t="s">
        <v>82</v>
      </c>
      <c r="L570" s="192" t="s">
        <v>79</v>
      </c>
      <c r="M570" s="1" t="s">
        <v>1208</v>
      </c>
      <c r="N570" s="192" t="s">
        <v>124</v>
      </c>
      <c r="O570" s="192" t="s">
        <v>302</v>
      </c>
      <c r="P570" s="64" t="s">
        <v>485</v>
      </c>
      <c r="R570" s="64" t="s">
        <v>920</v>
      </c>
      <c r="S570" s="198" t="s">
        <v>104</v>
      </c>
      <c r="Y570" s="195" t="str">
        <f t="shared" si="1012"/>
        <v>Pass</v>
      </c>
      <c r="Z570" s="11" t="str">
        <f t="shared" si="1059"/>
        <v/>
      </c>
      <c r="AA570" s="205" t="str">
        <f t="shared" si="986"/>
        <v/>
      </c>
      <c r="AB570" s="205" t="str">
        <f t="shared" si="987"/>
        <v/>
      </c>
    </row>
    <row r="571" spans="2:28" x14ac:dyDescent="0.25">
      <c r="B571" s="66">
        <v>41774</v>
      </c>
      <c r="C571" s="66">
        <v>41774</v>
      </c>
      <c r="D571" s="68">
        <f t="shared" ref="D571" si="1117">IF(B571&gt;0,MONTH(B571),"False")</f>
        <v>5</v>
      </c>
      <c r="E571" s="66" t="str">
        <f t="shared" ref="E571" si="1118">YEAR(B571) &amp; CHOOSE(D571,"-Jan","-Feb","-Mar","-Apr","-May","-Jun","-Jul","-Aug","-Sep","-Oct","-Nov","-Dec")</f>
        <v>2014-May</v>
      </c>
      <c r="F571" s="68">
        <f t="shared" ref="F571" si="1119">IF(C571&gt;0,MONTH(C571),"False")</f>
        <v>5</v>
      </c>
      <c r="G571" s="193" t="s">
        <v>87</v>
      </c>
      <c r="H571" s="193" t="s">
        <v>166</v>
      </c>
      <c r="J571" s="193" t="s">
        <v>77</v>
      </c>
      <c r="K571" s="193" t="s">
        <v>82</v>
      </c>
      <c r="L571" s="193" t="s">
        <v>79</v>
      </c>
      <c r="M571" s="1" t="s">
        <v>1209</v>
      </c>
      <c r="N571" s="193" t="s">
        <v>124</v>
      </c>
      <c r="O571" s="193" t="s">
        <v>353</v>
      </c>
      <c r="R571" s="64" t="s">
        <v>862</v>
      </c>
      <c r="Y571" s="195" t="str">
        <f t="shared" si="1012"/>
        <v>Unknown</v>
      </c>
      <c r="Z571" s="11" t="str">
        <f t="shared" si="1059"/>
        <v/>
      </c>
      <c r="AA571" s="205" t="str">
        <f t="shared" si="986"/>
        <v/>
      </c>
      <c r="AB571" s="205" t="str">
        <f t="shared" si="987"/>
        <v/>
      </c>
    </row>
    <row r="572" spans="2:28" x14ac:dyDescent="0.25">
      <c r="B572" s="66">
        <v>41774</v>
      </c>
      <c r="C572" s="66">
        <v>41774</v>
      </c>
      <c r="D572" s="68">
        <f t="shared" ref="D572" si="1120">IF(B572&gt;0,MONTH(B572),"False")</f>
        <v>5</v>
      </c>
      <c r="E572" s="66" t="str">
        <f t="shared" ref="E572" si="1121">YEAR(B572) &amp; CHOOSE(D572,"-Jan","-Feb","-Mar","-Apr","-May","-Jun","-Jul","-Aug","-Sep","-Oct","-Nov","-Dec")</f>
        <v>2014-May</v>
      </c>
      <c r="F572" s="68">
        <f t="shared" ref="F572" si="1122">IF(C572&gt;0,MONTH(C572),"False")</f>
        <v>5</v>
      </c>
      <c r="G572" s="195" t="s">
        <v>126</v>
      </c>
      <c r="H572" s="193" t="s">
        <v>280</v>
      </c>
      <c r="J572" s="193" t="s">
        <v>149</v>
      </c>
      <c r="K572" s="193" t="s">
        <v>84</v>
      </c>
      <c r="L572" s="193" t="s">
        <v>83</v>
      </c>
      <c r="M572" s="1" t="s">
        <v>1210</v>
      </c>
      <c r="N572" s="193" t="s">
        <v>124</v>
      </c>
      <c r="O572" s="193" t="s">
        <v>1198</v>
      </c>
      <c r="R572" s="64" t="s">
        <v>1096</v>
      </c>
      <c r="S572" s="195" t="s">
        <v>104</v>
      </c>
      <c r="T572" s="67" t="s">
        <v>110</v>
      </c>
      <c r="X572" s="195" t="s">
        <v>819</v>
      </c>
      <c r="Y572" s="195" t="str">
        <f t="shared" si="1012"/>
        <v>Pass</v>
      </c>
      <c r="Z572" s="11" t="str">
        <f t="shared" si="1059"/>
        <v/>
      </c>
      <c r="AA572" s="205" t="str">
        <f t="shared" si="986"/>
        <v/>
      </c>
      <c r="AB572" s="205" t="str">
        <f t="shared" si="987"/>
        <v/>
      </c>
    </row>
    <row r="573" spans="2:28" x14ac:dyDescent="0.25">
      <c r="B573" s="66">
        <v>41774</v>
      </c>
      <c r="C573" s="66">
        <v>41774</v>
      </c>
      <c r="D573" s="68">
        <f t="shared" ref="D573" si="1123">IF(B573&gt;0,MONTH(B573),"False")</f>
        <v>5</v>
      </c>
      <c r="E573" s="66" t="str">
        <f t="shared" ref="E573" si="1124">YEAR(B573) &amp; CHOOSE(D573,"-Jan","-Feb","-Mar","-Apr","-May","-Jun","-Jul","-Aug","-Sep","-Oct","-Nov","-Dec")</f>
        <v>2014-May</v>
      </c>
      <c r="F573" s="68">
        <f t="shared" ref="F573" si="1125">IF(C573&gt;0,MONTH(C573),"False")</f>
        <v>5</v>
      </c>
      <c r="G573" s="195" t="s">
        <v>126</v>
      </c>
      <c r="H573" s="193" t="s">
        <v>280</v>
      </c>
      <c r="J573" s="193" t="s">
        <v>78</v>
      </c>
      <c r="K573" s="193" t="s">
        <v>78</v>
      </c>
      <c r="L573" s="193" t="s">
        <v>79</v>
      </c>
      <c r="M573" s="1" t="s">
        <v>1211</v>
      </c>
      <c r="N573" s="193" t="s">
        <v>124</v>
      </c>
      <c r="O573" s="193" t="s">
        <v>167</v>
      </c>
      <c r="R573" s="64" t="s">
        <v>344</v>
      </c>
      <c r="S573" s="195" t="s">
        <v>104</v>
      </c>
      <c r="X573" s="195" t="s">
        <v>544</v>
      </c>
      <c r="Y573" s="195" t="str">
        <f t="shared" si="1012"/>
        <v>Pass</v>
      </c>
      <c r="Z573" s="11" t="str">
        <f t="shared" si="1059"/>
        <v/>
      </c>
      <c r="AA573" s="205" t="str">
        <f t="shared" si="986"/>
        <v/>
      </c>
      <c r="AB573" s="205" t="str">
        <f t="shared" si="987"/>
        <v/>
      </c>
    </row>
    <row r="574" spans="2:28" x14ac:dyDescent="0.25">
      <c r="B574" s="65">
        <v>41774</v>
      </c>
      <c r="C574" s="66">
        <v>41774</v>
      </c>
      <c r="D574" s="68">
        <f t="shared" ref="D574" si="1126">IF(B574&gt;0,MONTH(B574),"False")</f>
        <v>5</v>
      </c>
      <c r="E574" s="66" t="str">
        <f t="shared" ref="E574" si="1127">YEAR(B574) &amp; CHOOSE(D574,"-Jan","-Feb","-Mar","-Apr","-May","-Jun","-Jul","-Aug","-Sep","-Oct","-Nov","-Dec")</f>
        <v>2014-May</v>
      </c>
      <c r="F574" s="68">
        <f t="shared" ref="F574" si="1128">IF(C574&gt;0,MONTH(C574),"False")</f>
        <v>5</v>
      </c>
      <c r="G574" s="193" t="s">
        <v>93</v>
      </c>
      <c r="H574" s="193" t="s">
        <v>103</v>
      </c>
      <c r="J574" s="193" t="s">
        <v>77</v>
      </c>
      <c r="K574" s="193" t="s">
        <v>82</v>
      </c>
      <c r="L574" s="193" t="s">
        <v>79</v>
      </c>
      <c r="M574" s="1" t="s">
        <v>1212</v>
      </c>
      <c r="N574" s="193" t="s">
        <v>124</v>
      </c>
      <c r="O574" s="193" t="s">
        <v>265</v>
      </c>
      <c r="P574" s="64" t="s">
        <v>351</v>
      </c>
      <c r="Q574" s="2" t="s">
        <v>88</v>
      </c>
      <c r="R574" s="64" t="s">
        <v>361</v>
      </c>
      <c r="Y574" s="195" t="str">
        <f t="shared" si="1012"/>
        <v>Obsolete</v>
      </c>
      <c r="Z574" s="11">
        <f t="shared" si="1059"/>
        <v>41774</v>
      </c>
      <c r="AA574" s="205" t="str">
        <f t="shared" ref="AA574" si="1129">IFERROR(YEAR(Z574)&amp;" - "&amp; IF(LEN( WEEKNUM(Z574))=1,"0" &amp; WEEKNUM(Z574),WEEKNUM(Z574)),"")</f>
        <v>2014 - 20</v>
      </c>
      <c r="AB574" s="205">
        <f t="shared" ref="AB574" si="1130">IFERROR(YEAR(Z574),"")</f>
        <v>2014</v>
      </c>
    </row>
    <row r="575" spans="2:28" x14ac:dyDescent="0.25">
      <c r="B575" s="65">
        <v>41774</v>
      </c>
      <c r="C575" s="66">
        <v>41774</v>
      </c>
      <c r="D575" s="68">
        <f t="shared" ref="D575" si="1131">IF(B575&gt;0,MONTH(B575),"False")</f>
        <v>5</v>
      </c>
      <c r="E575" s="66" t="str">
        <f t="shared" ref="E575" si="1132">YEAR(B575) &amp; CHOOSE(D575,"-Jan","-Feb","-Mar","-Apr","-May","-Jun","-Jul","-Aug","-Sep","-Oct","-Nov","-Dec")</f>
        <v>2014-May</v>
      </c>
      <c r="F575" s="68">
        <f t="shared" ref="F575" si="1133">IF(C575&gt;0,MONTH(C575),"False")</f>
        <v>5</v>
      </c>
      <c r="G575" s="193" t="s">
        <v>93</v>
      </c>
      <c r="H575" s="193" t="s">
        <v>280</v>
      </c>
      <c r="J575" s="193" t="s">
        <v>81</v>
      </c>
      <c r="K575" s="193" t="s">
        <v>82</v>
      </c>
      <c r="L575" s="193" t="s">
        <v>79</v>
      </c>
      <c r="M575" s="1" t="s">
        <v>1213</v>
      </c>
      <c r="N575" s="193" t="s">
        <v>124</v>
      </c>
      <c r="O575" s="193" t="s">
        <v>286</v>
      </c>
      <c r="P575" s="64" t="s">
        <v>305</v>
      </c>
      <c r="R575" s="64" t="s">
        <v>1108</v>
      </c>
      <c r="S575" s="291" t="s">
        <v>104</v>
      </c>
      <c r="Y575" s="195" t="str">
        <f t="shared" si="1012"/>
        <v>Pass</v>
      </c>
      <c r="Z575" s="11" t="str">
        <f t="shared" ref="Z575:Z601" si="1134">IF(Q575="Obsolete-LQA",C575,IF(Q575="Obsolete-IT",B575,""))</f>
        <v/>
      </c>
      <c r="AA575" s="205" t="str">
        <f t="shared" ref="AA575:AA601" si="1135">IFERROR(YEAR(Z575)&amp;" - "&amp; IF(LEN( WEEKNUM(Z575))=1,"0" &amp; WEEKNUM(Z575),WEEKNUM(Z575)),"")</f>
        <v/>
      </c>
      <c r="AB575" s="205" t="str">
        <f t="shared" ref="AB575:AB601" si="1136">IFERROR(YEAR(Z575),"")</f>
        <v/>
      </c>
    </row>
    <row r="576" spans="2:28" x14ac:dyDescent="0.25">
      <c r="B576" s="66">
        <v>41774</v>
      </c>
      <c r="C576" s="66">
        <v>41774</v>
      </c>
      <c r="D576" s="68">
        <f t="shared" ref="D576" si="1137">IF(B576&gt;0,MONTH(B576),"False")</f>
        <v>5</v>
      </c>
      <c r="E576" s="66" t="str">
        <f t="shared" ref="E576" si="1138">YEAR(B576) &amp; CHOOSE(D576,"-Jan","-Feb","-Mar","-Apr","-May","-Jun","-Jul","-Aug","-Sep","-Oct","-Nov","-Dec")</f>
        <v>2014-May</v>
      </c>
      <c r="F576" s="68">
        <f t="shared" ref="F576" si="1139">IF(C576&gt;0,MONTH(C576),"False")</f>
        <v>5</v>
      </c>
      <c r="G576" s="193" t="s">
        <v>87</v>
      </c>
      <c r="H576" s="193" t="s">
        <v>280</v>
      </c>
      <c r="J576" s="193" t="s">
        <v>78</v>
      </c>
      <c r="K576" s="193" t="s">
        <v>78</v>
      </c>
      <c r="L576" s="193" t="s">
        <v>79</v>
      </c>
      <c r="M576" s="1" t="s">
        <v>1214</v>
      </c>
      <c r="N576" s="193" t="s">
        <v>124</v>
      </c>
      <c r="O576" s="193" t="s">
        <v>167</v>
      </c>
      <c r="R576" s="64" t="s">
        <v>344</v>
      </c>
      <c r="S576" s="306" t="s">
        <v>104</v>
      </c>
      <c r="Y576" s="195" t="str">
        <f t="shared" si="1012"/>
        <v>Pass</v>
      </c>
      <c r="Z576" s="11" t="str">
        <f t="shared" si="1134"/>
        <v/>
      </c>
      <c r="AA576" s="205" t="str">
        <f t="shared" si="1135"/>
        <v/>
      </c>
      <c r="AB576" s="205" t="str">
        <f t="shared" si="1136"/>
        <v/>
      </c>
    </row>
    <row r="577" spans="2:28" x14ac:dyDescent="0.25">
      <c r="B577" s="66">
        <v>41775</v>
      </c>
      <c r="C577" s="66">
        <v>41775</v>
      </c>
      <c r="D577" s="68">
        <f t="shared" ref="D577:D578" si="1140">IF(B577&gt;0,MONTH(B577),"False")</f>
        <v>5</v>
      </c>
      <c r="E577" s="66" t="str">
        <f t="shared" ref="E577:E578" si="1141">YEAR(B577) &amp; CHOOSE(D577,"-Jan","-Feb","-Mar","-Apr","-May","-Jun","-Jul","-Aug","-Sep","-Oct","-Nov","-Dec")</f>
        <v>2014-May</v>
      </c>
      <c r="F577" s="68">
        <f t="shared" ref="F577:F578" si="1142">IF(C577&gt;0,MONTH(C577),"False")</f>
        <v>5</v>
      </c>
      <c r="G577" s="195" t="s">
        <v>126</v>
      </c>
      <c r="H577" s="194" t="s">
        <v>280</v>
      </c>
      <c r="J577" s="194" t="s">
        <v>78</v>
      </c>
      <c r="K577" s="194" t="s">
        <v>78</v>
      </c>
      <c r="L577" s="194" t="s">
        <v>79</v>
      </c>
      <c r="M577" s="1" t="s">
        <v>1215</v>
      </c>
      <c r="N577" s="194" t="s">
        <v>124</v>
      </c>
      <c r="O577" s="194" t="s">
        <v>304</v>
      </c>
      <c r="R577" s="64" t="s">
        <v>344</v>
      </c>
      <c r="S577" s="195" t="s">
        <v>104</v>
      </c>
      <c r="X577" s="195" t="s">
        <v>544</v>
      </c>
      <c r="Y577" s="195" t="str">
        <f t="shared" si="1012"/>
        <v>Pass</v>
      </c>
      <c r="Z577" s="11" t="str">
        <f t="shared" si="1134"/>
        <v/>
      </c>
      <c r="AA577" s="205" t="str">
        <f t="shared" si="1135"/>
        <v/>
      </c>
      <c r="AB577" s="205" t="str">
        <f t="shared" si="1136"/>
        <v/>
      </c>
    </row>
    <row r="578" spans="2:28" x14ac:dyDescent="0.25">
      <c r="B578" s="65">
        <v>41775</v>
      </c>
      <c r="C578" s="66">
        <v>41775</v>
      </c>
      <c r="D578" s="68">
        <f t="shared" si="1140"/>
        <v>5</v>
      </c>
      <c r="E578" s="66" t="str">
        <f t="shared" si="1141"/>
        <v>2014-May</v>
      </c>
      <c r="F578" s="68">
        <f t="shared" si="1142"/>
        <v>5</v>
      </c>
      <c r="G578" s="195" t="s">
        <v>105</v>
      </c>
      <c r="H578" s="194" t="s">
        <v>280</v>
      </c>
      <c r="J578" s="194" t="s">
        <v>81</v>
      </c>
      <c r="K578" s="194" t="s">
        <v>82</v>
      </c>
      <c r="L578" s="194" t="s">
        <v>79</v>
      </c>
      <c r="M578" s="1" t="s">
        <v>1216</v>
      </c>
      <c r="N578" s="194" t="s">
        <v>124</v>
      </c>
      <c r="O578" s="194" t="s">
        <v>125</v>
      </c>
      <c r="P578" s="64" t="s">
        <v>305</v>
      </c>
      <c r="R578" s="64" t="s">
        <v>1108</v>
      </c>
      <c r="S578" s="195" t="s">
        <v>104</v>
      </c>
      <c r="X578" s="195" t="s">
        <v>544</v>
      </c>
      <c r="Y578" s="195" t="str">
        <f t="shared" si="1012"/>
        <v>Pass</v>
      </c>
      <c r="Z578" s="11" t="str">
        <f t="shared" si="1134"/>
        <v/>
      </c>
      <c r="AA578" s="205" t="str">
        <f t="shared" si="1135"/>
        <v/>
      </c>
      <c r="AB578" s="205" t="str">
        <f t="shared" si="1136"/>
        <v/>
      </c>
    </row>
    <row r="579" spans="2:28" x14ac:dyDescent="0.25">
      <c r="B579" s="66">
        <v>41775</v>
      </c>
      <c r="C579" s="66">
        <v>41775</v>
      </c>
      <c r="D579" s="68">
        <f t="shared" ref="D579" si="1143">IF(B579&gt;0,MONTH(B579),"False")</f>
        <v>5</v>
      </c>
      <c r="E579" s="66" t="str">
        <f t="shared" ref="E579" si="1144">YEAR(B579) &amp; CHOOSE(D579,"-Jan","-Feb","-Mar","-Apr","-May","-Jun","-Jul","-Aug","-Sep","-Oct","-Nov","-Dec")</f>
        <v>2014-May</v>
      </c>
      <c r="F579" s="68">
        <f t="shared" ref="F579" si="1145">IF(C579&gt;0,MONTH(C579),"False")</f>
        <v>5</v>
      </c>
      <c r="G579" s="194" t="s">
        <v>87</v>
      </c>
      <c r="H579" s="194" t="s">
        <v>726</v>
      </c>
      <c r="J579" s="194" t="s">
        <v>78</v>
      </c>
      <c r="K579" s="194" t="s">
        <v>78</v>
      </c>
      <c r="L579" s="194" t="s">
        <v>79</v>
      </c>
      <c r="M579" s="1" t="s">
        <v>1217</v>
      </c>
      <c r="N579" s="194" t="s">
        <v>124</v>
      </c>
      <c r="O579" s="194" t="s">
        <v>167</v>
      </c>
      <c r="R579" s="64" t="s">
        <v>727</v>
      </c>
      <c r="Y579" s="195" t="str">
        <f t="shared" si="1012"/>
        <v>Unknown</v>
      </c>
      <c r="Z579" s="11" t="str">
        <f t="shared" si="1134"/>
        <v/>
      </c>
      <c r="AA579" s="205" t="str">
        <f t="shared" si="1135"/>
        <v/>
      </c>
      <c r="AB579" s="205" t="str">
        <f t="shared" si="1136"/>
        <v/>
      </c>
    </row>
    <row r="580" spans="2:28" x14ac:dyDescent="0.25">
      <c r="B580" s="66">
        <v>41775</v>
      </c>
      <c r="C580" s="66">
        <v>41775</v>
      </c>
      <c r="D580" s="68">
        <f t="shared" ref="D580:D581" si="1146">IF(B580&gt;0,MONTH(B580),"False")</f>
        <v>5</v>
      </c>
      <c r="E580" s="66" t="str">
        <f t="shared" ref="E580:E581" si="1147">YEAR(B580) &amp; CHOOSE(D580,"-Jan","-Feb","-Mar","-Apr","-May","-Jun","-Jul","-Aug","-Sep","-Oct","-Nov","-Dec")</f>
        <v>2014-May</v>
      </c>
      <c r="F580" s="68">
        <f t="shared" ref="F580:F581" si="1148">IF(C580&gt;0,MONTH(C580),"False")</f>
        <v>5</v>
      </c>
      <c r="G580" s="197" t="s">
        <v>112</v>
      </c>
      <c r="H580" s="194" t="s">
        <v>166</v>
      </c>
      <c r="J580" s="194" t="s">
        <v>78</v>
      </c>
      <c r="K580" s="194" t="s">
        <v>78</v>
      </c>
      <c r="L580" s="194" t="s">
        <v>79</v>
      </c>
      <c r="M580" s="1" t="s">
        <v>1218</v>
      </c>
      <c r="N580" s="194" t="s">
        <v>124</v>
      </c>
      <c r="O580" s="194" t="s">
        <v>287</v>
      </c>
      <c r="R580" s="64" t="s">
        <v>488</v>
      </c>
      <c r="S580" s="197" t="s">
        <v>104</v>
      </c>
      <c r="X580" s="197" t="s">
        <v>300</v>
      </c>
      <c r="Y580" s="195" t="str">
        <f t="shared" si="1012"/>
        <v>Pass</v>
      </c>
      <c r="Z580" s="11" t="str">
        <f t="shared" si="1134"/>
        <v/>
      </c>
      <c r="AA580" s="205" t="str">
        <f t="shared" si="1135"/>
        <v/>
      </c>
      <c r="AB580" s="205" t="str">
        <f t="shared" si="1136"/>
        <v/>
      </c>
    </row>
    <row r="581" spans="2:28" x14ac:dyDescent="0.25">
      <c r="B581" s="65">
        <v>41775</v>
      </c>
      <c r="C581" s="66">
        <v>41775</v>
      </c>
      <c r="D581" s="68">
        <f t="shared" si="1146"/>
        <v>5</v>
      </c>
      <c r="E581" s="66" t="str">
        <f t="shared" si="1147"/>
        <v>2014-May</v>
      </c>
      <c r="F581" s="68">
        <f t="shared" si="1148"/>
        <v>5</v>
      </c>
      <c r="G581" s="194" t="s">
        <v>93</v>
      </c>
      <c r="H581" s="194" t="s">
        <v>166</v>
      </c>
      <c r="J581" s="194" t="s">
        <v>146</v>
      </c>
      <c r="K581" s="194" t="s">
        <v>82</v>
      </c>
      <c r="L581" s="194" t="s">
        <v>79</v>
      </c>
      <c r="M581" s="1" t="s">
        <v>1219</v>
      </c>
      <c r="N581" s="194" t="s">
        <v>124</v>
      </c>
      <c r="O581" s="194" t="s">
        <v>302</v>
      </c>
      <c r="P581" s="64" t="s">
        <v>485</v>
      </c>
      <c r="R581" s="64" t="s">
        <v>920</v>
      </c>
      <c r="S581" s="198" t="s">
        <v>104</v>
      </c>
      <c r="T581" s="67" t="s">
        <v>110</v>
      </c>
      <c r="Y581" s="195" t="str">
        <f t="shared" si="1012"/>
        <v>Pass</v>
      </c>
      <c r="Z581" s="11" t="str">
        <f t="shared" si="1134"/>
        <v/>
      </c>
      <c r="AA581" s="205" t="str">
        <f t="shared" si="1135"/>
        <v/>
      </c>
      <c r="AB581" s="205" t="str">
        <f t="shared" si="1136"/>
        <v/>
      </c>
    </row>
    <row r="582" spans="2:28" x14ac:dyDescent="0.25">
      <c r="B582" s="66">
        <v>41775</v>
      </c>
      <c r="C582" s="66">
        <v>41775</v>
      </c>
      <c r="D582" s="68">
        <f t="shared" ref="D582:D583" si="1149">IF(B582&gt;0,MONTH(B582),"False")</f>
        <v>5</v>
      </c>
      <c r="E582" s="66" t="str">
        <f t="shared" ref="E582:E583" si="1150">YEAR(B582) &amp; CHOOSE(D582,"-Jan","-Feb","-Mar","-Apr","-May","-Jun","-Jul","-Aug","-Sep","-Oct","-Nov","-Dec")</f>
        <v>2014-May</v>
      </c>
      <c r="F582" s="68">
        <f t="shared" ref="F582:F583" si="1151">IF(C582&gt;0,MONTH(C582),"False")</f>
        <v>5</v>
      </c>
      <c r="G582" s="197" t="s">
        <v>112</v>
      </c>
      <c r="H582" s="194" t="s">
        <v>316</v>
      </c>
      <c r="J582" s="194" t="s">
        <v>78</v>
      </c>
      <c r="K582" s="194" t="s">
        <v>78</v>
      </c>
      <c r="L582" s="194" t="s">
        <v>79</v>
      </c>
      <c r="M582" s="1" t="s">
        <v>1220</v>
      </c>
      <c r="N582" s="194" t="s">
        <v>124</v>
      </c>
      <c r="O582" s="194" t="s">
        <v>287</v>
      </c>
      <c r="R582" s="64" t="s">
        <v>1140</v>
      </c>
      <c r="S582" s="197" t="s">
        <v>104</v>
      </c>
      <c r="T582" s="67" t="s">
        <v>110</v>
      </c>
      <c r="X582" s="197" t="s">
        <v>300</v>
      </c>
      <c r="Y582" s="195" t="str">
        <f t="shared" si="1012"/>
        <v>Pass</v>
      </c>
      <c r="Z582" s="11" t="str">
        <f t="shared" si="1134"/>
        <v/>
      </c>
      <c r="AA582" s="205" t="str">
        <f t="shared" si="1135"/>
        <v/>
      </c>
      <c r="AB582" s="205" t="str">
        <f t="shared" si="1136"/>
        <v/>
      </c>
    </row>
    <row r="583" spans="2:28" x14ac:dyDescent="0.25">
      <c r="B583" s="65">
        <v>41775</v>
      </c>
      <c r="C583" s="66">
        <v>41775</v>
      </c>
      <c r="D583" s="68">
        <f t="shared" si="1149"/>
        <v>5</v>
      </c>
      <c r="E583" s="66" t="str">
        <f t="shared" si="1150"/>
        <v>2014-May</v>
      </c>
      <c r="F583" s="68">
        <f t="shared" si="1151"/>
        <v>5</v>
      </c>
      <c r="G583" s="202" t="s">
        <v>127</v>
      </c>
      <c r="H583" s="194" t="s">
        <v>28</v>
      </c>
      <c r="J583" s="194" t="s">
        <v>77</v>
      </c>
      <c r="K583" s="194" t="s">
        <v>82</v>
      </c>
      <c r="L583" s="194" t="s">
        <v>79</v>
      </c>
      <c r="M583" s="1" t="s">
        <v>1221</v>
      </c>
      <c r="N583" s="194" t="s">
        <v>124</v>
      </c>
      <c r="O583" s="194" t="s">
        <v>142</v>
      </c>
      <c r="P583" s="64" t="s">
        <v>334</v>
      </c>
      <c r="Q583" s="2" t="s">
        <v>88</v>
      </c>
      <c r="R583" s="64" t="s">
        <v>335</v>
      </c>
      <c r="S583" s="202" t="s">
        <v>104</v>
      </c>
      <c r="X583" s="202" t="s">
        <v>155</v>
      </c>
      <c r="Y583" s="195" t="str">
        <f t="shared" si="1012"/>
        <v>Obsolete</v>
      </c>
      <c r="Z583" s="11">
        <f t="shared" si="1134"/>
        <v>41775</v>
      </c>
      <c r="AA583" s="205" t="str">
        <f t="shared" si="1135"/>
        <v>2014 - 20</v>
      </c>
      <c r="AB583" s="205">
        <f t="shared" si="1136"/>
        <v>2014</v>
      </c>
    </row>
    <row r="584" spans="2:28" x14ac:dyDescent="0.25">
      <c r="B584" s="65">
        <v>41775</v>
      </c>
      <c r="C584" s="66">
        <v>41775</v>
      </c>
      <c r="D584" s="68">
        <f t="shared" ref="D584" si="1152">IF(B584&gt;0,MONTH(B584),"False")</f>
        <v>5</v>
      </c>
      <c r="E584" s="66" t="str">
        <f t="shared" ref="E584" si="1153">YEAR(B584) &amp; CHOOSE(D584,"-Jan","-Feb","-Mar","-Apr","-May","-Jun","-Jul","-Aug","-Sep","-Oct","-Nov","-Dec")</f>
        <v>2014-May</v>
      </c>
      <c r="F584" s="68">
        <f t="shared" ref="F584" si="1154">IF(C584&gt;0,MONTH(C584),"False")</f>
        <v>5</v>
      </c>
      <c r="G584" s="195" t="s">
        <v>105</v>
      </c>
      <c r="H584" s="194" t="s">
        <v>280</v>
      </c>
      <c r="J584" s="194" t="s">
        <v>81</v>
      </c>
      <c r="K584" s="194" t="s">
        <v>82</v>
      </c>
      <c r="L584" s="194" t="s">
        <v>79</v>
      </c>
      <c r="M584" s="1" t="s">
        <v>1222</v>
      </c>
      <c r="N584" s="194" t="s">
        <v>124</v>
      </c>
      <c r="O584" s="194" t="s">
        <v>286</v>
      </c>
      <c r="P584" s="64" t="s">
        <v>305</v>
      </c>
      <c r="R584" s="64" t="s">
        <v>1108</v>
      </c>
      <c r="S584" s="195" t="s">
        <v>104</v>
      </c>
      <c r="X584" s="195" t="s">
        <v>544</v>
      </c>
      <c r="Y584" s="195" t="str">
        <f t="shared" si="1012"/>
        <v>Pass</v>
      </c>
      <c r="Z584" s="11" t="str">
        <f t="shared" si="1134"/>
        <v/>
      </c>
      <c r="AA584" s="205" t="str">
        <f t="shared" si="1135"/>
        <v/>
      </c>
      <c r="AB584" s="205" t="str">
        <f t="shared" si="1136"/>
        <v/>
      </c>
    </row>
    <row r="585" spans="2:28" x14ac:dyDescent="0.25">
      <c r="B585" s="65">
        <v>41778</v>
      </c>
      <c r="C585" s="66">
        <v>41778</v>
      </c>
      <c r="D585" s="68">
        <f t="shared" ref="D585" si="1155">IF(B585&gt;0,MONTH(B585),"False")</f>
        <v>5</v>
      </c>
      <c r="E585" s="66" t="str">
        <f t="shared" ref="E585" si="1156">YEAR(B585) &amp; CHOOSE(D585,"-Jan","-Feb","-Mar","-Apr","-May","-Jun","-Jul","-Aug","-Sep","-Oct","-Nov","-Dec")</f>
        <v>2014-May</v>
      </c>
      <c r="F585" s="68">
        <f t="shared" ref="F585" si="1157">IF(C585&gt;0,MONTH(C585),"False")</f>
        <v>5</v>
      </c>
      <c r="G585" s="195" t="s">
        <v>93</v>
      </c>
      <c r="H585" s="195" t="s">
        <v>166</v>
      </c>
      <c r="J585" s="195" t="s">
        <v>81</v>
      </c>
      <c r="K585" s="195" t="s">
        <v>82</v>
      </c>
      <c r="L585" s="195" t="s">
        <v>79</v>
      </c>
      <c r="M585" s="1" t="s">
        <v>1223</v>
      </c>
      <c r="N585" s="195" t="s">
        <v>124</v>
      </c>
      <c r="O585" s="195" t="s">
        <v>125</v>
      </c>
      <c r="P585" s="64" t="s">
        <v>289</v>
      </c>
      <c r="Q585" s="2" t="s">
        <v>88</v>
      </c>
      <c r="R585" s="64" t="s">
        <v>290</v>
      </c>
      <c r="T585" s="67" t="s">
        <v>110</v>
      </c>
      <c r="Y585" s="195" t="str">
        <f t="shared" si="1012"/>
        <v>Obsolete</v>
      </c>
      <c r="Z585" s="11">
        <f t="shared" si="1134"/>
        <v>41778</v>
      </c>
      <c r="AA585" s="205" t="str">
        <f t="shared" si="1135"/>
        <v>2014 - 21</v>
      </c>
      <c r="AB585" s="205">
        <f t="shared" si="1136"/>
        <v>2014</v>
      </c>
    </row>
    <row r="586" spans="2:28" x14ac:dyDescent="0.25">
      <c r="B586" s="65">
        <v>41778</v>
      </c>
      <c r="C586" s="66">
        <v>41778</v>
      </c>
      <c r="D586" s="68">
        <f t="shared" ref="D586:D587" si="1158">IF(B586&gt;0,MONTH(B586),"False")</f>
        <v>5</v>
      </c>
      <c r="E586" s="66" t="str">
        <f t="shared" ref="E586:E587" si="1159">YEAR(B586) &amp; CHOOSE(D586,"-Jan","-Feb","-Mar","-Apr","-May","-Jun","-Jul","-Aug","-Sep","-Oct","-Nov","-Dec")</f>
        <v>2014-May</v>
      </c>
      <c r="F586" s="68">
        <f t="shared" ref="F586:F587" si="1160">IF(C586&gt;0,MONTH(C586),"False")</f>
        <v>5</v>
      </c>
      <c r="G586" s="197" t="s">
        <v>105</v>
      </c>
      <c r="H586" s="195" t="s">
        <v>280</v>
      </c>
      <c r="J586" s="195" t="s">
        <v>333</v>
      </c>
      <c r="K586" s="195" t="s">
        <v>82</v>
      </c>
      <c r="L586" s="195" t="s">
        <v>79</v>
      </c>
      <c r="M586" s="1" t="s">
        <v>1224</v>
      </c>
      <c r="N586" s="195" t="s">
        <v>124</v>
      </c>
      <c r="O586" s="195" t="s">
        <v>116</v>
      </c>
      <c r="P586" s="64" t="s">
        <v>305</v>
      </c>
      <c r="R586" s="64" t="s">
        <v>1108</v>
      </c>
      <c r="S586" s="197" t="s">
        <v>104</v>
      </c>
      <c r="X586" s="197" t="s">
        <v>462</v>
      </c>
      <c r="Y586" s="195" t="str">
        <f t="shared" si="1012"/>
        <v>Pass</v>
      </c>
      <c r="Z586" s="11" t="str">
        <f t="shared" si="1134"/>
        <v/>
      </c>
      <c r="AA586" s="205" t="str">
        <f t="shared" si="1135"/>
        <v/>
      </c>
      <c r="AB586" s="205" t="str">
        <f t="shared" si="1136"/>
        <v/>
      </c>
    </row>
    <row r="587" spans="2:28" x14ac:dyDescent="0.25">
      <c r="B587" s="65">
        <v>41778</v>
      </c>
      <c r="C587" s="66">
        <v>41778</v>
      </c>
      <c r="D587" s="68">
        <f t="shared" si="1158"/>
        <v>5</v>
      </c>
      <c r="E587" s="66" t="str">
        <f t="shared" si="1159"/>
        <v>2014-May</v>
      </c>
      <c r="F587" s="68">
        <f t="shared" si="1160"/>
        <v>5</v>
      </c>
      <c r="G587" s="202" t="s">
        <v>121</v>
      </c>
      <c r="H587" s="195" t="s">
        <v>166</v>
      </c>
      <c r="I587" s="195"/>
      <c r="J587" s="195" t="s">
        <v>81</v>
      </c>
      <c r="K587" s="195" t="s">
        <v>82</v>
      </c>
      <c r="L587" s="195" t="s">
        <v>79</v>
      </c>
      <c r="M587" s="195" t="s">
        <v>1225</v>
      </c>
      <c r="N587" s="195" t="s">
        <v>124</v>
      </c>
      <c r="O587" s="195" t="s">
        <v>343</v>
      </c>
      <c r="P587" s="64" t="s">
        <v>289</v>
      </c>
      <c r="R587" s="64" t="s">
        <v>290</v>
      </c>
      <c r="S587" s="202" t="s">
        <v>104</v>
      </c>
      <c r="X587" s="202" t="s">
        <v>462</v>
      </c>
      <c r="Y587" s="195" t="str">
        <f t="shared" si="1012"/>
        <v>Pass</v>
      </c>
      <c r="Z587" s="11" t="str">
        <f t="shared" si="1134"/>
        <v/>
      </c>
      <c r="AA587" s="205" t="str">
        <f t="shared" si="1135"/>
        <v/>
      </c>
      <c r="AB587" s="205" t="str">
        <f t="shared" si="1136"/>
        <v/>
      </c>
    </row>
    <row r="588" spans="2:28" x14ac:dyDescent="0.25">
      <c r="B588" s="65">
        <v>41779</v>
      </c>
      <c r="C588" s="66">
        <v>41779</v>
      </c>
      <c r="D588" s="68">
        <f t="shared" ref="D588" si="1161">IF(B588&gt;0,MONTH(B588),"False")</f>
        <v>5</v>
      </c>
      <c r="E588" s="66" t="str">
        <f t="shared" ref="E588" si="1162">YEAR(B588) &amp; CHOOSE(D588,"-Jan","-Feb","-Mar","-Apr","-May","-Jun","-Jul","-Aug","-Sep","-Oct","-Nov","-Dec")</f>
        <v>2014-May</v>
      </c>
      <c r="F588" s="68">
        <f t="shared" ref="F588" si="1163">IF(C588&gt;0,MONTH(C588),"False")</f>
        <v>5</v>
      </c>
      <c r="G588" s="196" t="s">
        <v>93</v>
      </c>
      <c r="H588" s="196" t="s">
        <v>136</v>
      </c>
      <c r="J588" s="196" t="s">
        <v>77</v>
      </c>
      <c r="K588" s="196" t="s">
        <v>82</v>
      </c>
      <c r="L588" s="196" t="s">
        <v>79</v>
      </c>
      <c r="M588" s="196" t="s">
        <v>1226</v>
      </c>
      <c r="N588" s="196" t="s">
        <v>124</v>
      </c>
      <c r="O588" s="196" t="s">
        <v>114</v>
      </c>
      <c r="P588" s="64" t="s">
        <v>750</v>
      </c>
      <c r="Q588" s="2" t="s">
        <v>88</v>
      </c>
      <c r="R588" s="64" t="s">
        <v>1146</v>
      </c>
      <c r="Y588" s="195" t="str">
        <f t="shared" si="1012"/>
        <v>Obsolete</v>
      </c>
      <c r="Z588" s="11">
        <f t="shared" si="1134"/>
        <v>41779</v>
      </c>
      <c r="AA588" s="205" t="str">
        <f t="shared" si="1135"/>
        <v>2014 - 21</v>
      </c>
      <c r="AB588" s="205">
        <f t="shared" si="1136"/>
        <v>2014</v>
      </c>
    </row>
    <row r="589" spans="2:28" x14ac:dyDescent="0.25">
      <c r="B589" s="65">
        <v>41779</v>
      </c>
      <c r="C589" s="66">
        <v>41779</v>
      </c>
      <c r="D589" s="68">
        <f t="shared" ref="D589" si="1164">IF(B589&gt;0,MONTH(B589),"False")</f>
        <v>5</v>
      </c>
      <c r="E589" s="66" t="str">
        <f t="shared" ref="E589" si="1165">YEAR(B589) &amp; CHOOSE(D589,"-Jan","-Feb","-Mar","-Apr","-May","-Jun","-Jul","-Aug","-Sep","-Oct","-Nov","-Dec")</f>
        <v>2014-May</v>
      </c>
      <c r="F589" s="68">
        <f t="shared" ref="F589" si="1166">IF(C589&gt;0,MONTH(C589),"False")</f>
        <v>5</v>
      </c>
      <c r="G589" s="196" t="s">
        <v>93</v>
      </c>
      <c r="H589" s="196" t="s">
        <v>136</v>
      </c>
      <c r="I589" s="196"/>
      <c r="J589" s="196" t="s">
        <v>77</v>
      </c>
      <c r="K589" s="196" t="s">
        <v>82</v>
      </c>
      <c r="L589" s="196" t="s">
        <v>79</v>
      </c>
      <c r="M589" s="196" t="s">
        <v>1227</v>
      </c>
      <c r="N589" s="196" t="s">
        <v>124</v>
      </c>
      <c r="O589" s="196" t="s">
        <v>265</v>
      </c>
      <c r="P589" s="64" t="s">
        <v>750</v>
      </c>
      <c r="R589" s="64" t="s">
        <v>1146</v>
      </c>
      <c r="S589" s="235" t="s">
        <v>104</v>
      </c>
      <c r="Y589" s="195" t="str">
        <f t="shared" ref="Y589:Y652" si="1167">IF(Q589&gt;0,"Obsolete",IF(S589&gt;0,S589,"Unknown"))</f>
        <v>Pass</v>
      </c>
      <c r="Z589" s="11" t="str">
        <f t="shared" si="1134"/>
        <v/>
      </c>
      <c r="AA589" s="205" t="str">
        <f t="shared" si="1135"/>
        <v/>
      </c>
      <c r="AB589" s="205" t="str">
        <f t="shared" si="1136"/>
        <v/>
      </c>
    </row>
    <row r="590" spans="2:28" x14ac:dyDescent="0.25">
      <c r="B590" s="65">
        <v>41779</v>
      </c>
      <c r="C590" s="66">
        <v>41779</v>
      </c>
      <c r="D590" s="68">
        <f t="shared" ref="D590" si="1168">IF(B590&gt;0,MONTH(B590),"False")</f>
        <v>5</v>
      </c>
      <c r="E590" s="66" t="str">
        <f t="shared" ref="E590" si="1169">YEAR(B590) &amp; CHOOSE(D590,"-Jan","-Feb","-Mar","-Apr","-May","-Jun","-Jul","-Aug","-Sep","-Oct","-Nov","-Dec")</f>
        <v>2014-May</v>
      </c>
      <c r="F590" s="68">
        <f t="shared" ref="F590" si="1170">IF(C590&gt;0,MONTH(C590),"False")</f>
        <v>5</v>
      </c>
      <c r="G590" s="196" t="s">
        <v>105</v>
      </c>
      <c r="H590" s="196" t="s">
        <v>280</v>
      </c>
      <c r="J590" s="196" t="s">
        <v>81</v>
      </c>
      <c r="K590" s="196" t="s">
        <v>82</v>
      </c>
      <c r="L590" s="196" t="s">
        <v>79</v>
      </c>
      <c r="M590" s="1" t="s">
        <v>1228</v>
      </c>
      <c r="N590" s="196" t="s">
        <v>124</v>
      </c>
      <c r="O590" s="196" t="s">
        <v>529</v>
      </c>
      <c r="P590" s="64" t="s">
        <v>305</v>
      </c>
      <c r="R590" s="64" t="s">
        <v>1108</v>
      </c>
      <c r="S590" s="196" t="s">
        <v>104</v>
      </c>
      <c r="X590" s="196" t="s">
        <v>161</v>
      </c>
      <c r="Y590" s="195" t="str">
        <f t="shared" si="1167"/>
        <v>Pass</v>
      </c>
      <c r="Z590" s="11" t="str">
        <f t="shared" si="1134"/>
        <v/>
      </c>
      <c r="AA590" s="205" t="str">
        <f t="shared" si="1135"/>
        <v/>
      </c>
      <c r="AB590" s="205" t="str">
        <f t="shared" si="1136"/>
        <v/>
      </c>
    </row>
    <row r="591" spans="2:28" x14ac:dyDescent="0.25">
      <c r="B591" s="65">
        <v>41779</v>
      </c>
      <c r="C591" s="66">
        <v>41779</v>
      </c>
      <c r="D591" s="68">
        <f t="shared" ref="D591" si="1171">IF(B591&gt;0,MONTH(B591),"False")</f>
        <v>5</v>
      </c>
      <c r="E591" s="66" t="str">
        <f t="shared" ref="E591" si="1172">YEAR(B591) &amp; CHOOSE(D591,"-Jan","-Feb","-Mar","-Apr","-May","-Jun","-Jul","-Aug","-Sep","-Oct","-Nov","-Dec")</f>
        <v>2014-May</v>
      </c>
      <c r="F591" s="68">
        <f t="shared" ref="F591" si="1173">IF(C591&gt;0,MONTH(C591),"False")</f>
        <v>5</v>
      </c>
      <c r="G591" s="196" t="s">
        <v>93</v>
      </c>
      <c r="H591" s="196" t="s">
        <v>348</v>
      </c>
      <c r="J591" s="196" t="s">
        <v>77</v>
      </c>
      <c r="K591" s="196" t="s">
        <v>82</v>
      </c>
      <c r="L591" s="196" t="s">
        <v>79</v>
      </c>
      <c r="M591" s="1" t="s">
        <v>1229</v>
      </c>
      <c r="N591" s="196" t="s">
        <v>124</v>
      </c>
      <c r="O591" s="196" t="s">
        <v>285</v>
      </c>
      <c r="P591" s="64" t="s">
        <v>352</v>
      </c>
      <c r="R591" s="64" t="s">
        <v>1230</v>
      </c>
      <c r="S591" s="235" t="s">
        <v>104</v>
      </c>
      <c r="Y591" s="195" t="str">
        <f t="shared" si="1167"/>
        <v>Pass</v>
      </c>
      <c r="Z591" s="11" t="str">
        <f t="shared" si="1134"/>
        <v/>
      </c>
      <c r="AA591" s="205" t="str">
        <f t="shared" si="1135"/>
        <v/>
      </c>
      <c r="AB591" s="205" t="str">
        <f t="shared" si="1136"/>
        <v/>
      </c>
    </row>
    <row r="592" spans="2:28" x14ac:dyDescent="0.25">
      <c r="B592" s="65">
        <v>41779</v>
      </c>
      <c r="C592" s="66">
        <v>41779</v>
      </c>
      <c r="D592" s="68">
        <f t="shared" ref="D592:D594" si="1174">IF(B592&gt;0,MONTH(B592),"False")</f>
        <v>5</v>
      </c>
      <c r="E592" s="66" t="str">
        <f t="shared" ref="E592:E594" si="1175">YEAR(B592) &amp; CHOOSE(D592,"-Jan","-Feb","-Mar","-Apr","-May","-Jun","-Jul","-Aug","-Sep","-Oct","-Nov","-Dec")</f>
        <v>2014-May</v>
      </c>
      <c r="F592" s="68">
        <f t="shared" ref="F592:F594" si="1176">IF(C592&gt;0,MONTH(C592),"False")</f>
        <v>5</v>
      </c>
      <c r="G592" s="196" t="s">
        <v>93</v>
      </c>
      <c r="H592" s="196" t="s">
        <v>348</v>
      </c>
      <c r="I592" s="196"/>
      <c r="J592" s="196" t="s">
        <v>77</v>
      </c>
      <c r="K592" s="196" t="s">
        <v>82</v>
      </c>
      <c r="L592" s="196" t="s">
        <v>79</v>
      </c>
      <c r="M592" s="196" t="s">
        <v>1231</v>
      </c>
      <c r="N592" s="196" t="s">
        <v>124</v>
      </c>
      <c r="O592" s="196" t="s">
        <v>125</v>
      </c>
      <c r="P592" s="64" t="s">
        <v>352</v>
      </c>
      <c r="R592" s="64" t="s">
        <v>1230</v>
      </c>
      <c r="Y592" s="195" t="str">
        <f t="shared" si="1167"/>
        <v>Unknown</v>
      </c>
      <c r="Z592" s="11" t="str">
        <f t="shared" si="1134"/>
        <v/>
      </c>
      <c r="AA592" s="205" t="str">
        <f t="shared" si="1135"/>
        <v/>
      </c>
      <c r="AB592" s="205" t="str">
        <f t="shared" si="1136"/>
        <v/>
      </c>
    </row>
    <row r="593" spans="2:28" x14ac:dyDescent="0.25">
      <c r="B593" s="65">
        <v>41779</v>
      </c>
      <c r="C593" s="66">
        <v>41779</v>
      </c>
      <c r="D593" s="68">
        <f t="shared" si="1174"/>
        <v>5</v>
      </c>
      <c r="E593" s="66" t="str">
        <f t="shared" si="1175"/>
        <v>2014-May</v>
      </c>
      <c r="F593" s="68">
        <f t="shared" si="1176"/>
        <v>5</v>
      </c>
      <c r="G593" s="196" t="s">
        <v>93</v>
      </c>
      <c r="H593" s="196" t="s">
        <v>136</v>
      </c>
      <c r="I593" s="196"/>
      <c r="J593" s="196" t="s">
        <v>77</v>
      </c>
      <c r="K593" s="196" t="s">
        <v>82</v>
      </c>
      <c r="L593" s="196" t="s">
        <v>79</v>
      </c>
      <c r="M593" s="196" t="s">
        <v>1232</v>
      </c>
      <c r="N593" s="196" t="s">
        <v>124</v>
      </c>
      <c r="O593" s="196" t="s">
        <v>114</v>
      </c>
      <c r="P593" s="64" t="s">
        <v>750</v>
      </c>
      <c r="Q593" s="2" t="s">
        <v>88</v>
      </c>
      <c r="R593" s="64" t="s">
        <v>1146</v>
      </c>
      <c r="Y593" s="195" t="str">
        <f t="shared" si="1167"/>
        <v>Obsolete</v>
      </c>
      <c r="Z593" s="11">
        <f t="shared" si="1134"/>
        <v>41779</v>
      </c>
      <c r="AA593" s="205" t="str">
        <f t="shared" si="1135"/>
        <v>2014 - 21</v>
      </c>
      <c r="AB593" s="205">
        <f t="shared" si="1136"/>
        <v>2014</v>
      </c>
    </row>
    <row r="594" spans="2:28" x14ac:dyDescent="0.25">
      <c r="B594" s="65">
        <v>41779</v>
      </c>
      <c r="C594" s="66">
        <v>41779</v>
      </c>
      <c r="D594" s="68">
        <f t="shared" si="1174"/>
        <v>5</v>
      </c>
      <c r="E594" s="66" t="str">
        <f t="shared" si="1175"/>
        <v>2014-May</v>
      </c>
      <c r="F594" s="68">
        <f t="shared" si="1176"/>
        <v>5</v>
      </c>
      <c r="G594" s="196" t="s">
        <v>105</v>
      </c>
      <c r="H594" s="196" t="s">
        <v>280</v>
      </c>
      <c r="I594" s="196"/>
      <c r="J594" s="196" t="s">
        <v>81</v>
      </c>
      <c r="K594" s="196" t="s">
        <v>82</v>
      </c>
      <c r="L594" s="196" t="s">
        <v>79</v>
      </c>
      <c r="M594" s="196" t="s">
        <v>1233</v>
      </c>
      <c r="N594" s="196" t="s">
        <v>124</v>
      </c>
      <c r="O594" s="196" t="s">
        <v>529</v>
      </c>
      <c r="P594" s="64" t="s">
        <v>305</v>
      </c>
      <c r="R594" s="64" t="s">
        <v>1108</v>
      </c>
      <c r="S594" s="196" t="s">
        <v>104</v>
      </c>
      <c r="X594" s="196" t="s">
        <v>161</v>
      </c>
      <c r="Y594" s="195" t="str">
        <f t="shared" si="1167"/>
        <v>Pass</v>
      </c>
      <c r="Z594" s="11" t="str">
        <f t="shared" si="1134"/>
        <v/>
      </c>
      <c r="AA594" s="205" t="str">
        <f t="shared" si="1135"/>
        <v/>
      </c>
      <c r="AB594" s="205" t="str">
        <f t="shared" si="1136"/>
        <v/>
      </c>
    </row>
    <row r="595" spans="2:28" x14ac:dyDescent="0.25">
      <c r="B595" s="65">
        <v>41780</v>
      </c>
      <c r="C595" s="66">
        <v>41780</v>
      </c>
      <c r="D595" s="68">
        <f t="shared" ref="D595:D596" si="1177">IF(B595&gt;0,MONTH(B595),"False")</f>
        <v>5</v>
      </c>
      <c r="E595" s="66" t="str">
        <f t="shared" ref="E595:E596" si="1178">YEAR(B595) &amp; CHOOSE(D595,"-Jan","-Feb","-Mar","-Apr","-May","-Jun","-Jul","-Aug","-Sep","-Oct","-Nov","-Dec")</f>
        <v>2014-May</v>
      </c>
      <c r="F595" s="68">
        <f t="shared" ref="F595:F596" si="1179">IF(C595&gt;0,MONTH(C595),"False")</f>
        <v>5</v>
      </c>
      <c r="G595" s="197" t="s">
        <v>93</v>
      </c>
      <c r="H595" s="197" t="s">
        <v>28</v>
      </c>
      <c r="J595" s="197" t="s">
        <v>77</v>
      </c>
      <c r="K595" s="197" t="s">
        <v>82</v>
      </c>
      <c r="L595" s="197" t="s">
        <v>79</v>
      </c>
      <c r="M595" s="1" t="s">
        <v>1234</v>
      </c>
      <c r="N595" s="197" t="s">
        <v>124</v>
      </c>
      <c r="O595" s="197" t="s">
        <v>142</v>
      </c>
      <c r="P595" s="64" t="s">
        <v>334</v>
      </c>
      <c r="R595" s="64" t="s">
        <v>335</v>
      </c>
      <c r="Y595" s="195" t="str">
        <f t="shared" si="1167"/>
        <v>Unknown</v>
      </c>
      <c r="Z595" s="11" t="str">
        <f t="shared" si="1134"/>
        <v/>
      </c>
      <c r="AA595" s="205" t="str">
        <f t="shared" si="1135"/>
        <v/>
      </c>
      <c r="AB595" s="205" t="str">
        <f t="shared" si="1136"/>
        <v/>
      </c>
    </row>
    <row r="596" spans="2:28" x14ac:dyDescent="0.25">
      <c r="B596" s="65">
        <v>41780</v>
      </c>
      <c r="C596" s="66">
        <v>41780</v>
      </c>
      <c r="D596" s="68">
        <f t="shared" si="1177"/>
        <v>5</v>
      </c>
      <c r="E596" s="66" t="str">
        <f t="shared" si="1178"/>
        <v>2014-May</v>
      </c>
      <c r="F596" s="68">
        <f t="shared" si="1179"/>
        <v>5</v>
      </c>
      <c r="G596" s="197" t="s">
        <v>121</v>
      </c>
      <c r="H596" s="197" t="s">
        <v>103</v>
      </c>
      <c r="I596" s="197"/>
      <c r="J596" s="197" t="s">
        <v>77</v>
      </c>
      <c r="K596" s="197" t="s">
        <v>82</v>
      </c>
      <c r="L596" s="197" t="s">
        <v>79</v>
      </c>
      <c r="M596" s="197" t="s">
        <v>1235</v>
      </c>
      <c r="N596" s="197" t="s">
        <v>124</v>
      </c>
      <c r="O596" s="197" t="s">
        <v>265</v>
      </c>
      <c r="P596" s="64" t="s">
        <v>351</v>
      </c>
      <c r="R596" s="64" t="s">
        <v>361</v>
      </c>
      <c r="S596" s="197" t="s">
        <v>104</v>
      </c>
      <c r="X596" s="197" t="s">
        <v>158</v>
      </c>
      <c r="Y596" s="195" t="str">
        <f t="shared" si="1167"/>
        <v>Pass</v>
      </c>
      <c r="Z596" s="11" t="str">
        <f t="shared" si="1134"/>
        <v/>
      </c>
      <c r="AA596" s="205" t="str">
        <f t="shared" si="1135"/>
        <v/>
      </c>
      <c r="AB596" s="205" t="str">
        <f t="shared" si="1136"/>
        <v/>
      </c>
    </row>
    <row r="597" spans="2:28" x14ac:dyDescent="0.25">
      <c r="B597" s="66">
        <v>41780</v>
      </c>
      <c r="C597" s="66">
        <v>41780</v>
      </c>
      <c r="D597" s="68">
        <f t="shared" ref="D597:D598" si="1180">IF(B597&gt;0,MONTH(B597),"False")</f>
        <v>5</v>
      </c>
      <c r="E597" s="66" t="str">
        <f t="shared" ref="E597:E598" si="1181">YEAR(B597) &amp; CHOOSE(D597,"-Jan","-Feb","-Mar","-Apr","-May","-Jun","-Jul","-Aug","-Sep","-Oct","-Nov","-Dec")</f>
        <v>2014-May</v>
      </c>
      <c r="F597" s="68">
        <f t="shared" ref="F597:F598" si="1182">IF(C597&gt;0,MONTH(C597),"False")</f>
        <v>5</v>
      </c>
      <c r="G597" s="197" t="s">
        <v>87</v>
      </c>
      <c r="H597" s="197" t="s">
        <v>280</v>
      </c>
      <c r="J597" s="197" t="s">
        <v>119</v>
      </c>
      <c r="K597" s="197" t="s">
        <v>119</v>
      </c>
      <c r="L597" s="197" t="s">
        <v>79</v>
      </c>
      <c r="M597" s="1" t="s">
        <v>1236</v>
      </c>
      <c r="N597" s="197" t="s">
        <v>124</v>
      </c>
      <c r="O597" s="197" t="s">
        <v>304</v>
      </c>
      <c r="Q597" s="2" t="s">
        <v>88</v>
      </c>
      <c r="R597" s="64" t="s">
        <v>362</v>
      </c>
      <c r="T597" s="67" t="s">
        <v>110</v>
      </c>
      <c r="Y597" s="195" t="str">
        <f t="shared" si="1167"/>
        <v>Obsolete</v>
      </c>
      <c r="Z597" s="11">
        <f t="shared" si="1134"/>
        <v>41780</v>
      </c>
      <c r="AA597" s="205" t="str">
        <f t="shared" si="1135"/>
        <v>2014 - 21</v>
      </c>
      <c r="AB597" s="205">
        <f t="shared" si="1136"/>
        <v>2014</v>
      </c>
    </row>
    <row r="598" spans="2:28" x14ac:dyDescent="0.25">
      <c r="B598" s="65">
        <v>41780</v>
      </c>
      <c r="C598" s="66">
        <v>41780</v>
      </c>
      <c r="D598" s="68">
        <f t="shared" si="1180"/>
        <v>5</v>
      </c>
      <c r="E598" s="66" t="str">
        <f t="shared" si="1181"/>
        <v>2014-May</v>
      </c>
      <c r="F598" s="68">
        <f t="shared" si="1182"/>
        <v>5</v>
      </c>
      <c r="G598" s="197" t="s">
        <v>93</v>
      </c>
      <c r="H598" s="197" t="s">
        <v>136</v>
      </c>
      <c r="J598" s="197" t="s">
        <v>77</v>
      </c>
      <c r="K598" s="197" t="s">
        <v>82</v>
      </c>
      <c r="L598" s="197" t="s">
        <v>79</v>
      </c>
      <c r="M598" s="1" t="s">
        <v>1237</v>
      </c>
      <c r="N598" s="197" t="s">
        <v>124</v>
      </c>
      <c r="O598" s="197" t="s">
        <v>507</v>
      </c>
      <c r="P598" s="64" t="s">
        <v>750</v>
      </c>
      <c r="R598" s="64" t="s">
        <v>1146</v>
      </c>
      <c r="S598" s="235" t="s">
        <v>104</v>
      </c>
      <c r="T598" s="67" t="s">
        <v>110</v>
      </c>
      <c r="Y598" s="195" t="str">
        <f t="shared" si="1167"/>
        <v>Pass</v>
      </c>
      <c r="Z598" s="11" t="str">
        <f t="shared" si="1134"/>
        <v/>
      </c>
      <c r="AA598" s="205" t="str">
        <f t="shared" si="1135"/>
        <v/>
      </c>
      <c r="AB598" s="205" t="str">
        <f t="shared" si="1136"/>
        <v/>
      </c>
    </row>
    <row r="599" spans="2:28" x14ac:dyDescent="0.25">
      <c r="B599" s="65">
        <v>41781</v>
      </c>
      <c r="C599" s="66">
        <v>41781</v>
      </c>
      <c r="D599" s="68">
        <f t="shared" ref="D599" si="1183">IF(B599&gt;0,MONTH(B599),"False")</f>
        <v>5</v>
      </c>
      <c r="E599" s="66" t="str">
        <f t="shared" ref="E599" si="1184">YEAR(B599) &amp; CHOOSE(D599,"-Jan","-Feb","-Mar","-Apr","-May","-Jun","-Jul","-Aug","-Sep","-Oct","-Nov","-Dec")</f>
        <v>2014-May</v>
      </c>
      <c r="F599" s="68">
        <f t="shared" ref="F599" si="1185">IF(C599&gt;0,MONTH(C599),"False")</f>
        <v>5</v>
      </c>
      <c r="G599" s="203" t="s">
        <v>121</v>
      </c>
      <c r="H599" s="198" t="s">
        <v>166</v>
      </c>
      <c r="J599" s="198" t="s">
        <v>120</v>
      </c>
      <c r="K599" s="198" t="s">
        <v>82</v>
      </c>
      <c r="L599" s="198" t="s">
        <v>79</v>
      </c>
      <c r="M599" s="1" t="s">
        <v>1238</v>
      </c>
      <c r="N599" s="198" t="s">
        <v>124</v>
      </c>
      <c r="O599" s="198" t="s">
        <v>147</v>
      </c>
      <c r="P599" s="64" t="s">
        <v>557</v>
      </c>
      <c r="R599" s="64" t="s">
        <v>594</v>
      </c>
      <c r="S599" s="203" t="s">
        <v>104</v>
      </c>
      <c r="T599" s="67" t="s">
        <v>110</v>
      </c>
      <c r="X599" s="203" t="s">
        <v>158</v>
      </c>
      <c r="Y599" s="195" t="str">
        <f t="shared" si="1167"/>
        <v>Pass</v>
      </c>
      <c r="Z599" s="11" t="str">
        <f t="shared" si="1134"/>
        <v/>
      </c>
      <c r="AA599" s="205" t="str">
        <f t="shared" si="1135"/>
        <v/>
      </c>
      <c r="AB599" s="205" t="str">
        <f t="shared" si="1136"/>
        <v/>
      </c>
    </row>
    <row r="600" spans="2:28" x14ac:dyDescent="0.25">
      <c r="B600" s="65">
        <v>41781</v>
      </c>
      <c r="C600" s="66">
        <v>41781</v>
      </c>
      <c r="D600" s="68">
        <f t="shared" ref="D600" si="1186">IF(B600&gt;0,MONTH(B600),"False")</f>
        <v>5</v>
      </c>
      <c r="E600" s="66" t="str">
        <f t="shared" ref="E600" si="1187">YEAR(B600) &amp; CHOOSE(D600,"-Jan","-Feb","-Mar","-Apr","-May","-Jun","-Jul","-Aug","-Sep","-Oct","-Nov","-Dec")</f>
        <v>2014-May</v>
      </c>
      <c r="F600" s="68">
        <f t="shared" ref="F600" si="1188">IF(C600&gt;0,MONTH(C600),"False")</f>
        <v>5</v>
      </c>
      <c r="G600" s="198" t="s">
        <v>93</v>
      </c>
      <c r="H600" s="198" t="s">
        <v>330</v>
      </c>
      <c r="J600" s="198" t="s">
        <v>81</v>
      </c>
      <c r="K600" s="198" t="s">
        <v>82</v>
      </c>
      <c r="L600" s="198" t="s">
        <v>79</v>
      </c>
      <c r="M600" s="1" t="s">
        <v>1239</v>
      </c>
      <c r="N600" s="198" t="s">
        <v>124</v>
      </c>
      <c r="O600" s="198" t="s">
        <v>91</v>
      </c>
      <c r="P600" s="64" t="s">
        <v>337</v>
      </c>
      <c r="R600" s="64" t="s">
        <v>338</v>
      </c>
      <c r="S600" s="223" t="s">
        <v>104</v>
      </c>
      <c r="Y600" s="195" t="str">
        <f t="shared" si="1167"/>
        <v>Pass</v>
      </c>
      <c r="Z600" s="11" t="str">
        <f t="shared" si="1134"/>
        <v/>
      </c>
      <c r="AA600" s="205" t="str">
        <f t="shared" si="1135"/>
        <v/>
      </c>
      <c r="AB600" s="205" t="str">
        <f t="shared" si="1136"/>
        <v/>
      </c>
    </row>
    <row r="601" spans="2:28" x14ac:dyDescent="0.25">
      <c r="B601" s="65">
        <v>41781</v>
      </c>
      <c r="C601" s="66">
        <v>41781</v>
      </c>
      <c r="D601" s="68">
        <f t="shared" ref="D601:D602" si="1189">IF(B601&gt;0,MONTH(B601),"False")</f>
        <v>5</v>
      </c>
      <c r="E601" s="66" t="str">
        <f t="shared" ref="E601:E602" si="1190">YEAR(B601) &amp; CHOOSE(D601,"-Jan","-Feb","-Mar","-Apr","-May","-Jun","-Jul","-Aug","-Sep","-Oct","-Nov","-Dec")</f>
        <v>2014-May</v>
      </c>
      <c r="F601" s="68">
        <f t="shared" ref="F601:F602" si="1191">IF(C601&gt;0,MONTH(C601),"False")</f>
        <v>5</v>
      </c>
      <c r="G601" s="198" t="s">
        <v>93</v>
      </c>
      <c r="H601" s="198" t="s">
        <v>136</v>
      </c>
      <c r="J601" s="198" t="s">
        <v>77</v>
      </c>
      <c r="K601" s="198" t="s">
        <v>82</v>
      </c>
      <c r="L601" s="198" t="s">
        <v>79</v>
      </c>
      <c r="M601" s="1" t="s">
        <v>1240</v>
      </c>
      <c r="N601" s="198" t="s">
        <v>124</v>
      </c>
      <c r="O601" s="198" t="s">
        <v>265</v>
      </c>
      <c r="P601" s="64" t="s">
        <v>750</v>
      </c>
      <c r="R601" s="64" t="s">
        <v>1146</v>
      </c>
      <c r="S601" s="235" t="s">
        <v>104</v>
      </c>
      <c r="Y601" s="195" t="str">
        <f t="shared" si="1167"/>
        <v>Pass</v>
      </c>
      <c r="Z601" s="11" t="str">
        <f t="shared" si="1134"/>
        <v/>
      </c>
      <c r="AA601" s="205" t="str">
        <f t="shared" si="1135"/>
        <v/>
      </c>
      <c r="AB601" s="205" t="str">
        <f t="shared" si="1136"/>
        <v/>
      </c>
    </row>
    <row r="602" spans="2:28" x14ac:dyDescent="0.25">
      <c r="B602" s="65">
        <v>41781</v>
      </c>
      <c r="C602" s="66">
        <v>41781</v>
      </c>
      <c r="D602" s="68">
        <f t="shared" si="1189"/>
        <v>5</v>
      </c>
      <c r="E602" s="66" t="str">
        <f t="shared" si="1190"/>
        <v>2014-May</v>
      </c>
      <c r="F602" s="68">
        <f t="shared" si="1191"/>
        <v>5</v>
      </c>
      <c r="G602" s="198" t="s">
        <v>93</v>
      </c>
      <c r="H602" s="198" t="s">
        <v>136</v>
      </c>
      <c r="I602" s="198"/>
      <c r="J602" s="198" t="s">
        <v>77</v>
      </c>
      <c r="K602" s="198" t="s">
        <v>82</v>
      </c>
      <c r="L602" s="198" t="s">
        <v>79</v>
      </c>
      <c r="M602" s="198" t="s">
        <v>1241</v>
      </c>
      <c r="N602" s="198" t="s">
        <v>124</v>
      </c>
      <c r="O602" s="198" t="s">
        <v>114</v>
      </c>
      <c r="P602" s="64" t="s">
        <v>750</v>
      </c>
      <c r="Q602" s="2" t="s">
        <v>88</v>
      </c>
      <c r="R602" s="64" t="s">
        <v>1146</v>
      </c>
      <c r="Y602" s="195" t="str">
        <f t="shared" si="1167"/>
        <v>Obsolete</v>
      </c>
      <c r="Z602" s="11">
        <f t="shared" ref="Z602:Z629" si="1192">IF(Q602="Obsolete-LQA",C602,IF(Q602="Obsolete-IT",B602,""))</f>
        <v>41781</v>
      </c>
      <c r="AA602" s="205" t="str">
        <f t="shared" ref="AA602:AA657" si="1193">IFERROR(YEAR(Z602)&amp;" - "&amp; IF(LEN( WEEKNUM(Z602))=1,"0" &amp; WEEKNUM(Z602),WEEKNUM(Z602)),"")</f>
        <v>2014 - 21</v>
      </c>
      <c r="AB602" s="205">
        <f t="shared" ref="AB602:AB657" si="1194">IFERROR(YEAR(Z602),"")</f>
        <v>2014</v>
      </c>
    </row>
    <row r="603" spans="2:28" x14ac:dyDescent="0.25">
      <c r="B603" s="65">
        <v>41781</v>
      </c>
      <c r="C603" s="66">
        <v>41781</v>
      </c>
      <c r="D603" s="68">
        <f t="shared" ref="D603" si="1195">IF(B603&gt;0,MONTH(B603),"False")</f>
        <v>5</v>
      </c>
      <c r="E603" s="66" t="str">
        <f t="shared" ref="E603" si="1196">YEAR(B603) &amp; CHOOSE(D603,"-Jan","-Feb","-Mar","-Apr","-May","-Jun","-Jul","-Aug","-Sep","-Oct","-Nov","-Dec")</f>
        <v>2014-May</v>
      </c>
      <c r="F603" s="68">
        <f t="shared" ref="F603" si="1197">IF(C603&gt;0,MONTH(C603),"False")</f>
        <v>5</v>
      </c>
      <c r="G603" s="202" t="s">
        <v>121</v>
      </c>
      <c r="H603" s="198" t="s">
        <v>166</v>
      </c>
      <c r="J603" s="198" t="s">
        <v>146</v>
      </c>
      <c r="K603" s="198" t="s">
        <v>82</v>
      </c>
      <c r="L603" s="198" t="s">
        <v>79</v>
      </c>
      <c r="M603" s="1" t="s">
        <v>1242</v>
      </c>
      <c r="N603" s="198" t="s">
        <v>124</v>
      </c>
      <c r="O603" s="198" t="s">
        <v>302</v>
      </c>
      <c r="P603" s="64" t="s">
        <v>485</v>
      </c>
      <c r="R603" s="64" t="s">
        <v>920</v>
      </c>
      <c r="S603" s="202" t="s">
        <v>104</v>
      </c>
      <c r="T603" s="67" t="s">
        <v>110</v>
      </c>
      <c r="X603" s="202" t="s">
        <v>754</v>
      </c>
      <c r="Y603" s="195" t="str">
        <f t="shared" si="1167"/>
        <v>Pass</v>
      </c>
      <c r="Z603" s="11" t="str">
        <f t="shared" si="1192"/>
        <v/>
      </c>
      <c r="AA603" s="205" t="str">
        <f t="shared" si="1193"/>
        <v/>
      </c>
      <c r="AB603" s="205" t="str">
        <f t="shared" si="1194"/>
        <v/>
      </c>
    </row>
    <row r="604" spans="2:28" x14ac:dyDescent="0.25">
      <c r="B604" s="65">
        <v>41781</v>
      </c>
      <c r="C604" s="66">
        <v>41781</v>
      </c>
      <c r="D604" s="68">
        <f t="shared" ref="D604" si="1198">IF(B604&gt;0,MONTH(B604),"False")</f>
        <v>5</v>
      </c>
      <c r="E604" s="66" t="str">
        <f t="shared" ref="E604" si="1199">YEAR(B604) &amp; CHOOSE(D604,"-Jan","-Feb","-Mar","-Apr","-May","-Jun","-Jul","-Aug","-Sep","-Oct","-Nov","-Dec")</f>
        <v>2014-May</v>
      </c>
      <c r="F604" s="68">
        <f t="shared" ref="F604" si="1200">IF(C604&gt;0,MONTH(C604),"False")</f>
        <v>5</v>
      </c>
      <c r="G604" s="198" t="s">
        <v>75</v>
      </c>
      <c r="H604" s="198" t="s">
        <v>166</v>
      </c>
      <c r="J604" s="198" t="s">
        <v>77</v>
      </c>
      <c r="K604" s="198" t="s">
        <v>82</v>
      </c>
      <c r="L604" s="198" t="s">
        <v>79</v>
      </c>
      <c r="M604" s="1" t="s">
        <v>1243</v>
      </c>
      <c r="N604" s="198" t="s">
        <v>124</v>
      </c>
      <c r="O604" s="198" t="s">
        <v>353</v>
      </c>
      <c r="P604" s="64" t="s">
        <v>319</v>
      </c>
      <c r="R604" s="64" t="s">
        <v>320</v>
      </c>
      <c r="Y604" s="195" t="str">
        <f t="shared" si="1167"/>
        <v>Unknown</v>
      </c>
      <c r="Z604" s="11" t="str">
        <f t="shared" si="1192"/>
        <v/>
      </c>
      <c r="AA604" s="205" t="str">
        <f t="shared" si="1193"/>
        <v/>
      </c>
      <c r="AB604" s="205" t="str">
        <f t="shared" si="1194"/>
        <v/>
      </c>
    </row>
    <row r="605" spans="2:28" x14ac:dyDescent="0.25">
      <c r="B605" s="66">
        <v>41781</v>
      </c>
      <c r="C605" s="66">
        <v>41781</v>
      </c>
      <c r="D605" s="68">
        <f t="shared" ref="D605:D606" si="1201">IF(B605&gt;0,MONTH(B605),"False")</f>
        <v>5</v>
      </c>
      <c r="E605" s="66" t="str">
        <f t="shared" ref="E605:E606" si="1202">YEAR(B605) &amp; CHOOSE(D605,"-Jan","-Feb","-Mar","-Apr","-May","-Jun","-Jul","-Aug","-Sep","-Oct","-Nov","-Dec")</f>
        <v>2014-May</v>
      </c>
      <c r="F605" s="68">
        <f t="shared" ref="F605:F606" si="1203">IF(C605&gt;0,MONTH(C605),"False")</f>
        <v>5</v>
      </c>
      <c r="G605" s="201" t="s">
        <v>112</v>
      </c>
      <c r="H605" s="198" t="s">
        <v>166</v>
      </c>
      <c r="J605" s="198" t="s">
        <v>78</v>
      </c>
      <c r="K605" s="198" t="s">
        <v>78</v>
      </c>
      <c r="L605" s="198" t="s">
        <v>79</v>
      </c>
      <c r="M605" s="1" t="s">
        <v>1244</v>
      </c>
      <c r="N605" s="198" t="s">
        <v>124</v>
      </c>
      <c r="O605" s="198" t="s">
        <v>332</v>
      </c>
      <c r="R605" s="64" t="s">
        <v>307</v>
      </c>
      <c r="S605" s="201" t="s">
        <v>104</v>
      </c>
      <c r="X605" s="201" t="s">
        <v>298</v>
      </c>
      <c r="Y605" s="195" t="str">
        <f t="shared" si="1167"/>
        <v>Pass</v>
      </c>
      <c r="Z605" s="11" t="str">
        <f t="shared" si="1192"/>
        <v/>
      </c>
      <c r="AA605" s="205" t="str">
        <f t="shared" si="1193"/>
        <v/>
      </c>
      <c r="AB605" s="205" t="str">
        <f t="shared" si="1194"/>
        <v/>
      </c>
    </row>
    <row r="606" spans="2:28" x14ac:dyDescent="0.25">
      <c r="B606" s="65">
        <v>41782</v>
      </c>
      <c r="C606" s="66">
        <v>41782</v>
      </c>
      <c r="D606" s="68">
        <f t="shared" si="1201"/>
        <v>5</v>
      </c>
      <c r="E606" s="66" t="str">
        <f t="shared" si="1202"/>
        <v>2014-May</v>
      </c>
      <c r="F606" s="68">
        <f t="shared" si="1203"/>
        <v>5</v>
      </c>
      <c r="G606" s="200" t="s">
        <v>105</v>
      </c>
      <c r="H606" s="199" t="s">
        <v>280</v>
      </c>
      <c r="J606" s="199" t="s">
        <v>81</v>
      </c>
      <c r="K606" s="199" t="s">
        <v>82</v>
      </c>
      <c r="L606" s="199" t="s">
        <v>79</v>
      </c>
      <c r="M606" s="1" t="s">
        <v>1245</v>
      </c>
      <c r="N606" s="199" t="s">
        <v>124</v>
      </c>
      <c r="O606" s="199" t="s">
        <v>286</v>
      </c>
      <c r="P606" s="64" t="s">
        <v>305</v>
      </c>
      <c r="R606" s="64" t="s">
        <v>1108</v>
      </c>
      <c r="S606" s="200" t="s">
        <v>104</v>
      </c>
      <c r="X606" s="200" t="s">
        <v>161</v>
      </c>
      <c r="Y606" s="195" t="str">
        <f t="shared" si="1167"/>
        <v>Pass</v>
      </c>
      <c r="Z606" s="11" t="str">
        <f t="shared" si="1192"/>
        <v/>
      </c>
      <c r="AA606" s="205" t="str">
        <f t="shared" si="1193"/>
        <v/>
      </c>
      <c r="AB606" s="205" t="str">
        <f t="shared" si="1194"/>
        <v/>
      </c>
    </row>
    <row r="607" spans="2:28" x14ac:dyDescent="0.25">
      <c r="B607" s="65">
        <v>41782</v>
      </c>
      <c r="C607" s="66">
        <v>41782</v>
      </c>
      <c r="D607" s="68">
        <f t="shared" ref="D607" si="1204">IF(B607&gt;0,MONTH(B607),"False")</f>
        <v>5</v>
      </c>
      <c r="E607" s="66" t="str">
        <f t="shared" ref="E607" si="1205">YEAR(B607) &amp; CHOOSE(D607,"-Jan","-Feb","-Mar","-Apr","-May","-Jun","-Jul","-Aug","-Sep","-Oct","-Nov","-Dec")</f>
        <v>2014-May</v>
      </c>
      <c r="F607" s="68">
        <f t="shared" ref="F607" si="1206">IF(C607&gt;0,MONTH(C607),"False")</f>
        <v>5</v>
      </c>
      <c r="G607" s="203" t="s">
        <v>121</v>
      </c>
      <c r="H607" s="199" t="s">
        <v>136</v>
      </c>
      <c r="J607" s="199" t="s">
        <v>77</v>
      </c>
      <c r="K607" s="199" t="s">
        <v>82</v>
      </c>
      <c r="L607" s="199" t="s">
        <v>79</v>
      </c>
      <c r="M607" s="1" t="s">
        <v>1246</v>
      </c>
      <c r="N607" s="199" t="s">
        <v>124</v>
      </c>
      <c r="O607" s="199" t="s">
        <v>507</v>
      </c>
      <c r="P607" s="64" t="s">
        <v>750</v>
      </c>
      <c r="R607" s="64" t="s">
        <v>1146</v>
      </c>
      <c r="S607" s="203" t="s">
        <v>104</v>
      </c>
      <c r="X607" s="203" t="s">
        <v>158</v>
      </c>
      <c r="Y607" s="195" t="str">
        <f t="shared" si="1167"/>
        <v>Pass</v>
      </c>
      <c r="Z607" s="11" t="str">
        <f t="shared" si="1192"/>
        <v/>
      </c>
      <c r="AA607" s="205" t="str">
        <f t="shared" si="1193"/>
        <v/>
      </c>
      <c r="AB607" s="205" t="str">
        <f t="shared" si="1194"/>
        <v/>
      </c>
    </row>
    <row r="608" spans="2:28" x14ac:dyDescent="0.25">
      <c r="B608" s="65">
        <v>41782</v>
      </c>
      <c r="C608" s="66">
        <v>41782</v>
      </c>
      <c r="D608" s="68">
        <f t="shared" ref="D608" si="1207">IF(B608&gt;0,MONTH(B608),"False")</f>
        <v>5</v>
      </c>
      <c r="E608" s="66" t="str">
        <f t="shared" ref="E608" si="1208">YEAR(B608) &amp; CHOOSE(D608,"-Jan","-Feb","-Mar","-Apr","-May","-Jun","-Jul","-Aug","-Sep","-Oct","-Nov","-Dec")</f>
        <v>2014-May</v>
      </c>
      <c r="F608" s="68">
        <f t="shared" ref="F608" si="1209">IF(C608&gt;0,MONTH(C608),"False")</f>
        <v>5</v>
      </c>
      <c r="G608" s="199" t="s">
        <v>93</v>
      </c>
      <c r="H608" s="199" t="s">
        <v>136</v>
      </c>
      <c r="I608" s="199"/>
      <c r="J608" s="199" t="s">
        <v>77</v>
      </c>
      <c r="K608" s="199" t="s">
        <v>82</v>
      </c>
      <c r="L608" s="199" t="s">
        <v>79</v>
      </c>
      <c r="M608" s="199" t="s">
        <v>1247</v>
      </c>
      <c r="N608" s="199" t="s">
        <v>124</v>
      </c>
      <c r="O608" s="199" t="s">
        <v>507</v>
      </c>
      <c r="P608" s="64" t="s">
        <v>750</v>
      </c>
      <c r="R608" s="64" t="s">
        <v>1146</v>
      </c>
      <c r="S608" s="235" t="s">
        <v>104</v>
      </c>
      <c r="Y608" s="195" t="str">
        <f t="shared" si="1167"/>
        <v>Pass</v>
      </c>
      <c r="Z608" s="11" t="str">
        <f t="shared" si="1192"/>
        <v/>
      </c>
      <c r="AA608" s="205" t="str">
        <f t="shared" si="1193"/>
        <v/>
      </c>
      <c r="AB608" s="205" t="str">
        <f t="shared" si="1194"/>
        <v/>
      </c>
    </row>
    <row r="609" spans="2:28" x14ac:dyDescent="0.25">
      <c r="B609" s="65">
        <v>41782</v>
      </c>
      <c r="C609" s="66">
        <v>41782</v>
      </c>
      <c r="D609" s="68">
        <f t="shared" ref="D609" si="1210">IF(B609&gt;0,MONTH(B609),"False")</f>
        <v>5</v>
      </c>
      <c r="E609" s="66" t="str">
        <f t="shared" ref="E609" si="1211">YEAR(B609) &amp; CHOOSE(D609,"-Jan","-Feb","-Mar","-Apr","-May","-Jun","-Jul","-Aug","-Sep","-Oct","-Nov","-Dec")</f>
        <v>2014-May</v>
      </c>
      <c r="F609" s="68">
        <f t="shared" ref="F609" si="1212">IF(C609&gt;0,MONTH(C609),"False")</f>
        <v>5</v>
      </c>
      <c r="G609" s="203" t="s">
        <v>121</v>
      </c>
      <c r="H609" s="199" t="s">
        <v>136</v>
      </c>
      <c r="J609" s="199" t="s">
        <v>120</v>
      </c>
      <c r="K609" s="199" t="s">
        <v>82</v>
      </c>
      <c r="L609" s="199" t="s">
        <v>79</v>
      </c>
      <c r="M609" s="1" t="s">
        <v>1248</v>
      </c>
      <c r="N609" s="199" t="s">
        <v>124</v>
      </c>
      <c r="O609" s="199" t="s">
        <v>114</v>
      </c>
      <c r="P609" s="64" t="s">
        <v>750</v>
      </c>
      <c r="R609" s="64" t="s">
        <v>1146</v>
      </c>
      <c r="S609" s="203" t="s">
        <v>104</v>
      </c>
      <c r="X609" s="203" t="s">
        <v>158</v>
      </c>
      <c r="Y609" s="195" t="str">
        <f t="shared" si="1167"/>
        <v>Pass</v>
      </c>
      <c r="Z609" s="11" t="str">
        <f t="shared" si="1192"/>
        <v/>
      </c>
      <c r="AA609" s="205" t="str">
        <f t="shared" si="1193"/>
        <v/>
      </c>
      <c r="AB609" s="205" t="str">
        <f t="shared" si="1194"/>
        <v/>
      </c>
    </row>
    <row r="610" spans="2:28" x14ac:dyDescent="0.25">
      <c r="B610" s="66">
        <v>41782</v>
      </c>
      <c r="C610" s="66">
        <v>41782</v>
      </c>
      <c r="D610" s="68">
        <f t="shared" ref="D610" si="1213">IF(B610&gt;0,MONTH(B610),"False")</f>
        <v>5</v>
      </c>
      <c r="E610" s="66" t="str">
        <f t="shared" ref="E610" si="1214">YEAR(B610) &amp; CHOOSE(D610,"-Jan","-Feb","-Mar","-Apr","-May","-Jun","-Jul","-Aug","-Sep","-Oct","-Nov","-Dec")</f>
        <v>2014-May</v>
      </c>
      <c r="F610" s="68">
        <f t="shared" ref="F610" si="1215">IF(C610&gt;0,MONTH(C610),"False")</f>
        <v>5</v>
      </c>
      <c r="G610" s="199" t="s">
        <v>87</v>
      </c>
      <c r="H610" s="199" t="s">
        <v>166</v>
      </c>
      <c r="J610" s="199" t="s">
        <v>119</v>
      </c>
      <c r="K610" s="199" t="s">
        <v>119</v>
      </c>
      <c r="L610" s="199" t="s">
        <v>83</v>
      </c>
      <c r="M610" s="1" t="s">
        <v>1249</v>
      </c>
      <c r="N610" s="199" t="s">
        <v>124</v>
      </c>
      <c r="O610" s="199" t="s">
        <v>589</v>
      </c>
      <c r="R610" s="64" t="s">
        <v>473</v>
      </c>
      <c r="Y610" s="195" t="str">
        <f t="shared" si="1167"/>
        <v>Unknown</v>
      </c>
      <c r="Z610" s="11" t="str">
        <f t="shared" si="1192"/>
        <v/>
      </c>
      <c r="AA610" s="205" t="str">
        <f t="shared" si="1193"/>
        <v/>
      </c>
      <c r="AB610" s="205" t="str">
        <f t="shared" si="1194"/>
        <v/>
      </c>
    </row>
    <row r="611" spans="2:28" x14ac:dyDescent="0.25">
      <c r="B611" s="66">
        <v>41782</v>
      </c>
      <c r="C611" s="66">
        <v>41782</v>
      </c>
      <c r="D611" s="68">
        <f t="shared" ref="D611:D612" si="1216">IF(B611&gt;0,MONTH(B611),"False")</f>
        <v>5</v>
      </c>
      <c r="E611" s="66" t="str">
        <f t="shared" ref="E611:E612" si="1217">YEAR(B611) &amp; CHOOSE(D611,"-Jan","-Feb","-Mar","-Apr","-May","-Jun","-Jul","-Aug","-Sep","-Oct","-Nov","-Dec")</f>
        <v>2014-May</v>
      </c>
      <c r="F611" s="68">
        <f t="shared" ref="F611:F612" si="1218">IF(C611&gt;0,MONTH(C611),"False")</f>
        <v>5</v>
      </c>
      <c r="G611" s="199" t="s">
        <v>87</v>
      </c>
      <c r="H611" s="199" t="s">
        <v>166</v>
      </c>
      <c r="J611" s="199" t="s">
        <v>149</v>
      </c>
      <c r="K611" s="199" t="s">
        <v>84</v>
      </c>
      <c r="L611" s="199" t="s">
        <v>79</v>
      </c>
      <c r="M611" s="1" t="s">
        <v>1250</v>
      </c>
      <c r="N611" s="199" t="s">
        <v>124</v>
      </c>
      <c r="O611" s="199" t="s">
        <v>350</v>
      </c>
      <c r="R611" s="64" t="s">
        <v>1251</v>
      </c>
      <c r="Y611" s="195" t="str">
        <f t="shared" si="1167"/>
        <v>Unknown</v>
      </c>
      <c r="Z611" s="11" t="str">
        <f t="shared" si="1192"/>
        <v/>
      </c>
      <c r="AA611" s="205" t="str">
        <f t="shared" si="1193"/>
        <v/>
      </c>
      <c r="AB611" s="205" t="str">
        <f t="shared" si="1194"/>
        <v/>
      </c>
    </row>
    <row r="612" spans="2:28" x14ac:dyDescent="0.25">
      <c r="B612" s="65">
        <v>41782</v>
      </c>
      <c r="C612" s="66">
        <v>41782</v>
      </c>
      <c r="D612" s="68">
        <f t="shared" si="1216"/>
        <v>5</v>
      </c>
      <c r="E612" s="66" t="str">
        <f t="shared" si="1217"/>
        <v>2014-May</v>
      </c>
      <c r="F612" s="68">
        <f t="shared" si="1218"/>
        <v>5</v>
      </c>
      <c r="G612" s="199" t="s">
        <v>105</v>
      </c>
      <c r="H612" s="199" t="s">
        <v>280</v>
      </c>
      <c r="J612" s="199" t="s">
        <v>81</v>
      </c>
      <c r="K612" s="199" t="s">
        <v>82</v>
      </c>
      <c r="L612" s="199" t="s">
        <v>79</v>
      </c>
      <c r="M612" s="1" t="s">
        <v>1252</v>
      </c>
      <c r="N612" s="199" t="s">
        <v>124</v>
      </c>
      <c r="O612" s="199" t="s">
        <v>125</v>
      </c>
      <c r="P612" s="64" t="s">
        <v>1108</v>
      </c>
      <c r="R612" s="64" t="s">
        <v>305</v>
      </c>
      <c r="S612" s="199" t="s">
        <v>104</v>
      </c>
      <c r="X612" s="199" t="s">
        <v>161</v>
      </c>
      <c r="Y612" s="195" t="str">
        <f t="shared" si="1167"/>
        <v>Pass</v>
      </c>
      <c r="Z612" s="11" t="str">
        <f t="shared" si="1192"/>
        <v/>
      </c>
      <c r="AA612" s="205" t="str">
        <f t="shared" si="1193"/>
        <v/>
      </c>
      <c r="AB612" s="205" t="str">
        <f t="shared" si="1194"/>
        <v/>
      </c>
    </row>
    <row r="613" spans="2:28" x14ac:dyDescent="0.25">
      <c r="B613" s="66">
        <v>41782</v>
      </c>
      <c r="C613" s="66">
        <v>41782</v>
      </c>
      <c r="D613" s="68">
        <f t="shared" ref="D613:D614" si="1219">IF(B613&gt;0,MONTH(B613),"False")</f>
        <v>5</v>
      </c>
      <c r="E613" s="66" t="str">
        <f t="shared" ref="E613:E614" si="1220">YEAR(B613) &amp; CHOOSE(D613,"-Jan","-Feb","-Mar","-Apr","-May","-Jun","-Jul","-Aug","-Sep","-Oct","-Nov","-Dec")</f>
        <v>2014-May</v>
      </c>
      <c r="F613" s="68">
        <f t="shared" ref="F613:F614" si="1221">IF(C613&gt;0,MONTH(C613),"False")</f>
        <v>5</v>
      </c>
      <c r="G613" s="199" t="s">
        <v>87</v>
      </c>
      <c r="H613" s="199" t="s">
        <v>166</v>
      </c>
      <c r="J613" s="199" t="s">
        <v>98</v>
      </c>
      <c r="K613" s="199" t="s">
        <v>84</v>
      </c>
      <c r="L613" s="199" t="s">
        <v>79</v>
      </c>
      <c r="M613" s="1" t="s">
        <v>1253</v>
      </c>
      <c r="N613" s="199" t="s">
        <v>124</v>
      </c>
      <c r="O613" s="199" t="s">
        <v>152</v>
      </c>
      <c r="R613" s="64" t="s">
        <v>1254</v>
      </c>
      <c r="Y613" s="195" t="str">
        <f t="shared" si="1167"/>
        <v>Unknown</v>
      </c>
      <c r="Z613" s="11" t="str">
        <f t="shared" si="1192"/>
        <v/>
      </c>
      <c r="AA613" s="205" t="str">
        <f t="shared" si="1193"/>
        <v/>
      </c>
      <c r="AB613" s="205" t="str">
        <f t="shared" si="1194"/>
        <v/>
      </c>
    </row>
    <row r="614" spans="2:28" x14ac:dyDescent="0.25">
      <c r="B614" s="65">
        <v>41782</v>
      </c>
      <c r="C614" s="66">
        <v>41782</v>
      </c>
      <c r="D614" s="68">
        <f t="shared" si="1219"/>
        <v>5</v>
      </c>
      <c r="E614" s="66" t="str">
        <f t="shared" si="1220"/>
        <v>2014-May</v>
      </c>
      <c r="F614" s="68">
        <f t="shared" si="1221"/>
        <v>5</v>
      </c>
      <c r="G614" s="229" t="s">
        <v>105</v>
      </c>
      <c r="H614" s="199" t="s">
        <v>166</v>
      </c>
      <c r="J614" s="199" t="s">
        <v>98</v>
      </c>
      <c r="K614" s="199" t="s">
        <v>82</v>
      </c>
      <c r="L614" s="199" t="s">
        <v>79</v>
      </c>
      <c r="M614" s="1" t="s">
        <v>1255</v>
      </c>
      <c r="N614" s="199" t="s">
        <v>124</v>
      </c>
      <c r="O614" s="199" t="s">
        <v>273</v>
      </c>
      <c r="P614" s="64" t="s">
        <v>336</v>
      </c>
      <c r="R614" s="64" t="s">
        <v>1256</v>
      </c>
      <c r="S614" s="229" t="s">
        <v>104</v>
      </c>
      <c r="X614" s="229" t="s">
        <v>297</v>
      </c>
      <c r="Y614" s="195" t="str">
        <f t="shared" si="1167"/>
        <v>Pass</v>
      </c>
      <c r="Z614" s="11" t="str">
        <f t="shared" si="1192"/>
        <v/>
      </c>
      <c r="AA614" s="205" t="str">
        <f t="shared" si="1193"/>
        <v/>
      </c>
      <c r="AB614" s="205" t="str">
        <f t="shared" si="1194"/>
        <v/>
      </c>
    </row>
    <row r="615" spans="2:28" x14ac:dyDescent="0.25">
      <c r="B615" s="66">
        <v>41782</v>
      </c>
      <c r="C615" s="66">
        <v>41782</v>
      </c>
      <c r="D615" s="68">
        <f t="shared" ref="D615" si="1222">IF(B615&gt;0,MONTH(B615),"False")</f>
        <v>5</v>
      </c>
      <c r="E615" s="66" t="str">
        <f t="shared" ref="E615" si="1223">YEAR(B615) &amp; CHOOSE(D615,"-Jan","-Feb","-Mar","-Apr","-May","-Jun","-Jul","-Aug","-Sep","-Oct","-Nov","-Dec")</f>
        <v>2014-May</v>
      </c>
      <c r="F615" s="68">
        <f t="shared" ref="F615" si="1224">IF(C615&gt;0,MONTH(C615),"False")</f>
        <v>5</v>
      </c>
      <c r="G615" s="199" t="s">
        <v>87</v>
      </c>
      <c r="H615" s="199" t="s">
        <v>348</v>
      </c>
      <c r="J615" s="199" t="s">
        <v>98</v>
      </c>
      <c r="K615" s="199" t="s">
        <v>84</v>
      </c>
      <c r="L615" s="199" t="s">
        <v>83</v>
      </c>
      <c r="M615" s="1" t="s">
        <v>1257</v>
      </c>
      <c r="N615" s="199" t="s">
        <v>124</v>
      </c>
      <c r="O615" s="199" t="s">
        <v>152</v>
      </c>
      <c r="R615" s="64" t="s">
        <v>1258</v>
      </c>
      <c r="S615" s="235" t="s">
        <v>104</v>
      </c>
      <c r="Y615" s="195" t="str">
        <f t="shared" si="1167"/>
        <v>Pass</v>
      </c>
      <c r="Z615" s="11" t="str">
        <f t="shared" si="1192"/>
        <v/>
      </c>
      <c r="AA615" s="205" t="str">
        <f t="shared" si="1193"/>
        <v/>
      </c>
      <c r="AB615" s="205" t="str">
        <f t="shared" si="1194"/>
        <v/>
      </c>
    </row>
    <row r="616" spans="2:28" x14ac:dyDescent="0.25">
      <c r="B616" s="66">
        <v>41782</v>
      </c>
      <c r="C616" s="66">
        <v>41782</v>
      </c>
      <c r="D616" s="68">
        <f t="shared" ref="D616:D617" si="1225">IF(B616&gt;0,MONTH(B616),"False")</f>
        <v>5</v>
      </c>
      <c r="E616" s="66" t="str">
        <f t="shared" ref="E616:E617" si="1226">YEAR(B616) &amp; CHOOSE(D616,"-Jan","-Feb","-Mar","-Apr","-May","-Jun","-Jul","-Aug","-Sep","-Oct","-Nov","-Dec")</f>
        <v>2014-May</v>
      </c>
      <c r="F616" s="68">
        <f t="shared" ref="F616:F617" si="1227">IF(C616&gt;0,MONTH(C616),"False")</f>
        <v>5</v>
      </c>
      <c r="G616" s="199" t="s">
        <v>87</v>
      </c>
      <c r="H616" s="199" t="s">
        <v>280</v>
      </c>
      <c r="I616" s="199"/>
      <c r="J616" s="199" t="s">
        <v>98</v>
      </c>
      <c r="K616" s="199" t="s">
        <v>84</v>
      </c>
      <c r="L616" s="199" t="s">
        <v>83</v>
      </c>
      <c r="M616" s="1" t="s">
        <v>1259</v>
      </c>
      <c r="N616" s="199" t="s">
        <v>124</v>
      </c>
      <c r="O616" s="199" t="s">
        <v>152</v>
      </c>
      <c r="R616" s="64" t="s">
        <v>1096</v>
      </c>
      <c r="T616" s="67" t="s">
        <v>110</v>
      </c>
      <c r="Y616" s="200" t="str">
        <f t="shared" si="1167"/>
        <v>Unknown</v>
      </c>
      <c r="Z616" s="11" t="str">
        <f t="shared" si="1192"/>
        <v/>
      </c>
      <c r="AA616" s="205" t="str">
        <f t="shared" si="1193"/>
        <v/>
      </c>
      <c r="AB616" s="205" t="str">
        <f t="shared" si="1194"/>
        <v/>
      </c>
    </row>
    <row r="617" spans="2:28" x14ac:dyDescent="0.25">
      <c r="B617" s="65">
        <v>41782</v>
      </c>
      <c r="C617" s="66">
        <v>41782</v>
      </c>
      <c r="D617" s="68">
        <f t="shared" si="1225"/>
        <v>5</v>
      </c>
      <c r="E617" s="66" t="str">
        <f t="shared" si="1226"/>
        <v>2014-May</v>
      </c>
      <c r="F617" s="68">
        <f t="shared" si="1227"/>
        <v>5</v>
      </c>
      <c r="G617" s="217" t="s">
        <v>121</v>
      </c>
      <c r="H617" s="199" t="s">
        <v>115</v>
      </c>
      <c r="J617" s="199" t="s">
        <v>77</v>
      </c>
      <c r="K617" s="199" t="s">
        <v>78</v>
      </c>
      <c r="L617" s="199" t="s">
        <v>83</v>
      </c>
      <c r="M617" s="199" t="s">
        <v>1260</v>
      </c>
      <c r="N617" s="199" t="s">
        <v>124</v>
      </c>
      <c r="O617" s="199" t="s">
        <v>332</v>
      </c>
      <c r="P617" s="64" t="s">
        <v>1262</v>
      </c>
      <c r="R617" s="64" t="s">
        <v>1261</v>
      </c>
      <c r="S617" s="217" t="s">
        <v>104</v>
      </c>
      <c r="X617" s="217" t="s">
        <v>1387</v>
      </c>
      <c r="Y617" s="200" t="str">
        <f t="shared" si="1167"/>
        <v>Pass</v>
      </c>
      <c r="Z617" s="11" t="str">
        <f t="shared" si="1192"/>
        <v/>
      </c>
      <c r="AA617" s="205" t="str">
        <f t="shared" si="1193"/>
        <v/>
      </c>
      <c r="AB617" s="205" t="str">
        <f t="shared" si="1194"/>
        <v/>
      </c>
    </row>
    <row r="618" spans="2:28" x14ac:dyDescent="0.25">
      <c r="B618" s="66">
        <v>41782</v>
      </c>
      <c r="C618" s="66">
        <v>41782</v>
      </c>
      <c r="D618" s="68">
        <f t="shared" ref="D618" si="1228">IF(B618&gt;0,MONTH(B618),"False")</f>
        <v>5</v>
      </c>
      <c r="E618" s="66" t="str">
        <f t="shared" ref="E618" si="1229">YEAR(B618) &amp; CHOOSE(D618,"-Jan","-Feb","-Mar","-Apr","-May","-Jun","-Jul","-Aug","-Sep","-Oct","-Nov","-Dec")</f>
        <v>2014-May</v>
      </c>
      <c r="F618" s="68">
        <f t="shared" ref="F618" si="1230">IF(C618&gt;0,MONTH(C618),"False")</f>
        <v>5</v>
      </c>
      <c r="G618" s="199" t="s">
        <v>87</v>
      </c>
      <c r="H618" s="199" t="s">
        <v>166</v>
      </c>
      <c r="J618" s="199" t="s">
        <v>120</v>
      </c>
      <c r="K618" s="199" t="s">
        <v>82</v>
      </c>
      <c r="L618" s="199" t="s">
        <v>83</v>
      </c>
      <c r="M618" s="1" t="s">
        <v>1263</v>
      </c>
      <c r="N618" s="199" t="s">
        <v>124</v>
      </c>
      <c r="O618" s="199" t="s">
        <v>353</v>
      </c>
      <c r="R618" s="64" t="s">
        <v>864</v>
      </c>
      <c r="Y618" s="200" t="str">
        <f t="shared" si="1167"/>
        <v>Unknown</v>
      </c>
      <c r="Z618" s="11" t="str">
        <f t="shared" si="1192"/>
        <v/>
      </c>
      <c r="AA618" s="205" t="str">
        <f t="shared" si="1193"/>
        <v/>
      </c>
      <c r="AB618" s="205" t="str">
        <f t="shared" si="1194"/>
        <v/>
      </c>
    </row>
    <row r="619" spans="2:28" x14ac:dyDescent="0.25">
      <c r="B619" s="66">
        <v>41782</v>
      </c>
      <c r="C619" s="66">
        <v>41782</v>
      </c>
      <c r="D619" s="68">
        <f t="shared" ref="D619:D620" si="1231">IF(B619&gt;0,MONTH(B619),"False")</f>
        <v>5</v>
      </c>
      <c r="E619" s="66" t="str">
        <f t="shared" ref="E619:E620" si="1232">YEAR(B619) &amp; CHOOSE(D619,"-Jan","-Feb","-Mar","-Apr","-May","-Jun","-Jul","-Aug","-Sep","-Oct","-Nov","-Dec")</f>
        <v>2014-May</v>
      </c>
      <c r="F619" s="68">
        <f t="shared" ref="F619:F620" si="1233">IF(C619&gt;0,MONTH(C619),"False")</f>
        <v>5</v>
      </c>
      <c r="G619" s="199" t="s">
        <v>87</v>
      </c>
      <c r="H619" s="199" t="s">
        <v>136</v>
      </c>
      <c r="J619" s="199" t="s">
        <v>149</v>
      </c>
      <c r="K619" s="199" t="s">
        <v>84</v>
      </c>
      <c r="L619" s="199" t="s">
        <v>83</v>
      </c>
      <c r="M619" s="1" t="s">
        <v>1264</v>
      </c>
      <c r="N619" s="199" t="s">
        <v>124</v>
      </c>
      <c r="O619" s="199" t="s">
        <v>264</v>
      </c>
      <c r="R619" s="64" t="s">
        <v>1265</v>
      </c>
      <c r="T619" s="67" t="s">
        <v>110</v>
      </c>
      <c r="Y619" s="200" t="str">
        <f t="shared" si="1167"/>
        <v>Unknown</v>
      </c>
      <c r="Z619" s="11" t="str">
        <f t="shared" si="1192"/>
        <v/>
      </c>
      <c r="AA619" s="205" t="str">
        <f t="shared" si="1193"/>
        <v/>
      </c>
      <c r="AB619" s="205" t="str">
        <f t="shared" si="1194"/>
        <v/>
      </c>
    </row>
    <row r="620" spans="2:28" x14ac:dyDescent="0.25">
      <c r="B620" s="65">
        <v>41782</v>
      </c>
      <c r="C620" s="66">
        <v>41782</v>
      </c>
      <c r="D620" s="68">
        <f t="shared" si="1231"/>
        <v>5</v>
      </c>
      <c r="E620" s="66" t="str">
        <f t="shared" si="1232"/>
        <v>2014-May</v>
      </c>
      <c r="F620" s="68">
        <f t="shared" si="1233"/>
        <v>5</v>
      </c>
      <c r="G620" s="199" t="s">
        <v>93</v>
      </c>
      <c r="H620" s="199" t="s">
        <v>136</v>
      </c>
      <c r="J620" s="199" t="s">
        <v>77</v>
      </c>
      <c r="K620" s="199" t="s">
        <v>82</v>
      </c>
      <c r="L620" s="199" t="s">
        <v>79</v>
      </c>
      <c r="M620" s="1" t="s">
        <v>1266</v>
      </c>
      <c r="N620" s="199" t="s">
        <v>124</v>
      </c>
      <c r="O620" s="199" t="s">
        <v>265</v>
      </c>
      <c r="P620" s="64" t="s">
        <v>750</v>
      </c>
      <c r="R620" s="64" t="s">
        <v>1267</v>
      </c>
      <c r="S620" s="235" t="s">
        <v>104</v>
      </c>
      <c r="Y620" s="200" t="str">
        <f t="shared" si="1167"/>
        <v>Pass</v>
      </c>
      <c r="Z620" s="11" t="str">
        <f t="shared" si="1192"/>
        <v/>
      </c>
      <c r="AA620" s="205" t="str">
        <f t="shared" si="1193"/>
        <v/>
      </c>
      <c r="AB620" s="205" t="str">
        <f t="shared" si="1194"/>
        <v/>
      </c>
    </row>
    <row r="621" spans="2:28" x14ac:dyDescent="0.25">
      <c r="B621" s="65">
        <v>41782</v>
      </c>
      <c r="C621" s="66">
        <v>41782</v>
      </c>
      <c r="D621" s="68">
        <f t="shared" ref="D621:D622" si="1234">IF(B621&gt;0,MONTH(B621),"False")</f>
        <v>5</v>
      </c>
      <c r="E621" s="66" t="str">
        <f t="shared" ref="E621:E622" si="1235">YEAR(B621) &amp; CHOOSE(D621,"-Jan","-Feb","-Mar","-Apr","-May","-Jun","-Jul","-Aug","-Sep","-Oct","-Nov","-Dec")</f>
        <v>2014-May</v>
      </c>
      <c r="F621" s="68">
        <f t="shared" ref="F621:F622" si="1236">IF(C621&gt;0,MONTH(C621),"False")</f>
        <v>5</v>
      </c>
      <c r="G621" s="199" t="s">
        <v>93</v>
      </c>
      <c r="H621" s="199" t="s">
        <v>280</v>
      </c>
      <c r="J621" s="199" t="s">
        <v>77</v>
      </c>
      <c r="K621" s="199" t="s">
        <v>82</v>
      </c>
      <c r="L621" s="199" t="s">
        <v>79</v>
      </c>
      <c r="M621" s="1" t="s">
        <v>1268</v>
      </c>
      <c r="N621" s="199" t="s">
        <v>124</v>
      </c>
      <c r="O621" s="199" t="s">
        <v>286</v>
      </c>
      <c r="P621" s="64" t="s">
        <v>305</v>
      </c>
      <c r="Q621" s="2" t="s">
        <v>88</v>
      </c>
      <c r="R621" s="64" t="s">
        <v>1108</v>
      </c>
      <c r="T621" s="67" t="s">
        <v>110</v>
      </c>
      <c r="Y621" s="200" t="str">
        <f t="shared" si="1167"/>
        <v>Obsolete</v>
      </c>
      <c r="Z621" s="11">
        <f t="shared" si="1192"/>
        <v>41782</v>
      </c>
      <c r="AA621" s="205" t="str">
        <f t="shared" si="1193"/>
        <v>2014 - 21</v>
      </c>
      <c r="AB621" s="205">
        <f t="shared" si="1194"/>
        <v>2014</v>
      </c>
    </row>
    <row r="622" spans="2:28" x14ac:dyDescent="0.25">
      <c r="B622" s="66">
        <v>41782</v>
      </c>
      <c r="C622" s="66">
        <v>41782</v>
      </c>
      <c r="D622" s="68">
        <f t="shared" si="1234"/>
        <v>5</v>
      </c>
      <c r="E622" s="66" t="str">
        <f t="shared" si="1235"/>
        <v>2014-May</v>
      </c>
      <c r="F622" s="68">
        <f t="shared" si="1236"/>
        <v>5</v>
      </c>
      <c r="G622" s="199" t="s">
        <v>87</v>
      </c>
      <c r="H622" s="199" t="s">
        <v>166</v>
      </c>
      <c r="J622" s="199" t="s">
        <v>77</v>
      </c>
      <c r="K622" s="199" t="s">
        <v>82</v>
      </c>
      <c r="L622" s="199" t="s">
        <v>83</v>
      </c>
      <c r="M622" s="1" t="s">
        <v>1269</v>
      </c>
      <c r="N622" s="199" t="s">
        <v>124</v>
      </c>
      <c r="O622" s="199" t="s">
        <v>353</v>
      </c>
      <c r="R622" s="64" t="s">
        <v>862</v>
      </c>
      <c r="Y622" s="200" t="str">
        <f t="shared" si="1167"/>
        <v>Unknown</v>
      </c>
      <c r="Z622" s="11" t="str">
        <f t="shared" si="1192"/>
        <v/>
      </c>
      <c r="AA622" s="205" t="str">
        <f t="shared" si="1193"/>
        <v/>
      </c>
      <c r="AB622" s="205" t="str">
        <f t="shared" si="1194"/>
        <v/>
      </c>
    </row>
    <row r="623" spans="2:28" x14ac:dyDescent="0.25">
      <c r="B623" s="65">
        <v>41782</v>
      </c>
      <c r="C623" s="66">
        <v>41782</v>
      </c>
      <c r="D623" s="68">
        <f t="shared" ref="D623:D624" si="1237">IF(B623&gt;0,MONTH(B623),"False")</f>
        <v>5</v>
      </c>
      <c r="E623" s="66" t="str">
        <f t="shared" ref="E623:E624" si="1238">YEAR(B623) &amp; CHOOSE(D623,"-Jan","-Feb","-Mar","-Apr","-May","-Jun","-Jul","-Aug","-Sep","-Oct","-Nov","-Dec")</f>
        <v>2014-May</v>
      </c>
      <c r="F623" s="68">
        <f t="shared" ref="F623:F624" si="1239">IF(C623&gt;0,MONTH(C623),"False")</f>
        <v>5</v>
      </c>
      <c r="G623" s="199" t="s">
        <v>93</v>
      </c>
      <c r="H623" s="199" t="s">
        <v>280</v>
      </c>
      <c r="J623" s="199" t="s">
        <v>146</v>
      </c>
      <c r="K623" s="199" t="s">
        <v>82</v>
      </c>
      <c r="L623" s="199" t="s">
        <v>79</v>
      </c>
      <c r="M623" s="1" t="s">
        <v>1270</v>
      </c>
      <c r="N623" s="199" t="s">
        <v>124</v>
      </c>
      <c r="O623" s="199" t="s">
        <v>265</v>
      </c>
      <c r="P623" s="64" t="s">
        <v>305</v>
      </c>
      <c r="Q623" s="2" t="s">
        <v>88</v>
      </c>
      <c r="R623" s="64" t="s">
        <v>1108</v>
      </c>
      <c r="Y623" s="200" t="str">
        <f t="shared" si="1167"/>
        <v>Obsolete</v>
      </c>
      <c r="Z623" s="11">
        <f t="shared" si="1192"/>
        <v>41782</v>
      </c>
      <c r="AA623" s="205" t="str">
        <f t="shared" si="1193"/>
        <v>2014 - 21</v>
      </c>
      <c r="AB623" s="205">
        <f t="shared" si="1194"/>
        <v>2014</v>
      </c>
    </row>
    <row r="624" spans="2:28" x14ac:dyDescent="0.25">
      <c r="B624" s="66">
        <v>41785</v>
      </c>
      <c r="C624" s="66">
        <v>41785</v>
      </c>
      <c r="D624" s="68">
        <f t="shared" si="1237"/>
        <v>5</v>
      </c>
      <c r="E624" s="66" t="str">
        <f t="shared" si="1238"/>
        <v>2014-May</v>
      </c>
      <c r="F624" s="68">
        <f t="shared" si="1239"/>
        <v>5</v>
      </c>
      <c r="G624" s="200" t="s">
        <v>87</v>
      </c>
      <c r="H624" s="200" t="s">
        <v>280</v>
      </c>
      <c r="J624" s="200" t="s">
        <v>78</v>
      </c>
      <c r="K624" s="200" t="s">
        <v>78</v>
      </c>
      <c r="L624" s="200" t="s">
        <v>79</v>
      </c>
      <c r="M624" s="1" t="s">
        <v>1271</v>
      </c>
      <c r="N624" s="200" t="s">
        <v>124</v>
      </c>
      <c r="O624" s="200" t="s">
        <v>306</v>
      </c>
      <c r="Q624" s="2" t="s">
        <v>88</v>
      </c>
      <c r="R624" s="64" t="s">
        <v>344</v>
      </c>
      <c r="Y624" s="200" t="str">
        <f t="shared" si="1167"/>
        <v>Obsolete</v>
      </c>
      <c r="Z624" s="11">
        <f t="shared" si="1192"/>
        <v>41785</v>
      </c>
      <c r="AA624" s="205" t="str">
        <f t="shared" si="1193"/>
        <v>2014 - 22</v>
      </c>
      <c r="AB624" s="205">
        <f t="shared" si="1194"/>
        <v>2014</v>
      </c>
    </row>
    <row r="625" spans="2:28" x14ac:dyDescent="0.25">
      <c r="B625" s="65">
        <v>41785</v>
      </c>
      <c r="C625" s="66">
        <v>41785</v>
      </c>
      <c r="D625" s="68">
        <f t="shared" ref="D625:D626" si="1240">IF(B625&gt;0,MONTH(B625),"False")</f>
        <v>5</v>
      </c>
      <c r="E625" s="66" t="str">
        <f t="shared" ref="E625:E626" si="1241">YEAR(B625) &amp; CHOOSE(D625,"-Jan","-Feb","-Mar","-Apr","-May","-Jun","-Jul","-Aug","-Sep","-Oct","-Nov","-Dec")</f>
        <v>2014-May</v>
      </c>
      <c r="F625" s="68">
        <f t="shared" ref="F625:F626" si="1242">IF(C625&gt;0,MONTH(C625),"False")</f>
        <v>5</v>
      </c>
      <c r="G625" s="207" t="s">
        <v>105</v>
      </c>
      <c r="H625" s="200" t="s">
        <v>280</v>
      </c>
      <c r="J625" s="200" t="s">
        <v>81</v>
      </c>
      <c r="K625" s="200" t="s">
        <v>82</v>
      </c>
      <c r="L625" s="200" t="s">
        <v>79</v>
      </c>
      <c r="M625" s="1" t="s">
        <v>1272</v>
      </c>
      <c r="N625" s="200" t="s">
        <v>124</v>
      </c>
      <c r="O625" s="200" t="s">
        <v>286</v>
      </c>
      <c r="P625" s="64" t="s">
        <v>305</v>
      </c>
      <c r="R625" s="64" t="s">
        <v>1108</v>
      </c>
      <c r="S625" s="207" t="s">
        <v>104</v>
      </c>
      <c r="X625" s="207" t="s">
        <v>544</v>
      </c>
      <c r="Y625" s="200" t="str">
        <f t="shared" si="1167"/>
        <v>Pass</v>
      </c>
      <c r="Z625" s="11" t="str">
        <f t="shared" si="1192"/>
        <v/>
      </c>
      <c r="AA625" s="205" t="str">
        <f t="shared" si="1193"/>
        <v/>
      </c>
      <c r="AB625" s="205" t="str">
        <f t="shared" si="1194"/>
        <v/>
      </c>
    </row>
    <row r="626" spans="2:28" x14ac:dyDescent="0.25">
      <c r="B626" s="66">
        <v>41785</v>
      </c>
      <c r="C626" s="66">
        <v>41785</v>
      </c>
      <c r="D626" s="68">
        <f t="shared" si="1240"/>
        <v>5</v>
      </c>
      <c r="E626" s="66" t="str">
        <f t="shared" si="1241"/>
        <v>2014-May</v>
      </c>
      <c r="F626" s="68">
        <f t="shared" si="1242"/>
        <v>5</v>
      </c>
      <c r="G626" s="200" t="s">
        <v>87</v>
      </c>
      <c r="H626" s="200" t="s">
        <v>280</v>
      </c>
      <c r="I626" s="200"/>
      <c r="J626" s="200" t="s">
        <v>78</v>
      </c>
      <c r="K626" s="200" t="s">
        <v>78</v>
      </c>
      <c r="L626" s="200" t="s">
        <v>79</v>
      </c>
      <c r="M626" s="200" t="s">
        <v>1273</v>
      </c>
      <c r="N626" s="200" t="s">
        <v>124</v>
      </c>
      <c r="O626" s="200" t="s">
        <v>306</v>
      </c>
      <c r="P626" s="200"/>
      <c r="Q626" s="2" t="s">
        <v>88</v>
      </c>
      <c r="R626" s="64" t="s">
        <v>344</v>
      </c>
      <c r="Y626" s="200" t="str">
        <f t="shared" si="1167"/>
        <v>Obsolete</v>
      </c>
      <c r="Z626" s="11">
        <f t="shared" si="1192"/>
        <v>41785</v>
      </c>
      <c r="AA626" s="205" t="str">
        <f t="shared" si="1193"/>
        <v>2014 - 22</v>
      </c>
      <c r="AB626" s="205">
        <f t="shared" si="1194"/>
        <v>2014</v>
      </c>
    </row>
    <row r="627" spans="2:28" x14ac:dyDescent="0.25">
      <c r="B627" s="65">
        <v>41785</v>
      </c>
      <c r="C627" s="66">
        <v>41785</v>
      </c>
      <c r="D627" s="68">
        <f t="shared" ref="D627:D628" si="1243">IF(B627&gt;0,MONTH(B627),"False")</f>
        <v>5</v>
      </c>
      <c r="E627" s="66" t="str">
        <f t="shared" ref="E627:E628" si="1244">YEAR(B627) &amp; CHOOSE(D627,"-Jan","-Feb","-Mar","-Apr","-May","-Jun","-Jul","-Aug","-Sep","-Oct","-Nov","-Dec")</f>
        <v>2014-May</v>
      </c>
      <c r="F627" s="68">
        <f t="shared" ref="F627:F628" si="1245">IF(C627&gt;0,MONTH(C627),"False")</f>
        <v>5</v>
      </c>
      <c r="G627" s="200" t="s">
        <v>93</v>
      </c>
      <c r="H627" s="200" t="s">
        <v>280</v>
      </c>
      <c r="I627" s="200"/>
      <c r="J627" s="200" t="s">
        <v>81</v>
      </c>
      <c r="K627" s="200" t="s">
        <v>82</v>
      </c>
      <c r="L627" s="200" t="s">
        <v>79</v>
      </c>
      <c r="M627" s="200" t="s">
        <v>1274</v>
      </c>
      <c r="N627" s="200" t="s">
        <v>124</v>
      </c>
      <c r="O627" s="200" t="s">
        <v>286</v>
      </c>
      <c r="P627" s="64" t="s">
        <v>305</v>
      </c>
      <c r="Q627" s="2" t="s">
        <v>88</v>
      </c>
      <c r="R627" s="64" t="s">
        <v>1108</v>
      </c>
      <c r="Y627" s="200" t="str">
        <f t="shared" si="1167"/>
        <v>Obsolete</v>
      </c>
      <c r="Z627" s="11">
        <f t="shared" si="1192"/>
        <v>41785</v>
      </c>
      <c r="AA627" s="205" t="str">
        <f t="shared" si="1193"/>
        <v>2014 - 22</v>
      </c>
      <c r="AB627" s="205">
        <f t="shared" si="1194"/>
        <v>2014</v>
      </c>
    </row>
    <row r="628" spans="2:28" x14ac:dyDescent="0.25">
      <c r="B628" s="65">
        <v>41785</v>
      </c>
      <c r="C628" s="66">
        <v>41785</v>
      </c>
      <c r="D628" s="68">
        <f t="shared" si="1243"/>
        <v>5</v>
      </c>
      <c r="E628" s="66" t="str">
        <f t="shared" si="1244"/>
        <v>2014-May</v>
      </c>
      <c r="F628" s="68">
        <f t="shared" si="1245"/>
        <v>5</v>
      </c>
      <c r="G628" s="207" t="s">
        <v>105</v>
      </c>
      <c r="H628" s="200" t="s">
        <v>280</v>
      </c>
      <c r="I628" s="200"/>
      <c r="J628" s="200" t="s">
        <v>146</v>
      </c>
      <c r="K628" s="200" t="s">
        <v>82</v>
      </c>
      <c r="L628" s="200" t="s">
        <v>79</v>
      </c>
      <c r="M628" s="1" t="s">
        <v>1275</v>
      </c>
      <c r="N628" s="200" t="s">
        <v>124</v>
      </c>
      <c r="O628" s="200" t="s">
        <v>116</v>
      </c>
      <c r="P628" s="64" t="s">
        <v>305</v>
      </c>
      <c r="R628" s="64" t="s">
        <v>1108</v>
      </c>
      <c r="S628" s="207" t="s">
        <v>104</v>
      </c>
      <c r="X628" s="207" t="s">
        <v>544</v>
      </c>
      <c r="Y628" s="200" t="str">
        <f t="shared" si="1167"/>
        <v>Pass</v>
      </c>
      <c r="Z628" s="11" t="str">
        <f t="shared" si="1192"/>
        <v/>
      </c>
      <c r="AA628" s="205" t="str">
        <f t="shared" si="1193"/>
        <v/>
      </c>
      <c r="AB628" s="205" t="str">
        <f t="shared" si="1194"/>
        <v/>
      </c>
    </row>
    <row r="629" spans="2:28" x14ac:dyDescent="0.25">
      <c r="B629" s="65">
        <v>41785</v>
      </c>
      <c r="C629" s="66"/>
      <c r="D629" s="68">
        <f t="shared" ref="D629" si="1246">IF(B629&gt;0,MONTH(B629),"False")</f>
        <v>5</v>
      </c>
      <c r="E629" s="66" t="str">
        <f t="shared" ref="E629" si="1247">YEAR(B629) &amp; CHOOSE(D629,"-Jan","-Feb","-Mar","-Apr","-May","-Jun","-Jul","-Aug","-Sep","-Oct","-Nov","-Dec")</f>
        <v>2014-May</v>
      </c>
      <c r="F629" s="68" t="str">
        <f t="shared" ref="F629" si="1248">IF(C629&gt;0,MONTH(C629),"False")</f>
        <v>False</v>
      </c>
      <c r="G629" s="201" t="s">
        <v>75</v>
      </c>
      <c r="H629" s="200" t="s">
        <v>166</v>
      </c>
      <c r="J629" s="200" t="s">
        <v>77</v>
      </c>
      <c r="K629" s="200" t="s">
        <v>82</v>
      </c>
      <c r="L629" s="200" t="s">
        <v>79</v>
      </c>
      <c r="M629" s="1" t="s">
        <v>1276</v>
      </c>
      <c r="N629" s="200" t="s">
        <v>124</v>
      </c>
      <c r="O629" s="200" t="s">
        <v>343</v>
      </c>
      <c r="P629" s="64" t="s">
        <v>319</v>
      </c>
      <c r="Q629" s="2" t="s">
        <v>88</v>
      </c>
      <c r="Y629" s="200" t="str">
        <f t="shared" si="1167"/>
        <v>Obsolete</v>
      </c>
      <c r="Z629" s="11">
        <f t="shared" si="1192"/>
        <v>0</v>
      </c>
      <c r="AA629" s="205" t="str">
        <f t="shared" si="1193"/>
        <v>1900 - 00</v>
      </c>
      <c r="AB629" s="205">
        <f t="shared" si="1194"/>
        <v>1900</v>
      </c>
    </row>
    <row r="630" spans="2:28" x14ac:dyDescent="0.25">
      <c r="B630" s="65">
        <v>41785</v>
      </c>
      <c r="C630" s="66">
        <v>41785</v>
      </c>
      <c r="D630" s="68">
        <f t="shared" ref="D630" si="1249">IF(B630&gt;0,MONTH(B630),"False")</f>
        <v>5</v>
      </c>
      <c r="E630" s="66" t="str">
        <f t="shared" ref="E630" si="1250">YEAR(B630) &amp; CHOOSE(D630,"-Jan","-Feb","-Mar","-Apr","-May","-Jun","-Jul","-Aug","-Sep","-Oct","-Nov","-Dec")</f>
        <v>2014-May</v>
      </c>
      <c r="F630" s="68">
        <f t="shared" ref="F630" si="1251">IF(C630&gt;0,MONTH(C630),"False")</f>
        <v>5</v>
      </c>
      <c r="G630" s="200" t="s">
        <v>93</v>
      </c>
      <c r="H630" s="200" t="s">
        <v>136</v>
      </c>
      <c r="J630" s="200" t="s">
        <v>77</v>
      </c>
      <c r="K630" s="200" t="s">
        <v>82</v>
      </c>
      <c r="L630" s="200" t="s">
        <v>79</v>
      </c>
      <c r="M630" s="1" t="s">
        <v>1277</v>
      </c>
      <c r="N630" s="200" t="s">
        <v>124</v>
      </c>
      <c r="O630" s="200" t="s">
        <v>114</v>
      </c>
      <c r="P630" s="64" t="s">
        <v>750</v>
      </c>
      <c r="R630" s="64" t="s">
        <v>1267</v>
      </c>
      <c r="S630" s="235" t="s">
        <v>104</v>
      </c>
      <c r="Y630" s="200" t="str">
        <f t="shared" si="1167"/>
        <v>Pass</v>
      </c>
      <c r="Z630" s="11" t="str">
        <f>IF(Q630="Obsolete-LQA",C630,IF(Q630="Obsolete-IT",B630,""))</f>
        <v/>
      </c>
      <c r="AA630" s="205" t="str">
        <f t="shared" si="1193"/>
        <v/>
      </c>
      <c r="AB630" s="205" t="str">
        <f t="shared" si="1194"/>
        <v/>
      </c>
    </row>
    <row r="631" spans="2:28" x14ac:dyDescent="0.25">
      <c r="B631" s="66">
        <v>41786</v>
      </c>
      <c r="C631" s="66">
        <v>41786</v>
      </c>
      <c r="D631" s="68">
        <f t="shared" ref="D631:D632" si="1252">IF(B631&gt;0,MONTH(B631),"False")</f>
        <v>5</v>
      </c>
      <c r="E631" s="66" t="str">
        <f t="shared" ref="E631:E632" si="1253">YEAR(B631) &amp; CHOOSE(D631,"-Jan","-Feb","-Mar","-Apr","-May","-Jun","-Jul","-Aug","-Sep","-Oct","-Nov","-Dec")</f>
        <v>2014-May</v>
      </c>
      <c r="F631" s="68">
        <f t="shared" ref="F631:F632" si="1254">IF(C631&gt;0,MONTH(C631),"False")</f>
        <v>5</v>
      </c>
      <c r="G631" s="207" t="s">
        <v>126</v>
      </c>
      <c r="H631" s="201" t="s">
        <v>280</v>
      </c>
      <c r="J631" s="201" t="s">
        <v>78</v>
      </c>
      <c r="K631" s="201" t="s">
        <v>78</v>
      </c>
      <c r="L631" s="201" t="s">
        <v>79</v>
      </c>
      <c r="M631" s="1" t="s">
        <v>1278</v>
      </c>
      <c r="N631" s="201" t="s">
        <v>124</v>
      </c>
      <c r="O631" s="201" t="s">
        <v>304</v>
      </c>
      <c r="R631" s="64" t="s">
        <v>344</v>
      </c>
      <c r="S631" s="207" t="s">
        <v>104</v>
      </c>
      <c r="X631" s="207" t="s">
        <v>544</v>
      </c>
      <c r="Y631" s="200" t="str">
        <f t="shared" si="1167"/>
        <v>Pass</v>
      </c>
      <c r="Z631" s="11" t="str">
        <f t="shared" ref="Z631:Z657" si="1255">IF(Q631="Obsolete-LQA",C631,IF(Q631="Obsolete-IT",B631,""))</f>
        <v/>
      </c>
      <c r="AA631" s="205" t="str">
        <f t="shared" si="1193"/>
        <v/>
      </c>
      <c r="AB631" s="205" t="str">
        <f t="shared" si="1194"/>
        <v/>
      </c>
    </row>
    <row r="632" spans="2:28" x14ac:dyDescent="0.25">
      <c r="B632" s="65">
        <v>41786</v>
      </c>
      <c r="C632" s="66">
        <v>41786</v>
      </c>
      <c r="D632" s="68">
        <f t="shared" si="1252"/>
        <v>5</v>
      </c>
      <c r="E632" s="66" t="str">
        <f t="shared" si="1253"/>
        <v>2014-May</v>
      </c>
      <c r="F632" s="68">
        <f t="shared" si="1254"/>
        <v>5</v>
      </c>
      <c r="G632" s="202" t="s">
        <v>105</v>
      </c>
      <c r="H632" s="201" t="s">
        <v>280</v>
      </c>
      <c r="J632" s="201" t="s">
        <v>81</v>
      </c>
      <c r="K632" s="201" t="s">
        <v>82</v>
      </c>
      <c r="L632" s="201" t="s">
        <v>79</v>
      </c>
      <c r="M632" s="1" t="s">
        <v>1279</v>
      </c>
      <c r="N632" s="201" t="s">
        <v>124</v>
      </c>
      <c r="O632" s="201" t="s">
        <v>286</v>
      </c>
      <c r="P632" s="64" t="s">
        <v>305</v>
      </c>
      <c r="R632" s="64" t="s">
        <v>1108</v>
      </c>
      <c r="S632" s="202" t="s">
        <v>104</v>
      </c>
      <c r="T632" s="67" t="s">
        <v>110</v>
      </c>
      <c r="X632" s="202" t="s">
        <v>544</v>
      </c>
      <c r="Y632" s="200" t="str">
        <f t="shared" si="1167"/>
        <v>Pass</v>
      </c>
      <c r="Z632" s="11" t="str">
        <f t="shared" si="1255"/>
        <v/>
      </c>
      <c r="AA632" s="205" t="str">
        <f t="shared" si="1193"/>
        <v/>
      </c>
      <c r="AB632" s="205" t="str">
        <f t="shared" si="1194"/>
        <v/>
      </c>
    </row>
    <row r="633" spans="2:28" x14ac:dyDescent="0.25">
      <c r="B633" s="65">
        <v>41786</v>
      </c>
      <c r="C633" s="66">
        <v>41786</v>
      </c>
      <c r="D633" s="68">
        <f t="shared" ref="D633" si="1256">IF(B633&gt;0,MONTH(B633),"False")</f>
        <v>5</v>
      </c>
      <c r="E633" s="66" t="str">
        <f t="shared" ref="E633" si="1257">YEAR(B633) &amp; CHOOSE(D633,"-Jan","-Feb","-Mar","-Apr","-May","-Jun","-Jul","-Aug","-Sep","-Oct","-Nov","-Dec")</f>
        <v>2014-May</v>
      </c>
      <c r="F633" s="68">
        <f t="shared" ref="F633" si="1258">IF(C633&gt;0,MONTH(C633),"False")</f>
        <v>5</v>
      </c>
      <c r="G633" s="201" t="s">
        <v>93</v>
      </c>
      <c r="H633" s="201" t="s">
        <v>280</v>
      </c>
      <c r="I633" s="201"/>
      <c r="J633" s="201" t="s">
        <v>81</v>
      </c>
      <c r="K633" s="201" t="s">
        <v>82</v>
      </c>
      <c r="L633" s="201" t="s">
        <v>79</v>
      </c>
      <c r="M633" s="201" t="s">
        <v>1280</v>
      </c>
      <c r="N633" s="201" t="s">
        <v>124</v>
      </c>
      <c r="O633" s="201" t="s">
        <v>286</v>
      </c>
      <c r="P633" s="64" t="s">
        <v>305</v>
      </c>
      <c r="Q633" s="2" t="s">
        <v>88</v>
      </c>
      <c r="R633" s="64" t="s">
        <v>1108</v>
      </c>
      <c r="Y633" s="200" t="str">
        <f t="shared" si="1167"/>
        <v>Obsolete</v>
      </c>
      <c r="Z633" s="11">
        <f t="shared" si="1255"/>
        <v>41786</v>
      </c>
      <c r="AA633" s="205" t="str">
        <f t="shared" si="1193"/>
        <v>2014 - 22</v>
      </c>
      <c r="AB633" s="205">
        <f t="shared" si="1194"/>
        <v>2014</v>
      </c>
    </row>
    <row r="634" spans="2:28" x14ac:dyDescent="0.25">
      <c r="B634" s="65">
        <v>41786</v>
      </c>
      <c r="C634" s="66">
        <v>41786</v>
      </c>
      <c r="D634" s="68">
        <f t="shared" ref="D634" si="1259">IF(B634&gt;0,MONTH(B634),"False")</f>
        <v>5</v>
      </c>
      <c r="E634" s="66" t="str">
        <f t="shared" ref="E634" si="1260">YEAR(B634) &amp; CHOOSE(D634,"-Jan","-Feb","-Mar","-Apr","-May","-Jun","-Jul","-Aug","-Sep","-Oct","-Nov","-Dec")</f>
        <v>2014-May</v>
      </c>
      <c r="F634" s="68">
        <f t="shared" ref="F634" si="1261">IF(C634&gt;0,MONTH(C634),"False")</f>
        <v>5</v>
      </c>
      <c r="G634" s="202" t="s">
        <v>127</v>
      </c>
      <c r="H634" s="201" t="s">
        <v>28</v>
      </c>
      <c r="J634" s="201" t="s">
        <v>77</v>
      </c>
      <c r="K634" s="201" t="s">
        <v>82</v>
      </c>
      <c r="L634" s="201" t="s">
        <v>79</v>
      </c>
      <c r="M634" s="1" t="s">
        <v>1281</v>
      </c>
      <c r="N634" s="201" t="s">
        <v>124</v>
      </c>
      <c r="O634" s="201" t="s">
        <v>162</v>
      </c>
      <c r="P634" s="64" t="s">
        <v>334</v>
      </c>
      <c r="R634" s="64" t="s">
        <v>335</v>
      </c>
      <c r="S634" s="202" t="s">
        <v>104</v>
      </c>
      <c r="X634" s="202" t="s">
        <v>155</v>
      </c>
      <c r="Y634" s="200" t="str">
        <f t="shared" si="1167"/>
        <v>Pass</v>
      </c>
      <c r="Z634" s="11" t="str">
        <f t="shared" si="1255"/>
        <v/>
      </c>
      <c r="AA634" s="205" t="str">
        <f t="shared" si="1193"/>
        <v/>
      </c>
      <c r="AB634" s="205" t="str">
        <f t="shared" si="1194"/>
        <v/>
      </c>
    </row>
    <row r="635" spans="2:28" x14ac:dyDescent="0.25">
      <c r="B635" s="65">
        <v>41786</v>
      </c>
      <c r="C635" s="66">
        <v>41786</v>
      </c>
      <c r="D635" s="68">
        <f t="shared" ref="D635" si="1262">IF(B635&gt;0,MONTH(B635),"False")</f>
        <v>5</v>
      </c>
      <c r="E635" s="66" t="str">
        <f t="shared" ref="E635" si="1263">YEAR(B635) &amp; CHOOSE(D635,"-Jan","-Feb","-Mar","-Apr","-May","-Jun","-Jul","-Aug","-Sep","-Oct","-Nov","-Dec")</f>
        <v>2014-May</v>
      </c>
      <c r="F635" s="68">
        <f t="shared" ref="F635" si="1264">IF(C635&gt;0,MONTH(C635),"False")</f>
        <v>5</v>
      </c>
      <c r="G635" s="202" t="s">
        <v>105</v>
      </c>
      <c r="H635" s="201" t="s">
        <v>280</v>
      </c>
      <c r="J635" s="201" t="s">
        <v>146</v>
      </c>
      <c r="K635" s="201" t="s">
        <v>82</v>
      </c>
      <c r="L635" s="201" t="s">
        <v>79</v>
      </c>
      <c r="M635" s="1" t="s">
        <v>1282</v>
      </c>
      <c r="N635" s="201" t="s">
        <v>124</v>
      </c>
      <c r="O635" s="201" t="s">
        <v>286</v>
      </c>
      <c r="P635" s="64" t="s">
        <v>305</v>
      </c>
      <c r="R635" s="64" t="s">
        <v>1108</v>
      </c>
      <c r="S635" s="202" t="s">
        <v>104</v>
      </c>
      <c r="X635" s="202" t="s">
        <v>544</v>
      </c>
      <c r="Y635" s="200" t="str">
        <f t="shared" si="1167"/>
        <v>Pass</v>
      </c>
      <c r="Z635" s="11" t="str">
        <f t="shared" si="1255"/>
        <v/>
      </c>
      <c r="AA635" s="205" t="str">
        <f t="shared" si="1193"/>
        <v/>
      </c>
      <c r="AB635" s="205" t="str">
        <f t="shared" si="1194"/>
        <v/>
      </c>
    </row>
    <row r="636" spans="2:28" x14ac:dyDescent="0.25">
      <c r="B636" s="65">
        <v>41786</v>
      </c>
      <c r="C636" s="66">
        <v>41786</v>
      </c>
      <c r="D636" s="68">
        <f t="shared" ref="D636" si="1265">IF(B636&gt;0,MONTH(B636),"False")</f>
        <v>5</v>
      </c>
      <c r="E636" s="66" t="str">
        <f t="shared" ref="E636" si="1266">YEAR(B636) &amp; CHOOSE(D636,"-Jan","-Feb","-Mar","-Apr","-May","-Jun","-Jul","-Aug","-Sep","-Oct","-Nov","-Dec")</f>
        <v>2014-May</v>
      </c>
      <c r="F636" s="68">
        <f t="shared" ref="F636" si="1267">IF(C636&gt;0,MONTH(C636),"False")</f>
        <v>5</v>
      </c>
      <c r="G636" s="201" t="s">
        <v>93</v>
      </c>
      <c r="H636" s="201" t="s">
        <v>136</v>
      </c>
      <c r="J636" s="201" t="s">
        <v>77</v>
      </c>
      <c r="K636" s="201" t="s">
        <v>82</v>
      </c>
      <c r="L636" s="201" t="s">
        <v>79</v>
      </c>
      <c r="M636" s="1" t="s">
        <v>1283</v>
      </c>
      <c r="N636" s="201" t="s">
        <v>124</v>
      </c>
      <c r="O636" s="201" t="s">
        <v>265</v>
      </c>
      <c r="P636" s="64" t="s">
        <v>750</v>
      </c>
      <c r="R636" s="64" t="s">
        <v>1267</v>
      </c>
      <c r="S636" s="235" t="s">
        <v>104</v>
      </c>
      <c r="Y636" s="200" t="str">
        <f t="shared" si="1167"/>
        <v>Pass</v>
      </c>
      <c r="Z636" s="11" t="str">
        <f t="shared" si="1255"/>
        <v/>
      </c>
      <c r="AA636" s="205" t="str">
        <f t="shared" si="1193"/>
        <v/>
      </c>
      <c r="AB636" s="205" t="str">
        <f t="shared" si="1194"/>
        <v/>
      </c>
    </row>
    <row r="637" spans="2:28" x14ac:dyDescent="0.25">
      <c r="B637" s="65">
        <v>41786</v>
      </c>
      <c r="C637" s="66">
        <v>41786</v>
      </c>
      <c r="D637" s="68">
        <f t="shared" ref="D637" si="1268">IF(B637&gt;0,MONTH(B637),"False")</f>
        <v>5</v>
      </c>
      <c r="E637" s="66" t="str">
        <f t="shared" ref="E637" si="1269">YEAR(B637) &amp; CHOOSE(D637,"-Jan","-Feb","-Mar","-Apr","-May","-Jun","-Jul","-Aug","-Sep","-Oct","-Nov","-Dec")</f>
        <v>2014-May</v>
      </c>
      <c r="F637" s="68">
        <f t="shared" ref="F637" si="1270">IF(C637&gt;0,MONTH(C637),"False")</f>
        <v>5</v>
      </c>
      <c r="G637" s="201" t="s">
        <v>93</v>
      </c>
      <c r="H637" s="201" t="s">
        <v>103</v>
      </c>
      <c r="J637" s="201" t="s">
        <v>77</v>
      </c>
      <c r="K637" s="201" t="s">
        <v>82</v>
      </c>
      <c r="L637" s="201" t="s">
        <v>79</v>
      </c>
      <c r="M637" s="1" t="s">
        <v>1284</v>
      </c>
      <c r="N637" s="201" t="s">
        <v>124</v>
      </c>
      <c r="O637" s="201" t="s">
        <v>265</v>
      </c>
      <c r="P637" s="64" t="s">
        <v>351</v>
      </c>
      <c r="Q637" s="2" t="s">
        <v>88</v>
      </c>
      <c r="R637" s="64" t="s">
        <v>361</v>
      </c>
      <c r="Y637" s="200" t="str">
        <f t="shared" si="1167"/>
        <v>Obsolete</v>
      </c>
      <c r="Z637" s="11">
        <f t="shared" si="1255"/>
        <v>41786</v>
      </c>
      <c r="AA637" s="205" t="str">
        <f t="shared" si="1193"/>
        <v>2014 - 22</v>
      </c>
      <c r="AB637" s="205">
        <f t="shared" si="1194"/>
        <v>2014</v>
      </c>
    </row>
    <row r="638" spans="2:28" x14ac:dyDescent="0.25">
      <c r="B638" s="65">
        <v>41786</v>
      </c>
      <c r="C638" s="66">
        <v>41786</v>
      </c>
      <c r="D638" s="68">
        <f t="shared" ref="D638" si="1271">IF(B638&gt;0,MONTH(B638),"False")</f>
        <v>5</v>
      </c>
      <c r="E638" s="66" t="str">
        <f t="shared" ref="E638" si="1272">YEAR(B638) &amp; CHOOSE(D638,"-Jan","-Feb","-Mar","-Apr","-May","-Jun","-Jul","-Aug","-Sep","-Oct","-Nov","-Dec")</f>
        <v>2014-May</v>
      </c>
      <c r="F638" s="68">
        <f t="shared" ref="F638" si="1273">IF(C638&gt;0,MONTH(C638),"False")</f>
        <v>5</v>
      </c>
      <c r="G638" s="201" t="s">
        <v>105</v>
      </c>
      <c r="H638" s="201" t="s">
        <v>280</v>
      </c>
      <c r="J638" s="201" t="s">
        <v>81</v>
      </c>
      <c r="K638" s="201" t="s">
        <v>82</v>
      </c>
      <c r="L638" s="201" t="s">
        <v>79</v>
      </c>
      <c r="M638" s="1" t="s">
        <v>1285</v>
      </c>
      <c r="N638" s="201" t="s">
        <v>124</v>
      </c>
      <c r="O638" s="201" t="s">
        <v>286</v>
      </c>
      <c r="P638" s="64" t="s">
        <v>1108</v>
      </c>
      <c r="R638" s="64" t="s">
        <v>305</v>
      </c>
      <c r="S638" s="201" t="s">
        <v>104</v>
      </c>
      <c r="X638" s="201" t="s">
        <v>544</v>
      </c>
      <c r="Y638" s="200" t="str">
        <f t="shared" si="1167"/>
        <v>Pass</v>
      </c>
      <c r="Z638" s="11" t="str">
        <f t="shared" si="1255"/>
        <v/>
      </c>
      <c r="AA638" s="205" t="str">
        <f t="shared" si="1193"/>
        <v/>
      </c>
      <c r="AB638" s="205" t="str">
        <f t="shared" si="1194"/>
        <v/>
      </c>
    </row>
    <row r="639" spans="2:28" x14ac:dyDescent="0.25">
      <c r="B639" s="65">
        <v>41786</v>
      </c>
      <c r="C639" s="66">
        <v>41786</v>
      </c>
      <c r="D639" s="68">
        <f t="shared" ref="D639:D640" si="1274">IF(B639&gt;0,MONTH(B639),"False")</f>
        <v>5</v>
      </c>
      <c r="E639" s="66" t="str">
        <f t="shared" ref="E639:E640" si="1275">YEAR(B639) &amp; CHOOSE(D639,"-Jan","-Feb","-Mar","-Apr","-May","-Jun","-Jul","-Aug","-Sep","-Oct","-Nov","-Dec")</f>
        <v>2014-May</v>
      </c>
      <c r="F639" s="68">
        <f t="shared" ref="F639:F640" si="1276">IF(C639&gt;0,MONTH(C639),"False")</f>
        <v>5</v>
      </c>
      <c r="G639" s="201" t="s">
        <v>105</v>
      </c>
      <c r="H639" s="201" t="s">
        <v>280</v>
      </c>
      <c r="J639" s="201" t="s">
        <v>146</v>
      </c>
      <c r="K639" s="201" t="s">
        <v>82</v>
      </c>
      <c r="L639" s="201" t="s">
        <v>79</v>
      </c>
      <c r="M639" s="1" t="s">
        <v>1286</v>
      </c>
      <c r="N639" s="201" t="s">
        <v>124</v>
      </c>
      <c r="O639" s="201" t="s">
        <v>286</v>
      </c>
      <c r="P639" s="64" t="s">
        <v>1108</v>
      </c>
      <c r="R639" s="64" t="s">
        <v>305</v>
      </c>
      <c r="S639" s="201" t="s">
        <v>104</v>
      </c>
      <c r="X639" s="201" t="s">
        <v>544</v>
      </c>
      <c r="Y639" s="200" t="str">
        <f t="shared" si="1167"/>
        <v>Pass</v>
      </c>
      <c r="Z639" s="11" t="str">
        <f t="shared" si="1255"/>
        <v/>
      </c>
      <c r="AA639" s="205" t="str">
        <f t="shared" si="1193"/>
        <v/>
      </c>
      <c r="AB639" s="205" t="str">
        <f t="shared" si="1194"/>
        <v/>
      </c>
    </row>
    <row r="640" spans="2:28" x14ac:dyDescent="0.25">
      <c r="B640" s="66">
        <v>41786</v>
      </c>
      <c r="C640" s="66">
        <v>41786</v>
      </c>
      <c r="D640" s="68">
        <f t="shared" si="1274"/>
        <v>5</v>
      </c>
      <c r="E640" s="66" t="str">
        <f t="shared" si="1275"/>
        <v>2014-May</v>
      </c>
      <c r="F640" s="68">
        <f t="shared" si="1276"/>
        <v>5</v>
      </c>
      <c r="G640" s="202" t="s">
        <v>126</v>
      </c>
      <c r="H640" s="201" t="s">
        <v>280</v>
      </c>
      <c r="I640" s="201"/>
      <c r="J640" s="201" t="s">
        <v>119</v>
      </c>
      <c r="K640" s="201" t="s">
        <v>119</v>
      </c>
      <c r="L640" s="201" t="s">
        <v>79</v>
      </c>
      <c r="M640" s="201" t="s">
        <v>1287</v>
      </c>
      <c r="N640" s="201" t="s">
        <v>124</v>
      </c>
      <c r="O640" s="201" t="s">
        <v>304</v>
      </c>
      <c r="P640" s="201"/>
      <c r="R640" s="64" t="s">
        <v>362</v>
      </c>
      <c r="S640" s="202" t="s">
        <v>104</v>
      </c>
      <c r="X640" s="202" t="s">
        <v>544</v>
      </c>
      <c r="Y640" s="200" t="str">
        <f t="shared" si="1167"/>
        <v>Pass</v>
      </c>
      <c r="Z640" s="11" t="str">
        <f t="shared" si="1255"/>
        <v/>
      </c>
      <c r="AA640" s="205" t="str">
        <f t="shared" si="1193"/>
        <v/>
      </c>
      <c r="AB640" s="205" t="str">
        <f t="shared" si="1194"/>
        <v/>
      </c>
    </row>
    <row r="641" spans="2:28" x14ac:dyDescent="0.25">
      <c r="B641" s="65">
        <v>41786</v>
      </c>
      <c r="C641" s="66">
        <v>41786</v>
      </c>
      <c r="D641" s="68">
        <f t="shared" ref="D641" si="1277">IF(B641&gt;0,MONTH(B641),"False")</f>
        <v>5</v>
      </c>
      <c r="E641" s="66" t="str">
        <f t="shared" ref="E641" si="1278">YEAR(B641) &amp; CHOOSE(D641,"-Jan","-Feb","-Mar","-Apr","-May","-Jun","-Jul","-Aug","-Sep","-Oct","-Nov","-Dec")</f>
        <v>2014-May</v>
      </c>
      <c r="F641" s="68">
        <f t="shared" ref="F641" si="1279">IF(C641&gt;0,MONTH(C641),"False")</f>
        <v>5</v>
      </c>
      <c r="G641" s="201" t="s">
        <v>93</v>
      </c>
      <c r="H641" s="201" t="s">
        <v>348</v>
      </c>
      <c r="J641" s="201" t="s">
        <v>77</v>
      </c>
      <c r="K641" s="201" t="s">
        <v>82</v>
      </c>
      <c r="L641" s="201" t="s">
        <v>79</v>
      </c>
      <c r="M641" s="1" t="s">
        <v>1288</v>
      </c>
      <c r="N641" s="201" t="s">
        <v>124</v>
      </c>
      <c r="O641" s="201" t="s">
        <v>285</v>
      </c>
      <c r="P641" s="64" t="s">
        <v>352</v>
      </c>
      <c r="R641" s="64" t="s">
        <v>1289</v>
      </c>
      <c r="S641" s="235" t="s">
        <v>104</v>
      </c>
      <c r="Y641" s="200" t="str">
        <f t="shared" si="1167"/>
        <v>Pass</v>
      </c>
      <c r="Z641" s="11" t="str">
        <f t="shared" si="1255"/>
        <v/>
      </c>
      <c r="AA641" s="205" t="str">
        <f t="shared" si="1193"/>
        <v/>
      </c>
      <c r="AB641" s="205" t="str">
        <f t="shared" si="1194"/>
        <v/>
      </c>
    </row>
    <row r="642" spans="2:28" x14ac:dyDescent="0.25">
      <c r="B642" s="65">
        <v>41787</v>
      </c>
      <c r="C642" s="66">
        <v>41787</v>
      </c>
      <c r="D642" s="68">
        <f t="shared" ref="D642" si="1280">IF(B642&gt;0,MONTH(B642),"False")</f>
        <v>5</v>
      </c>
      <c r="E642" s="66" t="str">
        <f t="shared" ref="E642" si="1281">YEAR(B642) &amp; CHOOSE(D642,"-Jan","-Feb","-Mar","-Apr","-May","-Jun","-Jul","-Aug","-Sep","-Oct","-Nov","-Dec")</f>
        <v>2014-May</v>
      </c>
      <c r="F642" s="68">
        <f t="shared" ref="F642" si="1282">IF(C642&gt;0,MONTH(C642),"False")</f>
        <v>5</v>
      </c>
      <c r="G642" s="206" t="s">
        <v>105</v>
      </c>
      <c r="H642" s="202" t="s">
        <v>280</v>
      </c>
      <c r="J642" s="202" t="s">
        <v>77</v>
      </c>
      <c r="K642" s="202" t="s">
        <v>82</v>
      </c>
      <c r="L642" s="202" t="s">
        <v>79</v>
      </c>
      <c r="M642" s="1" t="s">
        <v>1290</v>
      </c>
      <c r="N642" s="202" t="s">
        <v>124</v>
      </c>
      <c r="O642" s="202" t="s">
        <v>286</v>
      </c>
      <c r="P642" s="64" t="s">
        <v>305</v>
      </c>
      <c r="R642" s="64" t="s">
        <v>1108</v>
      </c>
      <c r="S642" s="206" t="s">
        <v>104</v>
      </c>
      <c r="X642" s="206" t="s">
        <v>837</v>
      </c>
      <c r="Y642" s="200" t="str">
        <f t="shared" si="1167"/>
        <v>Pass</v>
      </c>
      <c r="Z642" s="11" t="str">
        <f t="shared" si="1255"/>
        <v/>
      </c>
      <c r="AA642" s="205" t="str">
        <f t="shared" si="1193"/>
        <v/>
      </c>
      <c r="AB642" s="205" t="str">
        <f t="shared" si="1194"/>
        <v/>
      </c>
    </row>
    <row r="643" spans="2:28" x14ac:dyDescent="0.25">
      <c r="B643" s="65">
        <v>41787</v>
      </c>
      <c r="C643" s="66">
        <v>41787</v>
      </c>
      <c r="D643" s="68">
        <f t="shared" ref="D643" si="1283">IF(B643&gt;0,MONTH(B643),"False")</f>
        <v>5</v>
      </c>
      <c r="E643" s="66" t="str">
        <f t="shared" ref="E643" si="1284">YEAR(B643) &amp; CHOOSE(D643,"-Jan","-Feb","-Mar","-Apr","-May","-Jun","-Jul","-Aug","-Sep","-Oct","-Nov","-Dec")</f>
        <v>2014-May</v>
      </c>
      <c r="F643" s="68">
        <f t="shared" ref="F643" si="1285">IF(C643&gt;0,MONTH(C643),"False")</f>
        <v>5</v>
      </c>
      <c r="G643" s="202" t="s">
        <v>93</v>
      </c>
      <c r="H643" s="202" t="s">
        <v>136</v>
      </c>
      <c r="J643" s="202" t="s">
        <v>77</v>
      </c>
      <c r="K643" s="202" t="s">
        <v>82</v>
      </c>
      <c r="L643" s="202" t="s">
        <v>79</v>
      </c>
      <c r="M643" s="1" t="s">
        <v>1291</v>
      </c>
      <c r="N643" s="202" t="s">
        <v>124</v>
      </c>
      <c r="O643" s="202" t="s">
        <v>507</v>
      </c>
      <c r="P643" s="64" t="s">
        <v>750</v>
      </c>
      <c r="R643" s="64" t="s">
        <v>1267</v>
      </c>
      <c r="S643" s="235" t="s">
        <v>104</v>
      </c>
      <c r="Y643" s="200" t="str">
        <f t="shared" si="1167"/>
        <v>Pass</v>
      </c>
      <c r="Z643" s="11" t="str">
        <f t="shared" si="1255"/>
        <v/>
      </c>
      <c r="AA643" s="205" t="str">
        <f t="shared" si="1193"/>
        <v/>
      </c>
      <c r="AB643" s="205" t="str">
        <f t="shared" si="1194"/>
        <v/>
      </c>
    </row>
    <row r="644" spans="2:28" x14ac:dyDescent="0.25">
      <c r="B644" s="66">
        <v>41787</v>
      </c>
      <c r="C644" s="66">
        <v>41787</v>
      </c>
      <c r="D644" s="68">
        <f t="shared" ref="D644:D645" si="1286">IF(B644&gt;0,MONTH(B644),"False")</f>
        <v>5</v>
      </c>
      <c r="E644" s="66" t="str">
        <f t="shared" ref="E644:E645" si="1287">YEAR(B644) &amp; CHOOSE(D644,"-Jan","-Feb","-Mar","-Apr","-May","-Jun","-Jul","-Aug","-Sep","-Oct","-Nov","-Dec")</f>
        <v>2014-May</v>
      </c>
      <c r="F644" s="68">
        <f t="shared" ref="F644:F645" si="1288">IF(C644&gt;0,MONTH(C644),"False")</f>
        <v>5</v>
      </c>
      <c r="G644" s="203" t="s">
        <v>126</v>
      </c>
      <c r="H644" s="202" t="s">
        <v>280</v>
      </c>
      <c r="J644" s="202" t="s">
        <v>78</v>
      </c>
      <c r="K644" s="202" t="s">
        <v>78</v>
      </c>
      <c r="L644" s="202" t="s">
        <v>79</v>
      </c>
      <c r="M644" s="1" t="s">
        <v>1292</v>
      </c>
      <c r="N644" s="202" t="s">
        <v>124</v>
      </c>
      <c r="O644" s="202" t="s">
        <v>306</v>
      </c>
      <c r="R644" s="64" t="s">
        <v>344</v>
      </c>
      <c r="S644" s="203" t="s">
        <v>104</v>
      </c>
      <c r="X644" s="203" t="s">
        <v>544</v>
      </c>
      <c r="Y644" s="200" t="str">
        <f t="shared" si="1167"/>
        <v>Pass</v>
      </c>
      <c r="Z644" s="11" t="str">
        <f t="shared" si="1255"/>
        <v/>
      </c>
      <c r="AA644" s="205" t="str">
        <f t="shared" si="1193"/>
        <v/>
      </c>
      <c r="AB644" s="205" t="str">
        <f t="shared" si="1194"/>
        <v/>
      </c>
    </row>
    <row r="645" spans="2:28" x14ac:dyDescent="0.25">
      <c r="B645" s="65">
        <v>41787</v>
      </c>
      <c r="C645" s="66">
        <v>41787</v>
      </c>
      <c r="D645" s="68">
        <f t="shared" si="1286"/>
        <v>5</v>
      </c>
      <c r="E645" s="66" t="str">
        <f t="shared" si="1287"/>
        <v>2014-May</v>
      </c>
      <c r="F645" s="68">
        <f t="shared" si="1288"/>
        <v>5</v>
      </c>
      <c r="G645" s="202" t="s">
        <v>93</v>
      </c>
      <c r="H645" s="202" t="s">
        <v>136</v>
      </c>
      <c r="J645" s="202" t="s">
        <v>77</v>
      </c>
      <c r="K645" s="202" t="s">
        <v>82</v>
      </c>
      <c r="L645" s="202" t="s">
        <v>79</v>
      </c>
      <c r="M645" s="1" t="s">
        <v>1293</v>
      </c>
      <c r="N645" s="202" t="s">
        <v>124</v>
      </c>
      <c r="O645" s="202" t="s">
        <v>265</v>
      </c>
      <c r="P645" s="64" t="s">
        <v>750</v>
      </c>
      <c r="R645" s="64" t="s">
        <v>1267</v>
      </c>
      <c r="S645" s="235" t="s">
        <v>104</v>
      </c>
      <c r="Y645" s="200" t="str">
        <f t="shared" si="1167"/>
        <v>Pass</v>
      </c>
      <c r="Z645" s="11" t="str">
        <f t="shared" si="1255"/>
        <v/>
      </c>
      <c r="AA645" s="205" t="str">
        <f t="shared" si="1193"/>
        <v/>
      </c>
      <c r="AB645" s="205" t="str">
        <f t="shared" si="1194"/>
        <v/>
      </c>
    </row>
    <row r="646" spans="2:28" x14ac:dyDescent="0.25">
      <c r="B646" s="65">
        <v>41787</v>
      </c>
      <c r="C646" s="66">
        <v>41787</v>
      </c>
      <c r="D646" s="68">
        <f t="shared" ref="D646" si="1289">IF(B646&gt;0,MONTH(B646),"False")</f>
        <v>5</v>
      </c>
      <c r="E646" s="66" t="str">
        <f t="shared" ref="E646" si="1290">YEAR(B646) &amp; CHOOSE(D646,"-Jan","-Feb","-Mar","-Apr","-May","-Jun","-Jul","-Aug","-Sep","-Oct","-Nov","-Dec")</f>
        <v>2014-May</v>
      </c>
      <c r="F646" s="68">
        <f t="shared" ref="F646" si="1291">IF(C646&gt;0,MONTH(C646),"False")</f>
        <v>5</v>
      </c>
      <c r="G646" s="203" t="s">
        <v>121</v>
      </c>
      <c r="H646" s="202" t="s">
        <v>136</v>
      </c>
      <c r="I646" s="202"/>
      <c r="J646" s="202" t="s">
        <v>77</v>
      </c>
      <c r="K646" s="202" t="s">
        <v>82</v>
      </c>
      <c r="L646" s="202" t="s">
        <v>79</v>
      </c>
      <c r="M646" s="1" t="s">
        <v>1294</v>
      </c>
      <c r="N646" s="202" t="s">
        <v>124</v>
      </c>
      <c r="O646" s="202" t="s">
        <v>114</v>
      </c>
      <c r="P646" s="64" t="s">
        <v>750</v>
      </c>
      <c r="R646" s="64" t="s">
        <v>1267</v>
      </c>
      <c r="S646" s="203" t="s">
        <v>104</v>
      </c>
      <c r="X646" s="203" t="s">
        <v>158</v>
      </c>
      <c r="Y646" s="200" t="str">
        <f t="shared" si="1167"/>
        <v>Pass</v>
      </c>
      <c r="Z646" s="11" t="str">
        <f t="shared" si="1255"/>
        <v/>
      </c>
      <c r="AA646" s="205" t="str">
        <f t="shared" si="1193"/>
        <v/>
      </c>
      <c r="AB646" s="205" t="str">
        <f t="shared" si="1194"/>
        <v/>
      </c>
    </row>
    <row r="647" spans="2:28" x14ac:dyDescent="0.25">
      <c r="B647" s="65">
        <v>41787</v>
      </c>
      <c r="C647" s="66">
        <v>41787</v>
      </c>
      <c r="D647" s="68">
        <f t="shared" ref="D647:D648" si="1292">IF(B647&gt;0,MONTH(B647),"False")</f>
        <v>5</v>
      </c>
      <c r="E647" s="66" t="str">
        <f t="shared" ref="E647:E648" si="1293">YEAR(B647) &amp; CHOOSE(D647,"-Jan","-Feb","-Mar","-Apr","-May","-Jun","-Jul","-Aug","-Sep","-Oct","-Nov","-Dec")</f>
        <v>2014-May</v>
      </c>
      <c r="F647" s="68">
        <f t="shared" ref="F647:F648" si="1294">IF(C647&gt;0,MONTH(C647),"False")</f>
        <v>5</v>
      </c>
      <c r="G647" s="202" t="s">
        <v>105</v>
      </c>
      <c r="H647" s="202" t="s">
        <v>280</v>
      </c>
      <c r="J647" s="202" t="s">
        <v>81</v>
      </c>
      <c r="K647" s="202" t="s">
        <v>82</v>
      </c>
      <c r="L647" s="202" t="s">
        <v>79</v>
      </c>
      <c r="M647" s="1" t="s">
        <v>1295</v>
      </c>
      <c r="N647" s="202" t="s">
        <v>124</v>
      </c>
      <c r="O647" s="202" t="s">
        <v>286</v>
      </c>
      <c r="P647" s="64" t="s">
        <v>305</v>
      </c>
      <c r="R647" s="64" t="s">
        <v>1108</v>
      </c>
      <c r="S647" s="202" t="s">
        <v>104</v>
      </c>
      <c r="X647" s="202" t="s">
        <v>544</v>
      </c>
      <c r="Y647" s="200" t="str">
        <f t="shared" si="1167"/>
        <v>Pass</v>
      </c>
      <c r="Z647" s="11" t="str">
        <f t="shared" si="1255"/>
        <v/>
      </c>
      <c r="AA647" s="205" t="str">
        <f t="shared" si="1193"/>
        <v/>
      </c>
      <c r="AB647" s="205" t="str">
        <f t="shared" si="1194"/>
        <v/>
      </c>
    </row>
    <row r="648" spans="2:28" x14ac:dyDescent="0.25">
      <c r="B648" s="66">
        <v>41787</v>
      </c>
      <c r="C648" s="66">
        <v>41787</v>
      </c>
      <c r="D648" s="68">
        <f t="shared" si="1292"/>
        <v>5</v>
      </c>
      <c r="E648" s="66" t="str">
        <f t="shared" si="1293"/>
        <v>2014-May</v>
      </c>
      <c r="F648" s="68">
        <f t="shared" si="1294"/>
        <v>5</v>
      </c>
      <c r="G648" s="202" t="s">
        <v>87</v>
      </c>
      <c r="H648" s="202" t="s">
        <v>280</v>
      </c>
      <c r="J648" s="202" t="s">
        <v>78</v>
      </c>
      <c r="K648" s="202" t="s">
        <v>78</v>
      </c>
      <c r="L648" s="202" t="s">
        <v>79</v>
      </c>
      <c r="M648" s="1" t="s">
        <v>1296</v>
      </c>
      <c r="N648" s="202" t="s">
        <v>124</v>
      </c>
      <c r="O648" s="202" t="s">
        <v>304</v>
      </c>
      <c r="Q648" s="2" t="s">
        <v>88</v>
      </c>
      <c r="R648" s="64" t="s">
        <v>344</v>
      </c>
      <c r="Y648" s="200" t="str">
        <f t="shared" si="1167"/>
        <v>Obsolete</v>
      </c>
      <c r="Z648" s="11">
        <f t="shared" si="1255"/>
        <v>41787</v>
      </c>
      <c r="AA648" s="205" t="str">
        <f t="shared" si="1193"/>
        <v>2014 - 22</v>
      </c>
      <c r="AB648" s="205">
        <f t="shared" si="1194"/>
        <v>2014</v>
      </c>
    </row>
    <row r="649" spans="2:28" x14ac:dyDescent="0.25">
      <c r="B649" s="65">
        <v>41787</v>
      </c>
      <c r="C649" s="66">
        <v>41787</v>
      </c>
      <c r="D649" s="68">
        <f t="shared" ref="D649" si="1295">IF(B649&gt;0,MONTH(B649),"False")</f>
        <v>5</v>
      </c>
      <c r="E649" s="66" t="str">
        <f t="shared" ref="E649" si="1296">YEAR(B649) &amp; CHOOSE(D649,"-Jan","-Feb","-Mar","-Apr","-May","-Jun","-Jul","-Aug","-Sep","-Oct","-Nov","-Dec")</f>
        <v>2014-May</v>
      </c>
      <c r="F649" s="68">
        <f t="shared" ref="F649" si="1297">IF(C649&gt;0,MONTH(C649),"False")</f>
        <v>5</v>
      </c>
      <c r="G649" s="203" t="s">
        <v>105</v>
      </c>
      <c r="H649" s="202" t="s">
        <v>280</v>
      </c>
      <c r="I649" s="202"/>
      <c r="J649" s="202" t="s">
        <v>81</v>
      </c>
      <c r="K649" s="202" t="s">
        <v>82</v>
      </c>
      <c r="L649" s="202" t="s">
        <v>79</v>
      </c>
      <c r="M649" s="1" t="s">
        <v>1297</v>
      </c>
      <c r="N649" s="202" t="s">
        <v>124</v>
      </c>
      <c r="O649" s="202" t="s">
        <v>286</v>
      </c>
      <c r="P649" s="64" t="s">
        <v>305</v>
      </c>
      <c r="R649" s="64" t="s">
        <v>1108</v>
      </c>
      <c r="S649" s="203" t="s">
        <v>104</v>
      </c>
      <c r="X649" s="203" t="s">
        <v>161</v>
      </c>
      <c r="Y649" s="200" t="str">
        <f t="shared" si="1167"/>
        <v>Pass</v>
      </c>
      <c r="Z649" s="11" t="str">
        <f t="shared" si="1255"/>
        <v/>
      </c>
      <c r="AA649" s="205" t="str">
        <f t="shared" si="1193"/>
        <v/>
      </c>
      <c r="AB649" s="205" t="str">
        <f t="shared" si="1194"/>
        <v/>
      </c>
    </row>
    <row r="650" spans="2:28" x14ac:dyDescent="0.25">
      <c r="B650" s="65">
        <v>41787</v>
      </c>
      <c r="C650" s="66">
        <v>41787</v>
      </c>
      <c r="D650" s="68">
        <f t="shared" ref="D650:D651" si="1298">IF(B650&gt;0,MONTH(B650),"False")</f>
        <v>5</v>
      </c>
      <c r="E650" s="66" t="str">
        <f t="shared" ref="E650:E651" si="1299">YEAR(B650) &amp; CHOOSE(D650,"-Jan","-Feb","-Mar","-Apr","-May","-Jun","-Jul","-Aug","-Sep","-Oct","-Nov","-Dec")</f>
        <v>2014-May</v>
      </c>
      <c r="F650" s="68">
        <f t="shared" ref="F650:F651" si="1300">IF(C650&gt;0,MONTH(C650),"False")</f>
        <v>5</v>
      </c>
      <c r="G650" s="202" t="s">
        <v>93</v>
      </c>
      <c r="H650" s="202" t="s">
        <v>136</v>
      </c>
      <c r="J650" s="202" t="s">
        <v>77</v>
      </c>
      <c r="K650" s="202" t="s">
        <v>82</v>
      </c>
      <c r="L650" s="202" t="s">
        <v>79</v>
      </c>
      <c r="M650" s="1" t="s">
        <v>1298</v>
      </c>
      <c r="N650" s="202" t="s">
        <v>124</v>
      </c>
      <c r="O650" s="202" t="s">
        <v>272</v>
      </c>
      <c r="P650" s="64" t="s">
        <v>618</v>
      </c>
      <c r="R650" s="64" t="s">
        <v>619</v>
      </c>
      <c r="Y650" s="200" t="str">
        <f t="shared" si="1167"/>
        <v>Unknown</v>
      </c>
      <c r="Z650" s="11" t="str">
        <f t="shared" si="1255"/>
        <v/>
      </c>
      <c r="AA650" s="205" t="str">
        <f t="shared" si="1193"/>
        <v/>
      </c>
      <c r="AB650" s="205" t="str">
        <f t="shared" si="1194"/>
        <v/>
      </c>
    </row>
    <row r="651" spans="2:28" x14ac:dyDescent="0.25">
      <c r="B651" s="65">
        <v>41787</v>
      </c>
      <c r="C651" s="66">
        <v>41787</v>
      </c>
      <c r="D651" s="68">
        <f t="shared" si="1298"/>
        <v>5</v>
      </c>
      <c r="E651" s="66" t="str">
        <f t="shared" si="1299"/>
        <v>2014-May</v>
      </c>
      <c r="F651" s="68">
        <f t="shared" si="1300"/>
        <v>5</v>
      </c>
      <c r="G651" s="202" t="s">
        <v>93</v>
      </c>
      <c r="H651" s="202" t="s">
        <v>136</v>
      </c>
      <c r="I651" s="202"/>
      <c r="J651" s="202" t="s">
        <v>77</v>
      </c>
      <c r="K651" s="202" t="s">
        <v>82</v>
      </c>
      <c r="L651" s="202" t="s">
        <v>79</v>
      </c>
      <c r="M651" s="1" t="s">
        <v>1299</v>
      </c>
      <c r="N651" s="202" t="s">
        <v>124</v>
      </c>
      <c r="O651" s="202" t="s">
        <v>507</v>
      </c>
      <c r="P651" s="64" t="s">
        <v>750</v>
      </c>
      <c r="R651" s="64" t="s">
        <v>1267</v>
      </c>
      <c r="S651" s="280" t="s">
        <v>104</v>
      </c>
      <c r="Y651" s="200" t="str">
        <f t="shared" si="1167"/>
        <v>Pass</v>
      </c>
      <c r="Z651" s="11" t="str">
        <f t="shared" si="1255"/>
        <v/>
      </c>
      <c r="AA651" s="205" t="str">
        <f t="shared" si="1193"/>
        <v/>
      </c>
      <c r="AB651" s="205" t="str">
        <f t="shared" si="1194"/>
        <v/>
      </c>
    </row>
    <row r="652" spans="2:28" x14ac:dyDescent="0.25">
      <c r="B652" s="65">
        <v>41787</v>
      </c>
      <c r="C652" s="66">
        <v>41787</v>
      </c>
      <c r="D652" s="68">
        <f t="shared" ref="D652" si="1301">IF(B652&gt;0,MONTH(B652),"False")</f>
        <v>5</v>
      </c>
      <c r="E652" s="66" t="str">
        <f t="shared" ref="E652" si="1302">YEAR(B652) &amp; CHOOSE(D652,"-Jan","-Feb","-Mar","-Apr","-May","-Jun","-Jul","-Aug","-Sep","-Oct","-Nov","-Dec")</f>
        <v>2014-May</v>
      </c>
      <c r="F652" s="68">
        <f t="shared" ref="F652" si="1303">IF(C652&gt;0,MONTH(C652),"False")</f>
        <v>5</v>
      </c>
      <c r="G652" s="207" t="s">
        <v>121</v>
      </c>
      <c r="H652" s="202" t="s">
        <v>103</v>
      </c>
      <c r="J652" s="202" t="s">
        <v>77</v>
      </c>
      <c r="K652" s="202" t="s">
        <v>82</v>
      </c>
      <c r="L652" s="202" t="s">
        <v>79</v>
      </c>
      <c r="M652" s="1" t="s">
        <v>1300</v>
      </c>
      <c r="N652" s="202" t="s">
        <v>124</v>
      </c>
      <c r="O652" s="202" t="s">
        <v>265</v>
      </c>
      <c r="P652" s="64" t="s">
        <v>351</v>
      </c>
      <c r="R652" s="64" t="s">
        <v>361</v>
      </c>
      <c r="S652" s="207" t="s">
        <v>104</v>
      </c>
      <c r="X652" s="207" t="s">
        <v>298</v>
      </c>
      <c r="Y652" s="200" t="str">
        <f t="shared" si="1167"/>
        <v>Pass</v>
      </c>
      <c r="Z652" s="11" t="str">
        <f t="shared" si="1255"/>
        <v/>
      </c>
      <c r="AA652" s="205" t="str">
        <f t="shared" si="1193"/>
        <v/>
      </c>
      <c r="AB652" s="205" t="str">
        <f t="shared" si="1194"/>
        <v/>
      </c>
    </row>
    <row r="653" spans="2:28" x14ac:dyDescent="0.25">
      <c r="B653" s="65">
        <v>41787</v>
      </c>
      <c r="C653" s="66">
        <v>41787</v>
      </c>
      <c r="D653" s="68">
        <f t="shared" ref="D653" si="1304">IF(B653&gt;0,MONTH(B653),"False")</f>
        <v>5</v>
      </c>
      <c r="E653" s="66" t="str">
        <f t="shared" ref="E653" si="1305">YEAR(B653) &amp; CHOOSE(D653,"-Jan","-Feb","-Mar","-Apr","-May","-Jun","-Jul","-Aug","-Sep","-Oct","-Nov","-Dec")</f>
        <v>2014-May</v>
      </c>
      <c r="F653" s="68">
        <f t="shared" ref="F653" si="1306">IF(C653&gt;0,MONTH(C653),"False")</f>
        <v>5</v>
      </c>
      <c r="G653" s="204" t="s">
        <v>105</v>
      </c>
      <c r="H653" s="202" t="s">
        <v>166</v>
      </c>
      <c r="J653" s="202" t="s">
        <v>146</v>
      </c>
      <c r="K653" s="202" t="s">
        <v>82</v>
      </c>
      <c r="L653" s="202" t="s">
        <v>79</v>
      </c>
      <c r="M653" s="1" t="s">
        <v>1301</v>
      </c>
      <c r="N653" s="202" t="s">
        <v>124</v>
      </c>
      <c r="O653" s="202" t="s">
        <v>302</v>
      </c>
      <c r="P653" s="64" t="s">
        <v>485</v>
      </c>
      <c r="R653" s="64" t="s">
        <v>920</v>
      </c>
      <c r="S653" s="204" t="s">
        <v>104</v>
      </c>
      <c r="T653" s="67" t="s">
        <v>110</v>
      </c>
      <c r="X653" s="204" t="s">
        <v>754</v>
      </c>
      <c r="Y653" s="200" t="str">
        <f t="shared" ref="Y653:Y716" si="1307">IF(Q653&gt;0,"Obsolete",IF(S653&gt;0,S653,"Unknown"))</f>
        <v>Pass</v>
      </c>
      <c r="Z653" s="11" t="str">
        <f t="shared" si="1255"/>
        <v/>
      </c>
      <c r="AA653" s="205" t="str">
        <f t="shared" si="1193"/>
        <v/>
      </c>
      <c r="AB653" s="205" t="str">
        <f t="shared" si="1194"/>
        <v/>
      </c>
    </row>
    <row r="654" spans="2:28" x14ac:dyDescent="0.25">
      <c r="B654" s="65">
        <v>41787</v>
      </c>
      <c r="C654" s="66">
        <v>41787</v>
      </c>
      <c r="D654" s="68">
        <f t="shared" ref="D654" si="1308">IF(B654&gt;0,MONTH(B654),"False")</f>
        <v>5</v>
      </c>
      <c r="E654" s="66" t="str">
        <f t="shared" ref="E654" si="1309">YEAR(B654) &amp; CHOOSE(D654,"-Jan","-Feb","-Mar","-Apr","-May","-Jun","-Jul","-Aug","-Sep","-Oct","-Nov","-Dec")</f>
        <v>2014-May</v>
      </c>
      <c r="F654" s="68">
        <f t="shared" ref="F654" si="1310">IF(C654&gt;0,MONTH(C654),"False")</f>
        <v>5</v>
      </c>
      <c r="G654" s="204" t="s">
        <v>105</v>
      </c>
      <c r="H654" s="202" t="s">
        <v>280</v>
      </c>
      <c r="J654" s="202" t="s">
        <v>146</v>
      </c>
      <c r="K654" s="202" t="s">
        <v>82</v>
      </c>
      <c r="L654" s="202" t="s">
        <v>79</v>
      </c>
      <c r="M654" s="1" t="s">
        <v>1302</v>
      </c>
      <c r="N654" s="202" t="s">
        <v>124</v>
      </c>
      <c r="O654" s="202" t="s">
        <v>302</v>
      </c>
      <c r="P654" s="64" t="s">
        <v>305</v>
      </c>
      <c r="R654" s="64" t="s">
        <v>1108</v>
      </c>
      <c r="S654" s="204" t="s">
        <v>104</v>
      </c>
      <c r="X654" s="204" t="s">
        <v>819</v>
      </c>
      <c r="Y654" s="200" t="str">
        <f t="shared" si="1307"/>
        <v>Pass</v>
      </c>
      <c r="Z654" s="11" t="str">
        <f t="shared" si="1255"/>
        <v/>
      </c>
      <c r="AA654" s="205" t="str">
        <f t="shared" si="1193"/>
        <v/>
      </c>
      <c r="AB654" s="205" t="str">
        <f t="shared" si="1194"/>
        <v/>
      </c>
    </row>
    <row r="655" spans="2:28" x14ac:dyDescent="0.25">
      <c r="B655" s="65">
        <v>41788</v>
      </c>
      <c r="C655" s="66">
        <v>41788</v>
      </c>
      <c r="D655" s="68">
        <f t="shared" ref="D655" si="1311">IF(B655&gt;0,MONTH(B655),"False")</f>
        <v>5</v>
      </c>
      <c r="E655" s="66" t="str">
        <f t="shared" ref="E655" si="1312">YEAR(B655) &amp; CHOOSE(D655,"-Jan","-Feb","-Mar","-Apr","-May","-Jun","-Jul","-Aug","-Sep","-Oct","-Nov","-Dec")</f>
        <v>2014-May</v>
      </c>
      <c r="F655" s="68">
        <f t="shared" ref="F655" si="1313">IF(C655&gt;0,MONTH(C655),"False")</f>
        <v>5</v>
      </c>
      <c r="G655" s="203" t="s">
        <v>127</v>
      </c>
      <c r="H655" s="203" t="s">
        <v>28</v>
      </c>
      <c r="J655" s="203" t="s">
        <v>77</v>
      </c>
      <c r="K655" s="203" t="s">
        <v>82</v>
      </c>
      <c r="L655" s="203" t="s">
        <v>79</v>
      </c>
      <c r="M655" s="1" t="s">
        <v>1303</v>
      </c>
      <c r="N655" s="203" t="s">
        <v>124</v>
      </c>
      <c r="O655" s="203" t="s">
        <v>142</v>
      </c>
      <c r="P655" s="64" t="s">
        <v>334</v>
      </c>
      <c r="R655" s="64" t="s">
        <v>335</v>
      </c>
      <c r="S655" s="203" t="s">
        <v>104</v>
      </c>
      <c r="T655" s="67" t="s">
        <v>110</v>
      </c>
      <c r="X655" s="203" t="s">
        <v>153</v>
      </c>
      <c r="Y655" s="200" t="str">
        <f t="shared" si="1307"/>
        <v>Pass</v>
      </c>
      <c r="Z655" s="11" t="str">
        <f t="shared" si="1255"/>
        <v/>
      </c>
      <c r="AA655" s="205" t="str">
        <f t="shared" si="1193"/>
        <v/>
      </c>
      <c r="AB655" s="205" t="str">
        <f t="shared" si="1194"/>
        <v/>
      </c>
    </row>
    <row r="656" spans="2:28" x14ac:dyDescent="0.25">
      <c r="B656" s="65">
        <v>41788</v>
      </c>
      <c r="C656" s="66">
        <v>41788</v>
      </c>
      <c r="D656" s="68">
        <f t="shared" ref="D656" si="1314">IF(B656&gt;0,MONTH(B656),"False")</f>
        <v>5</v>
      </c>
      <c r="E656" s="66" t="str">
        <f t="shared" ref="E656" si="1315">YEAR(B656) &amp; CHOOSE(D656,"-Jan","-Feb","-Mar","-Apr","-May","-Jun","-Jul","-Aug","-Sep","-Oct","-Nov","-Dec")</f>
        <v>2014-May</v>
      </c>
      <c r="F656" s="68">
        <f t="shared" ref="F656" si="1316">IF(C656&gt;0,MONTH(C656),"False")</f>
        <v>5</v>
      </c>
      <c r="G656" s="203" t="s">
        <v>93</v>
      </c>
      <c r="H656" s="203" t="s">
        <v>166</v>
      </c>
      <c r="J656" s="203" t="s">
        <v>77</v>
      </c>
      <c r="K656" s="203" t="s">
        <v>82</v>
      </c>
      <c r="L656" s="203" t="s">
        <v>79</v>
      </c>
      <c r="M656" s="1" t="s">
        <v>1304</v>
      </c>
      <c r="N656" s="203" t="s">
        <v>124</v>
      </c>
      <c r="O656" s="203" t="s">
        <v>343</v>
      </c>
      <c r="P656" s="64" t="s">
        <v>319</v>
      </c>
      <c r="R656" s="64" t="s">
        <v>320</v>
      </c>
      <c r="S656" s="235" t="s">
        <v>104</v>
      </c>
      <c r="Y656" s="200" t="str">
        <f t="shared" si="1307"/>
        <v>Pass</v>
      </c>
      <c r="Z656" s="11" t="str">
        <f t="shared" si="1255"/>
        <v/>
      </c>
      <c r="AA656" s="205" t="str">
        <f t="shared" si="1193"/>
        <v/>
      </c>
      <c r="AB656" s="205" t="str">
        <f t="shared" si="1194"/>
        <v/>
      </c>
    </row>
    <row r="657" spans="2:28" x14ac:dyDescent="0.25">
      <c r="B657" s="65">
        <v>41788</v>
      </c>
      <c r="C657" s="66"/>
      <c r="D657" s="68">
        <f t="shared" ref="D657" si="1317">IF(B657&gt;0,MONTH(B657),"False")</f>
        <v>5</v>
      </c>
      <c r="E657" s="66" t="str">
        <f t="shared" ref="E657" si="1318">YEAR(B657) &amp; CHOOSE(D657,"-Jan","-Feb","-Mar","-Apr","-May","-Jun","-Jul","-Aug","-Sep","-Oct","-Nov","-Dec")</f>
        <v>2014-May</v>
      </c>
      <c r="F657" s="68" t="str">
        <f t="shared" ref="F657" si="1319">IF(C657&gt;0,MONTH(C657),"False")</f>
        <v>False</v>
      </c>
      <c r="G657" s="203" t="s">
        <v>75</v>
      </c>
      <c r="H657" s="203" t="s">
        <v>136</v>
      </c>
      <c r="J657" s="203" t="s">
        <v>77</v>
      </c>
      <c r="K657" s="203" t="s">
        <v>82</v>
      </c>
      <c r="L657" s="203" t="s">
        <v>79</v>
      </c>
      <c r="M657" s="1" t="s">
        <v>1305</v>
      </c>
      <c r="N657" s="203" t="s">
        <v>124</v>
      </c>
      <c r="O657" s="203" t="s">
        <v>114</v>
      </c>
      <c r="P657" s="64" t="s">
        <v>750</v>
      </c>
      <c r="Q657" s="2" t="s">
        <v>94</v>
      </c>
      <c r="Y657" s="200" t="str">
        <f t="shared" si="1307"/>
        <v>Obsolete</v>
      </c>
      <c r="Z657" s="11">
        <f t="shared" si="1255"/>
        <v>41788</v>
      </c>
      <c r="AA657" s="205" t="str">
        <f t="shared" si="1193"/>
        <v>2014 - 22</v>
      </c>
      <c r="AB657" s="205">
        <f t="shared" si="1194"/>
        <v>2014</v>
      </c>
    </row>
    <row r="658" spans="2:28" x14ac:dyDescent="0.25">
      <c r="B658" s="65">
        <v>41788</v>
      </c>
      <c r="C658" s="66">
        <v>41788</v>
      </c>
      <c r="D658" s="68">
        <f t="shared" ref="D658" si="1320">IF(B658&gt;0,MONTH(B658),"False")</f>
        <v>5</v>
      </c>
      <c r="E658" s="66" t="str">
        <f t="shared" ref="E658" si="1321">YEAR(B658) &amp; CHOOSE(D658,"-Jan","-Feb","-Mar","-Apr","-May","-Jun","-Jul","-Aug","-Sep","-Oct","-Nov","-Dec")</f>
        <v>2014-May</v>
      </c>
      <c r="F658" s="68">
        <f t="shared" ref="F658" si="1322">IF(C658&gt;0,MONTH(C658),"False")</f>
        <v>5</v>
      </c>
      <c r="G658" s="203" t="s">
        <v>93</v>
      </c>
      <c r="H658" s="203" t="s">
        <v>136</v>
      </c>
      <c r="J658" s="203" t="s">
        <v>98</v>
      </c>
      <c r="K658" s="203" t="s">
        <v>82</v>
      </c>
      <c r="L658" s="203" t="s">
        <v>79</v>
      </c>
      <c r="M658" s="1" t="s">
        <v>1306</v>
      </c>
      <c r="N658" s="203" t="s">
        <v>124</v>
      </c>
      <c r="O658" s="203" t="s">
        <v>273</v>
      </c>
      <c r="P658" s="64" t="s">
        <v>750</v>
      </c>
      <c r="R658" s="64" t="s">
        <v>1267</v>
      </c>
      <c r="S658" s="280" t="s">
        <v>104</v>
      </c>
      <c r="Y658" s="200" t="str">
        <f t="shared" si="1307"/>
        <v>Pass</v>
      </c>
      <c r="Z658" s="11" t="str">
        <f t="shared" ref="Z658:Z691" si="1323">IF(Q658="Obsolete-LQA",C658,IF(Q658="Obsolete-IT",B658,""))</f>
        <v/>
      </c>
      <c r="AA658" s="206" t="str">
        <f t="shared" ref="AA658:AA691" si="1324">IFERROR(YEAR(Z658)&amp;" - "&amp; IF(LEN( WEEKNUM(Z658))=1,"0" &amp; WEEKNUM(Z658),WEEKNUM(Z658)),"")</f>
        <v/>
      </c>
      <c r="AB658" s="206" t="str">
        <f t="shared" ref="AB658:AB691" si="1325">IFERROR(YEAR(Z658),"")</f>
        <v/>
      </c>
    </row>
    <row r="659" spans="2:28" x14ac:dyDescent="0.25">
      <c r="B659" s="66">
        <v>41788</v>
      </c>
      <c r="C659" s="66">
        <v>41788</v>
      </c>
      <c r="D659" s="68">
        <f t="shared" ref="D659:D660" si="1326">IF(B659&gt;0,MONTH(B659),"False")</f>
        <v>5</v>
      </c>
      <c r="E659" s="66" t="str">
        <f t="shared" ref="E659:E660" si="1327">YEAR(B659) &amp; CHOOSE(D659,"-Jan","-Feb","-Mar","-Apr","-May","-Jun","-Jul","-Aug","-Sep","-Oct","-Nov","-Dec")</f>
        <v>2014-May</v>
      </c>
      <c r="F659" s="68">
        <f t="shared" ref="F659:F660" si="1328">IF(C659&gt;0,MONTH(C659),"False")</f>
        <v>5</v>
      </c>
      <c r="G659" s="204" t="s">
        <v>126</v>
      </c>
      <c r="H659" s="203" t="s">
        <v>280</v>
      </c>
      <c r="J659" s="203" t="s">
        <v>78</v>
      </c>
      <c r="K659" s="203" t="s">
        <v>78</v>
      </c>
      <c r="L659" s="203" t="s">
        <v>79</v>
      </c>
      <c r="M659" s="1" t="s">
        <v>1307</v>
      </c>
      <c r="N659" s="203" t="s">
        <v>124</v>
      </c>
      <c r="O659" s="203" t="s">
        <v>304</v>
      </c>
      <c r="R659" s="64" t="s">
        <v>344</v>
      </c>
      <c r="S659" s="204" t="s">
        <v>104</v>
      </c>
      <c r="X659" s="204" t="s">
        <v>544</v>
      </c>
      <c r="Y659" s="200" t="str">
        <f t="shared" si="1307"/>
        <v>Pass</v>
      </c>
      <c r="Z659" s="11" t="str">
        <f t="shared" si="1323"/>
        <v/>
      </c>
      <c r="AA659" s="206" t="str">
        <f t="shared" si="1324"/>
        <v/>
      </c>
      <c r="AB659" s="206" t="str">
        <f t="shared" si="1325"/>
        <v/>
      </c>
    </row>
    <row r="660" spans="2:28" x14ac:dyDescent="0.25">
      <c r="B660" s="65">
        <v>41788</v>
      </c>
      <c r="C660" s="66">
        <v>41788</v>
      </c>
      <c r="D660" s="68">
        <f t="shared" si="1326"/>
        <v>5</v>
      </c>
      <c r="E660" s="66" t="str">
        <f t="shared" si="1327"/>
        <v>2014-May</v>
      </c>
      <c r="F660" s="68">
        <f t="shared" si="1328"/>
        <v>5</v>
      </c>
      <c r="G660" s="203" t="s">
        <v>93</v>
      </c>
      <c r="H660" s="203" t="s">
        <v>166</v>
      </c>
      <c r="J660" s="203" t="s">
        <v>77</v>
      </c>
      <c r="K660" s="203" t="s">
        <v>82</v>
      </c>
      <c r="L660" s="203" t="s">
        <v>79</v>
      </c>
      <c r="M660" s="1" t="s">
        <v>1308</v>
      </c>
      <c r="N660" s="203" t="s">
        <v>124</v>
      </c>
      <c r="O660" s="203" t="s">
        <v>343</v>
      </c>
      <c r="P660" s="64" t="s">
        <v>320</v>
      </c>
      <c r="Q660" s="2" t="s">
        <v>88</v>
      </c>
      <c r="R660" s="64" t="s">
        <v>319</v>
      </c>
      <c r="Y660" s="200" t="str">
        <f t="shared" si="1307"/>
        <v>Obsolete</v>
      </c>
      <c r="Z660" s="11">
        <f t="shared" si="1323"/>
        <v>41788</v>
      </c>
      <c r="AA660" s="206" t="str">
        <f t="shared" si="1324"/>
        <v>2014 - 22</v>
      </c>
      <c r="AB660" s="206">
        <f t="shared" si="1325"/>
        <v>2014</v>
      </c>
    </row>
    <row r="661" spans="2:28" x14ac:dyDescent="0.25">
      <c r="B661" s="65">
        <v>41788</v>
      </c>
      <c r="C661" s="66">
        <v>41788</v>
      </c>
      <c r="D661" s="68">
        <f t="shared" ref="D661" si="1329">IF(B661&gt;0,MONTH(B661),"False")</f>
        <v>5</v>
      </c>
      <c r="E661" s="66" t="str">
        <f t="shared" ref="E661" si="1330">YEAR(B661) &amp; CHOOSE(D661,"-Jan","-Feb","-Mar","-Apr","-May","-Jun","-Jul","-Aug","-Sep","-Oct","-Nov","-Dec")</f>
        <v>2014-May</v>
      </c>
      <c r="F661" s="68">
        <f t="shared" ref="F661" si="1331">IF(C661&gt;0,MONTH(C661),"False")</f>
        <v>5</v>
      </c>
      <c r="G661" s="203" t="s">
        <v>93</v>
      </c>
      <c r="H661" s="203" t="s">
        <v>136</v>
      </c>
      <c r="J661" s="203" t="s">
        <v>77</v>
      </c>
      <c r="K661" s="203" t="s">
        <v>82</v>
      </c>
      <c r="L661" s="203" t="s">
        <v>79</v>
      </c>
      <c r="M661" s="1" t="s">
        <v>1309</v>
      </c>
      <c r="N661" s="203" t="s">
        <v>124</v>
      </c>
      <c r="O661" s="203" t="s">
        <v>507</v>
      </c>
      <c r="P661" s="64" t="s">
        <v>750</v>
      </c>
      <c r="R661" s="64" t="s">
        <v>1267</v>
      </c>
      <c r="S661" s="235" t="s">
        <v>104</v>
      </c>
      <c r="T661" s="67" t="s">
        <v>110</v>
      </c>
      <c r="Y661" s="200" t="str">
        <f t="shared" si="1307"/>
        <v>Pass</v>
      </c>
      <c r="Z661" s="11" t="str">
        <f t="shared" si="1323"/>
        <v/>
      </c>
      <c r="AA661" s="206" t="str">
        <f t="shared" si="1324"/>
        <v/>
      </c>
      <c r="AB661" s="206" t="str">
        <f t="shared" si="1325"/>
        <v/>
      </c>
    </row>
    <row r="662" spans="2:28" x14ac:dyDescent="0.25">
      <c r="B662" s="65">
        <v>41788</v>
      </c>
      <c r="C662" s="66">
        <v>41788</v>
      </c>
      <c r="D662" s="68">
        <f t="shared" ref="D662" si="1332">IF(B662&gt;0,MONTH(B662),"False")</f>
        <v>5</v>
      </c>
      <c r="E662" s="66" t="str">
        <f t="shared" ref="E662" si="1333">YEAR(B662) &amp; CHOOSE(D662,"-Jan","-Feb","-Mar","-Apr","-May","-Jun","-Jul","-Aug","-Sep","-Oct","-Nov","-Dec")</f>
        <v>2014-May</v>
      </c>
      <c r="F662" s="68">
        <f t="shared" ref="F662" si="1334">IF(C662&gt;0,MONTH(C662),"False")</f>
        <v>5</v>
      </c>
      <c r="G662" s="203" t="s">
        <v>93</v>
      </c>
      <c r="H662" s="203" t="s">
        <v>166</v>
      </c>
      <c r="J662" s="203" t="s">
        <v>98</v>
      </c>
      <c r="K662" s="203" t="s">
        <v>82</v>
      </c>
      <c r="L662" s="203" t="s">
        <v>79</v>
      </c>
      <c r="M662" s="1" t="s">
        <v>1310</v>
      </c>
      <c r="N662" s="203" t="s">
        <v>124</v>
      </c>
      <c r="O662" s="203" t="s">
        <v>273</v>
      </c>
      <c r="P662" s="64" t="s">
        <v>336</v>
      </c>
      <c r="R662" s="64" t="s">
        <v>1311</v>
      </c>
      <c r="S662" s="1" t="s">
        <v>104</v>
      </c>
      <c r="Y662" s="200" t="str">
        <f t="shared" si="1307"/>
        <v>Pass</v>
      </c>
      <c r="Z662" s="11" t="str">
        <f t="shared" si="1323"/>
        <v/>
      </c>
      <c r="AA662" s="206" t="str">
        <f t="shared" si="1324"/>
        <v/>
      </c>
      <c r="AB662" s="206" t="str">
        <f t="shared" si="1325"/>
        <v/>
      </c>
    </row>
    <row r="663" spans="2:28" x14ac:dyDescent="0.25">
      <c r="B663" s="65">
        <v>41789</v>
      </c>
      <c r="C663" s="66">
        <v>41789</v>
      </c>
      <c r="D663" s="68">
        <f t="shared" ref="D663" si="1335">IF(B663&gt;0,MONTH(B663),"False")</f>
        <v>5</v>
      </c>
      <c r="E663" s="66" t="str">
        <f t="shared" ref="E663" si="1336">YEAR(B663) &amp; CHOOSE(D663,"-Jan","-Feb","-Mar","-Apr","-May","-Jun","-Jul","-Aug","-Sep","-Oct","-Nov","-Dec")</f>
        <v>2014-May</v>
      </c>
      <c r="F663" s="68">
        <f t="shared" ref="F663" si="1337">IF(C663&gt;0,MONTH(C663),"False")</f>
        <v>5</v>
      </c>
      <c r="G663" s="207" t="s">
        <v>105</v>
      </c>
      <c r="H663" s="204" t="s">
        <v>280</v>
      </c>
      <c r="J663" s="204" t="s">
        <v>81</v>
      </c>
      <c r="K663" s="204" t="s">
        <v>82</v>
      </c>
      <c r="L663" s="204" t="s">
        <v>79</v>
      </c>
      <c r="M663" s="1" t="s">
        <v>1313</v>
      </c>
      <c r="N663" s="204" t="s">
        <v>124</v>
      </c>
      <c r="O663" s="204" t="s">
        <v>116</v>
      </c>
      <c r="P663" s="64" t="s">
        <v>305</v>
      </c>
      <c r="R663" s="64" t="s">
        <v>1108</v>
      </c>
      <c r="S663" s="207" t="s">
        <v>104</v>
      </c>
      <c r="X663" s="207" t="s">
        <v>544</v>
      </c>
      <c r="Y663" s="200" t="str">
        <f t="shared" si="1307"/>
        <v>Pass</v>
      </c>
      <c r="Z663" s="11" t="str">
        <f t="shared" si="1323"/>
        <v/>
      </c>
      <c r="AA663" s="206" t="str">
        <f t="shared" si="1324"/>
        <v/>
      </c>
      <c r="AB663" s="206" t="str">
        <f t="shared" si="1325"/>
        <v/>
      </c>
    </row>
    <row r="664" spans="2:28" x14ac:dyDescent="0.25">
      <c r="B664" s="65">
        <v>41789</v>
      </c>
      <c r="C664" s="66">
        <v>41789</v>
      </c>
      <c r="D664" s="68">
        <f t="shared" ref="D664" si="1338">IF(B664&gt;0,MONTH(B664),"False")</f>
        <v>5</v>
      </c>
      <c r="E664" s="66" t="str">
        <f t="shared" ref="E664" si="1339">YEAR(B664) &amp; CHOOSE(D664,"-Jan","-Feb","-Mar","-Apr","-May","-Jun","-Jul","-Aug","-Sep","-Oct","-Nov","-Dec")</f>
        <v>2014-May</v>
      </c>
      <c r="F664" s="68">
        <f t="shared" ref="F664" si="1340">IF(C664&gt;0,MONTH(C664),"False")</f>
        <v>5</v>
      </c>
      <c r="G664" s="207" t="s">
        <v>105</v>
      </c>
      <c r="H664" s="204" t="s">
        <v>280</v>
      </c>
      <c r="J664" s="204" t="s">
        <v>146</v>
      </c>
      <c r="K664" s="204" t="s">
        <v>82</v>
      </c>
      <c r="L664" s="204" t="s">
        <v>79</v>
      </c>
      <c r="M664" s="1" t="s">
        <v>1314</v>
      </c>
      <c r="N664" s="204" t="s">
        <v>124</v>
      </c>
      <c r="O664" s="204" t="s">
        <v>116</v>
      </c>
      <c r="P664" s="64" t="s">
        <v>305</v>
      </c>
      <c r="R664" s="64" t="s">
        <v>1108</v>
      </c>
      <c r="S664" s="207" t="s">
        <v>104</v>
      </c>
      <c r="X664" s="207" t="s">
        <v>544</v>
      </c>
      <c r="Y664" s="200" t="str">
        <f t="shared" si="1307"/>
        <v>Pass</v>
      </c>
      <c r="Z664" s="11" t="str">
        <f t="shared" si="1323"/>
        <v/>
      </c>
      <c r="AA664" s="206" t="str">
        <f t="shared" si="1324"/>
        <v/>
      </c>
      <c r="AB664" s="206" t="str">
        <f t="shared" si="1325"/>
        <v/>
      </c>
    </row>
    <row r="665" spans="2:28" x14ac:dyDescent="0.25">
      <c r="B665" s="65">
        <v>41789</v>
      </c>
      <c r="C665" s="66">
        <v>41795</v>
      </c>
      <c r="D665" s="68">
        <f t="shared" ref="D665:D666" si="1341">IF(B665&gt;0,MONTH(B665),"False")</f>
        <v>5</v>
      </c>
      <c r="E665" s="66" t="str">
        <f t="shared" ref="E665:E666" si="1342">YEAR(B665) &amp; CHOOSE(D665,"-Jan","-Feb","-Mar","-Apr","-May","-Jun","-Jul","-Aug","-Sep","-Oct","-Nov","-Dec")</f>
        <v>2014-May</v>
      </c>
      <c r="F665" s="68">
        <f t="shared" ref="F665:F666" si="1343">IF(C665&gt;0,MONTH(C665),"False")</f>
        <v>6</v>
      </c>
      <c r="G665" s="209" t="s">
        <v>93</v>
      </c>
      <c r="H665" s="204" t="s">
        <v>330</v>
      </c>
      <c r="J665" s="204" t="s">
        <v>81</v>
      </c>
      <c r="K665" s="204" t="s">
        <v>82</v>
      </c>
      <c r="L665" s="206" t="s">
        <v>79</v>
      </c>
      <c r="M665" s="1" t="s">
        <v>1315</v>
      </c>
      <c r="N665" s="204" t="s">
        <v>124</v>
      </c>
      <c r="O665" s="204" t="s">
        <v>285</v>
      </c>
      <c r="P665" s="64" t="s">
        <v>337</v>
      </c>
      <c r="Q665" s="2" t="s">
        <v>1615</v>
      </c>
      <c r="R665" s="64" t="s">
        <v>338</v>
      </c>
      <c r="S665" s="223" t="s">
        <v>104</v>
      </c>
      <c r="Y665" s="200" t="str">
        <f>IF(Q665&gt;0,"Obsolete",IF(S666&gt;0,S666,"Unknown"))</f>
        <v>Obsolete</v>
      </c>
      <c r="Z665" s="11" t="str">
        <f t="shared" si="1323"/>
        <v/>
      </c>
      <c r="AA665" s="206" t="str">
        <f t="shared" si="1324"/>
        <v/>
      </c>
      <c r="AB665" s="206" t="str">
        <f t="shared" si="1325"/>
        <v/>
      </c>
    </row>
    <row r="666" spans="2:28" x14ac:dyDescent="0.25">
      <c r="B666" s="65">
        <v>41789</v>
      </c>
      <c r="C666" s="66">
        <v>41789</v>
      </c>
      <c r="D666" s="68">
        <f t="shared" si="1341"/>
        <v>5</v>
      </c>
      <c r="E666" s="66" t="str">
        <f t="shared" si="1342"/>
        <v>2014-May</v>
      </c>
      <c r="F666" s="68">
        <f t="shared" si="1343"/>
        <v>5</v>
      </c>
      <c r="G666" s="206" t="s">
        <v>105</v>
      </c>
      <c r="H666" s="204" t="s">
        <v>280</v>
      </c>
      <c r="I666" s="204"/>
      <c r="J666" s="204" t="s">
        <v>81</v>
      </c>
      <c r="K666" s="204" t="s">
        <v>82</v>
      </c>
      <c r="L666" s="204" t="s">
        <v>79</v>
      </c>
      <c r="M666" s="1" t="s">
        <v>1316</v>
      </c>
      <c r="N666" s="204" t="s">
        <v>124</v>
      </c>
      <c r="O666" s="204" t="s">
        <v>286</v>
      </c>
      <c r="P666" s="64" t="s">
        <v>305</v>
      </c>
      <c r="R666" s="64" t="s">
        <v>1108</v>
      </c>
      <c r="S666" s="206" t="s">
        <v>104</v>
      </c>
      <c r="T666" s="67" t="s">
        <v>110</v>
      </c>
      <c r="X666" s="206" t="s">
        <v>161</v>
      </c>
      <c r="Y666" s="206" t="str">
        <f>IF(Q666&gt;0,"Obsolete",IF(S667&gt;0,S667,"Unknown"))</f>
        <v>Pass</v>
      </c>
      <c r="Z666" s="11" t="str">
        <f t="shared" si="1323"/>
        <v/>
      </c>
      <c r="AA666" s="206" t="str">
        <f t="shared" si="1324"/>
        <v/>
      </c>
      <c r="AB666" s="206" t="str">
        <f t="shared" si="1325"/>
        <v/>
      </c>
    </row>
    <row r="667" spans="2:28" x14ac:dyDescent="0.25">
      <c r="B667" s="65">
        <v>41789</v>
      </c>
      <c r="C667" s="66">
        <v>41789</v>
      </c>
      <c r="D667" s="68">
        <f t="shared" ref="D667" si="1344">IF(B667&gt;0,MONTH(B667),"False")</f>
        <v>5</v>
      </c>
      <c r="E667" s="66" t="str">
        <f t="shared" ref="E667" si="1345">YEAR(B667) &amp; CHOOSE(D667,"-Jan","-Feb","-Mar","-Apr","-May","-Jun","-Jul","-Aug","-Sep","-Oct","-Nov","-Dec")</f>
        <v>2014-May</v>
      </c>
      <c r="F667" s="68">
        <f t="shared" ref="F667" si="1346">IF(C667&gt;0,MONTH(C667),"False")</f>
        <v>5</v>
      </c>
      <c r="G667" s="204" t="s">
        <v>93</v>
      </c>
      <c r="H667" s="204" t="s">
        <v>136</v>
      </c>
      <c r="J667" s="204" t="s">
        <v>77</v>
      </c>
      <c r="K667" s="204" t="s">
        <v>82</v>
      </c>
      <c r="L667" s="204" t="s">
        <v>79</v>
      </c>
      <c r="M667" s="1" t="s">
        <v>1317</v>
      </c>
      <c r="N667" s="204" t="s">
        <v>124</v>
      </c>
      <c r="O667" s="204" t="s">
        <v>114</v>
      </c>
      <c r="P667" s="64" t="s">
        <v>750</v>
      </c>
      <c r="R667" s="64" t="s">
        <v>1267</v>
      </c>
      <c r="S667" s="280" t="s">
        <v>104</v>
      </c>
      <c r="Y667" s="200" t="str">
        <f t="shared" si="1307"/>
        <v>Pass</v>
      </c>
      <c r="Z667" s="11" t="str">
        <f t="shared" si="1323"/>
        <v/>
      </c>
      <c r="AA667" s="206" t="str">
        <f t="shared" si="1324"/>
        <v/>
      </c>
      <c r="AB667" s="206" t="str">
        <f t="shared" si="1325"/>
        <v/>
      </c>
    </row>
    <row r="668" spans="2:28" x14ac:dyDescent="0.25">
      <c r="B668" s="65">
        <v>41792</v>
      </c>
      <c r="C668" s="66">
        <v>41792</v>
      </c>
      <c r="D668" s="68">
        <f t="shared" ref="D668" si="1347">IF(B668&gt;0,MONTH(B668),"False")</f>
        <v>6</v>
      </c>
      <c r="E668" s="66" t="str">
        <f t="shared" ref="E668" si="1348">YEAR(B668) &amp; CHOOSE(D668,"-Jan","-Feb","-Mar","-Apr","-May","-Jun","-Jul","-Aug","-Sep","-Oct","-Nov","-Dec")</f>
        <v>2014-Jun</v>
      </c>
      <c r="F668" s="68">
        <f t="shared" ref="F668" si="1349">IF(C668&gt;0,MONTH(C668),"False")</f>
        <v>6</v>
      </c>
      <c r="G668" s="206" t="s">
        <v>93</v>
      </c>
      <c r="H668" s="206" t="s">
        <v>136</v>
      </c>
      <c r="J668" s="206" t="s">
        <v>77</v>
      </c>
      <c r="K668" s="206" t="s">
        <v>82</v>
      </c>
      <c r="L668" s="206" t="s">
        <v>79</v>
      </c>
      <c r="M668" s="1" t="s">
        <v>1330</v>
      </c>
      <c r="N668" s="206" t="s">
        <v>124</v>
      </c>
      <c r="O668" s="206" t="s">
        <v>114</v>
      </c>
      <c r="P668" s="64" t="s">
        <v>750</v>
      </c>
      <c r="R668" s="64" t="s">
        <v>1267</v>
      </c>
      <c r="S668" s="235" t="s">
        <v>104</v>
      </c>
      <c r="Y668" s="206" t="str">
        <f t="shared" si="1307"/>
        <v>Pass</v>
      </c>
      <c r="Z668" s="11" t="str">
        <f t="shared" si="1323"/>
        <v/>
      </c>
      <c r="AA668" s="206" t="str">
        <f t="shared" si="1324"/>
        <v/>
      </c>
      <c r="AB668" s="206" t="str">
        <f t="shared" si="1325"/>
        <v/>
      </c>
    </row>
    <row r="669" spans="2:28" x14ac:dyDescent="0.25">
      <c r="B669" s="65">
        <v>41792</v>
      </c>
      <c r="C669" s="66">
        <v>41792</v>
      </c>
      <c r="D669" s="68">
        <f t="shared" ref="D669" si="1350">IF(B669&gt;0,MONTH(B669),"False")</f>
        <v>6</v>
      </c>
      <c r="E669" s="66" t="str">
        <f t="shared" ref="E669" si="1351">YEAR(B669) &amp; CHOOSE(D669,"-Jan","-Feb","-Mar","-Apr","-May","-Jun","-Jul","-Aug","-Sep","-Oct","-Nov","-Dec")</f>
        <v>2014-Jun</v>
      </c>
      <c r="F669" s="68">
        <f t="shared" ref="F669" si="1352">IF(C669&gt;0,MONTH(C669),"False")</f>
        <v>6</v>
      </c>
      <c r="G669" s="206" t="s">
        <v>93</v>
      </c>
      <c r="H669" s="206" t="s">
        <v>166</v>
      </c>
      <c r="J669" s="206" t="s">
        <v>77</v>
      </c>
      <c r="K669" s="206" t="s">
        <v>82</v>
      </c>
      <c r="L669" s="206" t="s">
        <v>79</v>
      </c>
      <c r="M669" s="1" t="s">
        <v>1331</v>
      </c>
      <c r="N669" s="206" t="s">
        <v>124</v>
      </c>
      <c r="O669" s="206" t="s">
        <v>353</v>
      </c>
      <c r="P669" s="64" t="s">
        <v>319</v>
      </c>
      <c r="R669" s="64" t="s">
        <v>320</v>
      </c>
      <c r="S669" s="235" t="s">
        <v>104</v>
      </c>
      <c r="Y669" s="206" t="str">
        <f t="shared" si="1307"/>
        <v>Pass</v>
      </c>
      <c r="Z669" s="11" t="str">
        <f t="shared" si="1323"/>
        <v/>
      </c>
      <c r="AA669" s="206" t="str">
        <f t="shared" si="1324"/>
        <v/>
      </c>
      <c r="AB669" s="206" t="str">
        <f t="shared" si="1325"/>
        <v/>
      </c>
    </row>
    <row r="670" spans="2:28" x14ac:dyDescent="0.25">
      <c r="B670" s="66">
        <v>41793</v>
      </c>
      <c r="C670" s="66">
        <v>41793</v>
      </c>
      <c r="D670" s="68">
        <f t="shared" ref="D670" si="1353">IF(B670&gt;0,MONTH(B670),"False")</f>
        <v>6</v>
      </c>
      <c r="E670" s="66" t="str">
        <f t="shared" ref="E670" si="1354">YEAR(B670) &amp; CHOOSE(D670,"-Jan","-Feb","-Mar","-Apr","-May","-Jun","-Jul","-Aug","-Sep","-Oct","-Nov","-Dec")</f>
        <v>2014-Jun</v>
      </c>
      <c r="F670" s="68">
        <f t="shared" ref="F670" si="1355">IF(C670&gt;0,MONTH(C670),"False")</f>
        <v>6</v>
      </c>
      <c r="G670" s="207" t="s">
        <v>87</v>
      </c>
      <c r="H670" s="207" t="s">
        <v>330</v>
      </c>
      <c r="J670" s="207" t="s">
        <v>78</v>
      </c>
      <c r="K670" s="207" t="s">
        <v>78</v>
      </c>
      <c r="L670" s="207" t="s">
        <v>79</v>
      </c>
      <c r="M670" s="1" t="s">
        <v>1333</v>
      </c>
      <c r="N670" s="207" t="s">
        <v>124</v>
      </c>
      <c r="O670" s="207" t="s">
        <v>306</v>
      </c>
      <c r="Q670" s="2" t="s">
        <v>88</v>
      </c>
      <c r="R670" s="64" t="s">
        <v>339</v>
      </c>
      <c r="S670" s="223" t="s">
        <v>104</v>
      </c>
      <c r="Y670" s="206" t="str">
        <f t="shared" si="1307"/>
        <v>Obsolete</v>
      </c>
      <c r="Z670" s="11">
        <f t="shared" si="1323"/>
        <v>41793</v>
      </c>
      <c r="AA670" s="206" t="str">
        <f t="shared" si="1324"/>
        <v>2014 - 23</v>
      </c>
      <c r="AB670" s="206">
        <f t="shared" si="1325"/>
        <v>2014</v>
      </c>
    </row>
    <row r="671" spans="2:28" x14ac:dyDescent="0.25">
      <c r="B671" s="65">
        <v>41793</v>
      </c>
      <c r="C671" s="66">
        <v>41793</v>
      </c>
      <c r="D671" s="68">
        <f t="shared" ref="D671:D672" si="1356">IF(B671&gt;0,MONTH(B671),"False")</f>
        <v>6</v>
      </c>
      <c r="E671" s="66" t="str">
        <f t="shared" ref="E671:E672" si="1357">YEAR(B671) &amp; CHOOSE(D671,"-Jan","-Feb","-Mar","-Apr","-May","-Jun","-Jul","-Aug","-Sep","-Oct","-Nov","-Dec")</f>
        <v>2014-Jun</v>
      </c>
      <c r="F671" s="68">
        <f t="shared" ref="F671:F672" si="1358">IF(C671&gt;0,MONTH(C671),"False")</f>
        <v>6</v>
      </c>
      <c r="G671" s="207" t="s">
        <v>93</v>
      </c>
      <c r="H671" s="207" t="s">
        <v>136</v>
      </c>
      <c r="J671" s="207" t="s">
        <v>77</v>
      </c>
      <c r="K671" s="207" t="s">
        <v>82</v>
      </c>
      <c r="L671" s="207" t="s">
        <v>79</v>
      </c>
      <c r="M671" s="1" t="s">
        <v>1334</v>
      </c>
      <c r="N671" s="207" t="s">
        <v>124</v>
      </c>
      <c r="O671" s="207" t="s">
        <v>114</v>
      </c>
      <c r="P671" s="64" t="s">
        <v>750</v>
      </c>
      <c r="R671" s="64" t="s">
        <v>1267</v>
      </c>
      <c r="S671" s="235" t="s">
        <v>104</v>
      </c>
      <c r="T671" s="67" t="s">
        <v>110</v>
      </c>
      <c r="Y671" s="206" t="str">
        <f t="shared" si="1307"/>
        <v>Pass</v>
      </c>
      <c r="Z671" s="11" t="str">
        <f t="shared" si="1323"/>
        <v/>
      </c>
      <c r="AA671" s="206" t="str">
        <f t="shared" si="1324"/>
        <v/>
      </c>
      <c r="AB671" s="206" t="str">
        <f t="shared" si="1325"/>
        <v/>
      </c>
    </row>
    <row r="672" spans="2:28" x14ac:dyDescent="0.25">
      <c r="B672" s="66">
        <v>41793</v>
      </c>
      <c r="C672" s="66">
        <v>41793</v>
      </c>
      <c r="D672" s="68">
        <f t="shared" si="1356"/>
        <v>6</v>
      </c>
      <c r="E672" s="66" t="str">
        <f t="shared" si="1357"/>
        <v>2014-Jun</v>
      </c>
      <c r="F672" s="68">
        <f t="shared" si="1358"/>
        <v>6</v>
      </c>
      <c r="G672" s="207" t="s">
        <v>87</v>
      </c>
      <c r="H672" s="207" t="s">
        <v>28</v>
      </c>
      <c r="J672" s="207" t="s">
        <v>78</v>
      </c>
      <c r="K672" s="207" t="s">
        <v>78</v>
      </c>
      <c r="L672" s="207" t="s">
        <v>79</v>
      </c>
      <c r="M672" s="1" t="s">
        <v>1335</v>
      </c>
      <c r="N672" s="207" t="s">
        <v>124</v>
      </c>
      <c r="O672" s="207" t="s">
        <v>168</v>
      </c>
      <c r="Q672" s="2" t="s">
        <v>88</v>
      </c>
      <c r="R672" s="64" t="s">
        <v>308</v>
      </c>
      <c r="Y672" s="206" t="str">
        <f t="shared" si="1307"/>
        <v>Obsolete</v>
      </c>
      <c r="Z672" s="11">
        <f t="shared" si="1323"/>
        <v>41793</v>
      </c>
      <c r="AA672" s="206" t="str">
        <f t="shared" si="1324"/>
        <v>2014 - 23</v>
      </c>
      <c r="AB672" s="206">
        <f t="shared" si="1325"/>
        <v>2014</v>
      </c>
    </row>
    <row r="673" spans="2:28" x14ac:dyDescent="0.25">
      <c r="B673" s="66">
        <v>41794</v>
      </c>
      <c r="C673" s="66">
        <v>41794</v>
      </c>
      <c r="D673" s="68">
        <f t="shared" ref="D673:D674" si="1359">IF(B673&gt;0,MONTH(B673),"False")</f>
        <v>6</v>
      </c>
      <c r="E673" s="66" t="str">
        <f t="shared" ref="E673:E674" si="1360">YEAR(B673) &amp; CHOOSE(D673,"-Jan","-Feb","-Mar","-Apr","-May","-Jun","-Jul","-Aug","-Sep","-Oct","-Nov","-Dec")</f>
        <v>2014-Jun</v>
      </c>
      <c r="F673" s="68">
        <f t="shared" ref="F673:F674" si="1361">IF(C673&gt;0,MONTH(C673),"False")</f>
        <v>6</v>
      </c>
      <c r="G673" s="208" t="s">
        <v>87</v>
      </c>
      <c r="H673" s="208" t="s">
        <v>348</v>
      </c>
      <c r="J673" s="208" t="s">
        <v>78</v>
      </c>
      <c r="K673" s="208" t="s">
        <v>78</v>
      </c>
      <c r="L673" s="208" t="s">
        <v>79</v>
      </c>
      <c r="M673" s="1" t="s">
        <v>1336</v>
      </c>
      <c r="N673" s="208" t="s">
        <v>124</v>
      </c>
      <c r="O673" s="208" t="s">
        <v>145</v>
      </c>
      <c r="R673" s="64" t="s">
        <v>1337</v>
      </c>
      <c r="S673" s="235" t="s">
        <v>104</v>
      </c>
      <c r="Y673" s="206" t="str">
        <f t="shared" si="1307"/>
        <v>Pass</v>
      </c>
      <c r="Z673" s="11" t="str">
        <f t="shared" si="1323"/>
        <v/>
      </c>
      <c r="AA673" s="206" t="str">
        <f t="shared" si="1324"/>
        <v/>
      </c>
      <c r="AB673" s="206" t="str">
        <f t="shared" si="1325"/>
        <v/>
      </c>
    </row>
    <row r="674" spans="2:28" x14ac:dyDescent="0.25">
      <c r="B674" s="65">
        <v>41794</v>
      </c>
      <c r="C674" s="66">
        <v>41794</v>
      </c>
      <c r="D674" s="68">
        <f t="shared" si="1359"/>
        <v>6</v>
      </c>
      <c r="E674" s="66" t="str">
        <f t="shared" si="1360"/>
        <v>2014-Jun</v>
      </c>
      <c r="F674" s="68">
        <f t="shared" si="1361"/>
        <v>6</v>
      </c>
      <c r="G674" s="208" t="s">
        <v>93</v>
      </c>
      <c r="H674" s="208" t="s">
        <v>348</v>
      </c>
      <c r="J674" s="208" t="s">
        <v>77</v>
      </c>
      <c r="K674" s="208" t="s">
        <v>82</v>
      </c>
      <c r="L674" s="208" t="s">
        <v>79</v>
      </c>
      <c r="M674" s="1" t="s">
        <v>1338</v>
      </c>
      <c r="N674" s="208" t="s">
        <v>124</v>
      </c>
      <c r="O674" s="208" t="s">
        <v>285</v>
      </c>
      <c r="P674" s="64" t="s">
        <v>352</v>
      </c>
      <c r="R674" s="64" t="s">
        <v>1289</v>
      </c>
      <c r="S674" s="235" t="s">
        <v>104</v>
      </c>
      <c r="Y674" s="206" t="str">
        <f t="shared" si="1307"/>
        <v>Pass</v>
      </c>
      <c r="Z674" s="11" t="str">
        <f t="shared" si="1323"/>
        <v/>
      </c>
      <c r="AA674" s="206" t="str">
        <f t="shared" si="1324"/>
        <v/>
      </c>
      <c r="AB674" s="206" t="str">
        <f t="shared" si="1325"/>
        <v/>
      </c>
    </row>
    <row r="675" spans="2:28" x14ac:dyDescent="0.25">
      <c r="B675" s="65">
        <v>41794</v>
      </c>
      <c r="C675" s="66">
        <v>41794</v>
      </c>
      <c r="D675" s="68">
        <f t="shared" ref="D675" si="1362">IF(B675&gt;0,MONTH(B675),"False")</f>
        <v>6</v>
      </c>
      <c r="E675" s="66" t="str">
        <f t="shared" ref="E675" si="1363">YEAR(B675) &amp; CHOOSE(D675,"-Jan","-Feb","-Mar","-Apr","-May","-Jun","-Jul","-Aug","-Sep","-Oct","-Nov","-Dec")</f>
        <v>2014-Jun</v>
      </c>
      <c r="F675" s="68">
        <f t="shared" ref="F675" si="1364">IF(C675&gt;0,MONTH(C675),"False")</f>
        <v>6</v>
      </c>
      <c r="G675" s="208" t="s">
        <v>93</v>
      </c>
      <c r="H675" s="208" t="s">
        <v>348</v>
      </c>
      <c r="J675" s="208" t="s">
        <v>77</v>
      </c>
      <c r="K675" s="208" t="s">
        <v>82</v>
      </c>
      <c r="L675" s="208" t="s">
        <v>79</v>
      </c>
      <c r="M675" s="1" t="s">
        <v>1339</v>
      </c>
      <c r="N675" s="208" t="s">
        <v>124</v>
      </c>
      <c r="O675" s="208" t="s">
        <v>114</v>
      </c>
      <c r="P675" s="64" t="s">
        <v>750</v>
      </c>
      <c r="R675" s="64" t="s">
        <v>1267</v>
      </c>
      <c r="S675" s="235" t="s">
        <v>104</v>
      </c>
      <c r="Y675" s="206" t="str">
        <f t="shared" si="1307"/>
        <v>Pass</v>
      </c>
      <c r="Z675" s="11" t="str">
        <f t="shared" si="1323"/>
        <v/>
      </c>
      <c r="AA675" s="206" t="str">
        <f t="shared" si="1324"/>
        <v/>
      </c>
      <c r="AB675" s="206" t="str">
        <f t="shared" si="1325"/>
        <v/>
      </c>
    </row>
    <row r="676" spans="2:28" x14ac:dyDescent="0.25">
      <c r="B676" s="65">
        <v>41794</v>
      </c>
      <c r="C676" s="66">
        <v>41794</v>
      </c>
      <c r="D676" s="68">
        <f t="shared" ref="D676:D677" si="1365">IF(B676&gt;0,MONTH(B676),"False")</f>
        <v>6</v>
      </c>
      <c r="E676" s="66" t="str">
        <f t="shared" ref="E676:E677" si="1366">YEAR(B676) &amp; CHOOSE(D676,"-Jan","-Feb","-Mar","-Apr","-May","-Jun","-Jul","-Aug","-Sep","-Oct","-Nov","-Dec")</f>
        <v>2014-Jun</v>
      </c>
      <c r="F676" s="68">
        <f t="shared" ref="F676:F677" si="1367">IF(C676&gt;0,MONTH(C676),"False")</f>
        <v>6</v>
      </c>
      <c r="G676" s="212" t="s">
        <v>121</v>
      </c>
      <c r="H676" s="208" t="s">
        <v>280</v>
      </c>
      <c r="J676" s="208" t="s">
        <v>81</v>
      </c>
      <c r="K676" s="208" t="s">
        <v>82</v>
      </c>
      <c r="L676" s="208" t="s">
        <v>79</v>
      </c>
      <c r="M676" s="1" t="s">
        <v>1340</v>
      </c>
      <c r="N676" s="208" t="s">
        <v>124</v>
      </c>
      <c r="O676" s="208" t="s">
        <v>286</v>
      </c>
      <c r="P676" s="64" t="s">
        <v>305</v>
      </c>
      <c r="R676" s="64" t="s">
        <v>1108</v>
      </c>
      <c r="S676" s="212" t="s">
        <v>104</v>
      </c>
      <c r="X676" s="212" t="s">
        <v>544</v>
      </c>
      <c r="Y676" s="206" t="str">
        <f t="shared" si="1307"/>
        <v>Pass</v>
      </c>
      <c r="Z676" s="11" t="str">
        <f t="shared" si="1323"/>
        <v/>
      </c>
      <c r="AA676" s="206" t="str">
        <f t="shared" si="1324"/>
        <v/>
      </c>
      <c r="AB676" s="206" t="str">
        <f t="shared" si="1325"/>
        <v/>
      </c>
    </row>
    <row r="677" spans="2:28" x14ac:dyDescent="0.25">
      <c r="B677" s="66">
        <v>41794</v>
      </c>
      <c r="C677" s="66">
        <v>41794</v>
      </c>
      <c r="D677" s="68">
        <f t="shared" si="1365"/>
        <v>6</v>
      </c>
      <c r="E677" s="66" t="str">
        <f t="shared" si="1366"/>
        <v>2014-Jun</v>
      </c>
      <c r="F677" s="68">
        <f t="shared" si="1367"/>
        <v>6</v>
      </c>
      <c r="G677" s="208" t="s">
        <v>87</v>
      </c>
      <c r="H677" s="208" t="s">
        <v>136</v>
      </c>
      <c r="J677" s="208" t="s">
        <v>98</v>
      </c>
      <c r="K677" s="208" t="s">
        <v>84</v>
      </c>
      <c r="L677" s="208" t="s">
        <v>83</v>
      </c>
      <c r="M677" s="1" t="s">
        <v>1341</v>
      </c>
      <c r="N677" s="208" t="s">
        <v>124</v>
      </c>
      <c r="O677" s="208" t="s">
        <v>1026</v>
      </c>
      <c r="R677" s="64" t="s">
        <v>1342</v>
      </c>
      <c r="Y677" s="206" t="str">
        <f t="shared" si="1307"/>
        <v>Unknown</v>
      </c>
      <c r="Z677" s="11" t="str">
        <f t="shared" si="1323"/>
        <v/>
      </c>
      <c r="AA677" s="206" t="str">
        <f t="shared" si="1324"/>
        <v/>
      </c>
      <c r="AB677" s="206" t="str">
        <f t="shared" si="1325"/>
        <v/>
      </c>
    </row>
    <row r="678" spans="2:28" x14ac:dyDescent="0.25">
      <c r="B678" s="66">
        <v>41795</v>
      </c>
      <c r="C678" s="66">
        <v>41795</v>
      </c>
      <c r="D678" s="68">
        <f t="shared" ref="D678:D679" si="1368">IF(B678&gt;0,MONTH(B678),"False")</f>
        <v>6</v>
      </c>
      <c r="E678" s="66" t="str">
        <f t="shared" ref="E678:E679" si="1369">YEAR(B678) &amp; CHOOSE(D678,"-Jan","-Feb","-Mar","-Apr","-May","-Jun","-Jul","-Aug","-Sep","-Oct","-Nov","-Dec")</f>
        <v>2014-Jun</v>
      </c>
      <c r="F678" s="68">
        <f t="shared" ref="F678:F679" si="1370">IF(C678&gt;0,MONTH(C678),"False")</f>
        <v>6</v>
      </c>
      <c r="G678" s="209" t="s">
        <v>87</v>
      </c>
      <c r="H678" s="209" t="s">
        <v>76</v>
      </c>
      <c r="J678" s="209" t="s">
        <v>78</v>
      </c>
      <c r="K678" s="209" t="s">
        <v>78</v>
      </c>
      <c r="L678" s="209" t="s">
        <v>79</v>
      </c>
      <c r="M678" s="1" t="s">
        <v>1343</v>
      </c>
      <c r="N678" s="209" t="s">
        <v>124</v>
      </c>
      <c r="O678" s="209" t="s">
        <v>304</v>
      </c>
      <c r="Q678" s="2" t="s">
        <v>88</v>
      </c>
      <c r="R678" s="64" t="s">
        <v>1038</v>
      </c>
      <c r="Y678" s="206" t="str">
        <f t="shared" si="1307"/>
        <v>Obsolete</v>
      </c>
      <c r="Z678" s="11">
        <f t="shared" si="1323"/>
        <v>41795</v>
      </c>
      <c r="AA678" s="206" t="str">
        <f t="shared" si="1324"/>
        <v>2014 - 23</v>
      </c>
      <c r="AB678" s="206">
        <f t="shared" si="1325"/>
        <v>2014</v>
      </c>
    </row>
    <row r="679" spans="2:28" x14ac:dyDescent="0.25">
      <c r="B679" s="65">
        <v>41795</v>
      </c>
      <c r="C679" s="66">
        <v>41795</v>
      </c>
      <c r="D679" s="68">
        <f t="shared" si="1368"/>
        <v>6</v>
      </c>
      <c r="E679" s="66" t="str">
        <f t="shared" si="1369"/>
        <v>2014-Jun</v>
      </c>
      <c r="F679" s="68">
        <f t="shared" si="1370"/>
        <v>6</v>
      </c>
      <c r="G679" s="209" t="s">
        <v>93</v>
      </c>
      <c r="H679" s="209" t="s">
        <v>103</v>
      </c>
      <c r="J679" s="209" t="s">
        <v>77</v>
      </c>
      <c r="K679" s="209" t="s">
        <v>82</v>
      </c>
      <c r="L679" s="209" t="s">
        <v>79</v>
      </c>
      <c r="M679" s="1" t="s">
        <v>1344</v>
      </c>
      <c r="N679" s="209" t="s">
        <v>124</v>
      </c>
      <c r="O679" s="209" t="s">
        <v>272</v>
      </c>
      <c r="P679" s="64" t="s">
        <v>351</v>
      </c>
      <c r="Q679" s="2" t="s">
        <v>88</v>
      </c>
      <c r="R679" s="64" t="s">
        <v>361</v>
      </c>
      <c r="Y679" s="206" t="str">
        <f t="shared" si="1307"/>
        <v>Obsolete</v>
      </c>
      <c r="Z679" s="11">
        <f t="shared" si="1323"/>
        <v>41795</v>
      </c>
      <c r="AA679" s="206" t="str">
        <f t="shared" si="1324"/>
        <v>2014 - 23</v>
      </c>
      <c r="AB679" s="206">
        <f t="shared" si="1325"/>
        <v>2014</v>
      </c>
    </row>
    <row r="680" spans="2:28" x14ac:dyDescent="0.25">
      <c r="B680" s="65">
        <v>41795</v>
      </c>
      <c r="C680" s="66">
        <v>41796</v>
      </c>
      <c r="D680" s="68">
        <f t="shared" ref="D680" si="1371">IF(B680&gt;0,MONTH(B680),"False")</f>
        <v>6</v>
      </c>
      <c r="E680" s="66" t="str">
        <f t="shared" ref="E680" si="1372">YEAR(B680) &amp; CHOOSE(D680,"-Jan","-Feb","-Mar","-Apr","-May","-Jun","-Jul","-Aug","-Sep","-Oct","-Nov","-Dec")</f>
        <v>2014-Jun</v>
      </c>
      <c r="F680" s="68">
        <f t="shared" ref="F680" si="1373">IF(C680&gt;0,MONTH(C680),"False")</f>
        <v>6</v>
      </c>
      <c r="G680" s="211" t="s">
        <v>105</v>
      </c>
      <c r="H680" s="209" t="s">
        <v>280</v>
      </c>
      <c r="J680" s="209" t="s">
        <v>81</v>
      </c>
      <c r="K680" s="209" t="s">
        <v>82</v>
      </c>
      <c r="L680" s="209" t="s">
        <v>79</v>
      </c>
      <c r="M680" s="1" t="s">
        <v>1345</v>
      </c>
      <c r="N680" s="209" t="s">
        <v>124</v>
      </c>
      <c r="O680" s="209" t="s">
        <v>116</v>
      </c>
      <c r="P680" s="64" t="s">
        <v>305</v>
      </c>
      <c r="R680" s="64" t="s">
        <v>1108</v>
      </c>
      <c r="S680" s="211" t="s">
        <v>104</v>
      </c>
      <c r="X680" s="211" t="s">
        <v>544</v>
      </c>
      <c r="Y680" s="206" t="str">
        <f t="shared" si="1307"/>
        <v>Pass</v>
      </c>
      <c r="Z680" s="11" t="str">
        <f t="shared" si="1323"/>
        <v/>
      </c>
      <c r="AA680" s="206" t="str">
        <f t="shared" si="1324"/>
        <v/>
      </c>
      <c r="AB680" s="206" t="str">
        <f t="shared" si="1325"/>
        <v/>
      </c>
    </row>
    <row r="681" spans="2:28" x14ac:dyDescent="0.25">
      <c r="B681" s="66">
        <v>41796</v>
      </c>
      <c r="C681" s="66">
        <v>41796</v>
      </c>
      <c r="D681" s="68">
        <f t="shared" ref="D681:D682" si="1374">IF(B681&gt;0,MONTH(B681),"False")</f>
        <v>6</v>
      </c>
      <c r="E681" s="66" t="str">
        <f t="shared" ref="E681:E682" si="1375">YEAR(B681) &amp; CHOOSE(D681,"-Jan","-Feb","-Mar","-Apr","-May","-Jun","-Jul","-Aug","-Sep","-Oct","-Nov","-Dec")</f>
        <v>2014-Jun</v>
      </c>
      <c r="F681" s="68">
        <f t="shared" ref="F681:F682" si="1376">IF(C681&gt;0,MONTH(C681),"False")</f>
        <v>6</v>
      </c>
      <c r="G681" s="213" t="s">
        <v>112</v>
      </c>
      <c r="H681" s="210" t="s">
        <v>103</v>
      </c>
      <c r="J681" s="210" t="s">
        <v>78</v>
      </c>
      <c r="K681" s="210" t="s">
        <v>78</v>
      </c>
      <c r="L681" s="210" t="s">
        <v>79</v>
      </c>
      <c r="M681" s="1" t="s">
        <v>1346</v>
      </c>
      <c r="N681" s="210" t="s">
        <v>124</v>
      </c>
      <c r="O681" s="210" t="s">
        <v>332</v>
      </c>
      <c r="R681" s="64" t="s">
        <v>475</v>
      </c>
      <c r="S681" s="213" t="s">
        <v>104</v>
      </c>
      <c r="X681" s="213" t="s">
        <v>472</v>
      </c>
      <c r="Y681" s="206" t="str">
        <f t="shared" si="1307"/>
        <v>Pass</v>
      </c>
      <c r="Z681" s="11" t="str">
        <f t="shared" si="1323"/>
        <v/>
      </c>
      <c r="AA681" s="206" t="str">
        <f t="shared" si="1324"/>
        <v/>
      </c>
      <c r="AB681" s="206" t="str">
        <f t="shared" si="1325"/>
        <v/>
      </c>
    </row>
    <row r="682" spans="2:28" x14ac:dyDescent="0.25">
      <c r="B682" s="65">
        <v>41796</v>
      </c>
      <c r="C682" s="66">
        <v>41796</v>
      </c>
      <c r="D682" s="68">
        <f t="shared" si="1374"/>
        <v>6</v>
      </c>
      <c r="E682" s="66" t="str">
        <f t="shared" si="1375"/>
        <v>2014-Jun</v>
      </c>
      <c r="F682" s="68">
        <f t="shared" si="1376"/>
        <v>6</v>
      </c>
      <c r="G682" s="212" t="s">
        <v>121</v>
      </c>
      <c r="H682" s="210" t="s">
        <v>166</v>
      </c>
      <c r="J682" s="210" t="s">
        <v>146</v>
      </c>
      <c r="K682" s="210" t="s">
        <v>82</v>
      </c>
      <c r="L682" s="210" t="s">
        <v>79</v>
      </c>
      <c r="M682" s="1" t="s">
        <v>1347</v>
      </c>
      <c r="N682" s="210" t="s">
        <v>124</v>
      </c>
      <c r="O682" s="210" t="s">
        <v>302</v>
      </c>
      <c r="P682" s="64" t="s">
        <v>485</v>
      </c>
      <c r="R682" s="64" t="s">
        <v>920</v>
      </c>
      <c r="S682" s="212" t="s">
        <v>104</v>
      </c>
      <c r="X682" s="212" t="s">
        <v>1365</v>
      </c>
      <c r="Y682" s="206" t="str">
        <f t="shared" si="1307"/>
        <v>Pass</v>
      </c>
      <c r="Z682" s="11" t="str">
        <f t="shared" si="1323"/>
        <v/>
      </c>
      <c r="AA682" s="206" t="str">
        <f t="shared" si="1324"/>
        <v/>
      </c>
      <c r="AB682" s="206" t="str">
        <f t="shared" si="1325"/>
        <v/>
      </c>
    </row>
    <row r="683" spans="2:28" x14ac:dyDescent="0.25">
      <c r="B683" s="65">
        <v>41796</v>
      </c>
      <c r="C683" s="66">
        <v>41796</v>
      </c>
      <c r="D683" s="68">
        <f t="shared" ref="D683" si="1377">IF(B683&gt;0,MONTH(B683),"False")</f>
        <v>6</v>
      </c>
      <c r="E683" s="66" t="str">
        <f t="shared" ref="E683" si="1378">YEAR(B683) &amp; CHOOSE(D683,"-Jan","-Feb","-Mar","-Apr","-May","-Jun","-Jul","-Aug","-Sep","-Oct","-Nov","-Dec")</f>
        <v>2014-Jun</v>
      </c>
      <c r="F683" s="68">
        <f t="shared" ref="F683" si="1379">IF(C683&gt;0,MONTH(C683),"False")</f>
        <v>6</v>
      </c>
      <c r="G683" s="212" t="s">
        <v>121</v>
      </c>
      <c r="H683" s="210" t="s">
        <v>280</v>
      </c>
      <c r="J683" s="210" t="s">
        <v>81</v>
      </c>
      <c r="K683" s="210" t="s">
        <v>82</v>
      </c>
      <c r="L683" s="210" t="s">
        <v>79</v>
      </c>
      <c r="M683" s="1" t="s">
        <v>1348</v>
      </c>
      <c r="N683" s="210" t="s">
        <v>124</v>
      </c>
      <c r="O683" s="210" t="s">
        <v>286</v>
      </c>
      <c r="P683" s="64" t="s">
        <v>305</v>
      </c>
      <c r="R683" s="64" t="s">
        <v>1108</v>
      </c>
      <c r="S683" s="212" t="s">
        <v>104</v>
      </c>
      <c r="X683" s="212" t="s">
        <v>544</v>
      </c>
      <c r="Y683" s="206" t="str">
        <f t="shared" si="1307"/>
        <v>Pass</v>
      </c>
      <c r="Z683" s="11" t="str">
        <f t="shared" si="1323"/>
        <v/>
      </c>
      <c r="AA683" s="206" t="str">
        <f t="shared" si="1324"/>
        <v/>
      </c>
      <c r="AB683" s="206" t="str">
        <f t="shared" si="1325"/>
        <v/>
      </c>
    </row>
    <row r="684" spans="2:28" x14ac:dyDescent="0.25">
      <c r="B684" s="65">
        <v>41796</v>
      </c>
      <c r="C684" s="66">
        <v>41796</v>
      </c>
      <c r="D684" s="68">
        <f t="shared" ref="D684:D685" si="1380">IF(B684&gt;0,MONTH(B684),"False")</f>
        <v>6</v>
      </c>
      <c r="E684" s="66" t="str">
        <f t="shared" ref="E684:E685" si="1381">YEAR(B684) &amp; CHOOSE(D684,"-Jan","-Feb","-Mar","-Apr","-May","-Jun","-Jul","-Aug","-Sep","-Oct","-Nov","-Dec")</f>
        <v>2014-Jun</v>
      </c>
      <c r="F684" s="68">
        <f t="shared" ref="F684:F685" si="1382">IF(C684&gt;0,MONTH(C684),"False")</f>
        <v>6</v>
      </c>
      <c r="G684" s="210" t="s">
        <v>93</v>
      </c>
      <c r="H684" s="210" t="s">
        <v>280</v>
      </c>
      <c r="I684" s="210"/>
      <c r="J684" s="210" t="s">
        <v>81</v>
      </c>
      <c r="K684" s="210" t="s">
        <v>82</v>
      </c>
      <c r="L684" s="210" t="s">
        <v>79</v>
      </c>
      <c r="M684" s="210" t="s">
        <v>1349</v>
      </c>
      <c r="N684" s="210" t="s">
        <v>124</v>
      </c>
      <c r="O684" s="210" t="s">
        <v>286</v>
      </c>
      <c r="P684" s="64" t="s">
        <v>305</v>
      </c>
      <c r="R684" s="64" t="s">
        <v>1108</v>
      </c>
      <c r="S684" s="291" t="s">
        <v>104</v>
      </c>
      <c r="Y684" s="206" t="str">
        <f t="shared" si="1307"/>
        <v>Pass</v>
      </c>
      <c r="Z684" s="11" t="str">
        <f t="shared" si="1323"/>
        <v/>
      </c>
      <c r="AA684" s="206" t="str">
        <f t="shared" si="1324"/>
        <v/>
      </c>
      <c r="AB684" s="206" t="str">
        <f t="shared" si="1325"/>
        <v/>
      </c>
    </row>
    <row r="685" spans="2:28" x14ac:dyDescent="0.25">
      <c r="B685" s="66">
        <v>41796</v>
      </c>
      <c r="C685" s="66">
        <v>41796</v>
      </c>
      <c r="D685" s="68">
        <f t="shared" si="1380"/>
        <v>6</v>
      </c>
      <c r="E685" s="66" t="str">
        <f t="shared" si="1381"/>
        <v>2014-Jun</v>
      </c>
      <c r="F685" s="68">
        <f t="shared" si="1382"/>
        <v>6</v>
      </c>
      <c r="G685" s="213" t="s">
        <v>126</v>
      </c>
      <c r="H685" s="210" t="s">
        <v>280</v>
      </c>
      <c r="J685" s="210" t="s">
        <v>78</v>
      </c>
      <c r="K685" s="210" t="s">
        <v>78</v>
      </c>
      <c r="L685" s="210" t="s">
        <v>79</v>
      </c>
      <c r="M685" s="1" t="s">
        <v>1350</v>
      </c>
      <c r="N685" s="210" t="s">
        <v>124</v>
      </c>
      <c r="O685" s="210" t="s">
        <v>304</v>
      </c>
      <c r="R685" s="64" t="s">
        <v>344</v>
      </c>
      <c r="S685" s="213" t="s">
        <v>104</v>
      </c>
      <c r="X685" s="213" t="s">
        <v>544</v>
      </c>
      <c r="Y685" s="206" t="str">
        <f t="shared" si="1307"/>
        <v>Pass</v>
      </c>
      <c r="Z685" s="11" t="str">
        <f t="shared" si="1323"/>
        <v/>
      </c>
      <c r="AA685" s="206" t="str">
        <f t="shared" si="1324"/>
        <v/>
      </c>
      <c r="AB685" s="206" t="str">
        <f t="shared" si="1325"/>
        <v/>
      </c>
    </row>
    <row r="686" spans="2:28" x14ac:dyDescent="0.25">
      <c r="B686" s="66">
        <v>41796</v>
      </c>
      <c r="C686" s="66">
        <v>41796</v>
      </c>
      <c r="D686" s="68">
        <f t="shared" ref="D686" si="1383">IF(B686&gt;0,MONTH(B686),"False")</f>
        <v>6</v>
      </c>
      <c r="E686" s="66" t="str">
        <f t="shared" ref="E686" si="1384">YEAR(B686) &amp; CHOOSE(D686,"-Jan","-Feb","-Mar","-Apr","-May","-Jun","-Jul","-Aug","-Sep","-Oct","-Nov","-Dec")</f>
        <v>2014-Jun</v>
      </c>
      <c r="F686" s="68">
        <f t="shared" ref="F686" si="1385">IF(C686&gt;0,MONTH(C686),"False")</f>
        <v>6</v>
      </c>
      <c r="G686" s="210" t="s">
        <v>87</v>
      </c>
      <c r="H686" s="210" t="s">
        <v>280</v>
      </c>
      <c r="J686" s="210" t="s">
        <v>119</v>
      </c>
      <c r="K686" s="210" t="s">
        <v>119</v>
      </c>
      <c r="L686" s="210" t="s">
        <v>79</v>
      </c>
      <c r="M686" s="1" t="s">
        <v>1351</v>
      </c>
      <c r="N686" s="210" t="s">
        <v>124</v>
      </c>
      <c r="O686" s="210" t="s">
        <v>304</v>
      </c>
      <c r="R686" s="64" t="s">
        <v>362</v>
      </c>
      <c r="S686" s="306" t="s">
        <v>104</v>
      </c>
      <c r="Y686" s="206" t="str">
        <f t="shared" si="1307"/>
        <v>Pass</v>
      </c>
      <c r="Z686" s="11" t="str">
        <f t="shared" si="1323"/>
        <v/>
      </c>
      <c r="AA686" s="206" t="str">
        <f t="shared" si="1324"/>
        <v/>
      </c>
      <c r="AB686" s="206" t="str">
        <f t="shared" si="1325"/>
        <v/>
      </c>
    </row>
    <row r="687" spans="2:28" x14ac:dyDescent="0.25">
      <c r="B687" s="66">
        <v>41796</v>
      </c>
      <c r="C687" s="66">
        <v>41796</v>
      </c>
      <c r="D687" s="68">
        <f t="shared" ref="D687" si="1386">IF(B687&gt;0,MONTH(B687),"False")</f>
        <v>6</v>
      </c>
      <c r="E687" s="66" t="str">
        <f t="shared" ref="E687" si="1387">YEAR(B687) &amp; CHOOSE(D687,"-Jan","-Feb","-Mar","-Apr","-May","-Jun","-Jul","-Aug","-Sep","-Oct","-Nov","-Dec")</f>
        <v>2014-Jun</v>
      </c>
      <c r="F687" s="68">
        <f t="shared" ref="F687" si="1388">IF(C687&gt;0,MONTH(C687),"False")</f>
        <v>6</v>
      </c>
      <c r="G687" s="210" t="s">
        <v>87</v>
      </c>
      <c r="H687" s="210" t="s">
        <v>166</v>
      </c>
      <c r="J687" s="210" t="s">
        <v>98</v>
      </c>
      <c r="K687" s="210" t="s">
        <v>84</v>
      </c>
      <c r="L687" s="210" t="s">
        <v>83</v>
      </c>
      <c r="M687" s="1" t="s">
        <v>1352</v>
      </c>
      <c r="N687" s="210" t="s">
        <v>124</v>
      </c>
      <c r="O687" s="210" t="s">
        <v>156</v>
      </c>
      <c r="R687" s="64" t="s">
        <v>1353</v>
      </c>
      <c r="Y687" s="206" t="str">
        <f t="shared" si="1307"/>
        <v>Unknown</v>
      </c>
      <c r="Z687" s="11" t="str">
        <f t="shared" si="1323"/>
        <v/>
      </c>
      <c r="AA687" s="206" t="str">
        <f t="shared" si="1324"/>
        <v/>
      </c>
      <c r="AB687" s="206" t="str">
        <f t="shared" si="1325"/>
        <v/>
      </c>
    </row>
    <row r="688" spans="2:28" x14ac:dyDescent="0.25">
      <c r="B688" s="66">
        <v>41796</v>
      </c>
      <c r="C688" s="66">
        <v>41796</v>
      </c>
      <c r="D688" s="68">
        <f t="shared" ref="D688:D689" si="1389">IF(B688&gt;0,MONTH(B688),"False")</f>
        <v>6</v>
      </c>
      <c r="E688" s="66" t="str">
        <f t="shared" ref="E688:E689" si="1390">YEAR(B688) &amp; CHOOSE(D688,"-Jan","-Feb","-Mar","-Apr","-May","-Jun","-Jul","-Aug","-Sep","-Oct","-Nov","-Dec")</f>
        <v>2014-Jun</v>
      </c>
      <c r="F688" s="68">
        <f t="shared" ref="F688:F689" si="1391">IF(C688&gt;0,MONTH(C688),"False")</f>
        <v>6</v>
      </c>
      <c r="G688" s="229" t="s">
        <v>126</v>
      </c>
      <c r="H688" s="210" t="s">
        <v>280</v>
      </c>
      <c r="J688" s="210" t="s">
        <v>98</v>
      </c>
      <c r="K688" s="210" t="s">
        <v>84</v>
      </c>
      <c r="L688" s="210" t="s">
        <v>83</v>
      </c>
      <c r="M688" s="1" t="s">
        <v>1354</v>
      </c>
      <c r="N688" s="210" t="s">
        <v>124</v>
      </c>
      <c r="O688" s="210" t="s">
        <v>156</v>
      </c>
      <c r="R688" s="64" t="s">
        <v>1096</v>
      </c>
      <c r="S688" s="229" t="s">
        <v>104</v>
      </c>
      <c r="T688" s="67" t="s">
        <v>110</v>
      </c>
      <c r="X688" s="229" t="s">
        <v>297</v>
      </c>
      <c r="Y688" s="206" t="str">
        <f t="shared" si="1307"/>
        <v>Pass</v>
      </c>
      <c r="Z688" s="11" t="str">
        <f t="shared" si="1323"/>
        <v/>
      </c>
      <c r="AA688" s="206" t="str">
        <f t="shared" si="1324"/>
        <v/>
      </c>
      <c r="AB688" s="206" t="str">
        <f t="shared" si="1325"/>
        <v/>
      </c>
    </row>
    <row r="689" spans="2:28" x14ac:dyDescent="0.25">
      <c r="B689" s="65">
        <v>41799</v>
      </c>
      <c r="C689" s="66">
        <v>41799</v>
      </c>
      <c r="D689" s="68">
        <f t="shared" si="1389"/>
        <v>6</v>
      </c>
      <c r="E689" s="66" t="str">
        <f t="shared" si="1390"/>
        <v>2014-Jun</v>
      </c>
      <c r="F689" s="68">
        <f t="shared" si="1391"/>
        <v>6</v>
      </c>
      <c r="G689" s="211" t="s">
        <v>93</v>
      </c>
      <c r="H689" s="211" t="s">
        <v>166</v>
      </c>
      <c r="J689" s="211" t="s">
        <v>81</v>
      </c>
      <c r="K689" s="211" t="s">
        <v>82</v>
      </c>
      <c r="L689" s="211" t="s">
        <v>79</v>
      </c>
      <c r="M689" s="1" t="s">
        <v>1355</v>
      </c>
      <c r="N689" s="211" t="s">
        <v>124</v>
      </c>
      <c r="O689" s="211" t="s">
        <v>125</v>
      </c>
      <c r="P689" s="64" t="s">
        <v>289</v>
      </c>
      <c r="Q689" s="2" t="s">
        <v>88</v>
      </c>
      <c r="R689" s="64" t="s">
        <v>290</v>
      </c>
      <c r="Y689" s="206" t="str">
        <f t="shared" si="1307"/>
        <v>Obsolete</v>
      </c>
      <c r="Z689" s="11">
        <f t="shared" si="1323"/>
        <v>41799</v>
      </c>
      <c r="AA689" s="206" t="str">
        <f t="shared" si="1324"/>
        <v>2014 - 24</v>
      </c>
      <c r="AB689" s="206">
        <f t="shared" si="1325"/>
        <v>2014</v>
      </c>
    </row>
    <row r="690" spans="2:28" x14ac:dyDescent="0.25">
      <c r="B690" s="66">
        <v>41799</v>
      </c>
      <c r="C690" s="66">
        <v>41799</v>
      </c>
      <c r="D690" s="68">
        <f t="shared" ref="D690:D691" si="1392">IF(B690&gt;0,MONTH(B690),"False")</f>
        <v>6</v>
      </c>
      <c r="E690" s="66" t="str">
        <f t="shared" ref="E690:E691" si="1393">YEAR(B690) &amp; CHOOSE(D690,"-Jan","-Feb","-Mar","-Apr","-May","-Jun","-Jul","-Aug","-Sep","-Oct","-Nov","-Dec")</f>
        <v>2014-Jun</v>
      </c>
      <c r="F690" s="68">
        <f t="shared" ref="F690:F691" si="1394">IF(C690&gt;0,MONTH(C690),"False")</f>
        <v>6</v>
      </c>
      <c r="G690" s="211" t="s">
        <v>87</v>
      </c>
      <c r="H690" s="211" t="s">
        <v>348</v>
      </c>
      <c r="J690" s="211" t="s">
        <v>78</v>
      </c>
      <c r="K690" s="211" t="s">
        <v>78</v>
      </c>
      <c r="L690" s="211" t="s">
        <v>79</v>
      </c>
      <c r="M690" s="1" t="s">
        <v>1356</v>
      </c>
      <c r="N690" s="211" t="s">
        <v>124</v>
      </c>
      <c r="O690" s="211" t="s">
        <v>145</v>
      </c>
      <c r="R690" s="64" t="s">
        <v>1337</v>
      </c>
      <c r="S690" s="235" t="s">
        <v>104</v>
      </c>
      <c r="Y690" s="206" t="str">
        <f t="shared" si="1307"/>
        <v>Pass</v>
      </c>
      <c r="Z690" s="11" t="str">
        <f t="shared" si="1323"/>
        <v/>
      </c>
      <c r="AA690" s="206" t="str">
        <f t="shared" si="1324"/>
        <v/>
      </c>
      <c r="AB690" s="206" t="str">
        <f t="shared" si="1325"/>
        <v/>
      </c>
    </row>
    <row r="691" spans="2:28" x14ac:dyDescent="0.25">
      <c r="B691" s="65">
        <v>41799</v>
      </c>
      <c r="C691" s="66">
        <v>41799</v>
      </c>
      <c r="D691" s="68">
        <f t="shared" si="1392"/>
        <v>6</v>
      </c>
      <c r="E691" s="66" t="str">
        <f t="shared" si="1393"/>
        <v>2014-Jun</v>
      </c>
      <c r="F691" s="68">
        <f t="shared" si="1394"/>
        <v>6</v>
      </c>
      <c r="G691" s="230" t="s">
        <v>121</v>
      </c>
      <c r="H691" s="211" t="s">
        <v>316</v>
      </c>
      <c r="J691" s="211" t="s">
        <v>77</v>
      </c>
      <c r="K691" s="211" t="s">
        <v>82</v>
      </c>
      <c r="L691" s="211" t="s">
        <v>79</v>
      </c>
      <c r="M691" s="1" t="s">
        <v>1357</v>
      </c>
      <c r="N691" s="211" t="s">
        <v>124</v>
      </c>
      <c r="O691" s="211" t="s">
        <v>142</v>
      </c>
      <c r="P691" s="64" t="s">
        <v>340</v>
      </c>
      <c r="R691" s="64" t="s">
        <v>705</v>
      </c>
      <c r="S691" s="230" t="s">
        <v>104</v>
      </c>
      <c r="T691" s="67" t="s">
        <v>110</v>
      </c>
      <c r="X691" s="230" t="s">
        <v>300</v>
      </c>
      <c r="Y691" s="206" t="str">
        <f t="shared" si="1307"/>
        <v>Pass</v>
      </c>
      <c r="Z691" s="11" t="str">
        <f t="shared" si="1323"/>
        <v/>
      </c>
      <c r="AA691" s="206" t="str">
        <f t="shared" si="1324"/>
        <v/>
      </c>
      <c r="AB691" s="206" t="str">
        <f t="shared" si="1325"/>
        <v/>
      </c>
    </row>
    <row r="692" spans="2:28" x14ac:dyDescent="0.25">
      <c r="B692" s="66">
        <v>41799</v>
      </c>
      <c r="C692" s="66">
        <v>41799</v>
      </c>
      <c r="D692" s="68">
        <f t="shared" ref="D692:D693" si="1395">IF(B692&gt;0,MONTH(B692),"False")</f>
        <v>6</v>
      </c>
      <c r="E692" s="66" t="str">
        <f t="shared" ref="E692:E693" si="1396">YEAR(B692) &amp; CHOOSE(D692,"-Jan","-Feb","-Mar","-Apr","-May","-Jun","-Jul","-Aug","-Sep","-Oct","-Nov","-Dec")</f>
        <v>2014-Jun</v>
      </c>
      <c r="F692" s="68">
        <f t="shared" ref="F692:F693" si="1397">IF(C692&gt;0,MONTH(C692),"False")</f>
        <v>6</v>
      </c>
      <c r="G692" s="218" t="s">
        <v>126</v>
      </c>
      <c r="H692" s="211" t="s">
        <v>28</v>
      </c>
      <c r="J692" s="211" t="s">
        <v>78</v>
      </c>
      <c r="K692" s="211" t="s">
        <v>78</v>
      </c>
      <c r="L692" s="211" t="s">
        <v>79</v>
      </c>
      <c r="M692" s="1" t="s">
        <v>1358</v>
      </c>
      <c r="N692" s="211" t="s">
        <v>124</v>
      </c>
      <c r="O692" s="211" t="s">
        <v>168</v>
      </c>
      <c r="R692" s="64" t="s">
        <v>308</v>
      </c>
      <c r="S692" s="218" t="s">
        <v>104</v>
      </c>
      <c r="X692" s="218" t="s">
        <v>879</v>
      </c>
      <c r="Y692" s="206" t="str">
        <f t="shared" si="1307"/>
        <v>Pass</v>
      </c>
      <c r="Z692" s="11" t="str">
        <f t="shared" ref="Z692:Z728" si="1398">IF(Q692="Obsolete-LQA",C692,IF(Q692="Obsolete-IT",B692,""))</f>
        <v/>
      </c>
      <c r="AA692" s="206" t="str">
        <f t="shared" ref="AA692:AA728" si="1399">IFERROR(YEAR(Z692)&amp;" - "&amp; IF(LEN( WEEKNUM(Z692))=1,"0" &amp; WEEKNUM(Z692),WEEKNUM(Z692)),"")</f>
        <v/>
      </c>
      <c r="AB692" s="206" t="str">
        <f t="shared" ref="AB692:AB728" si="1400">IFERROR(YEAR(Z692),"")</f>
        <v/>
      </c>
    </row>
    <row r="693" spans="2:28" x14ac:dyDescent="0.25">
      <c r="B693" s="65">
        <v>41799</v>
      </c>
      <c r="C693" s="66">
        <v>41799</v>
      </c>
      <c r="D693" s="68">
        <f t="shared" si="1395"/>
        <v>6</v>
      </c>
      <c r="E693" s="66" t="str">
        <f t="shared" si="1396"/>
        <v>2014-Jun</v>
      </c>
      <c r="F693" s="68">
        <f t="shared" si="1397"/>
        <v>6</v>
      </c>
      <c r="G693" s="212" t="s">
        <v>121</v>
      </c>
      <c r="H693" s="211" t="s">
        <v>103</v>
      </c>
      <c r="J693" s="211" t="s">
        <v>77</v>
      </c>
      <c r="K693" s="211" t="s">
        <v>82</v>
      </c>
      <c r="L693" s="211" t="s">
        <v>79</v>
      </c>
      <c r="M693" s="1" t="s">
        <v>1359</v>
      </c>
      <c r="N693" s="211" t="s">
        <v>124</v>
      </c>
      <c r="O693" s="211" t="s">
        <v>265</v>
      </c>
      <c r="P693" s="64" t="s">
        <v>351</v>
      </c>
      <c r="R693" s="64" t="s">
        <v>361</v>
      </c>
      <c r="S693" s="212" t="s">
        <v>104</v>
      </c>
      <c r="X693" s="212" t="s">
        <v>472</v>
      </c>
      <c r="Y693" s="206" t="str">
        <f t="shared" si="1307"/>
        <v>Pass</v>
      </c>
      <c r="Z693" s="11" t="str">
        <f t="shared" si="1398"/>
        <v/>
      </c>
      <c r="AA693" s="206" t="str">
        <f t="shared" si="1399"/>
        <v/>
      </c>
      <c r="AB693" s="206" t="str">
        <f t="shared" si="1400"/>
        <v/>
      </c>
    </row>
    <row r="694" spans="2:28" x14ac:dyDescent="0.25">
      <c r="B694" s="65">
        <v>41799</v>
      </c>
      <c r="C694" s="66">
        <v>41799</v>
      </c>
      <c r="D694" s="68">
        <f t="shared" ref="D694" si="1401">IF(B694&gt;0,MONTH(B694),"False")</f>
        <v>6</v>
      </c>
      <c r="E694" s="66" t="str">
        <f t="shared" ref="E694" si="1402">YEAR(B694) &amp; CHOOSE(D694,"-Jan","-Feb","-Mar","-Apr","-May","-Jun","-Jul","-Aug","-Sep","-Oct","-Nov","-Dec")</f>
        <v>2014-Jun</v>
      </c>
      <c r="F694" s="68">
        <f t="shared" ref="F694" si="1403">IF(C694&gt;0,MONTH(C694),"False")</f>
        <v>6</v>
      </c>
      <c r="G694" s="211" t="s">
        <v>93</v>
      </c>
      <c r="H694" s="211" t="s">
        <v>348</v>
      </c>
      <c r="J694" s="211" t="s">
        <v>77</v>
      </c>
      <c r="K694" s="211" t="s">
        <v>82</v>
      </c>
      <c r="L694" s="211" t="s">
        <v>79</v>
      </c>
      <c r="M694" s="1" t="s">
        <v>1360</v>
      </c>
      <c r="N694" s="211" t="s">
        <v>124</v>
      </c>
      <c r="O694" s="211" t="s">
        <v>343</v>
      </c>
      <c r="P694" s="64" t="s">
        <v>352</v>
      </c>
      <c r="R694" s="64" t="s">
        <v>1289</v>
      </c>
      <c r="S694" s="235" t="s">
        <v>104</v>
      </c>
      <c r="Y694" s="206" t="str">
        <f t="shared" si="1307"/>
        <v>Pass</v>
      </c>
      <c r="Z694" s="11" t="str">
        <f t="shared" si="1398"/>
        <v/>
      </c>
      <c r="AA694" s="206" t="str">
        <f t="shared" si="1399"/>
        <v/>
      </c>
      <c r="AB694" s="206" t="str">
        <f t="shared" si="1400"/>
        <v/>
      </c>
    </row>
    <row r="695" spans="2:28" x14ac:dyDescent="0.25">
      <c r="B695" s="65">
        <v>41800</v>
      </c>
      <c r="C695" s="66">
        <v>41800</v>
      </c>
      <c r="D695" s="68">
        <f t="shared" ref="D695" si="1404">IF(B695&gt;0,MONTH(B695),"False")</f>
        <v>6</v>
      </c>
      <c r="E695" s="66" t="str">
        <f t="shared" ref="E695" si="1405">YEAR(B695) &amp; CHOOSE(D695,"-Jan","-Feb","-Mar","-Apr","-May","-Jun","-Jul","-Aug","-Sep","-Oct","-Nov","-Dec")</f>
        <v>2014-Jun</v>
      </c>
      <c r="F695" s="68">
        <f t="shared" ref="F695" si="1406">IF(C695&gt;0,MONTH(C695),"False")</f>
        <v>6</v>
      </c>
      <c r="G695" s="212" t="s">
        <v>93</v>
      </c>
      <c r="H695" s="212" t="s">
        <v>136</v>
      </c>
      <c r="J695" s="212" t="s">
        <v>77</v>
      </c>
      <c r="K695" s="212" t="s">
        <v>82</v>
      </c>
      <c r="L695" s="212" t="s">
        <v>79</v>
      </c>
      <c r="M695" s="1" t="s">
        <v>1361</v>
      </c>
      <c r="N695" s="212" t="s">
        <v>124</v>
      </c>
      <c r="O695" s="212" t="s">
        <v>114</v>
      </c>
      <c r="P695" s="64" t="s">
        <v>750</v>
      </c>
      <c r="R695" s="64" t="s">
        <v>1267</v>
      </c>
      <c r="S695" s="235" t="s">
        <v>104</v>
      </c>
      <c r="Y695" s="206" t="str">
        <f t="shared" si="1307"/>
        <v>Pass</v>
      </c>
      <c r="Z695" s="11" t="str">
        <f t="shared" si="1398"/>
        <v/>
      </c>
      <c r="AA695" s="206" t="str">
        <f t="shared" si="1399"/>
        <v/>
      </c>
      <c r="AB695" s="206" t="str">
        <f t="shared" si="1400"/>
        <v/>
      </c>
    </row>
    <row r="696" spans="2:28" x14ac:dyDescent="0.25">
      <c r="B696" s="65">
        <v>41800</v>
      </c>
      <c r="C696" s="66">
        <v>41800</v>
      </c>
      <c r="D696" s="68">
        <f t="shared" ref="D696" si="1407">IF(B696&gt;0,MONTH(B696),"False")</f>
        <v>6</v>
      </c>
      <c r="E696" s="66" t="str">
        <f t="shared" ref="E696" si="1408">YEAR(B696) &amp; CHOOSE(D696,"-Jan","-Feb","-Mar","-Apr","-May","-Jun","-Jul","-Aug","-Sep","-Oct","-Nov","-Dec")</f>
        <v>2014-Jun</v>
      </c>
      <c r="F696" s="68">
        <f t="shared" ref="F696" si="1409">IF(C696&gt;0,MONTH(C696),"False")</f>
        <v>6</v>
      </c>
      <c r="G696" s="225" t="s">
        <v>121</v>
      </c>
      <c r="H696" s="212" t="s">
        <v>166</v>
      </c>
      <c r="J696" s="212" t="s">
        <v>81</v>
      </c>
      <c r="K696" s="212" t="s">
        <v>82</v>
      </c>
      <c r="L696" s="212" t="s">
        <v>79</v>
      </c>
      <c r="M696" s="1" t="s">
        <v>1362</v>
      </c>
      <c r="N696" s="212" t="s">
        <v>124</v>
      </c>
      <c r="O696" s="212" t="s">
        <v>125</v>
      </c>
      <c r="P696" s="64" t="s">
        <v>289</v>
      </c>
      <c r="R696" s="64" t="s">
        <v>290</v>
      </c>
      <c r="S696" s="225" t="s">
        <v>104</v>
      </c>
      <c r="X696" s="1" t="s">
        <v>349</v>
      </c>
      <c r="Y696" s="206" t="str">
        <f t="shared" si="1307"/>
        <v>Pass</v>
      </c>
      <c r="Z696" s="11" t="str">
        <f t="shared" si="1398"/>
        <v/>
      </c>
      <c r="AA696" s="206" t="str">
        <f t="shared" si="1399"/>
        <v/>
      </c>
      <c r="AB696" s="206" t="str">
        <f t="shared" si="1400"/>
        <v/>
      </c>
    </row>
    <row r="697" spans="2:28" x14ac:dyDescent="0.25">
      <c r="B697" s="65">
        <v>41800</v>
      </c>
      <c r="C697" s="66">
        <v>41800</v>
      </c>
      <c r="D697" s="68">
        <f t="shared" ref="D697" si="1410">IF(B697&gt;0,MONTH(B697),"False")</f>
        <v>6</v>
      </c>
      <c r="E697" s="66" t="str">
        <f t="shared" ref="E697" si="1411">YEAR(B697) &amp; CHOOSE(D697,"-Jan","-Feb","-Mar","-Apr","-May","-Jun","-Jul","-Aug","-Sep","-Oct","-Nov","-Dec")</f>
        <v>2014-Jun</v>
      </c>
      <c r="F697" s="68">
        <f t="shared" ref="F697" si="1412">IF(C697&gt;0,MONTH(C697),"False")</f>
        <v>6</v>
      </c>
      <c r="G697" s="213" t="s">
        <v>121</v>
      </c>
      <c r="H697" s="212" t="s">
        <v>103</v>
      </c>
      <c r="J697" s="212" t="s">
        <v>77</v>
      </c>
      <c r="K697" s="212" t="s">
        <v>82</v>
      </c>
      <c r="L697" s="212" t="s">
        <v>79</v>
      </c>
      <c r="M697" s="1" t="s">
        <v>1363</v>
      </c>
      <c r="N697" s="212" t="s">
        <v>124</v>
      </c>
      <c r="O697" s="212" t="s">
        <v>272</v>
      </c>
      <c r="P697" s="64" t="s">
        <v>351</v>
      </c>
      <c r="R697" s="64" t="s">
        <v>361</v>
      </c>
      <c r="S697" s="213" t="s">
        <v>104</v>
      </c>
      <c r="X697" s="213" t="s">
        <v>472</v>
      </c>
      <c r="Y697" s="206" t="str">
        <f t="shared" si="1307"/>
        <v>Pass</v>
      </c>
      <c r="Z697" s="11" t="str">
        <f t="shared" si="1398"/>
        <v/>
      </c>
      <c r="AA697" s="206" t="str">
        <f t="shared" si="1399"/>
        <v/>
      </c>
      <c r="AB697" s="206" t="str">
        <f t="shared" si="1400"/>
        <v/>
      </c>
    </row>
    <row r="698" spans="2:28" x14ac:dyDescent="0.25">
      <c r="B698" s="65">
        <v>41800</v>
      </c>
      <c r="C698" s="66">
        <v>41800</v>
      </c>
      <c r="D698" s="68">
        <f t="shared" ref="D698" si="1413">IF(B698&gt;0,MONTH(B698),"False")</f>
        <v>6</v>
      </c>
      <c r="E698" s="66" t="str">
        <f t="shared" ref="E698" si="1414">YEAR(B698) &amp; CHOOSE(D698,"-Jan","-Feb","-Mar","-Apr","-May","-Jun","-Jul","-Aug","-Sep","-Oct","-Nov","-Dec")</f>
        <v>2014-Jun</v>
      </c>
      <c r="F698" s="68">
        <f t="shared" ref="F698" si="1415">IF(C698&gt;0,MONTH(C698),"False")</f>
        <v>6</v>
      </c>
      <c r="G698" s="218" t="s">
        <v>121</v>
      </c>
      <c r="H698" s="212" t="s">
        <v>28</v>
      </c>
      <c r="J698" s="212" t="s">
        <v>77</v>
      </c>
      <c r="K698" s="212" t="s">
        <v>82</v>
      </c>
      <c r="L698" s="212" t="s">
        <v>79</v>
      </c>
      <c r="M698" s="1" t="s">
        <v>1364</v>
      </c>
      <c r="N698" s="212" t="s">
        <v>124</v>
      </c>
      <c r="O698" s="212" t="s">
        <v>142</v>
      </c>
      <c r="P698" s="64" t="s">
        <v>334</v>
      </c>
      <c r="R698" s="64" t="s">
        <v>335</v>
      </c>
      <c r="S698" s="218" t="s">
        <v>104</v>
      </c>
      <c r="X698" s="218" t="s">
        <v>284</v>
      </c>
      <c r="Y698" s="206" t="str">
        <f t="shared" si="1307"/>
        <v>Pass</v>
      </c>
      <c r="Z698" s="11" t="str">
        <f t="shared" si="1398"/>
        <v/>
      </c>
      <c r="AA698" s="206" t="str">
        <f t="shared" si="1399"/>
        <v/>
      </c>
      <c r="AB698" s="206" t="str">
        <f t="shared" si="1400"/>
        <v/>
      </c>
    </row>
    <row r="699" spans="2:28" x14ac:dyDescent="0.25">
      <c r="B699" s="65">
        <v>41801</v>
      </c>
      <c r="C699" s="66">
        <v>41801</v>
      </c>
      <c r="D699" s="68">
        <f t="shared" ref="D699" si="1416">IF(B699&gt;0,MONTH(B699),"False")</f>
        <v>6</v>
      </c>
      <c r="E699" s="66" t="str">
        <f t="shared" ref="E699" si="1417">YEAR(B699) &amp; CHOOSE(D699,"-Jan","-Feb","-Mar","-Apr","-May","-Jun","-Jul","-Aug","-Sep","-Oct","-Nov","-Dec")</f>
        <v>2014-Jun</v>
      </c>
      <c r="F699" s="68">
        <f t="shared" ref="F699" si="1418">IF(C699&gt;0,MONTH(C699),"False")</f>
        <v>6</v>
      </c>
      <c r="G699" s="214" t="s">
        <v>105</v>
      </c>
      <c r="H699" s="213" t="s">
        <v>280</v>
      </c>
      <c r="J699" s="213" t="s">
        <v>77</v>
      </c>
      <c r="K699" s="213" t="s">
        <v>82</v>
      </c>
      <c r="L699" s="213" t="s">
        <v>79</v>
      </c>
      <c r="M699" s="1" t="s">
        <v>1366</v>
      </c>
      <c r="N699" s="213" t="s">
        <v>124</v>
      </c>
      <c r="O699" s="213" t="s">
        <v>285</v>
      </c>
      <c r="P699" s="64" t="s">
        <v>305</v>
      </c>
      <c r="Q699" s="2" t="s">
        <v>88</v>
      </c>
      <c r="R699" s="64" t="s">
        <v>1108</v>
      </c>
      <c r="S699" s="214" t="s">
        <v>104</v>
      </c>
      <c r="X699" s="214" t="s">
        <v>544</v>
      </c>
      <c r="Y699" s="206" t="str">
        <f t="shared" si="1307"/>
        <v>Obsolete</v>
      </c>
      <c r="Z699" s="11">
        <f t="shared" si="1398"/>
        <v>41801</v>
      </c>
      <c r="AA699" s="206" t="str">
        <f t="shared" si="1399"/>
        <v>2014 - 24</v>
      </c>
      <c r="AB699" s="206">
        <f t="shared" si="1400"/>
        <v>2014</v>
      </c>
    </row>
    <row r="700" spans="2:28" x14ac:dyDescent="0.25">
      <c r="B700" s="65">
        <v>41801</v>
      </c>
      <c r="C700" s="66">
        <v>41801</v>
      </c>
      <c r="D700" s="68">
        <f t="shared" ref="D700" si="1419">IF(B700&gt;0,MONTH(B700),"False")</f>
        <v>6</v>
      </c>
      <c r="E700" s="66" t="str">
        <f t="shared" ref="E700" si="1420">YEAR(B700) &amp; CHOOSE(D700,"-Jan","-Feb","-Mar","-Apr","-May","-Jun","-Jul","-Aug","-Sep","-Oct","-Nov","-Dec")</f>
        <v>2014-Jun</v>
      </c>
      <c r="F700" s="68">
        <f t="shared" ref="F700" si="1421">IF(C700&gt;0,MONTH(C700),"False")</f>
        <v>6</v>
      </c>
      <c r="G700" s="216" t="s">
        <v>121</v>
      </c>
      <c r="H700" s="213" t="s">
        <v>136</v>
      </c>
      <c r="J700" s="213" t="s">
        <v>120</v>
      </c>
      <c r="K700" s="213" t="s">
        <v>82</v>
      </c>
      <c r="L700" s="213" t="s">
        <v>79</v>
      </c>
      <c r="M700" s="1" t="s">
        <v>1367</v>
      </c>
      <c r="N700" s="213" t="s">
        <v>124</v>
      </c>
      <c r="O700" s="213" t="s">
        <v>1368</v>
      </c>
      <c r="P700" s="64" t="s">
        <v>750</v>
      </c>
      <c r="R700" s="64" t="s">
        <v>1267</v>
      </c>
      <c r="S700" s="216" t="s">
        <v>104</v>
      </c>
      <c r="X700" s="216" t="s">
        <v>1312</v>
      </c>
      <c r="Y700" s="206" t="str">
        <f t="shared" si="1307"/>
        <v>Pass</v>
      </c>
      <c r="Z700" s="11" t="str">
        <f t="shared" si="1398"/>
        <v/>
      </c>
      <c r="AA700" s="206" t="str">
        <f t="shared" si="1399"/>
        <v/>
      </c>
      <c r="AB700" s="206" t="str">
        <f t="shared" si="1400"/>
        <v/>
      </c>
    </row>
    <row r="701" spans="2:28" x14ac:dyDescent="0.25">
      <c r="B701" s="65">
        <v>41802</v>
      </c>
      <c r="C701" s="66">
        <v>41802</v>
      </c>
      <c r="D701" s="68">
        <f t="shared" ref="D701" si="1422">IF(B701&gt;0,MONTH(B701),"False")</f>
        <v>6</v>
      </c>
      <c r="E701" s="66" t="str">
        <f t="shared" ref="E701" si="1423">YEAR(B701) &amp; CHOOSE(D701,"-Jan","-Feb","-Mar","-Apr","-May","-Jun","-Jul","-Aug","-Sep","-Oct","-Nov","-Dec")</f>
        <v>2014-Jun</v>
      </c>
      <c r="F701" s="68">
        <f t="shared" ref="F701" si="1424">IF(C701&gt;0,MONTH(C701),"False")</f>
        <v>6</v>
      </c>
      <c r="G701" s="216" t="s">
        <v>121</v>
      </c>
      <c r="H701" s="214" t="s">
        <v>136</v>
      </c>
      <c r="J701" s="214" t="s">
        <v>77</v>
      </c>
      <c r="K701" s="214" t="s">
        <v>82</v>
      </c>
      <c r="L701" s="214" t="s">
        <v>79</v>
      </c>
      <c r="M701" s="1" t="s">
        <v>1369</v>
      </c>
      <c r="N701" s="214" t="s">
        <v>124</v>
      </c>
      <c r="O701" s="214" t="s">
        <v>114</v>
      </c>
      <c r="P701" s="64" t="s">
        <v>750</v>
      </c>
      <c r="R701" s="64" t="s">
        <v>1267</v>
      </c>
      <c r="S701" s="216" t="s">
        <v>104</v>
      </c>
      <c r="X701" s="216" t="s">
        <v>1312</v>
      </c>
      <c r="Y701" s="206" t="str">
        <f t="shared" si="1307"/>
        <v>Pass</v>
      </c>
      <c r="Z701" s="11" t="str">
        <f t="shared" si="1398"/>
        <v/>
      </c>
      <c r="AA701" s="206" t="str">
        <f t="shared" si="1399"/>
        <v/>
      </c>
      <c r="AB701" s="206" t="str">
        <f t="shared" si="1400"/>
        <v/>
      </c>
    </row>
    <row r="702" spans="2:28" x14ac:dyDescent="0.25">
      <c r="B702" s="65">
        <v>41803</v>
      </c>
      <c r="C702" s="66">
        <v>41803</v>
      </c>
      <c r="D702" s="68">
        <f t="shared" ref="D702" si="1425">IF(B702&gt;0,MONTH(B702),"False")</f>
        <v>6</v>
      </c>
      <c r="E702" s="66" t="str">
        <f t="shared" ref="E702" si="1426">YEAR(B702) &amp; CHOOSE(D702,"-Jan","-Feb","-Mar","-Apr","-May","-Jun","-Jul","-Aug","-Sep","-Oct","-Nov","-Dec")</f>
        <v>2014-Jun</v>
      </c>
      <c r="F702" s="68">
        <f t="shared" ref="F702" si="1427">IF(C702&gt;0,MONTH(C702),"False")</f>
        <v>6</v>
      </c>
      <c r="G702" s="215" t="s">
        <v>93</v>
      </c>
      <c r="H702" s="215" t="s">
        <v>136</v>
      </c>
      <c r="J702" s="215" t="s">
        <v>77</v>
      </c>
      <c r="K702" s="215" t="s">
        <v>82</v>
      </c>
      <c r="L702" s="215" t="s">
        <v>79</v>
      </c>
      <c r="M702" s="1" t="s">
        <v>1370</v>
      </c>
      <c r="N702" s="215" t="s">
        <v>124</v>
      </c>
      <c r="O702" s="215" t="s">
        <v>507</v>
      </c>
      <c r="P702" s="64" t="s">
        <v>750</v>
      </c>
      <c r="R702" s="64" t="s">
        <v>1267</v>
      </c>
      <c r="S702" s="235" t="s">
        <v>104</v>
      </c>
      <c r="Y702" s="206" t="str">
        <f t="shared" si="1307"/>
        <v>Pass</v>
      </c>
      <c r="Z702" s="11" t="str">
        <f t="shared" si="1398"/>
        <v/>
      </c>
      <c r="AA702" s="206" t="str">
        <f t="shared" si="1399"/>
        <v/>
      </c>
      <c r="AB702" s="206" t="str">
        <f t="shared" si="1400"/>
        <v/>
      </c>
    </row>
    <row r="703" spans="2:28" x14ac:dyDescent="0.25">
      <c r="B703" s="65">
        <v>41803</v>
      </c>
      <c r="C703" s="66">
        <v>41803</v>
      </c>
      <c r="D703" s="68">
        <f t="shared" ref="D703" si="1428">IF(B703&gt;0,MONTH(B703),"False")</f>
        <v>6</v>
      </c>
      <c r="E703" s="66" t="str">
        <f t="shared" ref="E703" si="1429">YEAR(B703) &amp; CHOOSE(D703,"-Jan","-Feb","-Mar","-Apr","-May","-Jun","-Jul","-Aug","-Sep","-Oct","-Nov","-Dec")</f>
        <v>2014-Jun</v>
      </c>
      <c r="F703" s="68">
        <f t="shared" ref="F703" si="1430">IF(C703&gt;0,MONTH(C703),"False")</f>
        <v>6</v>
      </c>
      <c r="G703" s="215" t="s">
        <v>93</v>
      </c>
      <c r="H703" s="215" t="s">
        <v>166</v>
      </c>
      <c r="J703" s="215" t="s">
        <v>77</v>
      </c>
      <c r="K703" s="215" t="s">
        <v>82</v>
      </c>
      <c r="L703" s="215" t="s">
        <v>79</v>
      </c>
      <c r="M703" s="1" t="s">
        <v>1371</v>
      </c>
      <c r="N703" s="215" t="s">
        <v>124</v>
      </c>
      <c r="O703" s="215" t="s">
        <v>353</v>
      </c>
      <c r="P703" s="64" t="s">
        <v>319</v>
      </c>
      <c r="R703" s="64" t="s">
        <v>320</v>
      </c>
      <c r="S703" s="235" t="s">
        <v>104</v>
      </c>
      <c r="Y703" s="206" t="str">
        <f t="shared" si="1307"/>
        <v>Pass</v>
      </c>
      <c r="Z703" s="11" t="str">
        <f t="shared" si="1398"/>
        <v/>
      </c>
      <c r="AA703" s="206" t="str">
        <f t="shared" si="1399"/>
        <v/>
      </c>
      <c r="AB703" s="206" t="str">
        <f t="shared" si="1400"/>
        <v/>
      </c>
    </row>
    <row r="704" spans="2:28" x14ac:dyDescent="0.25">
      <c r="B704" s="66">
        <v>41803</v>
      </c>
      <c r="C704" s="66">
        <v>41803</v>
      </c>
      <c r="D704" s="68">
        <f t="shared" ref="D704" si="1431">IF(B704&gt;0,MONTH(B704),"False")</f>
        <v>6</v>
      </c>
      <c r="E704" s="66" t="str">
        <f t="shared" ref="E704" si="1432">YEAR(B704) &amp; CHOOSE(D704,"-Jan","-Feb","-Mar","-Apr","-May","-Jun","-Jul","-Aug","-Sep","-Oct","-Nov","-Dec")</f>
        <v>2014-Jun</v>
      </c>
      <c r="F704" s="68">
        <f t="shared" ref="F704" si="1433">IF(C704&gt;0,MONTH(C704),"False")</f>
        <v>6</v>
      </c>
      <c r="G704" s="215" t="s">
        <v>87</v>
      </c>
      <c r="H704" s="215" t="s">
        <v>166</v>
      </c>
      <c r="J704" s="215" t="s">
        <v>77</v>
      </c>
      <c r="K704" s="215" t="s">
        <v>82</v>
      </c>
      <c r="L704" s="215" t="s">
        <v>79</v>
      </c>
      <c r="M704" s="1" t="s">
        <v>1372</v>
      </c>
      <c r="N704" s="215" t="s">
        <v>124</v>
      </c>
      <c r="O704" s="215" t="s">
        <v>353</v>
      </c>
      <c r="R704" s="64" t="s">
        <v>862</v>
      </c>
      <c r="Y704" s="206" t="str">
        <f t="shared" si="1307"/>
        <v>Unknown</v>
      </c>
      <c r="Z704" s="11" t="str">
        <f t="shared" si="1398"/>
        <v/>
      </c>
      <c r="AA704" s="206" t="str">
        <f t="shared" si="1399"/>
        <v/>
      </c>
      <c r="AB704" s="206" t="str">
        <f t="shared" si="1400"/>
        <v/>
      </c>
    </row>
    <row r="705" spans="2:28" x14ac:dyDescent="0.25">
      <c r="B705" s="66">
        <v>41806</v>
      </c>
      <c r="C705" s="66">
        <v>41806</v>
      </c>
      <c r="D705" s="68">
        <f t="shared" ref="D705" si="1434">IF(B705&gt;0,MONTH(B705),"False")</f>
        <v>6</v>
      </c>
      <c r="E705" s="66" t="str">
        <f t="shared" ref="E705" si="1435">YEAR(B705) &amp; CHOOSE(D705,"-Jan","-Feb","-Mar","-Apr","-May","-Jun","-Jul","-Aug","-Sep","-Oct","-Nov","-Dec")</f>
        <v>2014-Jun</v>
      </c>
      <c r="F705" s="68">
        <f t="shared" ref="F705" si="1436">IF(C705&gt;0,MONTH(C705),"False")</f>
        <v>6</v>
      </c>
      <c r="G705" s="216" t="s">
        <v>87</v>
      </c>
      <c r="H705" s="216" t="s">
        <v>348</v>
      </c>
      <c r="J705" s="216" t="s">
        <v>78</v>
      </c>
      <c r="K705" s="216" t="s">
        <v>78</v>
      </c>
      <c r="L705" s="216" t="s">
        <v>79</v>
      </c>
      <c r="M705" s="1" t="s">
        <v>1373</v>
      </c>
      <c r="N705" s="216" t="s">
        <v>124</v>
      </c>
      <c r="O705" s="216" t="s">
        <v>145</v>
      </c>
      <c r="R705" s="64" t="s">
        <v>1337</v>
      </c>
      <c r="S705" s="235" t="s">
        <v>104</v>
      </c>
      <c r="Y705" s="206" t="str">
        <f t="shared" si="1307"/>
        <v>Pass</v>
      </c>
      <c r="Z705" s="11" t="str">
        <f t="shared" si="1398"/>
        <v/>
      </c>
      <c r="AA705" s="206" t="str">
        <f t="shared" si="1399"/>
        <v/>
      </c>
      <c r="AB705" s="206" t="str">
        <f t="shared" si="1400"/>
        <v/>
      </c>
    </row>
    <row r="706" spans="2:28" x14ac:dyDescent="0.25">
      <c r="B706" s="66">
        <v>41806</v>
      </c>
      <c r="C706" s="66">
        <v>41806</v>
      </c>
      <c r="D706" s="68">
        <f t="shared" ref="D706" si="1437">IF(B706&gt;0,MONTH(B706),"False")</f>
        <v>6</v>
      </c>
      <c r="E706" s="66" t="str">
        <f t="shared" ref="E706" si="1438">YEAR(B706) &amp; CHOOSE(D706,"-Jan","-Feb","-Mar","-Apr","-May","-Jun","-Jul","-Aug","-Sep","-Oct","-Nov","-Dec")</f>
        <v>2014-Jun</v>
      </c>
      <c r="F706" s="68">
        <f t="shared" ref="F706" si="1439">IF(C706&gt;0,MONTH(C706),"False")</f>
        <v>6</v>
      </c>
      <c r="G706" s="221" t="s">
        <v>112</v>
      </c>
      <c r="H706" s="216" t="s">
        <v>166</v>
      </c>
      <c r="J706" s="216" t="s">
        <v>263</v>
      </c>
      <c r="K706" s="216" t="s">
        <v>84</v>
      </c>
      <c r="L706" s="216" t="s">
        <v>79</v>
      </c>
      <c r="M706" s="1" t="s">
        <v>1374</v>
      </c>
      <c r="N706" s="216" t="s">
        <v>124</v>
      </c>
      <c r="O706" s="216" t="s">
        <v>264</v>
      </c>
      <c r="R706" s="64" t="s">
        <v>1375</v>
      </c>
      <c r="S706" s="221" t="s">
        <v>104</v>
      </c>
      <c r="X706" s="221" t="s">
        <v>155</v>
      </c>
      <c r="Y706" s="206" t="str">
        <f t="shared" si="1307"/>
        <v>Pass</v>
      </c>
      <c r="Z706" s="11" t="str">
        <f t="shared" si="1398"/>
        <v/>
      </c>
      <c r="AA706" s="206" t="str">
        <f t="shared" si="1399"/>
        <v/>
      </c>
      <c r="AB706" s="206" t="str">
        <f t="shared" si="1400"/>
        <v/>
      </c>
    </row>
    <row r="707" spans="2:28" x14ac:dyDescent="0.25">
      <c r="B707" s="66">
        <v>41806</v>
      </c>
      <c r="C707" s="66">
        <v>41806</v>
      </c>
      <c r="D707" s="68">
        <f t="shared" ref="D707" si="1440">IF(B707&gt;0,MONTH(B707),"False")</f>
        <v>6</v>
      </c>
      <c r="E707" s="66" t="str">
        <f t="shared" ref="E707" si="1441">YEAR(B707) &amp; CHOOSE(D707,"-Jan","-Feb","-Mar","-Apr","-May","-Jun","-Jul","-Aug","-Sep","-Oct","-Nov","-Dec")</f>
        <v>2014-Jun</v>
      </c>
      <c r="F707" s="68">
        <f t="shared" ref="F707" si="1442">IF(C707&gt;0,MONTH(C707),"False")</f>
        <v>6</v>
      </c>
      <c r="G707" s="218" t="s">
        <v>126</v>
      </c>
      <c r="H707" s="216" t="s">
        <v>28</v>
      </c>
      <c r="J707" s="216" t="s">
        <v>78</v>
      </c>
      <c r="K707" s="216" t="s">
        <v>78</v>
      </c>
      <c r="L707" s="216" t="s">
        <v>79</v>
      </c>
      <c r="M707" s="1" t="s">
        <v>1376</v>
      </c>
      <c r="N707" s="216" t="s">
        <v>124</v>
      </c>
      <c r="O707" s="216" t="s">
        <v>168</v>
      </c>
      <c r="R707" s="64" t="s">
        <v>308</v>
      </c>
      <c r="S707" s="218" t="s">
        <v>104</v>
      </c>
      <c r="X707" s="218" t="s">
        <v>879</v>
      </c>
      <c r="Y707" s="206" t="str">
        <f t="shared" si="1307"/>
        <v>Pass</v>
      </c>
      <c r="Z707" s="11" t="str">
        <f t="shared" si="1398"/>
        <v/>
      </c>
      <c r="AA707" s="206" t="str">
        <f t="shared" si="1399"/>
        <v/>
      </c>
      <c r="AB707" s="206" t="str">
        <f t="shared" si="1400"/>
        <v/>
      </c>
    </row>
    <row r="708" spans="2:28" x14ac:dyDescent="0.25">
      <c r="B708" s="66">
        <v>41806</v>
      </c>
      <c r="C708" s="66">
        <v>41806</v>
      </c>
      <c r="D708" s="68">
        <f t="shared" ref="D708:D709" si="1443">IF(B708&gt;0,MONTH(B708),"False")</f>
        <v>6</v>
      </c>
      <c r="E708" s="66" t="str">
        <f t="shared" ref="E708:E709" si="1444">YEAR(B708) &amp; CHOOSE(D708,"-Jan","-Feb","-Mar","-Apr","-May","-Jun","-Jul","-Aug","-Sep","-Oct","-Nov","-Dec")</f>
        <v>2014-Jun</v>
      </c>
      <c r="F708" s="68">
        <f t="shared" ref="F708:F709" si="1445">IF(C708&gt;0,MONTH(C708),"False")</f>
        <v>6</v>
      </c>
      <c r="G708" s="216" t="s">
        <v>87</v>
      </c>
      <c r="H708" s="216" t="s">
        <v>280</v>
      </c>
      <c r="J708" s="216" t="s">
        <v>78</v>
      </c>
      <c r="K708" s="216" t="s">
        <v>78</v>
      </c>
      <c r="L708" s="216" t="s">
        <v>79</v>
      </c>
      <c r="M708" s="1" t="s">
        <v>1377</v>
      </c>
      <c r="N708" s="216" t="s">
        <v>124</v>
      </c>
      <c r="O708" s="216" t="s">
        <v>138</v>
      </c>
      <c r="Q708" s="2" t="s">
        <v>88</v>
      </c>
      <c r="R708" s="64" t="s">
        <v>344</v>
      </c>
      <c r="Y708" s="206" t="str">
        <f t="shared" si="1307"/>
        <v>Obsolete</v>
      </c>
      <c r="Z708" s="11">
        <f t="shared" si="1398"/>
        <v>41806</v>
      </c>
      <c r="AA708" s="206" t="str">
        <f t="shared" si="1399"/>
        <v>2014 - 25</v>
      </c>
      <c r="AB708" s="206">
        <f t="shared" si="1400"/>
        <v>2014</v>
      </c>
    </row>
    <row r="709" spans="2:28" x14ac:dyDescent="0.25">
      <c r="B709" s="65">
        <v>41806</v>
      </c>
      <c r="C709" s="66">
        <v>41806</v>
      </c>
      <c r="D709" s="68">
        <f t="shared" si="1443"/>
        <v>6</v>
      </c>
      <c r="E709" s="66" t="str">
        <f t="shared" si="1444"/>
        <v>2014-Jun</v>
      </c>
      <c r="F709" s="68">
        <f t="shared" si="1445"/>
        <v>6</v>
      </c>
      <c r="G709" s="216" t="s">
        <v>93</v>
      </c>
      <c r="H709" s="216" t="s">
        <v>136</v>
      </c>
      <c r="J709" s="216" t="s">
        <v>120</v>
      </c>
      <c r="K709" s="216" t="s">
        <v>82</v>
      </c>
      <c r="L709" s="216" t="s">
        <v>79</v>
      </c>
      <c r="M709" s="1" t="s">
        <v>1378</v>
      </c>
      <c r="N709" s="216" t="s">
        <v>124</v>
      </c>
      <c r="O709" s="216" t="s">
        <v>1368</v>
      </c>
      <c r="P709" s="64" t="s">
        <v>750</v>
      </c>
      <c r="Q709" s="2" t="s">
        <v>88</v>
      </c>
      <c r="R709" s="64" t="s">
        <v>1267</v>
      </c>
      <c r="Y709" s="206" t="str">
        <f t="shared" si="1307"/>
        <v>Obsolete</v>
      </c>
      <c r="Z709" s="11">
        <f t="shared" si="1398"/>
        <v>41806</v>
      </c>
      <c r="AA709" s="206" t="str">
        <f t="shared" si="1399"/>
        <v>2014 - 25</v>
      </c>
      <c r="AB709" s="206">
        <f t="shared" si="1400"/>
        <v>2014</v>
      </c>
    </row>
    <row r="710" spans="2:28" x14ac:dyDescent="0.25">
      <c r="B710" s="65">
        <v>41806</v>
      </c>
      <c r="C710" s="66">
        <v>41806</v>
      </c>
      <c r="D710" s="68">
        <f t="shared" ref="D710:D712" si="1446">IF(B710&gt;0,MONTH(B710),"False")</f>
        <v>6</v>
      </c>
      <c r="E710" s="66" t="str">
        <f t="shared" ref="E710:E712" si="1447">YEAR(B710) &amp; CHOOSE(D710,"-Jan","-Feb","-Mar","-Apr","-May","-Jun","-Jul","-Aug","-Sep","-Oct","-Nov","-Dec")</f>
        <v>2014-Jun</v>
      </c>
      <c r="F710" s="68">
        <f t="shared" ref="F710:F712" si="1448">IF(C710&gt;0,MONTH(C710),"False")</f>
        <v>6</v>
      </c>
      <c r="G710" s="216" t="s">
        <v>93</v>
      </c>
      <c r="H710" s="216" t="s">
        <v>136</v>
      </c>
      <c r="J710" s="216" t="s">
        <v>77</v>
      </c>
      <c r="K710" s="216" t="s">
        <v>82</v>
      </c>
      <c r="L710" s="216" t="s">
        <v>79</v>
      </c>
      <c r="M710" s="1" t="s">
        <v>1379</v>
      </c>
      <c r="N710" s="216" t="s">
        <v>124</v>
      </c>
      <c r="O710" s="216" t="s">
        <v>1368</v>
      </c>
      <c r="P710" s="64" t="s">
        <v>750</v>
      </c>
      <c r="Q710" s="2" t="s">
        <v>88</v>
      </c>
      <c r="R710" s="64" t="s">
        <v>1267</v>
      </c>
      <c r="Y710" s="206" t="str">
        <f t="shared" si="1307"/>
        <v>Obsolete</v>
      </c>
      <c r="Z710" s="11">
        <f t="shared" si="1398"/>
        <v>41806</v>
      </c>
      <c r="AA710" s="206" t="str">
        <f t="shared" si="1399"/>
        <v>2014 - 25</v>
      </c>
      <c r="AB710" s="206">
        <f t="shared" si="1400"/>
        <v>2014</v>
      </c>
    </row>
    <row r="711" spans="2:28" x14ac:dyDescent="0.25">
      <c r="B711" s="65">
        <v>41806</v>
      </c>
      <c r="C711" s="66">
        <v>41806</v>
      </c>
      <c r="D711" s="68">
        <f t="shared" si="1446"/>
        <v>6</v>
      </c>
      <c r="E711" s="66" t="str">
        <f t="shared" si="1447"/>
        <v>2014-Jun</v>
      </c>
      <c r="F711" s="68">
        <f t="shared" si="1448"/>
        <v>6</v>
      </c>
      <c r="G711" s="216" t="s">
        <v>93</v>
      </c>
      <c r="H711" s="216" t="s">
        <v>136</v>
      </c>
      <c r="J711" s="216" t="s">
        <v>77</v>
      </c>
      <c r="K711" s="216" t="s">
        <v>82</v>
      </c>
      <c r="L711" s="216" t="s">
        <v>79</v>
      </c>
      <c r="M711" s="216" t="s">
        <v>1380</v>
      </c>
      <c r="N711" s="216" t="s">
        <v>124</v>
      </c>
      <c r="O711" s="216" t="s">
        <v>507</v>
      </c>
      <c r="P711" s="64" t="s">
        <v>750</v>
      </c>
      <c r="R711" s="64" t="s">
        <v>1267</v>
      </c>
      <c r="S711" s="235" t="s">
        <v>104</v>
      </c>
      <c r="Y711" s="206" t="str">
        <f t="shared" si="1307"/>
        <v>Pass</v>
      </c>
      <c r="Z711" s="11" t="str">
        <f t="shared" si="1398"/>
        <v/>
      </c>
      <c r="AA711" s="206" t="str">
        <f t="shared" si="1399"/>
        <v/>
      </c>
      <c r="AB711" s="206" t="str">
        <f t="shared" si="1400"/>
        <v/>
      </c>
    </row>
    <row r="712" spans="2:28" x14ac:dyDescent="0.25">
      <c r="B712" s="66">
        <v>41806</v>
      </c>
      <c r="C712" s="66">
        <v>41806</v>
      </c>
      <c r="D712" s="68">
        <f t="shared" si="1446"/>
        <v>6</v>
      </c>
      <c r="E712" s="66" t="str">
        <f t="shared" si="1447"/>
        <v>2014-Jun</v>
      </c>
      <c r="F712" s="68">
        <f t="shared" si="1448"/>
        <v>6</v>
      </c>
      <c r="G712" s="216" t="s">
        <v>87</v>
      </c>
      <c r="H712" s="216" t="s">
        <v>166</v>
      </c>
      <c r="J712" s="216" t="s">
        <v>149</v>
      </c>
      <c r="K712" s="216" t="s">
        <v>84</v>
      </c>
      <c r="L712" s="216" t="s">
        <v>79</v>
      </c>
      <c r="M712" s="1" t="s">
        <v>1381</v>
      </c>
      <c r="N712" s="216" t="s">
        <v>124</v>
      </c>
      <c r="O712" s="216" t="s">
        <v>350</v>
      </c>
      <c r="R712" s="64" t="s">
        <v>1382</v>
      </c>
      <c r="T712" s="67" t="s">
        <v>110</v>
      </c>
      <c r="Y712" s="206" t="str">
        <f t="shared" si="1307"/>
        <v>Unknown</v>
      </c>
      <c r="Z712" s="11" t="str">
        <f t="shared" si="1398"/>
        <v/>
      </c>
      <c r="AA712" s="206" t="str">
        <f t="shared" si="1399"/>
        <v/>
      </c>
      <c r="AB712" s="206" t="str">
        <f t="shared" si="1400"/>
        <v/>
      </c>
    </row>
    <row r="713" spans="2:28" x14ac:dyDescent="0.25">
      <c r="B713" s="65">
        <v>41807</v>
      </c>
      <c r="C713" s="66">
        <v>41807</v>
      </c>
      <c r="D713" s="68">
        <f t="shared" ref="D713:D714" si="1449">IF(B713&gt;0,MONTH(B713),"False")</f>
        <v>6</v>
      </c>
      <c r="E713" s="66" t="str">
        <f t="shared" ref="E713:E714" si="1450">YEAR(B713) &amp; CHOOSE(D713,"-Jan","-Feb","-Mar","-Apr","-May","-Jun","-Jul","-Aug","-Sep","-Oct","-Nov","-Dec")</f>
        <v>2014-Jun</v>
      </c>
      <c r="F713" s="68">
        <f t="shared" ref="F713:F714" si="1451">IF(C713&gt;0,MONTH(C713),"False")</f>
        <v>6</v>
      </c>
      <c r="G713" s="218" t="s">
        <v>121</v>
      </c>
      <c r="H713" s="217" t="s">
        <v>136</v>
      </c>
      <c r="I713" s="217"/>
      <c r="J713" s="217" t="s">
        <v>77</v>
      </c>
      <c r="K713" s="217" t="s">
        <v>82</v>
      </c>
      <c r="L713" s="217" t="s">
        <v>79</v>
      </c>
      <c r="M713" s="217" t="s">
        <v>1383</v>
      </c>
      <c r="N713" s="217" t="s">
        <v>124</v>
      </c>
      <c r="O713" s="217" t="s">
        <v>1368</v>
      </c>
      <c r="P713" s="64" t="s">
        <v>750</v>
      </c>
      <c r="R713" s="64" t="s">
        <v>1267</v>
      </c>
      <c r="S713" s="218" t="s">
        <v>104</v>
      </c>
      <c r="X713" s="218" t="s">
        <v>1312</v>
      </c>
      <c r="Y713" s="206" t="str">
        <f t="shared" si="1307"/>
        <v>Pass</v>
      </c>
      <c r="Z713" s="11" t="str">
        <f t="shared" si="1398"/>
        <v/>
      </c>
      <c r="AA713" s="206" t="str">
        <f t="shared" si="1399"/>
        <v/>
      </c>
      <c r="AB713" s="206" t="str">
        <f t="shared" si="1400"/>
        <v/>
      </c>
    </row>
    <row r="714" spans="2:28" x14ac:dyDescent="0.25">
      <c r="B714" s="65">
        <v>41807</v>
      </c>
      <c r="C714" s="66">
        <v>41807</v>
      </c>
      <c r="D714" s="68">
        <f t="shared" si="1449"/>
        <v>6</v>
      </c>
      <c r="E714" s="66" t="str">
        <f t="shared" si="1450"/>
        <v>2014-Jun</v>
      </c>
      <c r="F714" s="68">
        <f t="shared" si="1451"/>
        <v>6</v>
      </c>
      <c r="G714" s="217" t="s">
        <v>93</v>
      </c>
      <c r="H714" s="217" t="s">
        <v>136</v>
      </c>
      <c r="I714" s="217"/>
      <c r="J714" s="217" t="s">
        <v>120</v>
      </c>
      <c r="K714" s="217" t="s">
        <v>82</v>
      </c>
      <c r="L714" s="217" t="s">
        <v>79</v>
      </c>
      <c r="M714" s="217" t="s">
        <v>1384</v>
      </c>
      <c r="N714" s="217" t="s">
        <v>124</v>
      </c>
      <c r="O714" s="217" t="s">
        <v>1368</v>
      </c>
      <c r="P714" s="64" t="s">
        <v>750</v>
      </c>
      <c r="Q714" s="2" t="s">
        <v>88</v>
      </c>
      <c r="R714" s="64" t="s">
        <v>1267</v>
      </c>
      <c r="Y714" s="206" t="str">
        <f t="shared" si="1307"/>
        <v>Obsolete</v>
      </c>
      <c r="Z714" s="11">
        <f t="shared" si="1398"/>
        <v>41807</v>
      </c>
      <c r="AA714" s="206" t="str">
        <f t="shared" si="1399"/>
        <v>2014 - 25</v>
      </c>
      <c r="AB714" s="206">
        <f t="shared" si="1400"/>
        <v>2014</v>
      </c>
    </row>
    <row r="715" spans="2:28" x14ac:dyDescent="0.25">
      <c r="B715" s="65">
        <v>41807</v>
      </c>
      <c r="C715" s="66">
        <v>41807</v>
      </c>
      <c r="D715" s="68">
        <f t="shared" ref="D715:D716" si="1452">IF(B715&gt;0,MONTH(B715),"False")</f>
        <v>6</v>
      </c>
      <c r="E715" s="66" t="str">
        <f t="shared" ref="E715:E716" si="1453">YEAR(B715) &amp; CHOOSE(D715,"-Jan","-Feb","-Mar","-Apr","-May","-Jun","-Jul","-Aug","-Sep","-Oct","-Nov","-Dec")</f>
        <v>2014-Jun</v>
      </c>
      <c r="F715" s="68">
        <f t="shared" ref="F715:F716" si="1454">IF(C715&gt;0,MONTH(C715),"False")</f>
        <v>6</v>
      </c>
      <c r="G715" s="217" t="s">
        <v>93</v>
      </c>
      <c r="H715" s="217" t="s">
        <v>316</v>
      </c>
      <c r="J715" s="217" t="s">
        <v>77</v>
      </c>
      <c r="K715" s="217" t="s">
        <v>82</v>
      </c>
      <c r="L715" s="217" t="s">
        <v>79</v>
      </c>
      <c r="M715" s="1" t="s">
        <v>1385</v>
      </c>
      <c r="N715" s="217" t="s">
        <v>124</v>
      </c>
      <c r="O715" s="217" t="s">
        <v>142</v>
      </c>
      <c r="P715" s="64" t="s">
        <v>340</v>
      </c>
      <c r="Q715" s="2" t="s">
        <v>88</v>
      </c>
      <c r="R715" s="64" t="s">
        <v>705</v>
      </c>
      <c r="T715" s="67" t="s">
        <v>110</v>
      </c>
      <c r="Y715" s="206" t="str">
        <f t="shared" si="1307"/>
        <v>Obsolete</v>
      </c>
      <c r="Z715" s="11">
        <f t="shared" si="1398"/>
        <v>41807</v>
      </c>
      <c r="AA715" s="206" t="str">
        <f t="shared" si="1399"/>
        <v>2014 - 25</v>
      </c>
      <c r="AB715" s="206">
        <f t="shared" si="1400"/>
        <v>2014</v>
      </c>
    </row>
    <row r="716" spans="2:28" x14ac:dyDescent="0.25">
      <c r="B716" s="65">
        <v>41807</v>
      </c>
      <c r="C716" s="66">
        <v>41807</v>
      </c>
      <c r="D716" s="68">
        <f t="shared" si="1452"/>
        <v>6</v>
      </c>
      <c r="E716" s="66" t="str">
        <f t="shared" si="1453"/>
        <v>2014-Jun</v>
      </c>
      <c r="F716" s="68">
        <f t="shared" si="1454"/>
        <v>6</v>
      </c>
      <c r="G716" s="220" t="s">
        <v>105</v>
      </c>
      <c r="H716" s="217" t="s">
        <v>280</v>
      </c>
      <c r="I716" s="217"/>
      <c r="J716" s="217" t="s">
        <v>77</v>
      </c>
      <c r="K716" s="217" t="s">
        <v>82</v>
      </c>
      <c r="L716" s="217" t="s">
        <v>79</v>
      </c>
      <c r="M716" s="217" t="s">
        <v>1386</v>
      </c>
      <c r="N716" s="217" t="s">
        <v>124</v>
      </c>
      <c r="O716" s="217" t="s">
        <v>285</v>
      </c>
      <c r="P716" s="64" t="s">
        <v>305</v>
      </c>
      <c r="R716" s="64" t="s">
        <v>1108</v>
      </c>
      <c r="S716" s="220" t="s">
        <v>104</v>
      </c>
      <c r="X716" s="220" t="s">
        <v>544</v>
      </c>
      <c r="Y716" s="206" t="str">
        <f t="shared" si="1307"/>
        <v>Pass</v>
      </c>
      <c r="Z716" s="11" t="str">
        <f t="shared" si="1398"/>
        <v/>
      </c>
      <c r="AA716" s="206" t="str">
        <f t="shared" si="1399"/>
        <v/>
      </c>
      <c r="AB716" s="206" t="str">
        <f t="shared" si="1400"/>
        <v/>
      </c>
    </row>
    <row r="717" spans="2:28" x14ac:dyDescent="0.25">
      <c r="B717" s="65">
        <v>41808</v>
      </c>
      <c r="C717" s="66">
        <v>41808</v>
      </c>
      <c r="D717" s="68">
        <f t="shared" ref="D717" si="1455">IF(B717&gt;0,MONTH(B717),"False")</f>
        <v>6</v>
      </c>
      <c r="E717" s="66" t="str">
        <f t="shared" ref="E717" si="1456">YEAR(B717) &amp; CHOOSE(D717,"-Jan","-Feb","-Mar","-Apr","-May","-Jun","-Jul","-Aug","-Sep","-Oct","-Nov","-Dec")</f>
        <v>2014-Jun</v>
      </c>
      <c r="F717" s="68">
        <f t="shared" ref="F717" si="1457">IF(C717&gt;0,MONTH(C717),"False")</f>
        <v>6</v>
      </c>
      <c r="G717" s="218" t="s">
        <v>93</v>
      </c>
      <c r="H717" s="218" t="s">
        <v>316</v>
      </c>
      <c r="J717" s="218" t="s">
        <v>77</v>
      </c>
      <c r="K717" s="218" t="s">
        <v>82</v>
      </c>
      <c r="L717" s="218" t="s">
        <v>79</v>
      </c>
      <c r="M717" s="1" t="s">
        <v>1388</v>
      </c>
      <c r="N717" s="218" t="s">
        <v>124</v>
      </c>
      <c r="O717" s="218" t="s">
        <v>142</v>
      </c>
      <c r="P717" s="64" t="s">
        <v>340</v>
      </c>
      <c r="R717" s="64" t="s">
        <v>705</v>
      </c>
      <c r="S717" s="237" t="s">
        <v>104</v>
      </c>
      <c r="Y717" s="206" t="str">
        <f t="shared" ref="Y717:Y741" si="1458">IF(Q717&gt;0,"Obsolete",IF(S717&gt;0,S717,"Unknown"))</f>
        <v>Pass</v>
      </c>
      <c r="Z717" s="11" t="str">
        <f t="shared" si="1398"/>
        <v/>
      </c>
      <c r="AA717" s="206" t="str">
        <f t="shared" si="1399"/>
        <v/>
      </c>
      <c r="AB717" s="206" t="str">
        <f t="shared" si="1400"/>
        <v/>
      </c>
    </row>
    <row r="718" spans="2:28" x14ac:dyDescent="0.25">
      <c r="B718" s="66">
        <v>41808</v>
      </c>
      <c r="C718" s="66">
        <v>41808</v>
      </c>
      <c r="D718" s="68">
        <f t="shared" ref="D718" si="1459">IF(B718&gt;0,MONTH(B718),"False")</f>
        <v>6</v>
      </c>
      <c r="E718" s="66" t="str">
        <f t="shared" ref="E718" si="1460">YEAR(B718) &amp; CHOOSE(D718,"-Jan","-Feb","-Mar","-Apr","-May","-Jun","-Jul","-Aug","-Sep","-Oct","-Nov","-Dec")</f>
        <v>2014-Jun</v>
      </c>
      <c r="F718" s="68">
        <f t="shared" ref="F718" si="1461">IF(C718&gt;0,MONTH(C718),"False")</f>
        <v>6</v>
      </c>
      <c r="G718" s="220" t="s">
        <v>126</v>
      </c>
      <c r="H718" s="218" t="s">
        <v>280</v>
      </c>
      <c r="J718" s="218" t="s">
        <v>78</v>
      </c>
      <c r="K718" s="218" t="s">
        <v>78</v>
      </c>
      <c r="L718" s="218" t="s">
        <v>79</v>
      </c>
      <c r="M718" s="1" t="s">
        <v>1389</v>
      </c>
      <c r="N718" s="218" t="s">
        <v>124</v>
      </c>
      <c r="O718" s="218" t="s">
        <v>138</v>
      </c>
      <c r="R718" s="64" t="s">
        <v>344</v>
      </c>
      <c r="S718" s="220" t="s">
        <v>104</v>
      </c>
      <c r="X718" s="220" t="s">
        <v>544</v>
      </c>
      <c r="Y718" s="206" t="str">
        <f t="shared" si="1458"/>
        <v>Pass</v>
      </c>
      <c r="Z718" s="11" t="str">
        <f t="shared" si="1398"/>
        <v/>
      </c>
      <c r="AA718" s="206" t="str">
        <f t="shared" si="1399"/>
        <v/>
      </c>
      <c r="AB718" s="206" t="str">
        <f t="shared" si="1400"/>
        <v/>
      </c>
    </row>
    <row r="719" spans="2:28" x14ac:dyDescent="0.25">
      <c r="B719" s="66">
        <v>41808</v>
      </c>
      <c r="C719" s="66">
        <v>41808</v>
      </c>
      <c r="D719" s="68">
        <f t="shared" ref="D719:D720" si="1462">IF(B719&gt;0,MONTH(B719),"False")</f>
        <v>6</v>
      </c>
      <c r="E719" s="66" t="str">
        <f t="shared" ref="E719:E720" si="1463">YEAR(B719) &amp; CHOOSE(D719,"-Jan","-Feb","-Mar","-Apr","-May","-Jun","-Jul","-Aug","-Sep","-Oct","-Nov","-Dec")</f>
        <v>2014-Jun</v>
      </c>
      <c r="F719" s="68">
        <f t="shared" ref="F719:F720" si="1464">IF(C719&gt;0,MONTH(C719),"False")</f>
        <v>6</v>
      </c>
      <c r="G719" s="218" t="s">
        <v>87</v>
      </c>
      <c r="H719" s="218" t="s">
        <v>348</v>
      </c>
      <c r="J719" s="218" t="s">
        <v>78</v>
      </c>
      <c r="K719" s="218" t="s">
        <v>78</v>
      </c>
      <c r="L719" s="218" t="s">
        <v>79</v>
      </c>
      <c r="M719" s="218" t="s">
        <v>1390</v>
      </c>
      <c r="N719" s="218" t="s">
        <v>124</v>
      </c>
      <c r="O719" s="218" t="s">
        <v>145</v>
      </c>
      <c r="R719" s="64" t="s">
        <v>1337</v>
      </c>
      <c r="S719" s="235" t="s">
        <v>104</v>
      </c>
      <c r="Y719" s="206" t="str">
        <f t="shared" si="1458"/>
        <v>Pass</v>
      </c>
      <c r="Z719" s="11" t="str">
        <f t="shared" si="1398"/>
        <v/>
      </c>
      <c r="AA719" s="206" t="str">
        <f t="shared" si="1399"/>
        <v/>
      </c>
      <c r="AB719" s="206" t="str">
        <f t="shared" si="1400"/>
        <v/>
      </c>
    </row>
    <row r="720" spans="2:28" x14ac:dyDescent="0.25">
      <c r="B720" s="65">
        <v>41808</v>
      </c>
      <c r="C720" s="66">
        <v>41808</v>
      </c>
      <c r="D720" s="68">
        <f t="shared" si="1462"/>
        <v>6</v>
      </c>
      <c r="E720" s="66" t="str">
        <f t="shared" si="1463"/>
        <v>2014-Jun</v>
      </c>
      <c r="F720" s="68">
        <f t="shared" si="1464"/>
        <v>6</v>
      </c>
      <c r="G720" s="218" t="s">
        <v>93</v>
      </c>
      <c r="H720" s="218" t="s">
        <v>330</v>
      </c>
      <c r="J720" s="218" t="s">
        <v>81</v>
      </c>
      <c r="K720" s="218" t="s">
        <v>82</v>
      </c>
      <c r="L720" s="218" t="s">
        <v>79</v>
      </c>
      <c r="M720" s="1" t="s">
        <v>1391</v>
      </c>
      <c r="N720" s="218" t="s">
        <v>124</v>
      </c>
      <c r="O720" s="218" t="s">
        <v>285</v>
      </c>
      <c r="P720" s="64" t="s">
        <v>337</v>
      </c>
      <c r="Q720" s="2" t="s">
        <v>1461</v>
      </c>
      <c r="R720" s="64" t="s">
        <v>338</v>
      </c>
      <c r="S720" s="223" t="s">
        <v>104</v>
      </c>
      <c r="T720" s="67" t="s">
        <v>110</v>
      </c>
      <c r="Y720" s="206" t="str">
        <f t="shared" si="1458"/>
        <v>Obsolete</v>
      </c>
      <c r="Z720" s="11" t="str">
        <f t="shared" si="1398"/>
        <v/>
      </c>
      <c r="AA720" s="206" t="str">
        <f t="shared" si="1399"/>
        <v/>
      </c>
      <c r="AB720" s="206" t="str">
        <f t="shared" si="1400"/>
        <v/>
      </c>
    </row>
    <row r="721" spans="2:28" x14ac:dyDescent="0.25">
      <c r="B721" s="65">
        <v>41808</v>
      </c>
      <c r="C721" s="66">
        <v>41808</v>
      </c>
      <c r="D721" s="68">
        <f t="shared" ref="D721" si="1465">IF(B721&gt;0,MONTH(B721),"False")</f>
        <v>6</v>
      </c>
      <c r="E721" s="66" t="str">
        <f t="shared" ref="E721" si="1466">YEAR(B721) &amp; CHOOSE(D721,"-Jan","-Feb","-Mar","-Apr","-May","-Jun","-Jul","-Aug","-Sep","-Oct","-Nov","-Dec")</f>
        <v>2014-Jun</v>
      </c>
      <c r="F721" s="68">
        <f t="shared" ref="F721" si="1467">IF(C721&gt;0,MONTH(C721),"False")</f>
        <v>6</v>
      </c>
      <c r="G721" s="218" t="s">
        <v>93</v>
      </c>
      <c r="H721" s="218" t="s">
        <v>136</v>
      </c>
      <c r="J721" s="218" t="s">
        <v>98</v>
      </c>
      <c r="K721" s="218" t="s">
        <v>82</v>
      </c>
      <c r="L721" s="218" t="s">
        <v>79</v>
      </c>
      <c r="M721" s="1" t="s">
        <v>1392</v>
      </c>
      <c r="N721" s="218" t="s">
        <v>124</v>
      </c>
      <c r="O721" s="218" t="s">
        <v>142</v>
      </c>
      <c r="P721" s="64" t="s">
        <v>750</v>
      </c>
      <c r="R721" s="64" t="s">
        <v>1267</v>
      </c>
      <c r="S721" s="280" t="s">
        <v>104</v>
      </c>
      <c r="Y721" s="206" t="str">
        <f t="shared" si="1458"/>
        <v>Pass</v>
      </c>
      <c r="Z721" s="11" t="str">
        <f t="shared" si="1398"/>
        <v/>
      </c>
      <c r="AA721" s="206" t="str">
        <f t="shared" si="1399"/>
        <v/>
      </c>
      <c r="AB721" s="206" t="str">
        <f t="shared" si="1400"/>
        <v/>
      </c>
    </row>
    <row r="722" spans="2:28" x14ac:dyDescent="0.25">
      <c r="B722" s="65">
        <v>41808</v>
      </c>
      <c r="C722" s="66">
        <v>41808</v>
      </c>
      <c r="D722" s="68">
        <f t="shared" ref="D722" si="1468">IF(B722&gt;0,MONTH(B722),"False")</f>
        <v>6</v>
      </c>
      <c r="E722" s="66" t="str">
        <f t="shared" ref="E722" si="1469">YEAR(B722) &amp; CHOOSE(D722,"-Jan","-Feb","-Mar","-Apr","-May","-Jun","-Jul","-Aug","-Sep","-Oct","-Nov","-Dec")</f>
        <v>2014-Jun</v>
      </c>
      <c r="F722" s="68">
        <f t="shared" ref="F722" si="1470">IF(C722&gt;0,MONTH(C722),"False")</f>
        <v>6</v>
      </c>
      <c r="G722" s="222" t="s">
        <v>121</v>
      </c>
      <c r="H722" s="218" t="s">
        <v>136</v>
      </c>
      <c r="J722" s="218" t="s">
        <v>119</v>
      </c>
      <c r="K722" s="218" t="s">
        <v>119</v>
      </c>
      <c r="L722" s="218" t="s">
        <v>83</v>
      </c>
      <c r="M722" s="1" t="s">
        <v>1393</v>
      </c>
      <c r="N722" s="218" t="s">
        <v>124</v>
      </c>
      <c r="O722" s="218" t="s">
        <v>507</v>
      </c>
      <c r="P722" s="64" t="s">
        <v>784</v>
      </c>
      <c r="Q722" s="2" t="s">
        <v>1461</v>
      </c>
      <c r="R722" s="64" t="s">
        <v>1394</v>
      </c>
      <c r="S722" s="222" t="s">
        <v>104</v>
      </c>
      <c r="X722" s="222" t="s">
        <v>159</v>
      </c>
      <c r="Y722" s="206" t="str">
        <f t="shared" si="1458"/>
        <v>Obsolete</v>
      </c>
      <c r="Z722" s="11" t="str">
        <f t="shared" si="1398"/>
        <v/>
      </c>
      <c r="AA722" s="206" t="str">
        <f t="shared" si="1399"/>
        <v/>
      </c>
      <c r="AB722" s="206" t="str">
        <f t="shared" si="1400"/>
        <v/>
      </c>
    </row>
    <row r="723" spans="2:28" x14ac:dyDescent="0.25">
      <c r="B723" s="65">
        <v>41808</v>
      </c>
      <c r="C723" s="66">
        <v>41808</v>
      </c>
      <c r="D723" s="68">
        <f t="shared" ref="D723:D724" si="1471">IF(B723&gt;0,MONTH(B723),"False")</f>
        <v>6</v>
      </c>
      <c r="E723" s="66" t="str">
        <f t="shared" ref="E723:E724" si="1472">YEAR(B723) &amp; CHOOSE(D723,"-Jan","-Feb","-Mar","-Apr","-May","-Jun","-Jul","-Aug","-Sep","-Oct","-Nov","-Dec")</f>
        <v>2014-Jun</v>
      </c>
      <c r="F723" s="68">
        <f t="shared" ref="F723:F724" si="1473">IF(C723&gt;0,MONTH(C723),"False")</f>
        <v>6</v>
      </c>
      <c r="G723" s="218" t="s">
        <v>93</v>
      </c>
      <c r="H723" s="218" t="s">
        <v>136</v>
      </c>
      <c r="J723" s="218" t="s">
        <v>77</v>
      </c>
      <c r="K723" s="218" t="s">
        <v>82</v>
      </c>
      <c r="L723" s="218" t="s">
        <v>79</v>
      </c>
      <c r="M723" s="219" t="s">
        <v>1401</v>
      </c>
      <c r="N723" s="218" t="s">
        <v>124</v>
      </c>
      <c r="O723" s="218" t="s">
        <v>114</v>
      </c>
      <c r="P723" s="64" t="s">
        <v>750</v>
      </c>
      <c r="R723" s="64" t="s">
        <v>1267</v>
      </c>
      <c r="S723" s="280" t="s">
        <v>104</v>
      </c>
      <c r="T723" s="67" t="s">
        <v>110</v>
      </c>
      <c r="Y723" s="206" t="str">
        <f t="shared" si="1458"/>
        <v>Pass</v>
      </c>
      <c r="Z723" s="11" t="str">
        <f t="shared" si="1398"/>
        <v/>
      </c>
      <c r="AA723" s="206" t="str">
        <f t="shared" si="1399"/>
        <v/>
      </c>
      <c r="AB723" s="206" t="str">
        <f t="shared" si="1400"/>
        <v/>
      </c>
    </row>
    <row r="724" spans="2:28" x14ac:dyDescent="0.25">
      <c r="B724" s="65">
        <v>41808</v>
      </c>
      <c r="C724" s="66">
        <v>41808</v>
      </c>
      <c r="D724" s="68">
        <f t="shared" si="1471"/>
        <v>6</v>
      </c>
      <c r="E724" s="66" t="str">
        <f t="shared" si="1472"/>
        <v>2014-Jun</v>
      </c>
      <c r="F724" s="68">
        <f t="shared" si="1473"/>
        <v>6</v>
      </c>
      <c r="G724" s="218" t="s">
        <v>93</v>
      </c>
      <c r="H724" s="218" t="s">
        <v>136</v>
      </c>
      <c r="I724" s="218"/>
      <c r="J724" s="218" t="s">
        <v>119</v>
      </c>
      <c r="K724" s="218" t="s">
        <v>119</v>
      </c>
      <c r="L724" s="218" t="s">
        <v>83</v>
      </c>
      <c r="M724" s="218" t="s">
        <v>1395</v>
      </c>
      <c r="N724" s="218" t="s">
        <v>124</v>
      </c>
      <c r="O724" s="218" t="s">
        <v>507</v>
      </c>
      <c r="P724" s="64" t="s">
        <v>784</v>
      </c>
      <c r="Q724" s="2" t="s">
        <v>88</v>
      </c>
      <c r="R724" s="64" t="s">
        <v>1394</v>
      </c>
      <c r="Y724" s="206" t="str">
        <f t="shared" si="1458"/>
        <v>Obsolete</v>
      </c>
      <c r="Z724" s="11">
        <f t="shared" si="1398"/>
        <v>41808</v>
      </c>
      <c r="AA724" s="206" t="str">
        <f t="shared" si="1399"/>
        <v>2014 - 25</v>
      </c>
      <c r="AB724" s="206">
        <f t="shared" si="1400"/>
        <v>2014</v>
      </c>
    </row>
    <row r="725" spans="2:28" x14ac:dyDescent="0.25">
      <c r="B725" s="66">
        <v>41809</v>
      </c>
      <c r="C725" s="66">
        <v>41809</v>
      </c>
      <c r="D725" s="68">
        <f t="shared" ref="D725" si="1474">IF(B725&gt;0,MONTH(B725),"False")</f>
        <v>6</v>
      </c>
      <c r="E725" s="66" t="str">
        <f t="shared" ref="E725" si="1475">YEAR(B725) &amp; CHOOSE(D725,"-Jan","-Feb","-Mar","-Apr","-May","-Jun","-Jul","-Aug","-Sep","-Oct","-Nov","-Dec")</f>
        <v>2014-Jun</v>
      </c>
      <c r="F725" s="68">
        <f t="shared" ref="F725" si="1476">IF(C725&gt;0,MONTH(C725),"False")</f>
        <v>6</v>
      </c>
      <c r="G725" s="219" t="s">
        <v>87</v>
      </c>
      <c r="H725" s="219" t="s">
        <v>316</v>
      </c>
      <c r="J725" s="219" t="s">
        <v>150</v>
      </c>
      <c r="K725" s="219" t="s">
        <v>84</v>
      </c>
      <c r="L725" s="219" t="s">
        <v>83</v>
      </c>
      <c r="M725" s="1" t="s">
        <v>1396</v>
      </c>
      <c r="N725" s="219" t="s">
        <v>124</v>
      </c>
      <c r="O725" s="219" t="s">
        <v>325</v>
      </c>
      <c r="R725" s="64" t="s">
        <v>1397</v>
      </c>
      <c r="S725" s="237" t="s">
        <v>104</v>
      </c>
      <c r="Y725" s="206" t="str">
        <f t="shared" si="1458"/>
        <v>Pass</v>
      </c>
      <c r="Z725" s="11" t="str">
        <f t="shared" si="1398"/>
        <v/>
      </c>
      <c r="AA725" s="206" t="str">
        <f t="shared" si="1399"/>
        <v/>
      </c>
      <c r="AB725" s="206" t="str">
        <f t="shared" si="1400"/>
        <v/>
      </c>
    </row>
    <row r="726" spans="2:28" x14ac:dyDescent="0.25">
      <c r="B726" s="65">
        <v>41809</v>
      </c>
      <c r="C726" s="66">
        <v>41809</v>
      </c>
      <c r="D726" s="68">
        <f t="shared" ref="D726:D727" si="1477">IF(B726&gt;0,MONTH(B726),"False")</f>
        <v>6</v>
      </c>
      <c r="E726" s="66" t="str">
        <f t="shared" ref="E726:E727" si="1478">YEAR(B726) &amp; CHOOSE(D726,"-Jan","-Feb","-Mar","-Apr","-May","-Jun","-Jul","-Aug","-Sep","-Oct","-Nov","-Dec")</f>
        <v>2014-Jun</v>
      </c>
      <c r="F726" s="68">
        <f t="shared" ref="F726:F727" si="1479">IF(C726&gt;0,MONTH(C726),"False")</f>
        <v>6</v>
      </c>
      <c r="G726" s="222" t="s">
        <v>121</v>
      </c>
      <c r="H726" s="219" t="s">
        <v>136</v>
      </c>
      <c r="J726" s="219" t="s">
        <v>119</v>
      </c>
      <c r="K726" s="219" t="s">
        <v>119</v>
      </c>
      <c r="L726" s="219" t="s">
        <v>83</v>
      </c>
      <c r="M726" s="1" t="s">
        <v>1398</v>
      </c>
      <c r="N726" s="219" t="s">
        <v>124</v>
      </c>
      <c r="O726" s="219" t="s">
        <v>507</v>
      </c>
      <c r="P726" s="64" t="s">
        <v>784</v>
      </c>
      <c r="Q726" s="2" t="s">
        <v>1461</v>
      </c>
      <c r="R726" s="64" t="s">
        <v>1399</v>
      </c>
      <c r="S726" s="222" t="s">
        <v>104</v>
      </c>
      <c r="X726" s="222" t="s">
        <v>159</v>
      </c>
      <c r="Y726" s="206" t="str">
        <f t="shared" si="1458"/>
        <v>Obsolete</v>
      </c>
      <c r="Z726" s="11" t="str">
        <f t="shared" si="1398"/>
        <v/>
      </c>
      <c r="AA726" s="206" t="str">
        <f t="shared" si="1399"/>
        <v/>
      </c>
      <c r="AB726" s="206" t="str">
        <f t="shared" si="1400"/>
        <v/>
      </c>
    </row>
    <row r="727" spans="2:28" x14ac:dyDescent="0.25">
      <c r="B727" s="66">
        <v>41809</v>
      </c>
      <c r="C727" s="66">
        <v>41809</v>
      </c>
      <c r="D727" s="68">
        <f t="shared" si="1477"/>
        <v>6</v>
      </c>
      <c r="E727" s="66" t="str">
        <f t="shared" si="1478"/>
        <v>2014-Jun</v>
      </c>
      <c r="F727" s="68">
        <f t="shared" si="1479"/>
        <v>6</v>
      </c>
      <c r="G727" s="219" t="s">
        <v>87</v>
      </c>
      <c r="H727" s="219" t="s">
        <v>136</v>
      </c>
      <c r="J727" s="219" t="s">
        <v>98</v>
      </c>
      <c r="K727" s="219" t="s">
        <v>84</v>
      </c>
      <c r="L727" s="219" t="s">
        <v>83</v>
      </c>
      <c r="M727" s="1" t="s">
        <v>1400</v>
      </c>
      <c r="N727" s="219" t="s">
        <v>124</v>
      </c>
      <c r="O727" s="219" t="s">
        <v>156</v>
      </c>
      <c r="R727" s="64" t="s">
        <v>1342</v>
      </c>
      <c r="Y727" s="206" t="str">
        <f t="shared" si="1458"/>
        <v>Unknown</v>
      </c>
      <c r="Z727" s="11" t="str">
        <f t="shared" si="1398"/>
        <v/>
      </c>
      <c r="AA727" s="206" t="str">
        <f t="shared" si="1399"/>
        <v/>
      </c>
      <c r="AB727" s="206" t="str">
        <f t="shared" si="1400"/>
        <v/>
      </c>
    </row>
    <row r="728" spans="2:28" x14ac:dyDescent="0.25">
      <c r="B728" s="65">
        <v>41810</v>
      </c>
      <c r="C728" s="66">
        <v>41810</v>
      </c>
      <c r="D728" s="68">
        <f t="shared" ref="D728" si="1480">IF(B728&gt;0,MONTH(B728),"False")</f>
        <v>6</v>
      </c>
      <c r="E728" s="66" t="str">
        <f t="shared" ref="E728" si="1481">YEAR(B728) &amp; CHOOSE(D728,"-Jan","-Feb","-Mar","-Apr","-May","-Jun","-Jul","-Aug","-Sep","-Oct","-Nov","-Dec")</f>
        <v>2014-Jun</v>
      </c>
      <c r="F728" s="68">
        <f t="shared" ref="F728" si="1482">IF(C728&gt;0,MONTH(C728),"False")</f>
        <v>6</v>
      </c>
      <c r="G728" s="220" t="s">
        <v>93</v>
      </c>
      <c r="H728" s="220" t="s">
        <v>280</v>
      </c>
      <c r="J728" s="220" t="s">
        <v>77</v>
      </c>
      <c r="K728" s="220" t="s">
        <v>82</v>
      </c>
      <c r="L728" s="220" t="s">
        <v>79</v>
      </c>
      <c r="M728" s="1" t="s">
        <v>1402</v>
      </c>
      <c r="N728" s="220" t="s">
        <v>124</v>
      </c>
      <c r="O728" s="220" t="s">
        <v>285</v>
      </c>
      <c r="P728" s="64" t="s">
        <v>305</v>
      </c>
      <c r="Q728" s="2" t="s">
        <v>88</v>
      </c>
      <c r="R728" s="64" t="s">
        <v>1108</v>
      </c>
      <c r="Y728" s="206" t="str">
        <f t="shared" si="1458"/>
        <v>Obsolete</v>
      </c>
      <c r="Z728" s="11">
        <f t="shared" si="1398"/>
        <v>41810</v>
      </c>
      <c r="AA728" s="206" t="str">
        <f t="shared" si="1399"/>
        <v>2014 - 25</v>
      </c>
      <c r="AB728" s="206">
        <f t="shared" si="1400"/>
        <v>2014</v>
      </c>
    </row>
    <row r="729" spans="2:28" x14ac:dyDescent="0.25">
      <c r="B729" s="65">
        <v>41810</v>
      </c>
      <c r="C729" s="66">
        <v>41810</v>
      </c>
      <c r="D729" s="68">
        <f t="shared" ref="D729" si="1483">IF(B729&gt;0,MONTH(B729),"False")</f>
        <v>6</v>
      </c>
      <c r="E729" s="66" t="str">
        <f t="shared" ref="E729" si="1484">YEAR(B729) &amp; CHOOSE(D729,"-Jan","-Feb","-Mar","-Apr","-May","-Jun","-Jul","-Aug","-Sep","-Oct","-Nov","-Dec")</f>
        <v>2014-Jun</v>
      </c>
      <c r="F729" s="68">
        <f t="shared" ref="F729" si="1485">IF(C729&gt;0,MONTH(C729),"False")</f>
        <v>6</v>
      </c>
      <c r="G729" s="220" t="s">
        <v>93</v>
      </c>
      <c r="H729" s="220" t="s">
        <v>316</v>
      </c>
      <c r="J729" s="220" t="s">
        <v>77</v>
      </c>
      <c r="K729" s="220" t="s">
        <v>82</v>
      </c>
      <c r="L729" s="220" t="s">
        <v>79</v>
      </c>
      <c r="M729" s="1" t="s">
        <v>1403</v>
      </c>
      <c r="N729" s="220" t="s">
        <v>124</v>
      </c>
      <c r="O729" s="220" t="s">
        <v>142</v>
      </c>
      <c r="P729" s="64" t="s">
        <v>340</v>
      </c>
      <c r="R729" s="64" t="s">
        <v>705</v>
      </c>
      <c r="S729" s="237" t="s">
        <v>104</v>
      </c>
      <c r="Y729" s="206" t="str">
        <f t="shared" si="1458"/>
        <v>Pass</v>
      </c>
      <c r="Z729" s="11" t="str">
        <f t="shared" ref="Z729:Z741" si="1486">IF(Q729="Obsolete-LQA",C729,IF(Q729="Obsolete-IT",B729,""))</f>
        <v/>
      </c>
      <c r="AA729" s="220" t="str">
        <f t="shared" ref="AA729:AA741" si="1487">IFERROR(YEAR(Z729)&amp;" - "&amp; IF(LEN( WEEKNUM(Z729))=1,"0" &amp; WEEKNUM(Z729),WEEKNUM(Z729)),"")</f>
        <v/>
      </c>
      <c r="AB729" s="220" t="str">
        <f t="shared" ref="AB729:AB741" si="1488">IFERROR(YEAR(Z729),"")</f>
        <v/>
      </c>
    </row>
    <row r="730" spans="2:28" x14ac:dyDescent="0.25">
      <c r="B730" s="65">
        <v>41810</v>
      </c>
      <c r="C730" s="66">
        <v>41810</v>
      </c>
      <c r="D730" s="68">
        <f t="shared" ref="D730" si="1489">IF(B730&gt;0,MONTH(B730),"False")</f>
        <v>6</v>
      </c>
      <c r="E730" s="66" t="str">
        <f t="shared" ref="E730" si="1490">YEAR(B730) &amp; CHOOSE(D730,"-Jan","-Feb","-Mar","-Apr","-May","-Jun","-Jul","-Aug","-Sep","-Oct","-Nov","-Dec")</f>
        <v>2014-Jun</v>
      </c>
      <c r="F730" s="68">
        <f t="shared" ref="F730" si="1491">IF(C730&gt;0,MONTH(C730),"False")</f>
        <v>6</v>
      </c>
      <c r="G730" s="230" t="s">
        <v>121</v>
      </c>
      <c r="H730" s="220" t="s">
        <v>316</v>
      </c>
      <c r="I730" s="220"/>
      <c r="J730" s="220" t="s">
        <v>81</v>
      </c>
      <c r="K730" s="220" t="s">
        <v>82</v>
      </c>
      <c r="L730" s="220" t="s">
        <v>79</v>
      </c>
      <c r="M730" s="220" t="s">
        <v>1404</v>
      </c>
      <c r="N730" s="220" t="s">
        <v>124</v>
      </c>
      <c r="O730" s="220" t="s">
        <v>142</v>
      </c>
      <c r="P730" s="64" t="s">
        <v>340</v>
      </c>
      <c r="R730" s="64" t="s">
        <v>705</v>
      </c>
      <c r="S730" s="230" t="s">
        <v>104</v>
      </c>
      <c r="X730" s="230" t="s">
        <v>300</v>
      </c>
      <c r="Y730" s="206" t="str">
        <f t="shared" si="1458"/>
        <v>Pass</v>
      </c>
      <c r="Z730" s="11" t="str">
        <f t="shared" si="1486"/>
        <v/>
      </c>
      <c r="AA730" s="220" t="str">
        <f t="shared" si="1487"/>
        <v/>
      </c>
      <c r="AB730" s="220" t="str">
        <f t="shared" si="1488"/>
        <v/>
      </c>
    </row>
    <row r="731" spans="2:28" x14ac:dyDescent="0.25">
      <c r="B731" s="65">
        <v>41810</v>
      </c>
      <c r="C731" s="66">
        <v>41810</v>
      </c>
      <c r="D731" s="68">
        <f t="shared" ref="D731" si="1492">IF(B731&gt;0,MONTH(B731),"False")</f>
        <v>6</v>
      </c>
      <c r="E731" s="66" t="str">
        <f t="shared" ref="E731" si="1493">YEAR(B731) &amp; CHOOSE(D731,"-Jan","-Feb","-Mar","-Apr","-May","-Jun","-Jul","-Aug","-Sep","-Oct","-Nov","-Dec")</f>
        <v>2014-Jun</v>
      </c>
      <c r="F731" s="68">
        <f t="shared" ref="F731" si="1494">IF(C731&gt;0,MONTH(C731),"False")</f>
        <v>6</v>
      </c>
      <c r="G731" s="225" t="s">
        <v>105</v>
      </c>
      <c r="H731" s="220" t="s">
        <v>280</v>
      </c>
      <c r="J731" s="220" t="s">
        <v>77</v>
      </c>
      <c r="K731" s="220" t="s">
        <v>82</v>
      </c>
      <c r="L731" s="220" t="s">
        <v>79</v>
      </c>
      <c r="M731" s="1" t="s">
        <v>1405</v>
      </c>
      <c r="N731" s="220" t="s">
        <v>124</v>
      </c>
      <c r="O731" s="220" t="s">
        <v>285</v>
      </c>
      <c r="P731" s="64" t="s">
        <v>305</v>
      </c>
      <c r="R731" s="64" t="s">
        <v>1108</v>
      </c>
      <c r="S731" s="225" t="s">
        <v>104</v>
      </c>
      <c r="X731" s="225" t="s">
        <v>544</v>
      </c>
      <c r="Y731" s="206" t="str">
        <f t="shared" si="1458"/>
        <v>Pass</v>
      </c>
      <c r="Z731" s="11" t="str">
        <f t="shared" si="1486"/>
        <v/>
      </c>
      <c r="AA731" s="220" t="str">
        <f t="shared" si="1487"/>
        <v/>
      </c>
      <c r="AB731" s="220" t="str">
        <f t="shared" si="1488"/>
        <v/>
      </c>
    </row>
    <row r="732" spans="2:28" x14ac:dyDescent="0.25">
      <c r="B732" s="65">
        <v>41810</v>
      </c>
      <c r="C732" s="66">
        <v>41810</v>
      </c>
      <c r="D732" s="68">
        <f t="shared" ref="D732" si="1495">IF(B732&gt;0,MONTH(B732),"False")</f>
        <v>6</v>
      </c>
      <c r="E732" s="66" t="str">
        <f t="shared" ref="E732" si="1496">YEAR(B732) &amp; CHOOSE(D732,"-Jan","-Feb","-Mar","-Apr","-May","-Jun","-Jul","-Aug","-Sep","-Oct","-Nov","-Dec")</f>
        <v>2014-Jun</v>
      </c>
      <c r="F732" s="68">
        <f t="shared" ref="F732" si="1497">IF(C732&gt;0,MONTH(C732),"False")</f>
        <v>6</v>
      </c>
      <c r="G732" s="222" t="s">
        <v>121</v>
      </c>
      <c r="H732" s="220" t="s">
        <v>280</v>
      </c>
      <c r="J732" s="220" t="s">
        <v>81</v>
      </c>
      <c r="K732" s="220" t="s">
        <v>82</v>
      </c>
      <c r="L732" s="220" t="s">
        <v>79</v>
      </c>
      <c r="M732" s="1" t="s">
        <v>1406</v>
      </c>
      <c r="N732" s="220" t="s">
        <v>124</v>
      </c>
      <c r="O732" s="220" t="s">
        <v>286</v>
      </c>
      <c r="P732" s="64" t="s">
        <v>305</v>
      </c>
      <c r="R732" s="64" t="s">
        <v>1108</v>
      </c>
      <c r="S732" s="222" t="s">
        <v>104</v>
      </c>
      <c r="X732" s="222" t="s">
        <v>297</v>
      </c>
      <c r="Y732" s="206" t="str">
        <f t="shared" si="1458"/>
        <v>Pass</v>
      </c>
      <c r="Z732" s="11" t="str">
        <f t="shared" si="1486"/>
        <v/>
      </c>
      <c r="AA732" s="220" t="str">
        <f t="shared" si="1487"/>
        <v/>
      </c>
      <c r="AB732" s="220" t="str">
        <f t="shared" si="1488"/>
        <v/>
      </c>
    </row>
    <row r="733" spans="2:28" x14ac:dyDescent="0.25">
      <c r="B733" s="65">
        <v>41810</v>
      </c>
      <c r="C733" s="66">
        <v>41810</v>
      </c>
      <c r="D733" s="68">
        <f t="shared" ref="D733:D735" si="1498">IF(B733&gt;0,MONTH(B733),"False")</f>
        <v>6</v>
      </c>
      <c r="E733" s="66" t="str">
        <f t="shared" ref="E733:E735" si="1499">YEAR(B733) &amp; CHOOSE(D733,"-Jan","-Feb","-Mar","-Apr","-May","-Jun","-Jul","-Aug","-Sep","-Oct","-Nov","-Dec")</f>
        <v>2014-Jun</v>
      </c>
      <c r="F733" s="68">
        <f t="shared" ref="F733:F735" si="1500">IF(C733&gt;0,MONTH(C733),"False")</f>
        <v>6</v>
      </c>
      <c r="G733" s="225" t="s">
        <v>121</v>
      </c>
      <c r="H733" s="220" t="s">
        <v>166</v>
      </c>
      <c r="J733" s="220" t="s">
        <v>81</v>
      </c>
      <c r="K733" s="220" t="s">
        <v>82</v>
      </c>
      <c r="L733" s="220" t="s">
        <v>79</v>
      </c>
      <c r="M733" s="1" t="s">
        <v>1407</v>
      </c>
      <c r="N733" s="220" t="s">
        <v>124</v>
      </c>
      <c r="O733" s="220" t="s">
        <v>125</v>
      </c>
      <c r="P733" s="64" t="s">
        <v>289</v>
      </c>
      <c r="R733" s="64" t="s">
        <v>290</v>
      </c>
      <c r="S733" s="225" t="s">
        <v>104</v>
      </c>
      <c r="X733" s="225" t="s">
        <v>349</v>
      </c>
      <c r="Y733" s="206" t="str">
        <f t="shared" si="1458"/>
        <v>Pass</v>
      </c>
      <c r="Z733" s="11" t="str">
        <f t="shared" si="1486"/>
        <v/>
      </c>
      <c r="AA733" s="220" t="str">
        <f t="shared" si="1487"/>
        <v/>
      </c>
      <c r="AB733" s="220" t="str">
        <f t="shared" si="1488"/>
        <v/>
      </c>
    </row>
    <row r="734" spans="2:28" x14ac:dyDescent="0.25">
      <c r="B734" s="66">
        <v>41813</v>
      </c>
      <c r="C734" s="66">
        <v>41813</v>
      </c>
      <c r="D734" s="68">
        <f t="shared" si="1498"/>
        <v>6</v>
      </c>
      <c r="E734" s="66" t="str">
        <f t="shared" si="1499"/>
        <v>2014-Jun</v>
      </c>
      <c r="F734" s="68">
        <f t="shared" si="1500"/>
        <v>6</v>
      </c>
      <c r="G734" s="221" t="s">
        <v>87</v>
      </c>
      <c r="H734" s="221" t="s">
        <v>166</v>
      </c>
      <c r="J734" s="221" t="s">
        <v>98</v>
      </c>
      <c r="K734" s="221" t="s">
        <v>84</v>
      </c>
      <c r="L734" s="221" t="s">
        <v>79</v>
      </c>
      <c r="M734" s="1" t="s">
        <v>1408</v>
      </c>
      <c r="N734" s="221" t="s">
        <v>124</v>
      </c>
      <c r="O734" s="221" t="s">
        <v>152</v>
      </c>
      <c r="R734" s="64" t="s">
        <v>1353</v>
      </c>
      <c r="Y734" s="206" t="str">
        <f t="shared" si="1458"/>
        <v>Unknown</v>
      </c>
      <c r="Z734" s="11" t="str">
        <f t="shared" si="1486"/>
        <v/>
      </c>
      <c r="AA734" s="220" t="str">
        <f t="shared" si="1487"/>
        <v/>
      </c>
      <c r="AB734" s="220" t="str">
        <f t="shared" si="1488"/>
        <v/>
      </c>
    </row>
    <row r="735" spans="2:28" x14ac:dyDescent="0.25">
      <c r="B735" s="65">
        <v>41813</v>
      </c>
      <c r="C735" s="66">
        <v>41813</v>
      </c>
      <c r="D735" s="68">
        <f t="shared" si="1498"/>
        <v>6</v>
      </c>
      <c r="E735" s="66" t="str">
        <f t="shared" si="1499"/>
        <v>2014-Jun</v>
      </c>
      <c r="F735" s="68">
        <f t="shared" si="1500"/>
        <v>6</v>
      </c>
      <c r="G735" s="224" t="s">
        <v>121</v>
      </c>
      <c r="H735" s="221" t="s">
        <v>280</v>
      </c>
      <c r="J735" s="221" t="s">
        <v>77</v>
      </c>
      <c r="K735" s="221" t="s">
        <v>82</v>
      </c>
      <c r="L735" s="221" t="s">
        <v>79</v>
      </c>
      <c r="M735" s="1" t="s">
        <v>1409</v>
      </c>
      <c r="N735" s="221" t="s">
        <v>124</v>
      </c>
      <c r="O735" s="221" t="s">
        <v>265</v>
      </c>
      <c r="P735" s="64" t="s">
        <v>351</v>
      </c>
      <c r="R735" s="64" t="s">
        <v>361</v>
      </c>
      <c r="S735" s="224" t="s">
        <v>104</v>
      </c>
      <c r="T735" s="67" t="s">
        <v>110</v>
      </c>
      <c r="X735" s="224" t="s">
        <v>1312</v>
      </c>
      <c r="Y735" s="206" t="str">
        <f t="shared" si="1458"/>
        <v>Pass</v>
      </c>
      <c r="Z735" s="11" t="str">
        <f t="shared" si="1486"/>
        <v/>
      </c>
      <c r="AA735" s="220" t="str">
        <f t="shared" si="1487"/>
        <v/>
      </c>
      <c r="AB735" s="220" t="str">
        <f t="shared" si="1488"/>
        <v/>
      </c>
    </row>
    <row r="736" spans="2:28" x14ac:dyDescent="0.25">
      <c r="B736" s="66">
        <v>41813</v>
      </c>
      <c r="C736" s="66">
        <v>41813</v>
      </c>
      <c r="D736" s="68">
        <f t="shared" ref="D736:D737" si="1501">IF(B736&gt;0,MONTH(B736),"False")</f>
        <v>6</v>
      </c>
      <c r="E736" s="66" t="str">
        <f t="shared" ref="E736:E737" si="1502">YEAR(B736) &amp; CHOOSE(D736,"-Jan","-Feb","-Mar","-Apr","-May","-Jun","-Jul","-Aug","-Sep","-Oct","-Nov","-Dec")</f>
        <v>2014-Jun</v>
      </c>
      <c r="F736" s="68">
        <f t="shared" ref="F736:F737" si="1503">IF(C736&gt;0,MONTH(C736),"False")</f>
        <v>6</v>
      </c>
      <c r="G736" s="222" t="s">
        <v>112</v>
      </c>
      <c r="H736" s="221" t="s">
        <v>280</v>
      </c>
      <c r="J736" s="221" t="s">
        <v>78</v>
      </c>
      <c r="K736" s="221" t="s">
        <v>78</v>
      </c>
      <c r="L736" s="221" t="s">
        <v>79</v>
      </c>
      <c r="M736" s="1" t="s">
        <v>1410</v>
      </c>
      <c r="N736" s="221" t="s">
        <v>124</v>
      </c>
      <c r="O736" s="221" t="s">
        <v>304</v>
      </c>
      <c r="R736" s="64" t="s">
        <v>344</v>
      </c>
      <c r="S736" s="222" t="s">
        <v>104</v>
      </c>
      <c r="X736" s="222" t="s">
        <v>544</v>
      </c>
      <c r="Y736" s="206" t="str">
        <f t="shared" si="1458"/>
        <v>Pass</v>
      </c>
      <c r="Z736" s="11" t="str">
        <f t="shared" si="1486"/>
        <v/>
      </c>
      <c r="AA736" s="220" t="str">
        <f t="shared" si="1487"/>
        <v/>
      </c>
      <c r="AB736" s="220" t="str">
        <f t="shared" si="1488"/>
        <v/>
      </c>
    </row>
    <row r="737" spans="2:28" x14ac:dyDescent="0.25">
      <c r="B737" s="65">
        <v>41813</v>
      </c>
      <c r="C737" s="66">
        <v>41813</v>
      </c>
      <c r="D737" s="68">
        <f t="shared" si="1501"/>
        <v>6</v>
      </c>
      <c r="E737" s="66" t="str">
        <f t="shared" si="1502"/>
        <v>2014-Jun</v>
      </c>
      <c r="F737" s="68">
        <f t="shared" si="1503"/>
        <v>6</v>
      </c>
      <c r="G737" s="221" t="s">
        <v>93</v>
      </c>
      <c r="H737" s="221" t="s">
        <v>166</v>
      </c>
      <c r="J737" s="221" t="s">
        <v>98</v>
      </c>
      <c r="K737" s="221" t="s">
        <v>82</v>
      </c>
      <c r="L737" s="221" t="s">
        <v>79</v>
      </c>
      <c r="M737" s="1" t="s">
        <v>1411</v>
      </c>
      <c r="N737" s="221" t="s">
        <v>124</v>
      </c>
      <c r="O737" s="221" t="s">
        <v>343</v>
      </c>
      <c r="P737" s="64" t="s">
        <v>336</v>
      </c>
      <c r="Q737" s="2" t="s">
        <v>88</v>
      </c>
      <c r="R737" s="64" t="s">
        <v>1311</v>
      </c>
      <c r="Y737" s="206" t="str">
        <f t="shared" si="1458"/>
        <v>Obsolete</v>
      </c>
      <c r="Z737" s="11">
        <f t="shared" si="1486"/>
        <v>41813</v>
      </c>
      <c r="AA737" s="220" t="str">
        <f t="shared" si="1487"/>
        <v>2014 - 26</v>
      </c>
      <c r="AB737" s="220">
        <f t="shared" si="1488"/>
        <v>2014</v>
      </c>
    </row>
    <row r="738" spans="2:28" x14ac:dyDescent="0.25">
      <c r="B738" s="66">
        <v>41813</v>
      </c>
      <c r="C738" s="66">
        <v>41813</v>
      </c>
      <c r="D738" s="68">
        <f t="shared" ref="D738" si="1504">IF(B738&gt;0,MONTH(B738),"False")</f>
        <v>6</v>
      </c>
      <c r="E738" s="66" t="str">
        <f t="shared" ref="E738" si="1505">YEAR(B738) &amp; CHOOSE(D738,"-Jan","-Feb","-Mar","-Apr","-May","-Jun","-Jul","-Aug","-Sep","-Oct","-Nov","-Dec")</f>
        <v>2014-Jun</v>
      </c>
      <c r="F738" s="68">
        <f t="shared" ref="F738" si="1506">IF(C738&gt;0,MONTH(C738),"False")</f>
        <v>6</v>
      </c>
      <c r="G738" s="221" t="s">
        <v>87</v>
      </c>
      <c r="H738" s="221" t="s">
        <v>280</v>
      </c>
      <c r="J738" s="221" t="s">
        <v>98</v>
      </c>
      <c r="K738" s="221" t="s">
        <v>84</v>
      </c>
      <c r="L738" s="221" t="s">
        <v>79</v>
      </c>
      <c r="M738" s="1" t="s">
        <v>1412</v>
      </c>
      <c r="N738" s="221" t="s">
        <v>124</v>
      </c>
      <c r="O738" s="221" t="s">
        <v>152</v>
      </c>
      <c r="R738" s="64" t="s">
        <v>1096</v>
      </c>
      <c r="Y738" s="206" t="str">
        <f t="shared" si="1458"/>
        <v>Unknown</v>
      </c>
      <c r="Z738" s="11" t="str">
        <f t="shared" si="1486"/>
        <v/>
      </c>
      <c r="AA738" s="220" t="str">
        <f t="shared" si="1487"/>
        <v/>
      </c>
      <c r="AB738" s="220" t="str">
        <f t="shared" si="1488"/>
        <v/>
      </c>
    </row>
    <row r="739" spans="2:28" x14ac:dyDescent="0.25">
      <c r="B739" s="66">
        <v>41813</v>
      </c>
      <c r="C739" s="66">
        <v>41813</v>
      </c>
      <c r="D739" s="68">
        <f t="shared" ref="D739" si="1507">IF(B739&gt;0,MONTH(B739),"False")</f>
        <v>6</v>
      </c>
      <c r="E739" s="66" t="str">
        <f t="shared" ref="E739" si="1508">YEAR(B739) &amp; CHOOSE(D739,"-Jan","-Feb","-Mar","-Apr","-May","-Jun","-Jul","-Aug","-Sep","-Oct","-Nov","-Dec")</f>
        <v>2014-Jun</v>
      </c>
      <c r="F739" s="68">
        <f t="shared" ref="F739" si="1509">IF(C739&gt;0,MONTH(C739),"False")</f>
        <v>6</v>
      </c>
      <c r="G739" s="225" t="s">
        <v>112</v>
      </c>
      <c r="H739" s="221" t="s">
        <v>136</v>
      </c>
      <c r="J739" s="221" t="s">
        <v>150</v>
      </c>
      <c r="K739" s="221" t="s">
        <v>84</v>
      </c>
      <c r="L739" s="221" t="s">
        <v>79</v>
      </c>
      <c r="M739" s="1" t="s">
        <v>1413</v>
      </c>
      <c r="N739" s="221" t="s">
        <v>124</v>
      </c>
      <c r="O739" s="221" t="s">
        <v>264</v>
      </c>
      <c r="R739" s="64" t="s">
        <v>1265</v>
      </c>
      <c r="S739" s="225" t="s">
        <v>104</v>
      </c>
      <c r="X739" s="225" t="s">
        <v>1425</v>
      </c>
      <c r="Y739" s="206" t="str">
        <f t="shared" si="1458"/>
        <v>Pass</v>
      </c>
      <c r="Z739" s="11" t="str">
        <f t="shared" si="1486"/>
        <v/>
      </c>
      <c r="AA739" s="220" t="str">
        <f t="shared" si="1487"/>
        <v/>
      </c>
      <c r="AB739" s="220" t="str">
        <f t="shared" si="1488"/>
        <v/>
      </c>
    </row>
    <row r="740" spans="2:28" x14ac:dyDescent="0.25">
      <c r="B740" s="66">
        <v>41813</v>
      </c>
      <c r="C740" s="66">
        <v>41813</v>
      </c>
      <c r="D740" s="68">
        <f t="shared" ref="D740:D741" si="1510">IF(B740&gt;0,MONTH(B740),"False")</f>
        <v>6</v>
      </c>
      <c r="E740" s="66" t="str">
        <f t="shared" ref="E740:E741" si="1511">YEAR(B740) &amp; CHOOSE(D740,"-Jan","-Feb","-Mar","-Apr","-May","-Jun","-Jul","-Aug","-Sep","-Oct","-Nov","-Dec")</f>
        <v>2014-Jun</v>
      </c>
      <c r="F740" s="68">
        <f t="shared" ref="F740:F741" si="1512">IF(C740&gt;0,MONTH(C740),"False")</f>
        <v>6</v>
      </c>
      <c r="G740" s="221" t="s">
        <v>87</v>
      </c>
      <c r="H740" s="221" t="s">
        <v>166</v>
      </c>
      <c r="J740" s="221" t="s">
        <v>150</v>
      </c>
      <c r="K740" s="221" t="s">
        <v>84</v>
      </c>
      <c r="L740" s="221" t="s">
        <v>79</v>
      </c>
      <c r="M740" s="1" t="s">
        <v>1414</v>
      </c>
      <c r="N740" s="221" t="s">
        <v>124</v>
      </c>
      <c r="O740" s="221" t="s">
        <v>264</v>
      </c>
      <c r="R740" s="64" t="s">
        <v>1415</v>
      </c>
      <c r="Y740" s="206" t="str">
        <f t="shared" si="1458"/>
        <v>Unknown</v>
      </c>
      <c r="Z740" s="11" t="str">
        <f t="shared" si="1486"/>
        <v/>
      </c>
      <c r="AA740" s="220" t="str">
        <f t="shared" si="1487"/>
        <v/>
      </c>
      <c r="AB740" s="220" t="str">
        <f t="shared" si="1488"/>
        <v/>
      </c>
    </row>
    <row r="741" spans="2:28" x14ac:dyDescent="0.25">
      <c r="B741" s="65">
        <v>41814</v>
      </c>
      <c r="C741" s="66">
        <v>41814</v>
      </c>
      <c r="D741" s="68">
        <f t="shared" si="1510"/>
        <v>6</v>
      </c>
      <c r="E741" s="66" t="str">
        <f t="shared" si="1511"/>
        <v>2014-Jun</v>
      </c>
      <c r="F741" s="68">
        <f t="shared" si="1512"/>
        <v>6</v>
      </c>
      <c r="G741" s="222" t="s">
        <v>93</v>
      </c>
      <c r="H741" s="222" t="s">
        <v>280</v>
      </c>
      <c r="J741" s="222" t="s">
        <v>77</v>
      </c>
      <c r="K741" s="222" t="s">
        <v>82</v>
      </c>
      <c r="L741" s="222" t="s">
        <v>79</v>
      </c>
      <c r="M741" s="1" t="s">
        <v>1416</v>
      </c>
      <c r="N741" s="222" t="s">
        <v>124</v>
      </c>
      <c r="O741" s="222" t="s">
        <v>285</v>
      </c>
      <c r="P741" s="64" t="s">
        <v>305</v>
      </c>
      <c r="Q741" s="2" t="s">
        <v>88</v>
      </c>
      <c r="R741" s="64" t="s">
        <v>1108</v>
      </c>
      <c r="Y741" s="206" t="str">
        <f t="shared" si="1458"/>
        <v>Obsolete</v>
      </c>
      <c r="Z741" s="11">
        <f t="shared" si="1486"/>
        <v>41814</v>
      </c>
      <c r="AA741" s="220" t="str">
        <f t="shared" si="1487"/>
        <v>2014 - 26</v>
      </c>
      <c r="AB741" s="220">
        <f t="shared" si="1488"/>
        <v>2014</v>
      </c>
    </row>
    <row r="742" spans="2:28" x14ac:dyDescent="0.25">
      <c r="B742" s="66">
        <v>41814</v>
      </c>
      <c r="C742" s="66">
        <v>41814</v>
      </c>
      <c r="D742" s="68">
        <f t="shared" ref="D742:D743" si="1513">IF(B742&gt;0,MONTH(B742),"False")</f>
        <v>6</v>
      </c>
      <c r="E742" s="66" t="str">
        <f t="shared" ref="E742:E743" si="1514">YEAR(B742) &amp; CHOOSE(D742,"-Jan","-Feb","-Mar","-Apr","-May","-Jun","-Jul","-Aug","-Sep","-Oct","-Nov","-Dec")</f>
        <v>2014-Jun</v>
      </c>
      <c r="F742" s="68">
        <f t="shared" ref="F742:F743" si="1515">IF(C742&gt;0,MONTH(C742),"False")</f>
        <v>6</v>
      </c>
      <c r="G742" s="225" t="s">
        <v>112</v>
      </c>
      <c r="H742" s="222" t="s">
        <v>136</v>
      </c>
      <c r="J742" s="222" t="s">
        <v>149</v>
      </c>
      <c r="K742" s="222" t="s">
        <v>84</v>
      </c>
      <c r="L742" s="222" t="s">
        <v>79</v>
      </c>
      <c r="M742" s="1" t="s">
        <v>1417</v>
      </c>
      <c r="N742" s="222" t="s">
        <v>124</v>
      </c>
      <c r="O742" s="222" t="s">
        <v>350</v>
      </c>
      <c r="R742" s="64" t="s">
        <v>1265</v>
      </c>
      <c r="S742" s="225" t="s">
        <v>104</v>
      </c>
      <c r="T742" s="67" t="s">
        <v>110</v>
      </c>
      <c r="X742" s="225" t="s">
        <v>1425</v>
      </c>
      <c r="Y742" s="224" t="str">
        <f t="shared" ref="Y742:Y761" si="1516">IF(Q742&gt;0,"Obsolete",IF(S742&gt;0,S742,"Unknown"))</f>
        <v>Pass</v>
      </c>
      <c r="Z742" s="11" t="str">
        <f t="shared" ref="Z742:Z761" si="1517">IF(Q742="Obsolete-LQA",C742,IF(Q742="Obsolete-IT",B742,""))</f>
        <v/>
      </c>
      <c r="AA742" s="228" t="str">
        <f t="shared" ref="AA742:AA761" si="1518">IFERROR(YEAR(Z742)&amp;" - "&amp; IF(LEN( WEEKNUM(Z742))=1,"0" &amp; WEEKNUM(Z742),WEEKNUM(Z742)),"")</f>
        <v/>
      </c>
      <c r="AB742" s="228" t="str">
        <f t="shared" ref="AB742:AB761" si="1519">IFERROR(YEAR(Z742),"")</f>
        <v/>
      </c>
    </row>
    <row r="743" spans="2:28" x14ac:dyDescent="0.25">
      <c r="B743" s="65">
        <v>41814</v>
      </c>
      <c r="C743" s="66">
        <v>41814</v>
      </c>
      <c r="D743" s="68">
        <f t="shared" si="1513"/>
        <v>6</v>
      </c>
      <c r="E743" s="66" t="str">
        <f t="shared" si="1514"/>
        <v>2014-Jun</v>
      </c>
      <c r="F743" s="68">
        <f t="shared" si="1515"/>
        <v>6</v>
      </c>
      <c r="G743" s="222" t="s">
        <v>93</v>
      </c>
      <c r="H743" s="222" t="s">
        <v>166</v>
      </c>
      <c r="J743" s="222" t="s">
        <v>77</v>
      </c>
      <c r="K743" s="222" t="s">
        <v>82</v>
      </c>
      <c r="L743" s="222" t="s">
        <v>79</v>
      </c>
      <c r="M743" s="1" t="s">
        <v>1418</v>
      </c>
      <c r="N743" s="222" t="s">
        <v>124</v>
      </c>
      <c r="O743" s="222" t="s">
        <v>353</v>
      </c>
      <c r="P743" s="64" t="s">
        <v>319</v>
      </c>
      <c r="R743" s="64" t="s">
        <v>320</v>
      </c>
      <c r="S743" s="235" t="s">
        <v>104</v>
      </c>
      <c r="Y743" s="224" t="str">
        <f t="shared" si="1516"/>
        <v>Pass</v>
      </c>
      <c r="Z743" s="11" t="str">
        <f t="shared" si="1517"/>
        <v/>
      </c>
      <c r="AA743" s="228" t="str">
        <f t="shared" si="1518"/>
        <v/>
      </c>
      <c r="AB743" s="228" t="str">
        <f t="shared" si="1519"/>
        <v/>
      </c>
    </row>
    <row r="744" spans="2:28" x14ac:dyDescent="0.25">
      <c r="B744" s="66">
        <v>41814</v>
      </c>
      <c r="C744" s="66">
        <v>41814</v>
      </c>
      <c r="D744" s="68">
        <f t="shared" ref="D744:D745" si="1520">IF(B744&gt;0,MONTH(B744),"False")</f>
        <v>6</v>
      </c>
      <c r="E744" s="66" t="str">
        <f t="shared" ref="E744:E745" si="1521">YEAR(B744) &amp; CHOOSE(D744,"-Jan","-Feb","-Mar","-Apr","-May","-Jun","-Jul","-Aug","-Sep","-Oct","-Nov","-Dec")</f>
        <v>2014-Jun</v>
      </c>
      <c r="F744" s="68">
        <f t="shared" ref="F744:F745" si="1522">IF(C744&gt;0,MONTH(C744),"False")</f>
        <v>6</v>
      </c>
      <c r="G744" s="222" t="s">
        <v>87</v>
      </c>
      <c r="H744" s="222" t="s">
        <v>316</v>
      </c>
      <c r="I744" s="222"/>
      <c r="J744" s="222" t="s">
        <v>149</v>
      </c>
      <c r="K744" s="222" t="s">
        <v>84</v>
      </c>
      <c r="L744" s="222" t="s">
        <v>79</v>
      </c>
      <c r="M744" s="1" t="s">
        <v>1419</v>
      </c>
      <c r="N744" s="222" t="s">
        <v>124</v>
      </c>
      <c r="O744" s="222" t="s">
        <v>325</v>
      </c>
      <c r="R744" s="64" t="s">
        <v>604</v>
      </c>
      <c r="S744" s="237" t="s">
        <v>104</v>
      </c>
      <c r="T744" s="67" t="s">
        <v>110</v>
      </c>
      <c r="Y744" s="224" t="str">
        <f t="shared" si="1516"/>
        <v>Pass</v>
      </c>
      <c r="Z744" s="11" t="str">
        <f t="shared" si="1517"/>
        <v/>
      </c>
      <c r="AA744" s="228" t="str">
        <f t="shared" si="1518"/>
        <v/>
      </c>
      <c r="AB744" s="228" t="str">
        <f t="shared" si="1519"/>
        <v/>
      </c>
    </row>
    <row r="745" spans="2:28" x14ac:dyDescent="0.25">
      <c r="B745" s="65">
        <v>41814</v>
      </c>
      <c r="C745" s="66">
        <v>41814</v>
      </c>
      <c r="D745" s="68">
        <f t="shared" si="1520"/>
        <v>6</v>
      </c>
      <c r="E745" s="66" t="str">
        <f t="shared" si="1521"/>
        <v>2014-Jun</v>
      </c>
      <c r="F745" s="68">
        <f t="shared" si="1522"/>
        <v>6</v>
      </c>
      <c r="G745" s="222" t="s">
        <v>93</v>
      </c>
      <c r="H745" s="222" t="s">
        <v>316</v>
      </c>
      <c r="J745" s="222" t="s">
        <v>77</v>
      </c>
      <c r="K745" s="222" t="s">
        <v>82</v>
      </c>
      <c r="L745" s="222" t="s">
        <v>79</v>
      </c>
      <c r="M745" s="1" t="s">
        <v>1420</v>
      </c>
      <c r="N745" s="222" t="s">
        <v>124</v>
      </c>
      <c r="O745" s="222" t="s">
        <v>353</v>
      </c>
      <c r="P745" s="64" t="s">
        <v>340</v>
      </c>
      <c r="R745" s="64" t="s">
        <v>705</v>
      </c>
      <c r="S745" s="237" t="s">
        <v>104</v>
      </c>
      <c r="Y745" s="224" t="str">
        <f t="shared" si="1516"/>
        <v>Pass</v>
      </c>
      <c r="Z745" s="11" t="str">
        <f t="shared" si="1517"/>
        <v/>
      </c>
      <c r="AA745" s="228" t="str">
        <f t="shared" si="1518"/>
        <v/>
      </c>
      <c r="AB745" s="228" t="str">
        <f t="shared" si="1519"/>
        <v/>
      </c>
    </row>
    <row r="746" spans="2:28" x14ac:dyDescent="0.25">
      <c r="B746" s="66">
        <v>41815</v>
      </c>
      <c r="C746" s="66">
        <v>41815</v>
      </c>
      <c r="D746" s="68">
        <f t="shared" ref="D746:D747" si="1523">IF(B746&gt;0,MONTH(B746),"False")</f>
        <v>6</v>
      </c>
      <c r="E746" s="66" t="str">
        <f t="shared" ref="E746:E747" si="1524">YEAR(B746) &amp; CHOOSE(D746,"-Jan","-Feb","-Mar","-Apr","-May","-Jun","-Jul","-Aug","-Sep","-Oct","-Nov","-Dec")</f>
        <v>2014-Jun</v>
      </c>
      <c r="F746" s="68">
        <f t="shared" ref="F746:F747" si="1525">IF(C746&gt;0,MONTH(C746),"False")</f>
        <v>6</v>
      </c>
      <c r="G746" s="224" t="s">
        <v>126</v>
      </c>
      <c r="H746" s="224" t="s">
        <v>280</v>
      </c>
      <c r="J746" s="224" t="s">
        <v>78</v>
      </c>
      <c r="K746" s="224" t="s">
        <v>78</v>
      </c>
      <c r="L746" s="224" t="s">
        <v>79</v>
      </c>
      <c r="M746" s="1" t="s">
        <v>1421</v>
      </c>
      <c r="N746" s="224" t="s">
        <v>124</v>
      </c>
      <c r="O746" s="224" t="s">
        <v>304</v>
      </c>
      <c r="R746" s="64" t="s">
        <v>344</v>
      </c>
      <c r="S746" s="224" t="s">
        <v>104</v>
      </c>
      <c r="X746" s="224" t="s">
        <v>544</v>
      </c>
      <c r="Y746" s="224" t="str">
        <f t="shared" si="1516"/>
        <v>Pass</v>
      </c>
      <c r="Z746" s="11" t="str">
        <f t="shared" si="1517"/>
        <v/>
      </c>
      <c r="AA746" s="228" t="str">
        <f t="shared" si="1518"/>
        <v/>
      </c>
      <c r="AB746" s="228" t="str">
        <f t="shared" si="1519"/>
        <v/>
      </c>
    </row>
    <row r="747" spans="2:28" x14ac:dyDescent="0.25">
      <c r="B747" s="65">
        <v>41815</v>
      </c>
      <c r="C747" s="66">
        <v>41815</v>
      </c>
      <c r="D747" s="68">
        <f t="shared" si="1523"/>
        <v>6</v>
      </c>
      <c r="E747" s="66" t="str">
        <f t="shared" si="1524"/>
        <v>2014-Jun</v>
      </c>
      <c r="F747" s="68">
        <f t="shared" si="1525"/>
        <v>6</v>
      </c>
      <c r="G747" s="225" t="s">
        <v>105</v>
      </c>
      <c r="H747" s="224" t="s">
        <v>280</v>
      </c>
      <c r="J747" s="224" t="s">
        <v>77</v>
      </c>
      <c r="K747" s="224" t="s">
        <v>82</v>
      </c>
      <c r="L747" s="224" t="s">
        <v>79</v>
      </c>
      <c r="M747" s="1" t="s">
        <v>1422</v>
      </c>
      <c r="N747" s="224" t="s">
        <v>124</v>
      </c>
      <c r="O747" s="224" t="s">
        <v>285</v>
      </c>
      <c r="P747" s="64" t="s">
        <v>305</v>
      </c>
      <c r="R747" s="64" t="s">
        <v>1108</v>
      </c>
      <c r="S747" s="225" t="s">
        <v>104</v>
      </c>
      <c r="X747" s="225" t="s">
        <v>544</v>
      </c>
      <c r="Y747" s="224" t="str">
        <f t="shared" si="1516"/>
        <v>Pass</v>
      </c>
      <c r="Z747" s="11" t="str">
        <f t="shared" si="1517"/>
        <v/>
      </c>
      <c r="AA747" s="228" t="str">
        <f t="shared" si="1518"/>
        <v/>
      </c>
      <c r="AB747" s="228" t="str">
        <f t="shared" si="1519"/>
        <v/>
      </c>
    </row>
    <row r="748" spans="2:28" x14ac:dyDescent="0.25">
      <c r="B748" s="65">
        <v>41815</v>
      </c>
      <c r="C748" s="66">
        <v>41815</v>
      </c>
      <c r="D748" s="68">
        <f t="shared" ref="D748" si="1526">IF(B748&gt;0,MONTH(B748),"False")</f>
        <v>6</v>
      </c>
      <c r="E748" s="66" t="str">
        <f t="shared" ref="E748" si="1527">YEAR(B748) &amp; CHOOSE(D748,"-Jan","-Feb","-Mar","-Apr","-May","-Jun","-Jul","-Aug","-Sep","-Oct","-Nov","-Dec")</f>
        <v>2014-Jun</v>
      </c>
      <c r="F748" s="68">
        <f t="shared" ref="F748" si="1528">IF(C748&gt;0,MONTH(C748),"False")</f>
        <v>6</v>
      </c>
      <c r="G748" s="224" t="s">
        <v>93</v>
      </c>
      <c r="H748" s="224" t="s">
        <v>136</v>
      </c>
      <c r="J748" s="224" t="s">
        <v>77</v>
      </c>
      <c r="K748" s="224" t="s">
        <v>82</v>
      </c>
      <c r="L748" s="224" t="s">
        <v>79</v>
      </c>
      <c r="M748" s="1" t="s">
        <v>1423</v>
      </c>
      <c r="N748" s="224" t="s">
        <v>124</v>
      </c>
      <c r="O748" s="224" t="s">
        <v>507</v>
      </c>
      <c r="P748" s="64" t="s">
        <v>750</v>
      </c>
      <c r="R748" s="64" t="s">
        <v>1267</v>
      </c>
      <c r="S748" s="280" t="s">
        <v>104</v>
      </c>
      <c r="Y748" s="224" t="str">
        <f t="shared" si="1516"/>
        <v>Pass</v>
      </c>
      <c r="Z748" s="11" t="str">
        <f t="shared" si="1517"/>
        <v/>
      </c>
      <c r="AA748" s="228" t="str">
        <f t="shared" si="1518"/>
        <v/>
      </c>
      <c r="AB748" s="228" t="str">
        <f t="shared" si="1519"/>
        <v/>
      </c>
    </row>
    <row r="749" spans="2:28" x14ac:dyDescent="0.25">
      <c r="B749" s="65">
        <v>41815</v>
      </c>
      <c r="C749" s="66">
        <v>41815</v>
      </c>
      <c r="D749" s="68">
        <f t="shared" ref="D749:D750" si="1529">IF(B749&gt;0,MONTH(B749),"False")</f>
        <v>6</v>
      </c>
      <c r="E749" s="66" t="str">
        <f t="shared" ref="E749:E750" si="1530">YEAR(B749) &amp; CHOOSE(D749,"-Jan","-Feb","-Mar","-Apr","-May","-Jun","-Jul","-Aug","-Sep","-Oct","-Nov","-Dec")</f>
        <v>2014-Jun</v>
      </c>
      <c r="F749" s="68">
        <f t="shared" ref="F749:F750" si="1531">IF(C749&gt;0,MONTH(C749),"False")</f>
        <v>6</v>
      </c>
      <c r="G749" s="226" t="s">
        <v>105</v>
      </c>
      <c r="H749" s="224" t="s">
        <v>280</v>
      </c>
      <c r="J749" s="224" t="s">
        <v>77</v>
      </c>
      <c r="K749" s="224" t="s">
        <v>82</v>
      </c>
      <c r="L749" s="224" t="s">
        <v>79</v>
      </c>
      <c r="M749" s="1" t="s">
        <v>1424</v>
      </c>
      <c r="N749" s="224" t="s">
        <v>124</v>
      </c>
      <c r="O749" s="224" t="s">
        <v>353</v>
      </c>
      <c r="P749" s="64" t="s">
        <v>305</v>
      </c>
      <c r="R749" s="64" t="s">
        <v>1108</v>
      </c>
      <c r="S749" s="226" t="s">
        <v>104</v>
      </c>
      <c r="X749" s="226" t="s">
        <v>544</v>
      </c>
      <c r="Y749" s="224" t="str">
        <f t="shared" si="1516"/>
        <v>Pass</v>
      </c>
      <c r="Z749" s="11" t="str">
        <f t="shared" si="1517"/>
        <v/>
      </c>
      <c r="AA749" s="228" t="str">
        <f t="shared" si="1518"/>
        <v/>
      </c>
      <c r="AB749" s="228" t="str">
        <f t="shared" si="1519"/>
        <v/>
      </c>
    </row>
    <row r="750" spans="2:28" x14ac:dyDescent="0.25">
      <c r="B750" s="66">
        <v>41816</v>
      </c>
      <c r="C750" s="66">
        <v>41816</v>
      </c>
      <c r="D750" s="68">
        <f t="shared" si="1529"/>
        <v>6</v>
      </c>
      <c r="E750" s="66" t="str">
        <f t="shared" si="1530"/>
        <v>2014-Jun</v>
      </c>
      <c r="F750" s="68">
        <f t="shared" si="1531"/>
        <v>6</v>
      </c>
      <c r="G750" s="225" t="s">
        <v>87</v>
      </c>
      <c r="H750" s="225" t="s">
        <v>348</v>
      </c>
      <c r="J750" s="225" t="s">
        <v>78</v>
      </c>
      <c r="K750" s="225" t="s">
        <v>78</v>
      </c>
      <c r="L750" s="225" t="s">
        <v>79</v>
      </c>
      <c r="M750" s="1" t="s">
        <v>1426</v>
      </c>
      <c r="N750" s="225" t="s">
        <v>124</v>
      </c>
      <c r="O750" s="225" t="s">
        <v>97</v>
      </c>
      <c r="R750" s="64" t="s">
        <v>1337</v>
      </c>
      <c r="S750" s="235" t="s">
        <v>104</v>
      </c>
      <c r="Y750" s="224" t="str">
        <f t="shared" si="1516"/>
        <v>Pass</v>
      </c>
      <c r="Z750" s="11" t="str">
        <f t="shared" si="1517"/>
        <v/>
      </c>
      <c r="AA750" s="228" t="str">
        <f t="shared" si="1518"/>
        <v/>
      </c>
      <c r="AB750" s="228" t="str">
        <f t="shared" si="1519"/>
        <v/>
      </c>
    </row>
    <row r="751" spans="2:28" x14ac:dyDescent="0.25">
      <c r="B751" s="65">
        <v>41816</v>
      </c>
      <c r="C751" s="66">
        <v>41816</v>
      </c>
      <c r="D751" s="68">
        <f t="shared" ref="D751:D752" si="1532">IF(B751&gt;0,MONTH(B751),"False")</f>
        <v>6</v>
      </c>
      <c r="E751" s="66" t="str">
        <f t="shared" ref="E751:E752" si="1533">YEAR(B751) &amp; CHOOSE(D751,"-Jan","-Feb","-Mar","-Apr","-May","-Jun","-Jul","-Aug","-Sep","-Oct","-Nov","-Dec")</f>
        <v>2014-Jun</v>
      </c>
      <c r="F751" s="68">
        <f t="shared" ref="F751:F752" si="1534">IF(C751&gt;0,MONTH(C751),"False")</f>
        <v>6</v>
      </c>
      <c r="G751" s="235" t="s">
        <v>105</v>
      </c>
      <c r="H751" s="225" t="s">
        <v>280</v>
      </c>
      <c r="J751" s="225" t="s">
        <v>77</v>
      </c>
      <c r="K751" s="225" t="s">
        <v>82</v>
      </c>
      <c r="L751" s="225" t="s">
        <v>79</v>
      </c>
      <c r="M751" s="1" t="s">
        <v>1427</v>
      </c>
      <c r="N751" s="225" t="s">
        <v>124</v>
      </c>
      <c r="O751" s="225" t="s">
        <v>285</v>
      </c>
      <c r="P751" s="64" t="s">
        <v>305</v>
      </c>
      <c r="R751" s="64" t="s">
        <v>1108</v>
      </c>
      <c r="S751" s="235" t="s">
        <v>104</v>
      </c>
      <c r="X751" s="235" t="s">
        <v>544</v>
      </c>
      <c r="Y751" s="224" t="str">
        <f t="shared" si="1516"/>
        <v>Pass</v>
      </c>
      <c r="Z751" s="11" t="str">
        <f t="shared" si="1517"/>
        <v/>
      </c>
      <c r="AA751" s="228" t="str">
        <f t="shared" si="1518"/>
        <v/>
      </c>
      <c r="AB751" s="228" t="str">
        <f t="shared" si="1519"/>
        <v/>
      </c>
    </row>
    <row r="752" spans="2:28" x14ac:dyDescent="0.25">
      <c r="B752" s="66">
        <v>41816</v>
      </c>
      <c r="C752" s="66">
        <v>41816</v>
      </c>
      <c r="D752" s="68">
        <f t="shared" si="1532"/>
        <v>6</v>
      </c>
      <c r="E752" s="66" t="str">
        <f t="shared" si="1533"/>
        <v>2014-Jun</v>
      </c>
      <c r="F752" s="68">
        <f t="shared" si="1534"/>
        <v>6</v>
      </c>
      <c r="G752" s="225" t="s">
        <v>87</v>
      </c>
      <c r="H752" s="225" t="s">
        <v>103</v>
      </c>
      <c r="J752" s="225" t="s">
        <v>78</v>
      </c>
      <c r="K752" s="225" t="s">
        <v>78</v>
      </c>
      <c r="L752" s="225" t="s">
        <v>79</v>
      </c>
      <c r="M752" s="1" t="s">
        <v>1428</v>
      </c>
      <c r="N752" s="225" t="s">
        <v>124</v>
      </c>
      <c r="O752" s="225" t="s">
        <v>324</v>
      </c>
      <c r="Q752" s="2" t="s">
        <v>88</v>
      </c>
      <c r="R752" s="64" t="s">
        <v>475</v>
      </c>
      <c r="Y752" s="224" t="str">
        <f t="shared" si="1516"/>
        <v>Obsolete</v>
      </c>
      <c r="Z752" s="11">
        <f t="shared" si="1517"/>
        <v>41816</v>
      </c>
      <c r="AA752" s="228" t="str">
        <f t="shared" si="1518"/>
        <v>2014 - 26</v>
      </c>
      <c r="AB752" s="228">
        <f t="shared" si="1519"/>
        <v>2014</v>
      </c>
    </row>
    <row r="753" spans="2:28" x14ac:dyDescent="0.25">
      <c r="B753" s="66">
        <v>41817</v>
      </c>
      <c r="C753" s="66">
        <v>41817</v>
      </c>
      <c r="D753" s="68">
        <f t="shared" ref="D753" si="1535">IF(B753&gt;0,MONTH(B753),"False")</f>
        <v>6</v>
      </c>
      <c r="E753" s="66" t="str">
        <f t="shared" ref="E753" si="1536">YEAR(B753) &amp; CHOOSE(D753,"-Jan","-Feb","-Mar","-Apr","-May","-Jun","-Jul","-Aug","-Sep","-Oct","-Nov","-Dec")</f>
        <v>2014-Jun</v>
      </c>
      <c r="F753" s="68">
        <f t="shared" ref="F753" si="1537">IF(C753&gt;0,MONTH(C753),"False")</f>
        <v>6</v>
      </c>
      <c r="G753" s="232" t="s">
        <v>112</v>
      </c>
      <c r="H753" s="226" t="s">
        <v>166</v>
      </c>
      <c r="J753" s="226" t="s">
        <v>146</v>
      </c>
      <c r="K753" s="226" t="s">
        <v>260</v>
      </c>
      <c r="L753" s="226" t="s">
        <v>79</v>
      </c>
      <c r="M753" s="1" t="s">
        <v>1429</v>
      </c>
      <c r="N753" s="226" t="s">
        <v>124</v>
      </c>
      <c r="O753" s="226" t="s">
        <v>148</v>
      </c>
      <c r="R753" s="64" t="s">
        <v>894</v>
      </c>
      <c r="S753" s="232" t="s">
        <v>104</v>
      </c>
      <c r="T753" s="67" t="s">
        <v>110</v>
      </c>
      <c r="X753" s="232" t="s">
        <v>1365</v>
      </c>
      <c r="Y753" s="224" t="str">
        <f t="shared" si="1516"/>
        <v>Pass</v>
      </c>
      <c r="Z753" s="11" t="str">
        <f t="shared" si="1517"/>
        <v/>
      </c>
      <c r="AA753" s="228" t="str">
        <f t="shared" si="1518"/>
        <v/>
      </c>
      <c r="AB753" s="228" t="str">
        <f t="shared" si="1519"/>
        <v/>
      </c>
    </row>
    <row r="754" spans="2:28" x14ac:dyDescent="0.25">
      <c r="B754" s="66">
        <v>41817</v>
      </c>
      <c r="C754" s="66">
        <v>41817</v>
      </c>
      <c r="D754" s="68">
        <f t="shared" ref="D754:D755" si="1538">IF(B754&gt;0,MONTH(B754),"False")</f>
        <v>6</v>
      </c>
      <c r="E754" s="66" t="str">
        <f t="shared" ref="E754:E755" si="1539">YEAR(B754) &amp; CHOOSE(D754,"-Jan","-Feb","-Mar","-Apr","-May","-Jun","-Jul","-Aug","-Sep","-Oct","-Nov","-Dec")</f>
        <v>2014-Jun</v>
      </c>
      <c r="F754" s="68">
        <f t="shared" ref="F754:F755" si="1540">IF(C754&gt;0,MONTH(C754),"False")</f>
        <v>6</v>
      </c>
      <c r="G754" s="232" t="s">
        <v>112</v>
      </c>
      <c r="H754" s="226" t="s">
        <v>166</v>
      </c>
      <c r="J754" s="226" t="s">
        <v>149</v>
      </c>
      <c r="K754" s="226" t="s">
        <v>84</v>
      </c>
      <c r="L754" s="226" t="s">
        <v>79</v>
      </c>
      <c r="M754" s="1" t="s">
        <v>1430</v>
      </c>
      <c r="N754" s="226" t="s">
        <v>124</v>
      </c>
      <c r="O754" s="226" t="s">
        <v>1198</v>
      </c>
      <c r="R754" s="64" t="s">
        <v>1041</v>
      </c>
      <c r="S754" s="232" t="s">
        <v>104</v>
      </c>
      <c r="T754" s="67" t="s">
        <v>110</v>
      </c>
      <c r="X754" s="232" t="s">
        <v>1365</v>
      </c>
      <c r="Y754" s="224" t="str">
        <f t="shared" si="1516"/>
        <v>Pass</v>
      </c>
      <c r="Z754" s="11" t="str">
        <f t="shared" si="1517"/>
        <v/>
      </c>
      <c r="AA754" s="228" t="str">
        <f t="shared" si="1518"/>
        <v/>
      </c>
      <c r="AB754" s="228" t="str">
        <f t="shared" si="1519"/>
        <v/>
      </c>
    </row>
    <row r="755" spans="2:28" x14ac:dyDescent="0.25">
      <c r="B755" s="65">
        <v>41817</v>
      </c>
      <c r="C755" s="66">
        <v>41817</v>
      </c>
      <c r="D755" s="68">
        <f t="shared" si="1538"/>
        <v>6</v>
      </c>
      <c r="E755" s="66" t="str">
        <f t="shared" si="1539"/>
        <v>2014-Jun</v>
      </c>
      <c r="F755" s="68">
        <f t="shared" si="1540"/>
        <v>6</v>
      </c>
      <c r="G755" s="232" t="s">
        <v>121</v>
      </c>
      <c r="H755" s="226" t="s">
        <v>166</v>
      </c>
      <c r="J755" s="226" t="s">
        <v>146</v>
      </c>
      <c r="K755" s="226" t="s">
        <v>82</v>
      </c>
      <c r="L755" s="226" t="s">
        <v>79</v>
      </c>
      <c r="M755" s="1" t="s">
        <v>1431</v>
      </c>
      <c r="N755" s="226" t="s">
        <v>124</v>
      </c>
      <c r="O755" s="226" t="s">
        <v>302</v>
      </c>
      <c r="P755" s="64" t="s">
        <v>485</v>
      </c>
      <c r="R755" s="64" t="s">
        <v>920</v>
      </c>
      <c r="S755" s="232" t="s">
        <v>104</v>
      </c>
      <c r="T755" s="67" t="s">
        <v>110</v>
      </c>
      <c r="X755" s="232" t="s">
        <v>1365</v>
      </c>
      <c r="Y755" s="224" t="str">
        <f t="shared" si="1516"/>
        <v>Pass</v>
      </c>
      <c r="Z755" s="11" t="str">
        <f t="shared" si="1517"/>
        <v/>
      </c>
      <c r="AA755" s="228" t="str">
        <f t="shared" si="1518"/>
        <v/>
      </c>
      <c r="AB755" s="228" t="str">
        <f t="shared" si="1519"/>
        <v/>
      </c>
    </row>
    <row r="756" spans="2:28" x14ac:dyDescent="0.25">
      <c r="B756" s="65">
        <v>41817</v>
      </c>
      <c r="C756" s="66">
        <v>41817</v>
      </c>
      <c r="D756" s="68">
        <f t="shared" ref="D756" si="1541">IF(B756&gt;0,MONTH(B756),"False")</f>
        <v>6</v>
      </c>
      <c r="E756" s="66" t="str">
        <f t="shared" ref="E756" si="1542">YEAR(B756) &amp; CHOOSE(D756,"-Jan","-Feb","-Mar","-Apr","-May","-Jun","-Jul","-Aug","-Sep","-Oct","-Nov","-Dec")</f>
        <v>2014-Jun</v>
      </c>
      <c r="F756" s="68">
        <f t="shared" ref="F756" si="1543">IF(C756&gt;0,MONTH(C756),"False")</f>
        <v>6</v>
      </c>
      <c r="G756" s="226" t="s">
        <v>93</v>
      </c>
      <c r="H756" s="226" t="s">
        <v>136</v>
      </c>
      <c r="J756" s="226" t="s">
        <v>77</v>
      </c>
      <c r="K756" s="226" t="s">
        <v>82</v>
      </c>
      <c r="L756" s="226" t="s">
        <v>79</v>
      </c>
      <c r="M756" s="1" t="s">
        <v>1432</v>
      </c>
      <c r="N756" s="226" t="s">
        <v>124</v>
      </c>
      <c r="O756" s="226" t="s">
        <v>114</v>
      </c>
      <c r="P756" s="64" t="s">
        <v>750</v>
      </c>
      <c r="Q756" s="2" t="s">
        <v>88</v>
      </c>
      <c r="R756" s="64" t="s">
        <v>1267</v>
      </c>
      <c r="Y756" s="224" t="str">
        <f t="shared" si="1516"/>
        <v>Obsolete</v>
      </c>
      <c r="Z756" s="11">
        <f t="shared" si="1517"/>
        <v>41817</v>
      </c>
      <c r="AA756" s="228" t="str">
        <f t="shared" si="1518"/>
        <v>2014 - 26</v>
      </c>
      <c r="AB756" s="228">
        <f t="shared" si="1519"/>
        <v>2014</v>
      </c>
    </row>
    <row r="757" spans="2:28" x14ac:dyDescent="0.25">
      <c r="B757" s="65">
        <v>41817</v>
      </c>
      <c r="C757" s="66">
        <v>41817</v>
      </c>
      <c r="D757" s="68">
        <f t="shared" ref="D757" si="1544">IF(B757&gt;0,MONTH(B757),"False")</f>
        <v>6</v>
      </c>
      <c r="E757" s="66" t="str">
        <f t="shared" ref="E757" si="1545">YEAR(B757) &amp; CHOOSE(D757,"-Jan","-Feb","-Mar","-Apr","-May","-Jun","-Jul","-Aug","-Sep","-Oct","-Nov","-Dec")</f>
        <v>2014-Jun</v>
      </c>
      <c r="F757" s="68">
        <f t="shared" ref="F757" si="1546">IF(C757&gt;0,MONTH(C757),"False")</f>
        <v>6</v>
      </c>
      <c r="G757" s="226" t="s">
        <v>93</v>
      </c>
      <c r="H757" s="226" t="s">
        <v>348</v>
      </c>
      <c r="J757" s="226" t="s">
        <v>77</v>
      </c>
      <c r="K757" s="226" t="s">
        <v>82</v>
      </c>
      <c r="L757" s="226" t="s">
        <v>79</v>
      </c>
      <c r="M757" s="1" t="s">
        <v>1433</v>
      </c>
      <c r="N757" s="226" t="s">
        <v>124</v>
      </c>
      <c r="O757" s="226" t="s">
        <v>343</v>
      </c>
      <c r="P757" s="64" t="s">
        <v>352</v>
      </c>
      <c r="R757" s="64" t="s">
        <v>1289</v>
      </c>
      <c r="S757" s="235" t="s">
        <v>104</v>
      </c>
      <c r="Y757" s="224" t="str">
        <f t="shared" si="1516"/>
        <v>Pass</v>
      </c>
      <c r="Z757" s="11" t="str">
        <f t="shared" si="1517"/>
        <v/>
      </c>
      <c r="AA757" s="228" t="str">
        <f t="shared" si="1518"/>
        <v/>
      </c>
      <c r="AB757" s="228" t="str">
        <f t="shared" si="1519"/>
        <v/>
      </c>
    </row>
    <row r="758" spans="2:28" x14ac:dyDescent="0.25">
      <c r="B758" s="65">
        <v>41817</v>
      </c>
      <c r="C758" s="66">
        <v>41817</v>
      </c>
      <c r="D758" s="68">
        <f t="shared" ref="D758" si="1547">IF(B758&gt;0,MONTH(B758),"False")</f>
        <v>6</v>
      </c>
      <c r="E758" s="66" t="str">
        <f t="shared" ref="E758" si="1548">YEAR(B758) &amp; CHOOSE(D758,"-Jan","-Feb","-Mar","-Apr","-May","-Jun","-Jul","-Aug","-Sep","-Oct","-Nov","-Dec")</f>
        <v>2014-Jun</v>
      </c>
      <c r="F758" s="68">
        <f t="shared" ref="F758" si="1549">IF(C758&gt;0,MONTH(C758),"False")</f>
        <v>6</v>
      </c>
      <c r="G758" s="229" t="s">
        <v>105</v>
      </c>
      <c r="H758" s="226" t="s">
        <v>280</v>
      </c>
      <c r="J758" s="226" t="s">
        <v>77</v>
      </c>
      <c r="K758" s="226" t="s">
        <v>82</v>
      </c>
      <c r="L758" s="226" t="s">
        <v>79</v>
      </c>
      <c r="M758" s="1" t="s">
        <v>1434</v>
      </c>
      <c r="N758" s="226" t="s">
        <v>124</v>
      </c>
      <c r="O758" s="226" t="s">
        <v>285</v>
      </c>
      <c r="P758" s="64" t="s">
        <v>305</v>
      </c>
      <c r="R758" s="64" t="s">
        <v>1108</v>
      </c>
      <c r="S758" s="229" t="s">
        <v>104</v>
      </c>
      <c r="X758" s="229" t="s">
        <v>544</v>
      </c>
      <c r="Y758" s="224" t="str">
        <f t="shared" si="1516"/>
        <v>Pass</v>
      </c>
      <c r="Z758" s="11" t="str">
        <f t="shared" si="1517"/>
        <v/>
      </c>
      <c r="AA758" s="228" t="str">
        <f t="shared" si="1518"/>
        <v/>
      </c>
      <c r="AB758" s="228" t="str">
        <f t="shared" si="1519"/>
        <v/>
      </c>
    </row>
    <row r="759" spans="2:28" x14ac:dyDescent="0.25">
      <c r="B759" s="65">
        <v>41820</v>
      </c>
      <c r="C759" s="66">
        <v>41820</v>
      </c>
      <c r="D759" s="68">
        <f t="shared" ref="D759" si="1550">IF(B759&gt;0,MONTH(B759),"False")</f>
        <v>6</v>
      </c>
      <c r="E759" s="66" t="str">
        <f t="shared" ref="E759" si="1551">YEAR(B759) &amp; CHOOSE(D759,"-Jan","-Feb","-Mar","-Apr","-May","-Jun","-Jul","-Aug","-Sep","-Oct","-Nov","-Dec")</f>
        <v>2014-Jun</v>
      </c>
      <c r="F759" s="68">
        <f t="shared" ref="F759" si="1552">IF(C759&gt;0,MONTH(C759),"False")</f>
        <v>6</v>
      </c>
      <c r="G759" s="283" t="s">
        <v>121</v>
      </c>
      <c r="H759" s="228" t="s">
        <v>280</v>
      </c>
      <c r="J759" s="228" t="s">
        <v>81</v>
      </c>
      <c r="K759" s="228" t="s">
        <v>82</v>
      </c>
      <c r="L759" s="228" t="s">
        <v>79</v>
      </c>
      <c r="M759" s="1" t="s">
        <v>1443</v>
      </c>
      <c r="N759" s="228" t="s">
        <v>124</v>
      </c>
      <c r="O759" s="228" t="s">
        <v>286</v>
      </c>
      <c r="P759" s="64" t="s">
        <v>305</v>
      </c>
      <c r="R759" s="64" t="s">
        <v>1108</v>
      </c>
      <c r="S759" s="283" t="s">
        <v>104</v>
      </c>
      <c r="X759" s="283" t="s">
        <v>544</v>
      </c>
      <c r="Y759" s="224" t="str">
        <f t="shared" si="1516"/>
        <v>Pass</v>
      </c>
      <c r="Z759" s="11" t="str">
        <f t="shared" si="1517"/>
        <v/>
      </c>
      <c r="AA759" s="228" t="str">
        <f t="shared" si="1518"/>
        <v/>
      </c>
      <c r="AB759" s="228" t="str">
        <f t="shared" si="1519"/>
        <v/>
      </c>
    </row>
    <row r="760" spans="2:28" x14ac:dyDescent="0.25">
      <c r="B760" s="65">
        <v>41820</v>
      </c>
      <c r="C760" s="66">
        <v>41820</v>
      </c>
      <c r="D760" s="68">
        <f t="shared" ref="D760:D762" si="1553">IF(B760&gt;0,MONTH(B760),"False")</f>
        <v>6</v>
      </c>
      <c r="E760" s="66" t="str">
        <f t="shared" ref="E760:E762" si="1554">YEAR(B760) &amp; CHOOSE(D760,"-Jan","-Feb","-Mar","-Apr","-May","-Jun","-Jul","-Aug","-Sep","-Oct","-Nov","-Dec")</f>
        <v>2014-Jun</v>
      </c>
      <c r="F760" s="68">
        <f t="shared" ref="F760:F762" si="1555">IF(C760&gt;0,MONTH(C760),"False")</f>
        <v>6</v>
      </c>
      <c r="G760" s="228" t="s">
        <v>93</v>
      </c>
      <c r="H760" s="228" t="s">
        <v>103</v>
      </c>
      <c r="J760" s="228" t="s">
        <v>77</v>
      </c>
      <c r="K760" s="228" t="s">
        <v>82</v>
      </c>
      <c r="L760" s="228" t="s">
        <v>79</v>
      </c>
      <c r="M760" s="1" t="s">
        <v>1444</v>
      </c>
      <c r="N760" s="228" t="s">
        <v>124</v>
      </c>
      <c r="O760" s="228" t="s">
        <v>265</v>
      </c>
      <c r="P760" s="64" t="s">
        <v>351</v>
      </c>
      <c r="Q760" s="2" t="s">
        <v>88</v>
      </c>
      <c r="R760" s="64" t="s">
        <v>361</v>
      </c>
      <c r="Y760" s="224" t="str">
        <f t="shared" si="1516"/>
        <v>Obsolete</v>
      </c>
      <c r="Z760" s="11">
        <f t="shared" si="1517"/>
        <v>41820</v>
      </c>
      <c r="AA760" s="228" t="str">
        <f t="shared" si="1518"/>
        <v>2014 - 27</v>
      </c>
      <c r="AB760" s="228">
        <f t="shared" si="1519"/>
        <v>2014</v>
      </c>
    </row>
    <row r="761" spans="2:28" x14ac:dyDescent="0.25">
      <c r="B761" s="65">
        <v>41820</v>
      </c>
      <c r="C761" s="66">
        <v>41820</v>
      </c>
      <c r="D761" s="68">
        <f t="shared" si="1553"/>
        <v>6</v>
      </c>
      <c r="E761" s="66" t="str">
        <f t="shared" si="1554"/>
        <v>2014-Jun</v>
      </c>
      <c r="F761" s="68">
        <f t="shared" si="1555"/>
        <v>6</v>
      </c>
      <c r="G761" s="228" t="s">
        <v>93</v>
      </c>
      <c r="H761" s="228" t="s">
        <v>280</v>
      </c>
      <c r="I761" s="228"/>
      <c r="J761" s="228" t="s">
        <v>81</v>
      </c>
      <c r="K761" s="228" t="s">
        <v>82</v>
      </c>
      <c r="L761" s="228" t="s">
        <v>79</v>
      </c>
      <c r="M761" s="1" t="s">
        <v>1445</v>
      </c>
      <c r="N761" s="228" t="s">
        <v>124</v>
      </c>
      <c r="O761" s="228" t="s">
        <v>286</v>
      </c>
      <c r="P761" s="64" t="s">
        <v>305</v>
      </c>
      <c r="Q761" s="2" t="s">
        <v>88</v>
      </c>
      <c r="R761" s="64" t="s">
        <v>1108</v>
      </c>
      <c r="Y761" s="224" t="str">
        <f t="shared" si="1516"/>
        <v>Obsolete</v>
      </c>
      <c r="Z761" s="11">
        <f t="shared" si="1517"/>
        <v>41820</v>
      </c>
      <c r="AA761" s="228" t="str">
        <f t="shared" si="1518"/>
        <v>2014 - 27</v>
      </c>
      <c r="AB761" s="228">
        <f t="shared" si="1519"/>
        <v>2014</v>
      </c>
    </row>
    <row r="762" spans="2:28" x14ac:dyDescent="0.25">
      <c r="B762" s="66">
        <v>41821</v>
      </c>
      <c r="C762" s="66">
        <v>41821</v>
      </c>
      <c r="D762" s="68">
        <f t="shared" si="1553"/>
        <v>7</v>
      </c>
      <c r="E762" s="66" t="str">
        <f t="shared" si="1554"/>
        <v>2014-Jul</v>
      </c>
      <c r="F762" s="68">
        <f t="shared" si="1555"/>
        <v>7</v>
      </c>
      <c r="G762" s="229" t="s">
        <v>87</v>
      </c>
      <c r="H762" s="229" t="s">
        <v>136</v>
      </c>
      <c r="J762" s="229" t="s">
        <v>78</v>
      </c>
      <c r="K762" s="229" t="s">
        <v>78</v>
      </c>
      <c r="L762" s="229" t="s">
        <v>79</v>
      </c>
      <c r="M762" s="1" t="s">
        <v>1446</v>
      </c>
      <c r="N762" s="229" t="s">
        <v>124</v>
      </c>
      <c r="O762" s="229" t="s">
        <v>324</v>
      </c>
      <c r="R762" s="64" t="s">
        <v>1447</v>
      </c>
      <c r="Y762" s="233" t="str">
        <f t="shared" ref="Y762:Y788" si="1556">IF(Q762&gt;0,"Obsolete",IF(S762&gt;0,S762,"Unknown"))</f>
        <v>Unknown</v>
      </c>
      <c r="Z762" s="11" t="str">
        <f t="shared" ref="Z762:Z788" si="1557">IF(Q762="Obsolete-LQA",C762,IF(Q762="Obsolete-IT",B762,""))</f>
        <v/>
      </c>
      <c r="AA762" s="233" t="str">
        <f t="shared" ref="AA762:AA788" si="1558">IFERROR(YEAR(Z762)&amp;" - "&amp; IF(LEN( WEEKNUM(Z762))=1,"0" &amp; WEEKNUM(Z762),WEEKNUM(Z762)),"")</f>
        <v/>
      </c>
      <c r="AB762" s="233" t="str">
        <f t="shared" ref="AB762:AB788" si="1559">IFERROR(YEAR(Z762),"")</f>
        <v/>
      </c>
    </row>
    <row r="763" spans="2:28" x14ac:dyDescent="0.25">
      <c r="B763" s="65">
        <v>41821</v>
      </c>
      <c r="C763" s="66">
        <v>41822</v>
      </c>
      <c r="D763" s="68">
        <f t="shared" ref="D763" si="1560">IF(B763&gt;0,MONTH(B763),"False")</f>
        <v>7</v>
      </c>
      <c r="E763" s="66" t="str">
        <f t="shared" ref="E763" si="1561">YEAR(B763) &amp; CHOOSE(D763,"-Jan","-Feb","-Mar","-Apr","-May","-Jun","-Jul","-Aug","-Sep","-Oct","-Nov","-Dec")</f>
        <v>2014-Jul</v>
      </c>
      <c r="F763" s="68">
        <f t="shared" ref="F763" si="1562">IF(C763&gt;0,MONTH(C763),"False")</f>
        <v>7</v>
      </c>
      <c r="G763" s="243" t="s">
        <v>105</v>
      </c>
      <c r="H763" s="229" t="s">
        <v>166</v>
      </c>
      <c r="J763" s="229" t="s">
        <v>333</v>
      </c>
      <c r="K763" s="229" t="s">
        <v>82</v>
      </c>
      <c r="L763" s="229" t="s">
        <v>79</v>
      </c>
      <c r="M763" s="229" t="s">
        <v>1448</v>
      </c>
      <c r="N763" s="229" t="s">
        <v>124</v>
      </c>
      <c r="O763" s="229" t="s">
        <v>116</v>
      </c>
      <c r="P763" s="64" t="s">
        <v>345</v>
      </c>
      <c r="R763" s="64" t="s">
        <v>347</v>
      </c>
      <c r="S763" s="243" t="s">
        <v>104</v>
      </c>
      <c r="X763" s="243" t="s">
        <v>462</v>
      </c>
      <c r="Y763" s="233" t="str">
        <f t="shared" si="1556"/>
        <v>Pass</v>
      </c>
      <c r="Z763" s="11" t="str">
        <f t="shared" si="1557"/>
        <v/>
      </c>
      <c r="AA763" s="233" t="str">
        <f t="shared" si="1558"/>
        <v/>
      </c>
      <c r="AB763" s="233" t="str">
        <f t="shared" si="1559"/>
        <v/>
      </c>
    </row>
    <row r="764" spans="2:28" x14ac:dyDescent="0.25">
      <c r="B764" s="65">
        <v>41822</v>
      </c>
      <c r="C764" s="66">
        <v>41822</v>
      </c>
      <c r="D764" s="68">
        <f t="shared" ref="D764" si="1563">IF(B764&gt;0,MONTH(B764),"False")</f>
        <v>7</v>
      </c>
      <c r="E764" s="66" t="str">
        <f t="shared" ref="E764" si="1564">YEAR(B764) &amp; CHOOSE(D764,"-Jan","-Feb","-Mar","-Apr","-May","-Jun","-Jul","-Aug","-Sep","-Oct","-Nov","-Dec")</f>
        <v>2014-Jul</v>
      </c>
      <c r="F764" s="68">
        <f t="shared" ref="F764" si="1565">IF(C764&gt;0,MONTH(C764),"False")</f>
        <v>7</v>
      </c>
      <c r="G764" s="230" t="s">
        <v>93</v>
      </c>
      <c r="H764" s="230" t="s">
        <v>136</v>
      </c>
      <c r="J764" s="230" t="s">
        <v>77</v>
      </c>
      <c r="K764" s="230" t="s">
        <v>82</v>
      </c>
      <c r="L764" s="230" t="s">
        <v>79</v>
      </c>
      <c r="M764" s="1" t="s">
        <v>1449</v>
      </c>
      <c r="N764" s="230" t="s">
        <v>124</v>
      </c>
      <c r="O764" s="230" t="s">
        <v>114</v>
      </c>
      <c r="P764" s="64" t="s">
        <v>750</v>
      </c>
      <c r="Q764" s="2" t="s">
        <v>88</v>
      </c>
      <c r="R764" s="64" t="s">
        <v>1267</v>
      </c>
      <c r="Y764" s="233" t="str">
        <f t="shared" si="1556"/>
        <v>Obsolete</v>
      </c>
      <c r="Z764" s="11">
        <f t="shared" si="1557"/>
        <v>41822</v>
      </c>
      <c r="AA764" s="233" t="str">
        <f t="shared" si="1558"/>
        <v>2014 - 27</v>
      </c>
      <c r="AB764" s="233">
        <f t="shared" si="1559"/>
        <v>2014</v>
      </c>
    </row>
    <row r="765" spans="2:28" x14ac:dyDescent="0.25">
      <c r="B765" s="65">
        <v>41822</v>
      </c>
      <c r="C765" s="66">
        <v>41822</v>
      </c>
      <c r="D765" s="68">
        <f t="shared" ref="D765" si="1566">IF(B765&gt;0,MONTH(B765),"False")</f>
        <v>7</v>
      </c>
      <c r="E765" s="66" t="str">
        <f t="shared" ref="E765" si="1567">YEAR(B765) &amp; CHOOSE(D765,"-Jan","-Feb","-Mar","-Apr","-May","-Jun","-Jul","-Aug","-Sep","-Oct","-Nov","-Dec")</f>
        <v>2014-Jul</v>
      </c>
      <c r="F765" s="68">
        <f t="shared" ref="F765" si="1568">IF(C765&gt;0,MONTH(C765),"False")</f>
        <v>7</v>
      </c>
      <c r="G765" s="230" t="s">
        <v>93</v>
      </c>
      <c r="H765" s="230" t="s">
        <v>316</v>
      </c>
      <c r="J765" s="230" t="s">
        <v>77</v>
      </c>
      <c r="K765" s="230" t="s">
        <v>82</v>
      </c>
      <c r="L765" s="230" t="s">
        <v>79</v>
      </c>
      <c r="M765" s="1" t="s">
        <v>1450</v>
      </c>
      <c r="N765" s="230" t="s">
        <v>124</v>
      </c>
      <c r="O765" s="230" t="s">
        <v>285</v>
      </c>
      <c r="P765" s="64" t="s">
        <v>340</v>
      </c>
      <c r="R765" s="64" t="s">
        <v>705</v>
      </c>
      <c r="S765" s="237" t="s">
        <v>104</v>
      </c>
      <c r="T765" s="67" t="s">
        <v>110</v>
      </c>
      <c r="Y765" s="233" t="str">
        <f t="shared" si="1556"/>
        <v>Pass</v>
      </c>
      <c r="Z765" s="11" t="str">
        <f t="shared" si="1557"/>
        <v/>
      </c>
      <c r="AA765" s="233" t="str">
        <f t="shared" si="1558"/>
        <v/>
      </c>
      <c r="AB765" s="233" t="str">
        <f t="shared" si="1559"/>
        <v/>
      </c>
    </row>
    <row r="766" spans="2:28" x14ac:dyDescent="0.25">
      <c r="B766" s="65">
        <v>41822</v>
      </c>
      <c r="C766" s="66">
        <v>41822</v>
      </c>
      <c r="D766" s="68">
        <f t="shared" ref="D766:D768" si="1569">IF(B766&gt;0,MONTH(B766),"False")</f>
        <v>7</v>
      </c>
      <c r="E766" s="66" t="str">
        <f t="shared" ref="E766:E768" si="1570">YEAR(B766) &amp; CHOOSE(D766,"-Jan","-Feb","-Mar","-Apr","-May","-Jun","-Jul","-Aug","-Sep","-Oct","-Nov","-Dec")</f>
        <v>2014-Jul</v>
      </c>
      <c r="F766" s="68">
        <f t="shared" ref="F766:F768" si="1571">IF(C766&gt;0,MONTH(C766),"False")</f>
        <v>7</v>
      </c>
      <c r="G766" s="243" t="s">
        <v>105</v>
      </c>
      <c r="H766" s="230" t="s">
        <v>280</v>
      </c>
      <c r="J766" s="230" t="s">
        <v>333</v>
      </c>
      <c r="K766" s="230" t="s">
        <v>82</v>
      </c>
      <c r="L766" s="230" t="s">
        <v>79</v>
      </c>
      <c r="M766" s="1" t="s">
        <v>1451</v>
      </c>
      <c r="N766" s="230" t="s">
        <v>124</v>
      </c>
      <c r="O766" s="230" t="s">
        <v>116</v>
      </c>
      <c r="P766" s="64" t="s">
        <v>305</v>
      </c>
      <c r="R766" s="64" t="s">
        <v>1108</v>
      </c>
      <c r="S766" s="243" t="s">
        <v>104</v>
      </c>
      <c r="X766" s="243" t="s">
        <v>462</v>
      </c>
      <c r="Y766" s="233" t="str">
        <f t="shared" si="1556"/>
        <v>Pass</v>
      </c>
      <c r="Z766" s="11" t="str">
        <f t="shared" si="1557"/>
        <v/>
      </c>
      <c r="AA766" s="233" t="str">
        <f t="shared" si="1558"/>
        <v/>
      </c>
      <c r="AB766" s="233" t="str">
        <f t="shared" si="1559"/>
        <v/>
      </c>
    </row>
    <row r="767" spans="2:28" x14ac:dyDescent="0.25">
      <c r="B767" s="65">
        <v>41823</v>
      </c>
      <c r="C767" s="66">
        <v>41823</v>
      </c>
      <c r="D767" s="68">
        <f t="shared" si="1569"/>
        <v>7</v>
      </c>
      <c r="E767" s="66" t="str">
        <f t="shared" si="1570"/>
        <v>2014-Jul</v>
      </c>
      <c r="F767" s="68">
        <f t="shared" si="1571"/>
        <v>7</v>
      </c>
      <c r="G767" s="231" t="s">
        <v>93</v>
      </c>
      <c r="H767" s="231" t="s">
        <v>316</v>
      </c>
      <c r="I767" s="231"/>
      <c r="J767" s="231" t="s">
        <v>77</v>
      </c>
      <c r="K767" s="231" t="s">
        <v>82</v>
      </c>
      <c r="L767" s="231" t="s">
        <v>79</v>
      </c>
      <c r="M767" s="231" t="s">
        <v>1452</v>
      </c>
      <c r="N767" s="231" t="s">
        <v>124</v>
      </c>
      <c r="O767" s="231" t="s">
        <v>285</v>
      </c>
      <c r="P767" s="64" t="s">
        <v>340</v>
      </c>
      <c r="R767" s="64" t="s">
        <v>705</v>
      </c>
      <c r="S767" s="237" t="s">
        <v>104</v>
      </c>
      <c r="Y767" s="233" t="str">
        <f t="shared" si="1556"/>
        <v>Pass</v>
      </c>
      <c r="Z767" s="11" t="str">
        <f t="shared" si="1557"/>
        <v/>
      </c>
      <c r="AA767" s="233" t="str">
        <f t="shared" si="1558"/>
        <v/>
      </c>
      <c r="AB767" s="233" t="str">
        <f t="shared" si="1559"/>
        <v/>
      </c>
    </row>
    <row r="768" spans="2:28" x14ac:dyDescent="0.25">
      <c r="B768" s="65">
        <v>41823</v>
      </c>
      <c r="C768" s="66">
        <v>41823</v>
      </c>
      <c r="D768" s="68">
        <f t="shared" si="1569"/>
        <v>7</v>
      </c>
      <c r="E768" s="66" t="str">
        <f t="shared" si="1570"/>
        <v>2014-Jul</v>
      </c>
      <c r="F768" s="68">
        <f t="shared" si="1571"/>
        <v>7</v>
      </c>
      <c r="G768" s="239" t="s">
        <v>121</v>
      </c>
      <c r="H768" s="231" t="s">
        <v>316</v>
      </c>
      <c r="I768" s="231"/>
      <c r="J768" s="231" t="s">
        <v>77</v>
      </c>
      <c r="K768" s="231" t="s">
        <v>82</v>
      </c>
      <c r="L768" s="231" t="s">
        <v>79</v>
      </c>
      <c r="M768" s="231" t="s">
        <v>1453</v>
      </c>
      <c r="N768" s="231" t="s">
        <v>124</v>
      </c>
      <c r="O768" s="231" t="s">
        <v>285</v>
      </c>
      <c r="P768" s="64" t="s">
        <v>340</v>
      </c>
      <c r="R768" s="64" t="s">
        <v>705</v>
      </c>
      <c r="S768" s="239" t="s">
        <v>104</v>
      </c>
      <c r="X768" s="239" t="s">
        <v>300</v>
      </c>
      <c r="Y768" s="233" t="str">
        <f t="shared" si="1556"/>
        <v>Pass</v>
      </c>
      <c r="Z768" s="11" t="str">
        <f t="shared" si="1557"/>
        <v/>
      </c>
      <c r="AA768" s="233" t="str">
        <f t="shared" si="1558"/>
        <v/>
      </c>
      <c r="AB768" s="233" t="str">
        <f t="shared" si="1559"/>
        <v/>
      </c>
    </row>
    <row r="769" spans="2:28" x14ac:dyDescent="0.25">
      <c r="B769" s="65">
        <v>41823</v>
      </c>
      <c r="C769" s="66">
        <v>41823</v>
      </c>
      <c r="D769" s="68">
        <f t="shared" ref="D769" si="1572">IF(B769&gt;0,MONTH(B769),"False")</f>
        <v>7</v>
      </c>
      <c r="E769" s="66" t="str">
        <f t="shared" ref="E769" si="1573">YEAR(B769) &amp; CHOOSE(D769,"-Jan","-Feb","-Mar","-Apr","-May","-Jun","-Jul","-Aug","-Sep","-Oct","-Nov","-Dec")</f>
        <v>2014-Jul</v>
      </c>
      <c r="F769" s="68">
        <f t="shared" ref="F769" si="1574">IF(C769&gt;0,MONTH(C769),"False")</f>
        <v>7</v>
      </c>
      <c r="G769" s="231" t="s">
        <v>93</v>
      </c>
      <c r="H769" s="231" t="s">
        <v>136</v>
      </c>
      <c r="J769" s="231" t="s">
        <v>77</v>
      </c>
      <c r="K769" s="231" t="s">
        <v>82</v>
      </c>
      <c r="L769" s="231" t="s">
        <v>79</v>
      </c>
      <c r="M769" s="1" t="s">
        <v>1454</v>
      </c>
      <c r="N769" s="231" t="s">
        <v>124</v>
      </c>
      <c r="O769" s="231" t="s">
        <v>114</v>
      </c>
      <c r="P769" s="64" t="s">
        <v>750</v>
      </c>
      <c r="R769" s="64" t="s">
        <v>1267</v>
      </c>
      <c r="S769" s="235" t="s">
        <v>104</v>
      </c>
      <c r="T769" s="67" t="s">
        <v>110</v>
      </c>
      <c r="Y769" s="233" t="str">
        <f t="shared" si="1556"/>
        <v>Pass</v>
      </c>
      <c r="Z769" s="11" t="str">
        <f t="shared" si="1557"/>
        <v/>
      </c>
      <c r="AA769" s="233" t="str">
        <f t="shared" si="1558"/>
        <v/>
      </c>
      <c r="AB769" s="233" t="str">
        <f t="shared" si="1559"/>
        <v/>
      </c>
    </row>
    <row r="770" spans="2:28" x14ac:dyDescent="0.25">
      <c r="B770" s="65">
        <v>41824</v>
      </c>
      <c r="C770" s="66">
        <v>41824</v>
      </c>
      <c r="D770" s="68">
        <f t="shared" ref="D770" si="1575">IF(B770&gt;0,MONTH(B770),"False")</f>
        <v>7</v>
      </c>
      <c r="E770" s="66" t="str">
        <f t="shared" ref="E770" si="1576">YEAR(B770) &amp; CHOOSE(D770,"-Jan","-Feb","-Mar","-Apr","-May","-Jun","-Jul","-Aug","-Sep","-Oct","-Nov","-Dec")</f>
        <v>2014-Jul</v>
      </c>
      <c r="F770" s="68">
        <f t="shared" ref="F770" si="1577">IF(C770&gt;0,MONTH(C770),"False")</f>
        <v>7</v>
      </c>
      <c r="G770" s="232" t="s">
        <v>93</v>
      </c>
      <c r="H770" s="232" t="s">
        <v>136</v>
      </c>
      <c r="J770" s="232" t="s">
        <v>120</v>
      </c>
      <c r="K770" s="232" t="s">
        <v>82</v>
      </c>
      <c r="L770" s="232" t="s">
        <v>79</v>
      </c>
      <c r="M770" s="1" t="s">
        <v>1384</v>
      </c>
      <c r="N770" s="232" t="s">
        <v>124</v>
      </c>
      <c r="O770" s="232" t="s">
        <v>1368</v>
      </c>
      <c r="P770" s="64" t="s">
        <v>750</v>
      </c>
      <c r="Q770" s="2" t="s">
        <v>88</v>
      </c>
      <c r="R770" s="64" t="s">
        <v>1267</v>
      </c>
      <c r="Y770" s="233" t="str">
        <f t="shared" si="1556"/>
        <v>Obsolete</v>
      </c>
      <c r="Z770" s="11">
        <f t="shared" si="1557"/>
        <v>41824</v>
      </c>
      <c r="AA770" s="233" t="str">
        <f t="shared" si="1558"/>
        <v>2014 - 27</v>
      </c>
      <c r="AB770" s="233">
        <f t="shared" si="1559"/>
        <v>2014</v>
      </c>
    </row>
    <row r="771" spans="2:28" x14ac:dyDescent="0.25">
      <c r="B771" s="65">
        <v>41824</v>
      </c>
      <c r="C771" s="66">
        <v>41824</v>
      </c>
      <c r="D771" s="68">
        <f t="shared" ref="D771" si="1578">IF(B771&gt;0,MONTH(B771),"False")</f>
        <v>7</v>
      </c>
      <c r="E771" s="66" t="str">
        <f t="shared" ref="E771" si="1579">YEAR(B771) &amp; CHOOSE(D771,"-Jan","-Feb","-Mar","-Apr","-May","-Jun","-Jul","-Aug","-Sep","-Oct","-Nov","-Dec")</f>
        <v>2014-Jul</v>
      </c>
      <c r="F771" s="68">
        <f t="shared" ref="F771" si="1580">IF(C771&gt;0,MONTH(C771),"False")</f>
        <v>7</v>
      </c>
      <c r="G771" s="232" t="s">
        <v>93</v>
      </c>
      <c r="H771" s="232" t="s">
        <v>136</v>
      </c>
      <c r="I771" s="232"/>
      <c r="J771" s="232" t="s">
        <v>77</v>
      </c>
      <c r="K771" s="232" t="s">
        <v>82</v>
      </c>
      <c r="L771" s="232" t="s">
        <v>79</v>
      </c>
      <c r="M771" s="232" t="s">
        <v>1455</v>
      </c>
      <c r="N771" s="232" t="s">
        <v>124</v>
      </c>
      <c r="O771" s="232" t="s">
        <v>1368</v>
      </c>
      <c r="P771" s="64" t="s">
        <v>750</v>
      </c>
      <c r="Q771" s="2" t="s">
        <v>88</v>
      </c>
      <c r="R771" s="64" t="s">
        <v>1267</v>
      </c>
      <c r="Y771" s="233" t="str">
        <f t="shared" si="1556"/>
        <v>Obsolete</v>
      </c>
      <c r="Z771" s="11">
        <f t="shared" si="1557"/>
        <v>41824</v>
      </c>
      <c r="AA771" s="233" t="str">
        <f t="shared" si="1558"/>
        <v>2014 - 27</v>
      </c>
      <c r="AB771" s="233">
        <f t="shared" si="1559"/>
        <v>2014</v>
      </c>
    </row>
    <row r="772" spans="2:28" x14ac:dyDescent="0.25">
      <c r="B772" s="65">
        <v>41824</v>
      </c>
      <c r="C772" s="66">
        <v>41824</v>
      </c>
      <c r="D772" s="68">
        <f t="shared" ref="D772" si="1581">IF(B772&gt;0,MONTH(B772),"False")</f>
        <v>7</v>
      </c>
      <c r="E772" s="66" t="str">
        <f t="shared" ref="E772" si="1582">YEAR(B772) &amp; CHOOSE(D772,"-Jan","-Feb","-Mar","-Apr","-May","-Jun","-Jul","-Aug","-Sep","-Oct","-Nov","-Dec")</f>
        <v>2014-Jul</v>
      </c>
      <c r="F772" s="68">
        <f t="shared" ref="F772" si="1583">IF(C772&gt;0,MONTH(C772),"False")</f>
        <v>7</v>
      </c>
      <c r="G772" s="234" t="s">
        <v>105</v>
      </c>
      <c r="H772" s="232" t="s">
        <v>280</v>
      </c>
      <c r="J772" s="232" t="s">
        <v>81</v>
      </c>
      <c r="K772" s="232" t="s">
        <v>82</v>
      </c>
      <c r="L772" s="232" t="s">
        <v>79</v>
      </c>
      <c r="M772" s="1" t="s">
        <v>1456</v>
      </c>
      <c r="N772" s="232" t="s">
        <v>124</v>
      </c>
      <c r="O772" s="232" t="s">
        <v>286</v>
      </c>
      <c r="P772" s="64" t="s">
        <v>1108</v>
      </c>
      <c r="R772" s="64" t="s">
        <v>305</v>
      </c>
      <c r="S772" s="234" t="s">
        <v>104</v>
      </c>
      <c r="X772" s="234" t="s">
        <v>544</v>
      </c>
      <c r="Y772" s="233" t="str">
        <f t="shared" si="1556"/>
        <v>Pass</v>
      </c>
      <c r="Z772" s="11" t="str">
        <f t="shared" si="1557"/>
        <v/>
      </c>
      <c r="AA772" s="233" t="str">
        <f t="shared" si="1558"/>
        <v/>
      </c>
      <c r="AB772" s="233" t="str">
        <f t="shared" si="1559"/>
        <v/>
      </c>
    </row>
    <row r="773" spans="2:28" x14ac:dyDescent="0.25">
      <c r="B773" s="66">
        <v>41824</v>
      </c>
      <c r="C773" s="66">
        <v>41824</v>
      </c>
      <c r="D773" s="68">
        <f t="shared" ref="D773" si="1584">IF(B773&gt;0,MONTH(B773),"False")</f>
        <v>7</v>
      </c>
      <c r="E773" s="66" t="str">
        <f t="shared" ref="E773" si="1585">YEAR(B773) &amp; CHOOSE(D773,"-Jan","-Feb","-Mar","-Apr","-May","-Jun","-Jul","-Aug","-Sep","-Oct","-Nov","-Dec")</f>
        <v>2014-Jul</v>
      </c>
      <c r="F773" s="68">
        <f t="shared" ref="F773" si="1586">IF(C773&gt;0,MONTH(C773),"False")</f>
        <v>7</v>
      </c>
      <c r="G773" s="245" t="s">
        <v>112</v>
      </c>
      <c r="H773" s="232" t="s">
        <v>166</v>
      </c>
      <c r="J773" s="232" t="s">
        <v>77</v>
      </c>
      <c r="K773" s="232" t="s">
        <v>82</v>
      </c>
      <c r="L773" s="232" t="s">
        <v>79</v>
      </c>
      <c r="M773" s="1" t="s">
        <v>1457</v>
      </c>
      <c r="N773" s="232" t="s">
        <v>124</v>
      </c>
      <c r="O773" s="232" t="s">
        <v>353</v>
      </c>
      <c r="R773" s="64" t="s">
        <v>862</v>
      </c>
      <c r="S773" s="245" t="s">
        <v>104</v>
      </c>
      <c r="X773" s="245" t="s">
        <v>837</v>
      </c>
      <c r="Y773" s="233" t="str">
        <f t="shared" si="1556"/>
        <v>Pass</v>
      </c>
      <c r="Z773" s="11" t="str">
        <f t="shared" si="1557"/>
        <v/>
      </c>
      <c r="AA773" s="233" t="str">
        <f t="shared" si="1558"/>
        <v/>
      </c>
      <c r="AB773" s="233" t="str">
        <f t="shared" si="1559"/>
        <v/>
      </c>
    </row>
    <row r="774" spans="2:28" x14ac:dyDescent="0.25">
      <c r="B774" s="66">
        <v>41824</v>
      </c>
      <c r="C774" s="66">
        <v>41824</v>
      </c>
      <c r="D774" s="68">
        <f t="shared" ref="D774:D775" si="1587">IF(B774&gt;0,MONTH(B774),"False")</f>
        <v>7</v>
      </c>
      <c r="E774" s="66" t="str">
        <f t="shared" ref="E774:E775" si="1588">YEAR(B774) &amp; CHOOSE(D774,"-Jan","-Feb","-Mar","-Apr","-May","-Jun","-Jul","-Aug","-Sep","-Oct","-Nov","-Dec")</f>
        <v>2014-Jul</v>
      </c>
      <c r="F774" s="68">
        <f t="shared" ref="F774:F775" si="1589">IF(C774&gt;0,MONTH(C774),"False")</f>
        <v>7</v>
      </c>
      <c r="G774" s="234" t="s">
        <v>126</v>
      </c>
      <c r="H774" s="232" t="s">
        <v>280</v>
      </c>
      <c r="J774" s="232" t="s">
        <v>78</v>
      </c>
      <c r="K774" s="232" t="s">
        <v>78</v>
      </c>
      <c r="L774" s="232" t="s">
        <v>79</v>
      </c>
      <c r="M774" s="1" t="s">
        <v>1458</v>
      </c>
      <c r="N774" s="232" t="s">
        <v>124</v>
      </c>
      <c r="O774" s="232" t="s">
        <v>138</v>
      </c>
      <c r="R774" s="64" t="s">
        <v>344</v>
      </c>
      <c r="S774" s="234" t="s">
        <v>104</v>
      </c>
      <c r="T774" s="67" t="s">
        <v>110</v>
      </c>
      <c r="X774" s="234" t="s">
        <v>544</v>
      </c>
      <c r="Y774" s="233" t="str">
        <f t="shared" si="1556"/>
        <v>Pass</v>
      </c>
      <c r="Z774" s="11" t="str">
        <f t="shared" si="1557"/>
        <v/>
      </c>
      <c r="AA774" s="233" t="str">
        <f t="shared" si="1558"/>
        <v/>
      </c>
      <c r="AB774" s="233" t="str">
        <f t="shared" si="1559"/>
        <v/>
      </c>
    </row>
    <row r="775" spans="2:28" x14ac:dyDescent="0.25">
      <c r="B775" s="65">
        <v>41827</v>
      </c>
      <c r="C775" s="66">
        <v>41827</v>
      </c>
      <c r="D775" s="68">
        <f t="shared" si="1587"/>
        <v>7</v>
      </c>
      <c r="E775" s="66" t="str">
        <f t="shared" si="1588"/>
        <v>2014-Jul</v>
      </c>
      <c r="F775" s="68">
        <f t="shared" si="1589"/>
        <v>7</v>
      </c>
      <c r="G775" s="233" t="s">
        <v>93</v>
      </c>
      <c r="H775" s="233" t="s">
        <v>136</v>
      </c>
      <c r="I775" s="233"/>
      <c r="J775" s="233" t="s">
        <v>77</v>
      </c>
      <c r="K775" s="233" t="s">
        <v>82</v>
      </c>
      <c r="L775" s="233" t="s">
        <v>79</v>
      </c>
      <c r="M775" s="233" t="s">
        <v>1459</v>
      </c>
      <c r="N775" s="233" t="s">
        <v>124</v>
      </c>
      <c r="O775" s="233" t="s">
        <v>1368</v>
      </c>
      <c r="P775" s="64" t="s">
        <v>750</v>
      </c>
      <c r="Q775" s="2" t="s">
        <v>88</v>
      </c>
      <c r="R775" s="64" t="s">
        <v>1267</v>
      </c>
      <c r="Y775" s="233" t="str">
        <f t="shared" si="1556"/>
        <v>Obsolete</v>
      </c>
      <c r="Z775" s="11">
        <f t="shared" si="1557"/>
        <v>41827</v>
      </c>
      <c r="AA775" s="233" t="str">
        <f t="shared" si="1558"/>
        <v>2014 - 28</v>
      </c>
      <c r="AB775" s="233">
        <f t="shared" si="1559"/>
        <v>2014</v>
      </c>
    </row>
    <row r="776" spans="2:28" x14ac:dyDescent="0.25">
      <c r="B776" s="65">
        <v>41827</v>
      </c>
      <c r="C776" s="66">
        <v>41827</v>
      </c>
      <c r="D776" s="68">
        <f t="shared" ref="D776" si="1590">IF(B776&gt;0,MONTH(B776),"False")</f>
        <v>7</v>
      </c>
      <c r="E776" s="66" t="str">
        <f t="shared" ref="E776" si="1591">YEAR(B776) &amp; CHOOSE(D776,"-Jan","-Feb","-Mar","-Apr","-May","-Jun","-Jul","-Aug","-Sep","-Oct","-Nov","-Dec")</f>
        <v>2014-Jul</v>
      </c>
      <c r="F776" s="68">
        <f t="shared" ref="F776" si="1592">IF(C776&gt;0,MONTH(C776),"False")</f>
        <v>7</v>
      </c>
      <c r="G776" s="233" t="s">
        <v>93</v>
      </c>
      <c r="H776" s="233" t="s">
        <v>136</v>
      </c>
      <c r="I776" s="233"/>
      <c r="J776" s="233" t="s">
        <v>77</v>
      </c>
      <c r="K776" s="233" t="s">
        <v>82</v>
      </c>
      <c r="L776" s="233" t="s">
        <v>79</v>
      </c>
      <c r="M776" s="233" t="s">
        <v>1460</v>
      </c>
      <c r="N776" s="233" t="s">
        <v>124</v>
      </c>
      <c r="O776" s="233" t="s">
        <v>114</v>
      </c>
      <c r="P776" s="64" t="s">
        <v>750</v>
      </c>
      <c r="R776" s="64" t="s">
        <v>1267</v>
      </c>
      <c r="S776" s="280" t="s">
        <v>104</v>
      </c>
      <c r="Y776" s="233" t="str">
        <f t="shared" si="1556"/>
        <v>Pass</v>
      </c>
      <c r="Z776" s="11" t="str">
        <f t="shared" si="1557"/>
        <v/>
      </c>
      <c r="AA776" s="233" t="str">
        <f t="shared" si="1558"/>
        <v/>
      </c>
      <c r="AB776" s="233" t="str">
        <f t="shared" si="1559"/>
        <v/>
      </c>
    </row>
    <row r="777" spans="2:28" x14ac:dyDescent="0.25">
      <c r="B777" s="65">
        <v>41828</v>
      </c>
      <c r="C777" s="66">
        <v>41828</v>
      </c>
      <c r="D777" s="68">
        <f t="shared" ref="D777" si="1593">IF(B777&gt;0,MONTH(B777),"False")</f>
        <v>7</v>
      </c>
      <c r="E777" s="66" t="str">
        <f t="shared" ref="E777" si="1594">YEAR(B777) &amp; CHOOSE(D777,"-Jan","-Feb","-Mar","-Apr","-May","-Jun","-Jul","-Aug","-Sep","-Oct","-Nov","-Dec")</f>
        <v>2014-Jul</v>
      </c>
      <c r="F777" s="68">
        <f t="shared" ref="F777" si="1595">IF(C777&gt;0,MONTH(C777),"False")</f>
        <v>7</v>
      </c>
      <c r="G777" s="234" t="s">
        <v>93</v>
      </c>
      <c r="H777" s="234" t="s">
        <v>136</v>
      </c>
      <c r="J777" s="234" t="s">
        <v>119</v>
      </c>
      <c r="K777" s="234" t="s">
        <v>119</v>
      </c>
      <c r="L777" s="234" t="s">
        <v>83</v>
      </c>
      <c r="M777" s="1" t="s">
        <v>1462</v>
      </c>
      <c r="N777" s="234" t="s">
        <v>124</v>
      </c>
      <c r="O777" s="234" t="s">
        <v>507</v>
      </c>
      <c r="P777" s="64" t="s">
        <v>784</v>
      </c>
      <c r="Q777" s="2" t="s">
        <v>88</v>
      </c>
      <c r="R777" s="64" t="s">
        <v>1394</v>
      </c>
      <c r="Y777" s="233" t="str">
        <f t="shared" si="1556"/>
        <v>Obsolete</v>
      </c>
      <c r="Z777" s="11">
        <f t="shared" si="1557"/>
        <v>41828</v>
      </c>
      <c r="AA777" s="233" t="str">
        <f t="shared" si="1558"/>
        <v>2014 - 28</v>
      </c>
      <c r="AB777" s="233">
        <f t="shared" si="1559"/>
        <v>2014</v>
      </c>
    </row>
    <row r="778" spans="2:28" x14ac:dyDescent="0.25">
      <c r="B778" s="65">
        <v>41828</v>
      </c>
      <c r="C778" s="66">
        <v>41828</v>
      </c>
      <c r="D778" s="68">
        <f t="shared" ref="D778:D779" si="1596">IF(B778&gt;0,MONTH(B778),"False")</f>
        <v>7</v>
      </c>
      <c r="E778" s="66" t="str">
        <f t="shared" ref="E778:E779" si="1597">YEAR(B778) &amp; CHOOSE(D778,"-Jan","-Feb","-Mar","-Apr","-May","-Jun","-Jul","-Aug","-Sep","-Oct","-Nov","-Dec")</f>
        <v>2014-Jul</v>
      </c>
      <c r="F778" s="68">
        <f t="shared" ref="F778:F779" si="1598">IF(C778&gt;0,MONTH(C778),"False")</f>
        <v>7</v>
      </c>
      <c r="G778" s="234" t="s">
        <v>93</v>
      </c>
      <c r="H778" s="234" t="s">
        <v>136</v>
      </c>
      <c r="I778" s="234"/>
      <c r="J778" s="234" t="s">
        <v>119</v>
      </c>
      <c r="K778" s="234" t="s">
        <v>119</v>
      </c>
      <c r="L778" s="234" t="s">
        <v>83</v>
      </c>
      <c r="M778" s="234" t="s">
        <v>1463</v>
      </c>
      <c r="N778" s="234" t="s">
        <v>124</v>
      </c>
      <c r="O778" s="234" t="s">
        <v>507</v>
      </c>
      <c r="P778" s="64" t="s">
        <v>784</v>
      </c>
      <c r="Q778" s="2" t="s">
        <v>88</v>
      </c>
      <c r="R778" s="64" t="s">
        <v>1394</v>
      </c>
      <c r="Y778" s="233" t="str">
        <f t="shared" si="1556"/>
        <v>Obsolete</v>
      </c>
      <c r="Z778" s="11">
        <f t="shared" si="1557"/>
        <v>41828</v>
      </c>
      <c r="AA778" s="233" t="str">
        <f t="shared" si="1558"/>
        <v>2014 - 28</v>
      </c>
      <c r="AB778" s="233">
        <f t="shared" si="1559"/>
        <v>2014</v>
      </c>
    </row>
    <row r="779" spans="2:28" x14ac:dyDescent="0.25">
      <c r="B779" s="65">
        <v>41828</v>
      </c>
      <c r="C779" s="66">
        <v>41828</v>
      </c>
      <c r="D779" s="68">
        <f t="shared" si="1596"/>
        <v>7</v>
      </c>
      <c r="E779" s="66" t="str">
        <f t="shared" si="1597"/>
        <v>2014-Jul</v>
      </c>
      <c r="F779" s="68">
        <f t="shared" si="1598"/>
        <v>7</v>
      </c>
      <c r="G779" s="234" t="s">
        <v>93</v>
      </c>
      <c r="H779" s="234" t="s">
        <v>136</v>
      </c>
      <c r="I779" s="234"/>
      <c r="J779" s="234" t="s">
        <v>119</v>
      </c>
      <c r="K779" s="234" t="s">
        <v>119</v>
      </c>
      <c r="L779" s="234" t="s">
        <v>83</v>
      </c>
      <c r="M779" s="234" t="s">
        <v>1464</v>
      </c>
      <c r="N779" s="234" t="s">
        <v>124</v>
      </c>
      <c r="O779" s="234" t="s">
        <v>507</v>
      </c>
      <c r="P779" s="64" t="s">
        <v>784</v>
      </c>
      <c r="R779" s="64" t="s">
        <v>1394</v>
      </c>
      <c r="Y779" s="233" t="str">
        <f t="shared" si="1556"/>
        <v>Unknown</v>
      </c>
      <c r="Z779" s="11" t="str">
        <f t="shared" si="1557"/>
        <v/>
      </c>
      <c r="AA779" s="233" t="str">
        <f t="shared" si="1558"/>
        <v/>
      </c>
      <c r="AB779" s="233" t="str">
        <f t="shared" si="1559"/>
        <v/>
      </c>
    </row>
    <row r="780" spans="2:28" x14ac:dyDescent="0.25">
      <c r="B780" s="66">
        <v>41828</v>
      </c>
      <c r="C780" s="66">
        <v>41828</v>
      </c>
      <c r="D780" s="68">
        <f t="shared" ref="D780:D781" si="1599">IF(B780&gt;0,MONTH(B780),"False")</f>
        <v>7</v>
      </c>
      <c r="E780" s="66" t="str">
        <f t="shared" ref="E780:E781" si="1600">YEAR(B780) &amp; CHOOSE(D780,"-Jan","-Feb","-Mar","-Apr","-May","-Jun","-Jul","-Aug","-Sep","-Oct","-Nov","-Dec")</f>
        <v>2014-Jul</v>
      </c>
      <c r="F780" s="68">
        <f t="shared" ref="F780:F781" si="1601">IF(C780&gt;0,MONTH(C780),"False")</f>
        <v>7</v>
      </c>
      <c r="G780" s="234" t="s">
        <v>87</v>
      </c>
      <c r="H780" s="234" t="s">
        <v>348</v>
      </c>
      <c r="J780" s="234" t="s">
        <v>78</v>
      </c>
      <c r="K780" s="234" t="s">
        <v>78</v>
      </c>
      <c r="L780" s="234" t="s">
        <v>79</v>
      </c>
      <c r="M780" s="1" t="s">
        <v>1465</v>
      </c>
      <c r="N780" s="234" t="s">
        <v>124</v>
      </c>
      <c r="O780" s="234" t="s">
        <v>97</v>
      </c>
      <c r="R780" s="64" t="s">
        <v>1337</v>
      </c>
      <c r="S780" s="235" t="s">
        <v>104</v>
      </c>
      <c r="Y780" s="233" t="str">
        <f t="shared" si="1556"/>
        <v>Pass</v>
      </c>
      <c r="Z780" s="11" t="str">
        <f t="shared" si="1557"/>
        <v/>
      </c>
      <c r="AA780" s="233" t="str">
        <f t="shared" si="1558"/>
        <v/>
      </c>
      <c r="AB780" s="233" t="str">
        <f t="shared" si="1559"/>
        <v/>
      </c>
    </row>
    <row r="781" spans="2:28" x14ac:dyDescent="0.25">
      <c r="B781" s="65">
        <v>41828</v>
      </c>
      <c r="C781" s="66">
        <v>41828</v>
      </c>
      <c r="D781" s="68">
        <f t="shared" si="1599"/>
        <v>7</v>
      </c>
      <c r="E781" s="66" t="str">
        <f t="shared" si="1600"/>
        <v>2014-Jul</v>
      </c>
      <c r="F781" s="68">
        <f t="shared" si="1601"/>
        <v>7</v>
      </c>
      <c r="G781" s="235" t="s">
        <v>105</v>
      </c>
      <c r="H781" s="234" t="s">
        <v>280</v>
      </c>
      <c r="J781" s="234" t="s">
        <v>77</v>
      </c>
      <c r="K781" s="234" t="s">
        <v>82</v>
      </c>
      <c r="L781" s="234" t="s">
        <v>79</v>
      </c>
      <c r="M781" s="1" t="s">
        <v>1466</v>
      </c>
      <c r="N781" s="234" t="s">
        <v>124</v>
      </c>
      <c r="O781" s="234" t="s">
        <v>286</v>
      </c>
      <c r="P781" s="64" t="s">
        <v>305</v>
      </c>
      <c r="R781" s="64" t="s">
        <v>1108</v>
      </c>
      <c r="S781" s="235" t="s">
        <v>104</v>
      </c>
      <c r="X781" s="235" t="s">
        <v>544</v>
      </c>
      <c r="Y781" s="233" t="str">
        <f t="shared" si="1556"/>
        <v>Pass</v>
      </c>
      <c r="Z781" s="11" t="str">
        <f t="shared" si="1557"/>
        <v/>
      </c>
      <c r="AA781" s="233" t="str">
        <f t="shared" si="1558"/>
        <v/>
      </c>
      <c r="AB781" s="233" t="str">
        <f t="shared" si="1559"/>
        <v/>
      </c>
    </row>
    <row r="782" spans="2:28" x14ac:dyDescent="0.25">
      <c r="B782" s="65">
        <v>41828</v>
      </c>
      <c r="C782" s="66">
        <v>41828</v>
      </c>
      <c r="D782" s="68">
        <f t="shared" ref="D782:D783" si="1602">IF(B782&gt;0,MONTH(B782),"False")</f>
        <v>7</v>
      </c>
      <c r="E782" s="66" t="str">
        <f t="shared" ref="E782:E783" si="1603">YEAR(B782) &amp; CHOOSE(D782,"-Jan","-Feb","-Mar","-Apr","-May","-Jun","-Jul","-Aug","-Sep","-Oct","-Nov","-Dec")</f>
        <v>2014-Jul</v>
      </c>
      <c r="F782" s="68">
        <f t="shared" ref="F782:F783" si="1604">IF(C782&gt;0,MONTH(C782),"False")</f>
        <v>7</v>
      </c>
      <c r="G782" s="239" t="s">
        <v>121</v>
      </c>
      <c r="H782" s="234" t="s">
        <v>103</v>
      </c>
      <c r="J782" s="234" t="s">
        <v>77</v>
      </c>
      <c r="K782" s="234" t="s">
        <v>82</v>
      </c>
      <c r="L782" s="234" t="s">
        <v>79</v>
      </c>
      <c r="M782" s="1" t="s">
        <v>1467</v>
      </c>
      <c r="N782" s="234" t="s">
        <v>124</v>
      </c>
      <c r="O782" s="234" t="s">
        <v>265</v>
      </c>
      <c r="P782" s="64" t="s">
        <v>351</v>
      </c>
      <c r="R782" s="64" t="s">
        <v>361</v>
      </c>
      <c r="S782" s="239" t="s">
        <v>104</v>
      </c>
      <c r="X782" s="239" t="s">
        <v>159</v>
      </c>
      <c r="Y782" s="233" t="str">
        <f t="shared" si="1556"/>
        <v>Pass</v>
      </c>
      <c r="Z782" s="11" t="str">
        <f t="shared" si="1557"/>
        <v/>
      </c>
      <c r="AA782" s="233" t="str">
        <f t="shared" si="1558"/>
        <v/>
      </c>
      <c r="AB782" s="233" t="str">
        <f t="shared" si="1559"/>
        <v/>
      </c>
    </row>
    <row r="783" spans="2:28" x14ac:dyDescent="0.25">
      <c r="B783" s="66">
        <v>41828</v>
      </c>
      <c r="C783" s="66">
        <v>41828</v>
      </c>
      <c r="D783" s="68">
        <f t="shared" si="1602"/>
        <v>7</v>
      </c>
      <c r="E783" s="66" t="str">
        <f t="shared" si="1603"/>
        <v>2014-Jul</v>
      </c>
      <c r="F783" s="68">
        <f t="shared" si="1604"/>
        <v>7</v>
      </c>
      <c r="G783" s="239" t="s">
        <v>112</v>
      </c>
      <c r="H783" s="234" t="s">
        <v>316</v>
      </c>
      <c r="J783" s="234" t="s">
        <v>292</v>
      </c>
      <c r="K783" s="234" t="s">
        <v>119</v>
      </c>
      <c r="L783" s="234" t="s">
        <v>79</v>
      </c>
      <c r="M783" s="1" t="s">
        <v>1468</v>
      </c>
      <c r="N783" s="234" t="s">
        <v>124</v>
      </c>
      <c r="O783" s="234" t="s">
        <v>589</v>
      </c>
      <c r="R783" s="64" t="s">
        <v>1469</v>
      </c>
      <c r="S783" s="239" t="s">
        <v>104</v>
      </c>
      <c r="T783" s="67" t="s">
        <v>110</v>
      </c>
      <c r="X783" s="239" t="s">
        <v>300</v>
      </c>
      <c r="Y783" s="233" t="str">
        <f t="shared" si="1556"/>
        <v>Pass</v>
      </c>
      <c r="Z783" s="11" t="str">
        <f t="shared" si="1557"/>
        <v/>
      </c>
      <c r="AA783" s="233" t="str">
        <f t="shared" si="1558"/>
        <v/>
      </c>
      <c r="AB783" s="233" t="str">
        <f t="shared" si="1559"/>
        <v/>
      </c>
    </row>
    <row r="784" spans="2:28" x14ac:dyDescent="0.25">
      <c r="B784" s="66">
        <v>41828</v>
      </c>
      <c r="C784" s="66">
        <v>41828</v>
      </c>
      <c r="D784" s="68">
        <f t="shared" ref="D784:D785" si="1605">IF(B784&gt;0,MONTH(B784),"False")</f>
        <v>7</v>
      </c>
      <c r="E784" s="66" t="str">
        <f t="shared" ref="E784:E785" si="1606">YEAR(B784) &amp; CHOOSE(D784,"-Jan","-Feb","-Mar","-Apr","-May","-Jun","-Jul","-Aug","-Sep","-Oct","-Nov","-Dec")</f>
        <v>2014-Jul</v>
      </c>
      <c r="F784" s="68">
        <f t="shared" ref="F784:F785" si="1607">IF(C784&gt;0,MONTH(C784),"False")</f>
        <v>7</v>
      </c>
      <c r="G784" s="234" t="s">
        <v>87</v>
      </c>
      <c r="H784" s="234" t="s">
        <v>103</v>
      </c>
      <c r="J784" s="234" t="s">
        <v>78</v>
      </c>
      <c r="K784" s="234" t="s">
        <v>78</v>
      </c>
      <c r="L784" s="234" t="s">
        <v>79</v>
      </c>
      <c r="M784" s="1" t="s">
        <v>1470</v>
      </c>
      <c r="N784" s="234" t="s">
        <v>124</v>
      </c>
      <c r="O784" s="234" t="s">
        <v>324</v>
      </c>
      <c r="Q784" s="2" t="s">
        <v>88</v>
      </c>
      <c r="R784" s="64" t="s">
        <v>475</v>
      </c>
      <c r="T784" s="67" t="s">
        <v>110</v>
      </c>
      <c r="Y784" s="233" t="str">
        <f t="shared" si="1556"/>
        <v>Obsolete</v>
      </c>
      <c r="Z784" s="11">
        <f t="shared" si="1557"/>
        <v>41828</v>
      </c>
      <c r="AA784" s="233" t="str">
        <f t="shared" si="1558"/>
        <v>2014 - 28</v>
      </c>
      <c r="AB784" s="233">
        <f t="shared" si="1559"/>
        <v>2014</v>
      </c>
    </row>
    <row r="785" spans="2:28" x14ac:dyDescent="0.25">
      <c r="B785" s="65">
        <v>41829</v>
      </c>
      <c r="C785" s="66">
        <v>41829</v>
      </c>
      <c r="D785" s="68">
        <f t="shared" si="1605"/>
        <v>7</v>
      </c>
      <c r="E785" s="66" t="str">
        <f t="shared" si="1606"/>
        <v>2014-Jul</v>
      </c>
      <c r="F785" s="68">
        <f t="shared" si="1607"/>
        <v>7</v>
      </c>
      <c r="G785" s="236" t="s">
        <v>121</v>
      </c>
      <c r="H785" s="235" t="s">
        <v>348</v>
      </c>
      <c r="J785" s="235" t="s">
        <v>77</v>
      </c>
      <c r="K785" s="235" t="s">
        <v>82</v>
      </c>
      <c r="L785" s="235" t="s">
        <v>79</v>
      </c>
      <c r="M785" s="1" t="s">
        <v>1471</v>
      </c>
      <c r="N785" s="235" t="s">
        <v>124</v>
      </c>
      <c r="O785" s="235" t="s">
        <v>91</v>
      </c>
      <c r="P785" s="64" t="s">
        <v>352</v>
      </c>
      <c r="R785" s="64" t="s">
        <v>1289</v>
      </c>
      <c r="S785" s="236" t="s">
        <v>104</v>
      </c>
      <c r="X785" s="236" t="s">
        <v>1474</v>
      </c>
      <c r="Y785" s="233" t="str">
        <f t="shared" si="1556"/>
        <v>Pass</v>
      </c>
      <c r="Z785" s="11" t="str">
        <f t="shared" si="1557"/>
        <v/>
      </c>
      <c r="AA785" s="233" t="str">
        <f t="shared" si="1558"/>
        <v/>
      </c>
      <c r="AB785" s="233" t="str">
        <f t="shared" si="1559"/>
        <v/>
      </c>
    </row>
    <row r="786" spans="2:28" x14ac:dyDescent="0.25">
      <c r="B786" s="65">
        <v>41829</v>
      </c>
      <c r="C786" s="66">
        <v>41829</v>
      </c>
      <c r="D786" s="68">
        <f t="shared" ref="D786" si="1608">IF(B786&gt;0,MONTH(B786),"False")</f>
        <v>7</v>
      </c>
      <c r="E786" s="66" t="str">
        <f t="shared" ref="E786" si="1609">YEAR(B786) &amp; CHOOSE(D786,"-Jan","-Feb","-Mar","-Apr","-May","-Jun","-Jul","-Aug","-Sep","-Oct","-Nov","-Dec")</f>
        <v>2014-Jul</v>
      </c>
      <c r="F786" s="68">
        <f t="shared" ref="F786" si="1610">IF(C786&gt;0,MONTH(C786),"False")</f>
        <v>7</v>
      </c>
      <c r="G786" s="245" t="s">
        <v>105</v>
      </c>
      <c r="H786" s="235" t="s">
        <v>280</v>
      </c>
      <c r="J786" s="235" t="s">
        <v>77</v>
      </c>
      <c r="K786" s="235" t="s">
        <v>82</v>
      </c>
      <c r="L786" s="235" t="s">
        <v>79</v>
      </c>
      <c r="M786" s="1" t="s">
        <v>1472</v>
      </c>
      <c r="N786" s="235" t="s">
        <v>124</v>
      </c>
      <c r="O786" s="235" t="s">
        <v>286</v>
      </c>
      <c r="P786" s="64" t="s">
        <v>305</v>
      </c>
      <c r="R786" s="64" t="s">
        <v>1108</v>
      </c>
      <c r="S786" s="245" t="s">
        <v>104</v>
      </c>
      <c r="X786" s="245" t="s">
        <v>544</v>
      </c>
      <c r="Y786" s="233" t="str">
        <f t="shared" si="1556"/>
        <v>Pass</v>
      </c>
      <c r="Z786" s="11" t="str">
        <f t="shared" si="1557"/>
        <v/>
      </c>
      <c r="AA786" s="233" t="str">
        <f t="shared" si="1558"/>
        <v/>
      </c>
      <c r="AB786" s="233" t="str">
        <f t="shared" si="1559"/>
        <v/>
      </c>
    </row>
    <row r="787" spans="2:28" x14ac:dyDescent="0.25">
      <c r="B787" s="65">
        <v>41829</v>
      </c>
      <c r="C787" s="66">
        <v>41829</v>
      </c>
      <c r="D787" s="68">
        <f t="shared" ref="D787:D788" si="1611">IF(B787&gt;0,MONTH(B787),"False")</f>
        <v>7</v>
      </c>
      <c r="E787" s="66" t="str">
        <f t="shared" ref="E787:E788" si="1612">YEAR(B787) &amp; CHOOSE(D787,"-Jan","-Feb","-Mar","-Apr","-May","-Jun","-Jul","-Aug","-Sep","-Oct","-Nov","-Dec")</f>
        <v>2014-Jul</v>
      </c>
      <c r="F787" s="68">
        <f t="shared" ref="F787:F788" si="1613">IF(C787&gt;0,MONTH(C787),"False")</f>
        <v>7</v>
      </c>
      <c r="G787" s="235" t="s">
        <v>93</v>
      </c>
      <c r="H787" s="235" t="s">
        <v>136</v>
      </c>
      <c r="J787" s="235" t="s">
        <v>77</v>
      </c>
      <c r="K787" s="235" t="s">
        <v>82</v>
      </c>
      <c r="L787" s="235" t="s">
        <v>79</v>
      </c>
      <c r="M787" s="1" t="s">
        <v>1473</v>
      </c>
      <c r="N787" s="235" t="s">
        <v>124</v>
      </c>
      <c r="O787" s="235" t="s">
        <v>114</v>
      </c>
      <c r="P787" s="64" t="s">
        <v>750</v>
      </c>
      <c r="R787" s="64" t="s">
        <v>1267</v>
      </c>
      <c r="S787" s="280" t="s">
        <v>104</v>
      </c>
      <c r="Y787" s="233" t="str">
        <f t="shared" si="1556"/>
        <v>Pass</v>
      </c>
      <c r="Z787" s="11" t="str">
        <f t="shared" si="1557"/>
        <v/>
      </c>
      <c r="AA787" s="233" t="str">
        <f t="shared" si="1558"/>
        <v/>
      </c>
      <c r="AB787" s="233" t="str">
        <f t="shared" si="1559"/>
        <v/>
      </c>
    </row>
    <row r="788" spans="2:28" x14ac:dyDescent="0.25">
      <c r="B788" s="66">
        <v>41830</v>
      </c>
      <c r="C788" s="66">
        <v>41830</v>
      </c>
      <c r="D788" s="68">
        <f t="shared" si="1611"/>
        <v>7</v>
      </c>
      <c r="E788" s="66" t="str">
        <f t="shared" si="1612"/>
        <v>2014-Jul</v>
      </c>
      <c r="F788" s="68">
        <f t="shared" si="1613"/>
        <v>7</v>
      </c>
      <c r="G788" s="240" t="s">
        <v>112</v>
      </c>
      <c r="H788" s="236" t="s">
        <v>28</v>
      </c>
      <c r="J788" s="236" t="s">
        <v>78</v>
      </c>
      <c r="K788" s="236" t="s">
        <v>78</v>
      </c>
      <c r="L788" s="236" t="s">
        <v>79</v>
      </c>
      <c r="M788" s="1" t="s">
        <v>1475</v>
      </c>
      <c r="N788" s="236" t="s">
        <v>124</v>
      </c>
      <c r="O788" s="236" t="s">
        <v>168</v>
      </c>
      <c r="R788" s="64" t="s">
        <v>308</v>
      </c>
      <c r="S788" s="240" t="s">
        <v>104</v>
      </c>
      <c r="T788" s="67" t="s">
        <v>110</v>
      </c>
      <c r="X788" s="240" t="s">
        <v>155</v>
      </c>
      <c r="Y788" s="233" t="str">
        <f t="shared" si="1556"/>
        <v>Pass</v>
      </c>
      <c r="Z788" s="11" t="str">
        <f t="shared" si="1557"/>
        <v/>
      </c>
      <c r="AA788" s="233" t="str">
        <f t="shared" si="1558"/>
        <v/>
      </c>
      <c r="AB788" s="233" t="str">
        <f t="shared" si="1559"/>
        <v/>
      </c>
    </row>
    <row r="789" spans="2:28" x14ac:dyDescent="0.25">
      <c r="B789" s="65">
        <v>41830</v>
      </c>
      <c r="C789" s="66">
        <v>41830</v>
      </c>
      <c r="D789" s="68">
        <f t="shared" ref="D789" si="1614">IF(B789&gt;0,MONTH(B789),"False")</f>
        <v>7</v>
      </c>
      <c r="E789" s="66" t="str">
        <f t="shared" ref="E789" si="1615">YEAR(B789) &amp; CHOOSE(D789,"-Jan","-Feb","-Mar","-Apr","-May","-Jun","-Jul","-Aug","-Sep","-Oct","-Nov","-Dec")</f>
        <v>2014-Jul</v>
      </c>
      <c r="F789" s="68">
        <f t="shared" ref="F789" si="1616">IF(C789&gt;0,MONTH(C789),"False")</f>
        <v>7</v>
      </c>
      <c r="G789" s="239" t="s">
        <v>121</v>
      </c>
      <c r="H789" s="236" t="s">
        <v>316</v>
      </c>
      <c r="J789" s="236" t="s">
        <v>77</v>
      </c>
      <c r="K789" s="236" t="s">
        <v>82</v>
      </c>
      <c r="L789" s="236" t="s">
        <v>79</v>
      </c>
      <c r="M789" s="1" t="s">
        <v>1476</v>
      </c>
      <c r="N789" s="236" t="s">
        <v>124</v>
      </c>
      <c r="O789" s="236" t="s">
        <v>285</v>
      </c>
      <c r="P789" s="64" t="s">
        <v>340</v>
      </c>
      <c r="R789" s="64" t="s">
        <v>705</v>
      </c>
      <c r="S789" s="239" t="s">
        <v>104</v>
      </c>
      <c r="T789" s="67" t="s">
        <v>110</v>
      </c>
      <c r="X789" s="239" t="s">
        <v>300</v>
      </c>
      <c r="Y789" s="233" t="str">
        <f t="shared" ref="Y789:Y810" si="1617">IF(Q789&gt;0,"Obsolete",IF(S789&gt;0,S789,"Unknown"))</f>
        <v>Pass</v>
      </c>
      <c r="Z789" s="11" t="str">
        <f t="shared" ref="Z789:Z810" si="1618">IF(Q789="Obsolete-LQA",C789,IF(Q789="Obsolete-IT",B789,""))</f>
        <v/>
      </c>
      <c r="AA789" s="233" t="str">
        <f t="shared" ref="AA789:AA810" si="1619">IFERROR(YEAR(Z789)&amp;" - "&amp; IF(LEN( WEEKNUM(Z789))=1,"0" &amp; WEEKNUM(Z789),WEEKNUM(Z789)),"")</f>
        <v/>
      </c>
      <c r="AB789" s="233" t="str">
        <f t="shared" ref="AB789:AB810" si="1620">IFERROR(YEAR(Z789),"")</f>
        <v/>
      </c>
    </row>
    <row r="790" spans="2:28" x14ac:dyDescent="0.25">
      <c r="B790" s="65">
        <v>41830</v>
      </c>
      <c r="C790" s="66">
        <v>41830</v>
      </c>
      <c r="D790" s="68">
        <f t="shared" ref="D790:D791" si="1621">IF(B790&gt;0,MONTH(B790),"False")</f>
        <v>7</v>
      </c>
      <c r="E790" s="66" t="str">
        <f t="shared" ref="E790:E791" si="1622">YEAR(B790) &amp; CHOOSE(D790,"-Jan","-Feb","-Mar","-Apr","-May","-Jun","-Jul","-Aug","-Sep","-Oct","-Nov","-Dec")</f>
        <v>2014-Jul</v>
      </c>
      <c r="F790" s="68">
        <f t="shared" ref="F790:F791" si="1623">IF(C790&gt;0,MONTH(C790),"False")</f>
        <v>7</v>
      </c>
      <c r="G790" s="236" t="s">
        <v>93</v>
      </c>
      <c r="H790" s="236" t="s">
        <v>136</v>
      </c>
      <c r="J790" s="236" t="s">
        <v>77</v>
      </c>
      <c r="K790" s="236" t="s">
        <v>82</v>
      </c>
      <c r="L790" s="236" t="s">
        <v>79</v>
      </c>
      <c r="M790" s="1" t="s">
        <v>1477</v>
      </c>
      <c r="N790" s="236" t="s">
        <v>124</v>
      </c>
      <c r="O790" s="236" t="s">
        <v>114</v>
      </c>
      <c r="P790" s="64" t="s">
        <v>750</v>
      </c>
      <c r="R790" s="64" t="s">
        <v>1267</v>
      </c>
      <c r="S790" s="280" t="s">
        <v>104</v>
      </c>
      <c r="Y790" s="233" t="str">
        <f t="shared" si="1617"/>
        <v>Pass</v>
      </c>
      <c r="Z790" s="11" t="str">
        <f t="shared" si="1618"/>
        <v/>
      </c>
      <c r="AA790" s="233" t="str">
        <f t="shared" si="1619"/>
        <v/>
      </c>
      <c r="AB790" s="233" t="str">
        <f t="shared" si="1620"/>
        <v/>
      </c>
    </row>
    <row r="791" spans="2:28" s="239" customFormat="1" x14ac:dyDescent="0.25">
      <c r="B791" s="66">
        <v>41831</v>
      </c>
      <c r="C791" s="66">
        <v>41831</v>
      </c>
      <c r="D791" s="68">
        <f t="shared" si="1621"/>
        <v>7</v>
      </c>
      <c r="E791" s="66" t="str">
        <f t="shared" si="1622"/>
        <v>2014-Jul</v>
      </c>
      <c r="F791" s="68">
        <f t="shared" si="1623"/>
        <v>7</v>
      </c>
      <c r="G791" s="239" t="s">
        <v>112</v>
      </c>
      <c r="H791" s="239" t="s">
        <v>103</v>
      </c>
      <c r="J791" s="239" t="s">
        <v>78</v>
      </c>
      <c r="K791" s="239" t="s">
        <v>78</v>
      </c>
      <c r="L791" s="239" t="s">
        <v>79</v>
      </c>
      <c r="M791" s="239" t="s">
        <v>1485</v>
      </c>
      <c r="N791" s="239" t="s">
        <v>124</v>
      </c>
      <c r="O791" s="239" t="s">
        <v>324</v>
      </c>
      <c r="P791" s="64"/>
      <c r="Q791" s="2"/>
      <c r="R791" s="64" t="s">
        <v>475</v>
      </c>
      <c r="S791" s="239" t="s">
        <v>104</v>
      </c>
      <c r="T791" s="67"/>
      <c r="X791" s="239" t="s">
        <v>159</v>
      </c>
      <c r="Y791" s="239" t="s">
        <v>104</v>
      </c>
      <c r="Z791" s="11"/>
    </row>
    <row r="792" spans="2:28" x14ac:dyDescent="0.25">
      <c r="B792" s="65">
        <v>41831</v>
      </c>
      <c r="C792" s="66">
        <v>41831</v>
      </c>
      <c r="D792" s="68">
        <f t="shared" ref="D792:D794" si="1624">IF(B792&gt;0,MONTH(B792),"False")</f>
        <v>7</v>
      </c>
      <c r="E792" s="66" t="str">
        <f t="shared" ref="E792:E794" si="1625">YEAR(B792) &amp; CHOOSE(D792,"-Jan","-Feb","-Mar","-Apr","-May","-Jun","-Jul","-Aug","-Sep","-Oct","-Nov","-Dec")</f>
        <v>2014-Jul</v>
      </c>
      <c r="F792" s="68">
        <f t="shared" ref="F792:F794" si="1626">IF(C792&gt;0,MONTH(C792),"False")</f>
        <v>7</v>
      </c>
      <c r="G792" s="239" t="s">
        <v>121</v>
      </c>
      <c r="H792" s="237" t="s">
        <v>316</v>
      </c>
      <c r="J792" s="237" t="s">
        <v>77</v>
      </c>
      <c r="K792" s="237" t="s">
        <v>82</v>
      </c>
      <c r="L792" s="237" t="s">
        <v>79</v>
      </c>
      <c r="M792" s="1" t="s">
        <v>1478</v>
      </c>
      <c r="N792" s="237" t="s">
        <v>124</v>
      </c>
      <c r="O792" s="237" t="s">
        <v>285</v>
      </c>
      <c r="P792" s="64" t="s">
        <v>340</v>
      </c>
      <c r="R792" s="64" t="s">
        <v>705</v>
      </c>
      <c r="S792" s="239" t="s">
        <v>104</v>
      </c>
      <c r="T792" s="67" t="s">
        <v>110</v>
      </c>
      <c r="X792" s="239" t="s">
        <v>300</v>
      </c>
      <c r="Y792" s="233" t="str">
        <f t="shared" si="1617"/>
        <v>Pass</v>
      </c>
      <c r="Z792" s="11" t="str">
        <f t="shared" si="1618"/>
        <v/>
      </c>
      <c r="AA792" s="233" t="str">
        <f t="shared" si="1619"/>
        <v/>
      </c>
      <c r="AB792" s="233" t="str">
        <f t="shared" si="1620"/>
        <v/>
      </c>
    </row>
    <row r="793" spans="2:28" x14ac:dyDescent="0.25">
      <c r="B793" s="66">
        <v>41834</v>
      </c>
      <c r="C793" s="66">
        <v>41834</v>
      </c>
      <c r="D793" s="68">
        <f t="shared" si="1624"/>
        <v>7</v>
      </c>
      <c r="E793" s="66" t="str">
        <f t="shared" si="1625"/>
        <v>2014-Jul</v>
      </c>
      <c r="F793" s="68">
        <f t="shared" si="1626"/>
        <v>7</v>
      </c>
      <c r="G793" s="238" t="s">
        <v>87</v>
      </c>
      <c r="H793" s="238" t="s">
        <v>28</v>
      </c>
      <c r="I793" s="238"/>
      <c r="J793" s="238" t="s">
        <v>78</v>
      </c>
      <c r="K793" s="238" t="s">
        <v>78</v>
      </c>
      <c r="L793" s="238" t="s">
        <v>79</v>
      </c>
      <c r="M793" s="238" t="s">
        <v>1479</v>
      </c>
      <c r="N793" s="238" t="s">
        <v>124</v>
      </c>
      <c r="O793" s="238" t="s">
        <v>168</v>
      </c>
      <c r="P793" s="238"/>
      <c r="R793" s="64" t="s">
        <v>308</v>
      </c>
      <c r="S793" s="238"/>
      <c r="Y793" s="233" t="str">
        <f t="shared" si="1617"/>
        <v>Unknown</v>
      </c>
      <c r="Z793" s="11" t="str">
        <f t="shared" si="1618"/>
        <v/>
      </c>
      <c r="AA793" s="233" t="str">
        <f t="shared" si="1619"/>
        <v/>
      </c>
      <c r="AB793" s="233" t="str">
        <f t="shared" si="1620"/>
        <v/>
      </c>
    </row>
    <row r="794" spans="2:28" x14ac:dyDescent="0.25">
      <c r="B794" s="65">
        <v>41834</v>
      </c>
      <c r="C794" s="66">
        <v>41834</v>
      </c>
      <c r="D794" s="68">
        <f t="shared" si="1624"/>
        <v>7</v>
      </c>
      <c r="E794" s="66" t="str">
        <f t="shared" si="1625"/>
        <v>2014-Jul</v>
      </c>
      <c r="F794" s="68">
        <f t="shared" si="1626"/>
        <v>7</v>
      </c>
      <c r="G794" s="239" t="s">
        <v>105</v>
      </c>
      <c r="H794" s="238" t="s">
        <v>136</v>
      </c>
      <c r="J794" s="238" t="s">
        <v>120</v>
      </c>
      <c r="K794" s="238" t="s">
        <v>82</v>
      </c>
      <c r="L794" s="238" t="s">
        <v>79</v>
      </c>
      <c r="M794" s="1" t="s">
        <v>1480</v>
      </c>
      <c r="N794" s="238" t="s">
        <v>124</v>
      </c>
      <c r="O794" s="238" t="s">
        <v>1368</v>
      </c>
      <c r="P794" s="64" t="s">
        <v>750</v>
      </c>
      <c r="R794" s="64" t="s">
        <v>1267</v>
      </c>
      <c r="S794" s="239" t="s">
        <v>104</v>
      </c>
      <c r="X794" s="239" t="s">
        <v>158</v>
      </c>
      <c r="Y794" s="233" t="str">
        <f t="shared" si="1617"/>
        <v>Pass</v>
      </c>
      <c r="Z794" s="11" t="str">
        <f t="shared" si="1618"/>
        <v/>
      </c>
      <c r="AA794" s="233" t="str">
        <f t="shared" si="1619"/>
        <v/>
      </c>
      <c r="AB794" s="233" t="str">
        <f t="shared" si="1620"/>
        <v/>
      </c>
    </row>
    <row r="795" spans="2:28" x14ac:dyDescent="0.25">
      <c r="B795" s="65">
        <v>41834</v>
      </c>
      <c r="C795" s="66">
        <v>41834</v>
      </c>
      <c r="D795" s="68">
        <f t="shared" ref="D795" si="1627">IF(B795&gt;0,MONTH(B795),"False")</f>
        <v>7</v>
      </c>
      <c r="E795" s="66" t="str">
        <f t="shared" ref="E795" si="1628">YEAR(B795) &amp; CHOOSE(D795,"-Jan","-Feb","-Mar","-Apr","-May","-Jun","-Jul","-Aug","-Sep","-Oct","-Nov","-Dec")</f>
        <v>2014-Jul</v>
      </c>
      <c r="F795" s="68">
        <f t="shared" ref="F795" si="1629">IF(C795&gt;0,MONTH(C795),"False")</f>
        <v>7</v>
      </c>
      <c r="G795" s="239" t="s">
        <v>121</v>
      </c>
      <c r="H795" s="238" t="s">
        <v>136</v>
      </c>
      <c r="I795" s="238"/>
      <c r="J795" s="238" t="s">
        <v>77</v>
      </c>
      <c r="K795" s="238" t="s">
        <v>82</v>
      </c>
      <c r="L795" s="238" t="s">
        <v>79</v>
      </c>
      <c r="M795" s="1" t="s">
        <v>1481</v>
      </c>
      <c r="N795" s="238" t="s">
        <v>124</v>
      </c>
      <c r="O795" s="238" t="s">
        <v>1368</v>
      </c>
      <c r="P795" s="64" t="s">
        <v>750</v>
      </c>
      <c r="R795" s="64" t="s">
        <v>1267</v>
      </c>
      <c r="S795" s="239" t="s">
        <v>104</v>
      </c>
      <c r="X795" s="239" t="s">
        <v>158</v>
      </c>
      <c r="Y795" s="233" t="str">
        <f t="shared" si="1617"/>
        <v>Pass</v>
      </c>
      <c r="Z795" s="11" t="str">
        <f t="shared" si="1618"/>
        <v/>
      </c>
      <c r="AA795" s="233" t="str">
        <f t="shared" si="1619"/>
        <v/>
      </c>
      <c r="AB795" s="233" t="str">
        <f t="shared" si="1620"/>
        <v/>
      </c>
    </row>
    <row r="796" spans="2:28" x14ac:dyDescent="0.25">
      <c r="B796" s="65">
        <v>41834</v>
      </c>
      <c r="C796" s="66">
        <v>41834</v>
      </c>
      <c r="D796" s="68">
        <f t="shared" ref="D796:D799" si="1630">IF(B796&gt;0,MONTH(B796),"False")</f>
        <v>7</v>
      </c>
      <c r="E796" s="66" t="str">
        <f t="shared" ref="E796:E799" si="1631">YEAR(B796) &amp; CHOOSE(D796,"-Jan","-Feb","-Mar","-Apr","-May","-Jun","-Jul","-Aug","-Sep","-Oct","-Nov","-Dec")</f>
        <v>2014-Jul</v>
      </c>
      <c r="F796" s="68">
        <f t="shared" ref="F796:F799" si="1632">IF(C796&gt;0,MONTH(C796),"False")</f>
        <v>7</v>
      </c>
      <c r="G796" s="239" t="s">
        <v>121</v>
      </c>
      <c r="H796" s="238" t="s">
        <v>166</v>
      </c>
      <c r="J796" s="238" t="s">
        <v>120</v>
      </c>
      <c r="K796" s="238" t="s">
        <v>82</v>
      </c>
      <c r="L796" s="238" t="s">
        <v>79</v>
      </c>
      <c r="M796" s="1" t="s">
        <v>1482</v>
      </c>
      <c r="N796" s="238" t="s">
        <v>124</v>
      </c>
      <c r="O796" s="238" t="s">
        <v>1368</v>
      </c>
      <c r="P796" s="64" t="s">
        <v>557</v>
      </c>
      <c r="R796" s="64" t="s">
        <v>594</v>
      </c>
      <c r="S796" s="239" t="s">
        <v>104</v>
      </c>
      <c r="X796" s="239" t="s">
        <v>158</v>
      </c>
      <c r="Y796" s="233" t="str">
        <f t="shared" si="1617"/>
        <v>Pass</v>
      </c>
      <c r="Z796" s="11" t="str">
        <f t="shared" si="1618"/>
        <v/>
      </c>
      <c r="AA796" s="233" t="str">
        <f t="shared" si="1619"/>
        <v/>
      </c>
      <c r="AB796" s="233" t="str">
        <f t="shared" si="1620"/>
        <v/>
      </c>
    </row>
    <row r="797" spans="2:28" s="241" customFormat="1" x14ac:dyDescent="0.25">
      <c r="B797" s="65">
        <v>41834</v>
      </c>
      <c r="C797" s="66">
        <v>41834</v>
      </c>
      <c r="D797" s="68">
        <f t="shared" si="1630"/>
        <v>7</v>
      </c>
      <c r="E797" s="66" t="str">
        <f t="shared" si="1631"/>
        <v>2014-Jul</v>
      </c>
      <c r="F797" s="68">
        <f t="shared" si="1632"/>
        <v>7</v>
      </c>
      <c r="G797" s="241" t="s">
        <v>121</v>
      </c>
      <c r="H797" s="241" t="s">
        <v>115</v>
      </c>
      <c r="J797" s="241" t="s">
        <v>77</v>
      </c>
      <c r="K797" s="241" t="s">
        <v>78</v>
      </c>
      <c r="L797" s="241" t="s">
        <v>79</v>
      </c>
      <c r="M797" s="241" t="s">
        <v>1495</v>
      </c>
      <c r="N797" s="241" t="s">
        <v>124</v>
      </c>
      <c r="O797" s="241" t="s">
        <v>332</v>
      </c>
      <c r="P797" s="64" t="s">
        <v>1262</v>
      </c>
      <c r="Q797" s="2"/>
      <c r="R797" s="64" t="s">
        <v>1261</v>
      </c>
      <c r="S797" s="241" t="s">
        <v>104</v>
      </c>
      <c r="T797" s="67"/>
      <c r="X797" s="241" t="s">
        <v>159</v>
      </c>
      <c r="Y797" s="241" t="str">
        <f t="shared" si="1617"/>
        <v>Pass</v>
      </c>
      <c r="Z797" s="11"/>
    </row>
    <row r="798" spans="2:28" x14ac:dyDescent="0.25">
      <c r="B798" s="66">
        <v>41834</v>
      </c>
      <c r="C798" s="66">
        <v>41834</v>
      </c>
      <c r="D798" s="68">
        <f t="shared" si="1630"/>
        <v>7</v>
      </c>
      <c r="E798" s="66" t="str">
        <f t="shared" si="1631"/>
        <v>2014-Jul</v>
      </c>
      <c r="F798" s="68">
        <f t="shared" si="1632"/>
        <v>7</v>
      </c>
      <c r="G798" s="239" t="s">
        <v>112</v>
      </c>
      <c r="H798" s="238" t="s">
        <v>103</v>
      </c>
      <c r="J798" s="238" t="s">
        <v>78</v>
      </c>
      <c r="K798" s="238" t="s">
        <v>78</v>
      </c>
      <c r="L798" s="238" t="s">
        <v>79</v>
      </c>
      <c r="M798" s="1" t="s">
        <v>1483</v>
      </c>
      <c r="N798" s="238" t="s">
        <v>124</v>
      </c>
      <c r="O798" s="238" t="s">
        <v>324</v>
      </c>
      <c r="R798" s="64" t="s">
        <v>475</v>
      </c>
      <c r="S798" s="239" t="s">
        <v>104</v>
      </c>
      <c r="X798" s="239" t="s">
        <v>159</v>
      </c>
      <c r="Y798" s="233" t="str">
        <f t="shared" si="1617"/>
        <v>Pass</v>
      </c>
      <c r="Z798" s="11" t="str">
        <f t="shared" si="1618"/>
        <v/>
      </c>
      <c r="AA798" s="233" t="str">
        <f t="shared" si="1619"/>
        <v/>
      </c>
      <c r="AB798" s="233" t="str">
        <f t="shared" si="1620"/>
        <v/>
      </c>
    </row>
    <row r="799" spans="2:28" x14ac:dyDescent="0.25">
      <c r="B799" s="65">
        <v>41835</v>
      </c>
      <c r="C799" s="66">
        <v>41835</v>
      </c>
      <c r="D799" s="68">
        <f t="shared" si="1630"/>
        <v>7</v>
      </c>
      <c r="E799" s="66" t="str">
        <f t="shared" si="1631"/>
        <v>2014-Jul</v>
      </c>
      <c r="F799" s="68">
        <f t="shared" si="1632"/>
        <v>7</v>
      </c>
      <c r="G799" s="239" t="s">
        <v>93</v>
      </c>
      <c r="H799" s="239" t="s">
        <v>136</v>
      </c>
      <c r="I799" s="239"/>
      <c r="J799" s="239" t="s">
        <v>77</v>
      </c>
      <c r="K799" s="239" t="s">
        <v>82</v>
      </c>
      <c r="L799" s="239" t="s">
        <v>79</v>
      </c>
      <c r="M799" s="1" t="s">
        <v>1484</v>
      </c>
      <c r="N799" s="239" t="s">
        <v>124</v>
      </c>
      <c r="O799" s="239" t="s">
        <v>1368</v>
      </c>
      <c r="P799" s="64" t="s">
        <v>750</v>
      </c>
      <c r="R799" s="64" t="s">
        <v>1267</v>
      </c>
      <c r="S799" s="280" t="s">
        <v>104</v>
      </c>
      <c r="Y799" s="233" t="str">
        <f t="shared" si="1617"/>
        <v>Pass</v>
      </c>
      <c r="Z799" s="11" t="str">
        <f t="shared" si="1618"/>
        <v/>
      </c>
      <c r="AA799" s="233" t="str">
        <f t="shared" si="1619"/>
        <v/>
      </c>
      <c r="AB799" s="233" t="str">
        <f t="shared" si="1620"/>
        <v/>
      </c>
    </row>
    <row r="800" spans="2:28" x14ac:dyDescent="0.25">
      <c r="B800" s="65">
        <v>41835</v>
      </c>
      <c r="C800" s="66">
        <v>41835</v>
      </c>
      <c r="D800" s="68">
        <f t="shared" ref="D800" si="1633">IF(B800&gt;0,MONTH(B800),"False")</f>
        <v>7</v>
      </c>
      <c r="E800" s="66" t="str">
        <f t="shared" ref="E800" si="1634">YEAR(B800) &amp; CHOOSE(D800,"-Jan","-Feb","-Mar","-Apr","-May","-Jun","-Jul","-Aug","-Sep","-Oct","-Nov","-Dec")</f>
        <v>2014-Jul</v>
      </c>
      <c r="F800" s="68">
        <f t="shared" ref="F800" si="1635">IF(C800&gt;0,MONTH(C800),"False")</f>
        <v>7</v>
      </c>
      <c r="G800" s="239" t="s">
        <v>121</v>
      </c>
      <c r="H800" s="239" t="s">
        <v>316</v>
      </c>
      <c r="J800" s="239" t="s">
        <v>77</v>
      </c>
      <c r="K800" s="239" t="s">
        <v>82</v>
      </c>
      <c r="L800" s="239" t="s">
        <v>79</v>
      </c>
      <c r="M800" s="1" t="s">
        <v>1486</v>
      </c>
      <c r="N800" s="239" t="s">
        <v>124</v>
      </c>
      <c r="O800" s="239" t="s">
        <v>285</v>
      </c>
      <c r="P800" s="64" t="s">
        <v>340</v>
      </c>
      <c r="R800" s="64" t="s">
        <v>705</v>
      </c>
      <c r="S800" s="239" t="s">
        <v>104</v>
      </c>
      <c r="X800" s="239" t="s">
        <v>300</v>
      </c>
      <c r="Y800" s="233" t="str">
        <f t="shared" si="1617"/>
        <v>Pass</v>
      </c>
      <c r="Z800" s="11" t="str">
        <f t="shared" si="1618"/>
        <v/>
      </c>
      <c r="AA800" s="233" t="str">
        <f t="shared" si="1619"/>
        <v/>
      </c>
      <c r="AB800" s="233" t="str">
        <f t="shared" si="1620"/>
        <v/>
      </c>
    </row>
    <row r="801" spans="2:28" x14ac:dyDescent="0.25">
      <c r="B801" s="66">
        <v>41835</v>
      </c>
      <c r="C801" s="66">
        <v>41835</v>
      </c>
      <c r="D801" s="68">
        <f t="shared" ref="D801:D802" si="1636">IF(B801&gt;0,MONTH(B801),"False")</f>
        <v>7</v>
      </c>
      <c r="E801" s="66" t="str">
        <f t="shared" ref="E801:E802" si="1637">YEAR(B801) &amp; CHOOSE(D801,"-Jan","-Feb","-Mar","-Apr","-May","-Jun","-Jul","-Aug","-Sep","-Oct","-Nov","-Dec")</f>
        <v>2014-Jul</v>
      </c>
      <c r="F801" s="68">
        <f t="shared" ref="F801:F802" si="1638">IF(C801&gt;0,MONTH(C801),"False")</f>
        <v>7</v>
      </c>
      <c r="G801" s="239" t="s">
        <v>87</v>
      </c>
      <c r="H801" s="239" t="s">
        <v>166</v>
      </c>
      <c r="J801" s="239" t="s">
        <v>150</v>
      </c>
      <c r="K801" s="239" t="s">
        <v>84</v>
      </c>
      <c r="L801" s="239" t="s">
        <v>83</v>
      </c>
      <c r="M801" s="1" t="s">
        <v>1487</v>
      </c>
      <c r="N801" s="239" t="s">
        <v>124</v>
      </c>
      <c r="O801" s="239" t="s">
        <v>325</v>
      </c>
      <c r="R801" s="64" t="s">
        <v>1488</v>
      </c>
      <c r="T801" s="67" t="s">
        <v>110</v>
      </c>
      <c r="Y801" s="233" t="str">
        <f t="shared" si="1617"/>
        <v>Unknown</v>
      </c>
      <c r="Z801" s="11" t="str">
        <f t="shared" si="1618"/>
        <v/>
      </c>
      <c r="AA801" s="233" t="str">
        <f t="shared" si="1619"/>
        <v/>
      </c>
      <c r="AB801" s="233" t="str">
        <f t="shared" si="1620"/>
        <v/>
      </c>
    </row>
    <row r="802" spans="2:28" x14ac:dyDescent="0.25">
      <c r="B802" s="65">
        <v>41836</v>
      </c>
      <c r="C802" s="66">
        <v>41836</v>
      </c>
      <c r="D802" s="68">
        <f t="shared" si="1636"/>
        <v>7</v>
      </c>
      <c r="E802" s="66" t="str">
        <f t="shared" si="1637"/>
        <v>2014-Jul</v>
      </c>
      <c r="F802" s="68">
        <f t="shared" si="1638"/>
        <v>7</v>
      </c>
      <c r="G802" s="240" t="s">
        <v>93</v>
      </c>
      <c r="H802" s="240" t="s">
        <v>136</v>
      </c>
      <c r="I802" s="240"/>
      <c r="J802" s="240" t="s">
        <v>77</v>
      </c>
      <c r="K802" s="240" t="s">
        <v>82</v>
      </c>
      <c r="L802" s="240" t="s">
        <v>79</v>
      </c>
      <c r="M802" s="1" t="s">
        <v>1489</v>
      </c>
      <c r="N802" s="240" t="s">
        <v>124</v>
      </c>
      <c r="O802" s="240" t="s">
        <v>114</v>
      </c>
      <c r="P802" s="64" t="s">
        <v>750</v>
      </c>
      <c r="Q802" s="2" t="s">
        <v>88</v>
      </c>
      <c r="R802" s="64" t="s">
        <v>1267</v>
      </c>
      <c r="Y802" s="233" t="str">
        <f t="shared" si="1617"/>
        <v>Obsolete</v>
      </c>
      <c r="Z802" s="11">
        <f t="shared" si="1618"/>
        <v>41836</v>
      </c>
      <c r="AA802" s="233" t="str">
        <f t="shared" si="1619"/>
        <v>2014 - 29</v>
      </c>
      <c r="AB802" s="233">
        <f t="shared" si="1620"/>
        <v>2014</v>
      </c>
    </row>
    <row r="803" spans="2:28" x14ac:dyDescent="0.25">
      <c r="B803" s="65">
        <v>41836</v>
      </c>
      <c r="C803" s="66">
        <v>41836</v>
      </c>
      <c r="D803" s="68">
        <f t="shared" ref="D803:D804" si="1639">IF(B803&gt;0,MONTH(B803),"False")</f>
        <v>7</v>
      </c>
      <c r="E803" s="66" t="str">
        <f t="shared" ref="E803:E804" si="1640">YEAR(B803) &amp; CHOOSE(D803,"-Jan","-Feb","-Mar","-Apr","-May","-Jun","-Jul","-Aug","-Sep","-Oct","-Nov","-Dec")</f>
        <v>2014-Jul</v>
      </c>
      <c r="F803" s="68">
        <f t="shared" ref="F803:F804" si="1641">IF(C803&gt;0,MONTH(C803),"False")</f>
        <v>7</v>
      </c>
      <c r="G803" s="240" t="s">
        <v>93</v>
      </c>
      <c r="H803" s="240" t="s">
        <v>136</v>
      </c>
      <c r="J803" s="240" t="s">
        <v>119</v>
      </c>
      <c r="K803" s="240" t="s">
        <v>119</v>
      </c>
      <c r="L803" s="240" t="s">
        <v>83</v>
      </c>
      <c r="M803" s="1" t="s">
        <v>1490</v>
      </c>
      <c r="N803" s="240" t="s">
        <v>124</v>
      </c>
      <c r="O803" s="240" t="s">
        <v>507</v>
      </c>
      <c r="P803" s="64" t="s">
        <v>1394</v>
      </c>
      <c r="R803" s="64" t="s">
        <v>784</v>
      </c>
      <c r="Y803" s="233" t="str">
        <f t="shared" si="1617"/>
        <v>Unknown</v>
      </c>
      <c r="Z803" s="11" t="str">
        <f t="shared" si="1618"/>
        <v/>
      </c>
      <c r="AA803" s="233" t="str">
        <f t="shared" si="1619"/>
        <v/>
      </c>
      <c r="AB803" s="233" t="str">
        <f t="shared" si="1620"/>
        <v/>
      </c>
    </row>
    <row r="804" spans="2:28" x14ac:dyDescent="0.25">
      <c r="B804" s="66">
        <v>41836</v>
      </c>
      <c r="C804" s="66">
        <v>41836</v>
      </c>
      <c r="D804" s="68">
        <f t="shared" si="1639"/>
        <v>7</v>
      </c>
      <c r="E804" s="66" t="str">
        <f t="shared" si="1640"/>
        <v>2014-Jul</v>
      </c>
      <c r="F804" s="68">
        <f t="shared" si="1641"/>
        <v>7</v>
      </c>
      <c r="G804" s="240" t="s">
        <v>87</v>
      </c>
      <c r="H804" s="240" t="s">
        <v>166</v>
      </c>
      <c r="J804" s="240" t="s">
        <v>98</v>
      </c>
      <c r="K804" s="240" t="s">
        <v>84</v>
      </c>
      <c r="L804" s="240" t="s">
        <v>79</v>
      </c>
      <c r="M804" s="1" t="s">
        <v>1491</v>
      </c>
      <c r="N804" s="240" t="s">
        <v>124</v>
      </c>
      <c r="O804" s="240" t="s">
        <v>156</v>
      </c>
      <c r="R804" s="64" t="s">
        <v>1353</v>
      </c>
      <c r="T804" s="67" t="s">
        <v>110</v>
      </c>
      <c r="Y804" s="233" t="str">
        <f t="shared" si="1617"/>
        <v>Unknown</v>
      </c>
      <c r="Z804" s="11" t="str">
        <f t="shared" si="1618"/>
        <v/>
      </c>
      <c r="AA804" s="233" t="str">
        <f t="shared" si="1619"/>
        <v/>
      </c>
      <c r="AB804" s="233" t="str">
        <f t="shared" si="1620"/>
        <v/>
      </c>
    </row>
    <row r="805" spans="2:28" x14ac:dyDescent="0.25">
      <c r="B805" s="65">
        <v>41836</v>
      </c>
      <c r="C805" s="66">
        <v>41836</v>
      </c>
      <c r="D805" s="68">
        <f t="shared" ref="D805" si="1642">IF(B805&gt;0,MONTH(B805),"False")</f>
        <v>7</v>
      </c>
      <c r="E805" s="66" t="str">
        <f t="shared" ref="E805" si="1643">YEAR(B805) &amp; CHOOSE(D805,"-Jan","-Feb","-Mar","-Apr","-May","-Jun","-Jul","-Aug","-Sep","-Oct","-Nov","-Dec")</f>
        <v>2014-Jul</v>
      </c>
      <c r="F805" s="68">
        <f t="shared" ref="F805" si="1644">IF(C805&gt;0,MONTH(C805),"False")</f>
        <v>7</v>
      </c>
      <c r="G805" s="253" t="s">
        <v>121</v>
      </c>
      <c r="H805" s="240" t="s">
        <v>28</v>
      </c>
      <c r="J805" s="240" t="s">
        <v>77</v>
      </c>
      <c r="K805" s="240" t="s">
        <v>82</v>
      </c>
      <c r="L805" s="240" t="s">
        <v>79</v>
      </c>
      <c r="M805" s="1" t="s">
        <v>1492</v>
      </c>
      <c r="N805" s="240" t="s">
        <v>124</v>
      </c>
      <c r="O805" s="240" t="s">
        <v>162</v>
      </c>
      <c r="P805" s="64" t="s">
        <v>334</v>
      </c>
      <c r="R805" s="64" t="s">
        <v>335</v>
      </c>
      <c r="S805" s="253" t="s">
        <v>104</v>
      </c>
      <c r="X805" s="253" t="s">
        <v>155</v>
      </c>
      <c r="Y805" s="233" t="str">
        <f t="shared" si="1617"/>
        <v>Pass</v>
      </c>
      <c r="Z805" s="11" t="str">
        <f t="shared" si="1618"/>
        <v/>
      </c>
      <c r="AA805" s="233" t="str">
        <f t="shared" si="1619"/>
        <v/>
      </c>
      <c r="AB805" s="233" t="str">
        <f t="shared" si="1620"/>
        <v/>
      </c>
    </row>
    <row r="806" spans="2:28" x14ac:dyDescent="0.25">
      <c r="B806" s="65">
        <v>41836</v>
      </c>
      <c r="C806" s="66">
        <v>41837</v>
      </c>
      <c r="D806" s="68">
        <f t="shared" ref="D806:D808" si="1645">IF(B806&gt;0,MONTH(B806),"False")</f>
        <v>7</v>
      </c>
      <c r="E806" s="66" t="str">
        <f t="shared" ref="E806:E808" si="1646">YEAR(B806) &amp; CHOOSE(D806,"-Jan","-Feb","-Mar","-Apr","-May","-Jun","-Jul","-Aug","-Sep","-Oct","-Nov","-Dec")</f>
        <v>2014-Jul</v>
      </c>
      <c r="F806" s="68">
        <f t="shared" ref="F806:F808" si="1647">IF(C806&gt;0,MONTH(C806),"False")</f>
        <v>7</v>
      </c>
      <c r="G806" s="240" t="s">
        <v>75</v>
      </c>
      <c r="H806" s="240" t="s">
        <v>166</v>
      </c>
      <c r="J806" s="240" t="s">
        <v>77</v>
      </c>
      <c r="K806" s="240" t="s">
        <v>82</v>
      </c>
      <c r="L806" s="240" t="s">
        <v>79</v>
      </c>
      <c r="M806" s="1" t="s">
        <v>1493</v>
      </c>
      <c r="N806" s="240" t="s">
        <v>124</v>
      </c>
      <c r="O806" s="240" t="s">
        <v>147</v>
      </c>
      <c r="P806" s="64" t="s">
        <v>319</v>
      </c>
      <c r="R806" s="64" t="s">
        <v>320</v>
      </c>
      <c r="Y806" s="233" t="str">
        <f t="shared" si="1617"/>
        <v>Unknown</v>
      </c>
      <c r="Z806" s="11" t="str">
        <f t="shared" si="1618"/>
        <v/>
      </c>
      <c r="AA806" s="233" t="str">
        <f t="shared" si="1619"/>
        <v/>
      </c>
      <c r="AB806" s="233" t="str">
        <f t="shared" si="1620"/>
        <v/>
      </c>
    </row>
    <row r="807" spans="2:28" x14ac:dyDescent="0.25">
      <c r="B807" s="65">
        <v>41836</v>
      </c>
      <c r="C807" s="66">
        <v>41836</v>
      </c>
      <c r="D807" s="68">
        <f t="shared" si="1645"/>
        <v>7</v>
      </c>
      <c r="E807" s="66" t="str">
        <f t="shared" si="1646"/>
        <v>2014-Jul</v>
      </c>
      <c r="F807" s="68">
        <f t="shared" si="1647"/>
        <v>7</v>
      </c>
      <c r="G807" s="245" t="s">
        <v>105</v>
      </c>
      <c r="H807" s="240" t="s">
        <v>280</v>
      </c>
      <c r="J807" s="240" t="s">
        <v>77</v>
      </c>
      <c r="K807" s="240" t="s">
        <v>82</v>
      </c>
      <c r="L807" s="240" t="s">
        <v>79</v>
      </c>
      <c r="M807" s="1" t="s">
        <v>1494</v>
      </c>
      <c r="N807" s="240" t="s">
        <v>124</v>
      </c>
      <c r="O807" s="240" t="s">
        <v>286</v>
      </c>
      <c r="P807" s="64" t="s">
        <v>305</v>
      </c>
      <c r="R807" s="64" t="s">
        <v>1108</v>
      </c>
      <c r="S807" s="245" t="s">
        <v>104</v>
      </c>
      <c r="X807" s="245" t="s">
        <v>544</v>
      </c>
      <c r="Y807" s="233" t="str">
        <f t="shared" si="1617"/>
        <v>Pass</v>
      </c>
      <c r="Z807" s="11" t="str">
        <f t="shared" si="1618"/>
        <v/>
      </c>
      <c r="AA807" s="233" t="str">
        <f t="shared" si="1619"/>
        <v/>
      </c>
      <c r="AB807" s="233" t="str">
        <f t="shared" si="1620"/>
        <v/>
      </c>
    </row>
    <row r="808" spans="2:28" x14ac:dyDescent="0.25">
      <c r="B808" s="66">
        <v>41837</v>
      </c>
      <c r="C808" s="66">
        <v>41837</v>
      </c>
      <c r="D808" s="68">
        <f t="shared" si="1645"/>
        <v>7</v>
      </c>
      <c r="E808" s="66" t="str">
        <f t="shared" si="1646"/>
        <v>2014-Jul</v>
      </c>
      <c r="F808" s="68">
        <f t="shared" si="1647"/>
        <v>7</v>
      </c>
      <c r="G808" s="243" t="s">
        <v>126</v>
      </c>
      <c r="H808" s="242" t="s">
        <v>280</v>
      </c>
      <c r="J808" s="242" t="s">
        <v>78</v>
      </c>
      <c r="K808" s="242" t="s">
        <v>78</v>
      </c>
      <c r="L808" s="242" t="s">
        <v>79</v>
      </c>
      <c r="M808" s="1" t="s">
        <v>1496</v>
      </c>
      <c r="N808" s="242" t="s">
        <v>124</v>
      </c>
      <c r="O808" s="242" t="s">
        <v>304</v>
      </c>
      <c r="R808" s="64" t="s">
        <v>344</v>
      </c>
      <c r="S808" s="243" t="s">
        <v>104</v>
      </c>
      <c r="X808" s="243" t="s">
        <v>544</v>
      </c>
      <c r="Y808" s="233" t="str">
        <f t="shared" si="1617"/>
        <v>Pass</v>
      </c>
      <c r="Z808" s="11" t="str">
        <f t="shared" si="1618"/>
        <v/>
      </c>
      <c r="AA808" s="233" t="str">
        <f t="shared" si="1619"/>
        <v/>
      </c>
      <c r="AB808" s="233" t="str">
        <f t="shared" si="1620"/>
        <v/>
      </c>
    </row>
    <row r="809" spans="2:28" x14ac:dyDescent="0.25">
      <c r="B809" s="65">
        <v>41837</v>
      </c>
      <c r="C809" s="66">
        <v>41837</v>
      </c>
      <c r="D809" s="68">
        <f t="shared" ref="D809" si="1648">IF(B809&gt;0,MONTH(B809),"False")</f>
        <v>7</v>
      </c>
      <c r="E809" s="66" t="str">
        <f t="shared" ref="E809" si="1649">YEAR(B809) &amp; CHOOSE(D809,"-Jan","-Feb","-Mar","-Apr","-May","-Jun","-Jul","-Aug","-Sep","-Oct","-Nov","-Dec")</f>
        <v>2014-Jul</v>
      </c>
      <c r="F809" s="68">
        <f t="shared" ref="F809" si="1650">IF(C809&gt;0,MONTH(C809),"False")</f>
        <v>7</v>
      </c>
      <c r="G809" s="242" t="s">
        <v>93</v>
      </c>
      <c r="H809" s="242" t="s">
        <v>136</v>
      </c>
      <c r="J809" s="242" t="s">
        <v>77</v>
      </c>
      <c r="K809" s="242" t="s">
        <v>82</v>
      </c>
      <c r="L809" s="242" t="s">
        <v>79</v>
      </c>
      <c r="M809" s="1" t="s">
        <v>1497</v>
      </c>
      <c r="N809" s="242" t="s">
        <v>124</v>
      </c>
      <c r="O809" s="242" t="s">
        <v>353</v>
      </c>
      <c r="P809" s="64" t="s">
        <v>750</v>
      </c>
      <c r="R809" s="64" t="s">
        <v>1267</v>
      </c>
      <c r="S809" s="280" t="s">
        <v>104</v>
      </c>
      <c r="Y809" s="233" t="str">
        <f t="shared" si="1617"/>
        <v>Pass</v>
      </c>
      <c r="Z809" s="11" t="str">
        <f t="shared" si="1618"/>
        <v/>
      </c>
      <c r="AA809" s="233" t="str">
        <f t="shared" si="1619"/>
        <v/>
      </c>
      <c r="AB809" s="233" t="str">
        <f t="shared" si="1620"/>
        <v/>
      </c>
    </row>
    <row r="810" spans="2:28" x14ac:dyDescent="0.25">
      <c r="B810" s="65">
        <v>41837</v>
      </c>
      <c r="C810" s="66">
        <v>41837</v>
      </c>
      <c r="D810" s="68">
        <f t="shared" ref="D810" si="1651">IF(B810&gt;0,MONTH(B810),"False")</f>
        <v>7</v>
      </c>
      <c r="E810" s="66" t="str">
        <f t="shared" ref="E810" si="1652">YEAR(B810) &amp; CHOOSE(D810,"-Jan","-Feb","-Mar","-Apr","-May","-Jun","-Jul","-Aug","-Sep","-Oct","-Nov","-Dec")</f>
        <v>2014-Jul</v>
      </c>
      <c r="F810" s="68">
        <f t="shared" ref="F810" si="1653">IF(C810&gt;0,MONTH(C810),"False")</f>
        <v>7</v>
      </c>
      <c r="G810" s="242" t="s">
        <v>93</v>
      </c>
      <c r="H810" s="242" t="s">
        <v>136</v>
      </c>
      <c r="I810" s="242"/>
      <c r="J810" s="242" t="s">
        <v>77</v>
      </c>
      <c r="K810" s="242" t="s">
        <v>82</v>
      </c>
      <c r="L810" s="242" t="s">
        <v>79</v>
      </c>
      <c r="M810" s="1" t="s">
        <v>1498</v>
      </c>
      <c r="N810" s="242" t="s">
        <v>124</v>
      </c>
      <c r="O810" s="242" t="s">
        <v>114</v>
      </c>
      <c r="P810" s="64" t="s">
        <v>750</v>
      </c>
      <c r="Q810" s="2" t="s">
        <v>88</v>
      </c>
      <c r="R810" s="64" t="s">
        <v>1267</v>
      </c>
      <c r="Y810" s="233" t="str">
        <f t="shared" si="1617"/>
        <v>Obsolete</v>
      </c>
      <c r="Z810" s="11">
        <f t="shared" si="1618"/>
        <v>41837</v>
      </c>
      <c r="AA810" s="233" t="str">
        <f t="shared" si="1619"/>
        <v>2014 - 29</v>
      </c>
      <c r="AB810" s="233">
        <f t="shared" si="1620"/>
        <v>2014</v>
      </c>
    </row>
    <row r="811" spans="2:28" x14ac:dyDescent="0.25">
      <c r="B811" s="65">
        <v>41837</v>
      </c>
      <c r="C811" s="66">
        <v>41837</v>
      </c>
      <c r="D811" s="68">
        <f t="shared" ref="D811:D812" si="1654">IF(B811&gt;0,MONTH(B811),"False")</f>
        <v>7</v>
      </c>
      <c r="E811" s="66" t="str">
        <f t="shared" ref="E811:E812" si="1655">YEAR(B811) &amp; CHOOSE(D811,"-Jan","-Feb","-Mar","-Apr","-May","-Jun","-Jul","-Aug","-Sep","-Oct","-Nov","-Dec")</f>
        <v>2014-Jul</v>
      </c>
      <c r="F811" s="68">
        <f t="shared" ref="F811:F812" si="1656">IF(C811&gt;0,MONTH(C811),"False")</f>
        <v>7</v>
      </c>
      <c r="G811" s="243" t="s">
        <v>105</v>
      </c>
      <c r="H811" s="242" t="s">
        <v>136</v>
      </c>
      <c r="I811" s="242"/>
      <c r="J811" s="242" t="s">
        <v>77</v>
      </c>
      <c r="K811" s="242" t="s">
        <v>82</v>
      </c>
      <c r="L811" s="242" t="s">
        <v>79</v>
      </c>
      <c r="M811" s="1" t="s">
        <v>1499</v>
      </c>
      <c r="N811" s="242" t="s">
        <v>124</v>
      </c>
      <c r="O811" s="242" t="s">
        <v>507</v>
      </c>
      <c r="P811" s="64" t="s">
        <v>750</v>
      </c>
      <c r="R811" s="64" t="s">
        <v>1267</v>
      </c>
      <c r="S811" s="243" t="s">
        <v>104</v>
      </c>
      <c r="X811" s="243" t="s">
        <v>159</v>
      </c>
      <c r="Y811" s="243" t="str">
        <f t="shared" ref="Y811:Y819" si="1657">IF(Q811&gt;0,"Obsolete",IF(S811&gt;0,S811,"Unknown"))</f>
        <v>Pass</v>
      </c>
      <c r="Z811" s="11" t="str">
        <f t="shared" ref="Z811:Z819" si="1658">IF(Q811="Obsolete-LQA",C811,IF(Q811="Obsolete-IT",B811,""))</f>
        <v/>
      </c>
      <c r="AA811" s="243" t="str">
        <f t="shared" ref="AA811:AA819" si="1659">IFERROR(YEAR(Z811)&amp;" - "&amp; IF(LEN( WEEKNUM(Z811))=1,"0" &amp; WEEKNUM(Z811),WEEKNUM(Z811)),"")</f>
        <v/>
      </c>
      <c r="AB811" s="243" t="str">
        <f t="shared" ref="AB811:AB819" si="1660">IFERROR(YEAR(Z811),"")</f>
        <v/>
      </c>
    </row>
    <row r="812" spans="2:28" x14ac:dyDescent="0.25">
      <c r="B812" s="66">
        <v>41838</v>
      </c>
      <c r="C812" s="66">
        <v>41838</v>
      </c>
      <c r="D812" s="68">
        <f t="shared" si="1654"/>
        <v>7</v>
      </c>
      <c r="E812" s="66" t="str">
        <f t="shared" si="1655"/>
        <v>2014-Jul</v>
      </c>
      <c r="F812" s="68">
        <f t="shared" si="1656"/>
        <v>7</v>
      </c>
      <c r="G812" s="243" t="s">
        <v>87</v>
      </c>
      <c r="H812" s="243" t="s">
        <v>166</v>
      </c>
      <c r="J812" s="243" t="s">
        <v>149</v>
      </c>
      <c r="K812" s="243" t="s">
        <v>84</v>
      </c>
      <c r="L812" s="243" t="s">
        <v>79</v>
      </c>
      <c r="M812" s="1" t="s">
        <v>1500</v>
      </c>
      <c r="N812" s="243" t="s">
        <v>124</v>
      </c>
      <c r="O812" s="243" t="s">
        <v>350</v>
      </c>
      <c r="R812" s="64" t="s">
        <v>1501</v>
      </c>
      <c r="Y812" s="243" t="str">
        <f t="shared" si="1657"/>
        <v>Unknown</v>
      </c>
      <c r="Z812" s="11" t="str">
        <f t="shared" si="1658"/>
        <v/>
      </c>
      <c r="AA812" s="243" t="str">
        <f t="shared" si="1659"/>
        <v/>
      </c>
      <c r="AB812" s="243" t="str">
        <f t="shared" si="1660"/>
        <v/>
      </c>
    </row>
    <row r="813" spans="2:28" x14ac:dyDescent="0.25">
      <c r="B813" s="65">
        <v>41838</v>
      </c>
      <c r="C813" s="66">
        <v>41838</v>
      </c>
      <c r="D813" s="68">
        <f t="shared" ref="D813:D814" si="1661">IF(B813&gt;0,MONTH(B813),"False")</f>
        <v>7</v>
      </c>
      <c r="E813" s="66" t="str">
        <f t="shared" ref="E813:E814" si="1662">YEAR(B813) &amp; CHOOSE(D813,"-Jan","-Feb","-Mar","-Apr","-May","-Jun","-Jul","-Aug","-Sep","-Oct","-Nov","-Dec")</f>
        <v>2014-Jul</v>
      </c>
      <c r="F813" s="68">
        <f t="shared" ref="F813:F814" si="1663">IF(C813&gt;0,MONTH(C813),"False")</f>
        <v>7</v>
      </c>
      <c r="G813" s="258" t="s">
        <v>121</v>
      </c>
      <c r="H813" s="243" t="s">
        <v>136</v>
      </c>
      <c r="J813" s="243" t="s">
        <v>77</v>
      </c>
      <c r="K813" s="243" t="s">
        <v>82</v>
      </c>
      <c r="L813" s="243" t="s">
        <v>79</v>
      </c>
      <c r="M813" s="1" t="s">
        <v>1502</v>
      </c>
      <c r="N813" s="243" t="s">
        <v>124</v>
      </c>
      <c r="O813" s="243" t="s">
        <v>114</v>
      </c>
      <c r="P813" s="64" t="s">
        <v>750</v>
      </c>
      <c r="R813" s="64" t="s">
        <v>1267</v>
      </c>
      <c r="S813" s="258" t="s">
        <v>104</v>
      </c>
      <c r="X813" s="258" t="s">
        <v>159</v>
      </c>
      <c r="Y813" s="243" t="str">
        <f t="shared" si="1657"/>
        <v>Pass</v>
      </c>
      <c r="Z813" s="11" t="str">
        <f t="shared" si="1658"/>
        <v/>
      </c>
      <c r="AA813" s="243" t="str">
        <f t="shared" si="1659"/>
        <v/>
      </c>
      <c r="AB813" s="243" t="str">
        <f t="shared" si="1660"/>
        <v/>
      </c>
    </row>
    <row r="814" spans="2:28" x14ac:dyDescent="0.25">
      <c r="B814" s="66">
        <v>41838</v>
      </c>
      <c r="C814" s="66">
        <v>41838</v>
      </c>
      <c r="D814" s="68">
        <f t="shared" si="1661"/>
        <v>7</v>
      </c>
      <c r="E814" s="66" t="str">
        <f t="shared" si="1662"/>
        <v>2014-Jul</v>
      </c>
      <c r="F814" s="68">
        <f t="shared" si="1663"/>
        <v>7</v>
      </c>
      <c r="G814" s="243" t="s">
        <v>87</v>
      </c>
      <c r="H814" s="243" t="s">
        <v>136</v>
      </c>
      <c r="J814" s="243" t="s">
        <v>98</v>
      </c>
      <c r="K814" s="243" t="s">
        <v>84</v>
      </c>
      <c r="L814" s="243" t="s">
        <v>79</v>
      </c>
      <c r="M814" s="1" t="s">
        <v>1503</v>
      </c>
      <c r="N814" s="243" t="s">
        <v>124</v>
      </c>
      <c r="O814" s="243" t="s">
        <v>156</v>
      </c>
      <c r="R814" s="64" t="s">
        <v>1342</v>
      </c>
      <c r="Y814" s="243" t="str">
        <f t="shared" si="1657"/>
        <v>Unknown</v>
      </c>
      <c r="Z814" s="11" t="str">
        <f t="shared" si="1658"/>
        <v/>
      </c>
      <c r="AA814" s="243" t="str">
        <f t="shared" si="1659"/>
        <v/>
      </c>
      <c r="AB814" s="243" t="str">
        <f t="shared" si="1660"/>
        <v/>
      </c>
    </row>
    <row r="815" spans="2:28" x14ac:dyDescent="0.25">
      <c r="B815" s="65">
        <v>41838</v>
      </c>
      <c r="C815" s="66">
        <v>41838</v>
      </c>
      <c r="D815" s="68">
        <f t="shared" ref="D815" si="1664">IF(B815&gt;0,MONTH(B815),"False")</f>
        <v>7</v>
      </c>
      <c r="E815" s="66" t="str">
        <f t="shared" ref="E815" si="1665">YEAR(B815) &amp; CHOOSE(D815,"-Jan","-Feb","-Mar","-Apr","-May","-Jun","-Jul","-Aug","-Sep","-Oct","-Nov","-Dec")</f>
        <v>2014-Jul</v>
      </c>
      <c r="F815" s="68">
        <f t="shared" ref="F815" si="1666">IF(C815&gt;0,MONTH(C815),"False")</f>
        <v>7</v>
      </c>
      <c r="G815" s="243" t="s">
        <v>93</v>
      </c>
      <c r="H815" s="243" t="s">
        <v>136</v>
      </c>
      <c r="I815" s="243"/>
      <c r="J815" s="243" t="s">
        <v>77</v>
      </c>
      <c r="K815" s="243" t="s">
        <v>82</v>
      </c>
      <c r="L815" s="243" t="s">
        <v>79</v>
      </c>
      <c r="M815" s="243" t="s">
        <v>1504</v>
      </c>
      <c r="N815" s="243" t="s">
        <v>124</v>
      </c>
      <c r="O815" s="243" t="s">
        <v>285</v>
      </c>
      <c r="P815" s="64" t="s">
        <v>750</v>
      </c>
      <c r="R815" s="64" t="s">
        <v>1267</v>
      </c>
      <c r="S815" s="280" t="s">
        <v>104</v>
      </c>
      <c r="Y815" s="243" t="str">
        <f t="shared" si="1657"/>
        <v>Pass</v>
      </c>
      <c r="Z815" s="11" t="str">
        <f t="shared" si="1658"/>
        <v/>
      </c>
      <c r="AA815" s="243" t="str">
        <f t="shared" si="1659"/>
        <v/>
      </c>
      <c r="AB815" s="243" t="str">
        <f t="shared" si="1660"/>
        <v/>
      </c>
    </row>
    <row r="816" spans="2:28" x14ac:dyDescent="0.25">
      <c r="B816" s="65">
        <v>41838</v>
      </c>
      <c r="C816" s="66">
        <v>41838</v>
      </c>
      <c r="D816" s="68">
        <f t="shared" ref="D816" si="1667">IF(B816&gt;0,MONTH(B816),"False")</f>
        <v>7</v>
      </c>
      <c r="E816" s="66" t="str">
        <f t="shared" ref="E816" si="1668">YEAR(B816) &amp; CHOOSE(D816,"-Jan","-Feb","-Mar","-Apr","-May","-Jun","-Jul","-Aug","-Sep","-Oct","-Nov","-Dec")</f>
        <v>2014-Jul</v>
      </c>
      <c r="F816" s="68">
        <f t="shared" ref="F816" si="1669">IF(C816&gt;0,MONTH(C816),"False")</f>
        <v>7</v>
      </c>
      <c r="G816" s="243" t="s">
        <v>121</v>
      </c>
      <c r="H816" s="243" t="s">
        <v>136</v>
      </c>
      <c r="I816" s="243"/>
      <c r="J816" s="243" t="s">
        <v>77</v>
      </c>
      <c r="K816" s="243" t="s">
        <v>82</v>
      </c>
      <c r="L816" s="243" t="s">
        <v>79</v>
      </c>
      <c r="M816" s="243" t="s">
        <v>1505</v>
      </c>
      <c r="N816" s="243" t="s">
        <v>124</v>
      </c>
      <c r="O816" s="243" t="s">
        <v>1368</v>
      </c>
      <c r="P816" s="64" t="s">
        <v>750</v>
      </c>
      <c r="R816" s="64" t="s">
        <v>1267</v>
      </c>
      <c r="S816" s="243" t="s">
        <v>104</v>
      </c>
      <c r="X816" s="243" t="s">
        <v>158</v>
      </c>
      <c r="Y816" s="243" t="str">
        <f t="shared" si="1657"/>
        <v>Pass</v>
      </c>
      <c r="Z816" s="11" t="str">
        <f t="shared" si="1658"/>
        <v/>
      </c>
      <c r="AA816" s="243" t="str">
        <f t="shared" si="1659"/>
        <v/>
      </c>
      <c r="AB816" s="243" t="str">
        <f t="shared" si="1660"/>
        <v/>
      </c>
    </row>
    <row r="817" spans="2:28" x14ac:dyDescent="0.25">
      <c r="B817" s="65">
        <v>41838</v>
      </c>
      <c r="C817" s="66">
        <v>41838</v>
      </c>
      <c r="D817" s="68">
        <f t="shared" ref="D817:D818" si="1670">IF(B817&gt;0,MONTH(B817),"False")</f>
        <v>7</v>
      </c>
      <c r="E817" s="66" t="str">
        <f t="shared" ref="E817:E818" si="1671">YEAR(B817) &amp; CHOOSE(D817,"-Jan","-Feb","-Mar","-Apr","-May","-Jun","-Jul","-Aug","-Sep","-Oct","-Nov","-Dec")</f>
        <v>2014-Jul</v>
      </c>
      <c r="F817" s="68">
        <f t="shared" ref="F817:F818" si="1672">IF(C817&gt;0,MONTH(C817),"False")</f>
        <v>7</v>
      </c>
      <c r="G817" s="243" t="s">
        <v>121</v>
      </c>
      <c r="H817" s="243" t="s">
        <v>136</v>
      </c>
      <c r="I817" s="243"/>
      <c r="J817" s="243" t="s">
        <v>120</v>
      </c>
      <c r="K817" s="243" t="s">
        <v>82</v>
      </c>
      <c r="L817" s="243" t="s">
        <v>79</v>
      </c>
      <c r="M817" s="243" t="s">
        <v>1506</v>
      </c>
      <c r="N817" s="243" t="s">
        <v>124</v>
      </c>
      <c r="O817" s="243" t="s">
        <v>1368</v>
      </c>
      <c r="P817" s="64" t="s">
        <v>750</v>
      </c>
      <c r="R817" s="64" t="s">
        <v>1267</v>
      </c>
      <c r="S817" s="243" t="s">
        <v>104</v>
      </c>
      <c r="X817" s="243" t="s">
        <v>158</v>
      </c>
      <c r="Y817" s="243" t="str">
        <f t="shared" si="1657"/>
        <v>Pass</v>
      </c>
      <c r="Z817" s="11" t="str">
        <f t="shared" si="1658"/>
        <v/>
      </c>
      <c r="AA817" s="243" t="str">
        <f t="shared" si="1659"/>
        <v/>
      </c>
      <c r="AB817" s="243" t="str">
        <f t="shared" si="1660"/>
        <v/>
      </c>
    </row>
    <row r="818" spans="2:28" x14ac:dyDescent="0.25">
      <c r="B818" s="66">
        <v>41838</v>
      </c>
      <c r="C818" s="66">
        <v>41838</v>
      </c>
      <c r="D818" s="68">
        <f t="shared" si="1670"/>
        <v>7</v>
      </c>
      <c r="E818" s="66" t="str">
        <f t="shared" si="1671"/>
        <v>2014-Jul</v>
      </c>
      <c r="F818" s="68">
        <f t="shared" si="1672"/>
        <v>7</v>
      </c>
      <c r="G818" s="248" t="s">
        <v>112</v>
      </c>
      <c r="H818" s="243" t="s">
        <v>136</v>
      </c>
      <c r="I818" s="243"/>
      <c r="J818" s="243" t="s">
        <v>150</v>
      </c>
      <c r="K818" s="243" t="s">
        <v>84</v>
      </c>
      <c r="L818" s="243" t="s">
        <v>83</v>
      </c>
      <c r="M818" s="1" t="s">
        <v>1507</v>
      </c>
      <c r="N818" s="243" t="s">
        <v>124</v>
      </c>
      <c r="O818" s="243" t="s">
        <v>325</v>
      </c>
      <c r="R818" s="64" t="s">
        <v>1508</v>
      </c>
      <c r="S818" s="248" t="s">
        <v>104</v>
      </c>
      <c r="X818" s="248" t="s">
        <v>159</v>
      </c>
      <c r="Y818" s="243" t="str">
        <f t="shared" si="1657"/>
        <v>Pass</v>
      </c>
      <c r="Z818" s="11" t="str">
        <f t="shared" si="1658"/>
        <v/>
      </c>
      <c r="AA818" s="243" t="str">
        <f t="shared" si="1659"/>
        <v/>
      </c>
      <c r="AB818" s="243" t="str">
        <f t="shared" si="1660"/>
        <v/>
      </c>
    </row>
    <row r="819" spans="2:28" x14ac:dyDescent="0.25">
      <c r="B819" s="65">
        <v>41838</v>
      </c>
      <c r="C819" s="66">
        <v>41838</v>
      </c>
      <c r="D819" s="68">
        <f t="shared" ref="D819:D820" si="1673">IF(B819&gt;0,MONTH(B819),"False")</f>
        <v>7</v>
      </c>
      <c r="E819" s="66" t="str">
        <f t="shared" ref="E819:E820" si="1674">YEAR(B819) &amp; CHOOSE(D819,"-Jan","-Feb","-Mar","-Apr","-May","-Jun","-Jul","-Aug","-Sep","-Oct","-Nov","-Dec")</f>
        <v>2014-Jul</v>
      </c>
      <c r="F819" s="68">
        <f t="shared" ref="F819:F820" si="1675">IF(C819&gt;0,MONTH(C819),"False")</f>
        <v>7</v>
      </c>
      <c r="G819" s="245" t="s">
        <v>105</v>
      </c>
      <c r="H819" s="243" t="s">
        <v>280</v>
      </c>
      <c r="J819" s="243" t="s">
        <v>77</v>
      </c>
      <c r="K819" s="243" t="s">
        <v>82</v>
      </c>
      <c r="L819" s="243" t="s">
        <v>79</v>
      </c>
      <c r="M819" s="1" t="s">
        <v>1509</v>
      </c>
      <c r="N819" s="243" t="s">
        <v>124</v>
      </c>
      <c r="O819" s="243" t="s">
        <v>286</v>
      </c>
      <c r="P819" s="64" t="s">
        <v>305</v>
      </c>
      <c r="R819" s="64" t="s">
        <v>1108</v>
      </c>
      <c r="S819" s="245" t="s">
        <v>104</v>
      </c>
      <c r="X819" s="245" t="s">
        <v>544</v>
      </c>
      <c r="Y819" s="243" t="str">
        <f t="shared" si="1657"/>
        <v>Pass</v>
      </c>
      <c r="Z819" s="11" t="str">
        <f t="shared" si="1658"/>
        <v/>
      </c>
      <c r="AA819" s="243" t="str">
        <f t="shared" si="1659"/>
        <v/>
      </c>
      <c r="AB819" s="243" t="str">
        <f t="shared" si="1660"/>
        <v/>
      </c>
    </row>
    <row r="820" spans="2:28" x14ac:dyDescent="0.25">
      <c r="B820" s="66">
        <v>41838</v>
      </c>
      <c r="C820" s="66">
        <v>41838</v>
      </c>
      <c r="D820" s="68">
        <f t="shared" si="1673"/>
        <v>7</v>
      </c>
      <c r="E820" s="66" t="str">
        <f t="shared" si="1674"/>
        <v>2014-Jul</v>
      </c>
      <c r="F820" s="68">
        <f t="shared" si="1675"/>
        <v>7</v>
      </c>
      <c r="G820" s="243" t="s">
        <v>87</v>
      </c>
      <c r="H820" s="243" t="s">
        <v>136</v>
      </c>
      <c r="J820" s="243" t="s">
        <v>149</v>
      </c>
      <c r="K820" s="243" t="s">
        <v>84</v>
      </c>
      <c r="L820" s="243" t="s">
        <v>83</v>
      </c>
      <c r="M820" s="1" t="s">
        <v>1510</v>
      </c>
      <c r="N820" s="243" t="s">
        <v>124</v>
      </c>
      <c r="O820" s="243" t="s">
        <v>350</v>
      </c>
      <c r="R820" s="64" t="s">
        <v>1508</v>
      </c>
      <c r="Y820" s="245" t="str">
        <f t="shared" ref="Y820:Y843" si="1676">IF(Q820&gt;0,"Obsolete",IF(S820&gt;0,S820,"Unknown"))</f>
        <v>Unknown</v>
      </c>
      <c r="Z820" s="11" t="str">
        <f t="shared" ref="Z820:Z833" si="1677">IF(Q820="Obsolete-LQA",C820,IF(Q820="Obsolete-IT",B820,""))</f>
        <v/>
      </c>
      <c r="AA820" s="245" t="str">
        <f t="shared" ref="AA820:AA833" si="1678">IFERROR(YEAR(Z820)&amp;" - "&amp; IF(LEN( WEEKNUM(Z820))=1,"0" &amp; WEEKNUM(Z820),WEEKNUM(Z820)),"")</f>
        <v/>
      </c>
      <c r="AB820" s="245" t="str">
        <f t="shared" ref="AB820:AB833" si="1679">IFERROR(YEAR(Z820),"")</f>
        <v/>
      </c>
    </row>
    <row r="821" spans="2:28" x14ac:dyDescent="0.25">
      <c r="B821" s="65">
        <v>41841</v>
      </c>
      <c r="C821" s="66">
        <v>41841</v>
      </c>
      <c r="D821" s="68">
        <f t="shared" ref="D821" si="1680">IF(B821&gt;0,MONTH(B821),"False")</f>
        <v>7</v>
      </c>
      <c r="E821" s="66" t="str">
        <f t="shared" ref="E821" si="1681">YEAR(B821) &amp; CHOOSE(D821,"-Jan","-Feb","-Mar","-Apr","-May","-Jun","-Jul","-Aug","-Sep","-Oct","-Nov","-Dec")</f>
        <v>2014-Jul</v>
      </c>
      <c r="F821" s="68">
        <f t="shared" ref="F821" si="1682">IF(C821&gt;0,MONTH(C821),"False")</f>
        <v>7</v>
      </c>
      <c r="G821" s="245" t="s">
        <v>121</v>
      </c>
      <c r="H821" s="244" t="s">
        <v>136</v>
      </c>
      <c r="J821" s="244" t="s">
        <v>77</v>
      </c>
      <c r="K821" s="244" t="s">
        <v>82</v>
      </c>
      <c r="L821" s="244" t="s">
        <v>79</v>
      </c>
      <c r="M821" s="1" t="s">
        <v>1512</v>
      </c>
      <c r="N821" s="244" t="s">
        <v>124</v>
      </c>
      <c r="O821" s="244" t="s">
        <v>507</v>
      </c>
      <c r="P821" s="64" t="s">
        <v>750</v>
      </c>
      <c r="R821" s="64" t="s">
        <v>1513</v>
      </c>
      <c r="S821" s="245" t="s">
        <v>104</v>
      </c>
      <c r="X821" s="245" t="s">
        <v>159</v>
      </c>
      <c r="Y821" s="245" t="str">
        <f t="shared" si="1676"/>
        <v>Pass</v>
      </c>
      <c r="Z821" s="11" t="str">
        <f t="shared" si="1677"/>
        <v/>
      </c>
      <c r="AA821" s="245" t="str">
        <f t="shared" si="1678"/>
        <v/>
      </c>
      <c r="AB821" s="245" t="str">
        <f t="shared" si="1679"/>
        <v/>
      </c>
    </row>
    <row r="822" spans="2:28" x14ac:dyDescent="0.25">
      <c r="B822" s="65">
        <v>41841</v>
      </c>
      <c r="C822" s="66">
        <v>41841</v>
      </c>
      <c r="D822" s="68">
        <f t="shared" ref="D822:D823" si="1683">IF(B822&gt;0,MONTH(B822),"False")</f>
        <v>7</v>
      </c>
      <c r="E822" s="66" t="str">
        <f t="shared" ref="E822:E823" si="1684">YEAR(B822) &amp; CHOOSE(D822,"-Jan","-Feb","-Mar","-Apr","-May","-Jun","-Jul","-Aug","-Sep","-Oct","-Nov","-Dec")</f>
        <v>2014-Jul</v>
      </c>
      <c r="F822" s="68">
        <f t="shared" ref="F822:F823" si="1685">IF(C822&gt;0,MONTH(C822),"False")</f>
        <v>7</v>
      </c>
      <c r="G822" s="244" t="s">
        <v>93</v>
      </c>
      <c r="H822" s="244" t="s">
        <v>166</v>
      </c>
      <c r="J822" s="244" t="s">
        <v>98</v>
      </c>
      <c r="K822" s="244" t="s">
        <v>82</v>
      </c>
      <c r="L822" s="244" t="s">
        <v>79</v>
      </c>
      <c r="M822" s="261" t="s">
        <v>1514</v>
      </c>
      <c r="N822" s="244" t="s">
        <v>124</v>
      </c>
      <c r="O822" s="244" t="s">
        <v>343</v>
      </c>
      <c r="P822" s="64" t="s">
        <v>336</v>
      </c>
      <c r="Q822" s="2" t="s">
        <v>88</v>
      </c>
      <c r="R822" s="64" t="s">
        <v>1311</v>
      </c>
      <c r="Y822" s="245" t="str">
        <f t="shared" si="1676"/>
        <v>Obsolete</v>
      </c>
      <c r="Z822" s="11">
        <f t="shared" si="1677"/>
        <v>41841</v>
      </c>
      <c r="AA822" s="245" t="str">
        <f t="shared" si="1678"/>
        <v>2014 - 30</v>
      </c>
      <c r="AB822" s="245">
        <f t="shared" si="1679"/>
        <v>2014</v>
      </c>
    </row>
    <row r="823" spans="2:28" x14ac:dyDescent="0.25">
      <c r="B823" s="66">
        <v>41841</v>
      </c>
      <c r="C823" s="66">
        <v>41841</v>
      </c>
      <c r="D823" s="68">
        <f t="shared" si="1683"/>
        <v>7</v>
      </c>
      <c r="E823" s="66" t="str">
        <f t="shared" si="1684"/>
        <v>2014-Jul</v>
      </c>
      <c r="F823" s="68">
        <f t="shared" si="1685"/>
        <v>7</v>
      </c>
      <c r="G823" s="244" t="s">
        <v>87</v>
      </c>
      <c r="H823" s="244" t="s">
        <v>166</v>
      </c>
      <c r="J823" s="244" t="s">
        <v>98</v>
      </c>
      <c r="K823" s="244" t="s">
        <v>84</v>
      </c>
      <c r="L823" s="244" t="s">
        <v>83</v>
      </c>
      <c r="M823" s="1" t="s">
        <v>1515</v>
      </c>
      <c r="N823" s="244" t="s">
        <v>124</v>
      </c>
      <c r="O823" s="244" t="s">
        <v>152</v>
      </c>
      <c r="R823" s="64" t="s">
        <v>1353</v>
      </c>
      <c r="Y823" s="245" t="str">
        <f t="shared" si="1676"/>
        <v>Unknown</v>
      </c>
      <c r="Z823" s="11" t="str">
        <f t="shared" si="1677"/>
        <v/>
      </c>
      <c r="AA823" s="245" t="str">
        <f t="shared" si="1678"/>
        <v/>
      </c>
      <c r="AB823" s="245" t="str">
        <f t="shared" si="1679"/>
        <v/>
      </c>
    </row>
    <row r="824" spans="2:28" x14ac:dyDescent="0.25">
      <c r="B824" s="66">
        <v>41841</v>
      </c>
      <c r="C824" s="66">
        <v>41841</v>
      </c>
      <c r="D824" s="68">
        <f t="shared" ref="D824:D825" si="1686">IF(B824&gt;0,MONTH(B824),"False")</f>
        <v>7</v>
      </c>
      <c r="E824" s="66" t="str">
        <f t="shared" ref="E824:E825" si="1687">YEAR(B824) &amp; CHOOSE(D824,"-Jan","-Feb","-Mar","-Apr","-May","-Jun","-Jul","-Aug","-Sep","-Oct","-Nov","-Dec")</f>
        <v>2014-Jul</v>
      </c>
      <c r="F824" s="68">
        <f t="shared" ref="F824:F825" si="1688">IF(C824&gt;0,MONTH(C824),"False")</f>
        <v>7</v>
      </c>
      <c r="G824" s="244" t="s">
        <v>87</v>
      </c>
      <c r="H824" s="244" t="s">
        <v>280</v>
      </c>
      <c r="J824" s="244" t="s">
        <v>98</v>
      </c>
      <c r="K824" s="244" t="s">
        <v>84</v>
      </c>
      <c r="L824" s="244" t="s">
        <v>83</v>
      </c>
      <c r="M824" s="1" t="s">
        <v>1516</v>
      </c>
      <c r="N824" s="244" t="s">
        <v>124</v>
      </c>
      <c r="O824" s="244" t="s">
        <v>152</v>
      </c>
      <c r="Q824" s="2" t="s">
        <v>88</v>
      </c>
      <c r="R824" s="64" t="s">
        <v>1517</v>
      </c>
      <c r="Y824" s="245" t="str">
        <f t="shared" si="1676"/>
        <v>Obsolete</v>
      </c>
      <c r="Z824" s="11">
        <f t="shared" si="1677"/>
        <v>41841</v>
      </c>
      <c r="AA824" s="245" t="str">
        <f t="shared" si="1678"/>
        <v>2014 - 30</v>
      </c>
      <c r="AB824" s="245">
        <f t="shared" si="1679"/>
        <v>2014</v>
      </c>
    </row>
    <row r="825" spans="2:28" x14ac:dyDescent="0.25">
      <c r="B825" s="65">
        <v>41841</v>
      </c>
      <c r="C825" s="66">
        <v>41841</v>
      </c>
      <c r="D825" s="68">
        <f t="shared" si="1686"/>
        <v>7</v>
      </c>
      <c r="E825" s="66" t="str">
        <f t="shared" si="1687"/>
        <v>2014-Jul</v>
      </c>
      <c r="F825" s="68">
        <f t="shared" si="1688"/>
        <v>7</v>
      </c>
      <c r="G825" s="244" t="s">
        <v>93</v>
      </c>
      <c r="H825" s="244" t="s">
        <v>139</v>
      </c>
      <c r="J825" s="244" t="s">
        <v>77</v>
      </c>
      <c r="K825" s="244" t="s">
        <v>82</v>
      </c>
      <c r="L825" s="244" t="s">
        <v>79</v>
      </c>
      <c r="M825" s="1" t="s">
        <v>1518</v>
      </c>
      <c r="N825" s="244" t="s">
        <v>124</v>
      </c>
      <c r="O825" s="244" t="s">
        <v>285</v>
      </c>
      <c r="P825" s="64" t="s">
        <v>359</v>
      </c>
      <c r="R825" s="64" t="s">
        <v>360</v>
      </c>
      <c r="Y825" s="245" t="str">
        <f t="shared" si="1676"/>
        <v>Unknown</v>
      </c>
      <c r="Z825" s="11" t="str">
        <f t="shared" si="1677"/>
        <v/>
      </c>
      <c r="AA825" s="245" t="str">
        <f t="shared" si="1678"/>
        <v/>
      </c>
      <c r="AB825" s="245" t="str">
        <f t="shared" si="1679"/>
        <v/>
      </c>
    </row>
    <row r="826" spans="2:28" x14ac:dyDescent="0.25">
      <c r="B826" s="65">
        <v>41843</v>
      </c>
      <c r="C826" s="66">
        <v>41843</v>
      </c>
      <c r="D826" s="68">
        <f t="shared" ref="D826" si="1689">IF(B826&gt;0,MONTH(B826),"False")</f>
        <v>7</v>
      </c>
      <c r="E826" s="66" t="str">
        <f t="shared" ref="E826" si="1690">YEAR(B826) &amp; CHOOSE(D826,"-Jan","-Feb","-Mar","-Apr","-May","-Jun","-Jul","-Aug","-Sep","-Oct","-Nov","-Dec")</f>
        <v>2014-Jul</v>
      </c>
      <c r="F826" s="68">
        <f t="shared" ref="F826" si="1691">IF(C826&gt;0,MONTH(C826),"False")</f>
        <v>7</v>
      </c>
      <c r="G826" s="245" t="s">
        <v>121</v>
      </c>
      <c r="H826" s="245" t="s">
        <v>103</v>
      </c>
      <c r="J826" s="245" t="s">
        <v>77</v>
      </c>
      <c r="K826" s="245" t="s">
        <v>82</v>
      </c>
      <c r="L826" s="245" t="s">
        <v>79</v>
      </c>
      <c r="M826" s="1" t="s">
        <v>1519</v>
      </c>
      <c r="N826" s="245" t="s">
        <v>124</v>
      </c>
      <c r="O826" s="245" t="s">
        <v>265</v>
      </c>
      <c r="P826" s="64" t="s">
        <v>351</v>
      </c>
      <c r="R826" s="64" t="s">
        <v>361</v>
      </c>
      <c r="S826" s="245" t="s">
        <v>104</v>
      </c>
      <c r="X826" s="245" t="s">
        <v>1312</v>
      </c>
      <c r="Y826" s="245" t="str">
        <f t="shared" si="1676"/>
        <v>Pass</v>
      </c>
      <c r="Z826" s="11" t="str">
        <f t="shared" si="1677"/>
        <v/>
      </c>
      <c r="AA826" s="245" t="str">
        <f t="shared" si="1678"/>
        <v/>
      </c>
      <c r="AB826" s="245" t="str">
        <f t="shared" si="1679"/>
        <v/>
      </c>
    </row>
    <row r="827" spans="2:28" x14ac:dyDescent="0.25">
      <c r="B827" s="65">
        <v>41843</v>
      </c>
      <c r="C827" s="66">
        <v>41843</v>
      </c>
      <c r="D827" s="68">
        <f t="shared" ref="D827:D828" si="1692">IF(B827&gt;0,MONTH(B827),"False")</f>
        <v>7</v>
      </c>
      <c r="E827" s="66" t="str">
        <f t="shared" ref="E827:E828" si="1693">YEAR(B827) &amp; CHOOSE(D827,"-Jan","-Feb","-Mar","-Apr","-May","-Jun","-Jul","-Aug","-Sep","-Oct","-Nov","-Dec")</f>
        <v>2014-Jul</v>
      </c>
      <c r="F827" s="68">
        <f t="shared" ref="F827:F828" si="1694">IF(C827&gt;0,MONTH(C827),"False")</f>
        <v>7</v>
      </c>
      <c r="G827" s="247" t="s">
        <v>121</v>
      </c>
      <c r="H827" s="245" t="s">
        <v>136</v>
      </c>
      <c r="J827" s="245" t="s">
        <v>77</v>
      </c>
      <c r="K827" s="245" t="s">
        <v>82</v>
      </c>
      <c r="L827" s="245" t="s">
        <v>79</v>
      </c>
      <c r="M827" s="1" t="s">
        <v>1520</v>
      </c>
      <c r="N827" s="245" t="s">
        <v>124</v>
      </c>
      <c r="O827" s="245" t="s">
        <v>507</v>
      </c>
      <c r="P827" s="64" t="s">
        <v>750</v>
      </c>
      <c r="R827" s="64" t="s">
        <v>1513</v>
      </c>
      <c r="S827" s="247" t="s">
        <v>104</v>
      </c>
      <c r="X827" s="247" t="s">
        <v>159</v>
      </c>
      <c r="Y827" s="245" t="str">
        <f t="shared" si="1676"/>
        <v>Pass</v>
      </c>
      <c r="Z827" s="11" t="str">
        <f t="shared" si="1677"/>
        <v/>
      </c>
      <c r="AA827" s="245" t="str">
        <f t="shared" si="1678"/>
        <v/>
      </c>
      <c r="AB827" s="245" t="str">
        <f t="shared" si="1679"/>
        <v/>
      </c>
    </row>
    <row r="828" spans="2:28" x14ac:dyDescent="0.25">
      <c r="B828" s="66">
        <v>41843</v>
      </c>
      <c r="C828" s="66">
        <v>41843</v>
      </c>
      <c r="D828" s="68">
        <f t="shared" si="1692"/>
        <v>7</v>
      </c>
      <c r="E828" s="66" t="str">
        <f t="shared" si="1693"/>
        <v>2014-Jul</v>
      </c>
      <c r="F828" s="68">
        <f t="shared" si="1694"/>
        <v>7</v>
      </c>
      <c r="G828" s="246" t="s">
        <v>112</v>
      </c>
      <c r="H828" s="245" t="s">
        <v>103</v>
      </c>
      <c r="J828" s="245" t="s">
        <v>78</v>
      </c>
      <c r="K828" s="245" t="s">
        <v>78</v>
      </c>
      <c r="L828" s="245" t="s">
        <v>79</v>
      </c>
      <c r="M828" s="1" t="s">
        <v>1521</v>
      </c>
      <c r="N828" s="245" t="s">
        <v>124</v>
      </c>
      <c r="O828" s="245" t="s">
        <v>332</v>
      </c>
      <c r="R828" s="64" t="s">
        <v>475</v>
      </c>
      <c r="S828" s="246" t="s">
        <v>104</v>
      </c>
      <c r="X828" s="246" t="s">
        <v>298</v>
      </c>
      <c r="Y828" s="245" t="str">
        <f t="shared" si="1676"/>
        <v>Pass</v>
      </c>
      <c r="Z828" s="11" t="str">
        <f t="shared" si="1677"/>
        <v/>
      </c>
      <c r="AA828" s="245" t="str">
        <f t="shared" si="1678"/>
        <v/>
      </c>
      <c r="AB828" s="245" t="str">
        <f t="shared" si="1679"/>
        <v/>
      </c>
    </row>
    <row r="829" spans="2:28" x14ac:dyDescent="0.25">
      <c r="B829" s="65">
        <v>41843</v>
      </c>
      <c r="C829" s="66">
        <v>41843</v>
      </c>
      <c r="D829" s="68">
        <f t="shared" ref="D829" si="1695">IF(B829&gt;0,MONTH(B829),"False")</f>
        <v>7</v>
      </c>
      <c r="E829" s="66" t="str">
        <f t="shared" ref="E829" si="1696">YEAR(B829) &amp; CHOOSE(D829,"-Jan","-Feb","-Mar","-Apr","-May","-Jun","-Jul","-Aug","-Sep","-Oct","-Nov","-Dec")</f>
        <v>2014-Jul</v>
      </c>
      <c r="F829" s="68">
        <f t="shared" ref="F829" si="1697">IF(C829&gt;0,MONTH(C829),"False")</f>
        <v>7</v>
      </c>
      <c r="G829" s="249" t="s">
        <v>121</v>
      </c>
      <c r="H829" s="245" t="s">
        <v>166</v>
      </c>
      <c r="J829" s="245" t="s">
        <v>120</v>
      </c>
      <c r="K829" s="245" t="s">
        <v>82</v>
      </c>
      <c r="L829" s="245" t="s">
        <v>79</v>
      </c>
      <c r="M829" s="1" t="s">
        <v>1522</v>
      </c>
      <c r="N829" s="245" t="s">
        <v>124</v>
      </c>
      <c r="O829" s="245" t="s">
        <v>147</v>
      </c>
      <c r="P829" s="64" t="s">
        <v>557</v>
      </c>
      <c r="R829" s="64" t="s">
        <v>594</v>
      </c>
      <c r="S829" s="249" t="s">
        <v>104</v>
      </c>
      <c r="X829" s="249" t="s">
        <v>1312</v>
      </c>
      <c r="Y829" s="245" t="str">
        <f t="shared" si="1676"/>
        <v>Pass</v>
      </c>
      <c r="Z829" s="11" t="str">
        <f t="shared" si="1677"/>
        <v/>
      </c>
      <c r="AA829" s="245" t="str">
        <f t="shared" si="1678"/>
        <v/>
      </c>
      <c r="AB829" s="245" t="str">
        <f t="shared" si="1679"/>
        <v/>
      </c>
    </row>
    <row r="830" spans="2:28" x14ac:dyDescent="0.25">
      <c r="B830" s="65">
        <v>41843</v>
      </c>
      <c r="C830" s="66">
        <v>41843</v>
      </c>
      <c r="D830" s="68">
        <f t="shared" ref="D830:D831" si="1698">IF(B830&gt;0,MONTH(B830),"False")</f>
        <v>7</v>
      </c>
      <c r="E830" s="66" t="str">
        <f t="shared" ref="E830:E831" si="1699">YEAR(B830) &amp; CHOOSE(D830,"-Jan","-Feb","-Mar","-Apr","-May","-Jun","-Jul","-Aug","-Sep","-Oct","-Nov","-Dec")</f>
        <v>2014-Jul</v>
      </c>
      <c r="F830" s="68">
        <f t="shared" ref="F830:F831" si="1700">IF(C830&gt;0,MONTH(C830),"False")</f>
        <v>7</v>
      </c>
      <c r="G830" s="245" t="s">
        <v>93</v>
      </c>
      <c r="H830" s="245" t="s">
        <v>136</v>
      </c>
      <c r="J830" s="245" t="s">
        <v>77</v>
      </c>
      <c r="K830" s="245" t="s">
        <v>82</v>
      </c>
      <c r="L830" s="245" t="s">
        <v>79</v>
      </c>
      <c r="M830" s="1" t="s">
        <v>1523</v>
      </c>
      <c r="N830" s="245" t="s">
        <v>124</v>
      </c>
      <c r="O830" s="245" t="s">
        <v>265</v>
      </c>
      <c r="P830" s="64" t="s">
        <v>750</v>
      </c>
      <c r="R830" s="64" t="s">
        <v>1513</v>
      </c>
      <c r="Y830" s="245" t="str">
        <f t="shared" si="1676"/>
        <v>Unknown</v>
      </c>
      <c r="Z830" s="11" t="str">
        <f t="shared" si="1677"/>
        <v/>
      </c>
      <c r="AA830" s="245" t="str">
        <f t="shared" si="1678"/>
        <v/>
      </c>
      <c r="AB830" s="245" t="str">
        <f t="shared" si="1679"/>
        <v/>
      </c>
    </row>
    <row r="831" spans="2:28" x14ac:dyDescent="0.25">
      <c r="B831" s="66">
        <v>41843</v>
      </c>
      <c r="C831" s="66">
        <v>41843</v>
      </c>
      <c r="D831" s="68">
        <f t="shared" si="1698"/>
        <v>7</v>
      </c>
      <c r="E831" s="66" t="str">
        <f t="shared" si="1699"/>
        <v>2014-Jul</v>
      </c>
      <c r="F831" s="68">
        <f t="shared" si="1700"/>
        <v>7</v>
      </c>
      <c r="G831" s="245" t="s">
        <v>87</v>
      </c>
      <c r="H831" s="245" t="s">
        <v>166</v>
      </c>
      <c r="J831" s="245" t="s">
        <v>149</v>
      </c>
      <c r="K831" s="245" t="s">
        <v>84</v>
      </c>
      <c r="L831" s="245" t="s">
        <v>79</v>
      </c>
      <c r="M831" s="1" t="s">
        <v>1524</v>
      </c>
      <c r="N831" s="245" t="s">
        <v>124</v>
      </c>
      <c r="O831" s="245" t="s">
        <v>325</v>
      </c>
      <c r="Q831" s="2" t="s">
        <v>88</v>
      </c>
      <c r="R831" s="64" t="s">
        <v>1525</v>
      </c>
      <c r="Y831" s="245" t="str">
        <f t="shared" si="1676"/>
        <v>Obsolete</v>
      </c>
      <c r="Z831" s="11">
        <f t="shared" si="1677"/>
        <v>41843</v>
      </c>
      <c r="AA831" s="245" t="str">
        <f t="shared" si="1678"/>
        <v>2014 - 30</v>
      </c>
      <c r="AB831" s="245">
        <f t="shared" si="1679"/>
        <v>2014</v>
      </c>
    </row>
    <row r="832" spans="2:28" x14ac:dyDescent="0.25">
      <c r="B832" s="66">
        <v>41844</v>
      </c>
      <c r="C832" s="66">
        <v>41844</v>
      </c>
      <c r="D832" s="68">
        <f t="shared" ref="D832:D833" si="1701">IF(B832&gt;0,MONTH(B832),"False")</f>
        <v>7</v>
      </c>
      <c r="E832" s="66" t="str">
        <f t="shared" ref="E832:E833" si="1702">YEAR(B832) &amp; CHOOSE(D832,"-Jan","-Feb","-Mar","-Apr","-May","-Jun","-Jul","-Aug","-Sep","-Oct","-Nov","-Dec")</f>
        <v>2014-Jul</v>
      </c>
      <c r="F832" s="68">
        <f t="shared" ref="F832:F833" si="1703">IF(C832&gt;0,MONTH(C832),"False")</f>
        <v>7</v>
      </c>
      <c r="G832" s="246" t="s">
        <v>87</v>
      </c>
      <c r="H832" s="246" t="s">
        <v>166</v>
      </c>
      <c r="I832" s="246"/>
      <c r="J832" s="246" t="s">
        <v>149</v>
      </c>
      <c r="K832" s="246" t="s">
        <v>84</v>
      </c>
      <c r="L832" s="246" t="s">
        <v>79</v>
      </c>
      <c r="M832" s="246" t="s">
        <v>1526</v>
      </c>
      <c r="N832" s="246" t="s">
        <v>124</v>
      </c>
      <c r="O832" s="246" t="s">
        <v>350</v>
      </c>
      <c r="P832" s="246"/>
      <c r="R832" s="64" t="s">
        <v>1525</v>
      </c>
      <c r="Y832" s="245" t="str">
        <f t="shared" si="1676"/>
        <v>Unknown</v>
      </c>
      <c r="Z832" s="11" t="str">
        <f t="shared" si="1677"/>
        <v/>
      </c>
      <c r="AA832" s="245" t="str">
        <f t="shared" si="1678"/>
        <v/>
      </c>
      <c r="AB832" s="245" t="str">
        <f t="shared" si="1679"/>
        <v/>
      </c>
    </row>
    <row r="833" spans="2:28" x14ac:dyDescent="0.25">
      <c r="B833" s="65">
        <v>41844</v>
      </c>
      <c r="C833" s="66">
        <v>41844</v>
      </c>
      <c r="D833" s="68">
        <f t="shared" si="1701"/>
        <v>7</v>
      </c>
      <c r="E833" s="66" t="str">
        <f t="shared" si="1702"/>
        <v>2014-Jul</v>
      </c>
      <c r="F833" s="68">
        <f t="shared" si="1703"/>
        <v>7</v>
      </c>
      <c r="G833" s="246" t="s">
        <v>93</v>
      </c>
      <c r="H833" s="246" t="s">
        <v>166</v>
      </c>
      <c r="J833" s="246" t="s">
        <v>77</v>
      </c>
      <c r="K833" s="246" t="s">
        <v>82</v>
      </c>
      <c r="L833" s="246" t="s">
        <v>79</v>
      </c>
      <c r="M833" s="1" t="s">
        <v>1527</v>
      </c>
      <c r="N833" s="246" t="s">
        <v>124</v>
      </c>
      <c r="O833" s="246" t="s">
        <v>353</v>
      </c>
      <c r="P833" s="64" t="s">
        <v>319</v>
      </c>
      <c r="Q833" s="2" t="s">
        <v>88</v>
      </c>
      <c r="R833" s="64" t="s">
        <v>320</v>
      </c>
      <c r="Y833" s="245" t="str">
        <f t="shared" si="1676"/>
        <v>Obsolete</v>
      </c>
      <c r="Z833" s="11">
        <f t="shared" si="1677"/>
        <v>41844</v>
      </c>
      <c r="AA833" s="245" t="str">
        <f t="shared" si="1678"/>
        <v>2014 - 30</v>
      </c>
      <c r="AB833" s="245">
        <f t="shared" si="1679"/>
        <v>2014</v>
      </c>
    </row>
    <row r="834" spans="2:28" x14ac:dyDescent="0.25">
      <c r="B834" s="65">
        <v>41844</v>
      </c>
      <c r="C834" s="66">
        <v>41844</v>
      </c>
      <c r="D834" s="68">
        <f t="shared" ref="D834:D836" si="1704">IF(B834&gt;0,MONTH(B834),"False")</f>
        <v>7</v>
      </c>
      <c r="E834" s="66" t="str">
        <f t="shared" ref="E834:E836" si="1705">YEAR(B834) &amp; CHOOSE(D834,"-Jan","-Feb","-Mar","-Apr","-May","-Jun","-Jul","-Aug","-Sep","-Oct","-Nov","-Dec")</f>
        <v>2014-Jul</v>
      </c>
      <c r="F834" s="68">
        <f t="shared" ref="F834:F836" si="1706">IF(C834&gt;0,MONTH(C834),"False")</f>
        <v>7</v>
      </c>
      <c r="G834" s="253" t="s">
        <v>121</v>
      </c>
      <c r="H834" s="246" t="s">
        <v>166</v>
      </c>
      <c r="J834" s="246" t="s">
        <v>333</v>
      </c>
      <c r="K834" s="246" t="s">
        <v>82</v>
      </c>
      <c r="L834" s="246" t="s">
        <v>79</v>
      </c>
      <c r="M834" s="1" t="s">
        <v>1528</v>
      </c>
      <c r="N834" s="246" t="s">
        <v>124</v>
      </c>
      <c r="O834" s="246" t="s">
        <v>116</v>
      </c>
      <c r="P834" s="64" t="s">
        <v>345</v>
      </c>
      <c r="R834" s="64" t="s">
        <v>347</v>
      </c>
      <c r="S834" s="253" t="s">
        <v>104</v>
      </c>
      <c r="X834" s="253" t="s">
        <v>462</v>
      </c>
      <c r="Y834" s="245" t="str">
        <f t="shared" si="1676"/>
        <v>Pass</v>
      </c>
      <c r="Z834" s="11" t="str">
        <f t="shared" ref="Z834:Z847" si="1707">IF(Q834="Obsolete-LQA",C834,IF(Q834="Obsolete-IT",B834,""))</f>
        <v/>
      </c>
      <c r="AA834" s="252" t="str">
        <f t="shared" ref="AA834:AA847" si="1708">IFERROR(YEAR(Z834)&amp;" - "&amp; IF(LEN( WEEKNUM(Z834))=1,"0" &amp; WEEKNUM(Z834),WEEKNUM(Z834)),"")</f>
        <v/>
      </c>
      <c r="AB834" s="252" t="str">
        <f t="shared" ref="AB834:AB847" si="1709">IFERROR(YEAR(Z834),"")</f>
        <v/>
      </c>
    </row>
    <row r="835" spans="2:28" x14ac:dyDescent="0.25">
      <c r="B835" s="66">
        <v>41844</v>
      </c>
      <c r="C835" s="66">
        <v>41844</v>
      </c>
      <c r="D835" s="68">
        <f t="shared" si="1704"/>
        <v>7</v>
      </c>
      <c r="E835" s="66" t="str">
        <f t="shared" si="1705"/>
        <v>2014-Jul</v>
      </c>
      <c r="F835" s="68">
        <f t="shared" si="1706"/>
        <v>7</v>
      </c>
      <c r="G835" s="276" t="s">
        <v>112</v>
      </c>
      <c r="H835" s="246" t="s">
        <v>348</v>
      </c>
      <c r="J835" s="246" t="s">
        <v>78</v>
      </c>
      <c r="K835" s="246" t="s">
        <v>78</v>
      </c>
      <c r="L835" s="246" t="s">
        <v>79</v>
      </c>
      <c r="M835" s="1" t="s">
        <v>1529</v>
      </c>
      <c r="N835" s="246" t="s">
        <v>124</v>
      </c>
      <c r="O835" s="246" t="s">
        <v>97</v>
      </c>
      <c r="R835" s="64" t="s">
        <v>1337</v>
      </c>
      <c r="S835" s="276" t="s">
        <v>104</v>
      </c>
      <c r="X835" s="276" t="s">
        <v>1474</v>
      </c>
      <c r="Y835" s="245" t="str">
        <f t="shared" si="1676"/>
        <v>Pass</v>
      </c>
      <c r="Z835" s="11" t="str">
        <f t="shared" si="1707"/>
        <v/>
      </c>
      <c r="AA835" s="252" t="str">
        <f t="shared" si="1708"/>
        <v/>
      </c>
      <c r="AB835" s="252" t="str">
        <f t="shared" si="1709"/>
        <v/>
      </c>
    </row>
    <row r="836" spans="2:28" x14ac:dyDescent="0.25">
      <c r="B836" s="65">
        <v>41844</v>
      </c>
      <c r="C836" s="66">
        <v>41844</v>
      </c>
      <c r="D836" s="68">
        <f t="shared" si="1704"/>
        <v>7</v>
      </c>
      <c r="E836" s="66" t="str">
        <f t="shared" si="1705"/>
        <v>2014-Jul</v>
      </c>
      <c r="F836" s="68">
        <f t="shared" si="1706"/>
        <v>7</v>
      </c>
      <c r="G836" s="246" t="s">
        <v>93</v>
      </c>
      <c r="H836" s="246" t="s">
        <v>136</v>
      </c>
      <c r="J836" s="246" t="s">
        <v>77</v>
      </c>
      <c r="K836" s="246" t="s">
        <v>82</v>
      </c>
      <c r="L836" s="246" t="s">
        <v>79</v>
      </c>
      <c r="M836" s="1" t="s">
        <v>1530</v>
      </c>
      <c r="N836" s="246" t="s">
        <v>124</v>
      </c>
      <c r="O836" s="246" t="s">
        <v>114</v>
      </c>
      <c r="P836" s="64" t="s">
        <v>750</v>
      </c>
      <c r="R836" s="64" t="s">
        <v>1513</v>
      </c>
      <c r="Y836" s="245" t="str">
        <f t="shared" si="1676"/>
        <v>Unknown</v>
      </c>
      <c r="Z836" s="11" t="str">
        <f t="shared" si="1707"/>
        <v/>
      </c>
      <c r="AA836" s="252" t="str">
        <f t="shared" si="1708"/>
        <v/>
      </c>
      <c r="AB836" s="252" t="str">
        <f t="shared" si="1709"/>
        <v/>
      </c>
    </row>
    <row r="837" spans="2:28" x14ac:dyDescent="0.25">
      <c r="B837" s="65">
        <v>41844</v>
      </c>
      <c r="C837" s="66">
        <v>41844</v>
      </c>
      <c r="D837" s="68">
        <f t="shared" ref="D837:D840" si="1710">IF(B837&gt;0,MONTH(B837),"False")</f>
        <v>7</v>
      </c>
      <c r="E837" s="66" t="str">
        <f t="shared" ref="E837:E840" si="1711">YEAR(B837) &amp; CHOOSE(D837,"-Jan","-Feb","-Mar","-Apr","-May","-Jun","-Jul","-Aug","-Sep","-Oct","-Nov","-Dec")</f>
        <v>2014-Jul</v>
      </c>
      <c r="F837" s="68">
        <f t="shared" ref="F837:F840" si="1712">IF(C837&gt;0,MONTH(C837),"False")</f>
        <v>7</v>
      </c>
      <c r="G837" s="246" t="s">
        <v>93</v>
      </c>
      <c r="H837" s="246" t="s">
        <v>136</v>
      </c>
      <c r="I837" s="246"/>
      <c r="J837" s="246" t="s">
        <v>77</v>
      </c>
      <c r="K837" s="246" t="s">
        <v>82</v>
      </c>
      <c r="L837" s="246" t="s">
        <v>79</v>
      </c>
      <c r="M837" s="246" t="s">
        <v>1531</v>
      </c>
      <c r="N837" s="246" t="s">
        <v>124</v>
      </c>
      <c r="O837" s="246" t="s">
        <v>147</v>
      </c>
      <c r="P837" s="64" t="s">
        <v>750</v>
      </c>
      <c r="R837" s="64" t="s">
        <v>1513</v>
      </c>
      <c r="T837" s="67" t="s">
        <v>110</v>
      </c>
      <c r="Y837" s="245" t="str">
        <f t="shared" si="1676"/>
        <v>Unknown</v>
      </c>
      <c r="Z837" s="11" t="str">
        <f t="shared" si="1707"/>
        <v/>
      </c>
      <c r="AA837" s="252" t="str">
        <f t="shared" si="1708"/>
        <v/>
      </c>
      <c r="AB837" s="252" t="str">
        <f t="shared" si="1709"/>
        <v/>
      </c>
    </row>
    <row r="838" spans="2:28" x14ac:dyDescent="0.25">
      <c r="B838" s="65">
        <v>41844</v>
      </c>
      <c r="C838" s="66">
        <v>41844</v>
      </c>
      <c r="D838" s="68">
        <f t="shared" si="1710"/>
        <v>7</v>
      </c>
      <c r="E838" s="66" t="str">
        <f t="shared" si="1711"/>
        <v>2014-Jul</v>
      </c>
      <c r="F838" s="68">
        <f t="shared" si="1712"/>
        <v>7</v>
      </c>
      <c r="G838" s="246" t="s">
        <v>93</v>
      </c>
      <c r="H838" s="246" t="s">
        <v>136</v>
      </c>
      <c r="I838" s="246"/>
      <c r="J838" s="246" t="s">
        <v>77</v>
      </c>
      <c r="K838" s="246" t="s">
        <v>82</v>
      </c>
      <c r="L838" s="246" t="s">
        <v>79</v>
      </c>
      <c r="M838" s="246" t="s">
        <v>1532</v>
      </c>
      <c r="N838" s="246" t="s">
        <v>124</v>
      </c>
      <c r="O838" s="246" t="s">
        <v>147</v>
      </c>
      <c r="P838" s="64" t="s">
        <v>750</v>
      </c>
      <c r="R838" s="64" t="s">
        <v>1513</v>
      </c>
      <c r="Y838" s="245" t="str">
        <f t="shared" si="1676"/>
        <v>Unknown</v>
      </c>
      <c r="Z838" s="11" t="str">
        <f t="shared" si="1707"/>
        <v/>
      </c>
      <c r="AA838" s="252" t="str">
        <f t="shared" si="1708"/>
        <v/>
      </c>
      <c r="AB838" s="252" t="str">
        <f t="shared" si="1709"/>
        <v/>
      </c>
    </row>
    <row r="839" spans="2:28" x14ac:dyDescent="0.25">
      <c r="B839" s="66">
        <v>41844</v>
      </c>
      <c r="C839" s="66">
        <v>41844</v>
      </c>
      <c r="D839" s="68">
        <f t="shared" si="1710"/>
        <v>7</v>
      </c>
      <c r="E839" s="66" t="str">
        <f t="shared" si="1711"/>
        <v>2014-Jul</v>
      </c>
      <c r="F839" s="68">
        <f t="shared" si="1712"/>
        <v>7</v>
      </c>
      <c r="G839" s="246" t="s">
        <v>87</v>
      </c>
      <c r="H839" s="246" t="s">
        <v>136</v>
      </c>
      <c r="J839" s="246" t="s">
        <v>149</v>
      </c>
      <c r="K839" s="246" t="s">
        <v>84</v>
      </c>
      <c r="L839" s="246" t="s">
        <v>79</v>
      </c>
      <c r="M839" s="1" t="s">
        <v>1533</v>
      </c>
      <c r="N839" s="246" t="s">
        <v>124</v>
      </c>
      <c r="O839" s="246" t="s">
        <v>350</v>
      </c>
      <c r="R839" s="64" t="s">
        <v>1508</v>
      </c>
      <c r="Y839" s="245" t="str">
        <f t="shared" si="1676"/>
        <v>Unknown</v>
      </c>
      <c r="Z839" s="11" t="str">
        <f t="shared" si="1707"/>
        <v/>
      </c>
      <c r="AA839" s="252" t="str">
        <f t="shared" si="1708"/>
        <v/>
      </c>
      <c r="AB839" s="252" t="str">
        <f t="shared" si="1709"/>
        <v/>
      </c>
    </row>
    <row r="840" spans="2:28" x14ac:dyDescent="0.25">
      <c r="B840" s="66">
        <v>41845</v>
      </c>
      <c r="C840" s="66">
        <v>41845</v>
      </c>
      <c r="D840" s="68">
        <f t="shared" si="1710"/>
        <v>7</v>
      </c>
      <c r="E840" s="66" t="str">
        <f t="shared" si="1711"/>
        <v>2014-Jul</v>
      </c>
      <c r="F840" s="68">
        <f t="shared" si="1712"/>
        <v>7</v>
      </c>
      <c r="G840" s="254" t="s">
        <v>112</v>
      </c>
      <c r="H840" s="247" t="s">
        <v>76</v>
      </c>
      <c r="I840" s="247"/>
      <c r="J840" s="247" t="s">
        <v>77</v>
      </c>
      <c r="K840" s="247" t="s">
        <v>78</v>
      </c>
      <c r="L840" s="247" t="s">
        <v>79</v>
      </c>
      <c r="M840" s="254" t="s">
        <v>1556</v>
      </c>
      <c r="N840" s="247" t="s">
        <v>124</v>
      </c>
      <c r="O840" s="247" t="s">
        <v>304</v>
      </c>
      <c r="P840" s="247"/>
      <c r="R840" s="64" t="s">
        <v>1038</v>
      </c>
      <c r="S840" s="254" t="s">
        <v>104</v>
      </c>
      <c r="X840" s="254" t="s">
        <v>154</v>
      </c>
      <c r="Y840" s="245" t="str">
        <f t="shared" si="1676"/>
        <v>Pass</v>
      </c>
      <c r="Z840" s="11" t="str">
        <f t="shared" si="1707"/>
        <v/>
      </c>
      <c r="AA840" s="252" t="str">
        <f t="shared" si="1708"/>
        <v/>
      </c>
      <c r="AB840" s="252" t="str">
        <f t="shared" si="1709"/>
        <v/>
      </c>
    </row>
    <row r="841" spans="2:28" x14ac:dyDescent="0.25">
      <c r="B841" s="65">
        <v>41845</v>
      </c>
      <c r="C841" s="66">
        <v>41845</v>
      </c>
      <c r="D841" s="68">
        <f t="shared" ref="D841" si="1713">IF(B841&gt;0,MONTH(B841),"False")</f>
        <v>7</v>
      </c>
      <c r="E841" s="66" t="str">
        <f t="shared" ref="E841" si="1714">YEAR(B841) &amp; CHOOSE(D841,"-Jan","-Feb","-Mar","-Apr","-May","-Jun","-Jul","-Aug","-Sep","-Oct","-Nov","-Dec")</f>
        <v>2014-Jul</v>
      </c>
      <c r="F841" s="68">
        <f t="shared" ref="F841" si="1715">IF(C841&gt;0,MONTH(C841),"False")</f>
        <v>7</v>
      </c>
      <c r="G841" s="247" t="s">
        <v>93</v>
      </c>
      <c r="H841" s="247" t="s">
        <v>166</v>
      </c>
      <c r="J841" s="247" t="s">
        <v>77</v>
      </c>
      <c r="K841" s="247" t="s">
        <v>82</v>
      </c>
      <c r="L841" s="247" t="s">
        <v>79</v>
      </c>
      <c r="M841" s="1" t="s">
        <v>1534</v>
      </c>
      <c r="N841" s="247" t="s">
        <v>124</v>
      </c>
      <c r="O841" s="247" t="s">
        <v>353</v>
      </c>
      <c r="P841" s="64" t="s">
        <v>319</v>
      </c>
      <c r="R841" s="64" t="s">
        <v>320</v>
      </c>
      <c r="Y841" s="245" t="str">
        <f t="shared" si="1676"/>
        <v>Unknown</v>
      </c>
      <c r="Z841" s="11" t="str">
        <f t="shared" si="1707"/>
        <v/>
      </c>
      <c r="AA841" s="252" t="str">
        <f t="shared" si="1708"/>
        <v/>
      </c>
      <c r="AB841" s="252" t="str">
        <f t="shared" si="1709"/>
        <v/>
      </c>
    </row>
    <row r="842" spans="2:28" x14ac:dyDescent="0.25">
      <c r="B842" s="65">
        <v>41845</v>
      </c>
      <c r="C842" s="66">
        <v>41845</v>
      </c>
      <c r="D842" s="68">
        <f t="shared" ref="D842:D843" si="1716">IF(B842&gt;0,MONTH(B842),"False")</f>
        <v>7</v>
      </c>
      <c r="E842" s="66" t="str">
        <f t="shared" ref="E842:E843" si="1717">YEAR(B842) &amp; CHOOSE(D842,"-Jan","-Feb","-Mar","-Apr","-May","-Jun","-Jul","-Aug","-Sep","-Oct","-Nov","-Dec")</f>
        <v>2014-Jul</v>
      </c>
      <c r="F842" s="68">
        <f t="shared" ref="F842:F843" si="1718">IF(C842&gt;0,MONTH(C842),"False")</f>
        <v>7</v>
      </c>
      <c r="G842" s="247" t="s">
        <v>93</v>
      </c>
      <c r="H842" s="247" t="s">
        <v>136</v>
      </c>
      <c r="J842" s="247" t="s">
        <v>120</v>
      </c>
      <c r="K842" s="247" t="s">
        <v>82</v>
      </c>
      <c r="L842" s="247" t="s">
        <v>79</v>
      </c>
      <c r="M842" s="1" t="s">
        <v>1535</v>
      </c>
      <c r="N842" s="247" t="s">
        <v>124</v>
      </c>
      <c r="O842" s="247" t="s">
        <v>1368</v>
      </c>
      <c r="P842" s="64" t="s">
        <v>750</v>
      </c>
      <c r="R842" s="64" t="s">
        <v>1513</v>
      </c>
      <c r="S842" s="309" t="s">
        <v>104</v>
      </c>
      <c r="Y842" s="245" t="str">
        <f t="shared" si="1676"/>
        <v>Pass</v>
      </c>
      <c r="Z842" s="11" t="str">
        <f t="shared" si="1707"/>
        <v/>
      </c>
      <c r="AA842" s="252" t="str">
        <f t="shared" si="1708"/>
        <v/>
      </c>
      <c r="AB842" s="252" t="str">
        <f t="shared" si="1709"/>
        <v/>
      </c>
    </row>
    <row r="843" spans="2:28" x14ac:dyDescent="0.25">
      <c r="B843" s="66">
        <v>41848</v>
      </c>
      <c r="C843" s="66">
        <v>41848</v>
      </c>
      <c r="D843" s="68">
        <f t="shared" si="1716"/>
        <v>7</v>
      </c>
      <c r="E843" s="66" t="str">
        <f t="shared" si="1717"/>
        <v>2014-Jul</v>
      </c>
      <c r="F843" s="68">
        <f t="shared" si="1718"/>
        <v>7</v>
      </c>
      <c r="G843" s="248" t="s">
        <v>87</v>
      </c>
      <c r="H843" s="248" t="s">
        <v>166</v>
      </c>
      <c r="J843" s="248" t="s">
        <v>149</v>
      </c>
      <c r="K843" s="248" t="s">
        <v>84</v>
      </c>
      <c r="L843" s="248" t="s">
        <v>83</v>
      </c>
      <c r="M843" s="1" t="s">
        <v>1536</v>
      </c>
      <c r="N843" s="248" t="s">
        <v>124</v>
      </c>
      <c r="O843" s="248" t="s">
        <v>350</v>
      </c>
      <c r="R843" s="64" t="s">
        <v>1537</v>
      </c>
      <c r="Y843" s="245" t="str">
        <f t="shared" si="1676"/>
        <v>Unknown</v>
      </c>
      <c r="Z843" s="11" t="str">
        <f t="shared" si="1707"/>
        <v/>
      </c>
      <c r="AA843" s="252" t="str">
        <f t="shared" si="1708"/>
        <v/>
      </c>
      <c r="AB843" s="252" t="str">
        <f t="shared" si="1709"/>
        <v/>
      </c>
    </row>
    <row r="844" spans="2:28" x14ac:dyDescent="0.25">
      <c r="B844" s="66">
        <v>41848</v>
      </c>
      <c r="C844" s="66">
        <v>41848</v>
      </c>
      <c r="D844" s="68">
        <f t="shared" ref="D844" si="1719">IF(B844&gt;0,MONTH(B844),"False")</f>
        <v>7</v>
      </c>
      <c r="E844" s="66" t="str">
        <f t="shared" ref="E844" si="1720">YEAR(B844) &amp; CHOOSE(D844,"-Jan","-Feb","-Mar","-Apr","-May","-Jun","-Jul","-Aug","-Sep","-Oct","-Nov","-Dec")</f>
        <v>2014-Jul</v>
      </c>
      <c r="F844" s="68">
        <f t="shared" ref="F844" si="1721">IF(C844&gt;0,MONTH(C844),"False")</f>
        <v>7</v>
      </c>
      <c r="G844" s="248" t="s">
        <v>87</v>
      </c>
      <c r="H844" s="248" t="s">
        <v>136</v>
      </c>
      <c r="J844" s="248" t="s">
        <v>149</v>
      </c>
      <c r="K844" s="248" t="s">
        <v>84</v>
      </c>
      <c r="L844" s="248" t="s">
        <v>83</v>
      </c>
      <c r="M844" s="1" t="s">
        <v>1538</v>
      </c>
      <c r="N844" s="248" t="s">
        <v>124</v>
      </c>
      <c r="O844" s="248" t="s">
        <v>264</v>
      </c>
      <c r="R844" s="64" t="s">
        <v>1508</v>
      </c>
      <c r="Y844" s="251" t="str">
        <f t="shared" ref="Y844:Y847" si="1722">IF(Q844&gt;0,"Obsolete",IF(S844&gt;0,S844,"Unknown"))</f>
        <v>Unknown</v>
      </c>
      <c r="Z844" s="11" t="str">
        <f t="shared" si="1707"/>
        <v/>
      </c>
      <c r="AA844" s="252" t="str">
        <f t="shared" si="1708"/>
        <v/>
      </c>
      <c r="AB844" s="252" t="str">
        <f t="shared" si="1709"/>
        <v/>
      </c>
    </row>
    <row r="845" spans="2:28" x14ac:dyDescent="0.25">
      <c r="B845" s="66">
        <v>41848</v>
      </c>
      <c r="C845" s="66">
        <v>41848</v>
      </c>
      <c r="D845" s="68">
        <f t="shared" ref="D845" si="1723">IF(B845&gt;0,MONTH(B845),"False")</f>
        <v>7</v>
      </c>
      <c r="E845" s="66" t="str">
        <f t="shared" ref="E845" si="1724">YEAR(B845) &amp; CHOOSE(D845,"-Jan","-Feb","-Mar","-Apr","-May","-Jun","-Jul","-Aug","-Sep","-Oct","-Nov","-Dec")</f>
        <v>2014-Jul</v>
      </c>
      <c r="F845" s="68">
        <f t="shared" ref="F845" si="1725">IF(C845&gt;0,MONTH(C845),"False")</f>
        <v>7</v>
      </c>
      <c r="G845" s="251" t="s">
        <v>112</v>
      </c>
      <c r="H845" s="248" t="s">
        <v>28</v>
      </c>
      <c r="J845" s="248" t="s">
        <v>78</v>
      </c>
      <c r="K845" s="248" t="s">
        <v>78</v>
      </c>
      <c r="L845" s="248" t="s">
        <v>79</v>
      </c>
      <c r="M845" s="1" t="s">
        <v>1539</v>
      </c>
      <c r="N845" s="248" t="s">
        <v>124</v>
      </c>
      <c r="O845" s="248" t="s">
        <v>167</v>
      </c>
      <c r="R845" s="64" t="s">
        <v>308</v>
      </c>
      <c r="S845" s="251" t="s">
        <v>104</v>
      </c>
      <c r="X845" s="251" t="s">
        <v>1544</v>
      </c>
      <c r="Y845" s="251" t="str">
        <f t="shared" si="1722"/>
        <v>Pass</v>
      </c>
      <c r="Z845" s="11" t="str">
        <f t="shared" si="1707"/>
        <v/>
      </c>
      <c r="AA845" s="252" t="str">
        <f t="shared" si="1708"/>
        <v/>
      </c>
      <c r="AB845" s="252" t="str">
        <f t="shared" si="1709"/>
        <v/>
      </c>
    </row>
    <row r="846" spans="2:28" x14ac:dyDescent="0.25">
      <c r="B846" s="66">
        <v>41850</v>
      </c>
      <c r="C846" s="66">
        <v>41850</v>
      </c>
      <c r="D846" s="68">
        <f t="shared" ref="D846" si="1726">IF(B846&gt;0,MONTH(B846),"False")</f>
        <v>7</v>
      </c>
      <c r="E846" s="66" t="str">
        <f t="shared" ref="E846" si="1727">YEAR(B846) &amp; CHOOSE(D846,"-Jan","-Feb","-Mar","-Apr","-May","-Jun","-Jul","-Aug","-Sep","-Oct","-Nov","-Dec")</f>
        <v>2014-Jul</v>
      </c>
      <c r="F846" s="68">
        <f t="shared" ref="F846" si="1728">IF(C846&gt;0,MONTH(C846),"False")</f>
        <v>7</v>
      </c>
      <c r="G846" s="251" t="s">
        <v>112</v>
      </c>
      <c r="H846" s="250" t="s">
        <v>28</v>
      </c>
      <c r="I846" s="250"/>
      <c r="J846" s="250" t="s">
        <v>78</v>
      </c>
      <c r="K846" s="250" t="s">
        <v>78</v>
      </c>
      <c r="L846" s="250" t="s">
        <v>79</v>
      </c>
      <c r="M846" s="250" t="s">
        <v>1540</v>
      </c>
      <c r="N846" s="250" t="s">
        <v>124</v>
      </c>
      <c r="O846" s="250" t="s">
        <v>168</v>
      </c>
      <c r="P846" s="250"/>
      <c r="R846" s="64" t="s">
        <v>308</v>
      </c>
      <c r="S846" s="251" t="s">
        <v>104</v>
      </c>
      <c r="X846" s="251" t="s">
        <v>1544</v>
      </c>
      <c r="Y846" s="251" t="str">
        <f t="shared" si="1722"/>
        <v>Pass</v>
      </c>
      <c r="Z846" s="11" t="str">
        <f t="shared" si="1707"/>
        <v/>
      </c>
      <c r="AA846" s="252" t="str">
        <f t="shared" si="1708"/>
        <v/>
      </c>
      <c r="AB846" s="252" t="str">
        <f t="shared" si="1709"/>
        <v/>
      </c>
    </row>
    <row r="847" spans="2:28" x14ac:dyDescent="0.25">
      <c r="B847" s="66">
        <v>41850</v>
      </c>
      <c r="C847" s="66">
        <v>41850</v>
      </c>
      <c r="D847" s="68">
        <f t="shared" ref="D847" si="1729">IF(B847&gt;0,MONTH(B847),"False")</f>
        <v>7</v>
      </c>
      <c r="E847" s="66" t="str">
        <f t="shared" ref="E847" si="1730">YEAR(B847) &amp; CHOOSE(D847,"-Jan","-Feb","-Mar","-Apr","-May","-Jun","-Jul","-Aug","-Sep","-Oct","-Nov","-Dec")</f>
        <v>2014-Jul</v>
      </c>
      <c r="F847" s="68">
        <f t="shared" ref="F847" si="1731">IF(C847&gt;0,MONTH(C847),"False")</f>
        <v>7</v>
      </c>
      <c r="G847" s="250" t="s">
        <v>87</v>
      </c>
      <c r="H847" s="250" t="s">
        <v>166</v>
      </c>
      <c r="J847" s="250" t="s">
        <v>120</v>
      </c>
      <c r="K847" s="250" t="s">
        <v>82</v>
      </c>
      <c r="L847" s="250" t="s">
        <v>83</v>
      </c>
      <c r="M847" s="1" t="s">
        <v>1541</v>
      </c>
      <c r="N847" s="250" t="s">
        <v>124</v>
      </c>
      <c r="O847" s="250" t="s">
        <v>147</v>
      </c>
      <c r="Q847" s="2" t="s">
        <v>88</v>
      </c>
      <c r="R847" s="64" t="s">
        <v>1542</v>
      </c>
      <c r="T847" s="67" t="s">
        <v>110</v>
      </c>
      <c r="Y847" s="251" t="str">
        <f t="shared" si="1722"/>
        <v>Obsolete</v>
      </c>
      <c r="Z847" s="11">
        <f t="shared" si="1707"/>
        <v>41850</v>
      </c>
      <c r="AA847" s="252" t="str">
        <f t="shared" si="1708"/>
        <v>2014 - 31</v>
      </c>
      <c r="AB847" s="252">
        <f t="shared" si="1709"/>
        <v>2014</v>
      </c>
    </row>
    <row r="848" spans="2:28" x14ac:dyDescent="0.25">
      <c r="B848" s="66">
        <v>41850</v>
      </c>
      <c r="C848" s="66">
        <v>41850</v>
      </c>
      <c r="D848" s="68">
        <f t="shared" ref="D848:D849" si="1732">IF(B848&gt;0,MONTH(B848),"False")</f>
        <v>7</v>
      </c>
      <c r="E848" s="66" t="str">
        <f t="shared" ref="E848:E849" si="1733">YEAR(B848) &amp; CHOOSE(D848,"-Jan","-Feb","-Mar","-Apr","-May","-Jun","-Jul","-Aug","-Sep","-Oct","-Nov","-Dec")</f>
        <v>2014-Jul</v>
      </c>
      <c r="F848" s="68">
        <f t="shared" ref="F848:F849" si="1734">IF(C848&gt;0,MONTH(C848),"False")</f>
        <v>7</v>
      </c>
      <c r="G848" s="271" t="s">
        <v>112</v>
      </c>
      <c r="H848" s="250" t="s">
        <v>166</v>
      </c>
      <c r="J848" s="250" t="s">
        <v>77</v>
      </c>
      <c r="K848" s="250" t="s">
        <v>82</v>
      </c>
      <c r="L848" s="250" t="s">
        <v>83</v>
      </c>
      <c r="M848" s="1" t="s">
        <v>1543</v>
      </c>
      <c r="N848" s="250" t="s">
        <v>124</v>
      </c>
      <c r="O848" s="250" t="s">
        <v>353</v>
      </c>
      <c r="R848" s="64" t="s">
        <v>862</v>
      </c>
      <c r="S848" s="271" t="s">
        <v>104</v>
      </c>
      <c r="T848" s="67" t="s">
        <v>110</v>
      </c>
      <c r="X848" s="271" t="s">
        <v>298</v>
      </c>
      <c r="Y848" s="253" t="str">
        <f t="shared" ref="Y848:Y867" si="1735">IF(Q848&gt;0,"Obsolete",IF(S848&gt;0,S848,"Unknown"))</f>
        <v>Pass</v>
      </c>
      <c r="Z848" s="11" t="str">
        <f t="shared" ref="Z848:Z867" si="1736">IF(Q848="Obsolete-LQA",C848,IF(Q848="Obsolete-IT",B848,""))</f>
        <v/>
      </c>
      <c r="AA848" s="253" t="str">
        <f t="shared" ref="AA848:AA867" si="1737">IFERROR(YEAR(Z848)&amp;" - "&amp; IF(LEN( WEEKNUM(Z848))=1,"0" &amp; WEEKNUM(Z848),WEEKNUM(Z848)),"")</f>
        <v/>
      </c>
      <c r="AB848" s="253" t="str">
        <f t="shared" ref="AB848:AB867" si="1738">IFERROR(YEAR(Z848),"")</f>
        <v/>
      </c>
    </row>
    <row r="849" spans="2:28" x14ac:dyDescent="0.25">
      <c r="B849" s="65">
        <v>41851</v>
      </c>
      <c r="C849" s="66">
        <v>41851</v>
      </c>
      <c r="D849" s="68">
        <f t="shared" si="1732"/>
        <v>7</v>
      </c>
      <c r="E849" s="66" t="str">
        <f t="shared" si="1733"/>
        <v>2014-Jul</v>
      </c>
      <c r="F849" s="68">
        <f t="shared" si="1734"/>
        <v>7</v>
      </c>
      <c r="G849" s="251" t="s">
        <v>93</v>
      </c>
      <c r="H849" s="251" t="s">
        <v>330</v>
      </c>
      <c r="J849" s="251" t="s">
        <v>81</v>
      </c>
      <c r="K849" s="251" t="s">
        <v>82</v>
      </c>
      <c r="L849" s="251" t="s">
        <v>79</v>
      </c>
      <c r="M849" s="1" t="s">
        <v>1545</v>
      </c>
      <c r="N849" s="251" t="s">
        <v>124</v>
      </c>
      <c r="O849" s="251" t="s">
        <v>91</v>
      </c>
      <c r="P849" s="64" t="s">
        <v>337</v>
      </c>
      <c r="Q849" s="2" t="s">
        <v>88</v>
      </c>
      <c r="R849" s="64" t="s">
        <v>338</v>
      </c>
      <c r="Y849" s="253" t="str">
        <f t="shared" si="1735"/>
        <v>Obsolete</v>
      </c>
      <c r="Z849" s="11">
        <f t="shared" si="1736"/>
        <v>41851</v>
      </c>
      <c r="AA849" s="253" t="str">
        <f t="shared" si="1737"/>
        <v>2014 - 31</v>
      </c>
      <c r="AB849" s="253">
        <f t="shared" si="1738"/>
        <v>2014</v>
      </c>
    </row>
    <row r="850" spans="2:28" x14ac:dyDescent="0.25">
      <c r="B850" s="65">
        <v>41851</v>
      </c>
      <c r="C850" s="66">
        <v>41851</v>
      </c>
      <c r="D850" s="68">
        <f t="shared" ref="D850:D851" si="1739">IF(B850&gt;0,MONTH(B850),"False")</f>
        <v>7</v>
      </c>
      <c r="E850" s="66" t="str">
        <f t="shared" ref="E850:E851" si="1740">YEAR(B850) &amp; CHOOSE(D850,"-Jan","-Feb","-Mar","-Apr","-May","-Jun","-Jul","-Aug","-Sep","-Oct","-Nov","-Dec")</f>
        <v>2014-Jul</v>
      </c>
      <c r="F850" s="68">
        <f t="shared" ref="F850:F851" si="1741">IF(C850&gt;0,MONTH(C850),"False")</f>
        <v>7</v>
      </c>
      <c r="G850" s="251" t="s">
        <v>93</v>
      </c>
      <c r="H850" s="251" t="s">
        <v>136</v>
      </c>
      <c r="J850" s="251" t="s">
        <v>77</v>
      </c>
      <c r="K850" s="251" t="s">
        <v>82</v>
      </c>
      <c r="L850" s="251" t="s">
        <v>79</v>
      </c>
      <c r="M850" s="1" t="s">
        <v>1546</v>
      </c>
      <c r="N850" s="251" t="s">
        <v>124</v>
      </c>
      <c r="O850" s="251" t="s">
        <v>114</v>
      </c>
      <c r="P850" s="64" t="s">
        <v>750</v>
      </c>
      <c r="R850" s="64" t="s">
        <v>1513</v>
      </c>
      <c r="Y850" s="253" t="str">
        <f t="shared" si="1735"/>
        <v>Unknown</v>
      </c>
      <c r="Z850" s="11" t="str">
        <f t="shared" si="1736"/>
        <v/>
      </c>
      <c r="AA850" s="253" t="str">
        <f t="shared" si="1737"/>
        <v/>
      </c>
      <c r="AB850" s="253" t="str">
        <f t="shared" si="1738"/>
        <v/>
      </c>
    </row>
    <row r="851" spans="2:28" x14ac:dyDescent="0.25">
      <c r="B851" s="66">
        <v>41852</v>
      </c>
      <c r="C851" s="66">
        <v>41852</v>
      </c>
      <c r="D851" s="68">
        <f t="shared" si="1739"/>
        <v>8</v>
      </c>
      <c r="E851" s="66" t="str">
        <f t="shared" si="1740"/>
        <v>2014-Aug</v>
      </c>
      <c r="F851" s="68">
        <f t="shared" si="1741"/>
        <v>8</v>
      </c>
      <c r="G851" s="253" t="s">
        <v>87</v>
      </c>
      <c r="H851" s="253" t="s">
        <v>166</v>
      </c>
      <c r="J851" s="253" t="s">
        <v>120</v>
      </c>
      <c r="K851" s="253" t="s">
        <v>82</v>
      </c>
      <c r="L851" s="253" t="s">
        <v>83</v>
      </c>
      <c r="M851" s="1" t="s">
        <v>1552</v>
      </c>
      <c r="N851" s="253" t="s">
        <v>124</v>
      </c>
      <c r="O851" s="253" t="s">
        <v>147</v>
      </c>
      <c r="Q851" s="2" t="s">
        <v>88</v>
      </c>
      <c r="R851" s="64" t="s">
        <v>1542</v>
      </c>
      <c r="Y851" s="253" t="str">
        <f t="shared" si="1735"/>
        <v>Obsolete</v>
      </c>
      <c r="Z851" s="11">
        <f t="shared" si="1736"/>
        <v>41852</v>
      </c>
      <c r="AA851" s="253" t="str">
        <f t="shared" si="1737"/>
        <v>2014 - 31</v>
      </c>
      <c r="AB851" s="253">
        <f t="shared" si="1738"/>
        <v>2014</v>
      </c>
    </row>
    <row r="852" spans="2:28" x14ac:dyDescent="0.25">
      <c r="B852" s="65">
        <v>41852</v>
      </c>
      <c r="C852" s="66">
        <v>41852</v>
      </c>
      <c r="D852" s="68">
        <f t="shared" ref="D852" si="1742">IF(B852&gt;0,MONTH(B852),"False")</f>
        <v>8</v>
      </c>
      <c r="E852" s="66" t="str">
        <f t="shared" ref="E852" si="1743">YEAR(B852) &amp; CHOOSE(D852,"-Jan","-Feb","-Mar","-Apr","-May","-Jun","-Jul","-Aug","-Sep","-Oct","-Nov","-Dec")</f>
        <v>2014-Aug</v>
      </c>
      <c r="F852" s="68">
        <f t="shared" ref="F852" si="1744">IF(C852&gt;0,MONTH(C852),"False")</f>
        <v>8</v>
      </c>
      <c r="G852" s="253" t="s">
        <v>121</v>
      </c>
      <c r="H852" s="253" t="s">
        <v>166</v>
      </c>
      <c r="J852" s="253" t="s">
        <v>120</v>
      </c>
      <c r="K852" s="253" t="s">
        <v>82</v>
      </c>
      <c r="L852" s="253" t="s">
        <v>79</v>
      </c>
      <c r="M852" s="1" t="s">
        <v>1553</v>
      </c>
      <c r="N852" s="253" t="s">
        <v>124</v>
      </c>
      <c r="O852" s="253" t="s">
        <v>1368</v>
      </c>
      <c r="P852" s="64" t="s">
        <v>557</v>
      </c>
      <c r="R852" s="64" t="s">
        <v>594</v>
      </c>
      <c r="S852" s="253" t="s">
        <v>104</v>
      </c>
      <c r="X852" s="253" t="s">
        <v>1312</v>
      </c>
      <c r="Y852" s="253" t="str">
        <f t="shared" si="1735"/>
        <v>Pass</v>
      </c>
      <c r="Z852" s="11" t="str">
        <f t="shared" si="1736"/>
        <v/>
      </c>
      <c r="AA852" s="253" t="str">
        <f t="shared" si="1737"/>
        <v/>
      </c>
      <c r="AB852" s="253" t="str">
        <f t="shared" si="1738"/>
        <v/>
      </c>
    </row>
    <row r="853" spans="2:28" x14ac:dyDescent="0.25">
      <c r="B853" s="65">
        <v>41852</v>
      </c>
      <c r="C853" s="66">
        <v>41852</v>
      </c>
      <c r="D853" s="68">
        <f t="shared" ref="D853" si="1745">IF(B853&gt;0,MONTH(B853),"False")</f>
        <v>8</v>
      </c>
      <c r="E853" s="66" t="str">
        <f t="shared" ref="E853" si="1746">YEAR(B853) &amp; CHOOSE(D853,"-Jan","-Feb","-Mar","-Apr","-May","-Jun","-Jul","-Aug","-Sep","-Oct","-Nov","-Dec")</f>
        <v>2014-Aug</v>
      </c>
      <c r="F853" s="68">
        <f t="shared" ref="F853" si="1747">IF(C853&gt;0,MONTH(C853),"False")</f>
        <v>8</v>
      </c>
      <c r="G853" s="253" t="s">
        <v>121</v>
      </c>
      <c r="H853" s="253" t="s">
        <v>136</v>
      </c>
      <c r="J853" s="253" t="s">
        <v>120</v>
      </c>
      <c r="K853" s="253" t="s">
        <v>82</v>
      </c>
      <c r="L853" s="253" t="s">
        <v>79</v>
      </c>
      <c r="M853" s="1" t="s">
        <v>1554</v>
      </c>
      <c r="N853" s="253" t="s">
        <v>124</v>
      </c>
      <c r="O853" s="253" t="s">
        <v>1368</v>
      </c>
      <c r="P853" s="64" t="s">
        <v>750</v>
      </c>
      <c r="R853" s="64" t="s">
        <v>1513</v>
      </c>
      <c r="S853" s="253" t="s">
        <v>104</v>
      </c>
      <c r="X853" s="253" t="s">
        <v>1312</v>
      </c>
      <c r="Y853" s="253" t="str">
        <f t="shared" si="1735"/>
        <v>Pass</v>
      </c>
      <c r="Z853" s="11" t="str">
        <f t="shared" si="1736"/>
        <v/>
      </c>
      <c r="AA853" s="253" t="str">
        <f t="shared" si="1737"/>
        <v/>
      </c>
      <c r="AB853" s="253" t="str">
        <f t="shared" si="1738"/>
        <v/>
      </c>
    </row>
    <row r="854" spans="2:28" x14ac:dyDescent="0.25">
      <c r="B854" s="65">
        <v>41855</v>
      </c>
      <c r="C854" s="66">
        <v>41855</v>
      </c>
      <c r="D854" s="68">
        <f t="shared" ref="D854:D855" si="1748">IF(B854&gt;0,MONTH(B854),"False")</f>
        <v>8</v>
      </c>
      <c r="E854" s="66" t="str">
        <f t="shared" ref="E854:E855" si="1749">YEAR(B854) &amp; CHOOSE(D854,"-Jan","-Feb","-Mar","-Apr","-May","-Jun","-Jul","-Aug","-Sep","-Oct","-Nov","-Dec")</f>
        <v>2014-Aug</v>
      </c>
      <c r="F854" s="68">
        <f t="shared" ref="F854:F855" si="1750">IF(C854&gt;0,MONTH(C854),"False")</f>
        <v>8</v>
      </c>
      <c r="G854" s="254" t="s">
        <v>121</v>
      </c>
      <c r="H854" s="254" t="s">
        <v>166</v>
      </c>
      <c r="J854" s="254" t="s">
        <v>120</v>
      </c>
      <c r="K854" s="254" t="s">
        <v>82</v>
      </c>
      <c r="L854" s="254" t="s">
        <v>79</v>
      </c>
      <c r="M854" s="1" t="s">
        <v>1555</v>
      </c>
      <c r="N854" s="254" t="s">
        <v>124</v>
      </c>
      <c r="O854" s="254" t="s">
        <v>147</v>
      </c>
      <c r="P854" s="64" t="s">
        <v>557</v>
      </c>
      <c r="R854" s="64" t="s">
        <v>594</v>
      </c>
      <c r="S854" s="254" t="s">
        <v>104</v>
      </c>
      <c r="X854" s="254" t="s">
        <v>1312</v>
      </c>
      <c r="Y854" s="253" t="str">
        <f t="shared" si="1735"/>
        <v>Pass</v>
      </c>
      <c r="Z854" s="11" t="str">
        <f t="shared" si="1736"/>
        <v/>
      </c>
      <c r="AA854" s="253" t="str">
        <f t="shared" si="1737"/>
        <v/>
      </c>
      <c r="AB854" s="253" t="str">
        <f t="shared" si="1738"/>
        <v/>
      </c>
    </row>
    <row r="855" spans="2:28" x14ac:dyDescent="0.25">
      <c r="B855" s="66">
        <v>41855</v>
      </c>
      <c r="C855" s="66">
        <v>41855</v>
      </c>
      <c r="D855" s="68">
        <f t="shared" si="1748"/>
        <v>8</v>
      </c>
      <c r="E855" s="66" t="str">
        <f t="shared" si="1749"/>
        <v>2014-Aug</v>
      </c>
      <c r="F855" s="68">
        <f t="shared" si="1750"/>
        <v>8</v>
      </c>
      <c r="G855" s="257" t="s">
        <v>126</v>
      </c>
      <c r="H855" s="254" t="s">
        <v>280</v>
      </c>
      <c r="J855" s="254" t="s">
        <v>78</v>
      </c>
      <c r="K855" s="254" t="s">
        <v>78</v>
      </c>
      <c r="L855" s="254" t="s">
        <v>79</v>
      </c>
      <c r="M855" s="1" t="s">
        <v>1557</v>
      </c>
      <c r="N855" s="254" t="s">
        <v>124</v>
      </c>
      <c r="O855" s="254" t="s">
        <v>304</v>
      </c>
      <c r="R855" s="64" t="s">
        <v>344</v>
      </c>
      <c r="S855" s="257" t="s">
        <v>104</v>
      </c>
      <c r="X855" s="257" t="s">
        <v>544</v>
      </c>
      <c r="Y855" s="253" t="str">
        <f t="shared" si="1735"/>
        <v>Pass</v>
      </c>
      <c r="Z855" s="11" t="str">
        <f t="shared" si="1736"/>
        <v/>
      </c>
      <c r="AA855" s="253" t="str">
        <f t="shared" si="1737"/>
        <v/>
      </c>
      <c r="AB855" s="253" t="str">
        <f t="shared" si="1738"/>
        <v/>
      </c>
    </row>
    <row r="856" spans="2:28" x14ac:dyDescent="0.25">
      <c r="B856" s="65">
        <v>41856</v>
      </c>
      <c r="C856" s="66">
        <v>41856</v>
      </c>
      <c r="D856" s="68">
        <f t="shared" ref="D856" si="1751">IF(B856&gt;0,MONTH(B856),"False")</f>
        <v>8</v>
      </c>
      <c r="E856" s="66" t="str">
        <f t="shared" ref="E856" si="1752">YEAR(B856) &amp; CHOOSE(D856,"-Jan","-Feb","-Mar","-Apr","-May","-Jun","-Jul","-Aug","-Sep","-Oct","-Nov","-Dec")</f>
        <v>2014-Aug</v>
      </c>
      <c r="F856" s="68">
        <f t="shared" ref="F856" si="1753">IF(C856&gt;0,MONTH(C856),"False")</f>
        <v>8</v>
      </c>
      <c r="G856" s="257" t="s">
        <v>105</v>
      </c>
      <c r="H856" s="255" t="s">
        <v>280</v>
      </c>
      <c r="J856" s="255" t="s">
        <v>81</v>
      </c>
      <c r="K856" s="255" t="s">
        <v>82</v>
      </c>
      <c r="L856" s="255" t="s">
        <v>79</v>
      </c>
      <c r="M856" s="1" t="s">
        <v>1558</v>
      </c>
      <c r="N856" s="255" t="s">
        <v>124</v>
      </c>
      <c r="O856" s="255" t="s">
        <v>286</v>
      </c>
      <c r="P856" s="64" t="s">
        <v>1559</v>
      </c>
      <c r="R856" s="64" t="s">
        <v>305</v>
      </c>
      <c r="S856" s="257" t="s">
        <v>104</v>
      </c>
      <c r="X856" s="257" t="s">
        <v>544</v>
      </c>
      <c r="Y856" s="253" t="str">
        <f t="shared" si="1735"/>
        <v>Pass</v>
      </c>
      <c r="Z856" s="11" t="str">
        <f t="shared" si="1736"/>
        <v/>
      </c>
      <c r="AA856" s="253" t="str">
        <f t="shared" si="1737"/>
        <v/>
      </c>
      <c r="AB856" s="253" t="str">
        <f t="shared" si="1738"/>
        <v/>
      </c>
    </row>
    <row r="857" spans="2:28" x14ac:dyDescent="0.25">
      <c r="B857" s="65">
        <v>41856</v>
      </c>
      <c r="C857" s="66">
        <v>41856</v>
      </c>
      <c r="D857" s="68">
        <f t="shared" ref="D857:D858" si="1754">IF(B857&gt;0,MONTH(B857),"False")</f>
        <v>8</v>
      </c>
      <c r="E857" s="66" t="str">
        <f t="shared" ref="E857:E858" si="1755">YEAR(B857) &amp; CHOOSE(D857,"-Jan","-Feb","-Mar","-Apr","-May","-Jun","-Jul","-Aug","-Sep","-Oct","-Nov","-Dec")</f>
        <v>2014-Aug</v>
      </c>
      <c r="F857" s="68">
        <f t="shared" ref="F857:F858" si="1756">IF(C857&gt;0,MONTH(C857),"False")</f>
        <v>8</v>
      </c>
      <c r="G857" s="255" t="s">
        <v>93</v>
      </c>
      <c r="H857" s="255" t="s">
        <v>330</v>
      </c>
      <c r="J857" s="255" t="s">
        <v>81</v>
      </c>
      <c r="K857" s="255" t="s">
        <v>82</v>
      </c>
      <c r="L857" s="255" t="s">
        <v>79</v>
      </c>
      <c r="M857" s="1" t="s">
        <v>1560</v>
      </c>
      <c r="N857" s="255" t="s">
        <v>124</v>
      </c>
      <c r="O857" s="255" t="s">
        <v>91</v>
      </c>
      <c r="P857" s="64" t="s">
        <v>337</v>
      </c>
      <c r="R857" s="64" t="s">
        <v>338</v>
      </c>
      <c r="S857" s="1" t="s">
        <v>104</v>
      </c>
      <c r="Y857" s="253" t="str">
        <f t="shared" si="1735"/>
        <v>Pass</v>
      </c>
      <c r="Z857" s="11" t="str">
        <f t="shared" si="1736"/>
        <v/>
      </c>
      <c r="AA857" s="253" t="str">
        <f t="shared" si="1737"/>
        <v/>
      </c>
      <c r="AB857" s="253" t="str">
        <f t="shared" si="1738"/>
        <v/>
      </c>
    </row>
    <row r="858" spans="2:28" x14ac:dyDescent="0.25">
      <c r="B858" s="66">
        <v>41856</v>
      </c>
      <c r="C858" s="66">
        <v>41856</v>
      </c>
      <c r="D858" s="68">
        <f t="shared" si="1754"/>
        <v>8</v>
      </c>
      <c r="E858" s="66" t="str">
        <f t="shared" si="1755"/>
        <v>2014-Aug</v>
      </c>
      <c r="F858" s="68">
        <f t="shared" si="1756"/>
        <v>8</v>
      </c>
      <c r="G858" s="255" t="s">
        <v>87</v>
      </c>
      <c r="H858" s="255" t="s">
        <v>330</v>
      </c>
      <c r="J858" s="255" t="s">
        <v>78</v>
      </c>
      <c r="K858" s="255" t="s">
        <v>78</v>
      </c>
      <c r="L858" s="255" t="s">
        <v>79</v>
      </c>
      <c r="M858" s="1" t="s">
        <v>1561</v>
      </c>
      <c r="N858" s="255" t="s">
        <v>124</v>
      </c>
      <c r="O858" s="255" t="s">
        <v>306</v>
      </c>
      <c r="R858" s="64" t="s">
        <v>339</v>
      </c>
      <c r="S858" s="269" t="s">
        <v>104</v>
      </c>
      <c r="Y858" s="253" t="str">
        <f t="shared" si="1735"/>
        <v>Pass</v>
      </c>
      <c r="Z858" s="11" t="str">
        <f t="shared" si="1736"/>
        <v/>
      </c>
      <c r="AA858" s="253" t="str">
        <f t="shared" si="1737"/>
        <v/>
      </c>
      <c r="AB858" s="253" t="str">
        <f t="shared" si="1738"/>
        <v/>
      </c>
    </row>
    <row r="859" spans="2:28" x14ac:dyDescent="0.25">
      <c r="B859" s="65">
        <v>41857</v>
      </c>
      <c r="C859" s="66">
        <v>41857</v>
      </c>
      <c r="D859" s="68">
        <f t="shared" ref="D859" si="1757">IF(B859&gt;0,MONTH(B859),"False")</f>
        <v>8</v>
      </c>
      <c r="E859" s="66" t="str">
        <f t="shared" ref="E859" si="1758">YEAR(B859) &amp; CHOOSE(D859,"-Jan","-Feb","-Mar","-Apr","-May","-Jun","-Jul","-Aug","-Sep","-Oct","-Nov","-Dec")</f>
        <v>2014-Aug</v>
      </c>
      <c r="F859" s="68">
        <f t="shared" ref="F859" si="1759">IF(C859&gt;0,MONTH(C859),"False")</f>
        <v>8</v>
      </c>
      <c r="G859" s="255" t="s">
        <v>93</v>
      </c>
      <c r="H859" s="255" t="s">
        <v>136</v>
      </c>
      <c r="J859" s="255" t="s">
        <v>77</v>
      </c>
      <c r="K859" s="255" t="s">
        <v>82</v>
      </c>
      <c r="L859" s="255" t="s">
        <v>79</v>
      </c>
      <c r="M859" s="1" t="s">
        <v>1562</v>
      </c>
      <c r="N859" s="255" t="s">
        <v>124</v>
      </c>
      <c r="O859" s="255" t="s">
        <v>507</v>
      </c>
      <c r="P859" s="64" t="s">
        <v>750</v>
      </c>
      <c r="R859" s="64" t="s">
        <v>1513</v>
      </c>
      <c r="Y859" s="253" t="str">
        <f t="shared" si="1735"/>
        <v>Unknown</v>
      </c>
      <c r="Z859" s="11" t="str">
        <f t="shared" si="1736"/>
        <v/>
      </c>
      <c r="AA859" s="253" t="str">
        <f t="shared" si="1737"/>
        <v/>
      </c>
      <c r="AB859" s="253" t="str">
        <f t="shared" si="1738"/>
        <v/>
      </c>
    </row>
    <row r="860" spans="2:28" x14ac:dyDescent="0.25">
      <c r="B860" s="66">
        <v>41857</v>
      </c>
      <c r="C860" s="66">
        <v>41857</v>
      </c>
      <c r="D860" s="68">
        <f t="shared" ref="D860" si="1760">IF(B860&gt;0,MONTH(B860),"False")</f>
        <v>8</v>
      </c>
      <c r="E860" s="66" t="str">
        <f t="shared" ref="E860" si="1761">YEAR(B860) &amp; CHOOSE(D860,"-Jan","-Feb","-Mar","-Apr","-May","-Jun","-Jul","-Aug","-Sep","-Oct","-Nov","-Dec")</f>
        <v>2014-Aug</v>
      </c>
      <c r="F860" s="68">
        <f t="shared" ref="F860" si="1762">IF(C860&gt;0,MONTH(C860),"False")</f>
        <v>8</v>
      </c>
      <c r="G860" s="289" t="s">
        <v>112</v>
      </c>
      <c r="H860" s="255" t="s">
        <v>166</v>
      </c>
      <c r="J860" s="255" t="s">
        <v>146</v>
      </c>
      <c r="K860" s="255" t="s">
        <v>82</v>
      </c>
      <c r="L860" s="255" t="s">
        <v>83</v>
      </c>
      <c r="M860" s="1" t="s">
        <v>1563</v>
      </c>
      <c r="N860" s="255" t="s">
        <v>124</v>
      </c>
      <c r="O860" s="255" t="s">
        <v>343</v>
      </c>
      <c r="R860" s="64" t="s">
        <v>1564</v>
      </c>
      <c r="S860" s="289" t="s">
        <v>104</v>
      </c>
      <c r="T860" s="67" t="s">
        <v>110</v>
      </c>
      <c r="Y860" s="253" t="str">
        <f t="shared" si="1735"/>
        <v>Pass</v>
      </c>
      <c r="Z860" s="11" t="str">
        <f t="shared" si="1736"/>
        <v/>
      </c>
      <c r="AA860" s="253" t="str">
        <f t="shared" si="1737"/>
        <v/>
      </c>
      <c r="AB860" s="253" t="str">
        <f t="shared" si="1738"/>
        <v/>
      </c>
    </row>
    <row r="861" spans="2:28" x14ac:dyDescent="0.25">
      <c r="B861" s="66">
        <v>41857</v>
      </c>
      <c r="C861" s="66">
        <v>41857</v>
      </c>
      <c r="D861" s="68">
        <f t="shared" ref="D861" si="1763">IF(B861&gt;0,MONTH(B861),"False")</f>
        <v>8</v>
      </c>
      <c r="E861" s="66" t="str">
        <f t="shared" ref="E861" si="1764">YEAR(B861) &amp; CHOOSE(D861,"-Jan","-Feb","-Mar","-Apr","-May","-Jun","-Jul","-Aug","-Sep","-Oct","-Nov","-Dec")</f>
        <v>2014-Aug</v>
      </c>
      <c r="F861" s="68">
        <f t="shared" ref="F861" si="1765">IF(C861&gt;0,MONTH(C861),"False")</f>
        <v>8</v>
      </c>
      <c r="G861" s="255" t="s">
        <v>87</v>
      </c>
      <c r="H861" s="255" t="s">
        <v>166</v>
      </c>
      <c r="J861" s="255" t="s">
        <v>149</v>
      </c>
      <c r="K861" s="255" t="s">
        <v>84</v>
      </c>
      <c r="L861" s="255" t="s">
        <v>79</v>
      </c>
      <c r="M861" s="1" t="s">
        <v>1565</v>
      </c>
      <c r="N861" s="255" t="s">
        <v>124</v>
      </c>
      <c r="O861" s="255" t="s">
        <v>148</v>
      </c>
      <c r="R861" s="64" t="s">
        <v>1041</v>
      </c>
      <c r="Y861" s="253" t="str">
        <f t="shared" si="1735"/>
        <v>Unknown</v>
      </c>
      <c r="Z861" s="11" t="str">
        <f t="shared" si="1736"/>
        <v/>
      </c>
      <c r="AA861" s="253" t="str">
        <f t="shared" si="1737"/>
        <v/>
      </c>
      <c r="AB861" s="253" t="str">
        <f t="shared" si="1738"/>
        <v/>
      </c>
    </row>
    <row r="862" spans="2:28" x14ac:dyDescent="0.25">
      <c r="B862" s="66">
        <v>41857</v>
      </c>
      <c r="C862" s="66">
        <v>41857</v>
      </c>
      <c r="D862" s="68">
        <f t="shared" ref="D862" si="1766">IF(B862&gt;0,MONTH(B862),"False")</f>
        <v>8</v>
      </c>
      <c r="E862" s="66" t="str">
        <f t="shared" ref="E862" si="1767">YEAR(B862) &amp; CHOOSE(D862,"-Jan","-Feb","-Mar","-Apr","-May","-Jun","-Jul","-Aug","-Sep","-Oct","-Nov","-Dec")</f>
        <v>2014-Aug</v>
      </c>
      <c r="F862" s="68">
        <f t="shared" ref="F862" si="1768">IF(C862&gt;0,MONTH(C862),"False")</f>
        <v>8</v>
      </c>
      <c r="G862" s="255" t="s">
        <v>87</v>
      </c>
      <c r="H862" s="255" t="s">
        <v>166</v>
      </c>
      <c r="J862" s="255" t="s">
        <v>260</v>
      </c>
      <c r="K862" s="255" t="s">
        <v>84</v>
      </c>
      <c r="L862" s="255" t="s">
        <v>83</v>
      </c>
      <c r="M862" s="1" t="s">
        <v>1566</v>
      </c>
      <c r="N862" s="255" t="s">
        <v>124</v>
      </c>
      <c r="O862" s="255" t="s">
        <v>148</v>
      </c>
      <c r="R862" s="64" t="s">
        <v>1567</v>
      </c>
      <c r="T862" s="67" t="s">
        <v>110</v>
      </c>
      <c r="Y862" s="253" t="str">
        <f t="shared" si="1735"/>
        <v>Unknown</v>
      </c>
      <c r="Z862" s="11" t="str">
        <f t="shared" si="1736"/>
        <v/>
      </c>
      <c r="AA862" s="253" t="str">
        <f t="shared" si="1737"/>
        <v/>
      </c>
      <c r="AB862" s="253" t="str">
        <f t="shared" si="1738"/>
        <v/>
      </c>
    </row>
    <row r="863" spans="2:28" x14ac:dyDescent="0.25">
      <c r="B863" s="66">
        <v>41857</v>
      </c>
      <c r="C863" s="66">
        <v>41857</v>
      </c>
      <c r="D863" s="68">
        <f t="shared" ref="D863:D864" si="1769">IF(B863&gt;0,MONTH(B863),"False")</f>
        <v>8</v>
      </c>
      <c r="E863" s="66" t="str">
        <f t="shared" ref="E863:E864" si="1770">YEAR(B863) &amp; CHOOSE(D863,"-Jan","-Feb","-Mar","-Apr","-May","-Jun","-Jul","-Aug","-Sep","-Oct","-Nov","-Dec")</f>
        <v>2014-Aug</v>
      </c>
      <c r="F863" s="68">
        <f t="shared" ref="F863:F864" si="1771">IF(C863&gt;0,MONTH(C863),"False")</f>
        <v>8</v>
      </c>
      <c r="G863" s="255" t="s">
        <v>87</v>
      </c>
      <c r="H863" s="255" t="s">
        <v>28</v>
      </c>
      <c r="J863" s="255" t="s">
        <v>119</v>
      </c>
      <c r="K863" s="255" t="s">
        <v>119</v>
      </c>
      <c r="L863" s="255" t="s">
        <v>83</v>
      </c>
      <c r="M863" s="1" t="s">
        <v>1568</v>
      </c>
      <c r="N863" s="255" t="s">
        <v>124</v>
      </c>
      <c r="O863" s="255" t="s">
        <v>144</v>
      </c>
      <c r="R863" s="64" t="s">
        <v>341</v>
      </c>
      <c r="Y863" s="253" t="str">
        <f t="shared" si="1735"/>
        <v>Unknown</v>
      </c>
      <c r="Z863" s="11" t="str">
        <f t="shared" si="1736"/>
        <v/>
      </c>
      <c r="AA863" s="253" t="str">
        <f t="shared" si="1737"/>
        <v/>
      </c>
      <c r="AB863" s="253" t="str">
        <f t="shared" si="1738"/>
        <v/>
      </c>
    </row>
    <row r="864" spans="2:28" x14ac:dyDescent="0.25">
      <c r="B864" s="65">
        <v>41857</v>
      </c>
      <c r="C864" s="66">
        <v>41857</v>
      </c>
      <c r="D864" s="68">
        <f t="shared" si="1769"/>
        <v>8</v>
      </c>
      <c r="E864" s="66" t="str">
        <f t="shared" si="1770"/>
        <v>2014-Aug</v>
      </c>
      <c r="F864" s="68">
        <f t="shared" si="1771"/>
        <v>8</v>
      </c>
      <c r="G864" s="255" t="s">
        <v>93</v>
      </c>
      <c r="H864" s="255" t="s">
        <v>166</v>
      </c>
      <c r="J864" s="255" t="s">
        <v>119</v>
      </c>
      <c r="K864" s="255" t="s">
        <v>119</v>
      </c>
      <c r="L864" s="255" t="s">
        <v>83</v>
      </c>
      <c r="M864" s="1" t="s">
        <v>1569</v>
      </c>
      <c r="N864" s="255" t="s">
        <v>124</v>
      </c>
      <c r="O864" s="255" t="s">
        <v>343</v>
      </c>
      <c r="P864" s="64" t="s">
        <v>1570</v>
      </c>
      <c r="R864" s="64" t="s">
        <v>1571</v>
      </c>
      <c r="Y864" s="253" t="str">
        <f t="shared" si="1735"/>
        <v>Unknown</v>
      </c>
      <c r="Z864" s="11" t="str">
        <f t="shared" si="1736"/>
        <v/>
      </c>
      <c r="AA864" s="253" t="str">
        <f t="shared" si="1737"/>
        <v/>
      </c>
      <c r="AB864" s="253" t="str">
        <f t="shared" si="1738"/>
        <v/>
      </c>
    </row>
    <row r="865" spans="2:28" x14ac:dyDescent="0.25">
      <c r="B865" s="65">
        <v>41857</v>
      </c>
      <c r="C865" s="66">
        <v>41857</v>
      </c>
      <c r="D865" s="68">
        <f t="shared" ref="D865" si="1772">IF(B865&gt;0,MONTH(B865),"False")</f>
        <v>8</v>
      </c>
      <c r="E865" s="66" t="str">
        <f t="shared" ref="E865" si="1773">YEAR(B865) &amp; CHOOSE(D865,"-Jan","-Feb","-Mar","-Apr","-May","-Jun","-Jul","-Aug","-Sep","-Oct","-Nov","-Dec")</f>
        <v>2014-Aug</v>
      </c>
      <c r="F865" s="68">
        <f t="shared" ref="F865" si="1774">IF(C865&gt;0,MONTH(C865),"False")</f>
        <v>8</v>
      </c>
      <c r="G865" s="255" t="s">
        <v>121</v>
      </c>
      <c r="H865" s="255" t="s">
        <v>166</v>
      </c>
      <c r="J865" s="255" t="s">
        <v>120</v>
      </c>
      <c r="K865" s="255" t="s">
        <v>82</v>
      </c>
      <c r="L865" s="255" t="s">
        <v>79</v>
      </c>
      <c r="M865" s="1" t="s">
        <v>1572</v>
      </c>
      <c r="N865" s="255" t="s">
        <v>124</v>
      </c>
      <c r="O865" s="255" t="s">
        <v>147</v>
      </c>
      <c r="P865" s="64" t="s">
        <v>557</v>
      </c>
      <c r="R865" s="64" t="s">
        <v>594</v>
      </c>
      <c r="S865" s="255" t="s">
        <v>104</v>
      </c>
      <c r="X865" s="255" t="s">
        <v>1312</v>
      </c>
      <c r="Y865" s="253" t="str">
        <f t="shared" si="1735"/>
        <v>Pass</v>
      </c>
      <c r="Z865" s="11" t="str">
        <f t="shared" si="1736"/>
        <v/>
      </c>
      <c r="AA865" s="253" t="str">
        <f t="shared" si="1737"/>
        <v/>
      </c>
      <c r="AB865" s="253" t="str">
        <f t="shared" si="1738"/>
        <v/>
      </c>
    </row>
    <row r="866" spans="2:28" x14ac:dyDescent="0.25">
      <c r="B866" s="65">
        <v>41857</v>
      </c>
      <c r="C866" s="66">
        <v>41857</v>
      </c>
      <c r="D866" s="68">
        <f t="shared" ref="D866" si="1775">IF(B866&gt;0,MONTH(B866),"False")</f>
        <v>8</v>
      </c>
      <c r="E866" s="66" t="str">
        <f t="shared" ref="E866" si="1776">YEAR(B866) &amp; CHOOSE(D866,"-Jan","-Feb","-Mar","-Apr","-May","-Jun","-Jul","-Aug","-Sep","-Oct","-Nov","-Dec")</f>
        <v>2014-Aug</v>
      </c>
      <c r="F866" s="68">
        <f t="shared" ref="F866" si="1777">IF(C866&gt;0,MONTH(C866),"False")</f>
        <v>8</v>
      </c>
      <c r="G866" s="255" t="s">
        <v>121</v>
      </c>
      <c r="H866" s="255" t="s">
        <v>136</v>
      </c>
      <c r="J866" s="255" t="s">
        <v>120</v>
      </c>
      <c r="K866" s="255" t="s">
        <v>82</v>
      </c>
      <c r="L866" s="255" t="s">
        <v>79</v>
      </c>
      <c r="M866" s="1" t="s">
        <v>1573</v>
      </c>
      <c r="N866" s="255" t="s">
        <v>124</v>
      </c>
      <c r="O866" s="255" t="s">
        <v>1368</v>
      </c>
      <c r="P866" s="64" t="s">
        <v>750</v>
      </c>
      <c r="R866" s="64" t="s">
        <v>1513</v>
      </c>
      <c r="S866" s="255" t="s">
        <v>104</v>
      </c>
      <c r="X866" s="255" t="s">
        <v>1312</v>
      </c>
      <c r="Y866" s="253" t="str">
        <f t="shared" si="1735"/>
        <v>Pass</v>
      </c>
      <c r="Z866" s="11" t="str">
        <f t="shared" si="1736"/>
        <v/>
      </c>
      <c r="AA866" s="253" t="str">
        <f t="shared" si="1737"/>
        <v/>
      </c>
      <c r="AB866" s="253" t="str">
        <f t="shared" si="1738"/>
        <v/>
      </c>
    </row>
    <row r="867" spans="2:28" x14ac:dyDescent="0.25">
      <c r="B867" s="66">
        <v>41858</v>
      </c>
      <c r="C867" s="66">
        <v>41858</v>
      </c>
      <c r="D867" s="68">
        <f t="shared" ref="D867" si="1778">IF(B867&gt;0,MONTH(B867),"False")</f>
        <v>8</v>
      </c>
      <c r="E867" s="66" t="str">
        <f t="shared" ref="E867" si="1779">YEAR(B867) &amp; CHOOSE(D867,"-Jan","-Feb","-Mar","-Apr","-May","-Jun","-Jul","-Aug","-Sep","-Oct","-Nov","-Dec")</f>
        <v>2014-Aug</v>
      </c>
      <c r="F867" s="68">
        <f t="shared" ref="F867" si="1780">IF(C867&gt;0,MONTH(C867),"False")</f>
        <v>8</v>
      </c>
      <c r="G867" s="258" t="s">
        <v>112</v>
      </c>
      <c r="H867" s="255" t="s">
        <v>280</v>
      </c>
      <c r="J867" s="255" t="s">
        <v>78</v>
      </c>
      <c r="K867" s="255" t="s">
        <v>78</v>
      </c>
      <c r="L867" s="255" t="s">
        <v>79</v>
      </c>
      <c r="M867" s="1" t="s">
        <v>1574</v>
      </c>
      <c r="N867" s="255" t="s">
        <v>124</v>
      </c>
      <c r="O867" s="255" t="s">
        <v>138</v>
      </c>
      <c r="R867" s="64" t="s">
        <v>344</v>
      </c>
      <c r="S867" s="258" t="s">
        <v>104</v>
      </c>
      <c r="X867" s="258" t="s">
        <v>544</v>
      </c>
      <c r="Y867" s="253" t="str">
        <f t="shared" si="1735"/>
        <v>Pass</v>
      </c>
      <c r="Z867" s="11" t="str">
        <f t="shared" si="1736"/>
        <v/>
      </c>
      <c r="AA867" s="253" t="str">
        <f t="shared" si="1737"/>
        <v/>
      </c>
      <c r="AB867" s="253" t="str">
        <f t="shared" si="1738"/>
        <v/>
      </c>
    </row>
    <row r="868" spans="2:28" x14ac:dyDescent="0.25">
      <c r="B868" s="66">
        <v>41859</v>
      </c>
      <c r="C868" s="66">
        <v>41859</v>
      </c>
      <c r="D868" s="68">
        <f t="shared" ref="D868" si="1781">IF(B868&gt;0,MONTH(B868),"False")</f>
        <v>8</v>
      </c>
      <c r="E868" s="66" t="str">
        <f t="shared" ref="E868" si="1782">YEAR(B868) &amp; CHOOSE(D868,"-Jan","-Feb","-Mar","-Apr","-May","-Jun","-Jul","-Aug","-Sep","-Oct","-Nov","-Dec")</f>
        <v>2014-Aug</v>
      </c>
      <c r="F868" s="68">
        <f t="shared" ref="F868" si="1783">IF(C868&gt;0,MONTH(C868),"False")</f>
        <v>8</v>
      </c>
      <c r="G868" s="256" t="s">
        <v>112</v>
      </c>
      <c r="H868" s="256" t="s">
        <v>166</v>
      </c>
      <c r="J868" s="256" t="s">
        <v>78</v>
      </c>
      <c r="K868" s="256" t="s">
        <v>78</v>
      </c>
      <c r="L868" s="256" t="s">
        <v>79</v>
      </c>
      <c r="M868" s="1" t="s">
        <v>1575</v>
      </c>
      <c r="N868" s="256" t="s">
        <v>124</v>
      </c>
      <c r="O868" s="256" t="s">
        <v>97</v>
      </c>
      <c r="R868" s="64" t="s">
        <v>307</v>
      </c>
      <c r="S868" s="1" t="s">
        <v>104</v>
      </c>
      <c r="Y868" s="253" t="str">
        <f t="shared" ref="Y868:Y893" si="1784">IF(Q868&gt;0,"Obsolete",IF(S868&gt;0,S868,"Unknown"))</f>
        <v>Pass</v>
      </c>
      <c r="Z868" s="11" t="str">
        <f t="shared" ref="Z868:Z893" si="1785">IF(Q868="Obsolete-LQA",C868,IF(Q868="Obsolete-IT",B868,""))</f>
        <v/>
      </c>
      <c r="AA868" s="253" t="str">
        <f t="shared" ref="AA868:AA893" si="1786">IFERROR(YEAR(Z868)&amp;" - "&amp; IF(LEN( WEEKNUM(Z868))=1,"0" &amp; WEEKNUM(Z868),WEEKNUM(Z868)),"")</f>
        <v/>
      </c>
      <c r="AB868" s="253" t="str">
        <f t="shared" ref="AB868:AB893" si="1787">IFERROR(YEAR(Z868),"")</f>
        <v/>
      </c>
    </row>
    <row r="869" spans="2:28" x14ac:dyDescent="0.25">
      <c r="B869" s="66">
        <v>41859</v>
      </c>
      <c r="C869" s="66">
        <v>41859</v>
      </c>
      <c r="D869" s="68">
        <f t="shared" ref="D869:D870" si="1788">IF(B869&gt;0,MONTH(B869),"False")</f>
        <v>8</v>
      </c>
      <c r="E869" s="66" t="str">
        <f t="shared" ref="E869:E870" si="1789">YEAR(B869) &amp; CHOOSE(D869,"-Jan","-Feb","-Mar","-Apr","-May","-Jun","-Jul","-Aug","-Sep","-Oct","-Nov","-Dec")</f>
        <v>2014-Aug</v>
      </c>
      <c r="F869" s="68">
        <f t="shared" ref="F869:F870" si="1790">IF(C869&gt;0,MONTH(C869),"False")</f>
        <v>8</v>
      </c>
      <c r="G869" s="276" t="s">
        <v>112</v>
      </c>
      <c r="H869" s="256" t="s">
        <v>166</v>
      </c>
      <c r="I869" s="256"/>
      <c r="J869" s="256" t="s">
        <v>78</v>
      </c>
      <c r="K869" s="256" t="s">
        <v>78</v>
      </c>
      <c r="L869" s="256" t="s">
        <v>79</v>
      </c>
      <c r="M869" s="256" t="s">
        <v>1576</v>
      </c>
      <c r="N869" s="256" t="s">
        <v>124</v>
      </c>
      <c r="O869" s="256" t="s">
        <v>97</v>
      </c>
      <c r="P869" s="256"/>
      <c r="R869" s="64" t="s">
        <v>1577</v>
      </c>
      <c r="S869" s="276" t="s">
        <v>104</v>
      </c>
      <c r="X869" s="276" t="s">
        <v>1474</v>
      </c>
      <c r="Y869" s="253" t="str">
        <f t="shared" si="1784"/>
        <v>Pass</v>
      </c>
      <c r="Z869" s="11" t="str">
        <f t="shared" si="1785"/>
        <v/>
      </c>
      <c r="AA869" s="253" t="str">
        <f t="shared" si="1786"/>
        <v/>
      </c>
      <c r="AB869" s="253" t="str">
        <f t="shared" si="1787"/>
        <v/>
      </c>
    </row>
    <row r="870" spans="2:28" x14ac:dyDescent="0.25">
      <c r="B870" s="65">
        <v>41862</v>
      </c>
      <c r="C870" s="66">
        <v>41862</v>
      </c>
      <c r="D870" s="68">
        <f t="shared" si="1788"/>
        <v>8</v>
      </c>
      <c r="E870" s="66" t="str">
        <f t="shared" si="1789"/>
        <v>2014-Aug</v>
      </c>
      <c r="F870" s="68">
        <f t="shared" si="1790"/>
        <v>8</v>
      </c>
      <c r="G870" s="276" t="s">
        <v>121</v>
      </c>
      <c r="H870" s="257" t="s">
        <v>348</v>
      </c>
      <c r="J870" s="257" t="s">
        <v>77</v>
      </c>
      <c r="K870" s="257" t="s">
        <v>82</v>
      </c>
      <c r="L870" s="257" t="s">
        <v>79</v>
      </c>
      <c r="M870" s="1" t="s">
        <v>1578</v>
      </c>
      <c r="N870" s="257" t="s">
        <v>124</v>
      </c>
      <c r="O870" s="257" t="s">
        <v>285</v>
      </c>
      <c r="P870" s="64" t="s">
        <v>352</v>
      </c>
      <c r="R870" s="64" t="s">
        <v>1289</v>
      </c>
      <c r="S870" s="276" t="s">
        <v>104</v>
      </c>
      <c r="T870" s="67" t="s">
        <v>110</v>
      </c>
      <c r="X870" s="276" t="s">
        <v>1474</v>
      </c>
      <c r="Y870" s="253" t="str">
        <f t="shared" si="1784"/>
        <v>Pass</v>
      </c>
      <c r="Z870" s="11" t="str">
        <f t="shared" si="1785"/>
        <v/>
      </c>
      <c r="AA870" s="253" t="str">
        <f t="shared" si="1786"/>
        <v/>
      </c>
      <c r="AB870" s="253" t="str">
        <f t="shared" si="1787"/>
        <v/>
      </c>
    </row>
    <row r="871" spans="2:28" x14ac:dyDescent="0.25">
      <c r="B871" s="66">
        <v>41862</v>
      </c>
      <c r="C871" s="66">
        <v>41862</v>
      </c>
      <c r="D871" s="68">
        <f t="shared" ref="D871:D873" si="1791">IF(B871&gt;0,MONTH(B871),"False")</f>
        <v>8</v>
      </c>
      <c r="E871" s="66" t="str">
        <f t="shared" ref="E871:E873" si="1792">YEAR(B871) &amp; CHOOSE(D871,"-Jan","-Feb","-Mar","-Apr","-May","-Jun","-Jul","-Aug","-Sep","-Oct","-Nov","-Dec")</f>
        <v>2014-Aug</v>
      </c>
      <c r="F871" s="68">
        <f t="shared" ref="F871:F873" si="1793">IF(C871&gt;0,MONTH(C871),"False")</f>
        <v>8</v>
      </c>
      <c r="G871" s="276" t="s">
        <v>112</v>
      </c>
      <c r="H871" s="257" t="s">
        <v>348</v>
      </c>
      <c r="J871" s="257" t="s">
        <v>78</v>
      </c>
      <c r="K871" s="257" t="s">
        <v>78</v>
      </c>
      <c r="L871" s="257" t="s">
        <v>79</v>
      </c>
      <c r="M871" s="1" t="s">
        <v>1579</v>
      </c>
      <c r="N871" s="257" t="s">
        <v>124</v>
      </c>
      <c r="O871" s="257" t="s">
        <v>97</v>
      </c>
      <c r="R871" s="64" t="s">
        <v>1337</v>
      </c>
      <c r="S871" s="276" t="s">
        <v>104</v>
      </c>
      <c r="X871" s="276" t="s">
        <v>1474</v>
      </c>
      <c r="Y871" s="253" t="str">
        <f t="shared" si="1784"/>
        <v>Pass</v>
      </c>
      <c r="Z871" s="11" t="str">
        <f t="shared" si="1785"/>
        <v/>
      </c>
      <c r="AA871" s="253" t="str">
        <f t="shared" si="1786"/>
        <v/>
      </c>
      <c r="AB871" s="253" t="str">
        <f t="shared" si="1787"/>
        <v/>
      </c>
    </row>
    <row r="872" spans="2:28" x14ac:dyDescent="0.25">
      <c r="B872" s="65">
        <v>41862</v>
      </c>
      <c r="C872" s="66">
        <v>41862</v>
      </c>
      <c r="D872" s="68">
        <f t="shared" si="1791"/>
        <v>8</v>
      </c>
      <c r="E872" s="66" t="str">
        <f t="shared" si="1792"/>
        <v>2014-Aug</v>
      </c>
      <c r="F872" s="68">
        <f t="shared" si="1793"/>
        <v>8</v>
      </c>
      <c r="G872" s="262" t="s">
        <v>121</v>
      </c>
      <c r="H872" s="257" t="s">
        <v>166</v>
      </c>
      <c r="J872" s="257" t="s">
        <v>146</v>
      </c>
      <c r="K872" s="257" t="s">
        <v>82</v>
      </c>
      <c r="L872" s="257" t="s">
        <v>79</v>
      </c>
      <c r="M872" s="1" t="s">
        <v>1580</v>
      </c>
      <c r="N872" s="257" t="s">
        <v>124</v>
      </c>
      <c r="O872" s="257" t="s">
        <v>343</v>
      </c>
      <c r="P872" s="64" t="s">
        <v>485</v>
      </c>
      <c r="R872" s="64" t="s">
        <v>920</v>
      </c>
      <c r="S872" s="262" t="s">
        <v>104</v>
      </c>
      <c r="X872" s="262" t="s">
        <v>544</v>
      </c>
      <c r="Y872" s="253" t="str">
        <f t="shared" si="1784"/>
        <v>Pass</v>
      </c>
      <c r="Z872" s="11" t="str">
        <f t="shared" si="1785"/>
        <v/>
      </c>
      <c r="AA872" s="253" t="str">
        <f t="shared" si="1786"/>
        <v/>
      </c>
      <c r="AB872" s="253" t="str">
        <f t="shared" si="1787"/>
        <v/>
      </c>
    </row>
    <row r="873" spans="2:28" x14ac:dyDescent="0.25">
      <c r="B873" s="65">
        <v>41862</v>
      </c>
      <c r="C873" s="66">
        <v>41862</v>
      </c>
      <c r="D873" s="68">
        <f t="shared" si="1791"/>
        <v>8</v>
      </c>
      <c r="E873" s="66" t="str">
        <f t="shared" si="1792"/>
        <v>2014-Aug</v>
      </c>
      <c r="F873" s="68">
        <f t="shared" si="1793"/>
        <v>8</v>
      </c>
      <c r="G873" s="276" t="s">
        <v>121</v>
      </c>
      <c r="H873" s="257" t="s">
        <v>348</v>
      </c>
      <c r="I873" s="257"/>
      <c r="J873" s="257" t="s">
        <v>77</v>
      </c>
      <c r="K873" s="257" t="s">
        <v>82</v>
      </c>
      <c r="L873" s="257" t="s">
        <v>79</v>
      </c>
      <c r="M873" s="257" t="s">
        <v>1581</v>
      </c>
      <c r="N873" s="257" t="s">
        <v>124</v>
      </c>
      <c r="O873" s="257" t="s">
        <v>91</v>
      </c>
      <c r="P873" s="64" t="s">
        <v>352</v>
      </c>
      <c r="R873" s="64" t="s">
        <v>1289</v>
      </c>
      <c r="S873" s="276" t="s">
        <v>104</v>
      </c>
      <c r="X873" s="276" t="s">
        <v>1474</v>
      </c>
      <c r="Y873" s="253" t="str">
        <f t="shared" si="1784"/>
        <v>Pass</v>
      </c>
      <c r="Z873" s="11" t="str">
        <f t="shared" si="1785"/>
        <v/>
      </c>
      <c r="AA873" s="253" t="str">
        <f t="shared" si="1786"/>
        <v/>
      </c>
      <c r="AB873" s="253" t="str">
        <f t="shared" si="1787"/>
        <v/>
      </c>
    </row>
    <row r="874" spans="2:28" x14ac:dyDescent="0.25">
      <c r="B874" s="65">
        <v>41863</v>
      </c>
      <c r="C874" s="66">
        <v>41863</v>
      </c>
      <c r="D874" s="68">
        <f t="shared" ref="D874" si="1794">IF(B874&gt;0,MONTH(B874),"False")</f>
        <v>8</v>
      </c>
      <c r="E874" s="66" t="str">
        <f t="shared" ref="E874" si="1795">YEAR(B874) &amp; CHOOSE(D874,"-Jan","-Feb","-Mar","-Apr","-May","-Jun","-Jul","-Aug","-Sep","-Oct","-Nov","-Dec")</f>
        <v>2014-Aug</v>
      </c>
      <c r="F874" s="68">
        <f t="shared" ref="F874" si="1796">IF(C874&gt;0,MONTH(C874),"False")</f>
        <v>8</v>
      </c>
      <c r="G874" s="258" t="s">
        <v>93</v>
      </c>
      <c r="H874" s="258" t="s">
        <v>280</v>
      </c>
      <c r="J874" s="258" t="s">
        <v>81</v>
      </c>
      <c r="K874" s="258" t="s">
        <v>82</v>
      </c>
      <c r="L874" s="258" t="s">
        <v>79</v>
      </c>
      <c r="M874" s="1" t="s">
        <v>1582</v>
      </c>
      <c r="N874" s="258" t="s">
        <v>124</v>
      </c>
      <c r="O874" s="258" t="s">
        <v>116</v>
      </c>
      <c r="P874" s="64" t="s">
        <v>305</v>
      </c>
      <c r="Q874" s="2" t="s">
        <v>88</v>
      </c>
      <c r="R874" s="64" t="s">
        <v>1559</v>
      </c>
      <c r="Y874" s="253" t="str">
        <f t="shared" si="1784"/>
        <v>Obsolete</v>
      </c>
      <c r="Z874" s="11">
        <f t="shared" si="1785"/>
        <v>41863</v>
      </c>
      <c r="AA874" s="253" t="str">
        <f t="shared" si="1786"/>
        <v>2014 - 33</v>
      </c>
      <c r="AB874" s="253">
        <f t="shared" si="1787"/>
        <v>2014</v>
      </c>
    </row>
    <row r="875" spans="2:28" x14ac:dyDescent="0.25">
      <c r="B875" s="65">
        <v>41863</v>
      </c>
      <c r="C875" s="66">
        <v>41863</v>
      </c>
      <c r="D875" s="68">
        <f t="shared" ref="D875" si="1797">IF(B875&gt;0,MONTH(B875),"False")</f>
        <v>8</v>
      </c>
      <c r="E875" s="66" t="str">
        <f t="shared" ref="E875" si="1798">YEAR(B875) &amp; CHOOSE(D875,"-Jan","-Feb","-Mar","-Apr","-May","-Jun","-Jul","-Aug","-Sep","-Oct","-Nov","-Dec")</f>
        <v>2014-Aug</v>
      </c>
      <c r="F875" s="68">
        <f t="shared" ref="F875" si="1799">IF(C875&gt;0,MONTH(C875),"False")</f>
        <v>8</v>
      </c>
      <c r="G875" s="258" t="s">
        <v>121</v>
      </c>
      <c r="H875" s="258" t="s">
        <v>136</v>
      </c>
      <c r="J875" s="258" t="s">
        <v>77</v>
      </c>
      <c r="K875" s="258" t="s">
        <v>82</v>
      </c>
      <c r="L875" s="258" t="s">
        <v>79</v>
      </c>
      <c r="M875" s="1" t="s">
        <v>1583</v>
      </c>
      <c r="N875" s="258" t="s">
        <v>124</v>
      </c>
      <c r="O875" s="258" t="s">
        <v>114</v>
      </c>
      <c r="P875" s="64" t="s">
        <v>750</v>
      </c>
      <c r="R875" s="64" t="s">
        <v>1513</v>
      </c>
      <c r="S875" s="258" t="s">
        <v>104</v>
      </c>
      <c r="X875" s="258" t="s">
        <v>159</v>
      </c>
      <c r="Y875" s="253" t="str">
        <f t="shared" si="1784"/>
        <v>Pass</v>
      </c>
      <c r="Z875" s="11" t="str">
        <f t="shared" si="1785"/>
        <v/>
      </c>
      <c r="AA875" s="253" t="str">
        <f t="shared" si="1786"/>
        <v/>
      </c>
      <c r="AB875" s="253" t="str">
        <f t="shared" si="1787"/>
        <v/>
      </c>
    </row>
    <row r="876" spans="2:28" x14ac:dyDescent="0.25">
      <c r="B876" s="65">
        <v>41863</v>
      </c>
      <c r="C876" s="66">
        <v>41863</v>
      </c>
      <c r="D876" s="68">
        <f t="shared" ref="D876" si="1800">IF(B876&gt;0,MONTH(B876),"False")</f>
        <v>8</v>
      </c>
      <c r="E876" s="66" t="str">
        <f t="shared" ref="E876" si="1801">YEAR(B876) &amp; CHOOSE(D876,"-Jan","-Feb","-Mar","-Apr","-May","-Jun","-Jul","-Aug","-Sep","-Oct","-Nov","-Dec")</f>
        <v>2014-Aug</v>
      </c>
      <c r="F876" s="68">
        <f t="shared" ref="F876" si="1802">IF(C876&gt;0,MONTH(C876),"False")</f>
        <v>8</v>
      </c>
      <c r="G876" s="258" t="s">
        <v>93</v>
      </c>
      <c r="H876" s="258" t="s">
        <v>103</v>
      </c>
      <c r="J876" s="258" t="s">
        <v>77</v>
      </c>
      <c r="K876" s="258" t="s">
        <v>82</v>
      </c>
      <c r="L876" s="258" t="s">
        <v>79</v>
      </c>
      <c r="M876" s="1" t="s">
        <v>1584</v>
      </c>
      <c r="N876" s="258" t="s">
        <v>124</v>
      </c>
      <c r="O876" s="258" t="s">
        <v>265</v>
      </c>
      <c r="P876" s="64" t="s">
        <v>351</v>
      </c>
      <c r="Q876" s="2" t="s">
        <v>88</v>
      </c>
      <c r="R876" s="64" t="s">
        <v>361</v>
      </c>
      <c r="Y876" s="253" t="str">
        <f t="shared" si="1784"/>
        <v>Obsolete</v>
      </c>
      <c r="Z876" s="11">
        <f t="shared" si="1785"/>
        <v>41863</v>
      </c>
      <c r="AA876" s="253" t="str">
        <f t="shared" si="1786"/>
        <v>2014 - 33</v>
      </c>
      <c r="AB876" s="253">
        <f t="shared" si="1787"/>
        <v>2014</v>
      </c>
    </row>
    <row r="877" spans="2:28" x14ac:dyDescent="0.25">
      <c r="B877" s="66">
        <v>41863</v>
      </c>
      <c r="C877" s="66">
        <v>41863</v>
      </c>
      <c r="D877" s="68">
        <f t="shared" ref="D877" si="1803">IF(B877&gt;0,MONTH(B877),"False")</f>
        <v>8</v>
      </c>
      <c r="E877" s="66" t="str">
        <f t="shared" ref="E877" si="1804">YEAR(B877) &amp; CHOOSE(D877,"-Jan","-Feb","-Mar","-Apr","-May","-Jun","-Jul","-Aug","-Sep","-Oct","-Nov","-Dec")</f>
        <v>2014-Aug</v>
      </c>
      <c r="F877" s="68">
        <f t="shared" ref="F877" si="1805">IF(C877&gt;0,MONTH(C877),"False")</f>
        <v>8</v>
      </c>
      <c r="G877" s="270" t="s">
        <v>112</v>
      </c>
      <c r="H877" s="258" t="s">
        <v>28</v>
      </c>
      <c r="J877" s="258" t="s">
        <v>78</v>
      </c>
      <c r="K877" s="258" t="s">
        <v>78</v>
      </c>
      <c r="L877" s="258" t="s">
        <v>79</v>
      </c>
      <c r="M877" s="1" t="s">
        <v>1585</v>
      </c>
      <c r="N877" s="258" t="s">
        <v>124</v>
      </c>
      <c r="O877" s="258" t="s">
        <v>168</v>
      </c>
      <c r="R877" s="64" t="s">
        <v>308</v>
      </c>
      <c r="S877" s="270" t="s">
        <v>104</v>
      </c>
      <c r="X877" s="270" t="s">
        <v>819</v>
      </c>
      <c r="Y877" s="253" t="str">
        <f t="shared" si="1784"/>
        <v>Pass</v>
      </c>
      <c r="Z877" s="11" t="str">
        <f t="shared" si="1785"/>
        <v/>
      </c>
      <c r="AA877" s="253" t="str">
        <f t="shared" si="1786"/>
        <v/>
      </c>
      <c r="AB877" s="253" t="str">
        <f t="shared" si="1787"/>
        <v/>
      </c>
    </row>
    <row r="878" spans="2:28" x14ac:dyDescent="0.25">
      <c r="B878" s="66">
        <v>41864</v>
      </c>
      <c r="C878" s="66">
        <v>41864</v>
      </c>
      <c r="D878" s="68">
        <f t="shared" ref="D878:D879" si="1806">IF(B878&gt;0,MONTH(B878),"False")</f>
        <v>8</v>
      </c>
      <c r="E878" s="66" t="str">
        <f t="shared" ref="E878:E879" si="1807">YEAR(B878) &amp; CHOOSE(D878,"-Jan","-Feb","-Mar","-Apr","-May","-Jun","-Jul","-Aug","-Sep","-Oct","-Nov","-Dec")</f>
        <v>2014-Aug</v>
      </c>
      <c r="F878" s="68">
        <f t="shared" ref="F878:F879" si="1808">IF(C878&gt;0,MONTH(C878),"False")</f>
        <v>8</v>
      </c>
      <c r="G878" s="262" t="s">
        <v>126</v>
      </c>
      <c r="H878" s="259" t="s">
        <v>280</v>
      </c>
      <c r="J878" s="259" t="s">
        <v>78</v>
      </c>
      <c r="K878" s="259" t="s">
        <v>78</v>
      </c>
      <c r="L878" s="259" t="s">
        <v>79</v>
      </c>
      <c r="M878" s="1" t="s">
        <v>1586</v>
      </c>
      <c r="N878" s="259" t="s">
        <v>124</v>
      </c>
      <c r="O878" s="259" t="s">
        <v>138</v>
      </c>
      <c r="R878" s="64" t="s">
        <v>344</v>
      </c>
      <c r="S878" s="262" t="s">
        <v>104</v>
      </c>
      <c r="X878" s="262" t="s">
        <v>544</v>
      </c>
      <c r="Y878" s="253" t="str">
        <f t="shared" si="1784"/>
        <v>Pass</v>
      </c>
      <c r="Z878" s="11" t="str">
        <f t="shared" si="1785"/>
        <v/>
      </c>
      <c r="AA878" s="253" t="str">
        <f t="shared" si="1786"/>
        <v/>
      </c>
      <c r="AB878" s="253" t="str">
        <f t="shared" si="1787"/>
        <v/>
      </c>
    </row>
    <row r="879" spans="2:28" x14ac:dyDescent="0.25">
      <c r="B879" s="65">
        <v>41864</v>
      </c>
      <c r="C879" s="66">
        <v>41864</v>
      </c>
      <c r="D879" s="68">
        <f t="shared" si="1806"/>
        <v>8</v>
      </c>
      <c r="E879" s="66" t="str">
        <f t="shared" si="1807"/>
        <v>2014-Aug</v>
      </c>
      <c r="F879" s="68">
        <f t="shared" si="1808"/>
        <v>8</v>
      </c>
      <c r="G879" s="265" t="s">
        <v>121</v>
      </c>
      <c r="H879" s="259" t="s">
        <v>280</v>
      </c>
      <c r="J879" s="259" t="s">
        <v>81</v>
      </c>
      <c r="K879" s="259" t="s">
        <v>82</v>
      </c>
      <c r="L879" s="259" t="s">
        <v>79</v>
      </c>
      <c r="M879" s="1" t="s">
        <v>1587</v>
      </c>
      <c r="N879" s="259" t="s">
        <v>124</v>
      </c>
      <c r="O879" s="259" t="s">
        <v>116</v>
      </c>
      <c r="P879" s="64" t="s">
        <v>305</v>
      </c>
      <c r="R879" s="64" t="s">
        <v>1559</v>
      </c>
      <c r="S879" s="265" t="s">
        <v>104</v>
      </c>
      <c r="X879" s="265" t="s">
        <v>544</v>
      </c>
      <c r="Y879" s="253" t="str">
        <f t="shared" si="1784"/>
        <v>Pass</v>
      </c>
      <c r="Z879" s="11" t="str">
        <f t="shared" si="1785"/>
        <v/>
      </c>
      <c r="AA879" s="253" t="str">
        <f t="shared" si="1786"/>
        <v/>
      </c>
      <c r="AB879" s="253" t="str">
        <f t="shared" si="1787"/>
        <v/>
      </c>
    </row>
    <row r="880" spans="2:28" x14ac:dyDescent="0.25">
      <c r="B880" s="66">
        <v>41864</v>
      </c>
      <c r="C880" s="66">
        <v>41864</v>
      </c>
      <c r="D880" s="68">
        <f t="shared" ref="D880:D881" si="1809">IF(B880&gt;0,MONTH(B880),"False")</f>
        <v>8</v>
      </c>
      <c r="E880" s="66" t="str">
        <f t="shared" ref="E880:E881" si="1810">YEAR(B880) &amp; CHOOSE(D880,"-Jan","-Feb","-Mar","-Apr","-May","-Jun","-Jul","-Aug","-Sep","-Oct","-Nov","-Dec")</f>
        <v>2014-Aug</v>
      </c>
      <c r="F880" s="68">
        <f t="shared" ref="F880:F881" si="1811">IF(C880&gt;0,MONTH(C880),"False")</f>
        <v>8</v>
      </c>
      <c r="G880" s="262" t="s">
        <v>112</v>
      </c>
      <c r="H880" s="259" t="s">
        <v>103</v>
      </c>
      <c r="J880" s="259" t="s">
        <v>78</v>
      </c>
      <c r="K880" s="259" t="s">
        <v>78</v>
      </c>
      <c r="L880" s="259" t="s">
        <v>79</v>
      </c>
      <c r="M880" s="1" t="s">
        <v>1588</v>
      </c>
      <c r="N880" s="259" t="s">
        <v>124</v>
      </c>
      <c r="O880" s="259" t="s">
        <v>324</v>
      </c>
      <c r="R880" s="64" t="s">
        <v>475</v>
      </c>
      <c r="S880" s="262" t="s">
        <v>104</v>
      </c>
      <c r="T880" s="67" t="s">
        <v>110</v>
      </c>
      <c r="X880" s="262" t="s">
        <v>298</v>
      </c>
      <c r="Y880" s="253" t="str">
        <f t="shared" si="1784"/>
        <v>Pass</v>
      </c>
      <c r="Z880" s="11" t="str">
        <f t="shared" si="1785"/>
        <v/>
      </c>
      <c r="AA880" s="253" t="str">
        <f t="shared" si="1786"/>
        <v/>
      </c>
      <c r="AB880" s="253" t="str">
        <f t="shared" si="1787"/>
        <v/>
      </c>
    </row>
    <row r="881" spans="2:28" x14ac:dyDescent="0.25">
      <c r="B881" s="65">
        <v>41864</v>
      </c>
      <c r="C881" s="66">
        <v>41864</v>
      </c>
      <c r="D881" s="68">
        <f t="shared" si="1809"/>
        <v>8</v>
      </c>
      <c r="E881" s="66" t="str">
        <f t="shared" si="1810"/>
        <v>2014-Aug</v>
      </c>
      <c r="F881" s="68">
        <f t="shared" si="1811"/>
        <v>8</v>
      </c>
      <c r="G881" s="259" t="s">
        <v>93</v>
      </c>
      <c r="H881" s="259" t="s">
        <v>28</v>
      </c>
      <c r="J881" s="259" t="s">
        <v>77</v>
      </c>
      <c r="K881" s="259" t="s">
        <v>82</v>
      </c>
      <c r="L881" s="259" t="s">
        <v>79</v>
      </c>
      <c r="M881" s="1" t="s">
        <v>1589</v>
      </c>
      <c r="N881" s="259" t="s">
        <v>124</v>
      </c>
      <c r="O881" s="259" t="s">
        <v>162</v>
      </c>
      <c r="P881" s="64" t="s">
        <v>334</v>
      </c>
      <c r="Q881" s="2" t="s">
        <v>88</v>
      </c>
      <c r="R881" s="64" t="s">
        <v>335</v>
      </c>
      <c r="Y881" s="253" t="str">
        <f t="shared" si="1784"/>
        <v>Obsolete</v>
      </c>
      <c r="Z881" s="11">
        <f t="shared" si="1785"/>
        <v>41864</v>
      </c>
      <c r="AA881" s="253" t="str">
        <f t="shared" si="1786"/>
        <v>2014 - 33</v>
      </c>
      <c r="AB881" s="253">
        <f t="shared" si="1787"/>
        <v>2014</v>
      </c>
    </row>
    <row r="882" spans="2:28" x14ac:dyDescent="0.25">
      <c r="B882" s="65">
        <v>41865</v>
      </c>
      <c r="C882" s="66">
        <v>41883</v>
      </c>
      <c r="D882" s="68">
        <f t="shared" ref="D882" si="1812">IF(B882&gt;0,MONTH(B882),"False")</f>
        <v>8</v>
      </c>
      <c r="E882" s="66" t="str">
        <f t="shared" ref="E882" si="1813">YEAR(B882) &amp; CHOOSE(D882,"-Jan","-Feb","-Mar","-Apr","-May","-Jun","-Jul","-Aug","-Sep","-Oct","-Nov","-Dec")</f>
        <v>2014-Aug</v>
      </c>
      <c r="F882" s="68">
        <f t="shared" ref="F882" si="1814">IF(C882&gt;0,MONTH(C882),"False")</f>
        <v>9</v>
      </c>
      <c r="G882" s="271" t="s">
        <v>121</v>
      </c>
      <c r="H882" s="260" t="s">
        <v>136</v>
      </c>
      <c r="J882" s="260" t="s">
        <v>77</v>
      </c>
      <c r="K882" s="260" t="s">
        <v>82</v>
      </c>
      <c r="L882" s="260" t="s">
        <v>79</v>
      </c>
      <c r="M882" s="1" t="s">
        <v>1590</v>
      </c>
      <c r="N882" s="260" t="s">
        <v>124</v>
      </c>
      <c r="O882" s="260" t="s">
        <v>114</v>
      </c>
      <c r="P882" s="64" t="s">
        <v>750</v>
      </c>
      <c r="R882" s="64" t="s">
        <v>1513</v>
      </c>
      <c r="S882" s="271" t="s">
        <v>104</v>
      </c>
      <c r="X882" s="271" t="s">
        <v>159</v>
      </c>
      <c r="Y882" s="253" t="str">
        <f t="shared" si="1784"/>
        <v>Pass</v>
      </c>
      <c r="Z882" s="11" t="str">
        <f t="shared" si="1785"/>
        <v/>
      </c>
      <c r="AA882" s="253" t="str">
        <f t="shared" si="1786"/>
        <v/>
      </c>
      <c r="AB882" s="253" t="str">
        <f t="shared" si="1787"/>
        <v/>
      </c>
    </row>
    <row r="883" spans="2:28" x14ac:dyDescent="0.25">
      <c r="B883" s="66">
        <v>41866</v>
      </c>
      <c r="C883" s="66">
        <v>41866</v>
      </c>
      <c r="D883" s="68">
        <f t="shared" ref="D883" si="1815">IF(B883&gt;0,MONTH(B883),"False")</f>
        <v>8</v>
      </c>
      <c r="E883" s="66" t="str">
        <f t="shared" ref="E883" si="1816">YEAR(B883) &amp; CHOOSE(D883,"-Jan","-Feb","-Mar","-Apr","-May","-Jun","-Jul","-Aug","-Sep","-Oct","-Nov","-Dec")</f>
        <v>2014-Aug</v>
      </c>
      <c r="F883" s="68">
        <f t="shared" ref="F883" si="1817">IF(C883&gt;0,MONTH(C883),"False")</f>
        <v>8</v>
      </c>
      <c r="G883" s="260" t="s">
        <v>87</v>
      </c>
      <c r="H883" s="260" t="s">
        <v>280</v>
      </c>
      <c r="J883" s="260" t="s">
        <v>78</v>
      </c>
      <c r="K883" s="260" t="s">
        <v>78</v>
      </c>
      <c r="L883" s="260" t="s">
        <v>79</v>
      </c>
      <c r="M883" s="1" t="s">
        <v>1591</v>
      </c>
      <c r="N883" s="260" t="s">
        <v>124</v>
      </c>
      <c r="O883" s="260" t="s">
        <v>494</v>
      </c>
      <c r="Q883" s="2" t="s">
        <v>88</v>
      </c>
      <c r="R883" s="64" t="s">
        <v>344</v>
      </c>
      <c r="Y883" s="253" t="str">
        <f t="shared" si="1784"/>
        <v>Obsolete</v>
      </c>
      <c r="Z883" s="11">
        <f t="shared" si="1785"/>
        <v>41866</v>
      </c>
      <c r="AA883" s="253" t="str">
        <f t="shared" si="1786"/>
        <v>2014 - 33</v>
      </c>
      <c r="AB883" s="253">
        <f t="shared" si="1787"/>
        <v>2014</v>
      </c>
    </row>
    <row r="884" spans="2:28" x14ac:dyDescent="0.25">
      <c r="B884" s="66">
        <v>41870</v>
      </c>
      <c r="C884" s="66">
        <v>41870</v>
      </c>
      <c r="D884" s="68">
        <f t="shared" ref="D884" si="1818">IF(B884&gt;0,MONTH(B884),"False")</f>
        <v>8</v>
      </c>
      <c r="E884" s="66" t="str">
        <f t="shared" ref="E884" si="1819">YEAR(B884) &amp; CHOOSE(D884,"-Jan","-Feb","-Mar","-Apr","-May","-Jun","-Jul","-Aug","-Sep","-Oct","-Nov","-Dec")</f>
        <v>2014-Aug</v>
      </c>
      <c r="F884" s="68">
        <f t="shared" ref="F884" si="1820">IF(C884&gt;0,MONTH(C884),"False")</f>
        <v>8</v>
      </c>
      <c r="G884" s="261" t="s">
        <v>87</v>
      </c>
      <c r="H884" s="261" t="s">
        <v>166</v>
      </c>
      <c r="J884" s="261" t="s">
        <v>98</v>
      </c>
      <c r="K884" s="261" t="s">
        <v>84</v>
      </c>
      <c r="L884" s="261" t="s">
        <v>79</v>
      </c>
      <c r="M884" s="1" t="s">
        <v>1592</v>
      </c>
      <c r="N884" s="261" t="s">
        <v>124</v>
      </c>
      <c r="O884" s="261" t="s">
        <v>152</v>
      </c>
      <c r="R884" s="64" t="s">
        <v>1353</v>
      </c>
      <c r="Y884" s="253" t="str">
        <f t="shared" si="1784"/>
        <v>Unknown</v>
      </c>
      <c r="Z884" s="11" t="str">
        <f t="shared" si="1785"/>
        <v/>
      </c>
      <c r="AA884" s="253" t="str">
        <f t="shared" si="1786"/>
        <v/>
      </c>
      <c r="AB884" s="253" t="str">
        <f t="shared" si="1787"/>
        <v/>
      </c>
    </row>
    <row r="885" spans="2:28" x14ac:dyDescent="0.25">
      <c r="B885" s="66">
        <v>41870</v>
      </c>
      <c r="C885" s="66">
        <v>41870</v>
      </c>
      <c r="D885" s="68">
        <f t="shared" ref="D885:D886" si="1821">IF(B885&gt;0,MONTH(B885),"False")</f>
        <v>8</v>
      </c>
      <c r="E885" s="66" t="str">
        <f t="shared" ref="E885:E886" si="1822">YEAR(B885) &amp; CHOOSE(D885,"-Jan","-Feb","-Mar","-Apr","-May","-Jun","-Jul","-Aug","-Sep","-Oct","-Nov","-Dec")</f>
        <v>2014-Aug</v>
      </c>
      <c r="F885" s="68">
        <f t="shared" ref="F885:F886" si="1823">IF(C885&gt;0,MONTH(C885),"False")</f>
        <v>8</v>
      </c>
      <c r="G885" s="261" t="s">
        <v>87</v>
      </c>
      <c r="H885" s="261" t="s">
        <v>280</v>
      </c>
      <c r="J885" s="261" t="s">
        <v>98</v>
      </c>
      <c r="K885" s="261" t="s">
        <v>84</v>
      </c>
      <c r="L885" s="261" t="s">
        <v>79</v>
      </c>
      <c r="M885" s="1" t="s">
        <v>1593</v>
      </c>
      <c r="N885" s="261" t="s">
        <v>124</v>
      </c>
      <c r="O885" s="261" t="s">
        <v>152</v>
      </c>
      <c r="R885" s="64" t="s">
        <v>1517</v>
      </c>
      <c r="Y885" s="253" t="str">
        <f t="shared" si="1784"/>
        <v>Unknown</v>
      </c>
      <c r="Z885" s="11" t="str">
        <f t="shared" si="1785"/>
        <v/>
      </c>
      <c r="AA885" s="253" t="str">
        <f t="shared" si="1786"/>
        <v/>
      </c>
      <c r="AB885" s="253" t="str">
        <f t="shared" si="1787"/>
        <v/>
      </c>
    </row>
    <row r="886" spans="2:28" x14ac:dyDescent="0.25">
      <c r="B886" s="65">
        <v>41870</v>
      </c>
      <c r="C886" s="66">
        <v>41870</v>
      </c>
      <c r="D886" s="68">
        <f t="shared" si="1821"/>
        <v>8</v>
      </c>
      <c r="E886" s="66" t="str">
        <f t="shared" si="1822"/>
        <v>2014-Aug</v>
      </c>
      <c r="F886" s="68">
        <f t="shared" si="1823"/>
        <v>8</v>
      </c>
      <c r="G886" s="261" t="s">
        <v>93</v>
      </c>
      <c r="H886" s="261" t="s">
        <v>166</v>
      </c>
      <c r="J886" s="261" t="s">
        <v>98</v>
      </c>
      <c r="K886" s="261" t="s">
        <v>82</v>
      </c>
      <c r="L886" s="261" t="s">
        <v>79</v>
      </c>
      <c r="M886" s="1" t="s">
        <v>1594</v>
      </c>
      <c r="N886" s="261" t="s">
        <v>124</v>
      </c>
      <c r="O886" s="261" t="s">
        <v>343</v>
      </c>
      <c r="P886" s="64" t="s">
        <v>336</v>
      </c>
      <c r="R886" s="64" t="s">
        <v>1311</v>
      </c>
      <c r="S886" s="1" t="s">
        <v>104</v>
      </c>
      <c r="Y886" s="253" t="str">
        <f t="shared" si="1784"/>
        <v>Pass</v>
      </c>
      <c r="Z886" s="11" t="str">
        <f t="shared" si="1785"/>
        <v/>
      </c>
      <c r="AA886" s="253" t="str">
        <f t="shared" si="1786"/>
        <v/>
      </c>
      <c r="AB886" s="253" t="str">
        <f t="shared" si="1787"/>
        <v/>
      </c>
    </row>
    <row r="887" spans="2:28" x14ac:dyDescent="0.25">
      <c r="B887" s="66">
        <v>41870</v>
      </c>
      <c r="C887" s="66">
        <v>41870</v>
      </c>
      <c r="D887" s="68">
        <f t="shared" ref="D887:D888" si="1824">IF(B887&gt;0,MONTH(B887),"False")</f>
        <v>8</v>
      </c>
      <c r="E887" s="66" t="str">
        <f t="shared" ref="E887:E888" si="1825">YEAR(B887) &amp; CHOOSE(D887,"-Jan","-Feb","-Mar","-Apr","-May","-Jun","-Jul","-Aug","-Sep","-Oct","-Nov","-Dec")</f>
        <v>2014-Aug</v>
      </c>
      <c r="F887" s="68">
        <f t="shared" ref="F887:F888" si="1826">IF(C887&gt;0,MONTH(C887),"False")</f>
        <v>8</v>
      </c>
      <c r="G887" s="270" t="s">
        <v>112</v>
      </c>
      <c r="H887" s="261" t="s">
        <v>28</v>
      </c>
      <c r="J887" s="261" t="s">
        <v>78</v>
      </c>
      <c r="K887" s="261" t="s">
        <v>78</v>
      </c>
      <c r="L887" s="261" t="s">
        <v>79</v>
      </c>
      <c r="M887" s="1" t="s">
        <v>1595</v>
      </c>
      <c r="N887" s="261" t="s">
        <v>124</v>
      </c>
      <c r="O887" s="261" t="s">
        <v>168</v>
      </c>
      <c r="R887" s="64" t="s">
        <v>308</v>
      </c>
      <c r="S887" s="270" t="s">
        <v>104</v>
      </c>
      <c r="X887" s="270" t="s">
        <v>819</v>
      </c>
      <c r="Y887" s="253" t="str">
        <f t="shared" si="1784"/>
        <v>Pass</v>
      </c>
      <c r="Z887" s="11" t="str">
        <f t="shared" si="1785"/>
        <v/>
      </c>
      <c r="AA887" s="253" t="str">
        <f t="shared" si="1786"/>
        <v/>
      </c>
      <c r="AB887" s="253" t="str">
        <f t="shared" si="1787"/>
        <v/>
      </c>
    </row>
    <row r="888" spans="2:28" x14ac:dyDescent="0.25">
      <c r="B888" s="65">
        <v>41871</v>
      </c>
      <c r="C888" s="66">
        <v>41871</v>
      </c>
      <c r="D888" s="68">
        <f t="shared" si="1824"/>
        <v>8</v>
      </c>
      <c r="E888" s="66" t="str">
        <f t="shared" si="1825"/>
        <v>2014-Aug</v>
      </c>
      <c r="F888" s="68">
        <f t="shared" si="1826"/>
        <v>8</v>
      </c>
      <c r="G888" s="263" t="s">
        <v>105</v>
      </c>
      <c r="H888" s="262" t="s">
        <v>280</v>
      </c>
      <c r="J888" s="262" t="s">
        <v>81</v>
      </c>
      <c r="K888" s="262" t="s">
        <v>82</v>
      </c>
      <c r="L888" s="262" t="s">
        <v>79</v>
      </c>
      <c r="M888" s="1" t="s">
        <v>1597</v>
      </c>
      <c r="N888" s="262" t="s">
        <v>124</v>
      </c>
      <c r="O888" s="262" t="s">
        <v>116</v>
      </c>
      <c r="P888" s="64" t="s">
        <v>305</v>
      </c>
      <c r="R888" s="64" t="s">
        <v>1559</v>
      </c>
      <c r="S888" s="263" t="s">
        <v>104</v>
      </c>
      <c r="T888" s="67" t="s">
        <v>110</v>
      </c>
      <c r="X888" s="263" t="s">
        <v>544</v>
      </c>
      <c r="Y888" s="253" t="str">
        <f t="shared" si="1784"/>
        <v>Pass</v>
      </c>
      <c r="Z888" s="11" t="str">
        <f t="shared" si="1785"/>
        <v/>
      </c>
      <c r="AA888" s="253" t="str">
        <f t="shared" si="1786"/>
        <v/>
      </c>
      <c r="AB888" s="253" t="str">
        <f t="shared" si="1787"/>
        <v/>
      </c>
    </row>
    <row r="889" spans="2:28" x14ac:dyDescent="0.25">
      <c r="B889" s="65">
        <v>41871</v>
      </c>
      <c r="C889" s="66">
        <v>41871</v>
      </c>
      <c r="D889" s="68">
        <f t="shared" ref="D889:D890" si="1827">IF(B889&gt;0,MONTH(B889),"False")</f>
        <v>8</v>
      </c>
      <c r="E889" s="66" t="str">
        <f t="shared" ref="E889:E890" si="1828">YEAR(B889) &amp; CHOOSE(D889,"-Jan","-Feb","-Mar","-Apr","-May","-Jun","-Jul","-Aug","-Sep","-Oct","-Nov","-Dec")</f>
        <v>2014-Aug</v>
      </c>
      <c r="F889" s="68">
        <f t="shared" ref="F889:F890" si="1829">IF(C889&gt;0,MONTH(C889),"False")</f>
        <v>8</v>
      </c>
      <c r="G889" s="270" t="s">
        <v>121</v>
      </c>
      <c r="H889" s="262" t="s">
        <v>28</v>
      </c>
      <c r="J889" s="262" t="s">
        <v>77</v>
      </c>
      <c r="K889" s="262" t="s">
        <v>82</v>
      </c>
      <c r="L889" s="262" t="s">
        <v>79</v>
      </c>
      <c r="M889" s="1" t="s">
        <v>1598</v>
      </c>
      <c r="N889" s="262" t="s">
        <v>124</v>
      </c>
      <c r="O889" s="262" t="s">
        <v>162</v>
      </c>
      <c r="P889" s="64" t="s">
        <v>334</v>
      </c>
      <c r="R889" s="64" t="s">
        <v>335</v>
      </c>
      <c r="S889" s="270" t="s">
        <v>104</v>
      </c>
      <c r="X889" s="270" t="s">
        <v>153</v>
      </c>
      <c r="Y889" s="253" t="str">
        <f t="shared" si="1784"/>
        <v>Pass</v>
      </c>
      <c r="Z889" s="11" t="str">
        <f t="shared" si="1785"/>
        <v/>
      </c>
      <c r="AA889" s="253" t="str">
        <f t="shared" si="1786"/>
        <v/>
      </c>
      <c r="AB889" s="253" t="str">
        <f t="shared" si="1787"/>
        <v/>
      </c>
    </row>
    <row r="890" spans="2:28" x14ac:dyDescent="0.25">
      <c r="B890" s="65">
        <v>41872</v>
      </c>
      <c r="C890" s="66">
        <v>41872</v>
      </c>
      <c r="D890" s="68">
        <f t="shared" si="1827"/>
        <v>8</v>
      </c>
      <c r="E890" s="66" t="str">
        <f t="shared" si="1828"/>
        <v>2014-Aug</v>
      </c>
      <c r="F890" s="68">
        <f t="shared" si="1829"/>
        <v>8</v>
      </c>
      <c r="G890" s="265" t="s">
        <v>121</v>
      </c>
      <c r="H890" s="262" t="s">
        <v>280</v>
      </c>
      <c r="I890" s="262"/>
      <c r="J890" s="262" t="s">
        <v>81</v>
      </c>
      <c r="K890" s="262" t="s">
        <v>82</v>
      </c>
      <c r="L890" s="262" t="s">
        <v>79</v>
      </c>
      <c r="M890" s="262" t="s">
        <v>1596</v>
      </c>
      <c r="N890" s="262" t="s">
        <v>124</v>
      </c>
      <c r="O890" s="262" t="s">
        <v>116</v>
      </c>
      <c r="P890" s="64" t="s">
        <v>305</v>
      </c>
      <c r="R890" s="64" t="s">
        <v>1559</v>
      </c>
      <c r="S890" s="265" t="s">
        <v>104</v>
      </c>
      <c r="X890" s="265" t="s">
        <v>544</v>
      </c>
      <c r="Y890" s="253" t="str">
        <f t="shared" si="1784"/>
        <v>Pass</v>
      </c>
      <c r="Z890" s="11" t="str">
        <f t="shared" si="1785"/>
        <v/>
      </c>
      <c r="AA890" s="253" t="str">
        <f t="shared" si="1786"/>
        <v/>
      </c>
      <c r="AB890" s="253" t="str">
        <f t="shared" si="1787"/>
        <v/>
      </c>
    </row>
    <row r="891" spans="2:28" x14ac:dyDescent="0.25">
      <c r="B891" s="65">
        <v>41872</v>
      </c>
      <c r="C891" s="66">
        <v>41872</v>
      </c>
      <c r="D891" s="68">
        <f t="shared" ref="D891" si="1830">IF(B891&gt;0,MONTH(B891),"False")</f>
        <v>8</v>
      </c>
      <c r="E891" s="66" t="str">
        <f t="shared" ref="E891" si="1831">YEAR(B891) &amp; CHOOSE(D891,"-Jan","-Feb","-Mar","-Apr","-May","-Jun","-Jul","-Aug","-Sep","-Oct","-Nov","-Dec")</f>
        <v>2014-Aug</v>
      </c>
      <c r="F891" s="68">
        <f t="shared" ref="F891" si="1832">IF(C891&gt;0,MONTH(C891),"False")</f>
        <v>8</v>
      </c>
      <c r="G891" s="264" t="s">
        <v>121</v>
      </c>
      <c r="H891" s="262" t="s">
        <v>280</v>
      </c>
      <c r="I891" s="262"/>
      <c r="J891" s="262" t="s">
        <v>81</v>
      </c>
      <c r="K891" s="262" t="s">
        <v>82</v>
      </c>
      <c r="L891" s="262" t="s">
        <v>79</v>
      </c>
      <c r="M891" s="262" t="s">
        <v>1599</v>
      </c>
      <c r="N891" s="262" t="s">
        <v>124</v>
      </c>
      <c r="O891" s="262" t="s">
        <v>116</v>
      </c>
      <c r="P891" s="64" t="s">
        <v>305</v>
      </c>
      <c r="R891" s="64" t="s">
        <v>1559</v>
      </c>
      <c r="S891" s="264" t="s">
        <v>104</v>
      </c>
      <c r="T891" s="67" t="s">
        <v>110</v>
      </c>
      <c r="X891" s="264" t="s">
        <v>544</v>
      </c>
      <c r="Y891" s="253" t="str">
        <f t="shared" si="1784"/>
        <v>Pass</v>
      </c>
      <c r="Z891" s="11" t="str">
        <f t="shared" si="1785"/>
        <v/>
      </c>
      <c r="AA891" s="253" t="str">
        <f t="shared" si="1786"/>
        <v/>
      </c>
      <c r="AB891" s="253" t="str">
        <f t="shared" si="1787"/>
        <v/>
      </c>
    </row>
    <row r="892" spans="2:28" x14ac:dyDescent="0.25">
      <c r="B892" s="66">
        <v>41872</v>
      </c>
      <c r="C892" s="66">
        <v>41872</v>
      </c>
      <c r="D892" s="68">
        <f t="shared" ref="D892:D893" si="1833">IF(B892&gt;0,MONTH(B892),"False")</f>
        <v>8</v>
      </c>
      <c r="E892" s="66" t="str">
        <f t="shared" ref="E892:E893" si="1834">YEAR(B892) &amp; CHOOSE(D892,"-Jan","-Feb","-Mar","-Apr","-May","-Jun","-Jul","-Aug","-Sep","-Oct","-Nov","-Dec")</f>
        <v>2014-Aug</v>
      </c>
      <c r="F892" s="68">
        <f t="shared" ref="F892:F893" si="1835">IF(C892&gt;0,MONTH(C892),"False")</f>
        <v>8</v>
      </c>
      <c r="G892" s="292" t="s">
        <v>112</v>
      </c>
      <c r="H892" s="262" t="s">
        <v>103</v>
      </c>
      <c r="J892" s="262" t="s">
        <v>78</v>
      </c>
      <c r="K892" s="262" t="s">
        <v>78</v>
      </c>
      <c r="L892" s="262" t="s">
        <v>79</v>
      </c>
      <c r="M892" s="1" t="s">
        <v>1600</v>
      </c>
      <c r="N892" s="262" t="s">
        <v>124</v>
      </c>
      <c r="O892" s="262" t="s">
        <v>324</v>
      </c>
      <c r="R892" s="64" t="s">
        <v>475</v>
      </c>
      <c r="S892" s="292" t="s">
        <v>104</v>
      </c>
      <c r="X892" s="292" t="s">
        <v>1474</v>
      </c>
      <c r="Y892" s="253" t="str">
        <f t="shared" si="1784"/>
        <v>Pass</v>
      </c>
      <c r="Z892" s="11" t="str">
        <f t="shared" si="1785"/>
        <v/>
      </c>
      <c r="AA892" s="253" t="str">
        <f t="shared" si="1786"/>
        <v/>
      </c>
      <c r="AB892" s="253" t="str">
        <f t="shared" si="1787"/>
        <v/>
      </c>
    </row>
    <row r="893" spans="2:28" x14ac:dyDescent="0.25">
      <c r="B893" s="65">
        <v>41872</v>
      </c>
      <c r="C893" s="66">
        <v>41872</v>
      </c>
      <c r="D893" s="68">
        <f t="shared" si="1833"/>
        <v>8</v>
      </c>
      <c r="E893" s="66" t="str">
        <f t="shared" si="1834"/>
        <v>2014-Aug</v>
      </c>
      <c r="F893" s="68">
        <f t="shared" si="1835"/>
        <v>8</v>
      </c>
      <c r="G893" s="264" t="s">
        <v>121</v>
      </c>
      <c r="H893" s="262" t="s">
        <v>280</v>
      </c>
      <c r="J893" s="262" t="s">
        <v>146</v>
      </c>
      <c r="K893" s="262" t="s">
        <v>82</v>
      </c>
      <c r="L893" s="262" t="s">
        <v>79</v>
      </c>
      <c r="M893" s="1" t="s">
        <v>1601</v>
      </c>
      <c r="N893" s="262" t="s">
        <v>124</v>
      </c>
      <c r="O893" s="262" t="s">
        <v>116</v>
      </c>
      <c r="P893" s="64" t="s">
        <v>305</v>
      </c>
      <c r="R893" s="64" t="s">
        <v>1559</v>
      </c>
      <c r="S893" s="264" t="s">
        <v>104</v>
      </c>
      <c r="X893" s="264" t="s">
        <v>544</v>
      </c>
      <c r="Y893" s="253" t="str">
        <f t="shared" si="1784"/>
        <v>Pass</v>
      </c>
      <c r="Z893" s="11" t="str">
        <f t="shared" si="1785"/>
        <v/>
      </c>
      <c r="AA893" s="253" t="str">
        <f t="shared" si="1786"/>
        <v/>
      </c>
      <c r="AB893" s="253" t="str">
        <f t="shared" si="1787"/>
        <v/>
      </c>
    </row>
    <row r="894" spans="2:28" x14ac:dyDescent="0.25">
      <c r="B894" s="66">
        <v>41872</v>
      </c>
      <c r="C894" s="66">
        <v>41872</v>
      </c>
      <c r="D894" s="68">
        <f t="shared" ref="D894" si="1836">IF(B894&gt;0,MONTH(B894),"False")</f>
        <v>8</v>
      </c>
      <c r="E894" s="66" t="str">
        <f t="shared" ref="E894" si="1837">YEAR(B894) &amp; CHOOSE(D894,"-Jan","-Feb","-Mar","-Apr","-May","-Jun","-Jul","-Aug","-Sep","-Oct","-Nov","-Dec")</f>
        <v>2014-Aug</v>
      </c>
      <c r="F894" s="68">
        <f t="shared" ref="F894" si="1838">IF(C894&gt;0,MONTH(C894),"False")</f>
        <v>8</v>
      </c>
      <c r="G894" s="264" t="s">
        <v>112</v>
      </c>
      <c r="H894" s="262" t="s">
        <v>280</v>
      </c>
      <c r="J894" s="262" t="s">
        <v>78</v>
      </c>
      <c r="K894" s="262" t="s">
        <v>78</v>
      </c>
      <c r="L894" s="262" t="s">
        <v>79</v>
      </c>
      <c r="M894" s="1" t="s">
        <v>1602</v>
      </c>
      <c r="N894" s="262" t="s">
        <v>124</v>
      </c>
      <c r="O894" s="262" t="s">
        <v>304</v>
      </c>
      <c r="R894" s="64" t="s">
        <v>344</v>
      </c>
      <c r="S894" s="264" t="s">
        <v>104</v>
      </c>
      <c r="X894" s="264" t="s">
        <v>544</v>
      </c>
      <c r="Y894" s="263" t="str">
        <f t="shared" ref="Y894:Y919" si="1839">IF(Q894&gt;0,"Obsolete",IF(S894&gt;0,S894,"Unknown"))</f>
        <v>Pass</v>
      </c>
      <c r="Z894" s="11" t="str">
        <f t="shared" ref="Z894:Z919" si="1840">IF(Q894="Obsolete-LQA",C894,IF(Q894="Obsolete-IT",B894,""))</f>
        <v/>
      </c>
      <c r="AA894" s="263" t="str">
        <f t="shared" ref="AA894:AA919" si="1841">IFERROR(YEAR(Z894)&amp;" - "&amp; IF(LEN( WEEKNUM(Z894))=1,"0" &amp; WEEKNUM(Z894),WEEKNUM(Z894)),"")</f>
        <v/>
      </c>
      <c r="AB894" s="263" t="str">
        <f t="shared" ref="AB894:AB919" si="1842">IFERROR(YEAR(Z894),"")</f>
        <v/>
      </c>
    </row>
    <row r="895" spans="2:28" x14ac:dyDescent="0.25">
      <c r="B895" s="65">
        <v>41872</v>
      </c>
      <c r="C895" s="66">
        <v>41872</v>
      </c>
      <c r="D895" s="68">
        <f t="shared" ref="D895:D896" si="1843">IF(B895&gt;0,MONTH(B895),"False")</f>
        <v>8</v>
      </c>
      <c r="E895" s="66" t="str">
        <f t="shared" ref="E895:E896" si="1844">YEAR(B895) &amp; CHOOSE(D895,"-Jan","-Feb","-Mar","-Apr","-May","-Jun","-Jul","-Aug","-Sep","-Oct","-Nov","-Dec")</f>
        <v>2014-Aug</v>
      </c>
      <c r="F895" s="68">
        <f t="shared" ref="F895:F896" si="1845">IF(C895&gt;0,MONTH(C895),"False")</f>
        <v>8</v>
      </c>
      <c r="G895" s="263" t="s">
        <v>105</v>
      </c>
      <c r="H895" s="262" t="s">
        <v>280</v>
      </c>
      <c r="I895" s="262"/>
      <c r="J895" s="262" t="s">
        <v>81</v>
      </c>
      <c r="K895" s="262" t="s">
        <v>82</v>
      </c>
      <c r="L895" s="262" t="s">
        <v>79</v>
      </c>
      <c r="M895" s="262" t="s">
        <v>1603</v>
      </c>
      <c r="N895" s="262" t="s">
        <v>124</v>
      </c>
      <c r="O895" s="262" t="s">
        <v>116</v>
      </c>
      <c r="P895" s="64" t="s">
        <v>305</v>
      </c>
      <c r="R895" s="64" t="s">
        <v>1559</v>
      </c>
      <c r="S895" s="263" t="s">
        <v>104</v>
      </c>
      <c r="T895" s="67" t="s">
        <v>110</v>
      </c>
      <c r="X895" s="263" t="s">
        <v>544</v>
      </c>
      <c r="Y895" s="263" t="str">
        <f t="shared" si="1839"/>
        <v>Pass</v>
      </c>
      <c r="Z895" s="11" t="str">
        <f t="shared" si="1840"/>
        <v/>
      </c>
      <c r="AA895" s="263" t="str">
        <f t="shared" si="1841"/>
        <v/>
      </c>
      <c r="AB895" s="263" t="str">
        <f t="shared" si="1842"/>
        <v/>
      </c>
    </row>
    <row r="896" spans="2:28" x14ac:dyDescent="0.25">
      <c r="B896" s="66">
        <v>41872</v>
      </c>
      <c r="C896" s="66">
        <v>41872</v>
      </c>
      <c r="D896" s="68">
        <f t="shared" si="1843"/>
        <v>8</v>
      </c>
      <c r="E896" s="66" t="str">
        <f t="shared" si="1844"/>
        <v>2014-Aug</v>
      </c>
      <c r="F896" s="68">
        <f t="shared" si="1845"/>
        <v>8</v>
      </c>
      <c r="G896" s="276" t="s">
        <v>112</v>
      </c>
      <c r="H896" s="262" t="s">
        <v>348</v>
      </c>
      <c r="J896" s="262" t="s">
        <v>78</v>
      </c>
      <c r="K896" s="262" t="s">
        <v>78</v>
      </c>
      <c r="L896" s="262" t="s">
        <v>79</v>
      </c>
      <c r="M896" s="1" t="s">
        <v>1604</v>
      </c>
      <c r="N896" s="262" t="s">
        <v>124</v>
      </c>
      <c r="O896" s="262" t="s">
        <v>97</v>
      </c>
      <c r="R896" s="64" t="s">
        <v>1337</v>
      </c>
      <c r="S896" s="276" t="s">
        <v>104</v>
      </c>
      <c r="X896" s="276" t="s">
        <v>1474</v>
      </c>
      <c r="Y896" s="263" t="str">
        <f t="shared" si="1839"/>
        <v>Pass</v>
      </c>
      <c r="Z896" s="11" t="str">
        <f t="shared" si="1840"/>
        <v/>
      </c>
      <c r="AA896" s="263" t="str">
        <f t="shared" si="1841"/>
        <v/>
      </c>
      <c r="AB896" s="263" t="str">
        <f t="shared" si="1842"/>
        <v/>
      </c>
    </row>
    <row r="897" spans="2:28" x14ac:dyDescent="0.25">
      <c r="B897" s="65">
        <v>41872</v>
      </c>
      <c r="C897" s="66">
        <v>41872</v>
      </c>
      <c r="D897" s="68">
        <f t="shared" ref="D897" si="1846">IF(B897&gt;0,MONTH(B897),"False")</f>
        <v>8</v>
      </c>
      <c r="E897" s="66" t="str">
        <f t="shared" ref="E897" si="1847">YEAR(B897) &amp; CHOOSE(D897,"-Jan","-Feb","-Mar","-Apr","-May","-Jun","-Jul","-Aug","-Sep","-Oct","-Nov","-Dec")</f>
        <v>2014-Aug</v>
      </c>
      <c r="F897" s="68">
        <f t="shared" ref="F897" si="1848">IF(C897&gt;0,MONTH(C897),"False")</f>
        <v>8</v>
      </c>
      <c r="G897" s="262" t="s">
        <v>93</v>
      </c>
      <c r="H897" s="262" t="s">
        <v>166</v>
      </c>
      <c r="J897" s="262" t="s">
        <v>77</v>
      </c>
      <c r="K897" s="262" t="s">
        <v>82</v>
      </c>
      <c r="L897" s="262" t="s">
        <v>79</v>
      </c>
      <c r="M897" s="1" t="s">
        <v>1605</v>
      </c>
      <c r="N897" s="262" t="s">
        <v>124</v>
      </c>
      <c r="O897" s="262" t="s">
        <v>1606</v>
      </c>
      <c r="P897" s="64" t="s">
        <v>319</v>
      </c>
      <c r="R897" s="64" t="s">
        <v>320</v>
      </c>
      <c r="S897" s="1" t="s">
        <v>104</v>
      </c>
      <c r="X897" s="1" t="s">
        <v>159</v>
      </c>
      <c r="Y897" s="263" t="str">
        <f t="shared" si="1839"/>
        <v>Pass</v>
      </c>
      <c r="Z897" s="11" t="str">
        <f t="shared" si="1840"/>
        <v/>
      </c>
      <c r="AA897" s="263" t="str">
        <f t="shared" si="1841"/>
        <v/>
      </c>
      <c r="AB897" s="263" t="str">
        <f t="shared" si="1842"/>
        <v/>
      </c>
    </row>
    <row r="898" spans="2:28" x14ac:dyDescent="0.25">
      <c r="B898" s="65">
        <v>41872</v>
      </c>
      <c r="C898" s="66">
        <v>41872</v>
      </c>
      <c r="D898" s="68">
        <f t="shared" ref="D898:D899" si="1849">IF(B898&gt;0,MONTH(B898),"False")</f>
        <v>8</v>
      </c>
      <c r="E898" s="66" t="str">
        <f t="shared" ref="E898:E899" si="1850">YEAR(B898) &amp; CHOOSE(D898,"-Jan","-Feb","-Mar","-Apr","-May","-Jun","-Jul","-Aug","-Sep","-Oct","-Nov","-Dec")</f>
        <v>2014-Aug</v>
      </c>
      <c r="F898" s="68">
        <f t="shared" ref="F898:F899" si="1851">IF(C898&gt;0,MONTH(C898),"False")</f>
        <v>8</v>
      </c>
      <c r="G898" s="262" t="s">
        <v>93</v>
      </c>
      <c r="H898" s="262" t="s">
        <v>136</v>
      </c>
      <c r="J898" s="262" t="s">
        <v>120</v>
      </c>
      <c r="K898" s="262" t="s">
        <v>82</v>
      </c>
      <c r="L898" s="262" t="s">
        <v>79</v>
      </c>
      <c r="M898" s="1" t="s">
        <v>1607</v>
      </c>
      <c r="N898" s="262" t="s">
        <v>124</v>
      </c>
      <c r="O898" s="262" t="s">
        <v>1368</v>
      </c>
      <c r="P898" s="64" t="s">
        <v>750</v>
      </c>
      <c r="Q898" s="2" t="s">
        <v>88</v>
      </c>
      <c r="R898" s="64" t="s">
        <v>1513</v>
      </c>
      <c r="Y898" s="263" t="str">
        <f t="shared" si="1839"/>
        <v>Obsolete</v>
      </c>
      <c r="Z898" s="11">
        <f t="shared" si="1840"/>
        <v>41872</v>
      </c>
      <c r="AA898" s="263" t="str">
        <f t="shared" si="1841"/>
        <v>2014 - 34</v>
      </c>
      <c r="AB898" s="263">
        <f t="shared" si="1842"/>
        <v>2014</v>
      </c>
    </row>
    <row r="899" spans="2:28" x14ac:dyDescent="0.25">
      <c r="B899" s="66">
        <v>41872</v>
      </c>
      <c r="C899" s="66">
        <v>41872</v>
      </c>
      <c r="D899" s="68">
        <f t="shared" si="1849"/>
        <v>8</v>
      </c>
      <c r="E899" s="66" t="str">
        <f t="shared" si="1850"/>
        <v>2014-Aug</v>
      </c>
      <c r="F899" s="68">
        <f t="shared" si="1851"/>
        <v>8</v>
      </c>
      <c r="G899" s="262" t="s">
        <v>87</v>
      </c>
      <c r="H899" s="262" t="s">
        <v>166</v>
      </c>
      <c r="J899" s="262" t="s">
        <v>149</v>
      </c>
      <c r="K899" s="262" t="s">
        <v>84</v>
      </c>
      <c r="L899" s="262" t="s">
        <v>83</v>
      </c>
      <c r="M899" s="1" t="s">
        <v>1608</v>
      </c>
      <c r="N899" s="262" t="s">
        <v>124</v>
      </c>
      <c r="O899" s="262" t="s">
        <v>264</v>
      </c>
      <c r="R899" s="64" t="s">
        <v>1609</v>
      </c>
      <c r="Y899" s="263" t="str">
        <f t="shared" si="1839"/>
        <v>Unknown</v>
      </c>
      <c r="Z899" s="11" t="str">
        <f t="shared" si="1840"/>
        <v/>
      </c>
      <c r="AA899" s="263" t="str">
        <f t="shared" si="1841"/>
        <v/>
      </c>
      <c r="AB899" s="263" t="str">
        <f t="shared" si="1842"/>
        <v/>
      </c>
    </row>
    <row r="900" spans="2:28" x14ac:dyDescent="0.25">
      <c r="B900" s="66">
        <v>41872</v>
      </c>
      <c r="C900" s="66">
        <v>41872</v>
      </c>
      <c r="D900" s="68">
        <f t="shared" ref="D900:D901" si="1852">IF(B900&gt;0,MONTH(B900),"False")</f>
        <v>8</v>
      </c>
      <c r="E900" s="66" t="str">
        <f t="shared" ref="E900:E901" si="1853">YEAR(B900) &amp; CHOOSE(D900,"-Jan","-Feb","-Mar","-Apr","-May","-Jun","-Jul","-Aug","-Sep","-Oct","-Nov","-Dec")</f>
        <v>2014-Aug</v>
      </c>
      <c r="F900" s="68">
        <f t="shared" ref="F900:F901" si="1854">IF(C900&gt;0,MONTH(C900),"False")</f>
        <v>8</v>
      </c>
      <c r="G900" s="264" t="s">
        <v>112</v>
      </c>
      <c r="H900" s="262" t="s">
        <v>136</v>
      </c>
      <c r="I900" s="262"/>
      <c r="J900" s="262" t="s">
        <v>149</v>
      </c>
      <c r="K900" s="262" t="s">
        <v>84</v>
      </c>
      <c r="L900" s="262" t="s">
        <v>83</v>
      </c>
      <c r="M900" s="1" t="s">
        <v>1610</v>
      </c>
      <c r="N900" s="262" t="s">
        <v>124</v>
      </c>
      <c r="O900" s="262" t="s">
        <v>264</v>
      </c>
      <c r="R900" s="64" t="s">
        <v>1611</v>
      </c>
      <c r="S900" s="264" t="s">
        <v>104</v>
      </c>
      <c r="T900" s="67" t="s">
        <v>110</v>
      </c>
      <c r="X900" s="264" t="s">
        <v>159</v>
      </c>
      <c r="Y900" s="263" t="str">
        <f t="shared" si="1839"/>
        <v>Pass</v>
      </c>
      <c r="Z900" s="11" t="str">
        <f t="shared" si="1840"/>
        <v/>
      </c>
      <c r="AA900" s="263" t="str">
        <f t="shared" si="1841"/>
        <v/>
      </c>
      <c r="AB900" s="263" t="str">
        <f t="shared" si="1842"/>
        <v/>
      </c>
    </row>
    <row r="901" spans="2:28" x14ac:dyDescent="0.25">
      <c r="B901" s="65">
        <v>41873</v>
      </c>
      <c r="C901" s="66">
        <v>41873</v>
      </c>
      <c r="D901" s="68">
        <f t="shared" si="1852"/>
        <v>8</v>
      </c>
      <c r="E901" s="66" t="str">
        <f t="shared" si="1853"/>
        <v>2014-Aug</v>
      </c>
      <c r="F901" s="68">
        <f t="shared" si="1854"/>
        <v>8</v>
      </c>
      <c r="G901" s="270" t="s">
        <v>121</v>
      </c>
      <c r="H901" s="263" t="s">
        <v>280</v>
      </c>
      <c r="J901" s="263" t="s">
        <v>146</v>
      </c>
      <c r="K901" s="263" t="s">
        <v>82</v>
      </c>
      <c r="L901" s="263" t="s">
        <v>79</v>
      </c>
      <c r="M901" s="1" t="s">
        <v>1612</v>
      </c>
      <c r="N901" s="263" t="s">
        <v>124</v>
      </c>
      <c r="O901" s="263" t="s">
        <v>116</v>
      </c>
      <c r="P901" s="64" t="s">
        <v>305</v>
      </c>
      <c r="R901" s="64" t="s">
        <v>1559</v>
      </c>
      <c r="S901" s="270" t="s">
        <v>104</v>
      </c>
      <c r="X901" s="270" t="s">
        <v>837</v>
      </c>
      <c r="Y901" s="263" t="str">
        <f t="shared" si="1839"/>
        <v>Pass</v>
      </c>
      <c r="Z901" s="11" t="str">
        <f t="shared" si="1840"/>
        <v/>
      </c>
      <c r="AA901" s="263" t="str">
        <f t="shared" si="1841"/>
        <v/>
      </c>
      <c r="AB901" s="263" t="str">
        <f t="shared" si="1842"/>
        <v/>
      </c>
    </row>
    <row r="902" spans="2:28" x14ac:dyDescent="0.25">
      <c r="B902" s="65">
        <v>41873</v>
      </c>
      <c r="C902" s="66">
        <v>41873</v>
      </c>
      <c r="D902" s="68">
        <f t="shared" ref="D902" si="1855">IF(B902&gt;0,MONTH(B902),"False")</f>
        <v>8</v>
      </c>
      <c r="E902" s="66" t="str">
        <f t="shared" ref="E902" si="1856">YEAR(B902) &amp; CHOOSE(D902,"-Jan","-Feb","-Mar","-Apr","-May","-Jun","-Jul","-Aug","-Sep","-Oct","-Nov","-Dec")</f>
        <v>2014-Aug</v>
      </c>
      <c r="F902" s="68">
        <f t="shared" ref="F902" si="1857">IF(C902&gt;0,MONTH(C902),"False")</f>
        <v>8</v>
      </c>
      <c r="G902" s="270" t="s">
        <v>105</v>
      </c>
      <c r="H902" s="263" t="s">
        <v>280</v>
      </c>
      <c r="J902" s="263" t="s">
        <v>81</v>
      </c>
      <c r="K902" s="263" t="s">
        <v>82</v>
      </c>
      <c r="L902" s="263" t="s">
        <v>79</v>
      </c>
      <c r="M902" s="1" t="s">
        <v>1613</v>
      </c>
      <c r="N902" s="263" t="s">
        <v>124</v>
      </c>
      <c r="O902" s="263" t="s">
        <v>116</v>
      </c>
      <c r="P902" s="64" t="s">
        <v>305</v>
      </c>
      <c r="R902" s="64" t="s">
        <v>1559</v>
      </c>
      <c r="S902" s="270" t="s">
        <v>104</v>
      </c>
      <c r="X902" s="270" t="s">
        <v>837</v>
      </c>
      <c r="Y902" s="263" t="str">
        <f t="shared" si="1839"/>
        <v>Pass</v>
      </c>
      <c r="Z902" s="11" t="str">
        <f t="shared" si="1840"/>
        <v/>
      </c>
      <c r="AA902" s="263" t="str">
        <f t="shared" si="1841"/>
        <v/>
      </c>
      <c r="AB902" s="263" t="str">
        <f t="shared" si="1842"/>
        <v/>
      </c>
    </row>
    <row r="903" spans="2:28" x14ac:dyDescent="0.25">
      <c r="B903" s="66">
        <v>41873</v>
      </c>
      <c r="C903" s="66">
        <v>41873</v>
      </c>
      <c r="D903" s="68">
        <f t="shared" ref="D903:D904" si="1858">IF(B903&gt;0,MONTH(B903),"False")</f>
        <v>8</v>
      </c>
      <c r="E903" s="66" t="str">
        <f t="shared" ref="E903:E904" si="1859">YEAR(B903) &amp; CHOOSE(D903,"-Jan","-Feb","-Mar","-Apr","-May","-Jun","-Jul","-Aug","-Sep","-Oct","-Nov","-Dec")</f>
        <v>2014-Aug</v>
      </c>
      <c r="F903" s="68">
        <f t="shared" ref="F903:F904" si="1860">IF(C903&gt;0,MONTH(C903),"False")</f>
        <v>8</v>
      </c>
      <c r="G903" s="264" t="s">
        <v>112</v>
      </c>
      <c r="H903" s="263" t="s">
        <v>280</v>
      </c>
      <c r="J903" s="263" t="s">
        <v>78</v>
      </c>
      <c r="K903" s="263" t="s">
        <v>78</v>
      </c>
      <c r="L903" s="263" t="s">
        <v>79</v>
      </c>
      <c r="M903" s="263" t="s">
        <v>1614</v>
      </c>
      <c r="N903" s="263" t="s">
        <v>124</v>
      </c>
      <c r="O903" s="263" t="s">
        <v>304</v>
      </c>
      <c r="R903" s="64" t="s">
        <v>344</v>
      </c>
      <c r="S903" s="264" t="s">
        <v>104</v>
      </c>
      <c r="T903" s="67" t="s">
        <v>110</v>
      </c>
      <c r="X903" s="264" t="s">
        <v>544</v>
      </c>
      <c r="Y903" s="263" t="str">
        <f t="shared" si="1839"/>
        <v>Pass</v>
      </c>
      <c r="Z903" s="11" t="str">
        <f t="shared" si="1840"/>
        <v/>
      </c>
      <c r="AA903" s="263" t="str">
        <f t="shared" si="1841"/>
        <v/>
      </c>
      <c r="AB903" s="263" t="str">
        <f t="shared" si="1842"/>
        <v/>
      </c>
    </row>
    <row r="904" spans="2:28" x14ac:dyDescent="0.25">
      <c r="B904" s="65">
        <v>41873</v>
      </c>
      <c r="C904" s="66">
        <v>41873</v>
      </c>
      <c r="D904" s="68">
        <f t="shared" si="1858"/>
        <v>8</v>
      </c>
      <c r="E904" s="66" t="str">
        <f t="shared" si="1859"/>
        <v>2014-Aug</v>
      </c>
      <c r="F904" s="68">
        <f t="shared" si="1860"/>
        <v>8</v>
      </c>
      <c r="G904" s="263" t="s">
        <v>121</v>
      </c>
      <c r="H904" s="263" t="s">
        <v>136</v>
      </c>
      <c r="J904" s="263" t="s">
        <v>77</v>
      </c>
      <c r="K904" s="263" t="s">
        <v>82</v>
      </c>
      <c r="L904" s="263" t="s">
        <v>79</v>
      </c>
      <c r="M904" s="1" t="s">
        <v>1616</v>
      </c>
      <c r="N904" s="263" t="s">
        <v>124</v>
      </c>
      <c r="O904" s="263" t="s">
        <v>507</v>
      </c>
      <c r="P904" s="64" t="s">
        <v>750</v>
      </c>
      <c r="R904" s="64" t="s">
        <v>1513</v>
      </c>
      <c r="S904" s="263" t="s">
        <v>104</v>
      </c>
      <c r="X904" s="263" t="s">
        <v>159</v>
      </c>
      <c r="Y904" s="263" t="str">
        <f t="shared" si="1839"/>
        <v>Pass</v>
      </c>
      <c r="Z904" s="11" t="str">
        <f t="shared" si="1840"/>
        <v/>
      </c>
      <c r="AA904" s="263" t="str">
        <f t="shared" si="1841"/>
        <v/>
      </c>
      <c r="AB904" s="263" t="str">
        <f t="shared" si="1842"/>
        <v/>
      </c>
    </row>
    <row r="905" spans="2:28" x14ac:dyDescent="0.25">
      <c r="B905" s="65">
        <v>41873</v>
      </c>
      <c r="C905" s="66">
        <v>41873</v>
      </c>
      <c r="D905" s="68">
        <f t="shared" ref="D905:D908" si="1861">IF(B905&gt;0,MONTH(B905),"False")</f>
        <v>8</v>
      </c>
      <c r="E905" s="66" t="str">
        <f t="shared" ref="E905:E908" si="1862">YEAR(B905) &amp; CHOOSE(D905,"-Jan","-Feb","-Mar","-Apr","-May","-Jun","-Jul","-Aug","-Sep","-Oct","-Nov","-Dec")</f>
        <v>2014-Aug</v>
      </c>
      <c r="F905" s="68">
        <f t="shared" ref="F905:F908" si="1863">IF(C905&gt;0,MONTH(C905),"False")</f>
        <v>8</v>
      </c>
      <c r="G905" s="263" t="s">
        <v>121</v>
      </c>
      <c r="H905" s="263" t="s">
        <v>136</v>
      </c>
      <c r="I905" s="263"/>
      <c r="J905" s="263" t="s">
        <v>77</v>
      </c>
      <c r="K905" s="263" t="s">
        <v>82</v>
      </c>
      <c r="L905" s="263" t="s">
        <v>79</v>
      </c>
      <c r="M905" s="1" t="s">
        <v>1617</v>
      </c>
      <c r="N905" s="263" t="s">
        <v>124</v>
      </c>
      <c r="O905" s="263" t="s">
        <v>507</v>
      </c>
      <c r="P905" s="64" t="s">
        <v>618</v>
      </c>
      <c r="R905" s="64" t="s">
        <v>619</v>
      </c>
      <c r="S905" s="263" t="s">
        <v>104</v>
      </c>
      <c r="X905" s="263" t="s">
        <v>159</v>
      </c>
      <c r="Y905" s="263" t="str">
        <f t="shared" si="1839"/>
        <v>Pass</v>
      </c>
      <c r="Z905" s="11" t="str">
        <f t="shared" si="1840"/>
        <v/>
      </c>
      <c r="AA905" s="263" t="str">
        <f t="shared" si="1841"/>
        <v/>
      </c>
      <c r="AB905" s="263" t="str">
        <f t="shared" si="1842"/>
        <v/>
      </c>
    </row>
    <row r="906" spans="2:28" x14ac:dyDescent="0.25">
      <c r="B906" s="66">
        <v>41873</v>
      </c>
      <c r="C906" s="66">
        <v>41873</v>
      </c>
      <c r="D906" s="68">
        <f t="shared" si="1861"/>
        <v>8</v>
      </c>
      <c r="E906" s="66" t="str">
        <f t="shared" si="1862"/>
        <v>2014-Aug</v>
      </c>
      <c r="F906" s="68">
        <f t="shared" si="1863"/>
        <v>8</v>
      </c>
      <c r="G906" s="264" t="s">
        <v>112</v>
      </c>
      <c r="H906" s="263" t="s">
        <v>280</v>
      </c>
      <c r="I906" s="263"/>
      <c r="J906" s="263" t="s">
        <v>78</v>
      </c>
      <c r="K906" s="263" t="s">
        <v>78</v>
      </c>
      <c r="L906" s="263" t="s">
        <v>79</v>
      </c>
      <c r="M906" s="1" t="s">
        <v>1618</v>
      </c>
      <c r="N906" s="263" t="s">
        <v>124</v>
      </c>
      <c r="O906" s="263" t="s">
        <v>304</v>
      </c>
      <c r="P906" s="263"/>
      <c r="R906" s="64" t="s">
        <v>344</v>
      </c>
      <c r="S906" s="264" t="s">
        <v>104</v>
      </c>
      <c r="X906" s="264" t="s">
        <v>544</v>
      </c>
      <c r="Y906" s="263" t="str">
        <f t="shared" si="1839"/>
        <v>Pass</v>
      </c>
      <c r="Z906" s="11" t="str">
        <f t="shared" si="1840"/>
        <v/>
      </c>
      <c r="AA906" s="263" t="str">
        <f t="shared" si="1841"/>
        <v/>
      </c>
      <c r="AB906" s="263" t="str">
        <f t="shared" si="1842"/>
        <v/>
      </c>
    </row>
    <row r="907" spans="2:28" x14ac:dyDescent="0.25">
      <c r="B907" s="65">
        <v>41873</v>
      </c>
      <c r="C907" s="66">
        <v>41873</v>
      </c>
      <c r="D907" s="68">
        <f t="shared" si="1861"/>
        <v>8</v>
      </c>
      <c r="E907" s="66" t="str">
        <f t="shared" si="1862"/>
        <v>2014-Aug</v>
      </c>
      <c r="F907" s="68">
        <f t="shared" si="1863"/>
        <v>8</v>
      </c>
      <c r="G907" s="263" t="s">
        <v>93</v>
      </c>
      <c r="H907" s="263" t="s">
        <v>280</v>
      </c>
      <c r="I907" s="263"/>
      <c r="J907" s="263" t="s">
        <v>146</v>
      </c>
      <c r="K907" s="263" t="s">
        <v>82</v>
      </c>
      <c r="L907" s="263" t="s">
        <v>79</v>
      </c>
      <c r="M907" s="1" t="s">
        <v>1619</v>
      </c>
      <c r="N907" s="263" t="s">
        <v>124</v>
      </c>
      <c r="O907" s="263" t="s">
        <v>286</v>
      </c>
      <c r="P907" s="64" t="s">
        <v>305</v>
      </c>
      <c r="R907" s="64" t="s">
        <v>1559</v>
      </c>
      <c r="S907" s="269" t="s">
        <v>104</v>
      </c>
      <c r="Y907" s="263" t="str">
        <f t="shared" si="1839"/>
        <v>Pass</v>
      </c>
      <c r="Z907" s="11" t="str">
        <f t="shared" si="1840"/>
        <v/>
      </c>
      <c r="AA907" s="263" t="str">
        <f t="shared" si="1841"/>
        <v/>
      </c>
      <c r="AB907" s="263" t="str">
        <f t="shared" si="1842"/>
        <v/>
      </c>
    </row>
    <row r="908" spans="2:28" x14ac:dyDescent="0.25">
      <c r="B908" s="65">
        <v>41873</v>
      </c>
      <c r="C908" s="66">
        <v>41873</v>
      </c>
      <c r="D908" s="68">
        <f t="shared" si="1861"/>
        <v>8</v>
      </c>
      <c r="E908" s="66" t="str">
        <f t="shared" si="1862"/>
        <v>2014-Aug</v>
      </c>
      <c r="F908" s="68">
        <f t="shared" si="1863"/>
        <v>8</v>
      </c>
      <c r="G908" s="263" t="s">
        <v>93</v>
      </c>
      <c r="H908" s="263" t="s">
        <v>280</v>
      </c>
      <c r="I908" s="263"/>
      <c r="J908" s="263" t="s">
        <v>81</v>
      </c>
      <c r="K908" s="263" t="s">
        <v>82</v>
      </c>
      <c r="L908" s="263" t="s">
        <v>79</v>
      </c>
      <c r="M908" s="1" t="s">
        <v>1620</v>
      </c>
      <c r="N908" s="263" t="s">
        <v>124</v>
      </c>
      <c r="O908" s="263" t="s">
        <v>286</v>
      </c>
      <c r="P908" s="64" t="s">
        <v>305</v>
      </c>
      <c r="R908" s="64" t="s">
        <v>1559</v>
      </c>
      <c r="S908" s="269" t="s">
        <v>104</v>
      </c>
      <c r="Y908" s="263" t="str">
        <f t="shared" si="1839"/>
        <v>Pass</v>
      </c>
      <c r="Z908" s="11" t="str">
        <f t="shared" si="1840"/>
        <v/>
      </c>
      <c r="AA908" s="263" t="str">
        <f t="shared" si="1841"/>
        <v/>
      </c>
      <c r="AB908" s="263" t="str">
        <f t="shared" si="1842"/>
        <v/>
      </c>
    </row>
    <row r="909" spans="2:28" x14ac:dyDescent="0.25">
      <c r="B909" s="66">
        <v>41876</v>
      </c>
      <c r="C909" s="66">
        <v>41876</v>
      </c>
      <c r="D909" s="68">
        <f t="shared" ref="D909:D910" si="1864">IF(B909&gt;0,MONTH(B909),"False")</f>
        <v>8</v>
      </c>
      <c r="E909" s="66" t="str">
        <f t="shared" ref="E909:E910" si="1865">YEAR(B909) &amp; CHOOSE(D909,"-Jan","-Feb","-Mar","-Apr","-May","-Jun","-Jul","-Aug","-Sep","-Oct","-Nov","-Dec")</f>
        <v>2014-Aug</v>
      </c>
      <c r="F909" s="68">
        <f t="shared" ref="F909:F910" si="1866">IF(C909&gt;0,MONTH(C909),"False")</f>
        <v>8</v>
      </c>
      <c r="G909" s="264" t="s">
        <v>87</v>
      </c>
      <c r="H909" s="264" t="s">
        <v>136</v>
      </c>
      <c r="I909" s="264"/>
      <c r="J909" s="264" t="s">
        <v>98</v>
      </c>
      <c r="K909" s="264" t="s">
        <v>84</v>
      </c>
      <c r="L909" s="264" t="s">
        <v>79</v>
      </c>
      <c r="M909" s="1" t="s">
        <v>1622</v>
      </c>
      <c r="N909" s="264" t="s">
        <v>124</v>
      </c>
      <c r="O909" s="264" t="s">
        <v>152</v>
      </c>
      <c r="P909" s="64"/>
      <c r="R909" s="64" t="s">
        <v>1623</v>
      </c>
      <c r="Y909" s="263" t="str">
        <f t="shared" si="1839"/>
        <v>Unknown</v>
      </c>
      <c r="Z909" s="11" t="str">
        <f t="shared" si="1840"/>
        <v/>
      </c>
      <c r="AA909" s="263" t="str">
        <f t="shared" si="1841"/>
        <v/>
      </c>
      <c r="AB909" s="263" t="str">
        <f t="shared" si="1842"/>
        <v/>
      </c>
    </row>
    <row r="910" spans="2:28" x14ac:dyDescent="0.25">
      <c r="B910" s="65">
        <v>41876</v>
      </c>
      <c r="C910" s="66">
        <v>41876</v>
      </c>
      <c r="D910" s="68">
        <f t="shared" si="1864"/>
        <v>8</v>
      </c>
      <c r="E910" s="66" t="str">
        <f t="shared" si="1865"/>
        <v>2014-Aug</v>
      </c>
      <c r="F910" s="68">
        <f t="shared" si="1866"/>
        <v>8</v>
      </c>
      <c r="G910" s="270" t="s">
        <v>121</v>
      </c>
      <c r="H910" s="264" t="s">
        <v>28</v>
      </c>
      <c r="J910" s="264" t="s">
        <v>77</v>
      </c>
      <c r="K910" s="264" t="s">
        <v>82</v>
      </c>
      <c r="L910" s="264" t="s">
        <v>79</v>
      </c>
      <c r="M910" s="1" t="s">
        <v>1624</v>
      </c>
      <c r="N910" s="264" t="s">
        <v>124</v>
      </c>
      <c r="O910" s="264" t="s">
        <v>162</v>
      </c>
      <c r="P910" s="64" t="s">
        <v>334</v>
      </c>
      <c r="R910" s="64" t="s">
        <v>335</v>
      </c>
      <c r="S910" s="270" t="s">
        <v>104</v>
      </c>
      <c r="X910" s="270" t="s">
        <v>153</v>
      </c>
      <c r="Y910" s="263" t="str">
        <f t="shared" si="1839"/>
        <v>Pass</v>
      </c>
      <c r="Z910" s="11" t="str">
        <f t="shared" si="1840"/>
        <v/>
      </c>
      <c r="AA910" s="263" t="str">
        <f t="shared" si="1841"/>
        <v/>
      </c>
      <c r="AB910" s="263" t="str">
        <f t="shared" si="1842"/>
        <v/>
      </c>
    </row>
    <row r="911" spans="2:28" x14ac:dyDescent="0.25">
      <c r="B911" s="66">
        <v>41876</v>
      </c>
      <c r="C911" s="66">
        <v>41876</v>
      </c>
      <c r="D911" s="68">
        <f t="shared" ref="D911:D912" si="1867">IF(B911&gt;0,MONTH(B911),"False")</f>
        <v>8</v>
      </c>
      <c r="E911" s="66" t="str">
        <f t="shared" ref="E911:E912" si="1868">YEAR(B911) &amp; CHOOSE(D911,"-Jan","-Feb","-Mar","-Apr","-May","-Jun","-Jul","-Aug","-Sep","-Oct","-Nov","-Dec")</f>
        <v>2014-Aug</v>
      </c>
      <c r="F911" s="68">
        <f t="shared" ref="F911:F912" si="1869">IF(C911&gt;0,MONTH(C911),"False")</f>
        <v>8</v>
      </c>
      <c r="G911" s="264" t="s">
        <v>112</v>
      </c>
      <c r="H911" s="264" t="s">
        <v>280</v>
      </c>
      <c r="J911" s="264" t="s">
        <v>78</v>
      </c>
      <c r="K911" s="264" t="s">
        <v>78</v>
      </c>
      <c r="L911" s="264" t="s">
        <v>79</v>
      </c>
      <c r="M911" s="1" t="s">
        <v>1625</v>
      </c>
      <c r="N911" s="264" t="s">
        <v>124</v>
      </c>
      <c r="O911" s="264" t="s">
        <v>304</v>
      </c>
      <c r="R911" s="64" t="s">
        <v>344</v>
      </c>
      <c r="S911" s="264" t="s">
        <v>104</v>
      </c>
      <c r="T911" s="67" t="s">
        <v>110</v>
      </c>
      <c r="X911" s="264" t="s">
        <v>544</v>
      </c>
      <c r="Y911" s="263" t="str">
        <f t="shared" si="1839"/>
        <v>Pass</v>
      </c>
      <c r="Z911" s="11" t="str">
        <f t="shared" si="1840"/>
        <v/>
      </c>
      <c r="AA911" s="263" t="str">
        <f t="shared" si="1841"/>
        <v/>
      </c>
      <c r="AB911" s="263" t="str">
        <f t="shared" si="1842"/>
        <v/>
      </c>
    </row>
    <row r="912" spans="2:28" x14ac:dyDescent="0.25">
      <c r="B912" s="65">
        <v>41876</v>
      </c>
      <c r="C912" s="66">
        <v>41876</v>
      </c>
      <c r="D912" s="68">
        <f t="shared" si="1867"/>
        <v>8</v>
      </c>
      <c r="E912" s="66" t="str">
        <f t="shared" si="1868"/>
        <v>2014-Aug</v>
      </c>
      <c r="F912" s="68">
        <f t="shared" si="1869"/>
        <v>8</v>
      </c>
      <c r="G912" s="264" t="s">
        <v>93</v>
      </c>
      <c r="H912" s="264" t="s">
        <v>280</v>
      </c>
      <c r="I912" s="264"/>
      <c r="J912" s="264" t="s">
        <v>81</v>
      </c>
      <c r="K912" s="264" t="s">
        <v>82</v>
      </c>
      <c r="L912" s="264" t="s">
        <v>79</v>
      </c>
      <c r="M912" s="1" t="s">
        <v>1626</v>
      </c>
      <c r="N912" s="264" t="s">
        <v>124</v>
      </c>
      <c r="O912" s="264" t="s">
        <v>285</v>
      </c>
      <c r="P912" s="64" t="s">
        <v>305</v>
      </c>
      <c r="R912" s="64" t="s">
        <v>1559</v>
      </c>
      <c r="S912" s="286" t="s">
        <v>104</v>
      </c>
      <c r="Y912" s="263" t="str">
        <f t="shared" si="1839"/>
        <v>Pass</v>
      </c>
      <c r="Z912" s="11" t="str">
        <f t="shared" si="1840"/>
        <v/>
      </c>
      <c r="AA912" s="263" t="str">
        <f t="shared" si="1841"/>
        <v/>
      </c>
      <c r="AB912" s="263" t="str">
        <f t="shared" si="1842"/>
        <v/>
      </c>
    </row>
    <row r="913" spans="2:28" x14ac:dyDescent="0.25">
      <c r="B913" s="65">
        <v>41877</v>
      </c>
      <c r="C913" s="66">
        <v>41877</v>
      </c>
      <c r="D913" s="68">
        <f t="shared" ref="D913:D914" si="1870">IF(B913&gt;0,MONTH(B913),"False")</f>
        <v>8</v>
      </c>
      <c r="E913" s="66" t="str">
        <f t="shared" ref="E913:E914" si="1871">YEAR(B913) &amp; CHOOSE(D913,"-Jan","-Feb","-Mar","-Apr","-May","-Jun","-Jul","-Aug","-Sep","-Oct","-Nov","-Dec")</f>
        <v>2014-Aug</v>
      </c>
      <c r="F913" s="68">
        <f t="shared" ref="F913:F914" si="1872">IF(C913&gt;0,MONTH(C913),"False")</f>
        <v>8</v>
      </c>
      <c r="G913" s="264" t="s">
        <v>93</v>
      </c>
      <c r="H913" s="264" t="s">
        <v>280</v>
      </c>
      <c r="I913" s="264"/>
      <c r="J913" s="264" t="s">
        <v>81</v>
      </c>
      <c r="K913" s="264" t="s">
        <v>82</v>
      </c>
      <c r="L913" s="264" t="s">
        <v>79</v>
      </c>
      <c r="M913" s="1" t="s">
        <v>1621</v>
      </c>
      <c r="N913" s="264" t="s">
        <v>124</v>
      </c>
      <c r="O913" s="264" t="s">
        <v>286</v>
      </c>
      <c r="P913" s="64" t="s">
        <v>305</v>
      </c>
      <c r="R913" s="64" t="s">
        <v>1559</v>
      </c>
      <c r="S913" s="286" t="s">
        <v>104</v>
      </c>
      <c r="Y913" s="263" t="str">
        <f t="shared" si="1839"/>
        <v>Pass</v>
      </c>
      <c r="Z913" s="11" t="str">
        <f t="shared" si="1840"/>
        <v/>
      </c>
      <c r="AA913" s="263" t="str">
        <f t="shared" si="1841"/>
        <v/>
      </c>
      <c r="AB913" s="263" t="str">
        <f t="shared" si="1842"/>
        <v/>
      </c>
    </row>
    <row r="914" spans="2:28" x14ac:dyDescent="0.25">
      <c r="B914" s="66">
        <v>41877</v>
      </c>
      <c r="C914" s="66">
        <v>41877</v>
      </c>
      <c r="D914" s="68">
        <f t="shared" si="1870"/>
        <v>8</v>
      </c>
      <c r="E914" s="66" t="str">
        <f t="shared" si="1871"/>
        <v>2014-Aug</v>
      </c>
      <c r="F914" s="68">
        <f t="shared" si="1872"/>
        <v>8</v>
      </c>
      <c r="G914" s="264" t="s">
        <v>87</v>
      </c>
      <c r="H914" s="264" t="s">
        <v>166</v>
      </c>
      <c r="I914" s="264"/>
      <c r="J914" s="264" t="s">
        <v>119</v>
      </c>
      <c r="K914" s="264" t="s">
        <v>119</v>
      </c>
      <c r="L914" s="264" t="s">
        <v>83</v>
      </c>
      <c r="M914" s="1" t="s">
        <v>1627</v>
      </c>
      <c r="N914" s="264" t="s">
        <v>124</v>
      </c>
      <c r="O914" s="264" t="s">
        <v>156</v>
      </c>
      <c r="R914" s="64" t="s">
        <v>473</v>
      </c>
      <c r="Y914" s="263" t="str">
        <f t="shared" si="1839"/>
        <v>Unknown</v>
      </c>
      <c r="Z914" s="11" t="str">
        <f t="shared" si="1840"/>
        <v/>
      </c>
      <c r="AA914" s="263" t="str">
        <f t="shared" si="1841"/>
        <v/>
      </c>
      <c r="AB914" s="263" t="str">
        <f t="shared" si="1842"/>
        <v/>
      </c>
    </row>
    <row r="915" spans="2:28" x14ac:dyDescent="0.25">
      <c r="B915" s="65">
        <v>41877</v>
      </c>
      <c r="C915" s="66">
        <v>41877</v>
      </c>
      <c r="D915" s="68">
        <f t="shared" ref="D915" si="1873">IF(B915&gt;0,MONTH(B915),"False")</f>
        <v>8</v>
      </c>
      <c r="E915" s="66" t="str">
        <f t="shared" ref="E915" si="1874">YEAR(B915) &amp; CHOOSE(D915,"-Jan","-Feb","-Mar","-Apr","-May","-Jun","-Jul","-Aug","-Sep","-Oct","-Nov","-Dec")</f>
        <v>2014-Aug</v>
      </c>
      <c r="F915" s="68">
        <f t="shared" ref="F915" si="1875">IF(C915&gt;0,MONTH(C915),"False")</f>
        <v>8</v>
      </c>
      <c r="G915" s="264" t="s">
        <v>93</v>
      </c>
      <c r="H915" s="264" t="s">
        <v>136</v>
      </c>
      <c r="J915" s="264" t="s">
        <v>77</v>
      </c>
      <c r="K915" s="264" t="s">
        <v>82</v>
      </c>
      <c r="L915" s="264" t="s">
        <v>79</v>
      </c>
      <c r="M915" s="264" t="s">
        <v>1628</v>
      </c>
      <c r="N915" s="264" t="s">
        <v>124</v>
      </c>
      <c r="O915" s="264" t="s">
        <v>1368</v>
      </c>
      <c r="P915" s="64" t="s">
        <v>750</v>
      </c>
      <c r="R915" s="64" t="s">
        <v>1513</v>
      </c>
      <c r="Y915" s="263" t="str">
        <f t="shared" si="1839"/>
        <v>Unknown</v>
      </c>
      <c r="Z915" s="11" t="str">
        <f t="shared" si="1840"/>
        <v/>
      </c>
      <c r="AA915" s="263" t="str">
        <f t="shared" si="1841"/>
        <v/>
      </c>
      <c r="AB915" s="263" t="str">
        <f t="shared" si="1842"/>
        <v/>
      </c>
    </row>
    <row r="916" spans="2:28" x14ac:dyDescent="0.25">
      <c r="B916" s="65">
        <v>41878</v>
      </c>
      <c r="C916" s="66">
        <v>41878</v>
      </c>
      <c r="D916" s="68">
        <f t="shared" ref="D916" si="1876">IF(B916&gt;0,MONTH(B916),"False")</f>
        <v>8</v>
      </c>
      <c r="E916" s="66" t="str">
        <f t="shared" ref="E916" si="1877">YEAR(B916) &amp; CHOOSE(D916,"-Jan","-Feb","-Mar","-Apr","-May","-Jun","-Jul","-Aug","-Sep","-Oct","-Nov","-Dec")</f>
        <v>2014-Aug</v>
      </c>
      <c r="F916" s="68">
        <f t="shared" ref="F916" si="1878">IF(C916&gt;0,MONTH(C916),"False")</f>
        <v>8</v>
      </c>
      <c r="G916" s="270" t="s">
        <v>105</v>
      </c>
      <c r="H916" s="265" t="s">
        <v>280</v>
      </c>
      <c r="J916" s="265" t="s">
        <v>81</v>
      </c>
      <c r="K916" s="265" t="s">
        <v>82</v>
      </c>
      <c r="L916" s="265" t="s">
        <v>79</v>
      </c>
      <c r="M916" s="1" t="s">
        <v>1629</v>
      </c>
      <c r="N916" s="265" t="s">
        <v>124</v>
      </c>
      <c r="O916" s="265" t="s">
        <v>116</v>
      </c>
      <c r="P916" s="64" t="s">
        <v>305</v>
      </c>
      <c r="R916" s="64" t="s">
        <v>1559</v>
      </c>
      <c r="S916" s="270" t="s">
        <v>104</v>
      </c>
      <c r="X916" s="270" t="s">
        <v>837</v>
      </c>
      <c r="Y916" s="263" t="str">
        <f t="shared" si="1839"/>
        <v>Pass</v>
      </c>
      <c r="Z916" s="11" t="str">
        <f t="shared" si="1840"/>
        <v/>
      </c>
      <c r="AA916" s="263" t="str">
        <f t="shared" si="1841"/>
        <v/>
      </c>
      <c r="AB916" s="263" t="str">
        <f t="shared" si="1842"/>
        <v/>
      </c>
    </row>
    <row r="917" spans="2:28" x14ac:dyDescent="0.25">
      <c r="B917" s="66">
        <v>41878</v>
      </c>
      <c r="C917" s="66">
        <v>41878</v>
      </c>
      <c r="D917" s="68">
        <f t="shared" ref="D917" si="1879">IF(B917&gt;0,MONTH(B917),"False")</f>
        <v>8</v>
      </c>
      <c r="E917" s="66" t="str">
        <f t="shared" ref="E917" si="1880">YEAR(B917) &amp; CHOOSE(D917,"-Jan","-Feb","-Mar","-Apr","-May","-Jun","-Jul","-Aug","-Sep","-Oct","-Nov","-Dec")</f>
        <v>2014-Aug</v>
      </c>
      <c r="F917" s="68">
        <f t="shared" ref="F917" si="1881">IF(C917&gt;0,MONTH(C917),"False")</f>
        <v>8</v>
      </c>
      <c r="G917" s="267" t="s">
        <v>112</v>
      </c>
      <c r="H917" s="265" t="s">
        <v>166</v>
      </c>
      <c r="J917" s="265" t="s">
        <v>260</v>
      </c>
      <c r="K917" s="265" t="s">
        <v>84</v>
      </c>
      <c r="L917" s="265" t="s">
        <v>79</v>
      </c>
      <c r="M917" s="1" t="s">
        <v>1630</v>
      </c>
      <c r="N917" s="265" t="s">
        <v>124</v>
      </c>
      <c r="O917" s="265" t="s">
        <v>148</v>
      </c>
      <c r="R917" s="64" t="s">
        <v>1567</v>
      </c>
      <c r="S917" s="267" t="s">
        <v>104</v>
      </c>
      <c r="T917" s="67" t="s">
        <v>110</v>
      </c>
      <c r="X917" s="267" t="s">
        <v>1365</v>
      </c>
      <c r="Y917" s="263" t="str">
        <f t="shared" si="1839"/>
        <v>Pass</v>
      </c>
      <c r="Z917" s="11" t="str">
        <f t="shared" si="1840"/>
        <v/>
      </c>
      <c r="AA917" s="263" t="str">
        <f t="shared" si="1841"/>
        <v/>
      </c>
      <c r="AB917" s="263" t="str">
        <f t="shared" si="1842"/>
        <v/>
      </c>
    </row>
    <row r="918" spans="2:28" x14ac:dyDescent="0.25">
      <c r="B918" s="66">
        <v>41878</v>
      </c>
      <c r="C918" s="66">
        <v>41878</v>
      </c>
      <c r="D918" s="68">
        <f t="shared" ref="D918:D920" si="1882">IF(B918&gt;0,MONTH(B918),"False")</f>
        <v>8</v>
      </c>
      <c r="E918" s="66" t="str">
        <f t="shared" ref="E918:E920" si="1883">YEAR(B918) &amp; CHOOSE(D918,"-Jan","-Feb","-Mar","-Apr","-May","-Jun","-Jul","-Aug","-Sep","-Oct","-Nov","-Dec")</f>
        <v>2014-Aug</v>
      </c>
      <c r="F918" s="68">
        <f t="shared" ref="F918:F920" si="1884">IF(C918&gt;0,MONTH(C918),"False")</f>
        <v>8</v>
      </c>
      <c r="G918" s="267" t="s">
        <v>112</v>
      </c>
      <c r="H918" s="265" t="s">
        <v>166</v>
      </c>
      <c r="J918" s="265" t="s">
        <v>149</v>
      </c>
      <c r="K918" s="265" t="s">
        <v>84</v>
      </c>
      <c r="L918" s="265" t="s">
        <v>83</v>
      </c>
      <c r="M918" s="1" t="s">
        <v>1631</v>
      </c>
      <c r="N918" s="265" t="s">
        <v>124</v>
      </c>
      <c r="O918" s="265" t="s">
        <v>148</v>
      </c>
      <c r="R918" s="64" t="s">
        <v>1041</v>
      </c>
      <c r="S918" s="267" t="s">
        <v>104</v>
      </c>
      <c r="T918" s="67" t="s">
        <v>110</v>
      </c>
      <c r="X918" s="267" t="s">
        <v>1365</v>
      </c>
      <c r="Y918" s="263" t="str">
        <f t="shared" si="1839"/>
        <v>Pass</v>
      </c>
      <c r="Z918" s="11" t="str">
        <f t="shared" si="1840"/>
        <v/>
      </c>
      <c r="AA918" s="263" t="str">
        <f t="shared" si="1841"/>
        <v/>
      </c>
      <c r="AB918" s="263" t="str">
        <f t="shared" si="1842"/>
        <v/>
      </c>
    </row>
    <row r="919" spans="2:28" x14ac:dyDescent="0.25">
      <c r="B919" s="65">
        <v>41878</v>
      </c>
      <c r="C919" s="66">
        <v>41878</v>
      </c>
      <c r="D919" s="68">
        <f t="shared" si="1882"/>
        <v>8</v>
      </c>
      <c r="E919" s="66" t="str">
        <f t="shared" si="1883"/>
        <v>2014-Aug</v>
      </c>
      <c r="F919" s="68">
        <f t="shared" si="1884"/>
        <v>8</v>
      </c>
      <c r="G919" s="265" t="s">
        <v>93</v>
      </c>
      <c r="H919" s="265" t="s">
        <v>136</v>
      </c>
      <c r="J919" s="265" t="s">
        <v>77</v>
      </c>
      <c r="K919" s="265" t="s">
        <v>119</v>
      </c>
      <c r="L919" s="265" t="s">
        <v>83</v>
      </c>
      <c r="M919" s="1" t="s">
        <v>1632</v>
      </c>
      <c r="N919" s="265" t="s">
        <v>124</v>
      </c>
      <c r="O919" s="265" t="s">
        <v>507</v>
      </c>
      <c r="P919" s="64" t="s">
        <v>1633</v>
      </c>
      <c r="R919" s="64" t="s">
        <v>784</v>
      </c>
      <c r="Y919" s="263" t="str">
        <f t="shared" si="1839"/>
        <v>Unknown</v>
      </c>
      <c r="Z919" s="11" t="str">
        <f t="shared" si="1840"/>
        <v/>
      </c>
      <c r="AA919" s="263" t="str">
        <f t="shared" si="1841"/>
        <v/>
      </c>
      <c r="AB919" s="263" t="str">
        <f t="shared" si="1842"/>
        <v/>
      </c>
    </row>
    <row r="920" spans="2:28" x14ac:dyDescent="0.25">
      <c r="B920" s="65">
        <v>41878</v>
      </c>
      <c r="C920" s="66">
        <v>41878</v>
      </c>
      <c r="D920" s="68">
        <f t="shared" si="1882"/>
        <v>8</v>
      </c>
      <c r="E920" s="66" t="str">
        <f t="shared" si="1883"/>
        <v>2014-Aug</v>
      </c>
      <c r="F920" s="68">
        <f t="shared" si="1884"/>
        <v>8</v>
      </c>
      <c r="G920" s="265" t="s">
        <v>121</v>
      </c>
      <c r="H920" s="265" t="s">
        <v>280</v>
      </c>
      <c r="I920" s="265"/>
      <c r="J920" s="265" t="s">
        <v>81</v>
      </c>
      <c r="K920" s="265" t="s">
        <v>82</v>
      </c>
      <c r="L920" s="265" t="s">
        <v>79</v>
      </c>
      <c r="M920" s="265" t="s">
        <v>1634</v>
      </c>
      <c r="N920" s="265" t="s">
        <v>124</v>
      </c>
      <c r="O920" s="265" t="s">
        <v>286</v>
      </c>
      <c r="P920" s="64" t="s">
        <v>305</v>
      </c>
      <c r="R920" s="64" t="s">
        <v>1559</v>
      </c>
      <c r="S920" s="265" t="s">
        <v>104</v>
      </c>
      <c r="X920" s="265" t="s">
        <v>161</v>
      </c>
      <c r="Y920" s="265" t="str">
        <f t="shared" ref="Y920:Y934" si="1885">IF(Q920&gt;0,"Obsolete",IF(S920&gt;0,S920,"Unknown"))</f>
        <v>Pass</v>
      </c>
      <c r="Z920" s="11" t="str">
        <f t="shared" ref="Z920:Z934" si="1886">IF(Q920="Obsolete-LQA",C920,IF(Q920="Obsolete-IT",B920,""))</f>
        <v/>
      </c>
      <c r="AA920" s="265" t="str">
        <f t="shared" ref="AA920:AA934" si="1887">IFERROR(YEAR(Z920)&amp;" - "&amp; IF(LEN( WEEKNUM(Z920))=1,"0" &amp; WEEKNUM(Z920),WEEKNUM(Z920)),"")</f>
        <v/>
      </c>
      <c r="AB920" s="265" t="str">
        <f t="shared" ref="AB920:AB934" si="1888">IFERROR(YEAR(Z920),"")</f>
        <v/>
      </c>
    </row>
    <row r="921" spans="2:28" x14ac:dyDescent="0.25">
      <c r="B921" s="65">
        <v>41878</v>
      </c>
      <c r="C921" s="66">
        <v>41878</v>
      </c>
      <c r="D921" s="68">
        <f t="shared" ref="D921:D922" si="1889">IF(B921&gt;0,MONTH(B921),"False")</f>
        <v>8</v>
      </c>
      <c r="E921" s="66" t="str">
        <f t="shared" ref="E921:E922" si="1890">YEAR(B921) &amp; CHOOSE(D921,"-Jan","-Feb","-Mar","-Apr","-May","-Jun","-Jul","-Aug","-Sep","-Oct","-Nov","-Dec")</f>
        <v>2014-Aug</v>
      </c>
      <c r="F921" s="68">
        <f t="shared" ref="F921:F922" si="1891">IF(C921&gt;0,MONTH(C921),"False")</f>
        <v>8</v>
      </c>
      <c r="G921" s="284" t="s">
        <v>105</v>
      </c>
      <c r="H921" s="265" t="s">
        <v>280</v>
      </c>
      <c r="I921" s="265"/>
      <c r="J921" s="265" t="s">
        <v>146</v>
      </c>
      <c r="K921" s="265" t="s">
        <v>82</v>
      </c>
      <c r="L921" s="265" t="s">
        <v>79</v>
      </c>
      <c r="M921" s="1" t="s">
        <v>1635</v>
      </c>
      <c r="N921" s="265" t="s">
        <v>124</v>
      </c>
      <c r="O921" s="265" t="s">
        <v>286</v>
      </c>
      <c r="P921" s="64" t="s">
        <v>305</v>
      </c>
      <c r="R921" s="64" t="s">
        <v>1559</v>
      </c>
      <c r="S921" s="284" t="s">
        <v>104</v>
      </c>
      <c r="X921" s="284" t="s">
        <v>544</v>
      </c>
      <c r="Y921" s="265" t="str">
        <f t="shared" si="1885"/>
        <v>Pass</v>
      </c>
      <c r="Z921" s="11" t="str">
        <f t="shared" si="1886"/>
        <v/>
      </c>
      <c r="AA921" s="265" t="str">
        <f t="shared" si="1887"/>
        <v/>
      </c>
      <c r="AB921" s="265" t="str">
        <f t="shared" si="1888"/>
        <v/>
      </c>
    </row>
    <row r="922" spans="2:28" x14ac:dyDescent="0.25">
      <c r="B922" s="66">
        <v>41878</v>
      </c>
      <c r="C922" s="66">
        <v>41878</v>
      </c>
      <c r="D922" s="68">
        <f t="shared" si="1889"/>
        <v>8</v>
      </c>
      <c r="E922" s="66" t="str">
        <f t="shared" si="1890"/>
        <v>2014-Aug</v>
      </c>
      <c r="F922" s="68">
        <f t="shared" si="1891"/>
        <v>8</v>
      </c>
      <c r="G922" s="267" t="s">
        <v>112</v>
      </c>
      <c r="H922" s="265" t="s">
        <v>166</v>
      </c>
      <c r="J922" s="265" t="s">
        <v>146</v>
      </c>
      <c r="K922" s="265" t="s">
        <v>82</v>
      </c>
      <c r="L922" s="265" t="s">
        <v>83</v>
      </c>
      <c r="M922" s="1" t="s">
        <v>1636</v>
      </c>
      <c r="N922" s="265" t="s">
        <v>124</v>
      </c>
      <c r="O922" s="265" t="s">
        <v>343</v>
      </c>
      <c r="R922" s="64" t="s">
        <v>1564</v>
      </c>
      <c r="S922" s="267" t="s">
        <v>104</v>
      </c>
      <c r="X922" s="267" t="s">
        <v>1365</v>
      </c>
      <c r="Y922" s="265" t="str">
        <f t="shared" si="1885"/>
        <v>Pass</v>
      </c>
      <c r="Z922" s="11" t="str">
        <f t="shared" si="1886"/>
        <v/>
      </c>
      <c r="AA922" s="265" t="str">
        <f t="shared" si="1887"/>
        <v/>
      </c>
      <c r="AB922" s="265" t="str">
        <f t="shared" si="1888"/>
        <v/>
      </c>
    </row>
    <row r="923" spans="2:28" x14ac:dyDescent="0.25">
      <c r="B923" s="65">
        <v>41878</v>
      </c>
      <c r="C923" s="66">
        <v>41878</v>
      </c>
      <c r="D923" s="68">
        <f t="shared" ref="D923" si="1892">IF(B923&gt;0,MONTH(B923),"False")</f>
        <v>8</v>
      </c>
      <c r="E923" s="66" t="str">
        <f t="shared" ref="E923" si="1893">YEAR(B923) &amp; CHOOSE(D923,"-Jan","-Feb","-Mar","-Apr","-May","-Jun","-Jul","-Aug","-Sep","-Oct","-Nov","-Dec")</f>
        <v>2014-Aug</v>
      </c>
      <c r="F923" s="68">
        <f t="shared" ref="F923" si="1894">IF(C923&gt;0,MONTH(C923),"False")</f>
        <v>8</v>
      </c>
      <c r="G923" s="272" t="s">
        <v>121</v>
      </c>
      <c r="H923" s="265" t="s">
        <v>166</v>
      </c>
      <c r="J923" s="265" t="s">
        <v>120</v>
      </c>
      <c r="K923" s="265" t="s">
        <v>82</v>
      </c>
      <c r="L923" s="265" t="s">
        <v>79</v>
      </c>
      <c r="M923" s="1" t="s">
        <v>1637</v>
      </c>
      <c r="N923" s="265" t="s">
        <v>124</v>
      </c>
      <c r="O923" s="265" t="s">
        <v>1368</v>
      </c>
      <c r="P923" s="64" t="s">
        <v>557</v>
      </c>
      <c r="R923" s="64" t="s">
        <v>594</v>
      </c>
      <c r="S923" s="272" t="s">
        <v>104</v>
      </c>
      <c r="X923" s="272" t="s">
        <v>158</v>
      </c>
      <c r="Y923" s="265" t="str">
        <f t="shared" si="1885"/>
        <v>Pass</v>
      </c>
      <c r="Z923" s="11" t="str">
        <f t="shared" si="1886"/>
        <v/>
      </c>
      <c r="AA923" s="265" t="str">
        <f t="shared" si="1887"/>
        <v/>
      </c>
      <c r="AB923" s="265" t="str">
        <f t="shared" si="1888"/>
        <v/>
      </c>
    </row>
    <row r="924" spans="2:28" x14ac:dyDescent="0.25">
      <c r="B924" s="65">
        <v>41878</v>
      </c>
      <c r="C924" s="66">
        <v>41878</v>
      </c>
      <c r="D924" s="68">
        <f t="shared" ref="D924:D925" si="1895">IF(B924&gt;0,MONTH(B924),"False")</f>
        <v>8</v>
      </c>
      <c r="E924" s="66" t="str">
        <f t="shared" ref="E924:E925" si="1896">YEAR(B924) &amp; CHOOSE(D924,"-Jan","-Feb","-Mar","-Apr","-May","-Jun","-Jul","-Aug","-Sep","-Oct","-Nov","-Dec")</f>
        <v>2014-Aug</v>
      </c>
      <c r="F924" s="68">
        <f t="shared" ref="F924:F925" si="1897">IF(C924&gt;0,MONTH(C924),"False")</f>
        <v>8</v>
      </c>
      <c r="G924" s="270" t="s">
        <v>121</v>
      </c>
      <c r="H924" s="265" t="s">
        <v>28</v>
      </c>
      <c r="J924" s="265" t="s">
        <v>77</v>
      </c>
      <c r="K924" s="265" t="s">
        <v>82</v>
      </c>
      <c r="L924" s="265" t="s">
        <v>79</v>
      </c>
      <c r="M924" s="1" t="s">
        <v>1638</v>
      </c>
      <c r="N924" s="265" t="s">
        <v>124</v>
      </c>
      <c r="O924" s="265" t="s">
        <v>162</v>
      </c>
      <c r="P924" s="64" t="s">
        <v>334</v>
      </c>
      <c r="R924" s="64" t="s">
        <v>335</v>
      </c>
      <c r="S924" s="270" t="s">
        <v>104</v>
      </c>
      <c r="X924" s="270" t="s">
        <v>153</v>
      </c>
      <c r="Y924" s="265" t="str">
        <f t="shared" si="1885"/>
        <v>Pass</v>
      </c>
      <c r="Z924" s="11" t="str">
        <f t="shared" si="1886"/>
        <v/>
      </c>
      <c r="AA924" s="265" t="str">
        <f t="shared" si="1887"/>
        <v/>
      </c>
      <c r="AB924" s="265" t="str">
        <f t="shared" si="1888"/>
        <v/>
      </c>
    </row>
    <row r="925" spans="2:28" x14ac:dyDescent="0.25">
      <c r="B925" s="66">
        <v>41878</v>
      </c>
      <c r="C925" s="66">
        <v>41878</v>
      </c>
      <c r="D925" s="68">
        <f t="shared" si="1895"/>
        <v>8</v>
      </c>
      <c r="E925" s="66" t="str">
        <f t="shared" si="1896"/>
        <v>2014-Aug</v>
      </c>
      <c r="F925" s="68">
        <f t="shared" si="1897"/>
        <v>8</v>
      </c>
      <c r="G925" s="265" t="s">
        <v>87</v>
      </c>
      <c r="H925" s="265" t="s">
        <v>280</v>
      </c>
      <c r="J925" s="265" t="s">
        <v>78</v>
      </c>
      <c r="K925" s="265" t="s">
        <v>78</v>
      </c>
      <c r="L925" s="265" t="s">
        <v>79</v>
      </c>
      <c r="M925" s="1" t="s">
        <v>1639</v>
      </c>
      <c r="N925" s="265" t="s">
        <v>124</v>
      </c>
      <c r="O925" s="265" t="s">
        <v>304</v>
      </c>
      <c r="Q925" s="2" t="s">
        <v>88</v>
      </c>
      <c r="R925" s="64" t="s">
        <v>344</v>
      </c>
      <c r="Y925" s="265" t="str">
        <f t="shared" si="1885"/>
        <v>Obsolete</v>
      </c>
      <c r="Z925" s="11">
        <f t="shared" si="1886"/>
        <v>41878</v>
      </c>
      <c r="AA925" s="265" t="str">
        <f t="shared" si="1887"/>
        <v>2014 - 35</v>
      </c>
      <c r="AB925" s="265">
        <f t="shared" si="1888"/>
        <v>2014</v>
      </c>
    </row>
    <row r="926" spans="2:28" x14ac:dyDescent="0.25">
      <c r="B926" s="65">
        <v>41878</v>
      </c>
      <c r="C926" s="66">
        <v>41878</v>
      </c>
      <c r="D926" s="68">
        <f t="shared" ref="D926:D927" si="1898">IF(B926&gt;0,MONTH(B926),"False")</f>
        <v>8</v>
      </c>
      <c r="E926" s="66" t="str">
        <f t="shared" ref="E926:E927" si="1899">YEAR(B926) &amp; CHOOSE(D926,"-Jan","-Feb","-Mar","-Apr","-May","-Jun","-Jul","-Aug","-Sep","-Oct","-Nov","-Dec")</f>
        <v>2014-Aug</v>
      </c>
      <c r="F926" s="68">
        <f t="shared" ref="F926:F927" si="1900">IF(C926&gt;0,MONTH(C926),"False")</f>
        <v>8</v>
      </c>
      <c r="G926" s="271" t="s">
        <v>121</v>
      </c>
      <c r="H926" s="265" t="s">
        <v>136</v>
      </c>
      <c r="J926" s="265" t="s">
        <v>77</v>
      </c>
      <c r="K926" s="265" t="s">
        <v>82</v>
      </c>
      <c r="L926" s="265" t="s">
        <v>79</v>
      </c>
      <c r="M926" s="1" t="s">
        <v>1640</v>
      </c>
      <c r="N926" s="265" t="s">
        <v>124</v>
      </c>
      <c r="O926" s="265" t="s">
        <v>507</v>
      </c>
      <c r="P926" s="64" t="s">
        <v>750</v>
      </c>
      <c r="R926" s="64" t="s">
        <v>1513</v>
      </c>
      <c r="S926" s="271" t="s">
        <v>104</v>
      </c>
      <c r="X926" s="271" t="s">
        <v>159</v>
      </c>
      <c r="Y926" s="265" t="str">
        <f t="shared" si="1885"/>
        <v>Pass</v>
      </c>
      <c r="Z926" s="11" t="str">
        <f t="shared" si="1886"/>
        <v/>
      </c>
      <c r="AA926" s="265" t="str">
        <f t="shared" si="1887"/>
        <v/>
      </c>
      <c r="AB926" s="265" t="str">
        <f t="shared" si="1888"/>
        <v/>
      </c>
    </row>
    <row r="927" spans="2:28" x14ac:dyDescent="0.25">
      <c r="B927" s="66">
        <v>41878</v>
      </c>
      <c r="C927" s="66">
        <v>41878</v>
      </c>
      <c r="D927" s="68">
        <f t="shared" si="1898"/>
        <v>8</v>
      </c>
      <c r="E927" s="66" t="str">
        <f t="shared" si="1899"/>
        <v>2014-Aug</v>
      </c>
      <c r="F927" s="68">
        <f t="shared" si="1900"/>
        <v>8</v>
      </c>
      <c r="G927" s="265" t="s">
        <v>87</v>
      </c>
      <c r="H927" s="265" t="s">
        <v>166</v>
      </c>
      <c r="J927" s="265" t="s">
        <v>149</v>
      </c>
      <c r="K927" s="265" t="s">
        <v>84</v>
      </c>
      <c r="L927" s="265" t="s">
        <v>83</v>
      </c>
      <c r="M927" s="1" t="s">
        <v>1641</v>
      </c>
      <c r="N927" s="265" t="s">
        <v>124</v>
      </c>
      <c r="O927" s="265" t="s">
        <v>264</v>
      </c>
      <c r="R927" s="64" t="s">
        <v>1642</v>
      </c>
      <c r="Y927" s="265" t="str">
        <f t="shared" si="1885"/>
        <v>Unknown</v>
      </c>
      <c r="Z927" s="11" t="str">
        <f t="shared" si="1886"/>
        <v/>
      </c>
      <c r="AA927" s="265" t="str">
        <f t="shared" si="1887"/>
        <v/>
      </c>
      <c r="AB927" s="265" t="str">
        <f t="shared" si="1888"/>
        <v/>
      </c>
    </row>
    <row r="928" spans="2:28" x14ac:dyDescent="0.25">
      <c r="B928" s="66">
        <v>41878</v>
      </c>
      <c r="C928" s="66">
        <v>41878</v>
      </c>
      <c r="D928" s="68">
        <f t="shared" ref="D928" si="1901">IF(B928&gt;0,MONTH(B928),"False")</f>
        <v>8</v>
      </c>
      <c r="E928" s="66" t="str">
        <f t="shared" ref="E928" si="1902">YEAR(B928) &amp; CHOOSE(D928,"-Jan","-Feb","-Mar","-Apr","-May","-Jun","-Jul","-Aug","-Sep","-Oct","-Nov","-Dec")</f>
        <v>2014-Aug</v>
      </c>
      <c r="F928" s="68">
        <f t="shared" ref="F928" si="1903">IF(C928&gt;0,MONTH(C928),"False")</f>
        <v>8</v>
      </c>
      <c r="G928" s="265" t="s">
        <v>87</v>
      </c>
      <c r="H928" s="265" t="s">
        <v>136</v>
      </c>
      <c r="J928" s="265" t="s">
        <v>149</v>
      </c>
      <c r="K928" s="265" t="s">
        <v>84</v>
      </c>
      <c r="L928" s="265" t="s">
        <v>83</v>
      </c>
      <c r="M928" s="1" t="s">
        <v>1643</v>
      </c>
      <c r="N928" s="265" t="s">
        <v>124</v>
      </c>
      <c r="O928" s="265" t="s">
        <v>264</v>
      </c>
      <c r="R928" s="64" t="s">
        <v>1611</v>
      </c>
      <c r="Y928" s="265" t="str">
        <f t="shared" si="1885"/>
        <v>Unknown</v>
      </c>
      <c r="Z928" s="11" t="str">
        <f t="shared" si="1886"/>
        <v/>
      </c>
      <c r="AA928" s="265" t="str">
        <f t="shared" si="1887"/>
        <v/>
      </c>
      <c r="AB928" s="265" t="str">
        <f t="shared" si="1888"/>
        <v/>
      </c>
    </row>
    <row r="929" spans="2:28" x14ac:dyDescent="0.25">
      <c r="B929" s="66">
        <v>41879</v>
      </c>
      <c r="C929" s="66">
        <v>41879</v>
      </c>
      <c r="D929" s="68">
        <f t="shared" ref="D929" si="1904">IF(B929&gt;0,MONTH(B929),"False")</f>
        <v>8</v>
      </c>
      <c r="E929" s="66" t="str">
        <f t="shared" ref="E929" si="1905">YEAR(B929) &amp; CHOOSE(D929,"-Jan","-Feb","-Mar","-Apr","-May","-Jun","-Jul","-Aug","-Sep","-Oct","-Nov","-Dec")</f>
        <v>2014-Aug</v>
      </c>
      <c r="F929" s="68">
        <f t="shared" ref="F929" si="1906">IF(C929&gt;0,MONTH(C929),"False")</f>
        <v>8</v>
      </c>
      <c r="G929" s="266" t="s">
        <v>87</v>
      </c>
      <c r="H929" s="266" t="s">
        <v>280</v>
      </c>
      <c r="J929" s="266" t="s">
        <v>78</v>
      </c>
      <c r="K929" s="266" t="s">
        <v>78</v>
      </c>
      <c r="L929" s="266" t="s">
        <v>79</v>
      </c>
      <c r="M929" s="1" t="s">
        <v>1644</v>
      </c>
      <c r="N929" s="266" t="s">
        <v>124</v>
      </c>
      <c r="O929" s="266" t="s">
        <v>306</v>
      </c>
      <c r="R929" s="64" t="s">
        <v>344</v>
      </c>
      <c r="S929" s="269" t="s">
        <v>104</v>
      </c>
      <c r="Y929" s="265" t="str">
        <f t="shared" si="1885"/>
        <v>Pass</v>
      </c>
      <c r="Z929" s="11" t="str">
        <f t="shared" si="1886"/>
        <v/>
      </c>
      <c r="AA929" s="265" t="str">
        <f t="shared" si="1887"/>
        <v/>
      </c>
      <c r="AB929" s="265" t="str">
        <f t="shared" si="1888"/>
        <v/>
      </c>
    </row>
    <row r="930" spans="2:28" x14ac:dyDescent="0.25">
      <c r="B930" s="66">
        <v>41879</v>
      </c>
      <c r="C930" s="66">
        <v>41879</v>
      </c>
      <c r="D930" s="68">
        <f t="shared" ref="D930" si="1907">IF(B930&gt;0,MONTH(B930),"False")</f>
        <v>8</v>
      </c>
      <c r="E930" s="66" t="str">
        <f t="shared" ref="E930" si="1908">YEAR(B930) &amp; CHOOSE(D930,"-Jan","-Feb","-Mar","-Apr","-May","-Jun","-Jul","-Aug","-Sep","-Oct","-Nov","-Dec")</f>
        <v>2014-Aug</v>
      </c>
      <c r="F930" s="68">
        <f t="shared" ref="F930" si="1909">IF(C930&gt;0,MONTH(C930),"False")</f>
        <v>8</v>
      </c>
      <c r="G930" s="290" t="s">
        <v>126</v>
      </c>
      <c r="H930" s="266" t="s">
        <v>280</v>
      </c>
      <c r="I930" s="266"/>
      <c r="J930" s="266" t="s">
        <v>78</v>
      </c>
      <c r="K930" s="266" t="s">
        <v>78</v>
      </c>
      <c r="L930" s="266" t="s">
        <v>79</v>
      </c>
      <c r="M930" s="1" t="s">
        <v>1645</v>
      </c>
      <c r="N930" s="266" t="s">
        <v>124</v>
      </c>
      <c r="O930" s="266" t="s">
        <v>306</v>
      </c>
      <c r="P930" s="266"/>
      <c r="R930" s="64" t="s">
        <v>344</v>
      </c>
      <c r="S930" s="290" t="s">
        <v>104</v>
      </c>
      <c r="X930" s="290" t="s">
        <v>544</v>
      </c>
      <c r="Y930" s="265" t="str">
        <f t="shared" si="1885"/>
        <v>Pass</v>
      </c>
      <c r="Z930" s="11" t="str">
        <f t="shared" si="1886"/>
        <v/>
      </c>
      <c r="AA930" s="265" t="str">
        <f t="shared" si="1887"/>
        <v/>
      </c>
      <c r="AB930" s="265" t="str">
        <f t="shared" si="1888"/>
        <v/>
      </c>
    </row>
    <row r="931" spans="2:28" x14ac:dyDescent="0.25">
      <c r="B931" s="66">
        <v>41880</v>
      </c>
      <c r="C931" s="66">
        <v>41880</v>
      </c>
      <c r="D931" s="68">
        <f t="shared" ref="D931:D932" si="1910">IF(B931&gt;0,MONTH(B931),"False")</f>
        <v>8</v>
      </c>
      <c r="E931" s="66" t="str">
        <f t="shared" ref="E931:E932" si="1911">YEAR(B931) &amp; CHOOSE(D931,"-Jan","-Feb","-Mar","-Apr","-May","-Jun","-Jul","-Aug","-Sep","-Oct","-Nov","-Dec")</f>
        <v>2014-Aug</v>
      </c>
      <c r="F931" s="68">
        <f t="shared" ref="F931:F932" si="1912">IF(C931&gt;0,MONTH(C931),"False")</f>
        <v>8</v>
      </c>
      <c r="G931" s="266" t="s">
        <v>87</v>
      </c>
      <c r="H931" s="266" t="s">
        <v>280</v>
      </c>
      <c r="I931" s="266"/>
      <c r="J931" s="266" t="s">
        <v>78</v>
      </c>
      <c r="K931" s="266" t="s">
        <v>78</v>
      </c>
      <c r="L931" s="266" t="s">
        <v>79</v>
      </c>
      <c r="M931" s="266" t="s">
        <v>1646</v>
      </c>
      <c r="N931" s="266" t="s">
        <v>124</v>
      </c>
      <c r="O931" s="266" t="s">
        <v>304</v>
      </c>
      <c r="P931" s="266"/>
      <c r="R931" s="64" t="s">
        <v>344</v>
      </c>
      <c r="S931" s="286" t="s">
        <v>104</v>
      </c>
      <c r="Y931" s="265" t="str">
        <f t="shared" si="1885"/>
        <v>Pass</v>
      </c>
      <c r="Z931" s="11" t="str">
        <f t="shared" si="1886"/>
        <v/>
      </c>
      <c r="AA931" s="265" t="str">
        <f t="shared" si="1887"/>
        <v/>
      </c>
      <c r="AB931" s="265" t="str">
        <f t="shared" si="1888"/>
        <v/>
      </c>
    </row>
    <row r="932" spans="2:28" x14ac:dyDescent="0.25">
      <c r="B932" s="65">
        <v>41880</v>
      </c>
      <c r="C932" s="66">
        <v>41880</v>
      </c>
      <c r="D932" s="68">
        <f t="shared" si="1910"/>
        <v>8</v>
      </c>
      <c r="E932" s="66" t="str">
        <f t="shared" si="1911"/>
        <v>2014-Aug</v>
      </c>
      <c r="F932" s="68">
        <f t="shared" si="1912"/>
        <v>8</v>
      </c>
      <c r="G932" s="273" t="s">
        <v>121</v>
      </c>
      <c r="H932" s="266" t="s">
        <v>166</v>
      </c>
      <c r="J932" s="266" t="s">
        <v>81</v>
      </c>
      <c r="K932" s="266" t="s">
        <v>82</v>
      </c>
      <c r="L932" s="266" t="s">
        <v>79</v>
      </c>
      <c r="M932" s="1" t="s">
        <v>1647</v>
      </c>
      <c r="N932" s="266" t="s">
        <v>124</v>
      </c>
      <c r="O932" s="266" t="s">
        <v>302</v>
      </c>
      <c r="P932" s="64" t="s">
        <v>289</v>
      </c>
      <c r="R932" s="64" t="s">
        <v>290</v>
      </c>
      <c r="S932" s="273" t="s">
        <v>104</v>
      </c>
      <c r="X932" s="273" t="s">
        <v>652</v>
      </c>
      <c r="Y932" s="265" t="str">
        <f t="shared" si="1885"/>
        <v>Pass</v>
      </c>
      <c r="Z932" s="11" t="str">
        <f t="shared" si="1886"/>
        <v/>
      </c>
      <c r="AA932" s="265" t="str">
        <f t="shared" si="1887"/>
        <v/>
      </c>
      <c r="AB932" s="265" t="str">
        <f t="shared" si="1888"/>
        <v/>
      </c>
    </row>
    <row r="933" spans="2:28" x14ac:dyDescent="0.25">
      <c r="B933" s="65">
        <v>41883</v>
      </c>
      <c r="C933" s="66">
        <v>41883</v>
      </c>
      <c r="D933" s="68">
        <f t="shared" ref="D933" si="1913">IF(B933&gt;0,MONTH(B933),"False")</f>
        <v>9</v>
      </c>
      <c r="E933" s="66" t="str">
        <f t="shared" ref="E933" si="1914">YEAR(B933) &amp; CHOOSE(D933,"-Jan","-Feb","-Mar","-Apr","-May","-Jun","-Jul","-Aug","-Sep","-Oct","-Nov","-Dec")</f>
        <v>2014-Sep</v>
      </c>
      <c r="F933" s="68">
        <f t="shared" ref="F933" si="1915">IF(C933&gt;0,MONTH(C933),"False")</f>
        <v>9</v>
      </c>
      <c r="G933" s="290" t="s">
        <v>105</v>
      </c>
      <c r="H933" s="266" t="s">
        <v>280</v>
      </c>
      <c r="J933" s="266" t="s">
        <v>81</v>
      </c>
      <c r="K933" s="266" t="s">
        <v>82</v>
      </c>
      <c r="L933" s="266" t="s">
        <v>79</v>
      </c>
      <c r="M933" s="1" t="s">
        <v>1648</v>
      </c>
      <c r="N933" s="266" t="s">
        <v>124</v>
      </c>
      <c r="O933" s="266" t="s">
        <v>286</v>
      </c>
      <c r="P933" s="64" t="s">
        <v>305</v>
      </c>
      <c r="R933" s="64" t="s">
        <v>1559</v>
      </c>
      <c r="S933" s="290" t="s">
        <v>104</v>
      </c>
      <c r="X933" s="290" t="s">
        <v>544</v>
      </c>
      <c r="Y933" s="265" t="str">
        <f t="shared" si="1885"/>
        <v>Pass</v>
      </c>
      <c r="Z933" s="11" t="str">
        <f t="shared" si="1886"/>
        <v/>
      </c>
      <c r="AA933" s="265" t="str">
        <f t="shared" si="1887"/>
        <v/>
      </c>
      <c r="AB933" s="265" t="str">
        <f t="shared" si="1888"/>
        <v/>
      </c>
    </row>
    <row r="934" spans="2:28" x14ac:dyDescent="0.25">
      <c r="B934" s="65">
        <v>41883</v>
      </c>
      <c r="C934" s="66">
        <v>41883</v>
      </c>
      <c r="D934" s="68">
        <f t="shared" ref="D934:D935" si="1916">IF(B934&gt;0,MONTH(B934),"False")</f>
        <v>9</v>
      </c>
      <c r="E934" s="66" t="str">
        <f t="shared" ref="E934:E935" si="1917">YEAR(B934) &amp; CHOOSE(D934,"-Jan","-Feb","-Mar","-Apr","-May","-Jun","-Jul","-Aug","-Sep","-Oct","-Nov","-Dec")</f>
        <v>2014-Sep</v>
      </c>
      <c r="F934" s="68">
        <f t="shared" ref="F934:F935" si="1918">IF(C934&gt;0,MONTH(C934),"False")</f>
        <v>9</v>
      </c>
      <c r="G934" s="266" t="s">
        <v>93</v>
      </c>
      <c r="H934" s="266" t="s">
        <v>136</v>
      </c>
      <c r="J934" s="266" t="s">
        <v>77</v>
      </c>
      <c r="K934" s="266" t="s">
        <v>82</v>
      </c>
      <c r="L934" s="266" t="s">
        <v>79</v>
      </c>
      <c r="M934" s="1" t="s">
        <v>1649</v>
      </c>
      <c r="N934" s="266" t="s">
        <v>124</v>
      </c>
      <c r="O934" s="266" t="s">
        <v>507</v>
      </c>
      <c r="P934" s="64" t="s">
        <v>750</v>
      </c>
      <c r="Q934" s="2" t="s">
        <v>88</v>
      </c>
      <c r="R934" s="64" t="s">
        <v>1513</v>
      </c>
      <c r="Y934" s="265" t="str">
        <f t="shared" si="1885"/>
        <v>Obsolete</v>
      </c>
      <c r="Z934" s="11">
        <f t="shared" si="1886"/>
        <v>41883</v>
      </c>
      <c r="AA934" s="265" t="str">
        <f t="shared" si="1887"/>
        <v>2014 - 36</v>
      </c>
      <c r="AB934" s="265">
        <f t="shared" si="1888"/>
        <v>2014</v>
      </c>
    </row>
    <row r="935" spans="2:28" x14ac:dyDescent="0.25">
      <c r="B935" s="66">
        <v>41883</v>
      </c>
      <c r="C935" s="66">
        <v>41883</v>
      </c>
      <c r="D935" s="68">
        <f t="shared" si="1916"/>
        <v>9</v>
      </c>
      <c r="E935" s="66" t="str">
        <f t="shared" si="1917"/>
        <v>2014-Sep</v>
      </c>
      <c r="F935" s="68">
        <f t="shared" si="1918"/>
        <v>9</v>
      </c>
      <c r="G935" s="273" t="s">
        <v>112</v>
      </c>
      <c r="H935" s="266" t="s">
        <v>103</v>
      </c>
      <c r="J935" s="266" t="s">
        <v>78</v>
      </c>
      <c r="K935" s="266" t="s">
        <v>78</v>
      </c>
      <c r="L935" s="266" t="s">
        <v>79</v>
      </c>
      <c r="M935" s="1" t="s">
        <v>1650</v>
      </c>
      <c r="N935" s="266" t="s">
        <v>124</v>
      </c>
      <c r="O935" s="266" t="s">
        <v>332</v>
      </c>
      <c r="R935" s="64" t="s">
        <v>475</v>
      </c>
      <c r="S935" s="273" t="s">
        <v>104</v>
      </c>
      <c r="T935" s="67" t="s">
        <v>110</v>
      </c>
      <c r="X935" s="273" t="s">
        <v>1387</v>
      </c>
      <c r="Y935" s="270" t="str">
        <f t="shared" ref="Y935:Y970" si="1919">IF(Q935&gt;0,"Obsolete",IF(S935&gt;0,S935,"Unknown"))</f>
        <v>Pass</v>
      </c>
      <c r="Z935" s="11" t="str">
        <f t="shared" ref="Z935:Z970" si="1920">IF(Q935="Obsolete-LQA",C935,IF(Q935="Obsolete-IT",B935,""))</f>
        <v/>
      </c>
      <c r="AA935" s="270" t="str">
        <f t="shared" ref="AA935:AA970" si="1921">IFERROR(YEAR(Z935)&amp;" - "&amp; IF(LEN( WEEKNUM(Z935))=1,"0" &amp; WEEKNUM(Z935),WEEKNUM(Z935)),"")</f>
        <v/>
      </c>
      <c r="AB935" s="270" t="str">
        <f t="shared" ref="AB935:AB970" si="1922">IFERROR(YEAR(Z935),"")</f>
        <v/>
      </c>
    </row>
    <row r="936" spans="2:28" x14ac:dyDescent="0.25">
      <c r="B936" s="65">
        <v>41883</v>
      </c>
      <c r="C936" s="66">
        <v>41883</v>
      </c>
      <c r="D936" s="68">
        <f t="shared" ref="D936" si="1923">IF(B936&gt;0,MONTH(B936),"False")</f>
        <v>9</v>
      </c>
      <c r="E936" s="66" t="str">
        <f t="shared" ref="E936" si="1924">YEAR(B936) &amp; CHOOSE(D936,"-Jan","-Feb","-Mar","-Apr","-May","-Jun","-Jul","-Aug","-Sep","-Oct","-Nov","-Dec")</f>
        <v>2014-Sep</v>
      </c>
      <c r="F936" s="68">
        <f t="shared" ref="F936" si="1925">IF(C936&gt;0,MONTH(C936),"False")</f>
        <v>9</v>
      </c>
      <c r="G936" s="266" t="s">
        <v>93</v>
      </c>
      <c r="H936" s="266" t="s">
        <v>103</v>
      </c>
      <c r="J936" s="266" t="s">
        <v>119</v>
      </c>
      <c r="K936" s="266" t="s">
        <v>119</v>
      </c>
      <c r="L936" s="266" t="s">
        <v>83</v>
      </c>
      <c r="M936" s="1" t="s">
        <v>1651</v>
      </c>
      <c r="N936" s="266" t="s">
        <v>124</v>
      </c>
      <c r="O936" s="266" t="s">
        <v>265</v>
      </c>
      <c r="P936" s="64" t="s">
        <v>1652</v>
      </c>
      <c r="Q936" s="2" t="s">
        <v>88</v>
      </c>
      <c r="R936" s="64" t="s">
        <v>1653</v>
      </c>
      <c r="Y936" s="270" t="str">
        <f t="shared" si="1919"/>
        <v>Obsolete</v>
      </c>
      <c r="Z936" s="11">
        <f t="shared" si="1920"/>
        <v>41883</v>
      </c>
      <c r="AA936" s="270" t="str">
        <f t="shared" si="1921"/>
        <v>2014 - 36</v>
      </c>
      <c r="AB936" s="270">
        <f t="shared" si="1922"/>
        <v>2014</v>
      </c>
    </row>
    <row r="937" spans="2:28" x14ac:dyDescent="0.25">
      <c r="B937" s="65">
        <v>41883</v>
      </c>
      <c r="C937" s="66">
        <v>41883</v>
      </c>
      <c r="D937" s="68">
        <f t="shared" ref="D937:D938" si="1926">IF(B937&gt;0,MONTH(B937),"False")</f>
        <v>9</v>
      </c>
      <c r="E937" s="66" t="str">
        <f t="shared" ref="E937:E938" si="1927">YEAR(B937) &amp; CHOOSE(D937,"-Jan","-Feb","-Mar","-Apr","-May","-Jun","-Jul","-Aug","-Sep","-Oct","-Nov","-Dec")</f>
        <v>2014-Sep</v>
      </c>
      <c r="F937" s="68">
        <f t="shared" ref="F937:F938" si="1928">IF(C937&gt;0,MONTH(C937),"False")</f>
        <v>9</v>
      </c>
      <c r="G937" s="271" t="s">
        <v>121</v>
      </c>
      <c r="H937" s="266" t="s">
        <v>136</v>
      </c>
      <c r="J937" s="266" t="s">
        <v>77</v>
      </c>
      <c r="K937" s="266" t="s">
        <v>82</v>
      </c>
      <c r="L937" s="266" t="s">
        <v>79</v>
      </c>
      <c r="M937" s="1" t="s">
        <v>1654</v>
      </c>
      <c r="N937" s="266" t="s">
        <v>124</v>
      </c>
      <c r="O937" s="266" t="s">
        <v>114</v>
      </c>
      <c r="P937" s="64" t="s">
        <v>1513</v>
      </c>
      <c r="R937" s="64" t="s">
        <v>1513</v>
      </c>
      <c r="S937" s="271" t="s">
        <v>104</v>
      </c>
      <c r="X937" s="271" t="s">
        <v>159</v>
      </c>
      <c r="Y937" s="270" t="str">
        <f t="shared" si="1919"/>
        <v>Pass</v>
      </c>
      <c r="Z937" s="11" t="str">
        <f t="shared" si="1920"/>
        <v/>
      </c>
      <c r="AA937" s="270" t="str">
        <f t="shared" si="1921"/>
        <v/>
      </c>
      <c r="AB937" s="270" t="str">
        <f t="shared" si="1922"/>
        <v/>
      </c>
    </row>
    <row r="938" spans="2:28" x14ac:dyDescent="0.25">
      <c r="B938" s="66">
        <v>41883</v>
      </c>
      <c r="C938" s="66">
        <v>41883</v>
      </c>
      <c r="D938" s="68">
        <f t="shared" si="1926"/>
        <v>9</v>
      </c>
      <c r="E938" s="66" t="str">
        <f t="shared" si="1927"/>
        <v>2014-Sep</v>
      </c>
      <c r="F938" s="68">
        <f t="shared" si="1928"/>
        <v>9</v>
      </c>
      <c r="G938" s="266" t="s">
        <v>87</v>
      </c>
      <c r="H938" s="266" t="s">
        <v>166</v>
      </c>
      <c r="J938" s="266" t="s">
        <v>149</v>
      </c>
      <c r="K938" s="266" t="s">
        <v>84</v>
      </c>
      <c r="L938" s="266" t="s">
        <v>79</v>
      </c>
      <c r="M938" s="1" t="s">
        <v>1655</v>
      </c>
      <c r="N938" s="266" t="s">
        <v>124</v>
      </c>
      <c r="O938" s="266" t="s">
        <v>350</v>
      </c>
      <c r="R938" s="64" t="s">
        <v>1656</v>
      </c>
      <c r="Y938" s="270" t="str">
        <f t="shared" si="1919"/>
        <v>Unknown</v>
      </c>
      <c r="Z938" s="11" t="str">
        <f t="shared" si="1920"/>
        <v/>
      </c>
      <c r="AA938" s="270" t="str">
        <f t="shared" si="1921"/>
        <v/>
      </c>
      <c r="AB938" s="270" t="str">
        <f t="shared" si="1922"/>
        <v/>
      </c>
    </row>
    <row r="939" spans="2:28" x14ac:dyDescent="0.25">
      <c r="B939" s="66">
        <v>41883</v>
      </c>
      <c r="C939" s="66">
        <v>41883</v>
      </c>
      <c r="D939" s="68">
        <f t="shared" ref="D939" si="1929">IF(B939&gt;0,MONTH(B939),"False")</f>
        <v>9</v>
      </c>
      <c r="E939" s="66" t="str">
        <f t="shared" ref="E939" si="1930">YEAR(B939) &amp; CHOOSE(D939,"-Jan","-Feb","-Mar","-Apr","-May","-Jun","-Jul","-Aug","-Sep","-Oct","-Nov","-Dec")</f>
        <v>2014-Sep</v>
      </c>
      <c r="F939" s="68">
        <f t="shared" ref="F939" si="1931">IF(C939&gt;0,MONTH(C939),"False")</f>
        <v>9</v>
      </c>
      <c r="G939" s="271" t="s">
        <v>112</v>
      </c>
      <c r="H939" s="266" t="s">
        <v>136</v>
      </c>
      <c r="J939" s="266" t="s">
        <v>149</v>
      </c>
      <c r="K939" s="266" t="s">
        <v>84</v>
      </c>
      <c r="L939" s="267" t="s">
        <v>83</v>
      </c>
      <c r="M939" s="1" t="s">
        <v>1657</v>
      </c>
      <c r="N939" s="266" t="s">
        <v>124</v>
      </c>
      <c r="O939" s="266" t="s">
        <v>325</v>
      </c>
      <c r="R939" s="64" t="s">
        <v>1611</v>
      </c>
      <c r="S939" s="271" t="s">
        <v>104</v>
      </c>
      <c r="X939" s="271" t="s">
        <v>159</v>
      </c>
      <c r="Y939" s="270" t="str">
        <f t="shared" si="1919"/>
        <v>Pass</v>
      </c>
      <c r="Z939" s="11" t="str">
        <f t="shared" si="1920"/>
        <v/>
      </c>
      <c r="AA939" s="270" t="str">
        <f t="shared" si="1921"/>
        <v/>
      </c>
      <c r="AB939" s="270" t="str">
        <f t="shared" si="1922"/>
        <v/>
      </c>
    </row>
    <row r="940" spans="2:28" x14ac:dyDescent="0.25">
      <c r="B940" s="66">
        <v>41884</v>
      </c>
      <c r="C940" s="66">
        <v>41884</v>
      </c>
      <c r="D940" s="68">
        <f t="shared" ref="D940:D941" si="1932">IF(B940&gt;0,MONTH(B940),"False")</f>
        <v>9</v>
      </c>
      <c r="E940" s="66" t="str">
        <f t="shared" ref="E940:E941" si="1933">YEAR(B940) &amp; CHOOSE(D940,"-Jan","-Feb","-Mar","-Apr","-May","-Jun","-Jul","-Aug","-Sep","-Oct","-Nov","-Dec")</f>
        <v>2014-Sep</v>
      </c>
      <c r="F940" s="68">
        <f t="shared" ref="F940:F941" si="1934">IF(C940&gt;0,MONTH(C940),"False")</f>
        <v>9</v>
      </c>
      <c r="G940" s="271" t="s">
        <v>112</v>
      </c>
      <c r="H940" s="267" t="s">
        <v>136</v>
      </c>
      <c r="I940" s="267"/>
      <c r="J940" s="267" t="s">
        <v>149</v>
      </c>
      <c r="K940" s="267" t="s">
        <v>84</v>
      </c>
      <c r="L940" s="267" t="s">
        <v>79</v>
      </c>
      <c r="M940" s="1" t="s">
        <v>1658</v>
      </c>
      <c r="N940" s="267" t="s">
        <v>124</v>
      </c>
      <c r="O940" s="267" t="s">
        <v>350</v>
      </c>
      <c r="P940" s="267"/>
      <c r="R940" s="64" t="s">
        <v>1611</v>
      </c>
      <c r="S940" s="271" t="s">
        <v>104</v>
      </c>
      <c r="X940" s="271" t="s">
        <v>159</v>
      </c>
      <c r="Y940" s="270" t="str">
        <f t="shared" si="1919"/>
        <v>Pass</v>
      </c>
      <c r="Z940" s="11" t="str">
        <f t="shared" si="1920"/>
        <v/>
      </c>
      <c r="AA940" s="270" t="str">
        <f t="shared" si="1921"/>
        <v/>
      </c>
      <c r="AB940" s="270" t="str">
        <f t="shared" si="1922"/>
        <v/>
      </c>
    </row>
    <row r="941" spans="2:28" x14ac:dyDescent="0.25">
      <c r="B941" s="65">
        <v>41884</v>
      </c>
      <c r="C941" s="66">
        <v>41884</v>
      </c>
      <c r="D941" s="68">
        <f t="shared" si="1932"/>
        <v>9</v>
      </c>
      <c r="E941" s="66" t="str">
        <f t="shared" si="1933"/>
        <v>2014-Sep</v>
      </c>
      <c r="F941" s="68">
        <f t="shared" si="1934"/>
        <v>9</v>
      </c>
      <c r="G941" s="267" t="s">
        <v>93</v>
      </c>
      <c r="H941" s="267" t="s">
        <v>136</v>
      </c>
      <c r="I941" s="267"/>
      <c r="J941" s="267" t="s">
        <v>77</v>
      </c>
      <c r="K941" s="267" t="s">
        <v>82</v>
      </c>
      <c r="L941" s="267" t="s">
        <v>79</v>
      </c>
      <c r="M941" s="267" t="s">
        <v>1659</v>
      </c>
      <c r="N941" s="267" t="s">
        <v>124</v>
      </c>
      <c r="O941" s="267" t="s">
        <v>507</v>
      </c>
      <c r="P941" s="64" t="s">
        <v>1513</v>
      </c>
      <c r="Q941" s="2" t="s">
        <v>88</v>
      </c>
      <c r="R941" s="64" t="s">
        <v>1513</v>
      </c>
      <c r="Y941" s="270" t="str">
        <f t="shared" si="1919"/>
        <v>Obsolete</v>
      </c>
      <c r="Z941" s="11">
        <f t="shared" si="1920"/>
        <v>41884</v>
      </c>
      <c r="AA941" s="270" t="str">
        <f t="shared" si="1921"/>
        <v>2014 - 36</v>
      </c>
      <c r="AB941" s="270">
        <f t="shared" si="1922"/>
        <v>2014</v>
      </c>
    </row>
    <row r="942" spans="2:28" x14ac:dyDescent="0.25">
      <c r="B942" s="65">
        <v>41884</v>
      </c>
      <c r="C942" s="66">
        <v>41884</v>
      </c>
      <c r="D942" s="68">
        <f t="shared" ref="D942" si="1935">IF(B942&gt;0,MONTH(B942),"False")</f>
        <v>9</v>
      </c>
      <c r="E942" s="66" t="str">
        <f t="shared" ref="E942" si="1936">YEAR(B942) &amp; CHOOSE(D942,"-Jan","-Feb","-Mar","-Apr","-May","-Jun","-Jul","-Aug","-Sep","-Oct","-Nov","-Dec")</f>
        <v>2014-Sep</v>
      </c>
      <c r="F942" s="68">
        <f t="shared" ref="F942" si="1937">IF(C942&gt;0,MONTH(C942),"False")</f>
        <v>9</v>
      </c>
      <c r="G942" s="267" t="s">
        <v>93</v>
      </c>
      <c r="H942" s="267" t="s">
        <v>136</v>
      </c>
      <c r="I942" s="267"/>
      <c r="J942" s="267" t="s">
        <v>77</v>
      </c>
      <c r="K942" s="267" t="s">
        <v>82</v>
      </c>
      <c r="L942" s="267" t="s">
        <v>79</v>
      </c>
      <c r="M942" s="267" t="s">
        <v>1660</v>
      </c>
      <c r="N942" s="267" t="s">
        <v>124</v>
      </c>
      <c r="O942" s="267" t="s">
        <v>507</v>
      </c>
      <c r="P942" s="64" t="s">
        <v>1513</v>
      </c>
      <c r="Q942" s="2" t="s">
        <v>88</v>
      </c>
      <c r="R942" s="64" t="s">
        <v>1513</v>
      </c>
      <c r="Y942" s="270" t="str">
        <f t="shared" si="1919"/>
        <v>Obsolete</v>
      </c>
      <c r="Z942" s="11">
        <f t="shared" si="1920"/>
        <v>41884</v>
      </c>
      <c r="AA942" s="270" t="str">
        <f t="shared" si="1921"/>
        <v>2014 - 36</v>
      </c>
      <c r="AB942" s="270">
        <f t="shared" si="1922"/>
        <v>2014</v>
      </c>
    </row>
    <row r="943" spans="2:28" x14ac:dyDescent="0.25">
      <c r="B943" s="65">
        <v>41884</v>
      </c>
      <c r="C943" s="66">
        <v>41884</v>
      </c>
      <c r="D943" s="68">
        <f t="shared" ref="D943:D945" si="1938">IF(B943&gt;0,MONTH(B943),"False")</f>
        <v>9</v>
      </c>
      <c r="E943" s="66" t="str">
        <f t="shared" ref="E943:E945" si="1939">YEAR(B943) &amp; CHOOSE(D943,"-Jan","-Feb","-Mar","-Apr","-May","-Jun","-Jul","-Aug","-Sep","-Oct","-Nov","-Dec")</f>
        <v>2014-Sep</v>
      </c>
      <c r="F943" s="68">
        <f t="shared" ref="F943:F945" si="1940">IF(C943&gt;0,MONTH(C943),"False")</f>
        <v>9</v>
      </c>
      <c r="G943" s="277" t="s">
        <v>121</v>
      </c>
      <c r="H943" s="267" t="s">
        <v>280</v>
      </c>
      <c r="J943" s="267" t="s">
        <v>81</v>
      </c>
      <c r="K943" s="267" t="s">
        <v>82</v>
      </c>
      <c r="L943" s="267" t="s">
        <v>79</v>
      </c>
      <c r="M943" s="1" t="s">
        <v>1661</v>
      </c>
      <c r="N943" s="267" t="s">
        <v>124</v>
      </c>
      <c r="O943" s="267" t="s">
        <v>286</v>
      </c>
      <c r="P943" s="64" t="s">
        <v>305</v>
      </c>
      <c r="R943" s="64" t="s">
        <v>1559</v>
      </c>
      <c r="S943" s="277" t="s">
        <v>104</v>
      </c>
      <c r="X943" s="277" t="s">
        <v>544</v>
      </c>
      <c r="Y943" s="270" t="str">
        <f t="shared" si="1919"/>
        <v>Pass</v>
      </c>
      <c r="Z943" s="11" t="str">
        <f t="shared" si="1920"/>
        <v/>
      </c>
      <c r="AA943" s="270" t="str">
        <f t="shared" si="1921"/>
        <v/>
      </c>
      <c r="AB943" s="270" t="str">
        <f t="shared" si="1922"/>
        <v/>
      </c>
    </row>
    <row r="944" spans="2:28" x14ac:dyDescent="0.25">
      <c r="B944" s="66">
        <v>41884</v>
      </c>
      <c r="C944" s="66">
        <v>41884</v>
      </c>
      <c r="D944" s="68">
        <f t="shared" si="1938"/>
        <v>9</v>
      </c>
      <c r="E944" s="66" t="str">
        <f t="shared" si="1939"/>
        <v>2014-Sep</v>
      </c>
      <c r="F944" s="68">
        <f t="shared" si="1940"/>
        <v>9</v>
      </c>
      <c r="G944" s="271" t="s">
        <v>112</v>
      </c>
      <c r="H944" s="267" t="s">
        <v>166</v>
      </c>
      <c r="J944" s="267" t="s">
        <v>77</v>
      </c>
      <c r="K944" s="267" t="s">
        <v>82</v>
      </c>
      <c r="L944" s="267" t="s">
        <v>79</v>
      </c>
      <c r="M944" s="1" t="s">
        <v>1662</v>
      </c>
      <c r="N944" s="267" t="s">
        <v>124</v>
      </c>
      <c r="O944" s="267" t="s">
        <v>1606</v>
      </c>
      <c r="R944" s="64" t="s">
        <v>862</v>
      </c>
      <c r="S944" s="271" t="s">
        <v>104</v>
      </c>
      <c r="X944" s="271" t="s">
        <v>298</v>
      </c>
      <c r="Y944" s="270" t="str">
        <f t="shared" si="1919"/>
        <v>Pass</v>
      </c>
      <c r="Z944" s="11" t="str">
        <f t="shared" si="1920"/>
        <v/>
      </c>
      <c r="AA944" s="270" t="str">
        <f t="shared" si="1921"/>
        <v/>
      </c>
      <c r="AB944" s="270" t="str">
        <f t="shared" si="1922"/>
        <v/>
      </c>
    </row>
    <row r="945" spans="2:28" x14ac:dyDescent="0.25">
      <c r="B945" s="65">
        <v>41884</v>
      </c>
      <c r="C945" s="66">
        <v>41884</v>
      </c>
      <c r="D945" s="68">
        <f t="shared" si="1938"/>
        <v>9</v>
      </c>
      <c r="E945" s="66" t="str">
        <f t="shared" si="1939"/>
        <v>2014-Sep</v>
      </c>
      <c r="F945" s="68">
        <f t="shared" si="1940"/>
        <v>9</v>
      </c>
      <c r="G945" s="267" t="s">
        <v>93</v>
      </c>
      <c r="H945" s="267" t="s">
        <v>136</v>
      </c>
      <c r="I945" s="267"/>
      <c r="J945" s="267" t="s">
        <v>77</v>
      </c>
      <c r="K945" s="267" t="s">
        <v>82</v>
      </c>
      <c r="L945" s="267" t="s">
        <v>79</v>
      </c>
      <c r="M945" s="1" t="s">
        <v>1663</v>
      </c>
      <c r="N945" s="267" t="s">
        <v>124</v>
      </c>
      <c r="O945" s="267" t="s">
        <v>507</v>
      </c>
      <c r="P945" s="64" t="s">
        <v>618</v>
      </c>
      <c r="Q945" s="2" t="s">
        <v>88</v>
      </c>
      <c r="R945" s="64" t="s">
        <v>619</v>
      </c>
      <c r="Y945" s="270" t="str">
        <f t="shared" si="1919"/>
        <v>Obsolete</v>
      </c>
      <c r="Z945" s="11">
        <f t="shared" si="1920"/>
        <v>41884</v>
      </c>
      <c r="AA945" s="270" t="str">
        <f t="shared" si="1921"/>
        <v>2014 - 36</v>
      </c>
      <c r="AB945" s="270">
        <f t="shared" si="1922"/>
        <v>2014</v>
      </c>
    </row>
    <row r="946" spans="2:28" x14ac:dyDescent="0.25">
      <c r="B946" s="65">
        <v>41884</v>
      </c>
      <c r="C946" s="66">
        <v>41884</v>
      </c>
      <c r="D946" s="68">
        <f t="shared" ref="D946:D950" si="1941">IF(B946&gt;0,MONTH(B946),"False")</f>
        <v>9</v>
      </c>
      <c r="E946" s="66" t="str">
        <f t="shared" ref="E946:E950" si="1942">YEAR(B946) &amp; CHOOSE(D946,"-Jan","-Feb","-Mar","-Apr","-May","-Jun","-Jul","-Aug","-Sep","-Oct","-Nov","-Dec")</f>
        <v>2014-Sep</v>
      </c>
      <c r="F946" s="68">
        <f t="shared" ref="F946:F950" si="1943">IF(C946&gt;0,MONTH(C946),"False")</f>
        <v>9</v>
      </c>
      <c r="G946" s="282" t="s">
        <v>121</v>
      </c>
      <c r="H946" s="267" t="s">
        <v>136</v>
      </c>
      <c r="I946" s="267"/>
      <c r="J946" s="267" t="s">
        <v>77</v>
      </c>
      <c r="K946" s="267" t="s">
        <v>82</v>
      </c>
      <c r="L946" s="267" t="s">
        <v>79</v>
      </c>
      <c r="M946" s="267" t="s">
        <v>1664</v>
      </c>
      <c r="N946" s="267" t="s">
        <v>124</v>
      </c>
      <c r="O946" s="267" t="s">
        <v>507</v>
      </c>
      <c r="P946" s="64" t="s">
        <v>618</v>
      </c>
      <c r="R946" s="64" t="s">
        <v>619</v>
      </c>
      <c r="S946" s="282" t="s">
        <v>104</v>
      </c>
      <c r="X946" s="282" t="s">
        <v>1758</v>
      </c>
      <c r="Y946" s="270" t="str">
        <f t="shared" si="1919"/>
        <v>Pass</v>
      </c>
      <c r="Z946" s="11" t="str">
        <f t="shared" si="1920"/>
        <v/>
      </c>
      <c r="AA946" s="270" t="str">
        <f t="shared" si="1921"/>
        <v/>
      </c>
      <c r="AB946" s="270" t="str">
        <f t="shared" si="1922"/>
        <v/>
      </c>
    </row>
    <row r="947" spans="2:28" s="269" customFormat="1" x14ac:dyDescent="0.25">
      <c r="B947" s="65">
        <v>41885</v>
      </c>
      <c r="C947" s="66">
        <v>41885</v>
      </c>
      <c r="D947" s="68">
        <f t="shared" si="1941"/>
        <v>9</v>
      </c>
      <c r="E947" s="66" t="str">
        <f t="shared" si="1942"/>
        <v>2014-Sep</v>
      </c>
      <c r="F947" s="68">
        <f t="shared" si="1943"/>
        <v>9</v>
      </c>
      <c r="G947" s="276" t="s">
        <v>121</v>
      </c>
      <c r="H947" s="269" t="s">
        <v>348</v>
      </c>
      <c r="J947" s="269" t="s">
        <v>77</v>
      </c>
      <c r="K947" s="269" t="s">
        <v>82</v>
      </c>
      <c r="L947" s="269" t="s">
        <v>79</v>
      </c>
      <c r="M947" s="269" t="s">
        <v>1675</v>
      </c>
      <c r="N947" s="269" t="s">
        <v>124</v>
      </c>
      <c r="O947" s="269" t="s">
        <v>285</v>
      </c>
      <c r="P947" s="64" t="s">
        <v>352</v>
      </c>
      <c r="Q947" s="2"/>
      <c r="R947" s="64" t="s">
        <v>1289</v>
      </c>
      <c r="S947" s="276" t="s">
        <v>104</v>
      </c>
      <c r="T947" s="67"/>
      <c r="X947" s="276" t="s">
        <v>1474</v>
      </c>
      <c r="Y947" s="270" t="str">
        <f t="shared" si="1919"/>
        <v>Pass</v>
      </c>
      <c r="Z947" s="11" t="str">
        <f t="shared" si="1920"/>
        <v/>
      </c>
      <c r="AA947" s="270" t="str">
        <f t="shared" si="1921"/>
        <v/>
      </c>
      <c r="AB947" s="270" t="str">
        <f t="shared" si="1922"/>
        <v/>
      </c>
    </row>
    <row r="948" spans="2:28" s="269" customFormat="1" x14ac:dyDescent="0.25">
      <c r="B948" s="66">
        <v>41885</v>
      </c>
      <c r="C948" s="66">
        <v>41885</v>
      </c>
      <c r="D948" s="68">
        <f t="shared" si="1941"/>
        <v>9</v>
      </c>
      <c r="E948" s="66" t="str">
        <f t="shared" si="1942"/>
        <v>2014-Sep</v>
      </c>
      <c r="F948" s="68">
        <f t="shared" si="1943"/>
        <v>9</v>
      </c>
      <c r="G948" s="295" t="s">
        <v>112</v>
      </c>
      <c r="H948" s="269" t="s">
        <v>166</v>
      </c>
      <c r="J948" s="269" t="s">
        <v>149</v>
      </c>
      <c r="K948" s="269" t="s">
        <v>84</v>
      </c>
      <c r="L948" s="269" t="s">
        <v>79</v>
      </c>
      <c r="M948" s="269" t="s">
        <v>1678</v>
      </c>
      <c r="N948" s="269" t="s">
        <v>124</v>
      </c>
      <c r="O948" s="269" t="s">
        <v>148</v>
      </c>
      <c r="P948" s="64"/>
      <c r="Q948" s="2"/>
      <c r="R948" s="64" t="s">
        <v>1041</v>
      </c>
      <c r="S948" s="295" t="s">
        <v>104</v>
      </c>
      <c r="T948" s="67"/>
      <c r="X948" s="295" t="s">
        <v>1836</v>
      </c>
      <c r="Y948" s="270" t="str">
        <f t="shared" si="1919"/>
        <v>Pass</v>
      </c>
      <c r="Z948" s="11" t="str">
        <f t="shared" si="1920"/>
        <v/>
      </c>
      <c r="AA948" s="270" t="str">
        <f t="shared" si="1921"/>
        <v/>
      </c>
      <c r="AB948" s="270" t="str">
        <f t="shared" si="1922"/>
        <v/>
      </c>
    </row>
    <row r="949" spans="2:28" s="269" customFormat="1" x14ac:dyDescent="0.25">
      <c r="B949" s="66">
        <v>41885</v>
      </c>
      <c r="C949" s="66">
        <v>41885</v>
      </c>
      <c r="D949" s="68">
        <f t="shared" ref="D949" si="1944">IF(B949&gt;0,MONTH(B949),"False")</f>
        <v>9</v>
      </c>
      <c r="E949" s="66" t="str">
        <f t="shared" ref="E949" si="1945">YEAR(B949) &amp; CHOOSE(D949,"-Jan","-Feb","-Mar","-Apr","-May","-Jun","-Jul","-Aug","-Sep","-Oct","-Nov","-Dec")</f>
        <v>2014-Sep</v>
      </c>
      <c r="F949" s="68">
        <f t="shared" ref="F949" si="1946">IF(C949&gt;0,MONTH(C949),"False")</f>
        <v>9</v>
      </c>
      <c r="G949" s="269" t="s">
        <v>87</v>
      </c>
      <c r="H949" s="269" t="s">
        <v>166</v>
      </c>
      <c r="J949" s="269" t="s">
        <v>260</v>
      </c>
      <c r="K949" s="269" t="s">
        <v>84</v>
      </c>
      <c r="L949" s="269" t="s">
        <v>83</v>
      </c>
      <c r="M949" s="269" t="s">
        <v>1677</v>
      </c>
      <c r="N949" s="269" t="s">
        <v>124</v>
      </c>
      <c r="O949" s="269" t="s">
        <v>148</v>
      </c>
      <c r="P949" s="64"/>
      <c r="Q949" s="2"/>
      <c r="R949" s="64" t="s">
        <v>1567</v>
      </c>
      <c r="T949" s="67"/>
      <c r="Y949" s="270" t="str">
        <f t="shared" si="1919"/>
        <v>Unknown</v>
      </c>
      <c r="Z949" s="11" t="str">
        <f t="shared" si="1920"/>
        <v/>
      </c>
      <c r="AA949" s="270" t="str">
        <f t="shared" si="1921"/>
        <v/>
      </c>
      <c r="AB949" s="270" t="str">
        <f t="shared" si="1922"/>
        <v/>
      </c>
    </row>
    <row r="950" spans="2:28" s="269" customFormat="1" x14ac:dyDescent="0.25">
      <c r="B950" s="66">
        <v>41885</v>
      </c>
      <c r="C950" s="66">
        <v>41885</v>
      </c>
      <c r="D950" s="68">
        <f t="shared" si="1941"/>
        <v>9</v>
      </c>
      <c r="E950" s="66" t="str">
        <f t="shared" si="1942"/>
        <v>2014-Sep</v>
      </c>
      <c r="F950" s="68">
        <f t="shared" si="1943"/>
        <v>9</v>
      </c>
      <c r="G950" s="271" t="s">
        <v>112</v>
      </c>
      <c r="H950" s="269" t="s">
        <v>330</v>
      </c>
      <c r="J950" s="269" t="s">
        <v>78</v>
      </c>
      <c r="K950" s="269" t="s">
        <v>78</v>
      </c>
      <c r="L950" s="269" t="s">
        <v>79</v>
      </c>
      <c r="M950" s="269" t="s">
        <v>1676</v>
      </c>
      <c r="N950" s="269" t="s">
        <v>124</v>
      </c>
      <c r="O950" s="269" t="s">
        <v>306</v>
      </c>
      <c r="P950" s="64"/>
      <c r="Q950" s="2"/>
      <c r="R950" s="64" t="s">
        <v>339</v>
      </c>
      <c r="S950" s="271" t="s">
        <v>104</v>
      </c>
      <c r="T950" s="67"/>
      <c r="X950" s="271" t="s">
        <v>268</v>
      </c>
      <c r="Y950" s="270" t="str">
        <f t="shared" si="1919"/>
        <v>Pass</v>
      </c>
      <c r="Z950" s="11" t="str">
        <f t="shared" si="1920"/>
        <v/>
      </c>
      <c r="AA950" s="270" t="str">
        <f t="shared" si="1921"/>
        <v/>
      </c>
      <c r="AB950" s="270" t="str">
        <f t="shared" si="1922"/>
        <v/>
      </c>
    </row>
    <row r="951" spans="2:28" x14ac:dyDescent="0.25">
      <c r="B951" s="65">
        <v>41886</v>
      </c>
      <c r="C951" s="66">
        <v>41886</v>
      </c>
      <c r="D951" s="68">
        <f t="shared" ref="D951" si="1947">IF(B951&gt;0,MONTH(B951),"False")</f>
        <v>9</v>
      </c>
      <c r="E951" s="66" t="str">
        <f t="shared" ref="E951" si="1948">YEAR(B951) &amp; CHOOSE(D951,"-Jan","-Feb","-Mar","-Apr","-May","-Jun","-Jul","-Aug","-Sep","-Oct","-Nov","-Dec")</f>
        <v>2014-Sep</v>
      </c>
      <c r="F951" s="68">
        <f t="shared" ref="F951" si="1949">IF(C951&gt;0,MONTH(C951),"False")</f>
        <v>9</v>
      </c>
      <c r="G951" s="276" t="s">
        <v>121</v>
      </c>
      <c r="H951" s="268" t="s">
        <v>348</v>
      </c>
      <c r="J951" s="268" t="s">
        <v>77</v>
      </c>
      <c r="K951" s="268" t="s">
        <v>82</v>
      </c>
      <c r="L951" s="268" t="s">
        <v>79</v>
      </c>
      <c r="M951" s="1" t="s">
        <v>1665</v>
      </c>
      <c r="N951" s="268" t="s">
        <v>124</v>
      </c>
      <c r="O951" s="268" t="s">
        <v>285</v>
      </c>
      <c r="P951" s="64" t="s">
        <v>352</v>
      </c>
      <c r="R951" s="64" t="s">
        <v>1289</v>
      </c>
      <c r="S951" s="276" t="s">
        <v>104</v>
      </c>
      <c r="X951" s="276" t="s">
        <v>1474</v>
      </c>
      <c r="Y951" s="270" t="str">
        <f t="shared" si="1919"/>
        <v>Pass</v>
      </c>
      <c r="Z951" s="11" t="str">
        <f t="shared" si="1920"/>
        <v/>
      </c>
      <c r="AA951" s="270" t="str">
        <f t="shared" si="1921"/>
        <v/>
      </c>
      <c r="AB951" s="270" t="str">
        <f t="shared" si="1922"/>
        <v/>
      </c>
    </row>
    <row r="952" spans="2:28" x14ac:dyDescent="0.25">
      <c r="B952" s="66">
        <v>41886</v>
      </c>
      <c r="C952" s="66">
        <v>41886</v>
      </c>
      <c r="D952" s="68">
        <f t="shared" ref="D952:D953" si="1950">IF(B952&gt;0,MONTH(B952),"False")</f>
        <v>9</v>
      </c>
      <c r="E952" s="66" t="str">
        <f t="shared" ref="E952:E953" si="1951">YEAR(B952) &amp; CHOOSE(D952,"-Jan","-Feb","-Mar","-Apr","-May","-Jun","-Jul","-Aug","-Sep","-Oct","-Nov","-Dec")</f>
        <v>2014-Sep</v>
      </c>
      <c r="F952" s="68">
        <f t="shared" ref="F952:F953" si="1952">IF(C952&gt;0,MONTH(C952),"False")</f>
        <v>9</v>
      </c>
      <c r="G952" s="280" t="s">
        <v>112</v>
      </c>
      <c r="H952" s="268" t="s">
        <v>166</v>
      </c>
      <c r="J952" s="268" t="s">
        <v>146</v>
      </c>
      <c r="K952" s="268" t="s">
        <v>82</v>
      </c>
      <c r="L952" s="268" t="s">
        <v>83</v>
      </c>
      <c r="M952" s="1" t="s">
        <v>1666</v>
      </c>
      <c r="N952" s="268" t="s">
        <v>124</v>
      </c>
      <c r="O952" s="268" t="s">
        <v>343</v>
      </c>
      <c r="R952" s="64" t="s">
        <v>1564</v>
      </c>
      <c r="S952" s="280" t="s">
        <v>104</v>
      </c>
      <c r="X952" s="280" t="s">
        <v>754</v>
      </c>
      <c r="Y952" s="270" t="str">
        <f t="shared" si="1919"/>
        <v>Pass</v>
      </c>
      <c r="Z952" s="11" t="str">
        <f t="shared" si="1920"/>
        <v/>
      </c>
      <c r="AA952" s="270" t="str">
        <f t="shared" si="1921"/>
        <v/>
      </c>
      <c r="AB952" s="270" t="str">
        <f t="shared" si="1922"/>
        <v/>
      </c>
    </row>
    <row r="953" spans="2:28" x14ac:dyDescent="0.25">
      <c r="B953" s="65">
        <v>41886</v>
      </c>
      <c r="C953" s="66">
        <v>41886</v>
      </c>
      <c r="D953" s="68">
        <f t="shared" si="1950"/>
        <v>9</v>
      </c>
      <c r="E953" s="66" t="str">
        <f t="shared" si="1951"/>
        <v>2014-Sep</v>
      </c>
      <c r="F953" s="68">
        <f t="shared" si="1952"/>
        <v>9</v>
      </c>
      <c r="G953" s="268" t="s">
        <v>93</v>
      </c>
      <c r="H953" s="268" t="s">
        <v>136</v>
      </c>
      <c r="J953" s="268" t="s">
        <v>77</v>
      </c>
      <c r="K953" s="268" t="s">
        <v>82</v>
      </c>
      <c r="L953" s="268" t="s">
        <v>79</v>
      </c>
      <c r="M953" s="1" t="s">
        <v>1667</v>
      </c>
      <c r="N953" s="268" t="s">
        <v>124</v>
      </c>
      <c r="O953" s="268" t="s">
        <v>507</v>
      </c>
      <c r="P953" s="64" t="s">
        <v>750</v>
      </c>
      <c r="Q953" s="2" t="s">
        <v>88</v>
      </c>
      <c r="R953" s="64" t="s">
        <v>1513</v>
      </c>
      <c r="Y953" s="270" t="str">
        <f t="shared" si="1919"/>
        <v>Obsolete</v>
      </c>
      <c r="Z953" s="11">
        <f t="shared" si="1920"/>
        <v>41886</v>
      </c>
      <c r="AA953" s="270" t="str">
        <f t="shared" si="1921"/>
        <v>2014 - 36</v>
      </c>
      <c r="AB953" s="270">
        <f t="shared" si="1922"/>
        <v>2014</v>
      </c>
    </row>
    <row r="954" spans="2:28" x14ac:dyDescent="0.25">
      <c r="B954" s="66">
        <v>41886</v>
      </c>
      <c r="C954" s="66">
        <v>41886</v>
      </c>
      <c r="D954" s="68">
        <f t="shared" ref="D954:D955" si="1953">IF(B954&gt;0,MONTH(B954),"False")</f>
        <v>9</v>
      </c>
      <c r="E954" s="66" t="str">
        <f t="shared" ref="E954:E955" si="1954">YEAR(B954) &amp; CHOOSE(D954,"-Jan","-Feb","-Mar","-Apr","-May","-Jun","-Jul","-Aug","-Sep","-Oct","-Nov","-Dec")</f>
        <v>2014-Sep</v>
      </c>
      <c r="F954" s="68">
        <f t="shared" ref="F954:F955" si="1955">IF(C954&gt;0,MONTH(C954),"False")</f>
        <v>9</v>
      </c>
      <c r="G954" s="271" t="s">
        <v>112</v>
      </c>
      <c r="H954" s="268" t="s">
        <v>280</v>
      </c>
      <c r="J954" s="268" t="s">
        <v>78</v>
      </c>
      <c r="K954" s="268" t="s">
        <v>78</v>
      </c>
      <c r="L954" s="268" t="s">
        <v>79</v>
      </c>
      <c r="M954" s="1" t="s">
        <v>1668</v>
      </c>
      <c r="N954" s="268" t="s">
        <v>124</v>
      </c>
      <c r="O954" s="268" t="s">
        <v>304</v>
      </c>
      <c r="R954" s="64" t="s">
        <v>344</v>
      </c>
      <c r="S954" s="271" t="s">
        <v>104</v>
      </c>
      <c r="X954" s="271" t="s">
        <v>837</v>
      </c>
      <c r="Y954" s="270" t="str">
        <f t="shared" si="1919"/>
        <v>Pass</v>
      </c>
      <c r="Z954" s="11" t="str">
        <f t="shared" si="1920"/>
        <v/>
      </c>
      <c r="AA954" s="270" t="str">
        <f t="shared" si="1921"/>
        <v/>
      </c>
      <c r="AB954" s="270" t="str">
        <f t="shared" si="1922"/>
        <v/>
      </c>
    </row>
    <row r="955" spans="2:28" x14ac:dyDescent="0.25">
      <c r="B955" s="65">
        <v>41886</v>
      </c>
      <c r="C955" s="66">
        <v>41886</v>
      </c>
      <c r="D955" s="68">
        <f t="shared" si="1953"/>
        <v>9</v>
      </c>
      <c r="E955" s="66" t="str">
        <f t="shared" si="1954"/>
        <v>2014-Sep</v>
      </c>
      <c r="F955" s="68">
        <f t="shared" si="1955"/>
        <v>9</v>
      </c>
      <c r="G955" s="282" t="s">
        <v>121</v>
      </c>
      <c r="H955" s="268" t="s">
        <v>136</v>
      </c>
      <c r="I955" s="268"/>
      <c r="J955" s="268" t="s">
        <v>77</v>
      </c>
      <c r="K955" s="268" t="s">
        <v>82</v>
      </c>
      <c r="L955" s="268" t="s">
        <v>79</v>
      </c>
      <c r="M955" s="1" t="s">
        <v>1669</v>
      </c>
      <c r="N955" s="268" t="s">
        <v>124</v>
      </c>
      <c r="O955" s="268" t="s">
        <v>507</v>
      </c>
      <c r="P955" s="64" t="s">
        <v>618</v>
      </c>
      <c r="R955" s="64" t="s">
        <v>619</v>
      </c>
      <c r="S955" s="282" t="s">
        <v>104</v>
      </c>
      <c r="T955" s="67" t="s">
        <v>110</v>
      </c>
      <c r="X955" s="282" t="s">
        <v>1758</v>
      </c>
      <c r="Y955" s="270" t="str">
        <f t="shared" si="1919"/>
        <v>Pass</v>
      </c>
      <c r="Z955" s="11" t="str">
        <f t="shared" si="1920"/>
        <v/>
      </c>
      <c r="AA955" s="270" t="str">
        <f t="shared" si="1921"/>
        <v/>
      </c>
      <c r="AB955" s="270" t="str">
        <f t="shared" si="1922"/>
        <v/>
      </c>
    </row>
    <row r="956" spans="2:28" x14ac:dyDescent="0.25">
      <c r="B956" s="65">
        <v>41886</v>
      </c>
      <c r="C956" s="66">
        <v>41886</v>
      </c>
      <c r="D956" s="68">
        <f t="shared" ref="D956" si="1956">IF(B956&gt;0,MONTH(B956),"False")</f>
        <v>9</v>
      </c>
      <c r="E956" s="66" t="str">
        <f t="shared" ref="E956" si="1957">YEAR(B956) &amp; CHOOSE(D956,"-Jan","-Feb","-Mar","-Apr","-May","-Jun","-Jul","-Aug","-Sep","-Oct","-Nov","-Dec")</f>
        <v>2014-Sep</v>
      </c>
      <c r="F956" s="68">
        <f t="shared" ref="F956" si="1958">IF(C956&gt;0,MONTH(C956),"False")</f>
        <v>9</v>
      </c>
      <c r="G956" s="268" t="s">
        <v>93</v>
      </c>
      <c r="H956" s="268" t="s">
        <v>166</v>
      </c>
      <c r="J956" s="268" t="s">
        <v>98</v>
      </c>
      <c r="K956" s="268" t="s">
        <v>82</v>
      </c>
      <c r="L956" s="268" t="s">
        <v>79</v>
      </c>
      <c r="M956" s="1" t="s">
        <v>1670</v>
      </c>
      <c r="N956" s="268" t="s">
        <v>124</v>
      </c>
      <c r="O956" s="268" t="s">
        <v>343</v>
      </c>
      <c r="P956" s="64" t="s">
        <v>336</v>
      </c>
      <c r="R956" s="64" t="s">
        <v>1311</v>
      </c>
      <c r="S956" s="1" t="s">
        <v>104</v>
      </c>
      <c r="Y956" s="270" t="str">
        <f t="shared" si="1919"/>
        <v>Pass</v>
      </c>
      <c r="Z956" s="11" t="str">
        <f t="shared" si="1920"/>
        <v/>
      </c>
      <c r="AA956" s="270" t="str">
        <f t="shared" si="1921"/>
        <v/>
      </c>
      <c r="AB956" s="270" t="str">
        <f t="shared" si="1922"/>
        <v/>
      </c>
    </row>
    <row r="957" spans="2:28" x14ac:dyDescent="0.25">
      <c r="B957" s="65">
        <v>41886</v>
      </c>
      <c r="C957" s="66">
        <v>41886</v>
      </c>
      <c r="D957" s="68">
        <f t="shared" ref="D957:D958" si="1959">IF(B957&gt;0,MONTH(B957),"False")</f>
        <v>9</v>
      </c>
      <c r="E957" s="66" t="str">
        <f t="shared" ref="E957:E958" si="1960">YEAR(B957) &amp; CHOOSE(D957,"-Jan","-Feb","-Mar","-Apr","-May","-Jun","-Jul","-Aug","-Sep","-Oct","-Nov","-Dec")</f>
        <v>2014-Sep</v>
      </c>
      <c r="F957" s="68">
        <f t="shared" ref="F957:F958" si="1961">IF(C957&gt;0,MONTH(C957),"False")</f>
        <v>9</v>
      </c>
      <c r="G957" s="277" t="s">
        <v>121</v>
      </c>
      <c r="H957" s="268" t="s">
        <v>280</v>
      </c>
      <c r="J957" s="268" t="s">
        <v>81</v>
      </c>
      <c r="K957" s="268" t="s">
        <v>82</v>
      </c>
      <c r="L957" s="268" t="s">
        <v>79</v>
      </c>
      <c r="M957" s="1" t="s">
        <v>1671</v>
      </c>
      <c r="N957" s="268" t="s">
        <v>124</v>
      </c>
      <c r="O957" s="268" t="s">
        <v>286</v>
      </c>
      <c r="P957" s="64" t="s">
        <v>305</v>
      </c>
      <c r="R957" s="64" t="s">
        <v>1559</v>
      </c>
      <c r="S957" s="277" t="s">
        <v>104</v>
      </c>
      <c r="X957" s="277" t="s">
        <v>544</v>
      </c>
      <c r="Y957" s="270" t="str">
        <f t="shared" si="1919"/>
        <v>Pass</v>
      </c>
      <c r="Z957" s="11" t="str">
        <f t="shared" si="1920"/>
        <v/>
      </c>
      <c r="AA957" s="270" t="str">
        <f t="shared" si="1921"/>
        <v/>
      </c>
      <c r="AB957" s="270" t="str">
        <f t="shared" si="1922"/>
        <v/>
      </c>
    </row>
    <row r="958" spans="2:28" x14ac:dyDescent="0.25">
      <c r="B958" s="66">
        <v>41886</v>
      </c>
      <c r="C958" s="66">
        <v>41886</v>
      </c>
      <c r="D958" s="68">
        <f t="shared" si="1959"/>
        <v>9</v>
      </c>
      <c r="E958" s="66" t="str">
        <f t="shared" si="1960"/>
        <v>2014-Sep</v>
      </c>
      <c r="F958" s="68">
        <f t="shared" si="1961"/>
        <v>9</v>
      </c>
      <c r="G958" s="268" t="s">
        <v>87</v>
      </c>
      <c r="H958" s="268" t="s">
        <v>28</v>
      </c>
      <c r="J958" s="268" t="s">
        <v>78</v>
      </c>
      <c r="K958" s="268" t="s">
        <v>78</v>
      </c>
      <c r="L958" s="268" t="s">
        <v>79</v>
      </c>
      <c r="M958" s="1" t="s">
        <v>1672</v>
      </c>
      <c r="N958" s="268" t="s">
        <v>124</v>
      </c>
      <c r="O958" s="268" t="s">
        <v>168</v>
      </c>
      <c r="R958" s="64" t="s">
        <v>308</v>
      </c>
      <c r="T958" s="67" t="s">
        <v>110</v>
      </c>
      <c r="Y958" s="270" t="str">
        <f t="shared" si="1919"/>
        <v>Unknown</v>
      </c>
      <c r="Z958" s="11" t="str">
        <f t="shared" si="1920"/>
        <v/>
      </c>
      <c r="AA958" s="270" t="str">
        <f t="shared" si="1921"/>
        <v/>
      </c>
      <c r="AB958" s="270" t="str">
        <f t="shared" si="1922"/>
        <v/>
      </c>
    </row>
    <row r="959" spans="2:28" x14ac:dyDescent="0.25">
      <c r="B959" s="65">
        <v>41886</v>
      </c>
      <c r="C959" s="66">
        <v>41886</v>
      </c>
      <c r="D959" s="68">
        <f t="shared" ref="D959:D960" si="1962">IF(B959&gt;0,MONTH(B959),"False")</f>
        <v>9</v>
      </c>
      <c r="E959" s="66" t="str">
        <f t="shared" ref="E959:E960" si="1963">YEAR(B959) &amp; CHOOSE(D959,"-Jan","-Feb","-Mar","-Apr","-May","-Jun","-Jul","-Aug","-Sep","-Oct","-Nov","-Dec")</f>
        <v>2014-Sep</v>
      </c>
      <c r="F959" s="68">
        <f t="shared" ref="F959:F960" si="1964">IF(C959&gt;0,MONTH(C959),"False")</f>
        <v>9</v>
      </c>
      <c r="G959" s="268" t="s">
        <v>93</v>
      </c>
      <c r="H959" s="268" t="s">
        <v>280</v>
      </c>
      <c r="I959" s="268"/>
      <c r="J959" s="268" t="s">
        <v>81</v>
      </c>
      <c r="K959" s="268" t="s">
        <v>82</v>
      </c>
      <c r="L959" s="268" t="s">
        <v>79</v>
      </c>
      <c r="M959" s="1" t="s">
        <v>1673</v>
      </c>
      <c r="N959" s="268" t="s">
        <v>124</v>
      </c>
      <c r="O959" s="268" t="s">
        <v>285</v>
      </c>
      <c r="P959" s="64" t="s">
        <v>305</v>
      </c>
      <c r="R959" s="64" t="s">
        <v>1559</v>
      </c>
      <c r="S959" s="286" t="s">
        <v>104</v>
      </c>
      <c r="Y959" s="270" t="str">
        <f t="shared" si="1919"/>
        <v>Pass</v>
      </c>
      <c r="Z959" s="11" t="str">
        <f t="shared" si="1920"/>
        <v/>
      </c>
      <c r="AA959" s="270" t="str">
        <f t="shared" si="1921"/>
        <v/>
      </c>
      <c r="AB959" s="270" t="str">
        <f t="shared" si="1922"/>
        <v/>
      </c>
    </row>
    <row r="960" spans="2:28" x14ac:dyDescent="0.25">
      <c r="B960" s="66">
        <v>41886</v>
      </c>
      <c r="C960" s="66">
        <v>41886</v>
      </c>
      <c r="D960" s="68">
        <f t="shared" si="1962"/>
        <v>9</v>
      </c>
      <c r="E960" s="66" t="str">
        <f t="shared" si="1963"/>
        <v>2014-Sep</v>
      </c>
      <c r="F960" s="68">
        <f t="shared" si="1964"/>
        <v>9</v>
      </c>
      <c r="G960" s="270" t="s">
        <v>112</v>
      </c>
      <c r="H960" s="268" t="s">
        <v>136</v>
      </c>
      <c r="J960" s="268" t="s">
        <v>149</v>
      </c>
      <c r="K960" s="268" t="s">
        <v>84</v>
      </c>
      <c r="L960" s="268" t="s">
        <v>79</v>
      </c>
      <c r="M960" s="1" t="s">
        <v>1674</v>
      </c>
      <c r="N960" s="268" t="s">
        <v>124</v>
      </c>
      <c r="O960" s="268" t="s">
        <v>264</v>
      </c>
      <c r="R960" s="64" t="s">
        <v>1611</v>
      </c>
      <c r="S960" s="270" t="s">
        <v>104</v>
      </c>
      <c r="X960" s="270" t="s">
        <v>159</v>
      </c>
      <c r="Y960" s="270" t="str">
        <f t="shared" si="1919"/>
        <v>Pass</v>
      </c>
      <c r="Z960" s="11" t="str">
        <f t="shared" si="1920"/>
        <v/>
      </c>
      <c r="AA960" s="270" t="str">
        <f t="shared" si="1921"/>
        <v/>
      </c>
      <c r="AB960" s="270" t="str">
        <f t="shared" si="1922"/>
        <v/>
      </c>
    </row>
    <row r="961" spans="2:28" x14ac:dyDescent="0.25">
      <c r="B961" s="66">
        <v>41887</v>
      </c>
      <c r="C961" s="66">
        <v>41887</v>
      </c>
      <c r="D961" s="68">
        <f t="shared" ref="D961:D962" si="1965">IF(B961&gt;0,MONTH(B961),"False")</f>
        <v>9</v>
      </c>
      <c r="E961" s="66" t="str">
        <f t="shared" ref="E961:E962" si="1966">YEAR(B961) &amp; CHOOSE(D961,"-Jan","-Feb","-Mar","-Apr","-May","-Jun","-Jul","-Aug","-Sep","-Oct","-Nov","-Dec")</f>
        <v>2014-Sep</v>
      </c>
      <c r="F961" s="68">
        <f t="shared" ref="F961:F962" si="1967">IF(C961&gt;0,MONTH(C961),"False")</f>
        <v>9</v>
      </c>
      <c r="G961" s="276" t="s">
        <v>112</v>
      </c>
      <c r="H961" s="270" t="s">
        <v>348</v>
      </c>
      <c r="J961" s="270" t="s">
        <v>149</v>
      </c>
      <c r="K961" s="270" t="s">
        <v>84</v>
      </c>
      <c r="L961" s="270" t="s">
        <v>83</v>
      </c>
      <c r="M961" s="1" t="s">
        <v>1679</v>
      </c>
      <c r="N961" s="270" t="s">
        <v>124</v>
      </c>
      <c r="O961" s="270" t="s">
        <v>264</v>
      </c>
      <c r="R961" s="64" t="s">
        <v>1680</v>
      </c>
      <c r="S961" s="276" t="s">
        <v>104</v>
      </c>
      <c r="T961" s="67" t="s">
        <v>110</v>
      </c>
      <c r="X961" s="276" t="s">
        <v>1474</v>
      </c>
      <c r="Y961" s="270" t="str">
        <f t="shared" si="1919"/>
        <v>Pass</v>
      </c>
      <c r="Z961" s="11" t="str">
        <f t="shared" si="1920"/>
        <v/>
      </c>
      <c r="AA961" s="270" t="str">
        <f t="shared" si="1921"/>
        <v/>
      </c>
      <c r="AB961" s="270" t="str">
        <f t="shared" si="1922"/>
        <v/>
      </c>
    </row>
    <row r="962" spans="2:28" x14ac:dyDescent="0.25">
      <c r="B962" s="65">
        <v>41887</v>
      </c>
      <c r="C962" s="66">
        <v>41887</v>
      </c>
      <c r="D962" s="68">
        <f t="shared" si="1965"/>
        <v>9</v>
      </c>
      <c r="E962" s="66" t="str">
        <f t="shared" si="1966"/>
        <v>2014-Sep</v>
      </c>
      <c r="F962" s="68">
        <f t="shared" si="1967"/>
        <v>9</v>
      </c>
      <c r="G962" s="270" t="s">
        <v>93</v>
      </c>
      <c r="H962" s="270" t="s">
        <v>280</v>
      </c>
      <c r="I962" s="270"/>
      <c r="J962" s="270" t="s">
        <v>81</v>
      </c>
      <c r="K962" s="270" t="s">
        <v>82</v>
      </c>
      <c r="L962" s="270" t="s">
        <v>79</v>
      </c>
      <c r="M962" s="1" t="s">
        <v>1681</v>
      </c>
      <c r="N962" s="270" t="s">
        <v>124</v>
      </c>
      <c r="O962" s="270" t="s">
        <v>285</v>
      </c>
      <c r="P962" s="64" t="s">
        <v>305</v>
      </c>
      <c r="R962" s="64" t="s">
        <v>1559</v>
      </c>
      <c r="S962" s="286" t="s">
        <v>104</v>
      </c>
      <c r="Y962" s="270" t="str">
        <f t="shared" si="1919"/>
        <v>Pass</v>
      </c>
      <c r="Z962" s="11" t="str">
        <f t="shared" si="1920"/>
        <v/>
      </c>
      <c r="AA962" s="270" t="str">
        <f t="shared" si="1921"/>
        <v/>
      </c>
      <c r="AB962" s="270" t="str">
        <f t="shared" si="1922"/>
        <v/>
      </c>
    </row>
    <row r="963" spans="2:28" s="286" customFormat="1" x14ac:dyDescent="0.25">
      <c r="B963" s="66">
        <v>41887</v>
      </c>
      <c r="C963" s="66">
        <v>41887</v>
      </c>
      <c r="D963" s="68">
        <f t="shared" ref="D963" si="1968">IF(B963&gt;0,MONTH(B963),"False")</f>
        <v>9</v>
      </c>
      <c r="E963" s="66" t="str">
        <f t="shared" ref="E963" si="1969">YEAR(B963) &amp; CHOOSE(D963,"-Jan","-Feb","-Mar","-Apr","-May","-Jun","-Jul","-Aug","-Sep","-Oct","-Nov","-Dec")</f>
        <v>2014-Sep</v>
      </c>
      <c r="F963" s="68">
        <f t="shared" ref="F963" si="1970">IF(C963&gt;0,MONTH(C963),"False")</f>
        <v>9</v>
      </c>
      <c r="G963" s="286" t="s">
        <v>126</v>
      </c>
      <c r="H963" s="286" t="s">
        <v>280</v>
      </c>
      <c r="J963" s="286" t="s">
        <v>78</v>
      </c>
      <c r="K963" s="286" t="s">
        <v>78</v>
      </c>
      <c r="L963" s="286" t="s">
        <v>79</v>
      </c>
      <c r="M963" s="286" t="s">
        <v>1788</v>
      </c>
      <c r="N963" s="286" t="s">
        <v>124</v>
      </c>
      <c r="O963" s="286" t="s">
        <v>304</v>
      </c>
      <c r="P963" s="64"/>
      <c r="Q963" s="2"/>
      <c r="R963" s="64" t="s">
        <v>344</v>
      </c>
      <c r="S963" s="286" t="s">
        <v>104</v>
      </c>
      <c r="T963" s="67"/>
      <c r="Y963" s="286" t="str">
        <f t="shared" si="1919"/>
        <v>Pass</v>
      </c>
      <c r="Z963" s="11"/>
    </row>
    <row r="964" spans="2:28" x14ac:dyDescent="0.25">
      <c r="B964" s="65">
        <v>41887</v>
      </c>
      <c r="C964" s="66">
        <v>41887</v>
      </c>
      <c r="D964" s="68">
        <f t="shared" ref="D964" si="1971">IF(B964&gt;0,MONTH(B964),"False")</f>
        <v>9</v>
      </c>
      <c r="E964" s="66" t="str">
        <f t="shared" ref="E964" si="1972">YEAR(B964) &amp; CHOOSE(D964,"-Jan","-Feb","-Mar","-Apr","-May","-Jun","-Jul","-Aug","-Sep","-Oct","-Nov","-Dec")</f>
        <v>2014-Sep</v>
      </c>
      <c r="F964" s="68">
        <f t="shared" ref="F964" si="1973">IF(C964&gt;0,MONTH(C964),"False")</f>
        <v>9</v>
      </c>
      <c r="G964" s="271" t="s">
        <v>121</v>
      </c>
      <c r="H964" s="270" t="s">
        <v>330</v>
      </c>
      <c r="J964" s="270" t="s">
        <v>81</v>
      </c>
      <c r="K964" s="270" t="s">
        <v>82</v>
      </c>
      <c r="L964" s="270" t="s">
        <v>79</v>
      </c>
      <c r="M964" s="1" t="s">
        <v>1682</v>
      </c>
      <c r="N964" s="270" t="s">
        <v>124</v>
      </c>
      <c r="O964" s="270" t="s">
        <v>91</v>
      </c>
      <c r="P964" s="64" t="s">
        <v>337</v>
      </c>
      <c r="R964" s="64" t="s">
        <v>338</v>
      </c>
      <c r="S964" s="271" t="s">
        <v>104</v>
      </c>
      <c r="X964" s="271" t="s">
        <v>154</v>
      </c>
      <c r="Y964" s="270" t="str">
        <f t="shared" si="1919"/>
        <v>Pass</v>
      </c>
      <c r="Z964" s="11" t="str">
        <f t="shared" si="1920"/>
        <v/>
      </c>
      <c r="AA964" s="270" t="str">
        <f t="shared" si="1921"/>
        <v/>
      </c>
      <c r="AB964" s="270" t="str">
        <f t="shared" si="1922"/>
        <v/>
      </c>
    </row>
    <row r="965" spans="2:28" x14ac:dyDescent="0.25">
      <c r="B965" s="65">
        <v>41887</v>
      </c>
      <c r="C965" s="66">
        <v>41887</v>
      </c>
      <c r="D965" s="68">
        <f t="shared" ref="D965:D966" si="1974">IF(B965&gt;0,MONTH(B965),"False")</f>
        <v>9</v>
      </c>
      <c r="E965" s="66" t="str">
        <f t="shared" ref="E965:E966" si="1975">YEAR(B965) &amp; CHOOSE(D965,"-Jan","-Feb","-Mar","-Apr","-May","-Jun","-Jul","-Aug","-Sep","-Oct","-Nov","-Dec")</f>
        <v>2014-Sep</v>
      </c>
      <c r="F965" s="68">
        <f t="shared" ref="F965:F966" si="1976">IF(C965&gt;0,MONTH(C965),"False")</f>
        <v>9</v>
      </c>
      <c r="G965" s="273" t="s">
        <v>121</v>
      </c>
      <c r="H965" s="270" t="s">
        <v>103</v>
      </c>
      <c r="J965" s="270" t="s">
        <v>119</v>
      </c>
      <c r="K965" s="270" t="s">
        <v>119</v>
      </c>
      <c r="L965" s="270" t="s">
        <v>83</v>
      </c>
      <c r="M965" s="1" t="s">
        <v>1683</v>
      </c>
      <c r="N965" s="270" t="s">
        <v>124</v>
      </c>
      <c r="O965" s="270" t="s">
        <v>265</v>
      </c>
      <c r="P965" s="64" t="s">
        <v>1653</v>
      </c>
      <c r="R965" s="64" t="s">
        <v>1652</v>
      </c>
      <c r="S965" s="273" t="s">
        <v>104</v>
      </c>
      <c r="X965" s="273" t="s">
        <v>300</v>
      </c>
      <c r="Y965" s="270" t="str">
        <f t="shared" si="1919"/>
        <v>Pass</v>
      </c>
      <c r="Z965" s="11" t="str">
        <f t="shared" si="1920"/>
        <v/>
      </c>
      <c r="AA965" s="270" t="str">
        <f t="shared" si="1921"/>
        <v/>
      </c>
      <c r="AB965" s="270" t="str">
        <f t="shared" si="1922"/>
        <v/>
      </c>
    </row>
    <row r="966" spans="2:28" x14ac:dyDescent="0.25">
      <c r="B966" s="66">
        <v>41887</v>
      </c>
      <c r="C966" s="66">
        <v>41887</v>
      </c>
      <c r="D966" s="68">
        <f t="shared" si="1974"/>
        <v>9</v>
      </c>
      <c r="E966" s="66" t="str">
        <f t="shared" si="1975"/>
        <v>2014-Sep</v>
      </c>
      <c r="F966" s="68">
        <f t="shared" si="1976"/>
        <v>9</v>
      </c>
      <c r="G966" s="270" t="s">
        <v>87</v>
      </c>
      <c r="H966" s="270" t="s">
        <v>1685</v>
      </c>
      <c r="J966" s="270" t="s">
        <v>98</v>
      </c>
      <c r="K966" s="270" t="s">
        <v>84</v>
      </c>
      <c r="L966" s="270" t="s">
        <v>83</v>
      </c>
      <c r="M966" s="1" t="s">
        <v>1684</v>
      </c>
      <c r="N966" s="270" t="s">
        <v>124</v>
      </c>
      <c r="O966" s="270" t="s">
        <v>156</v>
      </c>
      <c r="R966" s="64" t="s">
        <v>1686</v>
      </c>
      <c r="S966" s="1" t="s">
        <v>104</v>
      </c>
      <c r="T966" s="67" t="s">
        <v>110</v>
      </c>
      <c r="Y966" s="270" t="str">
        <f t="shared" si="1919"/>
        <v>Pass</v>
      </c>
      <c r="Z966" s="11" t="str">
        <f t="shared" si="1920"/>
        <v/>
      </c>
      <c r="AA966" s="270" t="str">
        <f t="shared" si="1921"/>
        <v/>
      </c>
      <c r="AB966" s="270" t="str">
        <f t="shared" si="1922"/>
        <v/>
      </c>
    </row>
    <row r="967" spans="2:28" x14ac:dyDescent="0.25">
      <c r="B967" s="66">
        <v>41887</v>
      </c>
      <c r="C967" s="66">
        <v>41887</v>
      </c>
      <c r="D967" s="68">
        <f t="shared" ref="D967:D968" si="1977">IF(B967&gt;0,MONTH(B967),"False")</f>
        <v>9</v>
      </c>
      <c r="E967" s="66" t="str">
        <f t="shared" ref="E967:E968" si="1978">YEAR(B967) &amp; CHOOSE(D967,"-Jan","-Feb","-Mar","-Apr","-May","-Jun","-Jul","-Aug","-Sep","-Oct","-Nov","-Dec")</f>
        <v>2014-Sep</v>
      </c>
      <c r="F967" s="68">
        <f t="shared" ref="F967:F968" si="1979">IF(C967&gt;0,MONTH(C967),"False")</f>
        <v>9</v>
      </c>
      <c r="G967" s="270" t="s">
        <v>87</v>
      </c>
      <c r="H967" s="270" t="s">
        <v>115</v>
      </c>
      <c r="I967" s="270"/>
      <c r="J967" s="270" t="s">
        <v>98</v>
      </c>
      <c r="K967" s="270" t="s">
        <v>84</v>
      </c>
      <c r="L967" s="270" t="s">
        <v>83</v>
      </c>
      <c r="M967" s="1" t="s">
        <v>1687</v>
      </c>
      <c r="N967" s="270" t="s">
        <v>124</v>
      </c>
      <c r="O967" s="270" t="s">
        <v>156</v>
      </c>
      <c r="R967" s="64" t="s">
        <v>1688</v>
      </c>
      <c r="T967" s="67" t="s">
        <v>110</v>
      </c>
      <c r="Y967" s="270" t="str">
        <f t="shared" si="1919"/>
        <v>Unknown</v>
      </c>
      <c r="Z967" s="11" t="str">
        <f t="shared" si="1920"/>
        <v/>
      </c>
      <c r="AA967" s="270" t="str">
        <f t="shared" si="1921"/>
        <v/>
      </c>
      <c r="AB967" s="270" t="str">
        <f t="shared" si="1922"/>
        <v/>
      </c>
    </row>
    <row r="968" spans="2:28" x14ac:dyDescent="0.25">
      <c r="B968" s="65">
        <v>41888</v>
      </c>
      <c r="C968" s="66">
        <v>41888</v>
      </c>
      <c r="D968" s="68">
        <f t="shared" si="1977"/>
        <v>9</v>
      </c>
      <c r="E968" s="66" t="str">
        <f t="shared" si="1978"/>
        <v>2014-Sep</v>
      </c>
      <c r="F968" s="68">
        <f t="shared" si="1979"/>
        <v>9</v>
      </c>
      <c r="G968" s="270" t="s">
        <v>93</v>
      </c>
      <c r="H968" s="270" t="s">
        <v>136</v>
      </c>
      <c r="I968" s="270"/>
      <c r="J968" s="270" t="s">
        <v>77</v>
      </c>
      <c r="K968" s="270" t="s">
        <v>82</v>
      </c>
      <c r="L968" s="270" t="s">
        <v>79</v>
      </c>
      <c r="M968" s="270" t="s">
        <v>1689</v>
      </c>
      <c r="N968" s="270" t="s">
        <v>124</v>
      </c>
      <c r="O968" s="270" t="s">
        <v>507</v>
      </c>
      <c r="P968" s="64" t="s">
        <v>750</v>
      </c>
      <c r="Q968" s="2" t="s">
        <v>88</v>
      </c>
      <c r="R968" s="64" t="s">
        <v>1513</v>
      </c>
      <c r="Y968" s="270" t="str">
        <f t="shared" si="1919"/>
        <v>Obsolete</v>
      </c>
      <c r="Z968" s="11">
        <f t="shared" si="1920"/>
        <v>41888</v>
      </c>
      <c r="AA968" s="270" t="str">
        <f t="shared" si="1921"/>
        <v>2014 - 36</v>
      </c>
      <c r="AB968" s="270">
        <f t="shared" si="1922"/>
        <v>2014</v>
      </c>
    </row>
    <row r="969" spans="2:28" x14ac:dyDescent="0.25">
      <c r="B969" s="65">
        <v>41890</v>
      </c>
      <c r="C969" s="66">
        <v>41890</v>
      </c>
      <c r="D969" s="68">
        <f t="shared" ref="D969" si="1980">IF(B969&gt;0,MONTH(B969),"False")</f>
        <v>9</v>
      </c>
      <c r="E969" s="66" t="str">
        <f t="shared" ref="E969" si="1981">YEAR(B969) &amp; CHOOSE(D969,"-Jan","-Feb","-Mar","-Apr","-May","-Jun","-Jul","-Aug","-Sep","-Oct","-Nov","-Dec")</f>
        <v>2014-Sep</v>
      </c>
      <c r="F969" s="68">
        <f t="shared" ref="F969" si="1982">IF(C969&gt;0,MONTH(C969),"False")</f>
        <v>9</v>
      </c>
      <c r="G969" s="286" t="s">
        <v>121</v>
      </c>
      <c r="H969" s="271" t="s">
        <v>166</v>
      </c>
      <c r="J969" s="271" t="s">
        <v>81</v>
      </c>
      <c r="K969" s="271" t="s">
        <v>82</v>
      </c>
      <c r="L969" s="271" t="s">
        <v>79</v>
      </c>
      <c r="M969" s="1" t="s">
        <v>1690</v>
      </c>
      <c r="N969" s="271" t="s">
        <v>124</v>
      </c>
      <c r="O969" s="271" t="s">
        <v>302</v>
      </c>
      <c r="P969" s="64" t="s">
        <v>289</v>
      </c>
      <c r="R969" s="64" t="s">
        <v>290</v>
      </c>
      <c r="S969" s="286" t="s">
        <v>104</v>
      </c>
      <c r="X969" s="286" t="s">
        <v>462</v>
      </c>
      <c r="Y969" s="270" t="str">
        <f t="shared" si="1919"/>
        <v>Pass</v>
      </c>
      <c r="Z969" s="11" t="str">
        <f t="shared" si="1920"/>
        <v/>
      </c>
      <c r="AA969" s="270" t="str">
        <f t="shared" si="1921"/>
        <v/>
      </c>
      <c r="AB969" s="270" t="str">
        <f t="shared" si="1922"/>
        <v/>
      </c>
    </row>
    <row r="970" spans="2:28" x14ac:dyDescent="0.25">
      <c r="B970" s="65">
        <v>41890</v>
      </c>
      <c r="C970" s="66">
        <v>41890</v>
      </c>
      <c r="D970" s="68">
        <f t="shared" ref="D970" si="1983">IF(B970&gt;0,MONTH(B970),"False")</f>
        <v>9</v>
      </c>
      <c r="E970" s="66" t="str">
        <f t="shared" ref="E970" si="1984">YEAR(B970) &amp; CHOOSE(D970,"-Jan","-Feb","-Mar","-Apr","-May","-Jun","-Jul","-Aug","-Sep","-Oct","-Nov","-Dec")</f>
        <v>2014-Sep</v>
      </c>
      <c r="F970" s="68">
        <f t="shared" ref="F970" si="1985">IF(C970&gt;0,MONTH(C970),"False")</f>
        <v>9</v>
      </c>
      <c r="G970" s="271" t="s">
        <v>121</v>
      </c>
      <c r="H970" s="271" t="s">
        <v>136</v>
      </c>
      <c r="J970" s="271" t="s">
        <v>77</v>
      </c>
      <c r="K970" s="271" t="s">
        <v>82</v>
      </c>
      <c r="L970" s="271" t="s">
        <v>79</v>
      </c>
      <c r="M970" s="1" t="s">
        <v>1691</v>
      </c>
      <c r="N970" s="271" t="s">
        <v>124</v>
      </c>
      <c r="O970" s="271" t="s">
        <v>507</v>
      </c>
      <c r="P970" s="64" t="s">
        <v>750</v>
      </c>
      <c r="R970" s="64" t="s">
        <v>1513</v>
      </c>
      <c r="S970" s="271" t="s">
        <v>104</v>
      </c>
      <c r="X970" s="271" t="s">
        <v>1312</v>
      </c>
      <c r="Y970" s="270" t="str">
        <f t="shared" si="1919"/>
        <v>Pass</v>
      </c>
      <c r="Z970" s="11" t="str">
        <f t="shared" si="1920"/>
        <v/>
      </c>
      <c r="AA970" s="270" t="str">
        <f t="shared" si="1921"/>
        <v/>
      </c>
      <c r="AB970" s="270" t="str">
        <f t="shared" si="1922"/>
        <v/>
      </c>
    </row>
    <row r="971" spans="2:28" x14ac:dyDescent="0.25">
      <c r="B971" s="65">
        <v>41890</v>
      </c>
      <c r="C971" s="66">
        <v>41890</v>
      </c>
      <c r="D971" s="68">
        <f t="shared" ref="D971" si="1986">IF(B971&gt;0,MONTH(B971),"False")</f>
        <v>9</v>
      </c>
      <c r="E971" s="66" t="str">
        <f t="shared" ref="E971" si="1987">YEAR(B971) &amp; CHOOSE(D971,"-Jan","-Feb","-Mar","-Apr","-May","-Jun","-Jul","-Aug","-Sep","-Oct","-Nov","-Dec")</f>
        <v>2014-Sep</v>
      </c>
      <c r="F971" s="68">
        <f t="shared" ref="F971" si="1988">IF(C971&gt;0,MONTH(C971),"False")</f>
        <v>9</v>
      </c>
      <c r="G971" s="271" t="s">
        <v>93</v>
      </c>
      <c r="H971" s="271" t="s">
        <v>115</v>
      </c>
      <c r="J971" s="271" t="s">
        <v>77</v>
      </c>
      <c r="K971" s="271" t="s">
        <v>82</v>
      </c>
      <c r="L971" s="271" t="s">
        <v>79</v>
      </c>
      <c r="M971" s="1" t="s">
        <v>1692</v>
      </c>
      <c r="N971" s="271" t="s">
        <v>124</v>
      </c>
      <c r="O971" s="271" t="s">
        <v>265</v>
      </c>
      <c r="P971" s="64" t="s">
        <v>405</v>
      </c>
      <c r="R971" s="64" t="s">
        <v>480</v>
      </c>
      <c r="Y971" s="270" t="str">
        <f t="shared" ref="Y971:Y991" si="1989">IF(Q971&gt;0,"Obsolete",IF(S971&gt;0,S971,"Unknown"))</f>
        <v>Unknown</v>
      </c>
      <c r="Z971" s="11" t="str">
        <f t="shared" ref="Z971:Z991" si="1990">IF(Q971="Obsolete-LQA",C971,IF(Q971="Obsolete-IT",B971,""))</f>
        <v/>
      </c>
      <c r="AA971" s="270" t="str">
        <f t="shared" ref="AA971:AA991" si="1991">IFERROR(YEAR(Z971)&amp;" - "&amp; IF(LEN( WEEKNUM(Z971))=1,"0" &amp; WEEKNUM(Z971),WEEKNUM(Z971)),"")</f>
        <v/>
      </c>
      <c r="AB971" s="270" t="str">
        <f t="shared" ref="AB971:AB991" si="1992">IFERROR(YEAR(Z971),"")</f>
        <v/>
      </c>
    </row>
    <row r="972" spans="2:28" x14ac:dyDescent="0.25">
      <c r="B972" s="65">
        <v>41890</v>
      </c>
      <c r="C972" s="66">
        <v>41890</v>
      </c>
      <c r="D972" s="68">
        <f t="shared" ref="D972:D976" si="1993">IF(B972&gt;0,MONTH(B972),"False")</f>
        <v>9</v>
      </c>
      <c r="E972" s="66" t="str">
        <f t="shared" ref="E972:E976" si="1994">YEAR(B972) &amp; CHOOSE(D972,"-Jan","-Feb","-Mar","-Apr","-May","-Jun","-Jul","-Aug","-Sep","-Oct","-Nov","-Dec")</f>
        <v>2014-Sep</v>
      </c>
      <c r="F972" s="68">
        <f t="shared" ref="F972:F976" si="1995">IF(C972&gt;0,MONTH(C972),"False")</f>
        <v>9</v>
      </c>
      <c r="G972" s="287" t="s">
        <v>121</v>
      </c>
      <c r="H972" s="271" t="s">
        <v>115</v>
      </c>
      <c r="I972" s="271"/>
      <c r="J972" s="271" t="s">
        <v>77</v>
      </c>
      <c r="K972" s="271" t="s">
        <v>82</v>
      </c>
      <c r="L972" s="271" t="s">
        <v>79</v>
      </c>
      <c r="M972" s="271" t="s">
        <v>1693</v>
      </c>
      <c r="N972" s="271" t="s">
        <v>124</v>
      </c>
      <c r="O972" s="271" t="s">
        <v>265</v>
      </c>
      <c r="P972" s="64" t="s">
        <v>405</v>
      </c>
      <c r="R972" s="64" t="s">
        <v>480</v>
      </c>
      <c r="S972" s="287" t="s">
        <v>104</v>
      </c>
      <c r="X972" s="287" t="s">
        <v>1387</v>
      </c>
      <c r="Y972" s="270" t="str">
        <f t="shared" si="1989"/>
        <v>Pass</v>
      </c>
      <c r="Z972" s="11" t="str">
        <f t="shared" si="1990"/>
        <v/>
      </c>
      <c r="AA972" s="270" t="str">
        <f t="shared" si="1991"/>
        <v/>
      </c>
      <c r="AB972" s="270" t="str">
        <f t="shared" si="1992"/>
        <v/>
      </c>
    </row>
    <row r="973" spans="2:28" x14ac:dyDescent="0.25">
      <c r="B973" s="65">
        <v>41890</v>
      </c>
      <c r="C973" s="66">
        <v>41890</v>
      </c>
      <c r="D973" s="68">
        <f t="shared" si="1993"/>
        <v>9</v>
      </c>
      <c r="E973" s="66" t="str">
        <f t="shared" si="1994"/>
        <v>2014-Sep</v>
      </c>
      <c r="F973" s="68">
        <f t="shared" si="1995"/>
        <v>9</v>
      </c>
      <c r="G973" s="287" t="s">
        <v>121</v>
      </c>
      <c r="H973" s="271" t="s">
        <v>115</v>
      </c>
      <c r="I973" s="271"/>
      <c r="J973" s="271" t="s">
        <v>77</v>
      </c>
      <c r="K973" s="271" t="s">
        <v>82</v>
      </c>
      <c r="L973" s="271" t="s">
        <v>79</v>
      </c>
      <c r="M973" s="271" t="s">
        <v>1694</v>
      </c>
      <c r="N973" s="271" t="s">
        <v>124</v>
      </c>
      <c r="O973" s="271" t="s">
        <v>265</v>
      </c>
      <c r="P973" s="64" t="s">
        <v>405</v>
      </c>
      <c r="R973" s="64" t="s">
        <v>480</v>
      </c>
      <c r="S973" s="287" t="s">
        <v>104</v>
      </c>
      <c r="X973" s="287" t="s">
        <v>1387</v>
      </c>
      <c r="Y973" s="270" t="str">
        <f t="shared" si="1989"/>
        <v>Pass</v>
      </c>
      <c r="Z973" s="11" t="str">
        <f t="shared" si="1990"/>
        <v/>
      </c>
      <c r="AA973" s="270" t="str">
        <f t="shared" si="1991"/>
        <v/>
      </c>
      <c r="AB973" s="270" t="str">
        <f t="shared" si="1992"/>
        <v/>
      </c>
    </row>
    <row r="974" spans="2:28" x14ac:dyDescent="0.25">
      <c r="B974" s="65">
        <v>41890</v>
      </c>
      <c r="C974" s="66">
        <v>41890</v>
      </c>
      <c r="D974" s="68">
        <f t="shared" si="1993"/>
        <v>9</v>
      </c>
      <c r="E974" s="66" t="str">
        <f t="shared" si="1994"/>
        <v>2014-Sep</v>
      </c>
      <c r="F974" s="68">
        <f t="shared" si="1995"/>
        <v>9</v>
      </c>
      <c r="G974" s="271" t="s">
        <v>93</v>
      </c>
      <c r="H974" s="271" t="s">
        <v>115</v>
      </c>
      <c r="I974" s="271"/>
      <c r="J974" s="271" t="s">
        <v>77</v>
      </c>
      <c r="K974" s="271" t="s">
        <v>82</v>
      </c>
      <c r="L974" s="271" t="s">
        <v>79</v>
      </c>
      <c r="M974" s="271" t="s">
        <v>1695</v>
      </c>
      <c r="N974" s="271" t="s">
        <v>124</v>
      </c>
      <c r="O974" s="271" t="s">
        <v>265</v>
      </c>
      <c r="P974" s="64" t="s">
        <v>405</v>
      </c>
      <c r="Q974" s="2" t="s">
        <v>88</v>
      </c>
      <c r="R974" s="64" t="s">
        <v>480</v>
      </c>
      <c r="Y974" s="270" t="str">
        <f t="shared" si="1989"/>
        <v>Obsolete</v>
      </c>
      <c r="Z974" s="11">
        <f t="shared" si="1990"/>
        <v>41890</v>
      </c>
      <c r="AA974" s="270" t="str">
        <f t="shared" si="1991"/>
        <v>2014 - 37</v>
      </c>
      <c r="AB974" s="270">
        <f t="shared" si="1992"/>
        <v>2014</v>
      </c>
    </row>
    <row r="975" spans="2:28" x14ac:dyDescent="0.25">
      <c r="B975" s="65">
        <v>41890</v>
      </c>
      <c r="C975" s="66">
        <v>41890</v>
      </c>
      <c r="D975" s="68">
        <f t="shared" si="1993"/>
        <v>9</v>
      </c>
      <c r="E975" s="66" t="str">
        <f t="shared" si="1994"/>
        <v>2014-Sep</v>
      </c>
      <c r="F975" s="68">
        <f t="shared" si="1995"/>
        <v>9</v>
      </c>
      <c r="G975" s="271" t="s">
        <v>93</v>
      </c>
      <c r="H975" s="271" t="s">
        <v>115</v>
      </c>
      <c r="I975" s="271"/>
      <c r="J975" s="271" t="s">
        <v>77</v>
      </c>
      <c r="K975" s="271" t="s">
        <v>82</v>
      </c>
      <c r="L975" s="271" t="s">
        <v>79</v>
      </c>
      <c r="M975" s="271" t="s">
        <v>1696</v>
      </c>
      <c r="N975" s="271" t="s">
        <v>124</v>
      </c>
      <c r="O975" s="271" t="s">
        <v>265</v>
      </c>
      <c r="P975" s="64" t="s">
        <v>405</v>
      </c>
      <c r="Q975" s="2" t="s">
        <v>88</v>
      </c>
      <c r="R975" s="64" t="s">
        <v>480</v>
      </c>
      <c r="Y975" s="270" t="str">
        <f t="shared" si="1989"/>
        <v>Obsolete</v>
      </c>
      <c r="Z975" s="11">
        <f t="shared" si="1990"/>
        <v>41890</v>
      </c>
      <c r="AA975" s="270" t="str">
        <f t="shared" si="1991"/>
        <v>2014 - 37</v>
      </c>
      <c r="AB975" s="270">
        <f t="shared" si="1992"/>
        <v>2014</v>
      </c>
    </row>
    <row r="976" spans="2:28" x14ac:dyDescent="0.25">
      <c r="B976" s="65">
        <v>41890</v>
      </c>
      <c r="C976" s="66">
        <v>41890</v>
      </c>
      <c r="D976" s="68">
        <f t="shared" si="1993"/>
        <v>9</v>
      </c>
      <c r="E976" s="66" t="str">
        <f t="shared" si="1994"/>
        <v>2014-Sep</v>
      </c>
      <c r="F976" s="68">
        <f t="shared" si="1995"/>
        <v>9</v>
      </c>
      <c r="G976" s="271" t="s">
        <v>93</v>
      </c>
      <c r="H976" s="271" t="s">
        <v>115</v>
      </c>
      <c r="I976" s="271"/>
      <c r="J976" s="271" t="s">
        <v>77</v>
      </c>
      <c r="K976" s="271" t="s">
        <v>82</v>
      </c>
      <c r="L976" s="271" t="s">
        <v>79</v>
      </c>
      <c r="M976" s="271" t="s">
        <v>1697</v>
      </c>
      <c r="N976" s="271" t="s">
        <v>124</v>
      </c>
      <c r="O976" s="271" t="s">
        <v>265</v>
      </c>
      <c r="P976" s="64" t="s">
        <v>405</v>
      </c>
      <c r="Q976" s="2" t="s">
        <v>88</v>
      </c>
      <c r="R976" s="64" t="s">
        <v>480</v>
      </c>
      <c r="Y976" s="270" t="str">
        <f t="shared" si="1989"/>
        <v>Obsolete</v>
      </c>
      <c r="Z976" s="11">
        <f t="shared" si="1990"/>
        <v>41890</v>
      </c>
      <c r="AA976" s="270" t="str">
        <f t="shared" si="1991"/>
        <v>2014 - 37</v>
      </c>
      <c r="AB976" s="270">
        <f t="shared" si="1992"/>
        <v>2014</v>
      </c>
    </row>
    <row r="977" spans="2:28" x14ac:dyDescent="0.25">
      <c r="B977" s="65">
        <v>41890</v>
      </c>
      <c r="C977" s="66">
        <v>41890</v>
      </c>
      <c r="D977" s="68">
        <f t="shared" ref="D977" si="1996">IF(B977&gt;0,MONTH(B977),"False")</f>
        <v>9</v>
      </c>
      <c r="E977" s="66" t="str">
        <f t="shared" ref="E977" si="1997">YEAR(B977) &amp; CHOOSE(D977,"-Jan","-Feb","-Mar","-Apr","-May","-Jun","-Jul","-Aug","-Sep","-Oct","-Nov","-Dec")</f>
        <v>2014-Sep</v>
      </c>
      <c r="F977" s="68">
        <f t="shared" ref="F977" si="1998">IF(C977&gt;0,MONTH(C977),"False")</f>
        <v>9</v>
      </c>
      <c r="G977" s="291" t="s">
        <v>121</v>
      </c>
      <c r="H977" s="271" t="s">
        <v>28</v>
      </c>
      <c r="J977" s="271" t="s">
        <v>77</v>
      </c>
      <c r="K977" s="271" t="s">
        <v>82</v>
      </c>
      <c r="L977" s="271" t="s">
        <v>79</v>
      </c>
      <c r="M977" s="1" t="s">
        <v>1698</v>
      </c>
      <c r="N977" s="271" t="s">
        <v>124</v>
      </c>
      <c r="O977" s="271" t="s">
        <v>162</v>
      </c>
      <c r="P977" s="64" t="s">
        <v>334</v>
      </c>
      <c r="R977" s="64" t="s">
        <v>335</v>
      </c>
      <c r="S977" s="291" t="s">
        <v>104</v>
      </c>
      <c r="T977" s="67" t="s">
        <v>110</v>
      </c>
      <c r="X977" s="291" t="s">
        <v>284</v>
      </c>
      <c r="Y977" s="270" t="str">
        <f t="shared" si="1989"/>
        <v>Pass</v>
      </c>
      <c r="Z977" s="11" t="str">
        <f t="shared" si="1990"/>
        <v/>
      </c>
      <c r="AA977" s="270" t="str">
        <f t="shared" si="1991"/>
        <v/>
      </c>
      <c r="AB977" s="270" t="str">
        <f t="shared" si="1992"/>
        <v/>
      </c>
    </row>
    <row r="978" spans="2:28" x14ac:dyDescent="0.25">
      <c r="B978" s="65">
        <v>41890</v>
      </c>
      <c r="C978" s="66">
        <v>41890</v>
      </c>
      <c r="D978" s="68">
        <f t="shared" ref="D978:D979" si="1999">IF(B978&gt;0,MONTH(B978),"False")</f>
        <v>9</v>
      </c>
      <c r="E978" s="66" t="str">
        <f t="shared" ref="E978:E979" si="2000">YEAR(B978) &amp; CHOOSE(D978,"-Jan","-Feb","-Mar","-Apr","-May","-Jun","-Jul","-Aug","-Sep","-Oct","-Nov","-Dec")</f>
        <v>2014-Sep</v>
      </c>
      <c r="F978" s="68">
        <f t="shared" ref="F978:F979" si="2001">IF(C978&gt;0,MONTH(C978),"False")</f>
        <v>9</v>
      </c>
      <c r="G978" s="303" t="s">
        <v>121</v>
      </c>
      <c r="H978" s="271" t="s">
        <v>28</v>
      </c>
      <c r="I978" s="271"/>
      <c r="J978" s="271" t="s">
        <v>77</v>
      </c>
      <c r="K978" s="271" t="s">
        <v>82</v>
      </c>
      <c r="L978" s="271" t="s">
        <v>79</v>
      </c>
      <c r="M978" s="271" t="s">
        <v>1699</v>
      </c>
      <c r="N978" s="271" t="s">
        <v>124</v>
      </c>
      <c r="O978" s="271" t="s">
        <v>162</v>
      </c>
      <c r="P978" s="64" t="s">
        <v>334</v>
      </c>
      <c r="R978" s="64" t="s">
        <v>335</v>
      </c>
      <c r="S978" s="303" t="s">
        <v>104</v>
      </c>
      <c r="T978" s="67" t="s">
        <v>110</v>
      </c>
      <c r="X978" s="303" t="s">
        <v>155</v>
      </c>
      <c r="Y978" s="270" t="str">
        <f t="shared" si="1989"/>
        <v>Pass</v>
      </c>
      <c r="Z978" s="11" t="str">
        <f t="shared" si="1990"/>
        <v/>
      </c>
      <c r="AA978" s="270" t="str">
        <f t="shared" si="1991"/>
        <v/>
      </c>
      <c r="AB978" s="270" t="str">
        <f t="shared" si="1992"/>
        <v/>
      </c>
    </row>
    <row r="979" spans="2:28" x14ac:dyDescent="0.25">
      <c r="B979" s="66">
        <v>41890</v>
      </c>
      <c r="C979" s="66">
        <v>41890</v>
      </c>
      <c r="D979" s="68">
        <f t="shared" si="1999"/>
        <v>9</v>
      </c>
      <c r="E979" s="66" t="str">
        <f t="shared" si="2000"/>
        <v>2014-Sep</v>
      </c>
      <c r="F979" s="68">
        <f t="shared" si="2001"/>
        <v>9</v>
      </c>
      <c r="G979" s="291" t="s">
        <v>112</v>
      </c>
      <c r="H979" s="271" t="s">
        <v>28</v>
      </c>
      <c r="J979" s="271" t="s">
        <v>78</v>
      </c>
      <c r="K979" s="271" t="s">
        <v>78</v>
      </c>
      <c r="L979" s="271" t="s">
        <v>79</v>
      </c>
      <c r="M979" s="1" t="s">
        <v>1700</v>
      </c>
      <c r="N979" s="271" t="s">
        <v>124</v>
      </c>
      <c r="O979" s="271" t="s">
        <v>168</v>
      </c>
      <c r="R979" s="64" t="s">
        <v>308</v>
      </c>
      <c r="S979" s="291" t="s">
        <v>104</v>
      </c>
      <c r="T979" s="67" t="s">
        <v>110</v>
      </c>
      <c r="X979" s="291" t="s">
        <v>270</v>
      </c>
      <c r="Y979" s="270" t="str">
        <f t="shared" si="1989"/>
        <v>Pass</v>
      </c>
      <c r="Z979" s="11" t="str">
        <f t="shared" si="1990"/>
        <v/>
      </c>
      <c r="AA979" s="270" t="str">
        <f t="shared" si="1991"/>
        <v/>
      </c>
      <c r="AB979" s="270" t="str">
        <f t="shared" si="1992"/>
        <v/>
      </c>
    </row>
    <row r="980" spans="2:28" x14ac:dyDescent="0.25">
      <c r="B980" s="65">
        <v>41891</v>
      </c>
      <c r="C980" s="66">
        <v>41891</v>
      </c>
      <c r="D980" s="68">
        <f t="shared" ref="D980:D982" si="2002">IF(B980&gt;0,MONTH(B980),"False")</f>
        <v>9</v>
      </c>
      <c r="E980" s="66" t="str">
        <f t="shared" ref="E980:E982" si="2003">YEAR(B980) &amp; CHOOSE(D980,"-Jan","-Feb","-Mar","-Apr","-May","-Jun","-Jul","-Aug","-Sep","-Oct","-Nov","-Dec")</f>
        <v>2014-Sep</v>
      </c>
      <c r="F980" s="68">
        <f t="shared" ref="F980:F982" si="2004">IF(C980&gt;0,MONTH(C980),"False")</f>
        <v>9</v>
      </c>
      <c r="G980" s="272" t="s">
        <v>121</v>
      </c>
      <c r="H980" s="272" t="s">
        <v>136</v>
      </c>
      <c r="J980" s="272" t="s">
        <v>120</v>
      </c>
      <c r="K980" s="272" t="s">
        <v>82</v>
      </c>
      <c r="L980" s="272" t="s">
        <v>79</v>
      </c>
      <c r="M980" s="1" t="s">
        <v>1701</v>
      </c>
      <c r="N980" s="272" t="s">
        <v>124</v>
      </c>
      <c r="O980" s="272" t="s">
        <v>1368</v>
      </c>
      <c r="P980" s="64" t="s">
        <v>750</v>
      </c>
      <c r="R980" s="64" t="s">
        <v>308</v>
      </c>
      <c r="S980" s="272" t="s">
        <v>104</v>
      </c>
      <c r="X980" s="272" t="s">
        <v>158</v>
      </c>
      <c r="Y980" s="270" t="str">
        <f t="shared" si="1989"/>
        <v>Pass</v>
      </c>
      <c r="Z980" s="11" t="str">
        <f t="shared" si="1990"/>
        <v/>
      </c>
      <c r="AA980" s="270" t="str">
        <f t="shared" si="1991"/>
        <v/>
      </c>
      <c r="AB980" s="270" t="str">
        <f t="shared" si="1992"/>
        <v/>
      </c>
    </row>
    <row r="981" spans="2:28" x14ac:dyDescent="0.25">
      <c r="B981" s="66">
        <v>41891</v>
      </c>
      <c r="C981" s="66">
        <v>41891</v>
      </c>
      <c r="D981" s="68">
        <f t="shared" si="2002"/>
        <v>9</v>
      </c>
      <c r="E981" s="66" t="str">
        <f t="shared" si="2003"/>
        <v>2014-Sep</v>
      </c>
      <c r="F981" s="68">
        <f t="shared" si="2004"/>
        <v>9</v>
      </c>
      <c r="G981" s="272" t="s">
        <v>87</v>
      </c>
      <c r="H981" s="272" t="s">
        <v>166</v>
      </c>
      <c r="J981" s="272" t="s">
        <v>120</v>
      </c>
      <c r="K981" s="272" t="s">
        <v>82</v>
      </c>
      <c r="L981" s="272" t="s">
        <v>79</v>
      </c>
      <c r="M981" s="1" t="s">
        <v>1702</v>
      </c>
      <c r="N981" s="272" t="s">
        <v>124</v>
      </c>
      <c r="O981" s="272" t="s">
        <v>1606</v>
      </c>
      <c r="Q981" s="2" t="s">
        <v>88</v>
      </c>
      <c r="R981" s="64" t="s">
        <v>1542</v>
      </c>
      <c r="Y981" s="270" t="str">
        <f t="shared" si="1989"/>
        <v>Obsolete</v>
      </c>
      <c r="Z981" s="11">
        <f t="shared" si="1990"/>
        <v>41891</v>
      </c>
      <c r="AA981" s="270" t="str">
        <f t="shared" si="1991"/>
        <v>2014 - 37</v>
      </c>
      <c r="AB981" s="270">
        <f t="shared" si="1992"/>
        <v>2014</v>
      </c>
    </row>
    <row r="982" spans="2:28" x14ac:dyDescent="0.25">
      <c r="B982" s="65">
        <v>41891</v>
      </c>
      <c r="C982" s="66">
        <v>41891</v>
      </c>
      <c r="D982" s="68">
        <f t="shared" si="2002"/>
        <v>9</v>
      </c>
      <c r="E982" s="66" t="str">
        <f t="shared" si="2003"/>
        <v>2014-Sep</v>
      </c>
      <c r="F982" s="68">
        <f t="shared" si="2004"/>
        <v>9</v>
      </c>
      <c r="G982" s="272" t="s">
        <v>93</v>
      </c>
      <c r="H982" s="272" t="s">
        <v>136</v>
      </c>
      <c r="I982" s="272"/>
      <c r="J982" s="272" t="s">
        <v>77</v>
      </c>
      <c r="K982" s="272" t="s">
        <v>82</v>
      </c>
      <c r="L982" s="272" t="s">
        <v>79</v>
      </c>
      <c r="M982" s="272" t="s">
        <v>1703</v>
      </c>
      <c r="N982" s="272" t="s">
        <v>124</v>
      </c>
      <c r="O982" s="272" t="s">
        <v>507</v>
      </c>
      <c r="P982" s="64" t="s">
        <v>1513</v>
      </c>
      <c r="Q982" s="2" t="s">
        <v>88</v>
      </c>
      <c r="R982" s="64" t="s">
        <v>1513</v>
      </c>
      <c r="Y982" s="270" t="str">
        <f t="shared" si="1989"/>
        <v>Obsolete</v>
      </c>
      <c r="Z982" s="11">
        <f t="shared" si="1990"/>
        <v>41891</v>
      </c>
      <c r="AA982" s="270" t="str">
        <f t="shared" si="1991"/>
        <v>2014 - 37</v>
      </c>
      <c r="AB982" s="270">
        <f t="shared" si="1992"/>
        <v>2014</v>
      </c>
    </row>
    <row r="983" spans="2:28" x14ac:dyDescent="0.25">
      <c r="B983" s="65">
        <v>41891</v>
      </c>
      <c r="C983" s="66">
        <v>41891</v>
      </c>
      <c r="D983" s="68">
        <f t="shared" ref="D983" si="2005">IF(B983&gt;0,MONTH(B983),"False")</f>
        <v>9</v>
      </c>
      <c r="E983" s="66" t="str">
        <f t="shared" ref="E983" si="2006">YEAR(B983) &amp; CHOOSE(D983,"-Jan","-Feb","-Mar","-Apr","-May","-Jun","-Jul","-Aug","-Sep","-Oct","-Nov","-Dec")</f>
        <v>2014-Sep</v>
      </c>
      <c r="F983" s="68">
        <f t="shared" ref="F983" si="2007">IF(C983&gt;0,MONTH(C983),"False")</f>
        <v>9</v>
      </c>
      <c r="G983" s="272" t="s">
        <v>93</v>
      </c>
      <c r="H983" s="272" t="s">
        <v>330</v>
      </c>
      <c r="J983" s="272" t="s">
        <v>81</v>
      </c>
      <c r="K983" s="272" t="s">
        <v>82</v>
      </c>
      <c r="L983" s="272" t="s">
        <v>79</v>
      </c>
      <c r="M983" s="1" t="s">
        <v>1704</v>
      </c>
      <c r="N983" s="272" t="s">
        <v>124</v>
      </c>
      <c r="O983" s="272" t="s">
        <v>285</v>
      </c>
      <c r="P983" s="64" t="s">
        <v>337</v>
      </c>
      <c r="Q983" s="2" t="s">
        <v>88</v>
      </c>
      <c r="R983" s="64" t="s">
        <v>338</v>
      </c>
      <c r="Y983" s="270" t="str">
        <f t="shared" si="1989"/>
        <v>Obsolete</v>
      </c>
      <c r="Z983" s="11">
        <f t="shared" si="1990"/>
        <v>41891</v>
      </c>
      <c r="AA983" s="270" t="str">
        <f t="shared" si="1991"/>
        <v>2014 - 37</v>
      </c>
      <c r="AB983" s="270">
        <f t="shared" si="1992"/>
        <v>2014</v>
      </c>
    </row>
    <row r="984" spans="2:28" x14ac:dyDescent="0.25">
      <c r="B984" s="65">
        <v>41892</v>
      </c>
      <c r="C984" s="66">
        <v>41899</v>
      </c>
      <c r="D984" s="68">
        <f t="shared" ref="D984:D985" si="2008">IF(B984&gt;0,MONTH(B984),"False")</f>
        <v>9</v>
      </c>
      <c r="E984" s="66" t="str">
        <f t="shared" ref="E984:E985" si="2009">YEAR(B984) &amp; CHOOSE(D984,"-Jan","-Feb","-Mar","-Apr","-May","-Jun","-Jul","-Aug","-Sep","-Oct","-Nov","-Dec")</f>
        <v>2014-Sep</v>
      </c>
      <c r="F984" s="68">
        <f t="shared" ref="F984:F985" si="2010">IF(C984&gt;0,MONTH(C984),"False")</f>
        <v>9</v>
      </c>
      <c r="G984" s="279" t="s">
        <v>93</v>
      </c>
      <c r="H984" s="273" t="s">
        <v>103</v>
      </c>
      <c r="J984" s="273" t="s">
        <v>77</v>
      </c>
      <c r="K984" s="273" t="s">
        <v>82</v>
      </c>
      <c r="L984" s="273" t="s">
        <v>79</v>
      </c>
      <c r="M984" s="1" t="s">
        <v>1705</v>
      </c>
      <c r="N984" s="273" t="s">
        <v>124</v>
      </c>
      <c r="O984" s="273" t="s">
        <v>265</v>
      </c>
      <c r="P984" s="64" t="s">
        <v>351</v>
      </c>
      <c r="Q984" s="2" t="s">
        <v>88</v>
      </c>
      <c r="R984" s="64" t="s">
        <v>361</v>
      </c>
      <c r="T984" s="67" t="s">
        <v>110</v>
      </c>
      <c r="Y984" s="270" t="str">
        <f t="shared" si="1989"/>
        <v>Obsolete</v>
      </c>
      <c r="Z984" s="11">
        <f t="shared" si="1990"/>
        <v>41899</v>
      </c>
      <c r="AA984" s="270" t="str">
        <f t="shared" si="1991"/>
        <v>2014 - 38</v>
      </c>
      <c r="AB984" s="270">
        <f t="shared" si="1992"/>
        <v>2014</v>
      </c>
    </row>
    <row r="985" spans="2:28" x14ac:dyDescent="0.25">
      <c r="B985" s="65">
        <v>41893</v>
      </c>
      <c r="C985" s="66">
        <v>41893</v>
      </c>
      <c r="D985" s="68">
        <f t="shared" si="2008"/>
        <v>9</v>
      </c>
      <c r="E985" s="66" t="str">
        <f t="shared" si="2009"/>
        <v>2014-Sep</v>
      </c>
      <c r="F985" s="68">
        <f t="shared" si="2010"/>
        <v>9</v>
      </c>
      <c r="G985" s="284" t="s">
        <v>105</v>
      </c>
      <c r="H985" s="276" t="s">
        <v>280</v>
      </c>
      <c r="J985" s="276" t="s">
        <v>146</v>
      </c>
      <c r="K985" s="276" t="s">
        <v>82</v>
      </c>
      <c r="L985" s="276" t="s">
        <v>79</v>
      </c>
      <c r="M985" s="1" t="s">
        <v>1719</v>
      </c>
      <c r="N985" s="276" t="s">
        <v>124</v>
      </c>
      <c r="O985" s="276" t="s">
        <v>286</v>
      </c>
      <c r="P985" s="64" t="s">
        <v>305</v>
      </c>
      <c r="R985" s="64" t="s">
        <v>1559</v>
      </c>
      <c r="S985" s="284" t="s">
        <v>104</v>
      </c>
      <c r="X985" s="284" t="s">
        <v>544</v>
      </c>
      <c r="Y985" s="270" t="str">
        <f t="shared" si="1989"/>
        <v>Pass</v>
      </c>
      <c r="Z985" s="11" t="str">
        <f t="shared" si="1990"/>
        <v/>
      </c>
      <c r="AA985" s="270" t="str">
        <f t="shared" si="1991"/>
        <v/>
      </c>
      <c r="AB985" s="270" t="str">
        <f t="shared" si="1992"/>
        <v/>
      </c>
    </row>
    <row r="986" spans="2:28" x14ac:dyDescent="0.25">
      <c r="B986" s="65">
        <v>41893</v>
      </c>
      <c r="C986" s="66">
        <v>41893</v>
      </c>
      <c r="D986" s="68">
        <f t="shared" ref="D986" si="2011">IF(B986&gt;0,MONTH(B986),"False")</f>
        <v>9</v>
      </c>
      <c r="E986" s="66" t="str">
        <f t="shared" ref="E986" si="2012">YEAR(B986) &amp; CHOOSE(D986,"-Jan","-Feb","-Mar","-Apr","-May","-Jun","-Jul","-Aug","-Sep","-Oct","-Nov","-Dec")</f>
        <v>2014-Sep</v>
      </c>
      <c r="F986" s="68">
        <f t="shared" ref="F986" si="2013">IF(C986&gt;0,MONTH(C986),"False")</f>
        <v>9</v>
      </c>
      <c r="G986" s="284" t="s">
        <v>105</v>
      </c>
      <c r="H986" s="276" t="s">
        <v>280</v>
      </c>
      <c r="I986" s="276"/>
      <c r="J986" s="276" t="s">
        <v>81</v>
      </c>
      <c r="K986" s="276" t="s">
        <v>82</v>
      </c>
      <c r="L986" s="276" t="s">
        <v>79</v>
      </c>
      <c r="M986" s="1" t="s">
        <v>1720</v>
      </c>
      <c r="N986" s="276" t="s">
        <v>124</v>
      </c>
      <c r="O986" s="276" t="s">
        <v>286</v>
      </c>
      <c r="P986" s="64" t="s">
        <v>305</v>
      </c>
      <c r="R986" s="64" t="s">
        <v>1559</v>
      </c>
      <c r="S986" s="284" t="s">
        <v>104</v>
      </c>
      <c r="X986" s="284" t="s">
        <v>544</v>
      </c>
      <c r="Y986" s="270" t="str">
        <f t="shared" si="1989"/>
        <v>Pass</v>
      </c>
      <c r="Z986" s="11" t="str">
        <f t="shared" si="1990"/>
        <v/>
      </c>
      <c r="AA986" s="270" t="str">
        <f t="shared" si="1991"/>
        <v/>
      </c>
      <c r="AB986" s="270" t="str">
        <f t="shared" si="1992"/>
        <v/>
      </c>
    </row>
    <row r="987" spans="2:28" x14ac:dyDescent="0.25">
      <c r="B987" s="65">
        <v>41893</v>
      </c>
      <c r="C987" s="66">
        <v>41893</v>
      </c>
      <c r="D987" s="68">
        <f t="shared" ref="D987" si="2014">IF(B987&gt;0,MONTH(B987),"False")</f>
        <v>9</v>
      </c>
      <c r="E987" s="66" t="str">
        <f t="shared" ref="E987" si="2015">YEAR(B987) &amp; CHOOSE(D987,"-Jan","-Feb","-Mar","-Apr","-May","-Jun","-Jul","-Aug","-Sep","-Oct","-Nov","-Dec")</f>
        <v>2014-Sep</v>
      </c>
      <c r="F987" s="68">
        <f t="shared" ref="F987" si="2016">IF(C987&gt;0,MONTH(C987),"False")</f>
        <v>9</v>
      </c>
      <c r="G987" s="281" t="s">
        <v>121</v>
      </c>
      <c r="H987" s="276" t="s">
        <v>166</v>
      </c>
      <c r="J987" s="276" t="s">
        <v>333</v>
      </c>
      <c r="K987" s="276" t="s">
        <v>82</v>
      </c>
      <c r="L987" s="276" t="s">
        <v>79</v>
      </c>
      <c r="M987" s="1" t="s">
        <v>1721</v>
      </c>
      <c r="N987" s="276" t="s">
        <v>124</v>
      </c>
      <c r="O987" s="276" t="s">
        <v>116</v>
      </c>
      <c r="P987" s="64" t="s">
        <v>345</v>
      </c>
      <c r="R987" s="64" t="s">
        <v>347</v>
      </c>
      <c r="S987" s="281" t="s">
        <v>104</v>
      </c>
      <c r="X987" s="281" t="s">
        <v>462</v>
      </c>
      <c r="Y987" s="270" t="str">
        <f t="shared" si="1989"/>
        <v>Pass</v>
      </c>
      <c r="Z987" s="11" t="str">
        <f t="shared" si="1990"/>
        <v/>
      </c>
      <c r="AA987" s="270" t="str">
        <f t="shared" si="1991"/>
        <v/>
      </c>
      <c r="AB987" s="270" t="str">
        <f t="shared" si="1992"/>
        <v/>
      </c>
    </row>
    <row r="988" spans="2:28" x14ac:dyDescent="0.25">
      <c r="B988" s="65">
        <v>41893</v>
      </c>
      <c r="C988" s="66">
        <v>41893</v>
      </c>
      <c r="D988" s="68">
        <f t="shared" ref="D988" si="2017">IF(B988&gt;0,MONTH(B988),"False")</f>
        <v>9</v>
      </c>
      <c r="E988" s="66" t="str">
        <f t="shared" ref="E988" si="2018">YEAR(B988) &amp; CHOOSE(D988,"-Jan","-Feb","-Mar","-Apr","-May","-Jun","-Jul","-Aug","-Sep","-Oct","-Nov","-Dec")</f>
        <v>2014-Sep</v>
      </c>
      <c r="F988" s="68">
        <f t="shared" ref="F988" si="2019">IF(C988&gt;0,MONTH(C988),"False")</f>
        <v>9</v>
      </c>
      <c r="G988" s="276" t="s">
        <v>93</v>
      </c>
      <c r="H988" s="276" t="s">
        <v>136</v>
      </c>
      <c r="J988" s="276" t="s">
        <v>77</v>
      </c>
      <c r="K988" s="276" t="s">
        <v>82</v>
      </c>
      <c r="L988" s="276" t="s">
        <v>79</v>
      </c>
      <c r="M988" s="1" t="s">
        <v>1722</v>
      </c>
      <c r="N988" s="276" t="s">
        <v>124</v>
      </c>
      <c r="O988" s="276" t="s">
        <v>507</v>
      </c>
      <c r="P988" s="64" t="s">
        <v>750</v>
      </c>
      <c r="R988" s="64" t="s">
        <v>1513</v>
      </c>
      <c r="Y988" s="270" t="str">
        <f t="shared" si="1989"/>
        <v>Unknown</v>
      </c>
      <c r="Z988" s="11" t="str">
        <f t="shared" si="1990"/>
        <v/>
      </c>
      <c r="AA988" s="270" t="str">
        <f t="shared" si="1991"/>
        <v/>
      </c>
      <c r="AB988" s="270" t="str">
        <f t="shared" si="1992"/>
        <v/>
      </c>
    </row>
    <row r="989" spans="2:28" x14ac:dyDescent="0.25">
      <c r="B989" s="65">
        <v>41893</v>
      </c>
      <c r="C989" s="66">
        <v>41893</v>
      </c>
      <c r="D989" s="68">
        <f t="shared" ref="D989" si="2020">IF(B989&gt;0,MONTH(B989),"False")</f>
        <v>9</v>
      </c>
      <c r="E989" s="66" t="str">
        <f t="shared" ref="E989" si="2021">YEAR(B989) &amp; CHOOSE(D989,"-Jan","-Feb","-Mar","-Apr","-May","-Jun","-Jul","-Aug","-Sep","-Oct","-Nov","-Dec")</f>
        <v>2014-Sep</v>
      </c>
      <c r="F989" s="68">
        <f t="shared" ref="F989" si="2022">IF(C989&gt;0,MONTH(C989),"False")</f>
        <v>9</v>
      </c>
      <c r="G989" s="279" t="s">
        <v>121</v>
      </c>
      <c r="H989" s="276" t="s">
        <v>136</v>
      </c>
      <c r="I989" s="276"/>
      <c r="J989" s="276" t="s">
        <v>77</v>
      </c>
      <c r="K989" s="276" t="s">
        <v>82</v>
      </c>
      <c r="L989" s="276" t="s">
        <v>79</v>
      </c>
      <c r="M989" s="276" t="s">
        <v>1723</v>
      </c>
      <c r="N989" s="276" t="s">
        <v>124</v>
      </c>
      <c r="O989" s="276" t="s">
        <v>507</v>
      </c>
      <c r="P989" s="64" t="s">
        <v>750</v>
      </c>
      <c r="R989" s="64" t="s">
        <v>1513</v>
      </c>
      <c r="S989" s="279" t="s">
        <v>104</v>
      </c>
      <c r="X989" s="279" t="s">
        <v>1312</v>
      </c>
      <c r="Y989" s="270" t="str">
        <f t="shared" si="1989"/>
        <v>Pass</v>
      </c>
      <c r="Z989" s="11" t="str">
        <f t="shared" si="1990"/>
        <v/>
      </c>
      <c r="AA989" s="270" t="str">
        <f t="shared" si="1991"/>
        <v/>
      </c>
      <c r="AB989" s="270" t="str">
        <f t="shared" si="1992"/>
        <v/>
      </c>
    </row>
    <row r="990" spans="2:28" x14ac:dyDescent="0.25">
      <c r="B990" s="65">
        <v>41893</v>
      </c>
      <c r="C990" s="66">
        <v>41893</v>
      </c>
      <c r="D990" s="68">
        <f t="shared" ref="D990" si="2023">IF(B990&gt;0,MONTH(B990),"False")</f>
        <v>9</v>
      </c>
      <c r="E990" s="66" t="str">
        <f t="shared" ref="E990" si="2024">YEAR(B990) &amp; CHOOSE(D990,"-Jan","-Feb","-Mar","-Apr","-May","-Jun","-Jul","-Aug","-Sep","-Oct","-Nov","-Dec")</f>
        <v>2014-Sep</v>
      </c>
      <c r="F990" s="68">
        <f t="shared" ref="F990" si="2025">IF(C990&gt;0,MONTH(C990),"False")</f>
        <v>9</v>
      </c>
      <c r="G990" s="276" t="s">
        <v>121</v>
      </c>
      <c r="H990" s="276" t="s">
        <v>348</v>
      </c>
      <c r="I990" s="276"/>
      <c r="J990" s="276" t="s">
        <v>77</v>
      </c>
      <c r="K990" s="276" t="s">
        <v>82</v>
      </c>
      <c r="L990" s="276" t="s">
        <v>79</v>
      </c>
      <c r="M990" s="1" t="s">
        <v>1724</v>
      </c>
      <c r="N990" s="276" t="s">
        <v>124</v>
      </c>
      <c r="O990" s="276" t="s">
        <v>285</v>
      </c>
      <c r="P990" s="64" t="s">
        <v>352</v>
      </c>
      <c r="Q990" s="2" t="s">
        <v>88</v>
      </c>
      <c r="R990" s="64" t="s">
        <v>1289</v>
      </c>
      <c r="S990" s="276" t="s">
        <v>104</v>
      </c>
      <c r="X990" s="276" t="s">
        <v>1474</v>
      </c>
      <c r="Y990" s="270" t="str">
        <f t="shared" si="1989"/>
        <v>Obsolete</v>
      </c>
      <c r="Z990" s="11">
        <f t="shared" si="1990"/>
        <v>41893</v>
      </c>
      <c r="AA990" s="270" t="str">
        <f t="shared" si="1991"/>
        <v>2014 - 37</v>
      </c>
      <c r="AB990" s="270">
        <f t="shared" si="1992"/>
        <v>2014</v>
      </c>
    </row>
    <row r="991" spans="2:28" x14ac:dyDescent="0.25">
      <c r="B991" s="65">
        <v>41893</v>
      </c>
      <c r="C991" s="66">
        <v>41893</v>
      </c>
      <c r="D991" s="68">
        <f t="shared" ref="D991" si="2026">IF(B991&gt;0,MONTH(B991),"False")</f>
        <v>9</v>
      </c>
      <c r="E991" s="66" t="str">
        <f t="shared" ref="E991" si="2027">YEAR(B991) &amp; CHOOSE(D991,"-Jan","-Feb","-Mar","-Apr","-May","-Jun","-Jul","-Aug","-Sep","-Oct","-Nov","-Dec")</f>
        <v>2014-Sep</v>
      </c>
      <c r="F991" s="68">
        <f t="shared" ref="F991" si="2028">IF(C991&gt;0,MONTH(C991),"False")</f>
        <v>9</v>
      </c>
      <c r="G991" s="290" t="s">
        <v>105</v>
      </c>
      <c r="H991" s="276" t="s">
        <v>280</v>
      </c>
      <c r="J991" s="276" t="s">
        <v>81</v>
      </c>
      <c r="K991" s="276" t="s">
        <v>82</v>
      </c>
      <c r="L991" s="276" t="s">
        <v>79</v>
      </c>
      <c r="M991" s="1" t="s">
        <v>1725</v>
      </c>
      <c r="N991" s="276" t="s">
        <v>124</v>
      </c>
      <c r="O991" s="276" t="s">
        <v>116</v>
      </c>
      <c r="P991" s="64" t="s">
        <v>305</v>
      </c>
      <c r="R991" s="64" t="s">
        <v>1559</v>
      </c>
      <c r="S991" s="290" t="s">
        <v>104</v>
      </c>
      <c r="X991" s="290" t="s">
        <v>544</v>
      </c>
      <c r="Y991" s="270" t="str">
        <f t="shared" si="1989"/>
        <v>Pass</v>
      </c>
      <c r="Z991" s="11" t="str">
        <f t="shared" si="1990"/>
        <v/>
      </c>
      <c r="AA991" s="270" t="str">
        <f t="shared" si="1991"/>
        <v/>
      </c>
      <c r="AB991" s="270" t="str">
        <f t="shared" si="1992"/>
        <v/>
      </c>
    </row>
    <row r="992" spans="2:28" x14ac:dyDescent="0.25">
      <c r="B992" s="65">
        <v>41897</v>
      </c>
      <c r="C992" s="66">
        <v>41897</v>
      </c>
      <c r="D992" s="68">
        <f t="shared" ref="D992" si="2029">IF(B992&gt;0,MONTH(B992),"False")</f>
        <v>9</v>
      </c>
      <c r="E992" s="66" t="str">
        <f t="shared" ref="E992" si="2030">YEAR(B992) &amp; CHOOSE(D992,"-Jan","-Feb","-Mar","-Apr","-May","-Jun","-Jul","-Aug","-Sep","-Oct","-Nov","-Dec")</f>
        <v>2014-Sep</v>
      </c>
      <c r="F992" s="68">
        <f t="shared" ref="F992" si="2031">IF(C992&gt;0,MONTH(C992),"False")</f>
        <v>9</v>
      </c>
      <c r="G992" s="281" t="s">
        <v>121</v>
      </c>
      <c r="H992" s="278" t="s">
        <v>348</v>
      </c>
      <c r="J992" s="278" t="s">
        <v>77</v>
      </c>
      <c r="K992" s="278" t="s">
        <v>82</v>
      </c>
      <c r="L992" s="278" t="s">
        <v>79</v>
      </c>
      <c r="M992" s="1" t="s">
        <v>1731</v>
      </c>
      <c r="N992" s="278" t="s">
        <v>124</v>
      </c>
      <c r="O992" s="278" t="s">
        <v>285</v>
      </c>
      <c r="P992" s="64" t="s">
        <v>352</v>
      </c>
      <c r="R992" s="64" t="s">
        <v>1289</v>
      </c>
      <c r="S992" s="281" t="s">
        <v>104</v>
      </c>
      <c r="X992" s="281" t="s">
        <v>1474</v>
      </c>
      <c r="Y992" s="276" t="str">
        <f t="shared" ref="Y992:Y1026" si="2032">IF(Q992&gt;0,"Obsolete",IF(S992&gt;0,S992,"Unknown"))</f>
        <v>Pass</v>
      </c>
      <c r="Z992" s="11" t="str">
        <f t="shared" ref="Z992:Z1026" si="2033">IF(Q992="Obsolete-LQA",C992,IF(Q992="Obsolete-IT",B992,""))</f>
        <v/>
      </c>
      <c r="AA992" s="276" t="str">
        <f t="shared" ref="AA992:AA1026" si="2034">IFERROR(YEAR(Z992)&amp;" - "&amp; IF(LEN( WEEKNUM(Z992))=1,"0" &amp; WEEKNUM(Z992),WEEKNUM(Z992)),"")</f>
        <v/>
      </c>
      <c r="AB992" s="276" t="str">
        <f t="shared" ref="AB992:AB1026" si="2035">IFERROR(YEAR(Z992),"")</f>
        <v/>
      </c>
    </row>
    <row r="993" spans="2:28" x14ac:dyDescent="0.25">
      <c r="B993" s="65">
        <v>41898</v>
      </c>
      <c r="C993" s="66">
        <v>41898</v>
      </c>
      <c r="D993" s="68">
        <f t="shared" ref="D993" si="2036">IF(B993&gt;0,MONTH(B993),"False")</f>
        <v>9</v>
      </c>
      <c r="E993" s="66" t="str">
        <f t="shared" ref="E993" si="2037">YEAR(B993) &amp; CHOOSE(D993,"-Jan","-Feb","-Mar","-Apr","-May","-Jun","-Jul","-Aug","-Sep","-Oct","-Nov","-Dec")</f>
        <v>2014-Sep</v>
      </c>
      <c r="F993" s="68">
        <f t="shared" ref="F993" si="2038">IF(C993&gt;0,MONTH(C993),"False")</f>
        <v>9</v>
      </c>
      <c r="G993" s="284" t="s">
        <v>105</v>
      </c>
      <c r="H993" s="279" t="s">
        <v>280</v>
      </c>
      <c r="J993" s="279" t="s">
        <v>146</v>
      </c>
      <c r="K993" s="279" t="s">
        <v>82</v>
      </c>
      <c r="L993" s="279" t="s">
        <v>79</v>
      </c>
      <c r="M993" s="1" t="s">
        <v>1732</v>
      </c>
      <c r="N993" s="279" t="s">
        <v>124</v>
      </c>
      <c r="O993" s="279" t="s">
        <v>286</v>
      </c>
      <c r="P993" s="64" t="s">
        <v>305</v>
      </c>
      <c r="R993" s="64" t="s">
        <v>1559</v>
      </c>
      <c r="S993" s="284" t="s">
        <v>104</v>
      </c>
      <c r="X993" s="284" t="s">
        <v>544</v>
      </c>
      <c r="Y993" s="276" t="str">
        <f t="shared" si="2032"/>
        <v>Pass</v>
      </c>
      <c r="Z993" s="11" t="str">
        <f t="shared" si="2033"/>
        <v/>
      </c>
      <c r="AA993" s="276" t="str">
        <f t="shared" si="2034"/>
        <v/>
      </c>
      <c r="AB993" s="276" t="str">
        <f t="shared" si="2035"/>
        <v/>
      </c>
    </row>
    <row r="994" spans="2:28" x14ac:dyDescent="0.25">
      <c r="B994" s="65">
        <v>41898</v>
      </c>
      <c r="C994" s="66">
        <v>41898</v>
      </c>
      <c r="D994" s="68">
        <f t="shared" ref="D994" si="2039">IF(B994&gt;0,MONTH(B994),"False")</f>
        <v>9</v>
      </c>
      <c r="E994" s="66" t="str">
        <f t="shared" ref="E994" si="2040">YEAR(B994) &amp; CHOOSE(D994,"-Jan","-Feb","-Mar","-Apr","-May","-Jun","-Jul","-Aug","-Sep","-Oct","-Nov","-Dec")</f>
        <v>2014-Sep</v>
      </c>
      <c r="F994" s="68">
        <f t="shared" ref="F994" si="2041">IF(C994&gt;0,MONTH(C994),"False")</f>
        <v>9</v>
      </c>
      <c r="G994" s="282" t="s">
        <v>105</v>
      </c>
      <c r="H994" s="279" t="s">
        <v>280</v>
      </c>
      <c r="I994" s="279"/>
      <c r="J994" s="279" t="s">
        <v>81</v>
      </c>
      <c r="K994" s="279" t="s">
        <v>82</v>
      </c>
      <c r="L994" s="279" t="s">
        <v>79</v>
      </c>
      <c r="M994" s="1" t="s">
        <v>1733</v>
      </c>
      <c r="N994" s="279" t="s">
        <v>124</v>
      </c>
      <c r="O994" s="279" t="s">
        <v>116</v>
      </c>
      <c r="P994" s="64" t="s">
        <v>305</v>
      </c>
      <c r="R994" s="64" t="s">
        <v>1559</v>
      </c>
      <c r="S994" s="282" t="s">
        <v>104</v>
      </c>
      <c r="T994" s="67"/>
      <c r="X994" s="282" t="s">
        <v>161</v>
      </c>
      <c r="Y994" s="276" t="str">
        <f t="shared" si="2032"/>
        <v>Pass</v>
      </c>
      <c r="Z994" s="11" t="str">
        <f t="shared" si="2033"/>
        <v/>
      </c>
      <c r="AA994" s="276" t="str">
        <f t="shared" si="2034"/>
        <v/>
      </c>
      <c r="AB994" s="276" t="str">
        <f t="shared" si="2035"/>
        <v/>
      </c>
    </row>
    <row r="995" spans="2:28" x14ac:dyDescent="0.25">
      <c r="B995" s="65">
        <v>41898</v>
      </c>
      <c r="C995" s="66">
        <v>41898</v>
      </c>
      <c r="D995" s="68">
        <f t="shared" ref="D995" si="2042">IF(B995&gt;0,MONTH(B995),"False")</f>
        <v>9</v>
      </c>
      <c r="E995" s="66" t="str">
        <f t="shared" ref="E995" si="2043">YEAR(B995) &amp; CHOOSE(D995,"-Jan","-Feb","-Mar","-Apr","-May","-Jun","-Jul","-Aug","-Sep","-Oct","-Nov","-Dec")</f>
        <v>2014-Sep</v>
      </c>
      <c r="F995" s="68">
        <f t="shared" ref="F995" si="2044">IF(C995&gt;0,MONTH(C995),"False")</f>
        <v>9</v>
      </c>
      <c r="G995" s="279" t="s">
        <v>93</v>
      </c>
      <c r="H995" s="279" t="s">
        <v>280</v>
      </c>
      <c r="I995" s="279"/>
      <c r="J995" s="279" t="s">
        <v>77</v>
      </c>
      <c r="K995" s="279" t="s">
        <v>82</v>
      </c>
      <c r="L995" s="279" t="s">
        <v>79</v>
      </c>
      <c r="M995" s="1" t="s">
        <v>1734</v>
      </c>
      <c r="N995" s="279" t="s">
        <v>124</v>
      </c>
      <c r="O995" s="279" t="s">
        <v>286</v>
      </c>
      <c r="P995" s="64" t="s">
        <v>305</v>
      </c>
      <c r="R995" s="64" t="s">
        <v>1559</v>
      </c>
      <c r="S995" s="286" t="s">
        <v>104</v>
      </c>
      <c r="Y995" s="276" t="str">
        <f t="shared" si="2032"/>
        <v>Pass</v>
      </c>
      <c r="Z995" s="11" t="str">
        <f t="shared" si="2033"/>
        <v/>
      </c>
      <c r="AA995" s="276" t="str">
        <f t="shared" si="2034"/>
        <v/>
      </c>
      <c r="AB995" s="276" t="str">
        <f t="shared" si="2035"/>
        <v/>
      </c>
    </row>
    <row r="996" spans="2:28" x14ac:dyDescent="0.25">
      <c r="B996" s="66">
        <v>41898</v>
      </c>
      <c r="C996" s="66">
        <v>41898</v>
      </c>
      <c r="D996" s="68">
        <f t="shared" ref="D996:D997" si="2045">IF(B996&gt;0,MONTH(B996),"False")</f>
        <v>9</v>
      </c>
      <c r="E996" s="66" t="str">
        <f t="shared" ref="E996:E997" si="2046">YEAR(B996) &amp; CHOOSE(D996,"-Jan","-Feb","-Mar","-Apr","-May","-Jun","-Jul","-Aug","-Sep","-Oct","-Nov","-Dec")</f>
        <v>2014-Sep</v>
      </c>
      <c r="F996" s="68">
        <f t="shared" ref="F996:F997" si="2047">IF(C996&gt;0,MONTH(C996),"False")</f>
        <v>9</v>
      </c>
      <c r="G996" s="283" t="s">
        <v>112</v>
      </c>
      <c r="H996" s="279" t="s">
        <v>136</v>
      </c>
      <c r="J996" s="279" t="s">
        <v>149</v>
      </c>
      <c r="K996" s="279" t="s">
        <v>84</v>
      </c>
      <c r="L996" s="279" t="s">
        <v>79</v>
      </c>
      <c r="M996" s="1" t="s">
        <v>1735</v>
      </c>
      <c r="N996" s="279" t="s">
        <v>124</v>
      </c>
      <c r="O996" s="279" t="s">
        <v>350</v>
      </c>
      <c r="R996" s="64" t="s">
        <v>1611</v>
      </c>
      <c r="S996" s="283" t="s">
        <v>104</v>
      </c>
      <c r="X996" s="283" t="s">
        <v>159</v>
      </c>
      <c r="Y996" s="276" t="str">
        <f t="shared" si="2032"/>
        <v>Pass</v>
      </c>
      <c r="Z996" s="11" t="str">
        <f t="shared" si="2033"/>
        <v/>
      </c>
      <c r="AA996" s="276" t="str">
        <f t="shared" si="2034"/>
        <v/>
      </c>
      <c r="AB996" s="276" t="str">
        <f t="shared" si="2035"/>
        <v/>
      </c>
    </row>
    <row r="997" spans="2:28" x14ac:dyDescent="0.25">
      <c r="B997" s="65">
        <v>41899</v>
      </c>
      <c r="C997" s="66">
        <v>41899</v>
      </c>
      <c r="D997" s="68">
        <f t="shared" si="2045"/>
        <v>9</v>
      </c>
      <c r="E997" s="66" t="str">
        <f t="shared" si="2046"/>
        <v>2014-Sep</v>
      </c>
      <c r="F997" s="68">
        <f t="shared" si="2047"/>
        <v>9</v>
      </c>
      <c r="G997" s="280" t="s">
        <v>93</v>
      </c>
      <c r="H997" s="280" t="s">
        <v>76</v>
      </c>
      <c r="J997" s="280" t="s">
        <v>120</v>
      </c>
      <c r="K997" s="280" t="s">
        <v>82</v>
      </c>
      <c r="L997" s="280" t="s">
        <v>79</v>
      </c>
      <c r="M997" s="1" t="s">
        <v>1739</v>
      </c>
      <c r="N997" s="280" t="s">
        <v>124</v>
      </c>
      <c r="O997" s="280" t="s">
        <v>91</v>
      </c>
      <c r="P997" s="64" t="s">
        <v>1740</v>
      </c>
      <c r="Q997" s="2" t="s">
        <v>88</v>
      </c>
      <c r="R997" s="64" t="s">
        <v>1741</v>
      </c>
      <c r="Y997" s="276" t="str">
        <f t="shared" si="2032"/>
        <v>Obsolete</v>
      </c>
      <c r="Z997" s="11">
        <f t="shared" si="2033"/>
        <v>41899</v>
      </c>
      <c r="AA997" s="276" t="str">
        <f t="shared" si="2034"/>
        <v>2014 - 38</v>
      </c>
      <c r="AB997" s="276">
        <f t="shared" si="2035"/>
        <v>2014</v>
      </c>
    </row>
    <row r="998" spans="2:28" x14ac:dyDescent="0.25">
      <c r="B998" s="66">
        <v>41899</v>
      </c>
      <c r="C998" s="66">
        <v>41899</v>
      </c>
      <c r="D998" s="68">
        <f t="shared" ref="D998" si="2048">IF(B998&gt;0,MONTH(B998),"False")</f>
        <v>9</v>
      </c>
      <c r="E998" s="66" t="str">
        <f t="shared" ref="E998" si="2049">YEAR(B998) &amp; CHOOSE(D998,"-Jan","-Feb","-Mar","-Apr","-May","-Jun","-Jul","-Aug","-Sep","-Oct","-Nov","-Dec")</f>
        <v>2014-Sep</v>
      </c>
      <c r="F998" s="68">
        <f t="shared" ref="F998" si="2050">IF(C998&gt;0,MONTH(C998),"False")</f>
        <v>9</v>
      </c>
      <c r="G998" s="280" t="s">
        <v>87</v>
      </c>
      <c r="H998" s="280" t="s">
        <v>166</v>
      </c>
      <c r="J998" s="280" t="s">
        <v>78</v>
      </c>
      <c r="K998" s="280" t="s">
        <v>78</v>
      </c>
      <c r="L998" s="280" t="s">
        <v>83</v>
      </c>
      <c r="M998" s="1" t="s">
        <v>1742</v>
      </c>
      <c r="N998" s="280" t="s">
        <v>124</v>
      </c>
      <c r="O998" s="280" t="s">
        <v>287</v>
      </c>
      <c r="R998" s="64" t="s">
        <v>1743</v>
      </c>
      <c r="Y998" s="276" t="str">
        <f t="shared" si="2032"/>
        <v>Unknown</v>
      </c>
      <c r="Z998" s="11" t="str">
        <f t="shared" si="2033"/>
        <v/>
      </c>
      <c r="AA998" s="276" t="str">
        <f t="shared" si="2034"/>
        <v/>
      </c>
      <c r="AB998" s="276" t="str">
        <f t="shared" si="2035"/>
        <v/>
      </c>
    </row>
    <row r="999" spans="2:28" x14ac:dyDescent="0.25">
      <c r="B999" s="66">
        <v>41899</v>
      </c>
      <c r="C999" s="66">
        <v>41899</v>
      </c>
      <c r="D999" s="68">
        <f t="shared" ref="D999:D1000" si="2051">IF(B999&gt;0,MONTH(B999),"False")</f>
        <v>9</v>
      </c>
      <c r="E999" s="66" t="str">
        <f t="shared" ref="E999:E1000" si="2052">YEAR(B999) &amp; CHOOSE(D999,"-Jan","-Feb","-Mar","-Apr","-May","-Jun","-Jul","-Aug","-Sep","-Oct","-Nov","-Dec")</f>
        <v>2014-Sep</v>
      </c>
      <c r="F999" s="68">
        <f t="shared" ref="F999:F1000" si="2053">IF(C999&gt;0,MONTH(C999),"False")</f>
        <v>9</v>
      </c>
      <c r="G999" s="291" t="s">
        <v>112</v>
      </c>
      <c r="H999" s="1" t="s">
        <v>1745</v>
      </c>
      <c r="J999" s="280" t="s">
        <v>78</v>
      </c>
      <c r="K999" s="280" t="s">
        <v>78</v>
      </c>
      <c r="L999" s="280" t="s">
        <v>83</v>
      </c>
      <c r="M999" s="280" t="s">
        <v>1744</v>
      </c>
      <c r="N999" s="280" t="s">
        <v>124</v>
      </c>
      <c r="O999" s="280" t="s">
        <v>1746</v>
      </c>
      <c r="R999" s="64" t="s">
        <v>1747</v>
      </c>
      <c r="S999" s="291" t="s">
        <v>104</v>
      </c>
      <c r="T999" s="67" t="s">
        <v>110</v>
      </c>
      <c r="X999" s="291" t="s">
        <v>1820</v>
      </c>
      <c r="Y999" s="276" t="str">
        <f t="shared" si="2032"/>
        <v>Pass</v>
      </c>
      <c r="Z999" s="11" t="str">
        <f t="shared" si="2033"/>
        <v/>
      </c>
      <c r="AA999" s="276" t="str">
        <f t="shared" si="2034"/>
        <v/>
      </c>
      <c r="AB999" s="276" t="str">
        <f t="shared" si="2035"/>
        <v/>
      </c>
    </row>
    <row r="1000" spans="2:28" x14ac:dyDescent="0.25">
      <c r="B1000" s="65">
        <v>41899</v>
      </c>
      <c r="C1000" s="66">
        <v>41899</v>
      </c>
      <c r="D1000" s="68">
        <f t="shared" si="2051"/>
        <v>9</v>
      </c>
      <c r="E1000" s="66" t="str">
        <f t="shared" si="2052"/>
        <v>2014-Sep</v>
      </c>
      <c r="F1000" s="68">
        <f t="shared" si="2053"/>
        <v>9</v>
      </c>
      <c r="G1000" s="287" t="s">
        <v>105</v>
      </c>
      <c r="H1000" s="280" t="s">
        <v>280</v>
      </c>
      <c r="J1000" s="280" t="s">
        <v>81</v>
      </c>
      <c r="K1000" s="280" t="s">
        <v>82</v>
      </c>
      <c r="L1000" s="280" t="s">
        <v>79</v>
      </c>
      <c r="M1000" s="1" t="s">
        <v>1748</v>
      </c>
      <c r="N1000" s="280" t="s">
        <v>124</v>
      </c>
      <c r="O1000" s="280" t="s">
        <v>286</v>
      </c>
      <c r="P1000" s="64" t="s">
        <v>305</v>
      </c>
      <c r="R1000" s="64" t="s">
        <v>1559</v>
      </c>
      <c r="S1000" s="287" t="s">
        <v>104</v>
      </c>
      <c r="X1000" s="287" t="s">
        <v>544</v>
      </c>
      <c r="Y1000" s="276" t="str">
        <f t="shared" si="2032"/>
        <v>Pass</v>
      </c>
      <c r="Z1000" s="11" t="str">
        <f t="shared" si="2033"/>
        <v/>
      </c>
      <c r="AA1000" s="276" t="str">
        <f t="shared" si="2034"/>
        <v/>
      </c>
      <c r="AB1000" s="276" t="str">
        <f t="shared" si="2035"/>
        <v/>
      </c>
    </row>
    <row r="1001" spans="2:28" x14ac:dyDescent="0.25">
      <c r="B1001" s="66">
        <v>41899</v>
      </c>
      <c r="C1001" s="66">
        <v>41899</v>
      </c>
      <c r="D1001" s="68">
        <f t="shared" ref="D1001:D1002" si="2054">IF(B1001&gt;0,MONTH(B1001),"False")</f>
        <v>9</v>
      </c>
      <c r="E1001" s="66" t="str">
        <f t="shared" ref="E1001:E1002" si="2055">YEAR(B1001) &amp; CHOOSE(D1001,"-Jan","-Feb","-Mar","-Apr","-May","-Jun","-Jul","-Aug","-Sep","-Oct","-Nov","-Dec")</f>
        <v>2014-Sep</v>
      </c>
      <c r="F1001" s="68">
        <f t="shared" ref="F1001:F1002" si="2056">IF(C1001&gt;0,MONTH(C1001),"False")</f>
        <v>9</v>
      </c>
      <c r="G1001" s="292" t="s">
        <v>112</v>
      </c>
      <c r="H1001" s="280" t="s">
        <v>103</v>
      </c>
      <c r="J1001" s="280" t="s">
        <v>150</v>
      </c>
      <c r="K1001" s="280" t="s">
        <v>84</v>
      </c>
      <c r="L1001" s="280" t="s">
        <v>79</v>
      </c>
      <c r="M1001" s="1" t="s">
        <v>1749</v>
      </c>
      <c r="N1001" s="280" t="s">
        <v>124</v>
      </c>
      <c r="O1001" s="280" t="s">
        <v>325</v>
      </c>
      <c r="R1001" s="64" t="s">
        <v>357</v>
      </c>
      <c r="S1001" s="292" t="s">
        <v>104</v>
      </c>
      <c r="X1001" s="292" t="s">
        <v>1474</v>
      </c>
      <c r="Y1001" s="276" t="str">
        <f t="shared" si="2032"/>
        <v>Pass</v>
      </c>
      <c r="Z1001" s="11" t="str">
        <f t="shared" si="2033"/>
        <v/>
      </c>
      <c r="AA1001" s="276" t="str">
        <f t="shared" si="2034"/>
        <v/>
      </c>
      <c r="AB1001" s="276" t="str">
        <f t="shared" si="2035"/>
        <v/>
      </c>
    </row>
    <row r="1002" spans="2:28" x14ac:dyDescent="0.25">
      <c r="B1002" s="65">
        <v>41900</v>
      </c>
      <c r="C1002" s="66">
        <v>41900</v>
      </c>
      <c r="D1002" s="68">
        <f t="shared" si="2054"/>
        <v>9</v>
      </c>
      <c r="E1002" s="66" t="str">
        <f t="shared" si="2055"/>
        <v>2014-Sep</v>
      </c>
      <c r="F1002" s="68">
        <f t="shared" si="2056"/>
        <v>9</v>
      </c>
      <c r="G1002" s="281" t="s">
        <v>121</v>
      </c>
      <c r="H1002" s="281" t="s">
        <v>166</v>
      </c>
      <c r="J1002" s="281" t="s">
        <v>120</v>
      </c>
      <c r="K1002" s="281" t="s">
        <v>82</v>
      </c>
      <c r="L1002" s="281" t="s">
        <v>79</v>
      </c>
      <c r="M1002" s="1" t="s">
        <v>1750</v>
      </c>
      <c r="N1002" s="281" t="s">
        <v>124</v>
      </c>
      <c r="O1002" s="281" t="s">
        <v>1368</v>
      </c>
      <c r="P1002" s="64" t="s">
        <v>557</v>
      </c>
      <c r="R1002" s="64" t="s">
        <v>594</v>
      </c>
      <c r="S1002" s="281" t="s">
        <v>104</v>
      </c>
      <c r="X1002" s="281" t="s">
        <v>158</v>
      </c>
      <c r="Y1002" s="276" t="str">
        <f t="shared" si="2032"/>
        <v>Pass</v>
      </c>
      <c r="Z1002" s="11" t="str">
        <f t="shared" si="2033"/>
        <v/>
      </c>
      <c r="AA1002" s="276" t="str">
        <f t="shared" si="2034"/>
        <v/>
      </c>
      <c r="AB1002" s="276" t="str">
        <f t="shared" si="2035"/>
        <v/>
      </c>
    </row>
    <row r="1003" spans="2:28" x14ac:dyDescent="0.25">
      <c r="B1003" s="65">
        <v>41900</v>
      </c>
      <c r="C1003" s="66">
        <v>41900</v>
      </c>
      <c r="D1003" s="68">
        <f t="shared" ref="D1003" si="2057">IF(B1003&gt;0,MONTH(B1003),"False")</f>
        <v>9</v>
      </c>
      <c r="E1003" s="66" t="str">
        <f t="shared" ref="E1003" si="2058">YEAR(B1003) &amp; CHOOSE(D1003,"-Jan","-Feb","-Mar","-Apr","-May","-Jun","-Jul","-Aug","-Sep","-Oct","-Nov","-Dec")</f>
        <v>2014-Sep</v>
      </c>
      <c r="F1003" s="68">
        <f t="shared" ref="F1003" si="2059">IF(C1003&gt;0,MONTH(C1003),"False")</f>
        <v>9</v>
      </c>
      <c r="G1003" s="283" t="s">
        <v>121</v>
      </c>
      <c r="H1003" s="281" t="s">
        <v>136</v>
      </c>
      <c r="J1003" s="281" t="s">
        <v>77</v>
      </c>
      <c r="K1003" s="281" t="s">
        <v>82</v>
      </c>
      <c r="L1003" s="281" t="s">
        <v>79</v>
      </c>
      <c r="M1003" s="1" t="s">
        <v>1751</v>
      </c>
      <c r="N1003" s="281" t="s">
        <v>124</v>
      </c>
      <c r="O1003" s="281" t="s">
        <v>507</v>
      </c>
      <c r="P1003" s="64" t="s">
        <v>750</v>
      </c>
      <c r="R1003" s="64" t="s">
        <v>1513</v>
      </c>
      <c r="S1003" s="283" t="s">
        <v>104</v>
      </c>
      <c r="X1003" s="283" t="s">
        <v>159</v>
      </c>
      <c r="Y1003" s="276" t="str">
        <f t="shared" si="2032"/>
        <v>Pass</v>
      </c>
      <c r="Z1003" s="11" t="str">
        <f t="shared" si="2033"/>
        <v/>
      </c>
      <c r="AA1003" s="276" t="str">
        <f t="shared" si="2034"/>
        <v/>
      </c>
      <c r="AB1003" s="276" t="str">
        <f t="shared" si="2035"/>
        <v/>
      </c>
    </row>
    <row r="1004" spans="2:28" x14ac:dyDescent="0.25">
      <c r="B1004" s="65">
        <v>41900</v>
      </c>
      <c r="C1004" s="66">
        <v>41900</v>
      </c>
      <c r="D1004" s="68">
        <f t="shared" ref="D1004:D1007" si="2060">IF(B1004&gt;0,MONTH(B1004),"False")</f>
        <v>9</v>
      </c>
      <c r="E1004" s="66" t="str">
        <f t="shared" ref="E1004:E1007" si="2061">YEAR(B1004) &amp; CHOOSE(D1004,"-Jan","-Feb","-Mar","-Apr","-May","-Jun","-Jul","-Aug","-Sep","-Oct","-Nov","-Dec")</f>
        <v>2014-Sep</v>
      </c>
      <c r="F1004" s="68">
        <f t="shared" ref="F1004:F1007" si="2062">IF(C1004&gt;0,MONTH(C1004),"False")</f>
        <v>9</v>
      </c>
      <c r="G1004" s="281" t="s">
        <v>93</v>
      </c>
      <c r="H1004" s="281" t="s">
        <v>136</v>
      </c>
      <c r="I1004" s="281"/>
      <c r="J1004" s="281" t="s">
        <v>120</v>
      </c>
      <c r="K1004" s="281" t="s">
        <v>82</v>
      </c>
      <c r="L1004" s="281" t="s">
        <v>79</v>
      </c>
      <c r="M1004" s="1" t="s">
        <v>1752</v>
      </c>
      <c r="N1004" s="281" t="s">
        <v>124</v>
      </c>
      <c r="O1004" s="281" t="s">
        <v>1368</v>
      </c>
      <c r="P1004" s="64" t="s">
        <v>750</v>
      </c>
      <c r="R1004" s="64" t="s">
        <v>1513</v>
      </c>
      <c r="Y1004" s="276" t="str">
        <f t="shared" si="2032"/>
        <v>Unknown</v>
      </c>
      <c r="Z1004" s="11" t="str">
        <f t="shared" si="2033"/>
        <v/>
      </c>
      <c r="AA1004" s="276" t="str">
        <f t="shared" si="2034"/>
        <v/>
      </c>
      <c r="AB1004" s="276" t="str">
        <f t="shared" si="2035"/>
        <v/>
      </c>
    </row>
    <row r="1005" spans="2:28" x14ac:dyDescent="0.25">
      <c r="B1005" s="66">
        <v>41901</v>
      </c>
      <c r="C1005" s="66">
        <v>41901</v>
      </c>
      <c r="D1005" s="68">
        <f t="shared" si="2060"/>
        <v>9</v>
      </c>
      <c r="E1005" s="66" t="str">
        <f t="shared" si="2061"/>
        <v>2014-Sep</v>
      </c>
      <c r="F1005" s="68">
        <f t="shared" si="2062"/>
        <v>9</v>
      </c>
      <c r="G1005" s="282" t="s">
        <v>87</v>
      </c>
      <c r="H1005" s="282" t="s">
        <v>280</v>
      </c>
      <c r="J1005" s="282" t="s">
        <v>78</v>
      </c>
      <c r="K1005" s="282" t="s">
        <v>78</v>
      </c>
      <c r="L1005" s="282" t="s">
        <v>79</v>
      </c>
      <c r="M1005" s="1" t="s">
        <v>1753</v>
      </c>
      <c r="N1005" s="282" t="s">
        <v>124</v>
      </c>
      <c r="O1005" s="282" t="s">
        <v>304</v>
      </c>
      <c r="R1005" s="64" t="s">
        <v>344</v>
      </c>
      <c r="S1005" s="286" t="s">
        <v>104</v>
      </c>
      <c r="Y1005" s="276" t="str">
        <f t="shared" si="2032"/>
        <v>Pass</v>
      </c>
      <c r="Z1005" s="11" t="str">
        <f t="shared" si="2033"/>
        <v/>
      </c>
      <c r="AA1005" s="276" t="str">
        <f t="shared" si="2034"/>
        <v/>
      </c>
      <c r="AB1005" s="276" t="str">
        <f t="shared" si="2035"/>
        <v/>
      </c>
    </row>
    <row r="1006" spans="2:28" x14ac:dyDescent="0.25">
      <c r="B1006" s="65">
        <v>41901</v>
      </c>
      <c r="C1006" s="66">
        <v>41901</v>
      </c>
      <c r="D1006" s="68">
        <f t="shared" si="2060"/>
        <v>9</v>
      </c>
      <c r="E1006" s="66" t="str">
        <f t="shared" si="2061"/>
        <v>2014-Sep</v>
      </c>
      <c r="F1006" s="68">
        <f t="shared" si="2062"/>
        <v>9</v>
      </c>
      <c r="G1006" s="290" t="s">
        <v>105</v>
      </c>
      <c r="H1006" s="282" t="s">
        <v>280</v>
      </c>
      <c r="I1006" s="282"/>
      <c r="J1006" s="282" t="s">
        <v>81</v>
      </c>
      <c r="K1006" s="282" t="s">
        <v>82</v>
      </c>
      <c r="L1006" s="282" t="s">
        <v>79</v>
      </c>
      <c r="M1006" s="1" t="s">
        <v>1754</v>
      </c>
      <c r="N1006" s="282" t="s">
        <v>124</v>
      </c>
      <c r="O1006" s="282" t="s">
        <v>116</v>
      </c>
      <c r="P1006" s="64" t="s">
        <v>305</v>
      </c>
      <c r="R1006" s="64" t="s">
        <v>1559</v>
      </c>
      <c r="S1006" s="290" t="s">
        <v>104</v>
      </c>
      <c r="X1006" s="290" t="s">
        <v>544</v>
      </c>
      <c r="Y1006" s="276" t="str">
        <f t="shared" si="2032"/>
        <v>Pass</v>
      </c>
      <c r="Z1006" s="11" t="str">
        <f t="shared" si="2033"/>
        <v/>
      </c>
      <c r="AA1006" s="276" t="str">
        <f t="shared" si="2034"/>
        <v/>
      </c>
      <c r="AB1006" s="276" t="str">
        <f t="shared" si="2035"/>
        <v/>
      </c>
    </row>
    <row r="1007" spans="2:28" x14ac:dyDescent="0.25">
      <c r="B1007" s="65">
        <v>41901</v>
      </c>
      <c r="C1007" s="66">
        <v>41901</v>
      </c>
      <c r="D1007" s="68">
        <f t="shared" si="2060"/>
        <v>9</v>
      </c>
      <c r="E1007" s="66" t="str">
        <f t="shared" si="2061"/>
        <v>2014-Sep</v>
      </c>
      <c r="F1007" s="68">
        <f t="shared" si="2062"/>
        <v>9</v>
      </c>
      <c r="G1007" s="290" t="s">
        <v>105</v>
      </c>
      <c r="H1007" s="282" t="s">
        <v>280</v>
      </c>
      <c r="I1007" s="282"/>
      <c r="J1007" s="282" t="s">
        <v>146</v>
      </c>
      <c r="K1007" s="282" t="s">
        <v>82</v>
      </c>
      <c r="L1007" s="282" t="s">
        <v>79</v>
      </c>
      <c r="M1007" s="282" t="s">
        <v>1755</v>
      </c>
      <c r="N1007" s="282" t="s">
        <v>124</v>
      </c>
      <c r="O1007" s="282" t="s">
        <v>116</v>
      </c>
      <c r="P1007" s="64" t="s">
        <v>305</v>
      </c>
      <c r="R1007" s="64" t="s">
        <v>1559</v>
      </c>
      <c r="S1007" s="290" t="s">
        <v>104</v>
      </c>
      <c r="X1007" s="290" t="s">
        <v>544</v>
      </c>
      <c r="Y1007" s="276" t="str">
        <f t="shared" si="2032"/>
        <v>Pass</v>
      </c>
      <c r="Z1007" s="11" t="str">
        <f t="shared" si="2033"/>
        <v/>
      </c>
      <c r="AA1007" s="276" t="str">
        <f t="shared" si="2034"/>
        <v/>
      </c>
      <c r="AB1007" s="276" t="str">
        <f t="shared" si="2035"/>
        <v/>
      </c>
    </row>
    <row r="1008" spans="2:28" x14ac:dyDescent="0.25">
      <c r="B1008" s="66">
        <v>41901</v>
      </c>
      <c r="C1008" s="66">
        <v>41901</v>
      </c>
      <c r="D1008" s="68">
        <f t="shared" ref="D1008:D1009" si="2063">IF(B1008&gt;0,MONTH(B1008),"False")</f>
        <v>9</v>
      </c>
      <c r="E1008" s="66" t="str">
        <f t="shared" ref="E1008:E1009" si="2064">YEAR(B1008) &amp; CHOOSE(D1008,"-Jan","-Feb","-Mar","-Apr","-May","-Jun","-Jul","-Aug","-Sep","-Oct","-Nov","-Dec")</f>
        <v>2014-Sep</v>
      </c>
      <c r="F1008" s="68">
        <f t="shared" ref="F1008:F1009" si="2065">IF(C1008&gt;0,MONTH(C1008),"False")</f>
        <v>9</v>
      </c>
      <c r="G1008" s="283" t="s">
        <v>112</v>
      </c>
      <c r="H1008" s="282" t="s">
        <v>136</v>
      </c>
      <c r="J1008" s="282" t="s">
        <v>149</v>
      </c>
      <c r="K1008" s="282" t="s">
        <v>84</v>
      </c>
      <c r="L1008" s="282" t="s">
        <v>79</v>
      </c>
      <c r="M1008" s="1" t="s">
        <v>1756</v>
      </c>
      <c r="N1008" s="282" t="s">
        <v>124</v>
      </c>
      <c r="O1008" s="282" t="s">
        <v>299</v>
      </c>
      <c r="R1008" s="64" t="s">
        <v>1611</v>
      </c>
      <c r="S1008" s="283" t="s">
        <v>104</v>
      </c>
      <c r="X1008" s="283" t="s">
        <v>159</v>
      </c>
      <c r="Y1008" s="276" t="str">
        <f t="shared" si="2032"/>
        <v>Pass</v>
      </c>
      <c r="Z1008" s="11" t="str">
        <f t="shared" si="2033"/>
        <v/>
      </c>
      <c r="AA1008" s="276" t="str">
        <f t="shared" si="2034"/>
        <v/>
      </c>
      <c r="AB1008" s="276" t="str">
        <f t="shared" si="2035"/>
        <v/>
      </c>
    </row>
    <row r="1009" spans="2:28" x14ac:dyDescent="0.25">
      <c r="B1009" s="65">
        <v>41901</v>
      </c>
      <c r="C1009" s="66">
        <v>41901</v>
      </c>
      <c r="D1009" s="68">
        <f t="shared" si="2063"/>
        <v>9</v>
      </c>
      <c r="E1009" s="66" t="str">
        <f t="shared" si="2064"/>
        <v>2014-Sep</v>
      </c>
      <c r="F1009" s="68">
        <f t="shared" si="2065"/>
        <v>9</v>
      </c>
      <c r="G1009" s="282" t="s">
        <v>93</v>
      </c>
      <c r="H1009" s="282" t="s">
        <v>136</v>
      </c>
      <c r="J1009" s="282" t="s">
        <v>120</v>
      </c>
      <c r="K1009" s="282" t="s">
        <v>82</v>
      </c>
      <c r="L1009" s="282" t="s">
        <v>79</v>
      </c>
      <c r="M1009" s="1" t="s">
        <v>1757</v>
      </c>
      <c r="N1009" s="282" t="s">
        <v>124</v>
      </c>
      <c r="O1009" s="282" t="s">
        <v>1368</v>
      </c>
      <c r="P1009" s="64" t="s">
        <v>750</v>
      </c>
      <c r="R1009" s="64" t="s">
        <v>1513</v>
      </c>
      <c r="Y1009" s="276" t="str">
        <f t="shared" si="2032"/>
        <v>Unknown</v>
      </c>
      <c r="Z1009" s="11" t="str">
        <f t="shared" si="2033"/>
        <v/>
      </c>
      <c r="AA1009" s="276" t="str">
        <f t="shared" si="2034"/>
        <v/>
      </c>
      <c r="AB1009" s="276" t="str">
        <f t="shared" si="2035"/>
        <v/>
      </c>
    </row>
    <row r="1010" spans="2:28" x14ac:dyDescent="0.25">
      <c r="B1010" s="66">
        <v>41901</v>
      </c>
      <c r="C1010" s="66">
        <v>41901</v>
      </c>
      <c r="D1010" s="68">
        <f t="shared" ref="D1010" si="2066">IF(B1010&gt;0,MONTH(B1010),"False")</f>
        <v>9</v>
      </c>
      <c r="E1010" s="66" t="str">
        <f t="shared" ref="E1010" si="2067">YEAR(B1010) &amp; CHOOSE(D1010,"-Jan","-Feb","-Mar","-Apr","-May","-Jun","-Jul","-Aug","-Sep","-Oct","-Nov","-Dec")</f>
        <v>2014-Sep</v>
      </c>
      <c r="F1010" s="68">
        <f t="shared" ref="F1010" si="2068">IF(C1010&gt;0,MONTH(C1010),"False")</f>
        <v>9</v>
      </c>
      <c r="G1010" s="282" t="s">
        <v>87</v>
      </c>
      <c r="H1010" s="282" t="s">
        <v>115</v>
      </c>
      <c r="J1010" s="282" t="s">
        <v>150</v>
      </c>
      <c r="K1010" s="282" t="s">
        <v>84</v>
      </c>
      <c r="L1010" s="282" t="s">
        <v>83</v>
      </c>
      <c r="M1010" s="282" t="s">
        <v>1759</v>
      </c>
      <c r="N1010" s="282" t="s">
        <v>124</v>
      </c>
      <c r="O1010" s="282" t="s">
        <v>325</v>
      </c>
      <c r="R1010" s="64" t="s">
        <v>1760</v>
      </c>
      <c r="T1010" s="67" t="s">
        <v>110</v>
      </c>
      <c r="Y1010" s="276" t="str">
        <f t="shared" si="2032"/>
        <v>Unknown</v>
      </c>
      <c r="Z1010" s="11" t="str">
        <f t="shared" si="2033"/>
        <v/>
      </c>
      <c r="AA1010" s="276" t="str">
        <f t="shared" si="2034"/>
        <v/>
      </c>
      <c r="AB1010" s="276" t="str">
        <f t="shared" si="2035"/>
        <v/>
      </c>
    </row>
    <row r="1011" spans="2:28" x14ac:dyDescent="0.25">
      <c r="B1011" s="66">
        <v>41902</v>
      </c>
      <c r="C1011" s="66">
        <v>41902</v>
      </c>
      <c r="D1011" s="68">
        <f t="shared" ref="D1011" si="2069">IF(B1011&gt;0,MONTH(B1011),"False")</f>
        <v>9</v>
      </c>
      <c r="E1011" s="66" t="str">
        <f t="shared" ref="E1011" si="2070">YEAR(B1011) &amp; CHOOSE(D1011,"-Jan","-Feb","-Mar","-Apr","-May","-Jun","-Jul","-Aug","-Sep","-Oct","-Nov","-Dec")</f>
        <v>2014-Sep</v>
      </c>
      <c r="F1011" s="68">
        <f t="shared" ref="F1011" si="2071">IF(C1011&gt;0,MONTH(C1011),"False")</f>
        <v>9</v>
      </c>
      <c r="G1011" s="282" t="s">
        <v>87</v>
      </c>
      <c r="H1011" s="282" t="s">
        <v>115</v>
      </c>
      <c r="I1011" s="282"/>
      <c r="J1011" s="282" t="s">
        <v>149</v>
      </c>
      <c r="K1011" s="282" t="s">
        <v>84</v>
      </c>
      <c r="L1011" s="282" t="s">
        <v>83</v>
      </c>
      <c r="M1011" s="1" t="s">
        <v>1761</v>
      </c>
      <c r="N1011" s="282" t="s">
        <v>124</v>
      </c>
      <c r="O1011" s="282" t="s">
        <v>325</v>
      </c>
      <c r="P1011" s="282"/>
      <c r="R1011" s="64" t="s">
        <v>1760</v>
      </c>
      <c r="S1011" s="282"/>
      <c r="T1011" s="67" t="s">
        <v>110</v>
      </c>
      <c r="Y1011" s="276" t="str">
        <f t="shared" si="2032"/>
        <v>Unknown</v>
      </c>
      <c r="Z1011" s="11" t="str">
        <f t="shared" si="2033"/>
        <v/>
      </c>
      <c r="AA1011" s="276" t="str">
        <f t="shared" si="2034"/>
        <v/>
      </c>
      <c r="AB1011" s="276" t="str">
        <f t="shared" si="2035"/>
        <v/>
      </c>
    </row>
    <row r="1012" spans="2:28" x14ac:dyDescent="0.25">
      <c r="B1012" s="65">
        <v>41902</v>
      </c>
      <c r="C1012" s="66">
        <v>41902</v>
      </c>
      <c r="D1012" s="68">
        <f t="shared" ref="D1012:D1013" si="2072">IF(B1012&gt;0,MONTH(B1012),"False")</f>
        <v>9</v>
      </c>
      <c r="E1012" s="66" t="str">
        <f t="shared" ref="E1012:E1013" si="2073">YEAR(B1012) &amp; CHOOSE(D1012,"-Jan","-Feb","-Mar","-Apr","-May","-Jun","-Jul","-Aug","-Sep","-Oct","-Nov","-Dec")</f>
        <v>2014-Sep</v>
      </c>
      <c r="F1012" s="68">
        <f t="shared" ref="F1012:F1013" si="2074">IF(C1012&gt;0,MONTH(C1012),"False")</f>
        <v>9</v>
      </c>
      <c r="G1012" s="284" t="s">
        <v>105</v>
      </c>
      <c r="H1012" s="282" t="s">
        <v>280</v>
      </c>
      <c r="J1012" s="282" t="s">
        <v>146</v>
      </c>
      <c r="K1012" s="282" t="s">
        <v>82</v>
      </c>
      <c r="L1012" s="282" t="s">
        <v>79</v>
      </c>
      <c r="M1012" s="1" t="s">
        <v>1762</v>
      </c>
      <c r="N1012" s="282" t="s">
        <v>124</v>
      </c>
      <c r="O1012" s="283" t="s">
        <v>286</v>
      </c>
      <c r="P1012" s="64" t="s">
        <v>305</v>
      </c>
      <c r="R1012" s="64" t="s">
        <v>1559</v>
      </c>
      <c r="S1012" s="284" t="s">
        <v>104</v>
      </c>
      <c r="X1012" s="284" t="s">
        <v>544</v>
      </c>
      <c r="Y1012" s="276" t="str">
        <f t="shared" si="2032"/>
        <v>Pass</v>
      </c>
      <c r="Z1012" s="11" t="str">
        <f t="shared" si="2033"/>
        <v/>
      </c>
      <c r="AA1012" s="276" t="str">
        <f t="shared" si="2034"/>
        <v/>
      </c>
      <c r="AB1012" s="276" t="str">
        <f t="shared" si="2035"/>
        <v/>
      </c>
    </row>
    <row r="1013" spans="2:28" x14ac:dyDescent="0.25">
      <c r="B1013" s="65">
        <v>41904</v>
      </c>
      <c r="C1013" s="66">
        <v>41904</v>
      </c>
      <c r="D1013" s="68">
        <f t="shared" si="2072"/>
        <v>9</v>
      </c>
      <c r="E1013" s="66" t="str">
        <f t="shared" si="2073"/>
        <v>2014-Sep</v>
      </c>
      <c r="F1013" s="68">
        <f t="shared" si="2074"/>
        <v>9</v>
      </c>
      <c r="G1013" s="284" t="s">
        <v>105</v>
      </c>
      <c r="H1013" s="283" t="s">
        <v>280</v>
      </c>
      <c r="I1013" s="283"/>
      <c r="J1013" s="283" t="s">
        <v>81</v>
      </c>
      <c r="K1013" s="283" t="s">
        <v>82</v>
      </c>
      <c r="L1013" s="283" t="s">
        <v>79</v>
      </c>
      <c r="M1013" s="1" t="s">
        <v>1763</v>
      </c>
      <c r="N1013" s="283" t="s">
        <v>124</v>
      </c>
      <c r="O1013" s="283" t="s">
        <v>286</v>
      </c>
      <c r="P1013" s="64" t="s">
        <v>305</v>
      </c>
      <c r="R1013" s="64" t="s">
        <v>1559</v>
      </c>
      <c r="S1013" s="284" t="s">
        <v>104</v>
      </c>
      <c r="X1013" s="284" t="s">
        <v>544</v>
      </c>
      <c r="Y1013" s="276" t="str">
        <f t="shared" si="2032"/>
        <v>Pass</v>
      </c>
      <c r="Z1013" s="11" t="str">
        <f t="shared" si="2033"/>
        <v/>
      </c>
      <c r="AA1013" s="276" t="str">
        <f t="shared" si="2034"/>
        <v/>
      </c>
      <c r="AB1013" s="276" t="str">
        <f t="shared" si="2035"/>
        <v/>
      </c>
    </row>
    <row r="1014" spans="2:28" x14ac:dyDescent="0.25">
      <c r="B1014" s="66">
        <v>41904</v>
      </c>
      <c r="C1014" s="66">
        <v>41904</v>
      </c>
      <c r="D1014" s="68">
        <f t="shared" ref="D1014:D1015" si="2075">IF(B1014&gt;0,MONTH(B1014),"False")</f>
        <v>9</v>
      </c>
      <c r="E1014" s="66" t="str">
        <f t="shared" ref="E1014:E1015" si="2076">YEAR(B1014) &amp; CHOOSE(D1014,"-Jan","-Feb","-Mar","-Apr","-May","-Jun","-Jul","-Aug","-Sep","-Oct","-Nov","-Dec")</f>
        <v>2014-Sep</v>
      </c>
      <c r="F1014" s="68">
        <f t="shared" ref="F1014:F1015" si="2077">IF(C1014&gt;0,MONTH(C1014),"False")</f>
        <v>9</v>
      </c>
      <c r="G1014" s="292" t="s">
        <v>112</v>
      </c>
      <c r="H1014" s="283" t="s">
        <v>103</v>
      </c>
      <c r="J1014" s="283" t="s">
        <v>78</v>
      </c>
      <c r="K1014" s="283" t="s">
        <v>78</v>
      </c>
      <c r="L1014" s="283" t="s">
        <v>79</v>
      </c>
      <c r="M1014" s="1" t="s">
        <v>1764</v>
      </c>
      <c r="N1014" s="283" t="s">
        <v>124</v>
      </c>
      <c r="O1014" s="283" t="s">
        <v>332</v>
      </c>
      <c r="R1014" s="64" t="s">
        <v>475</v>
      </c>
      <c r="S1014" s="292" t="s">
        <v>104</v>
      </c>
      <c r="X1014" s="292" t="s">
        <v>1474</v>
      </c>
      <c r="Y1014" s="276" t="str">
        <f t="shared" si="2032"/>
        <v>Pass</v>
      </c>
      <c r="Z1014" s="11" t="str">
        <f t="shared" si="2033"/>
        <v/>
      </c>
      <c r="AA1014" s="276" t="str">
        <f t="shared" si="2034"/>
        <v/>
      </c>
      <c r="AB1014" s="276" t="str">
        <f t="shared" si="2035"/>
        <v/>
      </c>
    </row>
    <row r="1015" spans="2:28" x14ac:dyDescent="0.25">
      <c r="B1015" s="65">
        <v>41904</v>
      </c>
      <c r="C1015" s="66">
        <v>41904</v>
      </c>
      <c r="D1015" s="68">
        <f t="shared" si="2075"/>
        <v>9</v>
      </c>
      <c r="E1015" s="66" t="str">
        <f t="shared" si="2076"/>
        <v>2014-Sep</v>
      </c>
      <c r="F1015" s="68">
        <f t="shared" si="2077"/>
        <v>9</v>
      </c>
      <c r="G1015" s="287" t="s">
        <v>105</v>
      </c>
      <c r="H1015" s="283" t="s">
        <v>280</v>
      </c>
      <c r="I1015" s="283"/>
      <c r="J1015" s="283" t="s">
        <v>81</v>
      </c>
      <c r="K1015" s="283" t="s">
        <v>82</v>
      </c>
      <c r="L1015" s="283" t="s">
        <v>79</v>
      </c>
      <c r="M1015" s="1" t="s">
        <v>1765</v>
      </c>
      <c r="N1015" s="283" t="s">
        <v>124</v>
      </c>
      <c r="O1015" s="283" t="s">
        <v>286</v>
      </c>
      <c r="P1015" s="64" t="s">
        <v>305</v>
      </c>
      <c r="R1015" s="64" t="s">
        <v>1559</v>
      </c>
      <c r="S1015" s="287" t="s">
        <v>104</v>
      </c>
      <c r="X1015" s="287" t="s">
        <v>544</v>
      </c>
      <c r="Y1015" s="276" t="str">
        <f t="shared" si="2032"/>
        <v>Pass</v>
      </c>
      <c r="Z1015" s="11" t="str">
        <f t="shared" si="2033"/>
        <v/>
      </c>
      <c r="AA1015" s="276" t="str">
        <f t="shared" si="2034"/>
        <v/>
      </c>
      <c r="AB1015" s="276" t="str">
        <f t="shared" si="2035"/>
        <v/>
      </c>
    </row>
    <row r="1016" spans="2:28" x14ac:dyDescent="0.25">
      <c r="B1016" s="66">
        <v>41904</v>
      </c>
      <c r="C1016" s="66">
        <v>41904</v>
      </c>
      <c r="D1016" s="68">
        <f t="shared" ref="D1016" si="2078">IF(B1016&gt;0,MONTH(B1016),"False")</f>
        <v>9</v>
      </c>
      <c r="E1016" s="66" t="str">
        <f t="shared" ref="E1016" si="2079">YEAR(B1016) &amp; CHOOSE(D1016,"-Jan","-Feb","-Mar","-Apr","-May","-Jun","-Jul","-Aug","-Sep","-Oct","-Nov","-Dec")</f>
        <v>2014-Sep</v>
      </c>
      <c r="F1016" s="68">
        <f t="shared" ref="F1016" si="2080">IF(C1016&gt;0,MONTH(C1016),"False")</f>
        <v>9</v>
      </c>
      <c r="G1016" s="321" t="s">
        <v>112</v>
      </c>
      <c r="H1016" s="283" t="s">
        <v>28</v>
      </c>
      <c r="J1016" s="283" t="s">
        <v>78</v>
      </c>
      <c r="K1016" s="283" t="s">
        <v>78</v>
      </c>
      <c r="L1016" s="283" t="s">
        <v>79</v>
      </c>
      <c r="M1016" s="1" t="s">
        <v>1766</v>
      </c>
      <c r="N1016" s="283" t="s">
        <v>124</v>
      </c>
      <c r="O1016" s="283" t="s">
        <v>168</v>
      </c>
      <c r="R1016" s="64" t="s">
        <v>308</v>
      </c>
      <c r="S1016" s="321" t="s">
        <v>104</v>
      </c>
      <c r="X1016" s="321" t="s">
        <v>155</v>
      </c>
      <c r="Y1016" s="276" t="str">
        <f t="shared" si="2032"/>
        <v>Pass</v>
      </c>
      <c r="Z1016" s="11" t="str">
        <f t="shared" si="2033"/>
        <v/>
      </c>
      <c r="AA1016" s="276" t="str">
        <f t="shared" si="2034"/>
        <v/>
      </c>
      <c r="AB1016" s="276" t="str">
        <f t="shared" si="2035"/>
        <v/>
      </c>
    </row>
    <row r="1017" spans="2:28" x14ac:dyDescent="0.25">
      <c r="B1017" s="66">
        <v>41905</v>
      </c>
      <c r="C1017" s="66">
        <v>41905</v>
      </c>
      <c r="D1017" s="68">
        <f t="shared" ref="D1017" si="2081">IF(B1017&gt;0,MONTH(B1017),"False")</f>
        <v>9</v>
      </c>
      <c r="E1017" s="66" t="str">
        <f t="shared" ref="E1017" si="2082">YEAR(B1017) &amp; CHOOSE(D1017,"-Jan","-Feb","-Mar","-Apr","-May","-Jun","-Jul","-Aug","-Sep","-Oct","-Nov","-Dec")</f>
        <v>2014-Sep</v>
      </c>
      <c r="F1017" s="68">
        <f t="shared" ref="F1017" si="2083">IF(C1017&gt;0,MONTH(C1017),"False")</f>
        <v>9</v>
      </c>
      <c r="G1017" s="284" t="s">
        <v>87</v>
      </c>
      <c r="H1017" s="284" t="s">
        <v>115</v>
      </c>
      <c r="J1017" s="284" t="s">
        <v>77</v>
      </c>
      <c r="K1017" s="284" t="s">
        <v>82</v>
      </c>
      <c r="L1017" s="284" t="s">
        <v>83</v>
      </c>
      <c r="M1017" s="284" t="s">
        <v>1767</v>
      </c>
      <c r="N1017" s="284" t="s">
        <v>124</v>
      </c>
      <c r="O1017" s="284" t="s">
        <v>147</v>
      </c>
      <c r="R1017" s="64" t="s">
        <v>1768</v>
      </c>
      <c r="T1017" s="67" t="s">
        <v>110</v>
      </c>
      <c r="Y1017" s="276" t="str">
        <f t="shared" si="2032"/>
        <v>Unknown</v>
      </c>
      <c r="Z1017" s="11" t="str">
        <f t="shared" si="2033"/>
        <v/>
      </c>
      <c r="AA1017" s="276" t="str">
        <f t="shared" si="2034"/>
        <v/>
      </c>
      <c r="AB1017" s="276" t="str">
        <f t="shared" si="2035"/>
        <v/>
      </c>
    </row>
    <row r="1018" spans="2:28" x14ac:dyDescent="0.25">
      <c r="B1018" s="66">
        <v>41905</v>
      </c>
      <c r="C1018" s="66">
        <v>41905</v>
      </c>
      <c r="D1018" s="68">
        <f t="shared" ref="D1018:D1019" si="2084">IF(B1018&gt;0,MONTH(B1018),"False")</f>
        <v>9</v>
      </c>
      <c r="E1018" s="66" t="str">
        <f t="shared" ref="E1018:E1019" si="2085">YEAR(B1018) &amp; CHOOSE(D1018,"-Jan","-Feb","-Mar","-Apr","-May","-Jun","-Jul","-Aug","-Sep","-Oct","-Nov","-Dec")</f>
        <v>2014-Sep</v>
      </c>
      <c r="F1018" s="68">
        <f t="shared" ref="F1018:F1019" si="2086">IF(C1018&gt;0,MONTH(C1018),"False")</f>
        <v>9</v>
      </c>
      <c r="G1018" s="284" t="s">
        <v>87</v>
      </c>
      <c r="H1018" s="284" t="s">
        <v>115</v>
      </c>
      <c r="J1018" s="284" t="s">
        <v>78</v>
      </c>
      <c r="K1018" s="284" t="s">
        <v>78</v>
      </c>
      <c r="L1018" s="284" t="s">
        <v>83</v>
      </c>
      <c r="M1018" s="1" t="s">
        <v>1769</v>
      </c>
      <c r="N1018" s="284" t="s">
        <v>124</v>
      </c>
      <c r="O1018" s="284" t="s">
        <v>332</v>
      </c>
      <c r="R1018" s="64" t="s">
        <v>1770</v>
      </c>
      <c r="Y1018" s="276" t="str">
        <f t="shared" si="2032"/>
        <v>Unknown</v>
      </c>
      <c r="Z1018" s="11" t="str">
        <f t="shared" si="2033"/>
        <v/>
      </c>
      <c r="AA1018" s="276" t="str">
        <f t="shared" si="2034"/>
        <v/>
      </c>
      <c r="AB1018" s="276" t="str">
        <f t="shared" si="2035"/>
        <v/>
      </c>
    </row>
    <row r="1019" spans="2:28" x14ac:dyDescent="0.25">
      <c r="B1019" s="65">
        <v>41905</v>
      </c>
      <c r="C1019" s="66">
        <v>41905</v>
      </c>
      <c r="D1019" s="68">
        <f t="shared" si="2084"/>
        <v>9</v>
      </c>
      <c r="E1019" s="66" t="str">
        <f t="shared" si="2085"/>
        <v>2014-Sep</v>
      </c>
      <c r="F1019" s="68">
        <f t="shared" si="2086"/>
        <v>9</v>
      </c>
      <c r="G1019" s="284" t="s">
        <v>93</v>
      </c>
      <c r="H1019" s="284" t="s">
        <v>115</v>
      </c>
      <c r="J1019" s="284" t="s">
        <v>77</v>
      </c>
      <c r="K1019" s="284" t="s">
        <v>82</v>
      </c>
      <c r="L1019" s="284" t="s">
        <v>79</v>
      </c>
      <c r="M1019" s="1" t="s">
        <v>1771</v>
      </c>
      <c r="N1019" s="284" t="s">
        <v>124</v>
      </c>
      <c r="O1019" s="284" t="s">
        <v>147</v>
      </c>
      <c r="P1019" s="64" t="s">
        <v>405</v>
      </c>
      <c r="R1019" s="64" t="s">
        <v>480</v>
      </c>
      <c r="Y1019" s="276" t="str">
        <f t="shared" si="2032"/>
        <v>Unknown</v>
      </c>
      <c r="Z1019" s="11" t="str">
        <f t="shared" si="2033"/>
        <v/>
      </c>
      <c r="AA1019" s="276" t="str">
        <f t="shared" si="2034"/>
        <v/>
      </c>
      <c r="AB1019" s="276" t="str">
        <f t="shared" si="2035"/>
        <v/>
      </c>
    </row>
    <row r="1020" spans="2:28" x14ac:dyDescent="0.25">
      <c r="B1020" s="65">
        <v>41905</v>
      </c>
      <c r="C1020" s="66">
        <v>41905</v>
      </c>
      <c r="D1020" s="68">
        <f t="shared" ref="D1020" si="2087">IF(B1020&gt;0,MONTH(B1020),"False")</f>
        <v>9</v>
      </c>
      <c r="E1020" s="66" t="str">
        <f t="shared" ref="E1020" si="2088">YEAR(B1020) &amp; CHOOSE(D1020,"-Jan","-Feb","-Mar","-Apr","-May","-Jun","-Jul","-Aug","-Sep","-Oct","-Nov","-Dec")</f>
        <v>2014-Sep</v>
      </c>
      <c r="F1020" s="68">
        <f t="shared" ref="F1020" si="2089">IF(C1020&gt;0,MONTH(C1020),"False")</f>
        <v>9</v>
      </c>
      <c r="G1020" s="290" t="s">
        <v>105</v>
      </c>
      <c r="H1020" s="284" t="s">
        <v>280</v>
      </c>
      <c r="J1020" s="284" t="s">
        <v>81</v>
      </c>
      <c r="K1020" s="284" t="s">
        <v>82</v>
      </c>
      <c r="L1020" s="284" t="s">
        <v>79</v>
      </c>
      <c r="M1020" s="1" t="s">
        <v>1772</v>
      </c>
      <c r="N1020" s="284" t="s">
        <v>124</v>
      </c>
      <c r="O1020" s="284" t="s">
        <v>286</v>
      </c>
      <c r="P1020" s="64" t="s">
        <v>305</v>
      </c>
      <c r="R1020" s="64" t="s">
        <v>1559</v>
      </c>
      <c r="S1020" s="290" t="s">
        <v>104</v>
      </c>
      <c r="X1020" s="290" t="s">
        <v>544</v>
      </c>
      <c r="Y1020" s="276" t="str">
        <f t="shared" si="2032"/>
        <v>Pass</v>
      </c>
      <c r="Z1020" s="11" t="str">
        <f t="shared" si="2033"/>
        <v/>
      </c>
      <c r="AA1020" s="276" t="str">
        <f t="shared" si="2034"/>
        <v/>
      </c>
      <c r="AB1020" s="276" t="str">
        <f t="shared" si="2035"/>
        <v/>
      </c>
    </row>
    <row r="1021" spans="2:28" x14ac:dyDescent="0.25">
      <c r="B1021" s="65">
        <v>41905</v>
      </c>
      <c r="C1021" s="66">
        <v>41905</v>
      </c>
      <c r="D1021" s="68">
        <f t="shared" ref="D1021" si="2090">IF(B1021&gt;0,MONTH(B1021),"False")</f>
        <v>9</v>
      </c>
      <c r="E1021" s="66" t="str">
        <f t="shared" ref="E1021" si="2091">YEAR(B1021) &amp; CHOOSE(D1021,"-Jan","-Feb","-Mar","-Apr","-May","-Jun","-Jul","-Aug","-Sep","-Oct","-Nov","-Dec")</f>
        <v>2014-Sep</v>
      </c>
      <c r="F1021" s="68">
        <f t="shared" ref="F1021" si="2092">IF(C1021&gt;0,MONTH(C1021),"False")</f>
        <v>9</v>
      </c>
      <c r="G1021" s="290" t="s">
        <v>105</v>
      </c>
      <c r="H1021" s="284" t="s">
        <v>280</v>
      </c>
      <c r="I1021" s="284"/>
      <c r="J1021" s="284" t="s">
        <v>146</v>
      </c>
      <c r="K1021" s="284" t="s">
        <v>82</v>
      </c>
      <c r="L1021" s="284" t="s">
        <v>79</v>
      </c>
      <c r="M1021" s="284" t="s">
        <v>1773</v>
      </c>
      <c r="N1021" s="284" t="s">
        <v>124</v>
      </c>
      <c r="O1021" s="284" t="s">
        <v>286</v>
      </c>
      <c r="P1021" s="64" t="s">
        <v>305</v>
      </c>
      <c r="R1021" s="64" t="s">
        <v>1559</v>
      </c>
      <c r="S1021" s="290" t="s">
        <v>104</v>
      </c>
      <c r="X1021" s="290" t="s">
        <v>544</v>
      </c>
      <c r="Y1021" s="276" t="str">
        <f t="shared" si="2032"/>
        <v>Pass</v>
      </c>
      <c r="Z1021" s="11" t="str">
        <f t="shared" si="2033"/>
        <v/>
      </c>
      <c r="AA1021" s="276" t="str">
        <f t="shared" si="2034"/>
        <v/>
      </c>
      <c r="AB1021" s="276" t="str">
        <f t="shared" si="2035"/>
        <v/>
      </c>
    </row>
    <row r="1022" spans="2:28" x14ac:dyDescent="0.25">
      <c r="B1022" s="65">
        <v>41906</v>
      </c>
      <c r="C1022" s="66">
        <v>41906</v>
      </c>
      <c r="D1022" s="68">
        <f t="shared" ref="D1022" si="2093">IF(B1022&gt;0,MONTH(B1022),"False")</f>
        <v>9</v>
      </c>
      <c r="E1022" s="66" t="str">
        <f t="shared" ref="E1022" si="2094">YEAR(B1022) &amp; CHOOSE(D1022,"-Jan","-Feb","-Mar","-Apr","-May","-Jun","-Jul","-Aug","-Sep","-Oct","-Nov","-Dec")</f>
        <v>2014-Sep</v>
      </c>
      <c r="F1022" s="68">
        <f t="shared" ref="F1022" si="2095">IF(C1022&gt;0,MONTH(C1022),"False")</f>
        <v>9</v>
      </c>
      <c r="G1022" s="285" t="s">
        <v>93</v>
      </c>
      <c r="H1022" s="285" t="s">
        <v>115</v>
      </c>
      <c r="J1022" s="285" t="s">
        <v>77</v>
      </c>
      <c r="K1022" s="285" t="s">
        <v>82</v>
      </c>
      <c r="L1022" s="285" t="s">
        <v>79</v>
      </c>
      <c r="M1022" s="1" t="s">
        <v>1774</v>
      </c>
      <c r="N1022" s="285" t="s">
        <v>124</v>
      </c>
      <c r="O1022" s="285" t="s">
        <v>147</v>
      </c>
      <c r="P1022" s="64" t="s">
        <v>405</v>
      </c>
      <c r="R1022" s="64" t="s">
        <v>480</v>
      </c>
      <c r="Y1022" s="276" t="str">
        <f t="shared" si="2032"/>
        <v>Unknown</v>
      </c>
      <c r="Z1022" s="11" t="str">
        <f t="shared" si="2033"/>
        <v/>
      </c>
      <c r="AA1022" s="276" t="str">
        <f t="shared" si="2034"/>
        <v/>
      </c>
      <c r="AB1022" s="276" t="str">
        <f t="shared" si="2035"/>
        <v/>
      </c>
    </row>
    <row r="1023" spans="2:28" x14ac:dyDescent="0.25">
      <c r="B1023" s="65">
        <v>41906</v>
      </c>
      <c r="C1023" s="66">
        <v>41906</v>
      </c>
      <c r="D1023" s="68">
        <f t="shared" ref="D1023" si="2096">IF(B1023&gt;0,MONTH(B1023),"False")</f>
        <v>9</v>
      </c>
      <c r="E1023" s="66" t="str">
        <f t="shared" ref="E1023" si="2097">YEAR(B1023) &amp; CHOOSE(D1023,"-Jan","-Feb","-Mar","-Apr","-May","-Jun","-Jul","-Aug","-Sep","-Oct","-Nov","-Dec")</f>
        <v>2014-Sep</v>
      </c>
      <c r="F1023" s="68">
        <f t="shared" ref="F1023" si="2098">IF(C1023&gt;0,MONTH(C1023),"False")</f>
        <v>9</v>
      </c>
      <c r="G1023" s="285" t="s">
        <v>93</v>
      </c>
      <c r="H1023" s="285" t="s">
        <v>115</v>
      </c>
      <c r="J1023" s="285" t="s">
        <v>119</v>
      </c>
      <c r="K1023" s="285" t="s">
        <v>119</v>
      </c>
      <c r="L1023" s="285" t="s">
        <v>83</v>
      </c>
      <c r="M1023" s="1" t="s">
        <v>1775</v>
      </c>
      <c r="N1023" s="285" t="s">
        <v>124</v>
      </c>
      <c r="O1023" s="285" t="s">
        <v>114</v>
      </c>
      <c r="P1023" s="64" t="s">
        <v>1776</v>
      </c>
      <c r="Q1023" s="2" t="s">
        <v>88</v>
      </c>
      <c r="R1023" s="64" t="s">
        <v>1777</v>
      </c>
      <c r="Y1023" s="276" t="str">
        <f t="shared" si="2032"/>
        <v>Obsolete</v>
      </c>
      <c r="Z1023" s="11">
        <f t="shared" si="2033"/>
        <v>41906</v>
      </c>
      <c r="AA1023" s="276" t="str">
        <f t="shared" si="2034"/>
        <v>2014 - 39</v>
      </c>
      <c r="AB1023" s="276">
        <f t="shared" si="2035"/>
        <v>2014</v>
      </c>
    </row>
    <row r="1024" spans="2:28" x14ac:dyDescent="0.25">
      <c r="B1024" s="65">
        <v>41906</v>
      </c>
      <c r="C1024" s="66">
        <v>41906</v>
      </c>
      <c r="D1024" s="68">
        <f t="shared" ref="D1024:D1027" si="2099">IF(B1024&gt;0,MONTH(B1024),"False")</f>
        <v>9</v>
      </c>
      <c r="E1024" s="66" t="str">
        <f t="shared" ref="E1024:E1027" si="2100">YEAR(B1024) &amp; CHOOSE(D1024,"-Jan","-Feb","-Mar","-Apr","-May","-Jun","-Jul","-Aug","-Sep","-Oct","-Nov","-Dec")</f>
        <v>2014-Sep</v>
      </c>
      <c r="F1024" s="68">
        <f t="shared" ref="F1024:F1027" si="2101">IF(C1024&gt;0,MONTH(C1024),"False")</f>
        <v>9</v>
      </c>
      <c r="G1024" s="285" t="s">
        <v>93</v>
      </c>
      <c r="H1024" s="285" t="s">
        <v>115</v>
      </c>
      <c r="I1024" s="285"/>
      <c r="J1024" s="285" t="s">
        <v>119</v>
      </c>
      <c r="K1024" s="285" t="s">
        <v>119</v>
      </c>
      <c r="L1024" s="285" t="s">
        <v>83</v>
      </c>
      <c r="M1024" s="285" t="s">
        <v>1778</v>
      </c>
      <c r="N1024" s="285" t="s">
        <v>124</v>
      </c>
      <c r="O1024" s="285" t="s">
        <v>114</v>
      </c>
      <c r="P1024" s="64" t="s">
        <v>1776</v>
      </c>
      <c r="Q1024" s="2" t="s">
        <v>88</v>
      </c>
      <c r="R1024" s="64" t="s">
        <v>1777</v>
      </c>
      <c r="Y1024" s="276" t="str">
        <f t="shared" si="2032"/>
        <v>Obsolete</v>
      </c>
      <c r="Z1024" s="11">
        <f t="shared" si="2033"/>
        <v>41906</v>
      </c>
      <c r="AA1024" s="276" t="str">
        <f t="shared" si="2034"/>
        <v>2014 - 39</v>
      </c>
      <c r="AB1024" s="276">
        <f t="shared" si="2035"/>
        <v>2014</v>
      </c>
    </row>
    <row r="1025" spans="2:28" x14ac:dyDescent="0.25">
      <c r="B1025" s="65">
        <v>41906</v>
      </c>
      <c r="C1025" s="66">
        <v>41906</v>
      </c>
      <c r="D1025" s="68">
        <f t="shared" si="2099"/>
        <v>9</v>
      </c>
      <c r="E1025" s="66" t="str">
        <f t="shared" si="2100"/>
        <v>2014-Sep</v>
      </c>
      <c r="F1025" s="68">
        <f t="shared" si="2101"/>
        <v>9</v>
      </c>
      <c r="G1025" s="285" t="s">
        <v>93</v>
      </c>
      <c r="H1025" s="285" t="s">
        <v>115</v>
      </c>
      <c r="I1025" s="285"/>
      <c r="J1025" s="285" t="s">
        <v>119</v>
      </c>
      <c r="K1025" s="285" t="s">
        <v>119</v>
      </c>
      <c r="L1025" s="285" t="s">
        <v>83</v>
      </c>
      <c r="M1025" s="285" t="s">
        <v>1779</v>
      </c>
      <c r="N1025" s="285" t="s">
        <v>124</v>
      </c>
      <c r="O1025" s="285" t="s">
        <v>114</v>
      </c>
      <c r="P1025" s="64" t="s">
        <v>1776</v>
      </c>
      <c r="Q1025" s="2" t="s">
        <v>88</v>
      </c>
      <c r="R1025" s="64" t="s">
        <v>1777</v>
      </c>
      <c r="Y1025" s="276" t="str">
        <f t="shared" si="2032"/>
        <v>Obsolete</v>
      </c>
      <c r="Z1025" s="11">
        <f t="shared" si="2033"/>
        <v>41906</v>
      </c>
      <c r="AA1025" s="276" t="str">
        <f t="shared" si="2034"/>
        <v>2014 - 39</v>
      </c>
      <c r="AB1025" s="276">
        <f t="shared" si="2035"/>
        <v>2014</v>
      </c>
    </row>
    <row r="1026" spans="2:28" x14ac:dyDescent="0.25">
      <c r="B1026" s="65">
        <v>41906</v>
      </c>
      <c r="C1026" s="66">
        <v>41906</v>
      </c>
      <c r="D1026" s="68">
        <f t="shared" si="2099"/>
        <v>9</v>
      </c>
      <c r="E1026" s="66" t="str">
        <f t="shared" si="2100"/>
        <v>2014-Sep</v>
      </c>
      <c r="F1026" s="68">
        <f t="shared" si="2101"/>
        <v>9</v>
      </c>
      <c r="G1026" s="285" t="s">
        <v>93</v>
      </c>
      <c r="H1026" s="285" t="s">
        <v>115</v>
      </c>
      <c r="I1026" s="285"/>
      <c r="J1026" s="285" t="s">
        <v>119</v>
      </c>
      <c r="K1026" s="285" t="s">
        <v>119</v>
      </c>
      <c r="L1026" s="285" t="s">
        <v>83</v>
      </c>
      <c r="M1026" s="285" t="s">
        <v>1780</v>
      </c>
      <c r="N1026" s="285" t="s">
        <v>124</v>
      </c>
      <c r="O1026" s="285" t="s">
        <v>114</v>
      </c>
      <c r="P1026" s="64" t="s">
        <v>1776</v>
      </c>
      <c r="Q1026" s="2" t="s">
        <v>88</v>
      </c>
      <c r="R1026" s="64" t="s">
        <v>1777</v>
      </c>
      <c r="Y1026" s="276" t="str">
        <f t="shared" si="2032"/>
        <v>Obsolete</v>
      </c>
      <c r="Z1026" s="11">
        <f t="shared" si="2033"/>
        <v>41906</v>
      </c>
      <c r="AA1026" s="276" t="str">
        <f t="shared" si="2034"/>
        <v>2014 - 39</v>
      </c>
      <c r="AB1026" s="276">
        <f t="shared" si="2035"/>
        <v>2014</v>
      </c>
    </row>
    <row r="1027" spans="2:28" x14ac:dyDescent="0.25">
      <c r="B1027" s="65">
        <v>41906</v>
      </c>
      <c r="C1027" s="66">
        <v>41906</v>
      </c>
      <c r="D1027" s="68">
        <f t="shared" si="2099"/>
        <v>9</v>
      </c>
      <c r="E1027" s="66" t="str">
        <f t="shared" si="2100"/>
        <v>2014-Sep</v>
      </c>
      <c r="F1027" s="68">
        <f t="shared" si="2101"/>
        <v>9</v>
      </c>
      <c r="G1027" s="285" t="s">
        <v>93</v>
      </c>
      <c r="H1027" s="285" t="s">
        <v>115</v>
      </c>
      <c r="I1027" s="285"/>
      <c r="J1027" s="285" t="s">
        <v>77</v>
      </c>
      <c r="K1027" s="285" t="s">
        <v>82</v>
      </c>
      <c r="L1027" s="285" t="s">
        <v>79</v>
      </c>
      <c r="M1027" s="285" t="s">
        <v>1781</v>
      </c>
      <c r="N1027" s="285" t="s">
        <v>124</v>
      </c>
      <c r="O1027" s="285" t="s">
        <v>147</v>
      </c>
      <c r="P1027" s="64" t="s">
        <v>405</v>
      </c>
      <c r="Q1027" s="2" t="s">
        <v>88</v>
      </c>
      <c r="R1027" s="64" t="s">
        <v>480</v>
      </c>
      <c r="Y1027" s="286" t="str">
        <f t="shared" ref="Y1027:Y1048" si="2102">IF(Q1027&gt;0,"Obsolete",IF(S1027&gt;0,S1027,"Unknown"))</f>
        <v>Obsolete</v>
      </c>
      <c r="Z1027" s="11">
        <f t="shared" ref="Z1027:Z1048" si="2103">IF(Q1027="Obsolete-LQA",C1027,IF(Q1027="Obsolete-IT",B1027,""))</f>
        <v>41906</v>
      </c>
      <c r="AA1027" s="286" t="str">
        <f t="shared" ref="AA1027:AA1048" si="2104">IFERROR(YEAR(Z1027)&amp;" - "&amp; IF(LEN( WEEKNUM(Z1027))=1,"0" &amp; WEEKNUM(Z1027),WEEKNUM(Z1027)),"")</f>
        <v>2014 - 39</v>
      </c>
      <c r="AB1027" s="286">
        <f t="shared" ref="AB1027:AB1048" si="2105">IFERROR(YEAR(Z1027),"")</f>
        <v>2014</v>
      </c>
    </row>
    <row r="1028" spans="2:28" x14ac:dyDescent="0.25">
      <c r="B1028" s="65">
        <v>41906</v>
      </c>
      <c r="C1028" s="66">
        <v>41906</v>
      </c>
      <c r="D1028" s="68">
        <f t="shared" ref="D1028:D1029" si="2106">IF(B1028&gt;0,MONTH(B1028),"False")</f>
        <v>9</v>
      </c>
      <c r="E1028" s="66" t="str">
        <f t="shared" ref="E1028:E1029" si="2107">YEAR(B1028) &amp; CHOOSE(D1028,"-Jan","-Feb","-Mar","-Apr","-May","-Jun","-Jul","-Aug","-Sep","-Oct","-Nov","-Dec")</f>
        <v>2014-Sep</v>
      </c>
      <c r="F1028" s="68">
        <f t="shared" ref="F1028:F1029" si="2108">IF(C1028&gt;0,MONTH(C1028),"False")</f>
        <v>9</v>
      </c>
      <c r="G1028" s="285" t="s">
        <v>93</v>
      </c>
      <c r="H1028" s="285" t="s">
        <v>115</v>
      </c>
      <c r="I1028" s="285"/>
      <c r="J1028" s="285" t="s">
        <v>77</v>
      </c>
      <c r="K1028" s="285" t="s">
        <v>82</v>
      </c>
      <c r="L1028" s="285" t="s">
        <v>79</v>
      </c>
      <c r="M1028" s="285" t="s">
        <v>1782</v>
      </c>
      <c r="N1028" s="285" t="s">
        <v>124</v>
      </c>
      <c r="O1028" s="285" t="s">
        <v>147</v>
      </c>
      <c r="P1028" s="64" t="s">
        <v>405</v>
      </c>
      <c r="Q1028" s="2" t="s">
        <v>88</v>
      </c>
      <c r="R1028" s="64" t="s">
        <v>480</v>
      </c>
      <c r="Y1028" s="286" t="str">
        <f t="shared" si="2102"/>
        <v>Obsolete</v>
      </c>
      <c r="Z1028" s="11">
        <f t="shared" si="2103"/>
        <v>41906</v>
      </c>
      <c r="AA1028" s="286" t="str">
        <f t="shared" si="2104"/>
        <v>2014 - 39</v>
      </c>
      <c r="AB1028" s="286">
        <f t="shared" si="2105"/>
        <v>2014</v>
      </c>
    </row>
    <row r="1029" spans="2:28" x14ac:dyDescent="0.25">
      <c r="B1029" s="65">
        <v>41906</v>
      </c>
      <c r="C1029" s="66">
        <v>41906</v>
      </c>
      <c r="D1029" s="68">
        <f t="shared" si="2106"/>
        <v>9</v>
      </c>
      <c r="E1029" s="66" t="str">
        <f t="shared" si="2107"/>
        <v>2014-Sep</v>
      </c>
      <c r="F1029" s="68">
        <f t="shared" si="2108"/>
        <v>9</v>
      </c>
      <c r="G1029" s="287" t="s">
        <v>121</v>
      </c>
      <c r="H1029" s="285" t="s">
        <v>115</v>
      </c>
      <c r="I1029" s="285"/>
      <c r="J1029" s="285" t="s">
        <v>77</v>
      </c>
      <c r="K1029" s="285" t="s">
        <v>82</v>
      </c>
      <c r="L1029" s="285" t="s">
        <v>79</v>
      </c>
      <c r="M1029" s="285" t="s">
        <v>1783</v>
      </c>
      <c r="N1029" s="285" t="s">
        <v>124</v>
      </c>
      <c r="O1029" s="285" t="s">
        <v>147</v>
      </c>
      <c r="P1029" s="64" t="s">
        <v>405</v>
      </c>
      <c r="R1029" s="64" t="s">
        <v>480</v>
      </c>
      <c r="S1029" s="287" t="s">
        <v>104</v>
      </c>
      <c r="X1029" s="287" t="s">
        <v>1387</v>
      </c>
      <c r="Y1029" s="286" t="str">
        <f t="shared" si="2102"/>
        <v>Pass</v>
      </c>
      <c r="Z1029" s="11" t="str">
        <f t="shared" si="2103"/>
        <v/>
      </c>
      <c r="AA1029" s="286" t="str">
        <f t="shared" si="2104"/>
        <v/>
      </c>
      <c r="AB1029" s="286" t="str">
        <f t="shared" si="2105"/>
        <v/>
      </c>
    </row>
    <row r="1030" spans="2:28" x14ac:dyDescent="0.25">
      <c r="B1030" s="66">
        <v>41906</v>
      </c>
      <c r="C1030" s="66">
        <v>41906</v>
      </c>
      <c r="D1030" s="68">
        <f t="shared" ref="D1030:D1031" si="2109">IF(B1030&gt;0,MONTH(B1030),"False")</f>
        <v>9</v>
      </c>
      <c r="E1030" s="66" t="str">
        <f t="shared" ref="E1030:E1031" si="2110">YEAR(B1030) &amp; CHOOSE(D1030,"-Jan","-Feb","-Mar","-Apr","-May","-Jun","-Jul","-Aug","-Sep","-Oct","-Nov","-Dec")</f>
        <v>2014-Sep</v>
      </c>
      <c r="F1030" s="68">
        <f t="shared" ref="F1030:F1031" si="2111">IF(C1030&gt;0,MONTH(C1030),"False")</f>
        <v>9</v>
      </c>
      <c r="G1030" s="286" t="s">
        <v>112</v>
      </c>
      <c r="H1030" s="285" t="s">
        <v>136</v>
      </c>
      <c r="J1030" s="285" t="s">
        <v>149</v>
      </c>
      <c r="K1030" s="285" t="s">
        <v>84</v>
      </c>
      <c r="L1030" s="285" t="s">
        <v>79</v>
      </c>
      <c r="M1030" s="1" t="s">
        <v>1784</v>
      </c>
      <c r="N1030" s="285" t="s">
        <v>124</v>
      </c>
      <c r="O1030" s="285" t="s">
        <v>325</v>
      </c>
      <c r="R1030" s="64" t="s">
        <v>1611</v>
      </c>
      <c r="S1030" s="286" t="s">
        <v>104</v>
      </c>
      <c r="X1030" s="286" t="s">
        <v>159</v>
      </c>
      <c r="Y1030" s="286" t="str">
        <f t="shared" si="2102"/>
        <v>Pass</v>
      </c>
      <c r="Z1030" s="11" t="str">
        <f t="shared" si="2103"/>
        <v/>
      </c>
      <c r="AA1030" s="286" t="str">
        <f t="shared" si="2104"/>
        <v/>
      </c>
      <c r="AB1030" s="286" t="str">
        <f t="shared" si="2105"/>
        <v/>
      </c>
    </row>
    <row r="1031" spans="2:28" x14ac:dyDescent="0.25">
      <c r="B1031" s="65">
        <v>41906</v>
      </c>
      <c r="C1031" s="66">
        <v>41906</v>
      </c>
      <c r="D1031" s="68">
        <f t="shared" si="2109"/>
        <v>9</v>
      </c>
      <c r="E1031" s="66" t="str">
        <f t="shared" si="2110"/>
        <v>2014-Sep</v>
      </c>
      <c r="F1031" s="68">
        <f t="shared" si="2111"/>
        <v>9</v>
      </c>
      <c r="G1031" s="286" t="s">
        <v>105</v>
      </c>
      <c r="H1031" s="285" t="s">
        <v>280</v>
      </c>
      <c r="J1031" s="285" t="s">
        <v>81</v>
      </c>
      <c r="K1031" s="285" t="s">
        <v>82</v>
      </c>
      <c r="L1031" s="285" t="s">
        <v>79</v>
      </c>
      <c r="M1031" s="1" t="s">
        <v>1785</v>
      </c>
      <c r="N1031" s="285" t="s">
        <v>124</v>
      </c>
      <c r="O1031" s="285" t="s">
        <v>286</v>
      </c>
      <c r="P1031" s="64" t="s">
        <v>305</v>
      </c>
      <c r="R1031" s="64" t="s">
        <v>1559</v>
      </c>
      <c r="S1031" s="286" t="s">
        <v>104</v>
      </c>
      <c r="T1031" s="67" t="s">
        <v>110</v>
      </c>
      <c r="X1031" s="286" t="s">
        <v>544</v>
      </c>
      <c r="Y1031" s="286" t="str">
        <f t="shared" si="2102"/>
        <v>Pass</v>
      </c>
      <c r="Z1031" s="11" t="str">
        <f t="shared" si="2103"/>
        <v/>
      </c>
      <c r="AA1031" s="286" t="str">
        <f t="shared" si="2104"/>
        <v/>
      </c>
      <c r="AB1031" s="286" t="str">
        <f t="shared" si="2105"/>
        <v/>
      </c>
    </row>
    <row r="1032" spans="2:28" x14ac:dyDescent="0.25">
      <c r="B1032" s="65">
        <v>41906</v>
      </c>
      <c r="C1032" s="66">
        <v>41906</v>
      </c>
      <c r="D1032" s="68">
        <f t="shared" ref="D1032:D1034" si="2112">IF(B1032&gt;0,MONTH(B1032),"False")</f>
        <v>9</v>
      </c>
      <c r="E1032" s="66" t="str">
        <f t="shared" ref="E1032:E1034" si="2113">YEAR(B1032) &amp; CHOOSE(D1032,"-Jan","-Feb","-Mar","-Apr","-May","-Jun","-Jul","-Aug","-Sep","-Oct","-Nov","-Dec")</f>
        <v>2014-Sep</v>
      </c>
      <c r="F1032" s="68">
        <f t="shared" ref="F1032:F1034" si="2114">IF(C1032&gt;0,MONTH(C1032),"False")</f>
        <v>9</v>
      </c>
      <c r="G1032" s="296" t="s">
        <v>121</v>
      </c>
      <c r="H1032" s="285" t="s">
        <v>136</v>
      </c>
      <c r="J1032" s="285" t="s">
        <v>98</v>
      </c>
      <c r="K1032" s="285" t="s">
        <v>82</v>
      </c>
      <c r="L1032" s="285" t="s">
        <v>79</v>
      </c>
      <c r="M1032" s="1" t="s">
        <v>1786</v>
      </c>
      <c r="N1032" s="285" t="s">
        <v>124</v>
      </c>
      <c r="O1032" s="285" t="s">
        <v>507</v>
      </c>
      <c r="P1032" s="64" t="s">
        <v>750</v>
      </c>
      <c r="R1032" s="64" t="s">
        <v>1513</v>
      </c>
      <c r="S1032" s="296" t="s">
        <v>104</v>
      </c>
      <c r="X1032" s="296" t="s">
        <v>158</v>
      </c>
      <c r="Y1032" s="286" t="str">
        <f t="shared" si="2102"/>
        <v>Pass</v>
      </c>
      <c r="Z1032" s="11" t="str">
        <f t="shared" si="2103"/>
        <v/>
      </c>
      <c r="AA1032" s="286" t="str">
        <f t="shared" si="2104"/>
        <v/>
      </c>
      <c r="AB1032" s="286" t="str">
        <f t="shared" si="2105"/>
        <v/>
      </c>
    </row>
    <row r="1033" spans="2:28" x14ac:dyDescent="0.25">
      <c r="B1033" s="66">
        <v>41906</v>
      </c>
      <c r="C1033" s="66">
        <v>41906</v>
      </c>
      <c r="D1033" s="68">
        <f t="shared" si="2112"/>
        <v>9</v>
      </c>
      <c r="E1033" s="66" t="str">
        <f t="shared" si="2113"/>
        <v>2014-Sep</v>
      </c>
      <c r="F1033" s="68">
        <f t="shared" si="2114"/>
        <v>9</v>
      </c>
      <c r="G1033" s="296" t="s">
        <v>112</v>
      </c>
      <c r="H1033" s="285" t="s">
        <v>136</v>
      </c>
      <c r="J1033" s="285" t="s">
        <v>98</v>
      </c>
      <c r="K1033" s="285" t="s">
        <v>84</v>
      </c>
      <c r="L1033" s="285" t="s">
        <v>79</v>
      </c>
      <c r="M1033" s="1" t="s">
        <v>1787</v>
      </c>
      <c r="N1033" s="285" t="s">
        <v>124</v>
      </c>
      <c r="O1033" s="285" t="s">
        <v>156</v>
      </c>
      <c r="R1033" s="64" t="s">
        <v>1623</v>
      </c>
      <c r="S1033" s="296" t="s">
        <v>104</v>
      </c>
      <c r="X1033" s="296" t="s">
        <v>158</v>
      </c>
      <c r="Y1033" s="286" t="str">
        <f t="shared" si="2102"/>
        <v>Pass</v>
      </c>
      <c r="Z1033" s="11" t="str">
        <f t="shared" si="2103"/>
        <v/>
      </c>
      <c r="AA1033" s="286" t="str">
        <f t="shared" si="2104"/>
        <v/>
      </c>
      <c r="AB1033" s="286" t="str">
        <f t="shared" si="2105"/>
        <v/>
      </c>
    </row>
    <row r="1034" spans="2:28" x14ac:dyDescent="0.25">
      <c r="B1034" s="65">
        <v>41907</v>
      </c>
      <c r="C1034" s="66">
        <v>41907</v>
      </c>
      <c r="D1034" s="68">
        <f t="shared" si="2112"/>
        <v>9</v>
      </c>
      <c r="E1034" s="66" t="str">
        <f t="shared" si="2113"/>
        <v>2014-Sep</v>
      </c>
      <c r="F1034" s="68">
        <f t="shared" si="2114"/>
        <v>9</v>
      </c>
      <c r="G1034" s="292" t="s">
        <v>121</v>
      </c>
      <c r="H1034" s="286" t="s">
        <v>103</v>
      </c>
      <c r="I1034" s="286"/>
      <c r="J1034" s="286" t="s">
        <v>77</v>
      </c>
      <c r="K1034" s="286" t="s">
        <v>82</v>
      </c>
      <c r="L1034" s="286" t="s">
        <v>79</v>
      </c>
      <c r="M1034" s="286" t="s">
        <v>1789</v>
      </c>
      <c r="N1034" s="286" t="s">
        <v>124</v>
      </c>
      <c r="O1034" s="286" t="s">
        <v>265</v>
      </c>
      <c r="P1034" s="64" t="s">
        <v>351</v>
      </c>
      <c r="R1034" s="64" t="s">
        <v>361</v>
      </c>
      <c r="S1034" s="292" t="s">
        <v>104</v>
      </c>
      <c r="X1034" s="292" t="s">
        <v>1474</v>
      </c>
      <c r="Y1034" s="286" t="str">
        <f t="shared" si="2102"/>
        <v>Pass</v>
      </c>
      <c r="Z1034" s="11" t="str">
        <f t="shared" si="2103"/>
        <v/>
      </c>
      <c r="AA1034" s="286" t="str">
        <f t="shared" si="2104"/>
        <v/>
      </c>
      <c r="AB1034" s="286" t="str">
        <f t="shared" si="2105"/>
        <v/>
      </c>
    </row>
    <row r="1035" spans="2:28" x14ac:dyDescent="0.25">
      <c r="B1035" s="65">
        <v>41908</v>
      </c>
      <c r="C1035" s="66">
        <v>41908</v>
      </c>
      <c r="D1035" s="68">
        <f t="shared" ref="D1035" si="2115">IF(B1035&gt;0,MONTH(B1035),"False")</f>
        <v>9</v>
      </c>
      <c r="E1035" s="66" t="str">
        <f t="shared" ref="E1035" si="2116">YEAR(B1035) &amp; CHOOSE(D1035,"-Jan","-Feb","-Mar","-Apr","-May","-Jun","-Jul","-Aug","-Sep","-Oct","-Nov","-Dec")</f>
        <v>2014-Sep</v>
      </c>
      <c r="F1035" s="68">
        <f t="shared" ref="F1035" si="2117">IF(C1035&gt;0,MONTH(C1035),"False")</f>
        <v>9</v>
      </c>
      <c r="G1035" s="290" t="s">
        <v>105</v>
      </c>
      <c r="H1035" s="287" t="s">
        <v>280</v>
      </c>
      <c r="J1035" s="287" t="s">
        <v>81</v>
      </c>
      <c r="K1035" s="287" t="s">
        <v>82</v>
      </c>
      <c r="L1035" s="287" t="s">
        <v>79</v>
      </c>
      <c r="M1035" s="1" t="s">
        <v>1790</v>
      </c>
      <c r="N1035" s="287" t="s">
        <v>124</v>
      </c>
      <c r="O1035" s="287" t="s">
        <v>286</v>
      </c>
      <c r="P1035" s="64" t="s">
        <v>305</v>
      </c>
      <c r="R1035" s="64" t="s">
        <v>1559</v>
      </c>
      <c r="S1035" s="290" t="s">
        <v>104</v>
      </c>
      <c r="X1035" s="290" t="s">
        <v>544</v>
      </c>
      <c r="Y1035" s="286" t="str">
        <f t="shared" si="2102"/>
        <v>Pass</v>
      </c>
      <c r="Z1035" s="11" t="str">
        <f t="shared" si="2103"/>
        <v/>
      </c>
      <c r="AA1035" s="286" t="str">
        <f t="shared" si="2104"/>
        <v/>
      </c>
      <c r="AB1035" s="286" t="str">
        <f t="shared" si="2105"/>
        <v/>
      </c>
    </row>
    <row r="1036" spans="2:28" x14ac:dyDescent="0.25">
      <c r="B1036" s="65">
        <v>41908</v>
      </c>
      <c r="C1036" s="66">
        <v>41908</v>
      </c>
      <c r="D1036" s="68">
        <f t="shared" ref="D1036:D1039" si="2118">IF(B1036&gt;0,MONTH(B1036),"False")</f>
        <v>9</v>
      </c>
      <c r="E1036" s="66" t="str">
        <f t="shared" ref="E1036:E1039" si="2119">YEAR(B1036) &amp; CHOOSE(D1036,"-Jan","-Feb","-Mar","-Apr","-May","-Jun","-Jul","-Aug","-Sep","-Oct","-Nov","-Dec")</f>
        <v>2014-Sep</v>
      </c>
      <c r="F1036" s="68">
        <f t="shared" ref="F1036:F1039" si="2120">IF(C1036&gt;0,MONTH(C1036),"False")</f>
        <v>9</v>
      </c>
      <c r="G1036" s="288" t="s">
        <v>105</v>
      </c>
      <c r="H1036" s="287" t="s">
        <v>280</v>
      </c>
      <c r="I1036" s="287"/>
      <c r="J1036" s="287" t="s">
        <v>81</v>
      </c>
      <c r="K1036" s="287" t="s">
        <v>82</v>
      </c>
      <c r="L1036" s="287" t="s">
        <v>79</v>
      </c>
      <c r="M1036" s="287" t="s">
        <v>1791</v>
      </c>
      <c r="N1036" s="287" t="s">
        <v>124</v>
      </c>
      <c r="O1036" s="287" t="s">
        <v>286</v>
      </c>
      <c r="P1036" s="64" t="s">
        <v>305</v>
      </c>
      <c r="R1036" s="64" t="s">
        <v>1559</v>
      </c>
      <c r="S1036" s="288" t="s">
        <v>104</v>
      </c>
      <c r="X1036" s="288" t="s">
        <v>544</v>
      </c>
      <c r="Y1036" s="286" t="str">
        <f t="shared" si="2102"/>
        <v>Pass</v>
      </c>
      <c r="Z1036" s="11" t="str">
        <f t="shared" si="2103"/>
        <v/>
      </c>
      <c r="AA1036" s="286" t="str">
        <f t="shared" si="2104"/>
        <v/>
      </c>
      <c r="AB1036" s="286" t="str">
        <f t="shared" si="2105"/>
        <v/>
      </c>
    </row>
    <row r="1037" spans="2:28" x14ac:dyDescent="0.25">
      <c r="B1037" s="65">
        <v>41908</v>
      </c>
      <c r="C1037" s="66">
        <v>41908</v>
      </c>
      <c r="D1037" s="68">
        <f t="shared" si="2118"/>
        <v>9</v>
      </c>
      <c r="E1037" s="66" t="str">
        <f t="shared" si="2119"/>
        <v>2014-Sep</v>
      </c>
      <c r="F1037" s="68">
        <f t="shared" si="2120"/>
        <v>9</v>
      </c>
      <c r="G1037" s="290" t="s">
        <v>105</v>
      </c>
      <c r="H1037" s="287" t="s">
        <v>280</v>
      </c>
      <c r="I1037" s="287"/>
      <c r="J1037" s="287" t="s">
        <v>81</v>
      </c>
      <c r="K1037" s="287" t="s">
        <v>82</v>
      </c>
      <c r="L1037" s="287" t="s">
        <v>79</v>
      </c>
      <c r="M1037" s="287" t="s">
        <v>1792</v>
      </c>
      <c r="N1037" s="287" t="s">
        <v>124</v>
      </c>
      <c r="O1037" s="287" t="s">
        <v>286</v>
      </c>
      <c r="P1037" s="64" t="s">
        <v>305</v>
      </c>
      <c r="R1037" s="64" t="s">
        <v>1559</v>
      </c>
      <c r="S1037" s="290" t="s">
        <v>104</v>
      </c>
      <c r="X1037" s="290" t="s">
        <v>544</v>
      </c>
      <c r="Y1037" s="286" t="str">
        <f t="shared" si="2102"/>
        <v>Pass</v>
      </c>
      <c r="Z1037" s="11" t="str">
        <f t="shared" si="2103"/>
        <v/>
      </c>
      <c r="AA1037" s="286" t="str">
        <f t="shared" si="2104"/>
        <v/>
      </c>
      <c r="AB1037" s="286" t="str">
        <f t="shared" si="2105"/>
        <v/>
      </c>
    </row>
    <row r="1038" spans="2:28" x14ac:dyDescent="0.25">
      <c r="B1038" s="65">
        <v>41908</v>
      </c>
      <c r="C1038" s="66">
        <v>41908</v>
      </c>
      <c r="D1038" s="68">
        <f t="shared" si="2118"/>
        <v>9</v>
      </c>
      <c r="E1038" s="66" t="str">
        <f t="shared" si="2119"/>
        <v>2014-Sep</v>
      </c>
      <c r="F1038" s="68">
        <f t="shared" si="2120"/>
        <v>9</v>
      </c>
      <c r="G1038" s="287" t="s">
        <v>121</v>
      </c>
      <c r="H1038" s="287" t="s">
        <v>115</v>
      </c>
      <c r="I1038" s="287"/>
      <c r="J1038" s="287" t="s">
        <v>77</v>
      </c>
      <c r="K1038" s="287" t="s">
        <v>82</v>
      </c>
      <c r="L1038" s="287" t="s">
        <v>79</v>
      </c>
      <c r="M1038" s="287" t="s">
        <v>1793</v>
      </c>
      <c r="N1038" s="287" t="s">
        <v>124</v>
      </c>
      <c r="O1038" s="287" t="s">
        <v>265</v>
      </c>
      <c r="P1038" s="64" t="s">
        <v>405</v>
      </c>
      <c r="R1038" s="64" t="s">
        <v>480</v>
      </c>
      <c r="S1038" s="287" t="s">
        <v>104</v>
      </c>
      <c r="X1038" s="287" t="s">
        <v>1387</v>
      </c>
      <c r="Y1038" s="286" t="str">
        <f t="shared" si="2102"/>
        <v>Pass</v>
      </c>
      <c r="Z1038" s="11" t="str">
        <f t="shared" si="2103"/>
        <v/>
      </c>
      <c r="AA1038" s="286" t="str">
        <f t="shared" si="2104"/>
        <v/>
      </c>
      <c r="AB1038" s="286" t="str">
        <f t="shared" si="2105"/>
        <v/>
      </c>
    </row>
    <row r="1039" spans="2:28" x14ac:dyDescent="0.25">
      <c r="B1039" s="65">
        <v>41908</v>
      </c>
      <c r="C1039" s="66">
        <v>41908</v>
      </c>
      <c r="D1039" s="68">
        <f t="shared" si="2118"/>
        <v>9</v>
      </c>
      <c r="E1039" s="66" t="str">
        <f t="shared" si="2119"/>
        <v>2014-Sep</v>
      </c>
      <c r="F1039" s="68">
        <f t="shared" si="2120"/>
        <v>9</v>
      </c>
      <c r="G1039" s="287" t="s">
        <v>121</v>
      </c>
      <c r="H1039" s="287" t="s">
        <v>115</v>
      </c>
      <c r="I1039" s="287"/>
      <c r="J1039" s="287" t="s">
        <v>77</v>
      </c>
      <c r="K1039" s="287" t="s">
        <v>82</v>
      </c>
      <c r="L1039" s="287" t="s">
        <v>79</v>
      </c>
      <c r="M1039" s="287" t="s">
        <v>1794</v>
      </c>
      <c r="N1039" s="287" t="s">
        <v>124</v>
      </c>
      <c r="O1039" s="287" t="s">
        <v>265</v>
      </c>
      <c r="P1039" s="64" t="s">
        <v>405</v>
      </c>
      <c r="R1039" s="64" t="s">
        <v>480</v>
      </c>
      <c r="S1039" s="287" t="s">
        <v>104</v>
      </c>
      <c r="X1039" s="287" t="s">
        <v>1387</v>
      </c>
      <c r="Y1039" s="286" t="str">
        <f t="shared" si="2102"/>
        <v>Pass</v>
      </c>
      <c r="Z1039" s="11" t="str">
        <f t="shared" si="2103"/>
        <v/>
      </c>
      <c r="AA1039" s="286" t="str">
        <f t="shared" si="2104"/>
        <v/>
      </c>
      <c r="AB1039" s="286" t="str">
        <f t="shared" si="2105"/>
        <v/>
      </c>
    </row>
    <row r="1040" spans="2:28" x14ac:dyDescent="0.25">
      <c r="B1040" s="65">
        <v>41908</v>
      </c>
      <c r="C1040" s="66">
        <v>41908</v>
      </c>
      <c r="D1040" s="68">
        <f t="shared" ref="D1040" si="2121">IF(B1040&gt;0,MONTH(B1040),"False")</f>
        <v>9</v>
      </c>
      <c r="E1040" s="66" t="str">
        <f t="shared" ref="E1040" si="2122">YEAR(B1040) &amp; CHOOSE(D1040,"-Jan","-Feb","-Mar","-Apr","-May","-Jun","-Jul","-Aug","-Sep","-Oct","-Nov","-Dec")</f>
        <v>2014-Sep</v>
      </c>
      <c r="F1040" s="68">
        <f t="shared" ref="F1040" si="2123">IF(C1040&gt;0,MONTH(C1040),"False")</f>
        <v>9</v>
      </c>
      <c r="G1040" s="291" t="s">
        <v>121</v>
      </c>
      <c r="H1040" s="1" t="s">
        <v>1745</v>
      </c>
      <c r="I1040" s="360" t="s">
        <v>2139</v>
      </c>
      <c r="J1040" s="287" t="s">
        <v>81</v>
      </c>
      <c r="K1040" s="287" t="s">
        <v>82</v>
      </c>
      <c r="L1040" s="287" t="s">
        <v>79</v>
      </c>
      <c r="M1040" s="287" t="s">
        <v>1795</v>
      </c>
      <c r="N1040" s="287" t="s">
        <v>124</v>
      </c>
      <c r="O1040" s="287" t="s">
        <v>273</v>
      </c>
      <c r="P1040" s="64" t="s">
        <v>305</v>
      </c>
      <c r="R1040" s="64" t="s">
        <v>1796</v>
      </c>
      <c r="S1040" s="291" t="s">
        <v>104</v>
      </c>
      <c r="X1040" s="291" t="s">
        <v>1820</v>
      </c>
      <c r="Y1040" s="286" t="str">
        <f t="shared" si="2102"/>
        <v>Pass</v>
      </c>
      <c r="Z1040" s="11" t="str">
        <f t="shared" si="2103"/>
        <v/>
      </c>
      <c r="AA1040" s="286" t="str">
        <f t="shared" si="2104"/>
        <v/>
      </c>
      <c r="AB1040" s="286" t="str">
        <f t="shared" si="2105"/>
        <v/>
      </c>
    </row>
    <row r="1041" spans="2:28" x14ac:dyDescent="0.25">
      <c r="B1041" s="66">
        <v>41908</v>
      </c>
      <c r="C1041" s="66">
        <v>41908</v>
      </c>
      <c r="D1041" s="68">
        <f t="shared" ref="D1041:D1042" si="2124">IF(B1041&gt;0,MONTH(B1041),"False")</f>
        <v>9</v>
      </c>
      <c r="E1041" s="66" t="str">
        <f t="shared" ref="E1041:E1042" si="2125">YEAR(B1041) &amp; CHOOSE(D1041,"-Jan","-Feb","-Mar","-Apr","-May","-Jun","-Jul","-Aug","-Sep","-Oct","-Nov","-Dec")</f>
        <v>2014-Sep</v>
      </c>
      <c r="F1041" s="68">
        <f t="shared" ref="F1041:F1042" si="2126">IF(C1041&gt;0,MONTH(C1041),"False")</f>
        <v>9</v>
      </c>
      <c r="G1041" s="291" t="s">
        <v>112</v>
      </c>
      <c r="H1041" s="287" t="s">
        <v>1745</v>
      </c>
      <c r="J1041" s="287" t="s">
        <v>78</v>
      </c>
      <c r="K1041" s="287" t="s">
        <v>78</v>
      </c>
      <c r="L1041" s="287" t="s">
        <v>79</v>
      </c>
      <c r="M1041" s="287" t="s">
        <v>1797</v>
      </c>
      <c r="N1041" s="287" t="s">
        <v>124</v>
      </c>
      <c r="O1041" s="287" t="s">
        <v>1746</v>
      </c>
      <c r="R1041" s="64" t="s">
        <v>1796</v>
      </c>
      <c r="S1041" s="291" t="s">
        <v>104</v>
      </c>
      <c r="X1041" s="291" t="s">
        <v>1820</v>
      </c>
      <c r="Y1041" s="286" t="str">
        <f t="shared" si="2102"/>
        <v>Pass</v>
      </c>
      <c r="Z1041" s="11" t="str">
        <f t="shared" si="2103"/>
        <v/>
      </c>
      <c r="AA1041" s="286" t="str">
        <f t="shared" si="2104"/>
        <v/>
      </c>
      <c r="AB1041" s="286" t="str">
        <f t="shared" si="2105"/>
        <v/>
      </c>
    </row>
    <row r="1042" spans="2:28" x14ac:dyDescent="0.25">
      <c r="B1042" s="65">
        <v>41909</v>
      </c>
      <c r="C1042" s="66">
        <v>41908</v>
      </c>
      <c r="D1042" s="68">
        <f t="shared" si="2124"/>
        <v>9</v>
      </c>
      <c r="E1042" s="66" t="str">
        <f t="shared" si="2125"/>
        <v>2014-Sep</v>
      </c>
      <c r="F1042" s="68">
        <f t="shared" si="2126"/>
        <v>9</v>
      </c>
      <c r="G1042" s="294" t="s">
        <v>121</v>
      </c>
      <c r="H1042" s="287" t="s">
        <v>76</v>
      </c>
      <c r="J1042" s="287" t="s">
        <v>120</v>
      </c>
      <c r="K1042" s="287" t="s">
        <v>82</v>
      </c>
      <c r="L1042" s="287" t="s">
        <v>79</v>
      </c>
      <c r="M1042" s="1" t="s">
        <v>1798</v>
      </c>
      <c r="N1042" s="287" t="s">
        <v>124</v>
      </c>
      <c r="O1042" s="287" t="s">
        <v>91</v>
      </c>
      <c r="P1042" s="64" t="s">
        <v>1740</v>
      </c>
      <c r="R1042" s="64" t="s">
        <v>1741</v>
      </c>
      <c r="S1042" s="294" t="s">
        <v>104</v>
      </c>
      <c r="X1042" s="294" t="s">
        <v>1474</v>
      </c>
      <c r="Y1042" s="286" t="str">
        <f t="shared" si="2102"/>
        <v>Pass</v>
      </c>
      <c r="Z1042" s="11" t="str">
        <f t="shared" si="2103"/>
        <v/>
      </c>
      <c r="AA1042" s="286" t="str">
        <f t="shared" si="2104"/>
        <v/>
      </c>
      <c r="AB1042" s="286" t="str">
        <f t="shared" si="2105"/>
        <v/>
      </c>
    </row>
    <row r="1043" spans="2:28" x14ac:dyDescent="0.25">
      <c r="B1043" s="65">
        <v>41911</v>
      </c>
      <c r="C1043" s="66">
        <v>41911</v>
      </c>
      <c r="D1043" s="68">
        <f t="shared" ref="D1043:D1044" si="2127">IF(B1043&gt;0,MONTH(B1043),"False")</f>
        <v>9</v>
      </c>
      <c r="E1043" s="66" t="str">
        <f t="shared" ref="E1043:E1044" si="2128">YEAR(B1043) &amp; CHOOSE(D1043,"-Jan","-Feb","-Mar","-Apr","-May","-Jun","-Jul","-Aug","-Sep","-Oct","-Nov","-Dec")</f>
        <v>2014-Sep</v>
      </c>
      <c r="F1043" s="68">
        <f t="shared" ref="F1043:F1044" si="2129">IF(C1043&gt;0,MONTH(C1043),"False")</f>
        <v>9</v>
      </c>
      <c r="G1043" s="292" t="s">
        <v>121</v>
      </c>
      <c r="H1043" s="288" t="s">
        <v>103</v>
      </c>
      <c r="J1043" s="288" t="s">
        <v>77</v>
      </c>
      <c r="K1043" s="288" t="s">
        <v>82</v>
      </c>
      <c r="L1043" s="288" t="s">
        <v>79</v>
      </c>
      <c r="M1043" s="1" t="s">
        <v>1799</v>
      </c>
      <c r="N1043" s="288" t="s">
        <v>124</v>
      </c>
      <c r="O1043" s="288" t="s">
        <v>265</v>
      </c>
      <c r="P1043" s="64" t="s">
        <v>351</v>
      </c>
      <c r="R1043" s="64" t="s">
        <v>361</v>
      </c>
      <c r="S1043" s="292" t="s">
        <v>104</v>
      </c>
      <c r="T1043" s="67" t="s">
        <v>110</v>
      </c>
      <c r="X1043" s="292" t="s">
        <v>1474</v>
      </c>
      <c r="Y1043" s="286" t="str">
        <f t="shared" si="2102"/>
        <v>Pass</v>
      </c>
      <c r="Z1043" s="11" t="str">
        <f t="shared" si="2103"/>
        <v/>
      </c>
      <c r="AA1043" s="286" t="str">
        <f t="shared" si="2104"/>
        <v/>
      </c>
      <c r="AB1043" s="286" t="str">
        <f t="shared" si="2105"/>
        <v/>
      </c>
    </row>
    <row r="1044" spans="2:28" x14ac:dyDescent="0.25">
      <c r="B1044" s="66">
        <v>41911</v>
      </c>
      <c r="C1044" s="66">
        <v>41911</v>
      </c>
      <c r="D1044" s="68">
        <f t="shared" si="2127"/>
        <v>9</v>
      </c>
      <c r="E1044" s="66" t="str">
        <f t="shared" si="2128"/>
        <v>2014-Sep</v>
      </c>
      <c r="F1044" s="68">
        <f t="shared" si="2129"/>
        <v>9</v>
      </c>
      <c r="G1044" s="295" t="s">
        <v>112</v>
      </c>
      <c r="H1044" s="288" t="s">
        <v>348</v>
      </c>
      <c r="J1044" s="288" t="s">
        <v>78</v>
      </c>
      <c r="K1044" s="288" t="s">
        <v>78</v>
      </c>
      <c r="L1044" s="288" t="s">
        <v>79</v>
      </c>
      <c r="M1044" s="1" t="s">
        <v>1800</v>
      </c>
      <c r="N1044" s="288" t="s">
        <v>124</v>
      </c>
      <c r="O1044" s="288" t="s">
        <v>306</v>
      </c>
      <c r="R1044" s="64" t="s">
        <v>1801</v>
      </c>
      <c r="S1044" s="295" t="s">
        <v>104</v>
      </c>
      <c r="X1044" s="295" t="s">
        <v>1474</v>
      </c>
      <c r="Y1044" s="286" t="str">
        <f t="shared" si="2102"/>
        <v>Pass</v>
      </c>
      <c r="Z1044" s="11" t="str">
        <f t="shared" si="2103"/>
        <v/>
      </c>
      <c r="AA1044" s="286" t="str">
        <f t="shared" si="2104"/>
        <v/>
      </c>
      <c r="AB1044" s="286" t="str">
        <f t="shared" si="2105"/>
        <v/>
      </c>
    </row>
    <row r="1045" spans="2:28" x14ac:dyDescent="0.25">
      <c r="B1045" s="66">
        <v>41912</v>
      </c>
      <c r="C1045" s="66">
        <v>41912</v>
      </c>
      <c r="D1045" s="68">
        <f t="shared" ref="D1045:D1046" si="2130">IF(B1045&gt;0,MONTH(B1045),"False")</f>
        <v>9</v>
      </c>
      <c r="E1045" s="66" t="str">
        <f t="shared" ref="E1045:E1046" si="2131">YEAR(B1045) &amp; CHOOSE(D1045,"-Jan","-Feb","-Mar","-Apr","-May","-Jun","-Jul","-Aug","-Sep","-Oct","-Nov","-Dec")</f>
        <v>2014-Sep</v>
      </c>
      <c r="F1045" s="68">
        <f t="shared" ref="F1045:F1046" si="2132">IF(C1045&gt;0,MONTH(C1045),"False")</f>
        <v>9</v>
      </c>
      <c r="G1045" s="304" t="s">
        <v>126</v>
      </c>
      <c r="H1045" s="290" t="s">
        <v>280</v>
      </c>
      <c r="J1045" s="290" t="s">
        <v>81</v>
      </c>
      <c r="K1045" s="290" t="s">
        <v>82</v>
      </c>
      <c r="L1045" s="290" t="s">
        <v>79</v>
      </c>
      <c r="M1045" s="1" t="s">
        <v>1805</v>
      </c>
      <c r="N1045" s="290" t="s">
        <v>124</v>
      </c>
      <c r="O1045" s="290" t="s">
        <v>286</v>
      </c>
      <c r="P1045" s="64" t="s">
        <v>305</v>
      </c>
      <c r="R1045" s="64" t="s">
        <v>1559</v>
      </c>
      <c r="S1045" s="304" t="s">
        <v>104</v>
      </c>
      <c r="X1045" s="304" t="s">
        <v>652</v>
      </c>
      <c r="Y1045" s="286" t="str">
        <f t="shared" si="2102"/>
        <v>Pass</v>
      </c>
      <c r="Z1045" s="11" t="str">
        <f t="shared" si="2103"/>
        <v/>
      </c>
      <c r="AA1045" s="286" t="str">
        <f t="shared" si="2104"/>
        <v/>
      </c>
      <c r="AB1045" s="286" t="str">
        <f t="shared" si="2105"/>
        <v/>
      </c>
    </row>
    <row r="1046" spans="2:28" x14ac:dyDescent="0.25">
      <c r="B1046" s="65">
        <v>41912</v>
      </c>
      <c r="C1046" s="66">
        <v>41912</v>
      </c>
      <c r="D1046" s="68">
        <f t="shared" si="2130"/>
        <v>9</v>
      </c>
      <c r="E1046" s="66" t="str">
        <f t="shared" si="2131"/>
        <v>2014-Sep</v>
      </c>
      <c r="F1046" s="68">
        <f t="shared" si="2132"/>
        <v>9</v>
      </c>
      <c r="G1046" s="290" t="s">
        <v>93</v>
      </c>
      <c r="H1046" s="290" t="s">
        <v>115</v>
      </c>
      <c r="J1046" s="290" t="s">
        <v>77</v>
      </c>
      <c r="K1046" s="290" t="s">
        <v>82</v>
      </c>
      <c r="L1046" s="290" t="s">
        <v>79</v>
      </c>
      <c r="M1046" s="1" t="s">
        <v>1806</v>
      </c>
      <c r="N1046" s="290" t="s">
        <v>124</v>
      </c>
      <c r="O1046" s="290" t="s">
        <v>265</v>
      </c>
      <c r="P1046" s="64" t="s">
        <v>405</v>
      </c>
      <c r="Q1046" s="2" t="s">
        <v>88</v>
      </c>
      <c r="R1046" s="64" t="s">
        <v>480</v>
      </c>
      <c r="Y1046" s="286" t="str">
        <f t="shared" si="2102"/>
        <v>Obsolete</v>
      </c>
      <c r="Z1046" s="11">
        <f t="shared" si="2103"/>
        <v>41912</v>
      </c>
      <c r="AA1046" s="286" t="str">
        <f t="shared" si="2104"/>
        <v>2014 - 40</v>
      </c>
      <c r="AB1046" s="286">
        <f t="shared" si="2105"/>
        <v>2014</v>
      </c>
    </row>
    <row r="1047" spans="2:28" x14ac:dyDescent="0.25">
      <c r="B1047" s="65">
        <v>41912</v>
      </c>
      <c r="C1047" s="66">
        <v>41912</v>
      </c>
      <c r="D1047" s="68">
        <f t="shared" ref="D1047" si="2133">IF(B1047&gt;0,MONTH(B1047),"False")</f>
        <v>9</v>
      </c>
      <c r="E1047" s="66" t="str">
        <f t="shared" ref="E1047" si="2134">YEAR(B1047) &amp; CHOOSE(D1047,"-Jan","-Feb","-Mar","-Apr","-May","-Jun","-Jul","-Aug","-Sep","-Oct","-Nov","-Dec")</f>
        <v>2014-Sep</v>
      </c>
      <c r="F1047" s="68">
        <f t="shared" ref="F1047" si="2135">IF(C1047&gt;0,MONTH(C1047),"False")</f>
        <v>9</v>
      </c>
      <c r="G1047" s="290" t="s">
        <v>93</v>
      </c>
      <c r="H1047" s="290" t="s">
        <v>280</v>
      </c>
      <c r="J1047" s="290" t="s">
        <v>81</v>
      </c>
      <c r="K1047" s="290" t="s">
        <v>82</v>
      </c>
      <c r="L1047" s="290" t="s">
        <v>79</v>
      </c>
      <c r="M1047" s="1" t="s">
        <v>1807</v>
      </c>
      <c r="N1047" s="290" t="s">
        <v>124</v>
      </c>
      <c r="O1047" s="290" t="s">
        <v>286</v>
      </c>
      <c r="P1047" s="64" t="s">
        <v>305</v>
      </c>
      <c r="R1047" s="64" t="s">
        <v>1559</v>
      </c>
      <c r="S1047" s="291" t="s">
        <v>104</v>
      </c>
      <c r="Y1047" s="286" t="str">
        <f t="shared" si="2102"/>
        <v>Pass</v>
      </c>
      <c r="Z1047" s="11" t="str">
        <f t="shared" si="2103"/>
        <v/>
      </c>
      <c r="AA1047" s="286" t="str">
        <f t="shared" si="2104"/>
        <v/>
      </c>
      <c r="AB1047" s="286" t="str">
        <f t="shared" si="2105"/>
        <v/>
      </c>
    </row>
    <row r="1048" spans="2:28" x14ac:dyDescent="0.25">
      <c r="B1048" s="65">
        <v>41912</v>
      </c>
      <c r="C1048" s="66">
        <v>41912</v>
      </c>
      <c r="D1048" s="68">
        <f t="shared" ref="D1048" si="2136">IF(B1048&gt;0,MONTH(B1048),"False")</f>
        <v>9</v>
      </c>
      <c r="E1048" s="66" t="str">
        <f t="shared" ref="E1048" si="2137">YEAR(B1048) &amp; CHOOSE(D1048,"-Jan","-Feb","-Mar","-Apr","-May","-Jun","-Jul","-Aug","-Sep","-Oct","-Nov","-Dec")</f>
        <v>2014-Sep</v>
      </c>
      <c r="F1048" s="68">
        <f t="shared" ref="F1048" si="2138">IF(C1048&gt;0,MONTH(C1048),"False")</f>
        <v>9</v>
      </c>
      <c r="G1048" s="295" t="s">
        <v>105</v>
      </c>
      <c r="H1048" s="290" t="s">
        <v>280</v>
      </c>
      <c r="I1048" s="290"/>
      <c r="J1048" s="290" t="s">
        <v>81</v>
      </c>
      <c r="K1048" s="290" t="s">
        <v>82</v>
      </c>
      <c r="L1048" s="290" t="s">
        <v>79</v>
      </c>
      <c r="M1048" s="290" t="s">
        <v>1808</v>
      </c>
      <c r="N1048" s="290" t="s">
        <v>124</v>
      </c>
      <c r="O1048" s="290" t="s">
        <v>286</v>
      </c>
      <c r="P1048" s="64" t="s">
        <v>305</v>
      </c>
      <c r="R1048" s="64" t="s">
        <v>1559</v>
      </c>
      <c r="S1048" s="295" t="s">
        <v>104</v>
      </c>
      <c r="X1048" s="295" t="s">
        <v>544</v>
      </c>
      <c r="Y1048" s="286" t="str">
        <f t="shared" si="2102"/>
        <v>Pass</v>
      </c>
      <c r="Z1048" s="11" t="str">
        <f t="shared" si="2103"/>
        <v/>
      </c>
      <c r="AA1048" s="286" t="str">
        <f t="shared" si="2104"/>
        <v/>
      </c>
      <c r="AB1048" s="286" t="str">
        <f t="shared" si="2105"/>
        <v/>
      </c>
    </row>
    <row r="1049" spans="2:28" x14ac:dyDescent="0.25">
      <c r="B1049" s="65">
        <v>41913</v>
      </c>
      <c r="C1049" s="66">
        <v>41913</v>
      </c>
      <c r="D1049" s="68">
        <f t="shared" ref="D1049" si="2139">IF(B1049&gt;0,MONTH(B1049),"False")</f>
        <v>10</v>
      </c>
      <c r="E1049" s="66" t="str">
        <f t="shared" ref="E1049" si="2140">YEAR(B1049) &amp; CHOOSE(D1049,"-Jan","-Feb","-Mar","-Apr","-May","-Jun","-Jul","-Aug","-Sep","-Oct","-Nov","-Dec")</f>
        <v>2014-Oct</v>
      </c>
      <c r="F1049" s="68">
        <f t="shared" ref="F1049" si="2141">IF(C1049&gt;0,MONTH(C1049),"False")</f>
        <v>10</v>
      </c>
      <c r="G1049" s="291" t="s">
        <v>93</v>
      </c>
      <c r="H1049" s="291" t="s">
        <v>115</v>
      </c>
      <c r="J1049" s="291" t="s">
        <v>77</v>
      </c>
      <c r="K1049" s="291" t="s">
        <v>82</v>
      </c>
      <c r="L1049" s="291" t="s">
        <v>79</v>
      </c>
      <c r="M1049" s="1" t="s">
        <v>1809</v>
      </c>
      <c r="N1049" s="291" t="s">
        <v>124</v>
      </c>
      <c r="O1049" s="291" t="s">
        <v>265</v>
      </c>
      <c r="P1049" s="64" t="s">
        <v>405</v>
      </c>
      <c r="R1049" s="64" t="s">
        <v>480</v>
      </c>
      <c r="Y1049" s="290" t="str">
        <f t="shared" ref="Y1049:Y1093" si="2142">IF(Q1049&gt;0,"Obsolete",IF(S1049&gt;0,S1049,"Unknown"))</f>
        <v>Unknown</v>
      </c>
      <c r="Z1049" s="11" t="str">
        <f t="shared" ref="Z1049:Z1093" si="2143">IF(Q1049="Obsolete-LQA",C1049,IF(Q1049="Obsolete-IT",B1049,""))</f>
        <v/>
      </c>
      <c r="AA1049" s="290" t="str">
        <f t="shared" ref="AA1049:AA1093" si="2144">IFERROR(YEAR(Z1049)&amp;" - "&amp; IF(LEN( WEEKNUM(Z1049))=1,"0" &amp; WEEKNUM(Z1049),WEEKNUM(Z1049)),"")</f>
        <v/>
      </c>
      <c r="AB1049" s="290" t="str">
        <f t="shared" ref="AB1049:AB1093" si="2145">IFERROR(YEAR(Z1049),"")</f>
        <v/>
      </c>
    </row>
    <row r="1050" spans="2:28" x14ac:dyDescent="0.25">
      <c r="B1050" s="66">
        <v>41913</v>
      </c>
      <c r="C1050" s="66">
        <v>41913</v>
      </c>
      <c r="D1050" s="68">
        <f t="shared" ref="D1050" si="2146">IF(B1050&gt;0,MONTH(B1050),"False")</f>
        <v>10</v>
      </c>
      <c r="E1050" s="66" t="str">
        <f t="shared" ref="E1050" si="2147">YEAR(B1050) &amp; CHOOSE(D1050,"-Jan","-Feb","-Mar","-Apr","-May","-Jun","-Jul","-Aug","-Sep","-Oct","-Nov","-Dec")</f>
        <v>2014-Oct</v>
      </c>
      <c r="F1050" s="68">
        <f t="shared" ref="F1050" si="2148">IF(C1050&gt;0,MONTH(C1050),"False")</f>
        <v>10</v>
      </c>
      <c r="G1050" s="292" t="s">
        <v>126</v>
      </c>
      <c r="H1050" s="291" t="s">
        <v>280</v>
      </c>
      <c r="J1050" s="291" t="s">
        <v>78</v>
      </c>
      <c r="K1050" s="291" t="s">
        <v>78</v>
      </c>
      <c r="L1050" s="291" t="s">
        <v>79</v>
      </c>
      <c r="M1050" s="1" t="s">
        <v>1810</v>
      </c>
      <c r="N1050" s="291" t="s">
        <v>124</v>
      </c>
      <c r="O1050" s="291" t="s">
        <v>304</v>
      </c>
      <c r="R1050" s="64" t="s">
        <v>344</v>
      </c>
      <c r="S1050" s="292" t="s">
        <v>104</v>
      </c>
      <c r="T1050" s="67" t="s">
        <v>110</v>
      </c>
      <c r="X1050" s="292" t="s">
        <v>544</v>
      </c>
      <c r="Y1050" s="290" t="str">
        <f t="shared" si="2142"/>
        <v>Pass</v>
      </c>
      <c r="Z1050" s="11" t="str">
        <f t="shared" si="2143"/>
        <v/>
      </c>
      <c r="AA1050" s="290" t="str">
        <f t="shared" si="2144"/>
        <v/>
      </c>
      <c r="AB1050" s="290" t="str">
        <f t="shared" si="2145"/>
        <v/>
      </c>
    </row>
    <row r="1051" spans="2:28" x14ac:dyDescent="0.25">
      <c r="B1051" s="66">
        <v>41913</v>
      </c>
      <c r="C1051" s="66">
        <v>41913</v>
      </c>
      <c r="D1051" s="68">
        <f t="shared" ref="D1051:D1052" si="2149">IF(B1051&gt;0,MONTH(B1051),"False")</f>
        <v>10</v>
      </c>
      <c r="E1051" s="66" t="str">
        <f t="shared" ref="E1051:E1052" si="2150">YEAR(B1051) &amp; CHOOSE(D1051,"-Jan","-Feb","-Mar","-Apr","-May","-Jun","-Jul","-Aug","-Sep","-Oct","-Nov","-Dec")</f>
        <v>2014-Oct</v>
      </c>
      <c r="F1051" s="68">
        <f t="shared" ref="F1051:F1052" si="2151">IF(C1051&gt;0,MONTH(C1051),"False")</f>
        <v>10</v>
      </c>
      <c r="G1051" s="291" t="s">
        <v>112</v>
      </c>
      <c r="H1051" s="291" t="s">
        <v>1745</v>
      </c>
      <c r="J1051" s="291" t="s">
        <v>78</v>
      </c>
      <c r="K1051" s="291" t="s">
        <v>78</v>
      </c>
      <c r="L1051" s="291" t="s">
        <v>79</v>
      </c>
      <c r="M1051" s="1" t="s">
        <v>1811</v>
      </c>
      <c r="N1051" s="291" t="s">
        <v>124</v>
      </c>
      <c r="O1051" s="291" t="s">
        <v>1746</v>
      </c>
      <c r="R1051" s="64" t="s">
        <v>1796</v>
      </c>
      <c r="S1051" s="291" t="s">
        <v>104</v>
      </c>
      <c r="X1051" s="291" t="s">
        <v>1820</v>
      </c>
      <c r="Y1051" s="290" t="str">
        <f t="shared" si="2142"/>
        <v>Pass</v>
      </c>
      <c r="Z1051" s="11" t="str">
        <f t="shared" si="2143"/>
        <v/>
      </c>
      <c r="AA1051" s="290" t="str">
        <f t="shared" si="2144"/>
        <v/>
      </c>
      <c r="AB1051" s="290" t="str">
        <f t="shared" si="2145"/>
        <v/>
      </c>
    </row>
    <row r="1052" spans="2:28" x14ac:dyDescent="0.25">
      <c r="B1052" s="65">
        <v>41913</v>
      </c>
      <c r="C1052" s="66">
        <v>41913</v>
      </c>
      <c r="D1052" s="68">
        <f t="shared" si="2149"/>
        <v>10</v>
      </c>
      <c r="E1052" s="66" t="str">
        <f t="shared" si="2150"/>
        <v>2014-Oct</v>
      </c>
      <c r="F1052" s="68">
        <f t="shared" si="2151"/>
        <v>10</v>
      </c>
      <c r="G1052" s="300" t="s">
        <v>121</v>
      </c>
      <c r="H1052" s="291" t="s">
        <v>280</v>
      </c>
      <c r="J1052" s="291" t="s">
        <v>146</v>
      </c>
      <c r="K1052" s="291" t="s">
        <v>82</v>
      </c>
      <c r="L1052" s="291" t="s">
        <v>79</v>
      </c>
      <c r="M1052" s="1" t="s">
        <v>1812</v>
      </c>
      <c r="N1052" s="291" t="s">
        <v>124</v>
      </c>
      <c r="O1052" s="291" t="s">
        <v>286</v>
      </c>
      <c r="P1052" s="64" t="s">
        <v>305</v>
      </c>
      <c r="R1052" s="64" t="s">
        <v>1559</v>
      </c>
      <c r="S1052" s="300" t="s">
        <v>104</v>
      </c>
      <c r="X1052" s="300" t="s">
        <v>544</v>
      </c>
      <c r="Y1052" s="290" t="str">
        <f t="shared" si="2142"/>
        <v>Pass</v>
      </c>
      <c r="Z1052" s="11" t="str">
        <f t="shared" si="2143"/>
        <v/>
      </c>
      <c r="AA1052" s="290" t="str">
        <f t="shared" si="2144"/>
        <v/>
      </c>
      <c r="AB1052" s="290" t="str">
        <f t="shared" si="2145"/>
        <v/>
      </c>
    </row>
    <row r="1053" spans="2:28" s="291" customFormat="1" x14ac:dyDescent="0.25">
      <c r="B1053" s="65">
        <v>41913</v>
      </c>
      <c r="C1053" s="66">
        <v>41913</v>
      </c>
      <c r="D1053" s="68">
        <f t="shared" ref="D1053:D1054" si="2152">IF(B1053&gt;0,MONTH(B1053),"False")</f>
        <v>10</v>
      </c>
      <c r="E1053" s="66" t="str">
        <f t="shared" ref="E1053:E1054" si="2153">YEAR(B1053) &amp; CHOOSE(D1053,"-Jan","-Feb","-Mar","-Apr","-May","-Jun","-Jul","-Aug","-Sep","-Oct","-Nov","-Dec")</f>
        <v>2014-Oct</v>
      </c>
      <c r="F1053" s="68">
        <f t="shared" ref="F1053:F1054" si="2154">IF(C1053&gt;0,MONTH(C1053),"False")</f>
        <v>10</v>
      </c>
      <c r="G1053" s="300" t="s">
        <v>121</v>
      </c>
      <c r="H1053" s="291" t="s">
        <v>280</v>
      </c>
      <c r="J1053" s="291" t="s">
        <v>81</v>
      </c>
      <c r="K1053" s="291" t="s">
        <v>82</v>
      </c>
      <c r="L1053" s="291" t="s">
        <v>79</v>
      </c>
      <c r="M1053" s="291" t="s">
        <v>1813</v>
      </c>
      <c r="N1053" s="291" t="s">
        <v>124</v>
      </c>
      <c r="O1053" s="291" t="s">
        <v>286</v>
      </c>
      <c r="P1053" s="64" t="s">
        <v>305</v>
      </c>
      <c r="Q1053" s="2"/>
      <c r="R1053" s="64" t="s">
        <v>1559</v>
      </c>
      <c r="S1053" s="300" t="s">
        <v>104</v>
      </c>
      <c r="T1053" s="67"/>
      <c r="X1053" s="300" t="s">
        <v>544</v>
      </c>
      <c r="Y1053" s="291" t="str">
        <f t="shared" ref="Y1053:Y1054" si="2155">IF(Q1053&gt;0,"Obsolete",IF(S1053&gt;0,S1053,"Unknown"))</f>
        <v>Pass</v>
      </c>
      <c r="Z1053" s="11" t="str">
        <f t="shared" ref="Z1053:Z1054" si="2156">IF(Q1053="Obsolete-LQA",C1053,IF(Q1053="Obsolete-IT",B1053,""))</f>
        <v/>
      </c>
      <c r="AA1053" s="291" t="str">
        <f t="shared" ref="AA1053:AA1054" si="2157">IFERROR(YEAR(Z1053)&amp;" - "&amp; IF(LEN( WEEKNUM(Z1053))=1,"0" &amp; WEEKNUM(Z1053),WEEKNUM(Z1053)),"")</f>
        <v/>
      </c>
      <c r="AB1053" s="291" t="str">
        <f t="shared" ref="AB1053:AB1054" si="2158">IFERROR(YEAR(Z1053),"")</f>
        <v/>
      </c>
    </row>
    <row r="1054" spans="2:28" s="291" customFormat="1" x14ac:dyDescent="0.25">
      <c r="B1054" s="65">
        <v>41913</v>
      </c>
      <c r="C1054" s="66">
        <v>41913</v>
      </c>
      <c r="D1054" s="68">
        <f t="shared" si="2152"/>
        <v>10</v>
      </c>
      <c r="E1054" s="66" t="str">
        <f t="shared" si="2153"/>
        <v>2014-Oct</v>
      </c>
      <c r="F1054" s="68">
        <f t="shared" si="2154"/>
        <v>10</v>
      </c>
      <c r="G1054" s="295" t="s">
        <v>121</v>
      </c>
      <c r="H1054" s="291" t="s">
        <v>280</v>
      </c>
      <c r="J1054" s="291" t="s">
        <v>146</v>
      </c>
      <c r="K1054" s="291" t="s">
        <v>82</v>
      </c>
      <c r="L1054" s="291" t="s">
        <v>79</v>
      </c>
      <c r="M1054" s="291" t="s">
        <v>1814</v>
      </c>
      <c r="N1054" s="291" t="s">
        <v>124</v>
      </c>
      <c r="O1054" s="291" t="s">
        <v>286</v>
      </c>
      <c r="P1054" s="64" t="s">
        <v>305</v>
      </c>
      <c r="Q1054" s="2"/>
      <c r="R1054" s="64" t="s">
        <v>1559</v>
      </c>
      <c r="S1054" s="295" t="s">
        <v>104</v>
      </c>
      <c r="T1054" s="67"/>
      <c r="X1054" s="295" t="s">
        <v>544</v>
      </c>
      <c r="Y1054" s="291" t="str">
        <f t="shared" si="2155"/>
        <v>Pass</v>
      </c>
      <c r="Z1054" s="11" t="str">
        <f t="shared" si="2156"/>
        <v/>
      </c>
      <c r="AA1054" s="291" t="str">
        <f t="shared" si="2157"/>
        <v/>
      </c>
      <c r="AB1054" s="291" t="str">
        <f t="shared" si="2158"/>
        <v/>
      </c>
    </row>
    <row r="1055" spans="2:28" s="291" customFormat="1" x14ac:dyDescent="0.25">
      <c r="B1055" s="65">
        <v>41913</v>
      </c>
      <c r="C1055" s="66">
        <v>41913</v>
      </c>
      <c r="D1055" s="68">
        <f t="shared" ref="D1055" si="2159">IF(B1055&gt;0,MONTH(B1055),"False")</f>
        <v>10</v>
      </c>
      <c r="E1055" s="66" t="str">
        <f t="shared" ref="E1055" si="2160">YEAR(B1055) &amp; CHOOSE(D1055,"-Jan","-Feb","-Mar","-Apr","-May","-Jun","-Jul","-Aug","-Sep","-Oct","-Nov","-Dec")</f>
        <v>2014-Oct</v>
      </c>
      <c r="F1055" s="68">
        <f t="shared" ref="F1055" si="2161">IF(C1055&gt;0,MONTH(C1055),"False")</f>
        <v>10</v>
      </c>
      <c r="G1055" s="295" t="s">
        <v>121</v>
      </c>
      <c r="H1055" s="291" t="s">
        <v>280</v>
      </c>
      <c r="J1055" s="291" t="s">
        <v>81</v>
      </c>
      <c r="K1055" s="291" t="s">
        <v>82</v>
      </c>
      <c r="L1055" s="291" t="s">
        <v>79</v>
      </c>
      <c r="M1055" s="291" t="s">
        <v>1815</v>
      </c>
      <c r="N1055" s="291" t="s">
        <v>124</v>
      </c>
      <c r="O1055" s="291" t="s">
        <v>286</v>
      </c>
      <c r="P1055" s="64" t="s">
        <v>305</v>
      </c>
      <c r="Q1055" s="2"/>
      <c r="R1055" s="64" t="s">
        <v>1559</v>
      </c>
      <c r="S1055" s="295" t="s">
        <v>104</v>
      </c>
      <c r="T1055" s="67"/>
      <c r="X1055" s="295" t="s">
        <v>544</v>
      </c>
      <c r="Y1055" s="291" t="str">
        <f t="shared" ref="Y1055:Y1056" si="2162">IF(Q1055&gt;0,"Obsolete",IF(S1055&gt;0,S1055,"Unknown"))</f>
        <v>Pass</v>
      </c>
      <c r="Z1055" s="11" t="str">
        <f t="shared" ref="Z1055:Z1056" si="2163">IF(Q1055="Obsolete-LQA",C1055,IF(Q1055="Obsolete-IT",B1055,""))</f>
        <v/>
      </c>
      <c r="AA1055" s="291" t="str">
        <f t="shared" ref="AA1055:AA1056" si="2164">IFERROR(YEAR(Z1055)&amp;" - "&amp; IF(LEN( WEEKNUM(Z1055))=1,"0" &amp; WEEKNUM(Z1055),WEEKNUM(Z1055)),"")</f>
        <v/>
      </c>
      <c r="AB1055" s="291" t="str">
        <f t="shared" ref="AB1055:AB1056" si="2165">IFERROR(YEAR(Z1055),"")</f>
        <v/>
      </c>
    </row>
    <row r="1056" spans="2:28" s="291" customFormat="1" x14ac:dyDescent="0.25">
      <c r="B1056" s="65">
        <v>41913</v>
      </c>
      <c r="C1056" s="66">
        <v>41913</v>
      </c>
      <c r="D1056" s="68">
        <f t="shared" ref="D1056" si="2166">IF(B1056&gt;0,MONTH(B1056),"False")</f>
        <v>10</v>
      </c>
      <c r="E1056" s="66" t="str">
        <f t="shared" ref="E1056" si="2167">YEAR(B1056) &amp; CHOOSE(D1056,"-Jan","-Feb","-Mar","-Apr","-May","-Jun","-Jul","-Aug","-Sep","-Oct","-Nov","-Dec")</f>
        <v>2014-Oct</v>
      </c>
      <c r="F1056" s="68">
        <f t="shared" ref="F1056" si="2168">IF(C1056&gt;0,MONTH(C1056),"False")</f>
        <v>10</v>
      </c>
      <c r="G1056" s="291" t="s">
        <v>93</v>
      </c>
      <c r="H1056" s="291" t="s">
        <v>115</v>
      </c>
      <c r="J1056" s="291" t="s">
        <v>119</v>
      </c>
      <c r="K1056" s="291" t="s">
        <v>119</v>
      </c>
      <c r="L1056" s="291" t="s">
        <v>83</v>
      </c>
      <c r="M1056" s="291" t="s">
        <v>1816</v>
      </c>
      <c r="N1056" s="291" t="s">
        <v>124</v>
      </c>
      <c r="O1056" s="291" t="s">
        <v>114</v>
      </c>
      <c r="P1056" s="64" t="s">
        <v>1776</v>
      </c>
      <c r="Q1056" s="2" t="s">
        <v>88</v>
      </c>
      <c r="R1056" s="64" t="s">
        <v>1777</v>
      </c>
      <c r="T1056" s="67"/>
      <c r="Y1056" s="291" t="str">
        <f t="shared" si="2162"/>
        <v>Obsolete</v>
      </c>
      <c r="Z1056" s="11">
        <f t="shared" si="2163"/>
        <v>41913</v>
      </c>
      <c r="AA1056" s="291" t="str">
        <f t="shared" si="2164"/>
        <v>2014 - 40</v>
      </c>
      <c r="AB1056" s="291">
        <f t="shared" si="2165"/>
        <v>2014</v>
      </c>
    </row>
    <row r="1057" spans="2:28" s="291" customFormat="1" x14ac:dyDescent="0.25">
      <c r="B1057" s="65">
        <v>41913</v>
      </c>
      <c r="C1057" s="66">
        <v>41913</v>
      </c>
      <c r="D1057" s="68">
        <f t="shared" ref="D1057:D1058" si="2169">IF(B1057&gt;0,MONTH(B1057),"False")</f>
        <v>10</v>
      </c>
      <c r="E1057" s="66" t="str">
        <f t="shared" ref="E1057:E1058" si="2170">YEAR(B1057) &amp; CHOOSE(D1057,"-Jan","-Feb","-Mar","-Apr","-May","-Jun","-Jul","-Aug","-Sep","-Oct","-Nov","-Dec")</f>
        <v>2014-Oct</v>
      </c>
      <c r="F1057" s="68">
        <f t="shared" ref="F1057:F1058" si="2171">IF(C1057&gt;0,MONTH(C1057),"False")</f>
        <v>10</v>
      </c>
      <c r="G1057" s="291" t="s">
        <v>93</v>
      </c>
      <c r="H1057" s="291" t="s">
        <v>115</v>
      </c>
      <c r="J1057" s="291" t="s">
        <v>119</v>
      </c>
      <c r="K1057" s="291" t="s">
        <v>119</v>
      </c>
      <c r="L1057" s="291" t="s">
        <v>83</v>
      </c>
      <c r="M1057" s="291" t="s">
        <v>1817</v>
      </c>
      <c r="N1057" s="291" t="s">
        <v>124</v>
      </c>
      <c r="O1057" s="291" t="s">
        <v>114</v>
      </c>
      <c r="P1057" s="64" t="s">
        <v>1776</v>
      </c>
      <c r="Q1057" s="2" t="s">
        <v>88</v>
      </c>
      <c r="R1057" s="64" t="s">
        <v>1777</v>
      </c>
      <c r="T1057" s="67"/>
      <c r="Y1057" s="291" t="str">
        <f t="shared" ref="Y1057:Y1058" si="2172">IF(Q1057&gt;0,"Obsolete",IF(S1057&gt;0,S1057,"Unknown"))</f>
        <v>Obsolete</v>
      </c>
      <c r="Z1057" s="11">
        <f t="shared" ref="Z1057:Z1058" si="2173">IF(Q1057="Obsolete-LQA",C1057,IF(Q1057="Obsolete-IT",B1057,""))</f>
        <v>41913</v>
      </c>
      <c r="AA1057" s="291" t="str">
        <f t="shared" ref="AA1057:AA1058" si="2174">IFERROR(YEAR(Z1057)&amp;" - "&amp; IF(LEN( WEEKNUM(Z1057))=1,"0" &amp; WEEKNUM(Z1057),WEEKNUM(Z1057)),"")</f>
        <v>2014 - 40</v>
      </c>
      <c r="AB1057" s="291">
        <f t="shared" ref="AB1057:AB1058" si="2175">IFERROR(YEAR(Z1057),"")</f>
        <v>2014</v>
      </c>
    </row>
    <row r="1058" spans="2:28" s="291" customFormat="1" x14ac:dyDescent="0.25">
      <c r="B1058" s="65">
        <v>41913</v>
      </c>
      <c r="C1058" s="66">
        <v>41913</v>
      </c>
      <c r="D1058" s="68">
        <f t="shared" si="2169"/>
        <v>10</v>
      </c>
      <c r="E1058" s="66" t="str">
        <f t="shared" si="2170"/>
        <v>2014-Oct</v>
      </c>
      <c r="F1058" s="68">
        <f t="shared" si="2171"/>
        <v>10</v>
      </c>
      <c r="G1058" s="291" t="s">
        <v>93</v>
      </c>
      <c r="H1058" s="291" t="s">
        <v>115</v>
      </c>
      <c r="J1058" s="291" t="s">
        <v>119</v>
      </c>
      <c r="K1058" s="291" t="s">
        <v>119</v>
      </c>
      <c r="L1058" s="291" t="s">
        <v>83</v>
      </c>
      <c r="M1058" s="291" t="s">
        <v>1818</v>
      </c>
      <c r="N1058" s="291" t="s">
        <v>124</v>
      </c>
      <c r="O1058" s="291" t="s">
        <v>114</v>
      </c>
      <c r="P1058" s="64" t="s">
        <v>1776</v>
      </c>
      <c r="Q1058" s="2" t="s">
        <v>88</v>
      </c>
      <c r="R1058" s="64" t="s">
        <v>1777</v>
      </c>
      <c r="T1058" s="67"/>
      <c r="Y1058" s="291" t="str">
        <f t="shared" si="2172"/>
        <v>Obsolete</v>
      </c>
      <c r="Z1058" s="11">
        <f t="shared" si="2173"/>
        <v>41913</v>
      </c>
      <c r="AA1058" s="291" t="str">
        <f t="shared" si="2174"/>
        <v>2014 - 40</v>
      </c>
      <c r="AB1058" s="291">
        <f t="shared" si="2175"/>
        <v>2014</v>
      </c>
    </row>
    <row r="1059" spans="2:28" x14ac:dyDescent="0.25">
      <c r="B1059" s="65">
        <v>41913</v>
      </c>
      <c r="C1059" s="66">
        <v>41913</v>
      </c>
      <c r="D1059" s="68">
        <f t="shared" ref="D1059:D1060" si="2176">IF(B1059&gt;0,MONTH(B1059),"False")</f>
        <v>10</v>
      </c>
      <c r="E1059" s="66" t="str">
        <f t="shared" ref="E1059:E1060" si="2177">YEAR(B1059) &amp; CHOOSE(D1059,"-Jan","-Feb","-Mar","-Apr","-May","-Jun","-Jul","-Aug","-Sep","-Oct","-Nov","-Dec")</f>
        <v>2014-Oct</v>
      </c>
      <c r="F1059" s="68">
        <f t="shared" ref="F1059:F1060" si="2178">IF(C1059&gt;0,MONTH(C1059),"False")</f>
        <v>10</v>
      </c>
      <c r="G1059" s="292" t="s">
        <v>121</v>
      </c>
      <c r="H1059" s="291" t="s">
        <v>103</v>
      </c>
      <c r="J1059" s="291" t="s">
        <v>77</v>
      </c>
      <c r="K1059" s="291" t="s">
        <v>82</v>
      </c>
      <c r="L1059" s="291" t="s">
        <v>79</v>
      </c>
      <c r="M1059" s="1" t="s">
        <v>1819</v>
      </c>
      <c r="N1059" s="291" t="s">
        <v>124</v>
      </c>
      <c r="O1059" s="291" t="s">
        <v>507</v>
      </c>
      <c r="P1059" s="64" t="s">
        <v>361</v>
      </c>
      <c r="R1059" s="64" t="s">
        <v>351</v>
      </c>
      <c r="S1059" s="292" t="s">
        <v>104</v>
      </c>
      <c r="X1059" s="292" t="s">
        <v>1474</v>
      </c>
      <c r="Y1059" s="290" t="str">
        <f t="shared" si="2142"/>
        <v>Pass</v>
      </c>
      <c r="Z1059" s="11" t="str">
        <f t="shared" si="2143"/>
        <v/>
      </c>
      <c r="AA1059" s="290" t="str">
        <f t="shared" si="2144"/>
        <v/>
      </c>
      <c r="AB1059" s="290" t="str">
        <f t="shared" si="2145"/>
        <v/>
      </c>
    </row>
    <row r="1060" spans="2:28" x14ac:dyDescent="0.25">
      <c r="B1060" s="66">
        <v>41918</v>
      </c>
      <c r="C1060" s="66">
        <v>41918</v>
      </c>
      <c r="D1060" s="68">
        <f t="shared" si="2176"/>
        <v>10</v>
      </c>
      <c r="E1060" s="66" t="str">
        <f t="shared" si="2177"/>
        <v>2014-Oct</v>
      </c>
      <c r="F1060" s="68">
        <f t="shared" si="2178"/>
        <v>10</v>
      </c>
      <c r="G1060" s="292" t="s">
        <v>112</v>
      </c>
      <c r="H1060" s="292" t="s">
        <v>103</v>
      </c>
      <c r="J1060" s="292" t="s">
        <v>78</v>
      </c>
      <c r="K1060" s="292" t="s">
        <v>78</v>
      </c>
      <c r="L1060" s="292" t="s">
        <v>79</v>
      </c>
      <c r="M1060" s="1" t="s">
        <v>1821</v>
      </c>
      <c r="N1060" s="292" t="s">
        <v>124</v>
      </c>
      <c r="O1060" s="292" t="s">
        <v>332</v>
      </c>
      <c r="R1060" s="64" t="s">
        <v>475</v>
      </c>
      <c r="S1060" s="292" t="s">
        <v>104</v>
      </c>
      <c r="X1060" s="292" t="s">
        <v>154</v>
      </c>
      <c r="Y1060" s="290" t="str">
        <f t="shared" si="2142"/>
        <v>Pass</v>
      </c>
      <c r="Z1060" s="11" t="str">
        <f t="shared" si="2143"/>
        <v/>
      </c>
      <c r="AA1060" s="290" t="str">
        <f t="shared" si="2144"/>
        <v/>
      </c>
      <c r="AB1060" s="290" t="str">
        <f t="shared" si="2145"/>
        <v/>
      </c>
    </row>
    <row r="1061" spans="2:28" x14ac:dyDescent="0.25">
      <c r="B1061" s="65">
        <v>41918</v>
      </c>
      <c r="C1061" s="66">
        <v>41918</v>
      </c>
      <c r="D1061" s="68">
        <f t="shared" ref="D1061:D1062" si="2179">IF(B1061&gt;0,MONTH(B1061),"False")</f>
        <v>10</v>
      </c>
      <c r="E1061" s="66" t="str">
        <f t="shared" ref="E1061:E1062" si="2180">YEAR(B1061) &amp; CHOOSE(D1061,"-Jan","-Feb","-Mar","-Apr","-May","-Jun","-Jul","-Aug","-Sep","-Oct","-Nov","-Dec")</f>
        <v>2014-Oct</v>
      </c>
      <c r="F1061" s="68">
        <f t="shared" ref="F1061:F1062" si="2181">IF(C1061&gt;0,MONTH(C1061),"False")</f>
        <v>10</v>
      </c>
      <c r="G1061" s="293" t="s">
        <v>121</v>
      </c>
      <c r="H1061" s="292" t="s">
        <v>1745</v>
      </c>
      <c r="I1061" s="360" t="s">
        <v>2139</v>
      </c>
      <c r="J1061" s="292" t="s">
        <v>81</v>
      </c>
      <c r="K1061" s="292" t="s">
        <v>82</v>
      </c>
      <c r="L1061" s="292" t="s">
        <v>79</v>
      </c>
      <c r="M1061" s="1" t="s">
        <v>1822</v>
      </c>
      <c r="N1061" s="292" t="s">
        <v>124</v>
      </c>
      <c r="O1061" s="292" t="s">
        <v>273</v>
      </c>
      <c r="P1061" s="64" t="s">
        <v>1823</v>
      </c>
      <c r="R1061" s="64" t="s">
        <v>1824</v>
      </c>
      <c r="S1061" s="293" t="s">
        <v>104</v>
      </c>
      <c r="X1061" s="293" t="s">
        <v>1830</v>
      </c>
      <c r="Y1061" s="290" t="str">
        <f t="shared" si="2142"/>
        <v>Pass</v>
      </c>
      <c r="Z1061" s="11" t="str">
        <f t="shared" si="2143"/>
        <v/>
      </c>
      <c r="AA1061" s="290" t="str">
        <f t="shared" si="2144"/>
        <v/>
      </c>
      <c r="AB1061" s="290" t="str">
        <f t="shared" si="2145"/>
        <v/>
      </c>
    </row>
    <row r="1062" spans="2:28" x14ac:dyDescent="0.25">
      <c r="B1062" s="66">
        <v>41918</v>
      </c>
      <c r="C1062" s="66">
        <v>41918</v>
      </c>
      <c r="D1062" s="68">
        <f t="shared" si="2179"/>
        <v>10</v>
      </c>
      <c r="E1062" s="66" t="str">
        <f t="shared" si="2180"/>
        <v>2014-Oct</v>
      </c>
      <c r="F1062" s="68">
        <f t="shared" si="2181"/>
        <v>10</v>
      </c>
      <c r="G1062" s="293" t="s">
        <v>112</v>
      </c>
      <c r="H1062" s="292" t="s">
        <v>1745</v>
      </c>
      <c r="J1062" s="292" t="s">
        <v>78</v>
      </c>
      <c r="K1062" s="292" t="s">
        <v>78</v>
      </c>
      <c r="L1062" s="292" t="s">
        <v>79</v>
      </c>
      <c r="M1062" s="1" t="s">
        <v>1825</v>
      </c>
      <c r="N1062" s="292" t="s">
        <v>124</v>
      </c>
      <c r="O1062" s="292" t="s">
        <v>1746</v>
      </c>
      <c r="R1062" s="64" t="s">
        <v>1796</v>
      </c>
      <c r="S1062" s="293" t="s">
        <v>104</v>
      </c>
      <c r="X1062" s="293" t="s">
        <v>1830</v>
      </c>
      <c r="Y1062" s="290" t="str">
        <f t="shared" si="2142"/>
        <v>Pass</v>
      </c>
      <c r="Z1062" s="11" t="str">
        <f t="shared" si="2143"/>
        <v/>
      </c>
      <c r="AA1062" s="290" t="str">
        <f t="shared" si="2144"/>
        <v/>
      </c>
      <c r="AB1062" s="290" t="str">
        <f t="shared" si="2145"/>
        <v/>
      </c>
    </row>
    <row r="1063" spans="2:28" x14ac:dyDescent="0.25">
      <c r="B1063" s="65">
        <v>41918</v>
      </c>
      <c r="C1063" s="66">
        <v>41918</v>
      </c>
      <c r="D1063" s="68">
        <f t="shared" ref="D1063:D1066" si="2182">IF(B1063&gt;0,MONTH(B1063),"False")</f>
        <v>10</v>
      </c>
      <c r="E1063" s="66" t="str">
        <f t="shared" ref="E1063:E1066" si="2183">YEAR(B1063) &amp; CHOOSE(D1063,"-Jan","-Feb","-Mar","-Apr","-May","-Jun","-Jul","-Aug","-Sep","-Oct","-Nov","-Dec")</f>
        <v>2014-Oct</v>
      </c>
      <c r="F1063" s="68">
        <f t="shared" ref="F1063:F1066" si="2184">IF(C1063&gt;0,MONTH(C1063),"False")</f>
        <v>10</v>
      </c>
      <c r="G1063" s="292" t="s">
        <v>121</v>
      </c>
      <c r="H1063" s="292" t="s">
        <v>103</v>
      </c>
      <c r="J1063" s="292" t="s">
        <v>77</v>
      </c>
      <c r="K1063" s="292" t="s">
        <v>82</v>
      </c>
      <c r="L1063" s="292" t="s">
        <v>79</v>
      </c>
      <c r="M1063" s="1" t="s">
        <v>1826</v>
      </c>
      <c r="N1063" s="292" t="s">
        <v>124</v>
      </c>
      <c r="O1063" s="292" t="s">
        <v>265</v>
      </c>
      <c r="P1063" s="64" t="s">
        <v>351</v>
      </c>
      <c r="R1063" s="64" t="s">
        <v>361</v>
      </c>
      <c r="S1063" s="292" t="s">
        <v>104</v>
      </c>
      <c r="X1063" s="292" t="s">
        <v>1474</v>
      </c>
      <c r="Y1063" s="290" t="str">
        <f t="shared" si="2142"/>
        <v>Pass</v>
      </c>
      <c r="Z1063" s="11" t="str">
        <f t="shared" si="2143"/>
        <v/>
      </c>
      <c r="AA1063" s="290" t="str">
        <f t="shared" si="2144"/>
        <v/>
      </c>
      <c r="AB1063" s="290" t="str">
        <f t="shared" si="2145"/>
        <v/>
      </c>
    </row>
    <row r="1064" spans="2:28" s="293" customFormat="1" x14ac:dyDescent="0.25">
      <c r="B1064" s="65">
        <v>41919</v>
      </c>
      <c r="C1064" s="66">
        <v>41919</v>
      </c>
      <c r="D1064" s="68">
        <f t="shared" si="2182"/>
        <v>10</v>
      </c>
      <c r="E1064" s="66" t="str">
        <f t="shared" si="2183"/>
        <v>2014-Oct</v>
      </c>
      <c r="F1064" s="68">
        <f t="shared" si="2184"/>
        <v>10</v>
      </c>
      <c r="G1064" s="293" t="s">
        <v>93</v>
      </c>
      <c r="H1064" s="293" t="s">
        <v>115</v>
      </c>
      <c r="J1064" s="293" t="s">
        <v>119</v>
      </c>
      <c r="K1064" s="293" t="s">
        <v>119</v>
      </c>
      <c r="L1064" s="293" t="s">
        <v>83</v>
      </c>
      <c r="M1064" s="293" t="s">
        <v>1827</v>
      </c>
      <c r="N1064" s="293" t="s">
        <v>124</v>
      </c>
      <c r="O1064" s="293" t="s">
        <v>114</v>
      </c>
      <c r="P1064" s="64" t="s">
        <v>1776</v>
      </c>
      <c r="Q1064" s="2" t="s">
        <v>88</v>
      </c>
      <c r="R1064" s="64" t="s">
        <v>1777</v>
      </c>
      <c r="T1064" s="67"/>
      <c r="Y1064" s="293" t="str">
        <f t="shared" si="2142"/>
        <v>Obsolete</v>
      </c>
      <c r="Z1064" s="11">
        <f t="shared" si="2143"/>
        <v>41919</v>
      </c>
      <c r="AA1064" s="293" t="str">
        <f t="shared" si="2144"/>
        <v>2014 - 41</v>
      </c>
      <c r="AB1064" s="293">
        <f t="shared" si="2145"/>
        <v>2014</v>
      </c>
    </row>
    <row r="1065" spans="2:28" s="293" customFormat="1" x14ac:dyDescent="0.25">
      <c r="B1065" s="65">
        <v>41919</v>
      </c>
      <c r="C1065" s="66">
        <v>41919</v>
      </c>
      <c r="D1065" s="68">
        <f t="shared" si="2182"/>
        <v>10</v>
      </c>
      <c r="E1065" s="66" t="str">
        <f t="shared" si="2183"/>
        <v>2014-Oct</v>
      </c>
      <c r="F1065" s="68">
        <f t="shared" si="2184"/>
        <v>10</v>
      </c>
      <c r="G1065" s="293" t="s">
        <v>93</v>
      </c>
      <c r="H1065" s="293" t="s">
        <v>115</v>
      </c>
      <c r="J1065" s="293" t="s">
        <v>119</v>
      </c>
      <c r="K1065" s="293" t="s">
        <v>119</v>
      </c>
      <c r="L1065" s="293" t="s">
        <v>83</v>
      </c>
      <c r="M1065" s="293" t="s">
        <v>1828</v>
      </c>
      <c r="N1065" s="293" t="s">
        <v>124</v>
      </c>
      <c r="O1065" s="293" t="s">
        <v>114</v>
      </c>
      <c r="P1065" s="64" t="s">
        <v>1776</v>
      </c>
      <c r="Q1065" s="2" t="s">
        <v>88</v>
      </c>
      <c r="R1065" s="64" t="s">
        <v>1777</v>
      </c>
      <c r="T1065" s="67"/>
      <c r="Y1065" s="293" t="str">
        <f t="shared" si="2142"/>
        <v>Obsolete</v>
      </c>
      <c r="Z1065" s="11">
        <f t="shared" si="2143"/>
        <v>41919</v>
      </c>
      <c r="AA1065" s="293" t="str">
        <f t="shared" si="2144"/>
        <v>2014 - 41</v>
      </c>
      <c r="AB1065" s="293">
        <f t="shared" si="2145"/>
        <v>2014</v>
      </c>
    </row>
    <row r="1066" spans="2:28" s="293" customFormat="1" x14ac:dyDescent="0.25">
      <c r="B1066" s="65">
        <v>41919</v>
      </c>
      <c r="C1066" s="66">
        <v>41919</v>
      </c>
      <c r="D1066" s="68">
        <f t="shared" si="2182"/>
        <v>10</v>
      </c>
      <c r="E1066" s="66" t="str">
        <f t="shared" si="2183"/>
        <v>2014-Oct</v>
      </c>
      <c r="F1066" s="68">
        <f t="shared" si="2184"/>
        <v>10</v>
      </c>
      <c r="G1066" s="293" t="s">
        <v>93</v>
      </c>
      <c r="H1066" s="293" t="s">
        <v>115</v>
      </c>
      <c r="J1066" s="293" t="s">
        <v>119</v>
      </c>
      <c r="K1066" s="293" t="s">
        <v>119</v>
      </c>
      <c r="L1066" s="293" t="s">
        <v>83</v>
      </c>
      <c r="M1066" s="293" t="s">
        <v>1829</v>
      </c>
      <c r="N1066" s="293" t="s">
        <v>124</v>
      </c>
      <c r="O1066" s="293" t="s">
        <v>114</v>
      </c>
      <c r="P1066" s="64" t="s">
        <v>1776</v>
      </c>
      <c r="Q1066" s="2" t="s">
        <v>88</v>
      </c>
      <c r="R1066" s="64" t="s">
        <v>1777</v>
      </c>
      <c r="T1066" s="67"/>
      <c r="Y1066" s="293" t="str">
        <f t="shared" si="2142"/>
        <v>Obsolete</v>
      </c>
      <c r="Z1066" s="11">
        <f t="shared" si="2143"/>
        <v>41919</v>
      </c>
      <c r="AA1066" s="293" t="str">
        <f t="shared" si="2144"/>
        <v>2014 - 41</v>
      </c>
      <c r="AB1066" s="293">
        <f t="shared" si="2145"/>
        <v>2014</v>
      </c>
    </row>
    <row r="1067" spans="2:28" x14ac:dyDescent="0.25">
      <c r="B1067" s="65">
        <v>41919</v>
      </c>
      <c r="C1067" s="66">
        <v>41919</v>
      </c>
      <c r="D1067" s="68">
        <f t="shared" ref="D1067" si="2185">IF(B1067&gt;0,MONTH(B1067),"False")</f>
        <v>10</v>
      </c>
      <c r="E1067" s="66" t="str">
        <f t="shared" ref="E1067" si="2186">YEAR(B1067) &amp; CHOOSE(D1067,"-Jan","-Feb","-Mar","-Apr","-May","-Jun","-Jul","-Aug","-Sep","-Oct","-Nov","-Dec")</f>
        <v>2014-Oct</v>
      </c>
      <c r="F1067" s="68">
        <f t="shared" ref="F1067" si="2187">IF(C1067&gt;0,MONTH(C1067),"False")</f>
        <v>10</v>
      </c>
      <c r="G1067" s="295" t="s">
        <v>121</v>
      </c>
      <c r="H1067" s="293" t="s">
        <v>280</v>
      </c>
      <c r="J1067" s="293" t="s">
        <v>146</v>
      </c>
      <c r="K1067" s="293" t="s">
        <v>82</v>
      </c>
      <c r="L1067" s="293" t="s">
        <v>79</v>
      </c>
      <c r="M1067" s="1" t="s">
        <v>1831</v>
      </c>
      <c r="N1067" s="293" t="s">
        <v>124</v>
      </c>
      <c r="O1067" s="293" t="s">
        <v>286</v>
      </c>
      <c r="P1067" s="64" t="s">
        <v>305</v>
      </c>
      <c r="R1067" s="64" t="s">
        <v>1559</v>
      </c>
      <c r="S1067" s="295" t="s">
        <v>104</v>
      </c>
      <c r="X1067" s="295" t="s">
        <v>544</v>
      </c>
      <c r="Y1067" s="290" t="str">
        <f t="shared" si="2142"/>
        <v>Pass</v>
      </c>
      <c r="Z1067" s="11" t="str">
        <f t="shared" si="2143"/>
        <v/>
      </c>
      <c r="AA1067" s="290" t="str">
        <f t="shared" si="2144"/>
        <v/>
      </c>
      <c r="AB1067" s="290" t="str">
        <f t="shared" si="2145"/>
        <v/>
      </c>
    </row>
    <row r="1068" spans="2:28" x14ac:dyDescent="0.25">
      <c r="B1068" s="65">
        <v>41919</v>
      </c>
      <c r="C1068" s="66">
        <v>41919</v>
      </c>
      <c r="D1068" s="68">
        <f t="shared" ref="D1068:D1069" si="2188">IF(B1068&gt;0,MONTH(B1068),"False")</f>
        <v>10</v>
      </c>
      <c r="E1068" s="66" t="str">
        <f t="shared" ref="E1068:E1069" si="2189">YEAR(B1068) &amp; CHOOSE(D1068,"-Jan","-Feb","-Mar","-Apr","-May","-Jun","-Jul","-Aug","-Sep","-Oct","-Nov","-Dec")</f>
        <v>2014-Oct</v>
      </c>
      <c r="F1068" s="68">
        <f t="shared" ref="F1068:F1069" si="2190">IF(C1068&gt;0,MONTH(C1068),"False")</f>
        <v>10</v>
      </c>
      <c r="G1068" s="295" t="s">
        <v>121</v>
      </c>
      <c r="H1068" s="293" t="s">
        <v>280</v>
      </c>
      <c r="I1068" s="293"/>
      <c r="J1068" s="293" t="s">
        <v>81</v>
      </c>
      <c r="K1068" s="293" t="s">
        <v>82</v>
      </c>
      <c r="L1068" s="293" t="s">
        <v>79</v>
      </c>
      <c r="M1068" s="293" t="s">
        <v>1832</v>
      </c>
      <c r="N1068" s="293" t="s">
        <v>124</v>
      </c>
      <c r="O1068" s="293" t="s">
        <v>286</v>
      </c>
      <c r="P1068" s="64" t="s">
        <v>305</v>
      </c>
      <c r="R1068" s="64" t="s">
        <v>1559</v>
      </c>
      <c r="S1068" s="295" t="s">
        <v>104</v>
      </c>
      <c r="X1068" s="295" t="s">
        <v>544</v>
      </c>
      <c r="Y1068" s="290" t="str">
        <f t="shared" si="2142"/>
        <v>Pass</v>
      </c>
      <c r="Z1068" s="11" t="str">
        <f t="shared" si="2143"/>
        <v/>
      </c>
      <c r="AA1068" s="290" t="str">
        <f t="shared" si="2144"/>
        <v/>
      </c>
      <c r="AB1068" s="290" t="str">
        <f t="shared" si="2145"/>
        <v/>
      </c>
    </row>
    <row r="1069" spans="2:28" x14ac:dyDescent="0.25">
      <c r="B1069" s="66">
        <v>41920</v>
      </c>
      <c r="C1069" s="66">
        <v>41920</v>
      </c>
      <c r="D1069" s="68">
        <f t="shared" si="2188"/>
        <v>10</v>
      </c>
      <c r="E1069" s="66" t="str">
        <f t="shared" si="2189"/>
        <v>2014-Oct</v>
      </c>
      <c r="F1069" s="68">
        <f t="shared" si="2190"/>
        <v>10</v>
      </c>
      <c r="G1069" s="294" t="s">
        <v>87</v>
      </c>
      <c r="H1069" s="294" t="s">
        <v>115</v>
      </c>
      <c r="J1069" s="294" t="s">
        <v>77</v>
      </c>
      <c r="K1069" s="294" t="s">
        <v>82</v>
      </c>
      <c r="L1069" s="294" t="s">
        <v>83</v>
      </c>
      <c r="M1069" s="1" t="s">
        <v>1833</v>
      </c>
      <c r="N1069" s="294" t="s">
        <v>124</v>
      </c>
      <c r="O1069" s="294" t="s">
        <v>353</v>
      </c>
      <c r="R1069" s="64" t="s">
        <v>1768</v>
      </c>
      <c r="T1069" s="67" t="s">
        <v>110</v>
      </c>
      <c r="Y1069" s="290" t="str">
        <f t="shared" si="2142"/>
        <v>Unknown</v>
      </c>
      <c r="Z1069" s="11" t="str">
        <f t="shared" si="2143"/>
        <v/>
      </c>
      <c r="AA1069" s="290" t="str">
        <f t="shared" si="2144"/>
        <v/>
      </c>
      <c r="AB1069" s="290" t="str">
        <f t="shared" si="2145"/>
        <v/>
      </c>
    </row>
    <row r="1070" spans="2:28" x14ac:dyDescent="0.25">
      <c r="B1070" s="65">
        <v>41920</v>
      </c>
      <c r="C1070" s="66">
        <v>41920</v>
      </c>
      <c r="D1070" s="68">
        <f t="shared" ref="D1070" si="2191">IF(B1070&gt;0,MONTH(B1070),"False")</f>
        <v>10</v>
      </c>
      <c r="E1070" s="66" t="str">
        <f t="shared" ref="E1070" si="2192">YEAR(B1070) &amp; CHOOSE(D1070,"-Jan","-Feb","-Mar","-Apr","-May","-Jun","-Jul","-Aug","-Sep","-Oct","-Nov","-Dec")</f>
        <v>2014-Oct</v>
      </c>
      <c r="F1070" s="68">
        <f t="shared" ref="F1070" si="2193">IF(C1070&gt;0,MONTH(C1070),"False")</f>
        <v>10</v>
      </c>
      <c r="G1070" s="294" t="s">
        <v>93</v>
      </c>
      <c r="H1070" s="294" t="s">
        <v>115</v>
      </c>
      <c r="J1070" s="294" t="s">
        <v>119</v>
      </c>
      <c r="K1070" s="294" t="s">
        <v>119</v>
      </c>
      <c r="L1070" s="294" t="s">
        <v>79</v>
      </c>
      <c r="M1070" s="1" t="s">
        <v>1834</v>
      </c>
      <c r="N1070" s="294" t="s">
        <v>124</v>
      </c>
      <c r="O1070" s="294" t="s">
        <v>353</v>
      </c>
      <c r="P1070" s="64" t="s">
        <v>1776</v>
      </c>
      <c r="Q1070" s="2" t="s">
        <v>88</v>
      </c>
      <c r="R1070" s="64" t="s">
        <v>1777</v>
      </c>
      <c r="Y1070" s="290" t="str">
        <f t="shared" si="2142"/>
        <v>Obsolete</v>
      </c>
      <c r="Z1070" s="11">
        <f t="shared" si="2143"/>
        <v>41920</v>
      </c>
      <c r="AA1070" s="290" t="str">
        <f t="shared" si="2144"/>
        <v>2014 - 41</v>
      </c>
      <c r="AB1070" s="290">
        <f t="shared" si="2145"/>
        <v>2014</v>
      </c>
    </row>
    <row r="1071" spans="2:28" x14ac:dyDescent="0.25">
      <c r="B1071" s="65">
        <v>41921</v>
      </c>
      <c r="C1071" s="66">
        <v>41921</v>
      </c>
      <c r="D1071" s="68">
        <f t="shared" ref="D1071:D1075" si="2194">IF(B1071&gt;0,MONTH(B1071),"False")</f>
        <v>10</v>
      </c>
      <c r="E1071" s="66" t="str">
        <f t="shared" ref="E1071:E1075" si="2195">YEAR(B1071) &amp; CHOOSE(D1071,"-Jan","-Feb","-Mar","-Apr","-May","-Jun","-Jul","-Aug","-Sep","-Oct","-Nov","-Dec")</f>
        <v>2014-Oct</v>
      </c>
      <c r="F1071" s="68">
        <f t="shared" ref="F1071:F1075" si="2196">IF(C1071&gt;0,MONTH(C1071),"False")</f>
        <v>10</v>
      </c>
      <c r="G1071" s="295" t="s">
        <v>93</v>
      </c>
      <c r="H1071" s="295" t="s">
        <v>280</v>
      </c>
      <c r="J1071" s="295" t="s">
        <v>81</v>
      </c>
      <c r="K1071" s="295" t="s">
        <v>82</v>
      </c>
      <c r="L1071" s="295" t="s">
        <v>79</v>
      </c>
      <c r="M1071" s="1" t="s">
        <v>1837</v>
      </c>
      <c r="N1071" s="295" t="s">
        <v>124</v>
      </c>
      <c r="O1071" s="295" t="s">
        <v>286</v>
      </c>
      <c r="P1071" s="64" t="s">
        <v>305</v>
      </c>
      <c r="R1071" s="64" t="s">
        <v>1559</v>
      </c>
      <c r="S1071" s="305" t="s">
        <v>104</v>
      </c>
      <c r="T1071" s="67" t="s">
        <v>110</v>
      </c>
      <c r="Y1071" s="290" t="str">
        <f t="shared" si="2142"/>
        <v>Pass</v>
      </c>
      <c r="Z1071" s="11" t="str">
        <f t="shared" si="2143"/>
        <v/>
      </c>
      <c r="AA1071" s="290" t="str">
        <f t="shared" si="2144"/>
        <v/>
      </c>
      <c r="AB1071" s="290" t="str">
        <f t="shared" si="2145"/>
        <v/>
      </c>
    </row>
    <row r="1072" spans="2:28" x14ac:dyDescent="0.25">
      <c r="B1072" s="66">
        <v>41922</v>
      </c>
      <c r="C1072" s="66">
        <v>41922</v>
      </c>
      <c r="D1072" s="68">
        <f t="shared" si="2194"/>
        <v>10</v>
      </c>
      <c r="E1072" s="66" t="str">
        <f t="shared" si="2195"/>
        <v>2014-Oct</v>
      </c>
      <c r="F1072" s="68">
        <f t="shared" si="2196"/>
        <v>10</v>
      </c>
      <c r="G1072" s="295" t="s">
        <v>87</v>
      </c>
      <c r="H1072" s="295" t="s">
        <v>166</v>
      </c>
      <c r="J1072" s="295" t="s">
        <v>150</v>
      </c>
      <c r="K1072" s="295" t="s">
        <v>84</v>
      </c>
      <c r="L1072" s="295" t="s">
        <v>83</v>
      </c>
      <c r="M1072" s="1" t="s">
        <v>1835</v>
      </c>
      <c r="N1072" s="295" t="s">
        <v>124</v>
      </c>
      <c r="O1072" s="295" t="s">
        <v>264</v>
      </c>
      <c r="R1072" s="64" t="s">
        <v>1838</v>
      </c>
      <c r="Y1072" s="290" t="str">
        <f t="shared" si="2142"/>
        <v>Unknown</v>
      </c>
      <c r="Z1072" s="11" t="str">
        <f t="shared" si="2143"/>
        <v/>
      </c>
      <c r="AA1072" s="290" t="str">
        <f t="shared" si="2144"/>
        <v/>
      </c>
      <c r="AB1072" s="290" t="str">
        <f t="shared" si="2145"/>
        <v/>
      </c>
    </row>
    <row r="1073" spans="2:28" s="295" customFormat="1" x14ac:dyDescent="0.25">
      <c r="B1073" s="65">
        <v>41922</v>
      </c>
      <c r="C1073" s="66">
        <v>41922</v>
      </c>
      <c r="D1073" s="68">
        <f t="shared" si="2194"/>
        <v>10</v>
      </c>
      <c r="E1073" s="66" t="str">
        <f t="shared" si="2195"/>
        <v>2014-Oct</v>
      </c>
      <c r="F1073" s="68">
        <f t="shared" si="2196"/>
        <v>10</v>
      </c>
      <c r="G1073" s="295" t="s">
        <v>93</v>
      </c>
      <c r="H1073" s="295" t="s">
        <v>115</v>
      </c>
      <c r="J1073" s="295" t="s">
        <v>119</v>
      </c>
      <c r="K1073" s="295" t="s">
        <v>119</v>
      </c>
      <c r="L1073" s="295" t="s">
        <v>83</v>
      </c>
      <c r="M1073" s="295" t="s">
        <v>1839</v>
      </c>
      <c r="N1073" s="295" t="s">
        <v>124</v>
      </c>
      <c r="O1073" s="295" t="s">
        <v>114</v>
      </c>
      <c r="P1073" s="64" t="s">
        <v>1776</v>
      </c>
      <c r="Q1073" s="2" t="s">
        <v>88</v>
      </c>
      <c r="R1073" s="64" t="s">
        <v>1777</v>
      </c>
      <c r="T1073" s="67"/>
      <c r="Y1073" s="295" t="str">
        <f t="shared" ref="Y1073:Y1075" si="2197">IF(Q1073&gt;0,"Obsolete",IF(S1073&gt;0,S1073,"Unknown"))</f>
        <v>Obsolete</v>
      </c>
      <c r="Z1073" s="11">
        <f t="shared" ref="Z1073:Z1075" si="2198">IF(Q1073="Obsolete-LQA",C1073,IF(Q1073="Obsolete-IT",B1073,""))</f>
        <v>41922</v>
      </c>
      <c r="AA1073" s="295" t="str">
        <f t="shared" ref="AA1073:AA1075" si="2199">IFERROR(YEAR(Z1073)&amp;" - "&amp; IF(LEN( WEEKNUM(Z1073))=1,"0" &amp; WEEKNUM(Z1073),WEEKNUM(Z1073)),"")</f>
        <v>2014 - 41</v>
      </c>
      <c r="AB1073" s="295">
        <f t="shared" ref="AB1073:AB1075" si="2200">IFERROR(YEAR(Z1073),"")</f>
        <v>2014</v>
      </c>
    </row>
    <row r="1074" spans="2:28" s="295" customFormat="1" x14ac:dyDescent="0.25">
      <c r="B1074" s="65">
        <v>41922</v>
      </c>
      <c r="C1074" s="66">
        <v>41922</v>
      </c>
      <c r="D1074" s="68">
        <f t="shared" si="2194"/>
        <v>10</v>
      </c>
      <c r="E1074" s="66" t="str">
        <f t="shared" si="2195"/>
        <v>2014-Oct</v>
      </c>
      <c r="F1074" s="68">
        <f t="shared" si="2196"/>
        <v>10</v>
      </c>
      <c r="G1074" s="295" t="s">
        <v>93</v>
      </c>
      <c r="H1074" s="295" t="s">
        <v>115</v>
      </c>
      <c r="J1074" s="295" t="s">
        <v>119</v>
      </c>
      <c r="K1074" s="295" t="s">
        <v>119</v>
      </c>
      <c r="L1074" s="295" t="s">
        <v>83</v>
      </c>
      <c r="M1074" s="295" t="s">
        <v>1840</v>
      </c>
      <c r="N1074" s="295" t="s">
        <v>124</v>
      </c>
      <c r="O1074" s="295" t="s">
        <v>114</v>
      </c>
      <c r="P1074" s="64" t="s">
        <v>1776</v>
      </c>
      <c r="Q1074" s="2" t="s">
        <v>88</v>
      </c>
      <c r="R1074" s="64" t="s">
        <v>1777</v>
      </c>
      <c r="T1074" s="67"/>
      <c r="Y1074" s="295" t="str">
        <f t="shared" si="2197"/>
        <v>Obsolete</v>
      </c>
      <c r="Z1074" s="11">
        <f t="shared" si="2198"/>
        <v>41922</v>
      </c>
      <c r="AA1074" s="295" t="str">
        <f t="shared" si="2199"/>
        <v>2014 - 41</v>
      </c>
      <c r="AB1074" s="295">
        <f t="shared" si="2200"/>
        <v>2014</v>
      </c>
    </row>
    <row r="1075" spans="2:28" s="295" customFormat="1" x14ac:dyDescent="0.25">
      <c r="B1075" s="65">
        <v>41922</v>
      </c>
      <c r="C1075" s="66">
        <v>41922</v>
      </c>
      <c r="D1075" s="68">
        <f t="shared" si="2194"/>
        <v>10</v>
      </c>
      <c r="E1075" s="66" t="str">
        <f t="shared" si="2195"/>
        <v>2014-Oct</v>
      </c>
      <c r="F1075" s="68">
        <f t="shared" si="2196"/>
        <v>10</v>
      </c>
      <c r="G1075" s="295" t="s">
        <v>93</v>
      </c>
      <c r="H1075" s="295" t="s">
        <v>115</v>
      </c>
      <c r="J1075" s="295" t="s">
        <v>119</v>
      </c>
      <c r="K1075" s="295" t="s">
        <v>119</v>
      </c>
      <c r="L1075" s="295" t="s">
        <v>83</v>
      </c>
      <c r="M1075" s="295" t="s">
        <v>1841</v>
      </c>
      <c r="N1075" s="295" t="s">
        <v>124</v>
      </c>
      <c r="O1075" s="295" t="s">
        <v>114</v>
      </c>
      <c r="P1075" s="64" t="s">
        <v>1776</v>
      </c>
      <c r="Q1075" s="2"/>
      <c r="R1075" s="64" t="s">
        <v>1777</v>
      </c>
      <c r="T1075" s="67"/>
      <c r="Y1075" s="295" t="str">
        <f t="shared" si="2197"/>
        <v>Unknown</v>
      </c>
      <c r="Z1075" s="11" t="str">
        <f t="shared" si="2198"/>
        <v/>
      </c>
      <c r="AA1075" s="295" t="str">
        <f t="shared" si="2199"/>
        <v/>
      </c>
      <c r="AB1075" s="295" t="str">
        <f t="shared" si="2200"/>
        <v/>
      </c>
    </row>
    <row r="1076" spans="2:28" x14ac:dyDescent="0.25">
      <c r="B1076" s="66">
        <v>41922</v>
      </c>
      <c r="C1076" s="66">
        <v>41922</v>
      </c>
      <c r="D1076" s="68">
        <f t="shared" ref="D1076" si="2201">IF(B1076&gt;0,MONTH(B1076),"False")</f>
        <v>10</v>
      </c>
      <c r="E1076" s="66" t="str">
        <f t="shared" ref="E1076" si="2202">YEAR(B1076) &amp; CHOOSE(D1076,"-Jan","-Feb","-Mar","-Apr","-May","-Jun","-Jul","-Aug","-Sep","-Oct","-Nov","-Dec")</f>
        <v>2014-Oct</v>
      </c>
      <c r="F1076" s="68">
        <f t="shared" ref="F1076" si="2203">IF(C1076&gt;0,MONTH(C1076),"False")</f>
        <v>10</v>
      </c>
      <c r="G1076" s="295" t="s">
        <v>87</v>
      </c>
      <c r="H1076" s="295" t="s">
        <v>280</v>
      </c>
      <c r="J1076" s="295" t="s">
        <v>78</v>
      </c>
      <c r="K1076" s="295" t="s">
        <v>78</v>
      </c>
      <c r="L1076" s="295" t="s">
        <v>79</v>
      </c>
      <c r="M1076" s="1" t="s">
        <v>1842</v>
      </c>
      <c r="N1076" s="295" t="s">
        <v>124</v>
      </c>
      <c r="O1076" s="295" t="s">
        <v>304</v>
      </c>
      <c r="R1076" s="64" t="s">
        <v>344</v>
      </c>
      <c r="S1076" s="306" t="s">
        <v>104</v>
      </c>
      <c r="Y1076" s="290" t="str">
        <f t="shared" si="2142"/>
        <v>Pass</v>
      </c>
      <c r="Z1076" s="11" t="str">
        <f t="shared" si="2143"/>
        <v/>
      </c>
      <c r="AA1076" s="290" t="str">
        <f t="shared" si="2144"/>
        <v/>
      </c>
      <c r="AB1076" s="290" t="str">
        <f t="shared" si="2145"/>
        <v/>
      </c>
    </row>
    <row r="1077" spans="2:28" x14ac:dyDescent="0.25">
      <c r="B1077" s="66">
        <v>41922</v>
      </c>
      <c r="C1077" s="66">
        <v>41922</v>
      </c>
      <c r="D1077" s="68">
        <f t="shared" ref="D1077:D1078" si="2204">IF(B1077&gt;0,MONTH(B1077),"False")</f>
        <v>10</v>
      </c>
      <c r="E1077" s="66" t="str">
        <f t="shared" ref="E1077:E1078" si="2205">YEAR(B1077) &amp; CHOOSE(D1077,"-Jan","-Feb","-Mar","-Apr","-May","-Jun","-Jul","-Aug","-Sep","-Oct","-Nov","-Dec")</f>
        <v>2014-Oct</v>
      </c>
      <c r="F1077" s="68">
        <f t="shared" ref="F1077:F1078" si="2206">IF(C1077&gt;0,MONTH(C1077),"False")</f>
        <v>10</v>
      </c>
      <c r="G1077" s="295" t="s">
        <v>87</v>
      </c>
      <c r="H1077" s="295" t="s">
        <v>115</v>
      </c>
      <c r="J1077" s="295" t="s">
        <v>78</v>
      </c>
      <c r="K1077" s="295" t="s">
        <v>78</v>
      </c>
      <c r="L1077" s="295" t="s">
        <v>79</v>
      </c>
      <c r="M1077" s="1" t="s">
        <v>1843</v>
      </c>
      <c r="N1077" s="295" t="s">
        <v>124</v>
      </c>
      <c r="O1077" s="295" t="s">
        <v>332</v>
      </c>
      <c r="R1077" s="64" t="s">
        <v>1770</v>
      </c>
      <c r="Y1077" s="290" t="str">
        <f t="shared" si="2142"/>
        <v>Unknown</v>
      </c>
      <c r="Z1077" s="11" t="str">
        <f t="shared" si="2143"/>
        <v/>
      </c>
      <c r="AA1077" s="290" t="str">
        <f t="shared" si="2144"/>
        <v/>
      </c>
      <c r="AB1077" s="290" t="str">
        <f t="shared" si="2145"/>
        <v/>
      </c>
    </row>
    <row r="1078" spans="2:28" x14ac:dyDescent="0.25">
      <c r="B1078" s="65">
        <v>41922</v>
      </c>
      <c r="C1078" s="66">
        <v>41922</v>
      </c>
      <c r="D1078" s="68">
        <f t="shared" si="2204"/>
        <v>10</v>
      </c>
      <c r="E1078" s="66" t="str">
        <f t="shared" si="2205"/>
        <v>2014-Oct</v>
      </c>
      <c r="F1078" s="68">
        <f t="shared" si="2206"/>
        <v>10</v>
      </c>
      <c r="G1078" s="295" t="s">
        <v>93</v>
      </c>
      <c r="H1078" s="295" t="s">
        <v>280</v>
      </c>
      <c r="J1078" s="295" t="s">
        <v>146</v>
      </c>
      <c r="K1078" s="295" t="s">
        <v>82</v>
      </c>
      <c r="L1078" s="295" t="s">
        <v>79</v>
      </c>
      <c r="M1078" s="1" t="s">
        <v>1844</v>
      </c>
      <c r="N1078" s="295" t="s">
        <v>124</v>
      </c>
      <c r="O1078" s="295" t="s">
        <v>116</v>
      </c>
      <c r="P1078" s="64" t="s">
        <v>305</v>
      </c>
      <c r="R1078" s="64" t="s">
        <v>1559</v>
      </c>
      <c r="Y1078" s="290" t="str">
        <f t="shared" si="2142"/>
        <v>Unknown</v>
      </c>
      <c r="Z1078" s="11" t="str">
        <f t="shared" si="2143"/>
        <v/>
      </c>
      <c r="AA1078" s="290" t="str">
        <f t="shared" si="2144"/>
        <v/>
      </c>
      <c r="AB1078" s="290" t="str">
        <f t="shared" si="2145"/>
        <v/>
      </c>
    </row>
    <row r="1079" spans="2:28" x14ac:dyDescent="0.25">
      <c r="B1079" s="65">
        <v>41922</v>
      </c>
      <c r="C1079" s="66">
        <v>41922</v>
      </c>
      <c r="D1079" s="68">
        <f t="shared" ref="D1079:D1080" si="2207">IF(B1079&gt;0,MONTH(B1079),"False")</f>
        <v>10</v>
      </c>
      <c r="E1079" s="66" t="str">
        <f t="shared" ref="E1079:E1080" si="2208">YEAR(B1079) &amp; CHOOSE(D1079,"-Jan","-Feb","-Mar","-Apr","-May","-Jun","-Jul","-Aug","-Sep","-Oct","-Nov","-Dec")</f>
        <v>2014-Oct</v>
      </c>
      <c r="F1079" s="68">
        <f t="shared" ref="F1079:F1080" si="2209">IF(C1079&gt;0,MONTH(C1079),"False")</f>
        <v>10</v>
      </c>
      <c r="G1079" s="295" t="s">
        <v>93</v>
      </c>
      <c r="H1079" s="295" t="s">
        <v>280</v>
      </c>
      <c r="I1079" s="295"/>
      <c r="J1079" s="295" t="s">
        <v>81</v>
      </c>
      <c r="K1079" s="295" t="s">
        <v>82</v>
      </c>
      <c r="L1079" s="295" t="s">
        <v>79</v>
      </c>
      <c r="M1079" s="295" t="s">
        <v>1845</v>
      </c>
      <c r="N1079" s="295" t="s">
        <v>124</v>
      </c>
      <c r="O1079" s="295" t="s">
        <v>116</v>
      </c>
      <c r="P1079" s="64" t="s">
        <v>305</v>
      </c>
      <c r="R1079" s="64" t="s">
        <v>1559</v>
      </c>
      <c r="S1079" s="295"/>
      <c r="Y1079" s="290" t="str">
        <f t="shared" si="2142"/>
        <v>Unknown</v>
      </c>
      <c r="Z1079" s="11" t="str">
        <f t="shared" si="2143"/>
        <v/>
      </c>
      <c r="AA1079" s="290" t="str">
        <f t="shared" si="2144"/>
        <v/>
      </c>
      <c r="AB1079" s="290" t="str">
        <f t="shared" si="2145"/>
        <v/>
      </c>
    </row>
    <row r="1080" spans="2:28" x14ac:dyDescent="0.25">
      <c r="B1080" s="66">
        <v>41922</v>
      </c>
      <c r="C1080" s="66">
        <v>41922</v>
      </c>
      <c r="D1080" s="68">
        <f t="shared" si="2207"/>
        <v>10</v>
      </c>
      <c r="E1080" s="66" t="str">
        <f t="shared" si="2208"/>
        <v>2014-Oct</v>
      </c>
      <c r="F1080" s="68">
        <f t="shared" si="2209"/>
        <v>10</v>
      </c>
      <c r="G1080" s="295" t="s">
        <v>87</v>
      </c>
      <c r="H1080" s="295" t="s">
        <v>166</v>
      </c>
      <c r="I1080" s="295"/>
      <c r="J1080" s="295" t="s">
        <v>292</v>
      </c>
      <c r="K1080" s="295" t="s">
        <v>292</v>
      </c>
      <c r="L1080" s="295" t="s">
        <v>83</v>
      </c>
      <c r="M1080" s="295" t="s">
        <v>1846</v>
      </c>
      <c r="N1080" s="295" t="s">
        <v>124</v>
      </c>
      <c r="O1080" s="295" t="s">
        <v>156</v>
      </c>
      <c r="P1080" s="295"/>
      <c r="Q1080" s="2" t="s">
        <v>88</v>
      </c>
      <c r="R1080" s="64" t="s">
        <v>487</v>
      </c>
      <c r="S1080" s="295"/>
      <c r="Y1080" s="290" t="str">
        <f t="shared" si="2142"/>
        <v>Obsolete</v>
      </c>
      <c r="Z1080" s="11">
        <f t="shared" si="2143"/>
        <v>41922</v>
      </c>
      <c r="AA1080" s="290" t="str">
        <f t="shared" si="2144"/>
        <v>2014 - 41</v>
      </c>
      <c r="AB1080" s="290">
        <f t="shared" si="2145"/>
        <v>2014</v>
      </c>
    </row>
    <row r="1081" spans="2:28" x14ac:dyDescent="0.25">
      <c r="B1081" s="65">
        <v>41922</v>
      </c>
      <c r="C1081" s="66">
        <v>41922</v>
      </c>
      <c r="D1081" s="68">
        <f t="shared" ref="D1081" si="2210">IF(B1081&gt;0,MONTH(B1081),"False")</f>
        <v>10</v>
      </c>
      <c r="E1081" s="66" t="str">
        <f t="shared" ref="E1081" si="2211">YEAR(B1081) &amp; CHOOSE(D1081,"-Jan","-Feb","-Mar","-Apr","-May","-Jun","-Jul","-Aug","-Sep","-Oct","-Nov","-Dec")</f>
        <v>2014-Oct</v>
      </c>
      <c r="F1081" s="68">
        <f t="shared" ref="F1081" si="2212">IF(C1081&gt;0,MONTH(C1081),"False")</f>
        <v>10</v>
      </c>
      <c r="G1081" s="295" t="s">
        <v>121</v>
      </c>
      <c r="H1081" s="295" t="s">
        <v>103</v>
      </c>
      <c r="J1081" s="295" t="s">
        <v>77</v>
      </c>
      <c r="K1081" s="295" t="s">
        <v>82</v>
      </c>
      <c r="L1081" s="295" t="s">
        <v>79</v>
      </c>
      <c r="M1081" s="1" t="s">
        <v>1847</v>
      </c>
      <c r="N1081" s="295" t="s">
        <v>124</v>
      </c>
      <c r="O1081" s="295" t="s">
        <v>265</v>
      </c>
      <c r="P1081" s="64" t="s">
        <v>361</v>
      </c>
      <c r="R1081" s="64" t="s">
        <v>351</v>
      </c>
      <c r="S1081" s="295" t="s">
        <v>104</v>
      </c>
      <c r="X1081" s="295" t="s">
        <v>1474</v>
      </c>
      <c r="Y1081" s="290" t="str">
        <f t="shared" si="2142"/>
        <v>Pass</v>
      </c>
      <c r="Z1081" s="11" t="str">
        <f t="shared" si="2143"/>
        <v/>
      </c>
      <c r="AA1081" s="290" t="str">
        <f t="shared" si="2144"/>
        <v/>
      </c>
      <c r="AB1081" s="290" t="str">
        <f t="shared" si="2145"/>
        <v/>
      </c>
    </row>
    <row r="1082" spans="2:28" x14ac:dyDescent="0.25">
      <c r="B1082" s="65">
        <v>41922</v>
      </c>
      <c r="C1082" s="66">
        <v>41922</v>
      </c>
      <c r="D1082" s="68">
        <f t="shared" ref="D1082:D1083" si="2213">IF(B1082&gt;0,MONTH(B1082),"False")</f>
        <v>10</v>
      </c>
      <c r="E1082" s="66" t="str">
        <f t="shared" ref="E1082:E1083" si="2214">YEAR(B1082) &amp; CHOOSE(D1082,"-Jan","-Feb","-Mar","-Apr","-May","-Jun","-Jul","-Aug","-Sep","-Oct","-Nov","-Dec")</f>
        <v>2014-Oct</v>
      </c>
      <c r="F1082" s="68">
        <f t="shared" ref="F1082:F1083" si="2215">IF(C1082&gt;0,MONTH(C1082),"False")</f>
        <v>10</v>
      </c>
      <c r="G1082" s="295" t="s">
        <v>93</v>
      </c>
      <c r="H1082" s="1" t="s">
        <v>1745</v>
      </c>
      <c r="I1082" s="360" t="s">
        <v>2139</v>
      </c>
      <c r="J1082" s="295" t="s">
        <v>81</v>
      </c>
      <c r="K1082" s="295" t="s">
        <v>82</v>
      </c>
      <c r="L1082" s="295" t="s">
        <v>79</v>
      </c>
      <c r="M1082" s="295" t="s">
        <v>1848</v>
      </c>
      <c r="N1082" s="295" t="s">
        <v>124</v>
      </c>
      <c r="O1082" s="295" t="s">
        <v>273</v>
      </c>
      <c r="P1082" s="64" t="s">
        <v>1823</v>
      </c>
      <c r="Q1082" s="2" t="s">
        <v>88</v>
      </c>
      <c r="R1082" s="64" t="s">
        <v>1824</v>
      </c>
      <c r="Y1082" s="290" t="str">
        <f t="shared" si="2142"/>
        <v>Obsolete</v>
      </c>
      <c r="Z1082" s="11">
        <f t="shared" si="2143"/>
        <v>41922</v>
      </c>
      <c r="AA1082" s="290" t="str">
        <f t="shared" si="2144"/>
        <v>2014 - 41</v>
      </c>
      <c r="AB1082" s="290">
        <f t="shared" si="2145"/>
        <v>2014</v>
      </c>
    </row>
    <row r="1083" spans="2:28" x14ac:dyDescent="0.25">
      <c r="B1083" s="66">
        <v>41922</v>
      </c>
      <c r="C1083" s="66">
        <v>41922</v>
      </c>
      <c r="D1083" s="68">
        <f t="shared" si="2213"/>
        <v>10</v>
      </c>
      <c r="E1083" s="66" t="str">
        <f t="shared" si="2214"/>
        <v>2014-Oct</v>
      </c>
      <c r="F1083" s="68">
        <f t="shared" si="2215"/>
        <v>10</v>
      </c>
      <c r="G1083" s="311" t="s">
        <v>126</v>
      </c>
      <c r="H1083" s="295" t="s">
        <v>136</v>
      </c>
      <c r="J1083" s="295" t="s">
        <v>78</v>
      </c>
      <c r="K1083" s="295" t="s">
        <v>78</v>
      </c>
      <c r="L1083" s="295" t="s">
        <v>79</v>
      </c>
      <c r="M1083" s="1" t="s">
        <v>1849</v>
      </c>
      <c r="N1083" s="295" t="s">
        <v>124</v>
      </c>
      <c r="O1083" s="295" t="s">
        <v>324</v>
      </c>
      <c r="R1083" s="64" t="s">
        <v>1850</v>
      </c>
      <c r="S1083" s="311" t="s">
        <v>104</v>
      </c>
      <c r="X1083" s="311" t="s">
        <v>158</v>
      </c>
      <c r="Y1083" s="290" t="str">
        <f t="shared" si="2142"/>
        <v>Pass</v>
      </c>
      <c r="Z1083" s="11" t="str">
        <f t="shared" si="2143"/>
        <v/>
      </c>
      <c r="AA1083" s="290" t="str">
        <f t="shared" si="2144"/>
        <v/>
      </c>
      <c r="AB1083" s="290" t="str">
        <f t="shared" si="2145"/>
        <v/>
      </c>
    </row>
    <row r="1084" spans="2:28" x14ac:dyDescent="0.25">
      <c r="B1084" s="66">
        <v>41922</v>
      </c>
      <c r="C1084" s="66">
        <v>41922</v>
      </c>
      <c r="D1084" s="68">
        <f t="shared" ref="D1084" si="2216">IF(B1084&gt;0,MONTH(B1084),"False")</f>
        <v>10</v>
      </c>
      <c r="E1084" s="66" t="str">
        <f t="shared" ref="E1084" si="2217">YEAR(B1084) &amp; CHOOSE(D1084,"-Jan","-Feb","-Mar","-Apr","-May","-Jun","-Jul","-Aug","-Sep","-Oct","-Nov","-Dec")</f>
        <v>2014-Oct</v>
      </c>
      <c r="F1084" s="68">
        <f t="shared" ref="F1084" si="2218">IF(C1084&gt;0,MONTH(C1084),"False")</f>
        <v>10</v>
      </c>
      <c r="G1084" s="299" t="s">
        <v>112</v>
      </c>
      <c r="H1084" s="295" t="s">
        <v>1745</v>
      </c>
      <c r="J1084" s="295" t="s">
        <v>78</v>
      </c>
      <c r="K1084" s="295" t="s">
        <v>78</v>
      </c>
      <c r="L1084" s="295" t="s">
        <v>79</v>
      </c>
      <c r="M1084" s="1" t="s">
        <v>1851</v>
      </c>
      <c r="N1084" s="295" t="s">
        <v>124</v>
      </c>
      <c r="O1084" s="295" t="s">
        <v>145</v>
      </c>
      <c r="R1084" s="64" t="s">
        <v>1796</v>
      </c>
      <c r="S1084" s="299" t="s">
        <v>104</v>
      </c>
      <c r="X1084" s="299" t="s">
        <v>1830</v>
      </c>
      <c r="Y1084" s="290" t="str">
        <f t="shared" si="2142"/>
        <v>Pass</v>
      </c>
      <c r="Z1084" s="11" t="str">
        <f t="shared" si="2143"/>
        <v/>
      </c>
      <c r="AA1084" s="290" t="str">
        <f t="shared" si="2144"/>
        <v/>
      </c>
      <c r="AB1084" s="290" t="str">
        <f t="shared" si="2145"/>
        <v/>
      </c>
    </row>
    <row r="1085" spans="2:28" x14ac:dyDescent="0.25">
      <c r="B1085" s="66">
        <v>41922</v>
      </c>
      <c r="C1085" s="66">
        <v>41922</v>
      </c>
      <c r="D1085" s="68">
        <f t="shared" ref="D1085" si="2219">IF(B1085&gt;0,MONTH(B1085),"False")</f>
        <v>10</v>
      </c>
      <c r="E1085" s="66" t="str">
        <f t="shared" ref="E1085" si="2220">YEAR(B1085) &amp; CHOOSE(D1085,"-Jan","-Feb","-Mar","-Apr","-May","-Jun","-Jul","-Aug","-Sep","-Oct","-Nov","-Dec")</f>
        <v>2014-Oct</v>
      </c>
      <c r="F1085" s="68">
        <f t="shared" ref="F1085" si="2221">IF(C1085&gt;0,MONTH(C1085),"False")</f>
        <v>10</v>
      </c>
      <c r="G1085" s="295" t="s">
        <v>87</v>
      </c>
      <c r="H1085" s="295" t="s">
        <v>115</v>
      </c>
      <c r="J1085" s="295" t="s">
        <v>292</v>
      </c>
      <c r="K1085" s="295" t="s">
        <v>292</v>
      </c>
      <c r="L1085" s="295" t="s">
        <v>83</v>
      </c>
      <c r="M1085" s="1" t="s">
        <v>1852</v>
      </c>
      <c r="N1085" s="295" t="s">
        <v>124</v>
      </c>
      <c r="O1085" s="295" t="s">
        <v>156</v>
      </c>
      <c r="Q1085" s="2" t="s">
        <v>88</v>
      </c>
      <c r="R1085" s="64" t="s">
        <v>1853</v>
      </c>
      <c r="Y1085" s="290" t="str">
        <f t="shared" si="2142"/>
        <v>Obsolete</v>
      </c>
      <c r="Z1085" s="11">
        <f t="shared" si="2143"/>
        <v>41922</v>
      </c>
      <c r="AA1085" s="290" t="str">
        <f t="shared" si="2144"/>
        <v>2014 - 41</v>
      </c>
      <c r="AB1085" s="290">
        <f t="shared" si="2145"/>
        <v>2014</v>
      </c>
    </row>
    <row r="1086" spans="2:28" x14ac:dyDescent="0.25">
      <c r="B1086" s="66">
        <v>41922</v>
      </c>
      <c r="C1086" s="66">
        <v>41922</v>
      </c>
      <c r="D1086" s="68">
        <f t="shared" ref="D1086" si="2222">IF(B1086&gt;0,MONTH(B1086),"False")</f>
        <v>10</v>
      </c>
      <c r="E1086" s="66" t="str">
        <f t="shared" ref="E1086" si="2223">YEAR(B1086) &amp; CHOOSE(D1086,"-Jan","-Feb","-Mar","-Apr","-May","-Jun","-Jul","-Aug","-Sep","-Oct","-Nov","-Dec")</f>
        <v>2014-Oct</v>
      </c>
      <c r="F1086" s="68">
        <f t="shared" ref="F1086" si="2224">IF(C1086&gt;0,MONTH(C1086),"False")</f>
        <v>10</v>
      </c>
      <c r="G1086" s="295" t="s">
        <v>87</v>
      </c>
      <c r="H1086" s="295" t="s">
        <v>115</v>
      </c>
      <c r="J1086" s="295" t="s">
        <v>77</v>
      </c>
      <c r="K1086" s="295" t="s">
        <v>82</v>
      </c>
      <c r="L1086" s="295" t="s">
        <v>83</v>
      </c>
      <c r="M1086" s="1" t="s">
        <v>1854</v>
      </c>
      <c r="N1086" s="295" t="s">
        <v>124</v>
      </c>
      <c r="O1086" s="295" t="s">
        <v>353</v>
      </c>
      <c r="R1086" s="64" t="s">
        <v>1768</v>
      </c>
      <c r="T1086" s="67" t="s">
        <v>110</v>
      </c>
      <c r="Y1086" s="290" t="str">
        <f t="shared" si="2142"/>
        <v>Unknown</v>
      </c>
      <c r="Z1086" s="11" t="str">
        <f t="shared" si="2143"/>
        <v/>
      </c>
      <c r="AA1086" s="290" t="str">
        <f t="shared" si="2144"/>
        <v/>
      </c>
      <c r="AB1086" s="290" t="str">
        <f t="shared" si="2145"/>
        <v/>
      </c>
    </row>
    <row r="1087" spans="2:28" x14ac:dyDescent="0.25">
      <c r="B1087" s="66">
        <v>41922</v>
      </c>
      <c r="C1087" s="66">
        <v>41922</v>
      </c>
      <c r="D1087" s="68">
        <f t="shared" ref="D1087:D1088" si="2225">IF(B1087&gt;0,MONTH(B1087),"False")</f>
        <v>10</v>
      </c>
      <c r="E1087" s="66" t="str">
        <f t="shared" ref="E1087:E1088" si="2226">YEAR(B1087) &amp; CHOOSE(D1087,"-Jan","-Feb","-Mar","-Apr","-May","-Jun","-Jul","-Aug","-Sep","-Oct","-Nov","-Dec")</f>
        <v>2014-Oct</v>
      </c>
      <c r="F1087" s="68">
        <f t="shared" ref="F1087:F1088" si="2227">IF(C1087&gt;0,MONTH(C1087),"False")</f>
        <v>10</v>
      </c>
      <c r="G1087" s="295" t="s">
        <v>87</v>
      </c>
      <c r="H1087" s="295" t="s">
        <v>115</v>
      </c>
      <c r="J1087" s="295" t="s">
        <v>149</v>
      </c>
      <c r="K1087" s="295" t="s">
        <v>84</v>
      </c>
      <c r="L1087" s="295" t="s">
        <v>83</v>
      </c>
      <c r="M1087" s="1" t="s">
        <v>1855</v>
      </c>
      <c r="N1087" s="295" t="s">
        <v>124</v>
      </c>
      <c r="O1087" s="295" t="s">
        <v>325</v>
      </c>
      <c r="R1087" s="64" t="s">
        <v>1856</v>
      </c>
      <c r="Y1087" s="290" t="str">
        <f t="shared" si="2142"/>
        <v>Unknown</v>
      </c>
      <c r="Z1087" s="11" t="str">
        <f t="shared" si="2143"/>
        <v/>
      </c>
      <c r="AA1087" s="290" t="str">
        <f t="shared" si="2144"/>
        <v/>
      </c>
      <c r="AB1087" s="290" t="str">
        <f t="shared" si="2145"/>
        <v/>
      </c>
    </row>
    <row r="1088" spans="2:28" x14ac:dyDescent="0.25">
      <c r="B1088" s="65">
        <v>41925</v>
      </c>
      <c r="C1088" s="66">
        <v>41925</v>
      </c>
      <c r="D1088" s="68">
        <f t="shared" si="2225"/>
        <v>10</v>
      </c>
      <c r="E1088" s="66" t="str">
        <f t="shared" si="2226"/>
        <v>2014-Oct</v>
      </c>
      <c r="F1088" s="68">
        <f t="shared" si="2227"/>
        <v>10</v>
      </c>
      <c r="G1088" s="296" t="s">
        <v>93</v>
      </c>
      <c r="H1088" s="296" t="s">
        <v>280</v>
      </c>
      <c r="J1088" s="296" t="s">
        <v>81</v>
      </c>
      <c r="K1088" s="296" t="s">
        <v>82</v>
      </c>
      <c r="L1088" s="296" t="s">
        <v>79</v>
      </c>
      <c r="M1088" s="1" t="s">
        <v>1857</v>
      </c>
      <c r="N1088" s="296" t="s">
        <v>124</v>
      </c>
      <c r="O1088" s="296" t="s">
        <v>286</v>
      </c>
      <c r="P1088" s="64" t="s">
        <v>305</v>
      </c>
      <c r="Q1088" s="2" t="s">
        <v>88</v>
      </c>
      <c r="R1088" s="64" t="s">
        <v>1559</v>
      </c>
      <c r="Y1088" s="290" t="str">
        <f t="shared" si="2142"/>
        <v>Obsolete</v>
      </c>
      <c r="Z1088" s="11">
        <f t="shared" si="2143"/>
        <v>41925</v>
      </c>
      <c r="AA1088" s="290" t="str">
        <f t="shared" si="2144"/>
        <v>2014 - 42</v>
      </c>
      <c r="AB1088" s="290">
        <f t="shared" si="2145"/>
        <v>2014</v>
      </c>
    </row>
    <row r="1089" spans="2:28" x14ac:dyDescent="0.25">
      <c r="B1089" s="65">
        <v>41925</v>
      </c>
      <c r="C1089" s="66">
        <v>41925</v>
      </c>
      <c r="D1089" s="68">
        <f t="shared" ref="D1089" si="2228">IF(B1089&gt;0,MONTH(B1089),"False")</f>
        <v>10</v>
      </c>
      <c r="E1089" s="66" t="str">
        <f t="shared" ref="E1089" si="2229">YEAR(B1089) &amp; CHOOSE(D1089,"-Jan","-Feb","-Mar","-Apr","-May","-Jun","-Jul","-Aug","-Sep","-Oct","-Nov","-Dec")</f>
        <v>2014-Oct</v>
      </c>
      <c r="F1089" s="68">
        <f t="shared" ref="F1089" si="2230">IF(C1089&gt;0,MONTH(C1089),"False")</f>
        <v>10</v>
      </c>
      <c r="G1089" s="311" t="s">
        <v>105</v>
      </c>
      <c r="H1089" s="296" t="s">
        <v>136</v>
      </c>
      <c r="J1089" s="296" t="s">
        <v>1859</v>
      </c>
      <c r="K1089" s="296" t="s">
        <v>82</v>
      </c>
      <c r="L1089" s="296" t="s">
        <v>79</v>
      </c>
      <c r="M1089" s="1" t="s">
        <v>1858</v>
      </c>
      <c r="N1089" s="296" t="s">
        <v>124</v>
      </c>
      <c r="O1089" s="296" t="s">
        <v>114</v>
      </c>
      <c r="P1089" s="64" t="s">
        <v>1513</v>
      </c>
      <c r="R1089" s="64" t="s">
        <v>750</v>
      </c>
      <c r="S1089" s="311" t="s">
        <v>104</v>
      </c>
      <c r="T1089" s="67" t="s">
        <v>110</v>
      </c>
      <c r="X1089" s="311" t="s">
        <v>158</v>
      </c>
      <c r="Y1089" s="290" t="str">
        <f t="shared" si="2142"/>
        <v>Pass</v>
      </c>
      <c r="Z1089" s="11" t="str">
        <f t="shared" si="2143"/>
        <v/>
      </c>
      <c r="AA1089" s="290" t="str">
        <f t="shared" si="2144"/>
        <v/>
      </c>
      <c r="AB1089" s="290" t="str">
        <f t="shared" si="2145"/>
        <v/>
      </c>
    </row>
    <row r="1090" spans="2:28" s="296" customFormat="1" x14ac:dyDescent="0.25">
      <c r="B1090" s="65">
        <v>41925</v>
      </c>
      <c r="C1090" s="66">
        <v>41925</v>
      </c>
      <c r="D1090" s="68">
        <f t="shared" ref="D1090" si="2231">IF(B1090&gt;0,MONTH(B1090),"False")</f>
        <v>10</v>
      </c>
      <c r="E1090" s="66" t="str">
        <f t="shared" ref="E1090" si="2232">YEAR(B1090) &amp; CHOOSE(D1090,"-Jan","-Feb","-Mar","-Apr","-May","-Jun","-Jul","-Aug","-Sep","-Oct","-Nov","-Dec")</f>
        <v>2014-Oct</v>
      </c>
      <c r="F1090" s="68">
        <f t="shared" ref="F1090" si="2233">IF(C1090&gt;0,MONTH(C1090),"False")</f>
        <v>10</v>
      </c>
      <c r="G1090" s="296" t="s">
        <v>93</v>
      </c>
      <c r="H1090" s="296" t="s">
        <v>136</v>
      </c>
      <c r="J1090" s="296" t="s">
        <v>1859</v>
      </c>
      <c r="K1090" s="296" t="s">
        <v>82</v>
      </c>
      <c r="L1090" s="296" t="s">
        <v>79</v>
      </c>
      <c r="M1090" s="296" t="s">
        <v>1860</v>
      </c>
      <c r="N1090" s="296" t="s">
        <v>124</v>
      </c>
      <c r="O1090" s="296" t="s">
        <v>114</v>
      </c>
      <c r="P1090" s="64" t="s">
        <v>1513</v>
      </c>
      <c r="Q1090" s="301" t="s">
        <v>88</v>
      </c>
      <c r="R1090" s="64" t="s">
        <v>750</v>
      </c>
      <c r="T1090" s="67" t="s">
        <v>110</v>
      </c>
      <c r="Y1090" s="296" t="str">
        <f t="shared" ref="Y1090" si="2234">IF(Q1090&gt;0,"Obsolete",IF(S1090&gt;0,S1090,"Unknown"))</f>
        <v>Obsolete</v>
      </c>
      <c r="Z1090" s="11">
        <f t="shared" ref="Z1090" si="2235">IF(Q1090="Obsolete-LQA",C1090,IF(Q1090="Obsolete-IT",B1090,""))</f>
        <v>41925</v>
      </c>
      <c r="AA1090" s="296" t="str">
        <f t="shared" ref="AA1090" si="2236">IFERROR(YEAR(Z1090)&amp;" - "&amp; IF(LEN( WEEKNUM(Z1090))=1,"0" &amp; WEEKNUM(Z1090),WEEKNUM(Z1090)),"")</f>
        <v>2014 - 42</v>
      </c>
      <c r="AB1090" s="296">
        <f t="shared" ref="AB1090" si="2237">IFERROR(YEAR(Z1090),"")</f>
        <v>2014</v>
      </c>
    </row>
    <row r="1091" spans="2:28" x14ac:dyDescent="0.25">
      <c r="B1091" s="65">
        <v>41925</v>
      </c>
      <c r="C1091" s="66">
        <v>41925</v>
      </c>
      <c r="D1091" s="68">
        <f t="shared" ref="D1091:D1094" si="2238">IF(B1091&gt;0,MONTH(B1091),"False")</f>
        <v>10</v>
      </c>
      <c r="E1091" s="66" t="str">
        <f t="shared" ref="E1091:E1094" si="2239">YEAR(B1091) &amp; CHOOSE(D1091,"-Jan","-Feb","-Mar","-Apr","-May","-Jun","-Jul","-Aug","-Sep","-Oct","-Nov","-Dec")</f>
        <v>2014-Oct</v>
      </c>
      <c r="F1091" s="68">
        <f t="shared" ref="F1091:F1094" si="2240">IF(C1091&gt;0,MONTH(C1091),"False")</f>
        <v>10</v>
      </c>
      <c r="G1091" s="296" t="s">
        <v>93</v>
      </c>
      <c r="H1091" s="296" t="s">
        <v>103</v>
      </c>
      <c r="J1091" s="296" t="s">
        <v>119</v>
      </c>
      <c r="K1091" s="296" t="s">
        <v>119</v>
      </c>
      <c r="L1091" s="296" t="s">
        <v>79</v>
      </c>
      <c r="M1091" s="296" t="s">
        <v>1861</v>
      </c>
      <c r="N1091" s="296" t="s">
        <v>124</v>
      </c>
      <c r="O1091" s="296" t="s">
        <v>265</v>
      </c>
      <c r="P1091" s="64" t="s">
        <v>1652</v>
      </c>
      <c r="Q1091" s="299" t="s">
        <v>88</v>
      </c>
      <c r="R1091" s="64" t="s">
        <v>1653</v>
      </c>
      <c r="Y1091" s="290" t="str">
        <f t="shared" si="2142"/>
        <v>Obsolete</v>
      </c>
      <c r="Z1091" s="11">
        <f t="shared" si="2143"/>
        <v>41925</v>
      </c>
      <c r="AA1091" s="290" t="str">
        <f t="shared" si="2144"/>
        <v>2014 - 42</v>
      </c>
      <c r="AB1091" s="290">
        <f t="shared" si="2145"/>
        <v>2014</v>
      </c>
    </row>
    <row r="1092" spans="2:28" s="296" customFormat="1" x14ac:dyDescent="0.25">
      <c r="B1092" s="65">
        <v>41925</v>
      </c>
      <c r="C1092" s="66">
        <v>41925</v>
      </c>
      <c r="D1092" s="68">
        <f t="shared" si="2238"/>
        <v>10</v>
      </c>
      <c r="E1092" s="66" t="str">
        <f t="shared" si="2239"/>
        <v>2014-Oct</v>
      </c>
      <c r="F1092" s="68">
        <f t="shared" si="2240"/>
        <v>10</v>
      </c>
      <c r="G1092" s="296" t="s">
        <v>93</v>
      </c>
      <c r="H1092" s="296" t="s">
        <v>136</v>
      </c>
      <c r="J1092" s="296" t="s">
        <v>1859</v>
      </c>
      <c r="K1092" s="296" t="s">
        <v>82</v>
      </c>
      <c r="L1092" s="296" t="s">
        <v>79</v>
      </c>
      <c r="M1092" s="296" t="s">
        <v>1862</v>
      </c>
      <c r="N1092" s="296" t="s">
        <v>124</v>
      </c>
      <c r="O1092" s="296" t="s">
        <v>507</v>
      </c>
      <c r="P1092" s="64" t="s">
        <v>1513</v>
      </c>
      <c r="Q1092" s="299" t="s">
        <v>88</v>
      </c>
      <c r="R1092" s="64" t="s">
        <v>750</v>
      </c>
      <c r="T1092" s="67" t="s">
        <v>110</v>
      </c>
      <c r="Y1092" s="296" t="str">
        <f t="shared" si="2142"/>
        <v>Obsolete</v>
      </c>
      <c r="Z1092" s="11">
        <f t="shared" si="2143"/>
        <v>41925</v>
      </c>
      <c r="AA1092" s="296" t="str">
        <f t="shared" si="2144"/>
        <v>2014 - 42</v>
      </c>
      <c r="AB1092" s="296">
        <f t="shared" si="2145"/>
        <v>2014</v>
      </c>
    </row>
    <row r="1093" spans="2:28" s="296" customFormat="1" x14ac:dyDescent="0.25">
      <c r="B1093" s="65">
        <v>41925</v>
      </c>
      <c r="C1093" s="66">
        <v>41925</v>
      </c>
      <c r="D1093" s="68">
        <f t="shared" si="2238"/>
        <v>10</v>
      </c>
      <c r="E1093" s="66" t="str">
        <f t="shared" si="2239"/>
        <v>2014-Oct</v>
      </c>
      <c r="F1093" s="68">
        <f t="shared" si="2240"/>
        <v>10</v>
      </c>
      <c r="G1093" s="296" t="s">
        <v>93</v>
      </c>
      <c r="H1093" s="296" t="s">
        <v>136</v>
      </c>
      <c r="J1093" s="296" t="s">
        <v>1859</v>
      </c>
      <c r="K1093" s="296" t="s">
        <v>82</v>
      </c>
      <c r="L1093" s="296" t="s">
        <v>79</v>
      </c>
      <c r="M1093" s="296" t="s">
        <v>1863</v>
      </c>
      <c r="N1093" s="296" t="s">
        <v>124</v>
      </c>
      <c r="O1093" s="296" t="s">
        <v>507</v>
      </c>
      <c r="P1093" s="64" t="s">
        <v>1513</v>
      </c>
      <c r="Q1093" s="299" t="s">
        <v>88</v>
      </c>
      <c r="R1093" s="64" t="s">
        <v>750</v>
      </c>
      <c r="T1093" s="67" t="s">
        <v>110</v>
      </c>
      <c r="Y1093" s="296" t="str">
        <f t="shared" si="2142"/>
        <v>Obsolete</v>
      </c>
      <c r="Z1093" s="11">
        <f t="shared" si="2143"/>
        <v>41925</v>
      </c>
      <c r="AA1093" s="296" t="str">
        <f t="shared" si="2144"/>
        <v>2014 - 42</v>
      </c>
      <c r="AB1093" s="296">
        <f t="shared" si="2145"/>
        <v>2014</v>
      </c>
    </row>
    <row r="1094" spans="2:28" s="297" customFormat="1" x14ac:dyDescent="0.25">
      <c r="B1094" s="65">
        <v>41926</v>
      </c>
      <c r="C1094" s="66">
        <v>41926</v>
      </c>
      <c r="D1094" s="68">
        <f t="shared" si="2238"/>
        <v>10</v>
      </c>
      <c r="E1094" s="66" t="str">
        <f t="shared" si="2239"/>
        <v>2014-Oct</v>
      </c>
      <c r="F1094" s="68">
        <f t="shared" si="2240"/>
        <v>10</v>
      </c>
      <c r="G1094" s="304" t="s">
        <v>121</v>
      </c>
      <c r="H1094" s="297" t="s">
        <v>280</v>
      </c>
      <c r="J1094" s="297" t="s">
        <v>81</v>
      </c>
      <c r="K1094" s="297" t="s">
        <v>82</v>
      </c>
      <c r="L1094" s="297" t="s">
        <v>79</v>
      </c>
      <c r="M1094" s="297" t="s">
        <v>1864</v>
      </c>
      <c r="N1094" s="297" t="s">
        <v>124</v>
      </c>
      <c r="O1094" s="297" t="s">
        <v>286</v>
      </c>
      <c r="P1094" s="64" t="s">
        <v>305</v>
      </c>
      <c r="Q1094" s="2"/>
      <c r="R1094" s="64" t="s">
        <v>1559</v>
      </c>
      <c r="S1094" s="304" t="s">
        <v>104</v>
      </c>
      <c r="T1094" s="67"/>
      <c r="X1094" s="304" t="s">
        <v>652</v>
      </c>
      <c r="Y1094" s="297" t="str">
        <f t="shared" ref="Y1094" si="2241">IF(Q1094&gt;0,"Obsolete",IF(S1094&gt;0,S1094,"Unknown"))</f>
        <v>Pass</v>
      </c>
      <c r="Z1094" s="11" t="str">
        <f t="shared" ref="Z1094" si="2242">IF(Q1094="Obsolete-LQA",C1094,IF(Q1094="Obsolete-IT",B1094,""))</f>
        <v/>
      </c>
      <c r="AA1094" s="297" t="str">
        <f t="shared" ref="AA1094" si="2243">IFERROR(YEAR(Z1094)&amp;" - "&amp; IF(LEN( WEEKNUM(Z1094))=1,"0" &amp; WEEKNUM(Z1094),WEEKNUM(Z1094)),"")</f>
        <v/>
      </c>
      <c r="AB1094" s="297" t="str">
        <f t="shared" ref="AB1094" si="2244">IFERROR(YEAR(Z1094),"")</f>
        <v/>
      </c>
    </row>
    <row r="1095" spans="2:28" s="297" customFormat="1" x14ac:dyDescent="0.25">
      <c r="B1095" s="65">
        <v>41926</v>
      </c>
      <c r="C1095" s="66">
        <v>41926</v>
      </c>
      <c r="D1095" s="68">
        <f t="shared" ref="D1095:D1096" si="2245">IF(B1095&gt;0,MONTH(B1095),"False")</f>
        <v>10</v>
      </c>
      <c r="E1095" s="66" t="str">
        <f t="shared" ref="E1095:E1096" si="2246">YEAR(B1095) &amp; CHOOSE(D1095,"-Jan","-Feb","-Mar","-Apr","-May","-Jun","-Jul","-Aug","-Sep","-Oct","-Nov","-Dec")</f>
        <v>2014-Oct</v>
      </c>
      <c r="F1095" s="68">
        <f t="shared" ref="F1095:F1096" si="2247">IF(C1095&gt;0,MONTH(C1095),"False")</f>
        <v>10</v>
      </c>
      <c r="G1095" s="304" t="s">
        <v>121</v>
      </c>
      <c r="H1095" s="297" t="s">
        <v>280</v>
      </c>
      <c r="J1095" s="297" t="s">
        <v>146</v>
      </c>
      <c r="K1095" s="297" t="s">
        <v>82</v>
      </c>
      <c r="L1095" s="297" t="s">
        <v>79</v>
      </c>
      <c r="M1095" s="297" t="s">
        <v>1865</v>
      </c>
      <c r="N1095" s="297" t="s">
        <v>124</v>
      </c>
      <c r="O1095" s="297" t="s">
        <v>286</v>
      </c>
      <c r="P1095" s="64" t="s">
        <v>305</v>
      </c>
      <c r="Q1095" s="2"/>
      <c r="R1095" s="64" t="s">
        <v>1559</v>
      </c>
      <c r="S1095" s="304" t="s">
        <v>104</v>
      </c>
      <c r="T1095" s="67"/>
      <c r="X1095" s="304" t="s">
        <v>652</v>
      </c>
      <c r="Y1095" s="297" t="str">
        <f t="shared" ref="Y1095" si="2248">IF(Q1095&gt;0,"Obsolete",IF(S1095&gt;0,S1095,"Unknown"))</f>
        <v>Pass</v>
      </c>
      <c r="Z1095" s="11" t="str">
        <f t="shared" ref="Z1095" si="2249">IF(Q1095="Obsolete-LQA",C1095,IF(Q1095="Obsolete-IT",B1095,""))</f>
        <v/>
      </c>
      <c r="AA1095" s="297" t="str">
        <f t="shared" ref="AA1095" si="2250">IFERROR(YEAR(Z1095)&amp;" - "&amp; IF(LEN( WEEKNUM(Z1095))=1,"0" &amp; WEEKNUM(Z1095),WEEKNUM(Z1095)),"")</f>
        <v/>
      </c>
      <c r="AB1095" s="297" t="str">
        <f t="shared" ref="AB1095" si="2251">IFERROR(YEAR(Z1095),"")</f>
        <v/>
      </c>
    </row>
    <row r="1096" spans="2:28" s="297" customFormat="1" x14ac:dyDescent="0.25">
      <c r="B1096" s="65">
        <v>41926</v>
      </c>
      <c r="C1096" s="66">
        <v>41926</v>
      </c>
      <c r="D1096" s="68">
        <f t="shared" si="2245"/>
        <v>10</v>
      </c>
      <c r="E1096" s="66" t="str">
        <f t="shared" si="2246"/>
        <v>2014-Oct</v>
      </c>
      <c r="F1096" s="68">
        <f t="shared" si="2247"/>
        <v>10</v>
      </c>
      <c r="G1096" s="299" t="s">
        <v>121</v>
      </c>
      <c r="H1096" s="297" t="s">
        <v>1745</v>
      </c>
      <c r="I1096" s="360" t="s">
        <v>2139</v>
      </c>
      <c r="J1096" s="297" t="s">
        <v>81</v>
      </c>
      <c r="K1096" s="297" t="s">
        <v>82</v>
      </c>
      <c r="L1096" s="297" t="s">
        <v>79</v>
      </c>
      <c r="M1096" s="297" t="s">
        <v>1866</v>
      </c>
      <c r="N1096" s="297" t="s">
        <v>124</v>
      </c>
      <c r="O1096" s="297" t="s">
        <v>273</v>
      </c>
      <c r="P1096" s="64" t="s">
        <v>1823</v>
      </c>
      <c r="Q1096" s="2"/>
      <c r="R1096" s="64" t="s">
        <v>1824</v>
      </c>
      <c r="S1096" s="299" t="s">
        <v>104</v>
      </c>
      <c r="T1096" s="67"/>
      <c r="X1096" s="299" t="s">
        <v>1830</v>
      </c>
      <c r="Y1096" s="299" t="str">
        <f t="shared" ref="Y1096:Y1117" si="2252">IF(Q1096&gt;0,"Obsolete",IF(S1096&gt;0,S1096,"Unknown"))</f>
        <v>Pass</v>
      </c>
      <c r="Z1096" s="11" t="str">
        <f t="shared" ref="Z1096:Z1117" si="2253">IF(Q1096="Obsolete-LQA",C1096,IF(Q1096="Obsolete-IT",B1096,""))</f>
        <v/>
      </c>
      <c r="AA1096" s="299" t="str">
        <f t="shared" ref="AA1096:AA1117" si="2254">IFERROR(YEAR(Z1096)&amp;" - "&amp; IF(LEN( WEEKNUM(Z1096))=1,"0" &amp; WEEKNUM(Z1096),WEEKNUM(Z1096)),"")</f>
        <v/>
      </c>
      <c r="AB1096" s="299" t="str">
        <f t="shared" ref="AB1096:AB1117" si="2255">IFERROR(YEAR(Z1096),"")</f>
        <v/>
      </c>
    </row>
    <row r="1097" spans="2:28" x14ac:dyDescent="0.25">
      <c r="B1097" s="65">
        <v>41926</v>
      </c>
      <c r="C1097" s="66">
        <v>41926</v>
      </c>
      <c r="D1097" s="68">
        <f t="shared" ref="D1097:D1099" si="2256">IF(B1097&gt;0,MONTH(B1097),"False")</f>
        <v>10</v>
      </c>
      <c r="E1097" s="66" t="str">
        <f t="shared" ref="E1097:E1099" si="2257">YEAR(B1097) &amp; CHOOSE(D1097,"-Jan","-Feb","-Mar","-Apr","-May","-Jun","-Jul","-Aug","-Sep","-Oct","-Nov","-Dec")</f>
        <v>2014-Oct</v>
      </c>
      <c r="F1097" s="68">
        <f t="shared" ref="F1097:F1099" si="2258">IF(C1097&gt;0,MONTH(C1097),"False")</f>
        <v>10</v>
      </c>
      <c r="G1097" s="297" t="s">
        <v>93</v>
      </c>
      <c r="H1097" s="297" t="s">
        <v>280</v>
      </c>
      <c r="J1097" s="297" t="s">
        <v>77</v>
      </c>
      <c r="K1097" s="297" t="s">
        <v>82</v>
      </c>
      <c r="L1097" s="297" t="s">
        <v>79</v>
      </c>
      <c r="M1097" s="1" t="s">
        <v>1867</v>
      </c>
      <c r="N1097" s="297" t="s">
        <v>124</v>
      </c>
      <c r="O1097" s="297" t="s">
        <v>286</v>
      </c>
      <c r="P1097" s="64" t="s">
        <v>305</v>
      </c>
      <c r="R1097" s="64" t="s">
        <v>1559</v>
      </c>
      <c r="S1097" s="308" t="s">
        <v>104</v>
      </c>
      <c r="X1097" s="309" t="s">
        <v>544</v>
      </c>
      <c r="Y1097" s="299" t="str">
        <f t="shared" si="2252"/>
        <v>Pass</v>
      </c>
      <c r="Z1097" s="11" t="str">
        <f t="shared" si="2253"/>
        <v/>
      </c>
      <c r="AA1097" s="299" t="str">
        <f t="shared" si="2254"/>
        <v/>
      </c>
      <c r="AB1097" s="299" t="str">
        <f t="shared" si="2255"/>
        <v/>
      </c>
    </row>
    <row r="1098" spans="2:28" s="297" customFormat="1" x14ac:dyDescent="0.25">
      <c r="B1098" s="65">
        <v>41926</v>
      </c>
      <c r="C1098" s="66">
        <v>41926</v>
      </c>
      <c r="D1098" s="68">
        <f t="shared" si="2256"/>
        <v>10</v>
      </c>
      <c r="E1098" s="66" t="str">
        <f t="shared" si="2257"/>
        <v>2014-Oct</v>
      </c>
      <c r="F1098" s="68">
        <f t="shared" si="2258"/>
        <v>10</v>
      </c>
      <c r="G1098" s="300" t="s">
        <v>105</v>
      </c>
      <c r="H1098" s="297" t="s">
        <v>280</v>
      </c>
      <c r="J1098" s="297" t="s">
        <v>81</v>
      </c>
      <c r="K1098" s="297" t="s">
        <v>82</v>
      </c>
      <c r="L1098" s="297" t="s">
        <v>79</v>
      </c>
      <c r="M1098" s="297" t="s">
        <v>1868</v>
      </c>
      <c r="N1098" s="297" t="s">
        <v>124</v>
      </c>
      <c r="O1098" s="297" t="s">
        <v>286</v>
      </c>
      <c r="P1098" s="64" t="s">
        <v>305</v>
      </c>
      <c r="Q1098" s="2"/>
      <c r="R1098" s="64" t="s">
        <v>1559</v>
      </c>
      <c r="S1098" s="300" t="s">
        <v>104</v>
      </c>
      <c r="T1098" s="67"/>
      <c r="X1098" s="300" t="s">
        <v>544</v>
      </c>
      <c r="Y1098" s="299" t="str">
        <f t="shared" si="2252"/>
        <v>Pass</v>
      </c>
      <c r="Z1098" s="11" t="str">
        <f t="shared" si="2253"/>
        <v/>
      </c>
      <c r="AA1098" s="299" t="str">
        <f t="shared" si="2254"/>
        <v/>
      </c>
      <c r="AB1098" s="299" t="str">
        <f t="shared" si="2255"/>
        <v/>
      </c>
    </row>
    <row r="1099" spans="2:28" x14ac:dyDescent="0.25">
      <c r="B1099" s="66">
        <v>41926</v>
      </c>
      <c r="C1099" s="66">
        <v>41926</v>
      </c>
      <c r="D1099" s="68">
        <f t="shared" si="2256"/>
        <v>10</v>
      </c>
      <c r="E1099" s="66" t="str">
        <f t="shared" si="2257"/>
        <v>2014-Oct</v>
      </c>
      <c r="F1099" s="68">
        <f t="shared" si="2258"/>
        <v>10</v>
      </c>
      <c r="G1099" s="297" t="s">
        <v>87</v>
      </c>
      <c r="H1099" s="297" t="s">
        <v>166</v>
      </c>
      <c r="J1099" s="297" t="s">
        <v>77</v>
      </c>
      <c r="K1099" s="297" t="s">
        <v>82</v>
      </c>
      <c r="L1099" s="297" t="s">
        <v>79</v>
      </c>
      <c r="M1099" s="1" t="s">
        <v>1869</v>
      </c>
      <c r="N1099" s="297" t="s">
        <v>124</v>
      </c>
      <c r="O1099" s="297" t="s">
        <v>1606</v>
      </c>
      <c r="R1099" s="64" t="s">
        <v>862</v>
      </c>
      <c r="Y1099" s="299" t="str">
        <f t="shared" si="2252"/>
        <v>Unknown</v>
      </c>
      <c r="Z1099" s="11" t="str">
        <f t="shared" si="2253"/>
        <v/>
      </c>
      <c r="AA1099" s="299" t="str">
        <f t="shared" si="2254"/>
        <v/>
      </c>
      <c r="AB1099" s="299" t="str">
        <f t="shared" si="2255"/>
        <v/>
      </c>
    </row>
    <row r="1100" spans="2:28" x14ac:dyDescent="0.25">
      <c r="B1100" s="66">
        <v>41926</v>
      </c>
      <c r="C1100" s="66">
        <v>41926</v>
      </c>
      <c r="D1100" s="68">
        <f t="shared" ref="D1100:D1101" si="2259">IF(B1100&gt;0,MONTH(B1100),"False")</f>
        <v>10</v>
      </c>
      <c r="E1100" s="66" t="str">
        <f t="shared" ref="E1100:E1101" si="2260">YEAR(B1100) &amp; CHOOSE(D1100,"-Jan","-Feb","-Mar","-Apr","-May","-Jun","-Jul","-Aug","-Sep","-Oct","-Nov","-Dec")</f>
        <v>2014-Oct</v>
      </c>
      <c r="F1100" s="68">
        <f t="shared" ref="F1100:F1101" si="2261">IF(C1100&gt;0,MONTH(C1100),"False")</f>
        <v>10</v>
      </c>
      <c r="G1100" s="297" t="s">
        <v>87</v>
      </c>
      <c r="H1100" s="297" t="s">
        <v>115</v>
      </c>
      <c r="J1100" s="297" t="s">
        <v>77</v>
      </c>
      <c r="K1100" s="297" t="s">
        <v>82</v>
      </c>
      <c r="L1100" s="297" t="s">
        <v>79</v>
      </c>
      <c r="M1100" s="1" t="s">
        <v>1870</v>
      </c>
      <c r="N1100" s="297" t="s">
        <v>124</v>
      </c>
      <c r="O1100" s="297" t="s">
        <v>353</v>
      </c>
      <c r="R1100" s="64" t="s">
        <v>1768</v>
      </c>
      <c r="Y1100" s="299" t="str">
        <f t="shared" si="2252"/>
        <v>Unknown</v>
      </c>
      <c r="Z1100" s="11" t="str">
        <f t="shared" si="2253"/>
        <v/>
      </c>
      <c r="AA1100" s="299" t="str">
        <f t="shared" si="2254"/>
        <v/>
      </c>
      <c r="AB1100" s="299" t="str">
        <f t="shared" si="2255"/>
        <v/>
      </c>
    </row>
    <row r="1101" spans="2:28" s="297" customFormat="1" x14ac:dyDescent="0.25">
      <c r="B1101" s="65">
        <v>41926</v>
      </c>
      <c r="C1101" s="66">
        <v>41926</v>
      </c>
      <c r="D1101" s="68">
        <f t="shared" si="2259"/>
        <v>10</v>
      </c>
      <c r="E1101" s="66" t="str">
        <f t="shared" si="2260"/>
        <v>2014-Oct</v>
      </c>
      <c r="F1101" s="68">
        <f t="shared" si="2261"/>
        <v>10</v>
      </c>
      <c r="G1101" s="297" t="s">
        <v>93</v>
      </c>
      <c r="H1101" s="297" t="s">
        <v>1745</v>
      </c>
      <c r="I1101" s="360" t="s">
        <v>2139</v>
      </c>
      <c r="J1101" s="297" t="s">
        <v>81</v>
      </c>
      <c r="K1101" s="297" t="s">
        <v>82</v>
      </c>
      <c r="L1101" s="297" t="s">
        <v>79</v>
      </c>
      <c r="M1101" s="297" t="s">
        <v>1871</v>
      </c>
      <c r="N1101" s="297" t="s">
        <v>124</v>
      </c>
      <c r="O1101" s="297" t="s">
        <v>273</v>
      </c>
      <c r="P1101" s="64" t="s">
        <v>1823</v>
      </c>
      <c r="Q1101" s="2" t="s">
        <v>88</v>
      </c>
      <c r="R1101" s="64" t="s">
        <v>1824</v>
      </c>
      <c r="T1101" s="67"/>
      <c r="Y1101" s="299" t="str">
        <f t="shared" si="2252"/>
        <v>Obsolete</v>
      </c>
      <c r="Z1101" s="11">
        <f t="shared" si="2253"/>
        <v>41926</v>
      </c>
      <c r="AA1101" s="299" t="str">
        <f t="shared" si="2254"/>
        <v>2014 - 42</v>
      </c>
      <c r="AB1101" s="299">
        <f t="shared" si="2255"/>
        <v>2014</v>
      </c>
    </row>
    <row r="1102" spans="2:28" x14ac:dyDescent="0.25">
      <c r="B1102" s="66">
        <v>41926</v>
      </c>
      <c r="C1102" s="66">
        <v>41926</v>
      </c>
      <c r="D1102" s="68">
        <f t="shared" ref="D1102:D1103" si="2262">IF(B1102&gt;0,MONTH(B1102),"False")</f>
        <v>10</v>
      </c>
      <c r="E1102" s="66" t="str">
        <f t="shared" ref="E1102:E1103" si="2263">YEAR(B1102) &amp; CHOOSE(D1102,"-Jan","-Feb","-Mar","-Apr","-May","-Jun","-Jul","-Aug","-Sep","-Oct","-Nov","-Dec")</f>
        <v>2014-Oct</v>
      </c>
      <c r="F1102" s="68">
        <f t="shared" ref="F1102:F1103" si="2264">IF(C1102&gt;0,MONTH(C1102),"False")</f>
        <v>10</v>
      </c>
      <c r="G1102" s="297" t="s">
        <v>87</v>
      </c>
      <c r="H1102" s="297" t="s">
        <v>115</v>
      </c>
      <c r="J1102" s="297" t="s">
        <v>292</v>
      </c>
      <c r="K1102" s="297" t="s">
        <v>292</v>
      </c>
      <c r="L1102" s="297" t="s">
        <v>79</v>
      </c>
      <c r="M1102" s="1" t="s">
        <v>1872</v>
      </c>
      <c r="N1102" s="297" t="s">
        <v>124</v>
      </c>
      <c r="O1102" s="297" t="s">
        <v>589</v>
      </c>
      <c r="R1102" s="64" t="s">
        <v>1873</v>
      </c>
      <c r="Y1102" s="299" t="str">
        <f t="shared" si="2252"/>
        <v>Unknown</v>
      </c>
      <c r="Z1102" s="11" t="str">
        <f t="shared" si="2253"/>
        <v/>
      </c>
      <c r="AA1102" s="299" t="str">
        <f t="shared" si="2254"/>
        <v/>
      </c>
      <c r="AB1102" s="299" t="str">
        <f t="shared" si="2255"/>
        <v/>
      </c>
    </row>
    <row r="1103" spans="2:28" x14ac:dyDescent="0.25">
      <c r="B1103" s="65">
        <v>41928</v>
      </c>
      <c r="C1103" s="66">
        <v>41928</v>
      </c>
      <c r="D1103" s="68">
        <f t="shared" si="2262"/>
        <v>10</v>
      </c>
      <c r="E1103" s="66" t="str">
        <f t="shared" si="2263"/>
        <v>2014-Oct</v>
      </c>
      <c r="F1103" s="68">
        <f t="shared" si="2264"/>
        <v>10</v>
      </c>
      <c r="G1103" s="298" t="s">
        <v>93</v>
      </c>
      <c r="H1103" s="298" t="s">
        <v>166</v>
      </c>
      <c r="J1103" s="298" t="s">
        <v>98</v>
      </c>
      <c r="K1103" s="298" t="s">
        <v>82</v>
      </c>
      <c r="L1103" s="298" t="s">
        <v>79</v>
      </c>
      <c r="M1103" s="1" t="s">
        <v>1874</v>
      </c>
      <c r="N1103" s="298" t="s">
        <v>124</v>
      </c>
      <c r="O1103" s="298" t="s">
        <v>285</v>
      </c>
      <c r="P1103" s="64" t="s">
        <v>336</v>
      </c>
      <c r="R1103" s="64" t="s">
        <v>1311</v>
      </c>
      <c r="S1103" s="1" t="s">
        <v>104</v>
      </c>
      <c r="Y1103" s="299" t="str">
        <f t="shared" si="2252"/>
        <v>Pass</v>
      </c>
      <c r="Z1103" s="11" t="str">
        <f t="shared" si="2253"/>
        <v/>
      </c>
      <c r="AA1103" s="299" t="str">
        <f t="shared" si="2254"/>
        <v/>
      </c>
      <c r="AB1103" s="299" t="str">
        <f t="shared" si="2255"/>
        <v/>
      </c>
    </row>
    <row r="1104" spans="2:28" x14ac:dyDescent="0.25">
      <c r="B1104" s="65">
        <v>41928</v>
      </c>
      <c r="C1104" s="66">
        <v>41928</v>
      </c>
      <c r="D1104" s="68">
        <f t="shared" ref="D1104" si="2265">IF(B1104&gt;0,MONTH(B1104),"False")</f>
        <v>10</v>
      </c>
      <c r="E1104" s="66" t="str">
        <f t="shared" ref="E1104" si="2266">YEAR(B1104) &amp; CHOOSE(D1104,"-Jan","-Feb","-Mar","-Apr","-May","-Jun","-Jul","-Aug","-Sep","-Oct","-Nov","-Dec")</f>
        <v>2014-Oct</v>
      </c>
      <c r="F1104" s="68">
        <f t="shared" ref="F1104" si="2267">IF(C1104&gt;0,MONTH(C1104),"False")</f>
        <v>10</v>
      </c>
      <c r="G1104" s="310" t="s">
        <v>121</v>
      </c>
      <c r="H1104" s="298" t="s">
        <v>103</v>
      </c>
      <c r="J1104" s="298" t="s">
        <v>77</v>
      </c>
      <c r="K1104" s="298" t="s">
        <v>82</v>
      </c>
      <c r="L1104" s="298" t="s">
        <v>79</v>
      </c>
      <c r="M1104" s="1" t="s">
        <v>1875</v>
      </c>
      <c r="N1104" s="298" t="s">
        <v>124</v>
      </c>
      <c r="O1104" s="298" t="s">
        <v>265</v>
      </c>
      <c r="P1104" s="64" t="s">
        <v>351</v>
      </c>
      <c r="R1104" s="64" t="s">
        <v>361</v>
      </c>
      <c r="S1104" s="310" t="s">
        <v>104</v>
      </c>
      <c r="X1104" s="310" t="s">
        <v>300</v>
      </c>
      <c r="Y1104" s="299" t="str">
        <f t="shared" si="2252"/>
        <v>Pass</v>
      </c>
      <c r="Z1104" s="11" t="str">
        <f t="shared" si="2253"/>
        <v/>
      </c>
      <c r="AA1104" s="299" t="str">
        <f t="shared" si="2254"/>
        <v/>
      </c>
      <c r="AB1104" s="299" t="str">
        <f t="shared" si="2255"/>
        <v/>
      </c>
    </row>
    <row r="1105" spans="2:28" x14ac:dyDescent="0.25">
      <c r="B1105" s="65">
        <v>41928</v>
      </c>
      <c r="C1105" s="66">
        <v>41928</v>
      </c>
      <c r="D1105" s="68">
        <f t="shared" ref="D1105" si="2268">IF(B1105&gt;0,MONTH(B1105),"False")</f>
        <v>10</v>
      </c>
      <c r="E1105" s="66" t="str">
        <f t="shared" ref="E1105" si="2269">YEAR(B1105) &amp; CHOOSE(D1105,"-Jan","-Feb","-Mar","-Apr","-May","-Jun","-Jul","-Aug","-Sep","-Oct","-Nov","-Dec")</f>
        <v>2014-Oct</v>
      </c>
      <c r="F1105" s="68">
        <f t="shared" ref="F1105" si="2270">IF(C1105&gt;0,MONTH(C1105),"False")</f>
        <v>10</v>
      </c>
      <c r="G1105" s="298" t="s">
        <v>93</v>
      </c>
      <c r="H1105" s="298" t="s">
        <v>280</v>
      </c>
      <c r="J1105" s="298" t="s">
        <v>146</v>
      </c>
      <c r="K1105" s="298" t="s">
        <v>82</v>
      </c>
      <c r="L1105" s="298" t="s">
        <v>79</v>
      </c>
      <c r="M1105" s="1" t="s">
        <v>1877</v>
      </c>
      <c r="N1105" s="298" t="s">
        <v>124</v>
      </c>
      <c r="O1105" s="298" t="s">
        <v>286</v>
      </c>
      <c r="P1105" s="64" t="s">
        <v>305</v>
      </c>
      <c r="R1105" s="64" t="s">
        <v>1559</v>
      </c>
      <c r="Y1105" s="299" t="str">
        <f t="shared" si="2252"/>
        <v>Unknown</v>
      </c>
      <c r="Z1105" s="11" t="str">
        <f t="shared" si="2253"/>
        <v/>
      </c>
      <c r="AA1105" s="299" t="str">
        <f t="shared" si="2254"/>
        <v/>
      </c>
      <c r="AB1105" s="299" t="str">
        <f t="shared" si="2255"/>
        <v/>
      </c>
    </row>
    <row r="1106" spans="2:28" x14ac:dyDescent="0.25">
      <c r="B1106" s="65">
        <v>41928</v>
      </c>
      <c r="C1106" s="66">
        <v>41928</v>
      </c>
      <c r="D1106" s="68">
        <f t="shared" ref="D1106:D1107" si="2271">IF(B1106&gt;0,MONTH(B1106),"False")</f>
        <v>10</v>
      </c>
      <c r="E1106" s="66" t="str">
        <f t="shared" ref="E1106:E1107" si="2272">YEAR(B1106) &amp; CHOOSE(D1106,"-Jan","-Feb","-Mar","-Apr","-May","-Jun","-Jul","-Aug","-Sep","-Oct","-Nov","-Dec")</f>
        <v>2014-Oct</v>
      </c>
      <c r="F1106" s="68">
        <f t="shared" ref="F1106:F1107" si="2273">IF(C1106&gt;0,MONTH(C1106),"False")</f>
        <v>10</v>
      </c>
      <c r="G1106" s="298" t="s">
        <v>93</v>
      </c>
      <c r="H1106" s="298" t="s">
        <v>280</v>
      </c>
      <c r="I1106" s="298"/>
      <c r="J1106" s="298" t="s">
        <v>81</v>
      </c>
      <c r="K1106" s="298" t="s">
        <v>82</v>
      </c>
      <c r="L1106" s="298" t="s">
        <v>79</v>
      </c>
      <c r="M1106" s="298" t="s">
        <v>1876</v>
      </c>
      <c r="N1106" s="298" t="s">
        <v>124</v>
      </c>
      <c r="O1106" s="298" t="s">
        <v>286</v>
      </c>
      <c r="P1106" s="64" t="s">
        <v>305</v>
      </c>
      <c r="R1106" s="64" t="s">
        <v>1559</v>
      </c>
      <c r="Y1106" s="299" t="str">
        <f t="shared" si="2252"/>
        <v>Unknown</v>
      </c>
      <c r="Z1106" s="11" t="str">
        <f t="shared" si="2253"/>
        <v/>
      </c>
      <c r="AA1106" s="299" t="str">
        <f t="shared" si="2254"/>
        <v/>
      </c>
      <c r="AB1106" s="299" t="str">
        <f t="shared" si="2255"/>
        <v/>
      </c>
    </row>
    <row r="1107" spans="2:28" x14ac:dyDescent="0.25">
      <c r="B1107" s="66">
        <v>41928</v>
      </c>
      <c r="C1107" s="66">
        <v>41928</v>
      </c>
      <c r="D1107" s="68">
        <f t="shared" si="2271"/>
        <v>10</v>
      </c>
      <c r="E1107" s="66" t="str">
        <f t="shared" si="2272"/>
        <v>2014-Oct</v>
      </c>
      <c r="F1107" s="68">
        <f t="shared" si="2273"/>
        <v>10</v>
      </c>
      <c r="G1107" s="298" t="s">
        <v>87</v>
      </c>
      <c r="H1107" s="298" t="s">
        <v>115</v>
      </c>
      <c r="J1107" s="298" t="s">
        <v>77</v>
      </c>
      <c r="K1107" s="298" t="s">
        <v>82</v>
      </c>
      <c r="L1107" s="298" t="s">
        <v>79</v>
      </c>
      <c r="M1107" s="1" t="s">
        <v>1878</v>
      </c>
      <c r="N1107" s="298" t="s">
        <v>124</v>
      </c>
      <c r="O1107" s="298" t="s">
        <v>353</v>
      </c>
      <c r="R1107" s="64" t="s">
        <v>1879</v>
      </c>
      <c r="T1107" s="67" t="s">
        <v>110</v>
      </c>
      <c r="Y1107" s="299" t="str">
        <f t="shared" si="2252"/>
        <v>Unknown</v>
      </c>
      <c r="Z1107" s="11" t="str">
        <f t="shared" si="2253"/>
        <v/>
      </c>
      <c r="AA1107" s="299" t="str">
        <f t="shared" si="2254"/>
        <v/>
      </c>
      <c r="AB1107" s="299" t="str">
        <f t="shared" si="2255"/>
        <v/>
      </c>
    </row>
    <row r="1108" spans="2:28" x14ac:dyDescent="0.25">
      <c r="B1108" s="66">
        <v>41929</v>
      </c>
      <c r="C1108" s="66">
        <v>41929</v>
      </c>
      <c r="D1108" s="68">
        <f t="shared" ref="D1108" si="2274">IF(B1108&gt;0,MONTH(B1108),"False")</f>
        <v>10</v>
      </c>
      <c r="E1108" s="66" t="str">
        <f t="shared" ref="E1108" si="2275">YEAR(B1108) &amp; CHOOSE(D1108,"-Jan","-Feb","-Mar","-Apr","-May","-Jun","-Jul","-Aug","-Sep","-Oct","-Nov","-Dec")</f>
        <v>2014-Oct</v>
      </c>
      <c r="F1108" s="68">
        <f t="shared" ref="F1108" si="2276">IF(C1108&gt;0,MONTH(C1108),"False")</f>
        <v>10</v>
      </c>
      <c r="G1108" s="299" t="s">
        <v>87</v>
      </c>
      <c r="H1108" s="299" t="s">
        <v>115</v>
      </c>
      <c r="J1108" s="299" t="s">
        <v>78</v>
      </c>
      <c r="K1108" s="299" t="s">
        <v>78</v>
      </c>
      <c r="L1108" s="299" t="s">
        <v>79</v>
      </c>
      <c r="M1108" s="1" t="s">
        <v>1880</v>
      </c>
      <c r="N1108" s="299" t="s">
        <v>124</v>
      </c>
      <c r="O1108" s="299" t="s">
        <v>332</v>
      </c>
      <c r="R1108" s="64" t="s">
        <v>1881</v>
      </c>
      <c r="Y1108" s="299" t="str">
        <f t="shared" si="2252"/>
        <v>Unknown</v>
      </c>
      <c r="Z1108" s="11" t="str">
        <f t="shared" si="2253"/>
        <v/>
      </c>
      <c r="AA1108" s="299" t="str">
        <f t="shared" si="2254"/>
        <v/>
      </c>
      <c r="AB1108" s="299" t="str">
        <f t="shared" si="2255"/>
        <v/>
      </c>
    </row>
    <row r="1109" spans="2:28" x14ac:dyDescent="0.25">
      <c r="B1109" s="66">
        <v>41929</v>
      </c>
      <c r="C1109" s="66">
        <v>41929</v>
      </c>
      <c r="D1109" s="68">
        <f t="shared" ref="D1109:D1110" si="2277">IF(B1109&gt;0,MONTH(B1109),"False")</f>
        <v>10</v>
      </c>
      <c r="E1109" s="66" t="str">
        <f t="shared" ref="E1109:E1110" si="2278">YEAR(B1109) &amp; CHOOSE(D1109,"-Jan","-Feb","-Mar","-Apr","-May","-Jun","-Jul","-Aug","-Sep","-Oct","-Nov","-Dec")</f>
        <v>2014-Oct</v>
      </c>
      <c r="F1109" s="68">
        <f t="shared" ref="F1109:F1110" si="2279">IF(C1109&gt;0,MONTH(C1109),"False")</f>
        <v>10</v>
      </c>
      <c r="G1109" s="310" t="s">
        <v>112</v>
      </c>
      <c r="H1109" s="299" t="s">
        <v>103</v>
      </c>
      <c r="J1109" s="299" t="s">
        <v>78</v>
      </c>
      <c r="K1109" s="299" t="s">
        <v>78</v>
      </c>
      <c r="L1109" s="299" t="s">
        <v>79</v>
      </c>
      <c r="M1109" s="1" t="s">
        <v>1882</v>
      </c>
      <c r="N1109" s="299" t="s">
        <v>124</v>
      </c>
      <c r="O1109" s="299" t="s">
        <v>332</v>
      </c>
      <c r="R1109" s="64" t="s">
        <v>475</v>
      </c>
      <c r="S1109" s="310" t="s">
        <v>104</v>
      </c>
      <c r="X1109" s="310" t="s">
        <v>300</v>
      </c>
      <c r="Y1109" s="299" t="str">
        <f t="shared" si="2252"/>
        <v>Pass</v>
      </c>
      <c r="Z1109" s="11" t="str">
        <f t="shared" si="2253"/>
        <v/>
      </c>
      <c r="AA1109" s="299" t="str">
        <f t="shared" si="2254"/>
        <v/>
      </c>
      <c r="AB1109" s="299" t="str">
        <f t="shared" si="2255"/>
        <v/>
      </c>
    </row>
    <row r="1110" spans="2:28" x14ac:dyDescent="0.25">
      <c r="B1110" s="65">
        <v>41929</v>
      </c>
      <c r="C1110" s="66">
        <v>41929</v>
      </c>
      <c r="D1110" s="68">
        <f t="shared" si="2277"/>
        <v>10</v>
      </c>
      <c r="E1110" s="66" t="str">
        <f t="shared" si="2278"/>
        <v>2014-Oct</v>
      </c>
      <c r="F1110" s="68">
        <f t="shared" si="2279"/>
        <v>10</v>
      </c>
      <c r="G1110" s="299" t="s">
        <v>121</v>
      </c>
      <c r="H1110" s="299" t="s">
        <v>136</v>
      </c>
      <c r="J1110" s="299" t="s">
        <v>77</v>
      </c>
      <c r="K1110" s="299" t="s">
        <v>82</v>
      </c>
      <c r="L1110" s="299" t="s">
        <v>79</v>
      </c>
      <c r="M1110" s="1" t="s">
        <v>1883</v>
      </c>
      <c r="N1110" s="299" t="s">
        <v>124</v>
      </c>
      <c r="O1110" s="299" t="s">
        <v>507</v>
      </c>
      <c r="P1110" s="64" t="s">
        <v>750</v>
      </c>
      <c r="R1110" s="64" t="s">
        <v>1513</v>
      </c>
      <c r="S1110" s="299" t="s">
        <v>104</v>
      </c>
      <c r="X1110" s="299" t="s">
        <v>1312</v>
      </c>
      <c r="Y1110" s="299" t="str">
        <f t="shared" si="2252"/>
        <v>Pass</v>
      </c>
      <c r="Z1110" s="11" t="str">
        <f t="shared" si="2253"/>
        <v/>
      </c>
      <c r="AA1110" s="299" t="str">
        <f t="shared" si="2254"/>
        <v/>
      </c>
      <c r="AB1110" s="299" t="str">
        <f t="shared" si="2255"/>
        <v/>
      </c>
    </row>
    <row r="1111" spans="2:28" s="299" customFormat="1" x14ac:dyDescent="0.25">
      <c r="B1111" s="65">
        <v>41929</v>
      </c>
      <c r="C1111" s="66">
        <v>41929</v>
      </c>
      <c r="D1111" s="68">
        <f t="shared" ref="D1111" si="2280">IF(B1111&gt;0,MONTH(B1111),"False")</f>
        <v>10</v>
      </c>
      <c r="E1111" s="66" t="str">
        <f t="shared" ref="E1111" si="2281">YEAR(B1111) &amp; CHOOSE(D1111,"-Jan","-Feb","-Mar","-Apr","-May","-Jun","-Jul","-Aug","-Sep","-Oct","-Nov","-Dec")</f>
        <v>2014-Oct</v>
      </c>
      <c r="F1111" s="68">
        <f t="shared" ref="F1111" si="2282">IF(C1111&gt;0,MONTH(C1111),"False")</f>
        <v>10</v>
      </c>
      <c r="G1111" s="299" t="s">
        <v>121</v>
      </c>
      <c r="H1111" s="299" t="s">
        <v>136</v>
      </c>
      <c r="J1111" s="299" t="s">
        <v>77</v>
      </c>
      <c r="K1111" s="299" t="s">
        <v>82</v>
      </c>
      <c r="L1111" s="299" t="s">
        <v>79</v>
      </c>
      <c r="M1111" s="299" t="s">
        <v>1884</v>
      </c>
      <c r="N1111" s="299" t="s">
        <v>124</v>
      </c>
      <c r="O1111" s="299" t="s">
        <v>507</v>
      </c>
      <c r="P1111" s="64" t="s">
        <v>750</v>
      </c>
      <c r="Q1111" s="2"/>
      <c r="R1111" s="64" t="s">
        <v>1513</v>
      </c>
      <c r="S1111" s="299" t="s">
        <v>104</v>
      </c>
      <c r="T1111" s="67"/>
      <c r="X1111" s="299" t="s">
        <v>1312</v>
      </c>
      <c r="Y1111" s="299" t="str">
        <f t="shared" si="2252"/>
        <v>Pass</v>
      </c>
      <c r="Z1111" s="11" t="str">
        <f t="shared" si="2253"/>
        <v/>
      </c>
      <c r="AA1111" s="299" t="str">
        <f t="shared" si="2254"/>
        <v/>
      </c>
      <c r="AB1111" s="299" t="str">
        <f t="shared" si="2255"/>
        <v/>
      </c>
    </row>
    <row r="1112" spans="2:28" x14ac:dyDescent="0.25">
      <c r="B1112" s="65">
        <v>41930</v>
      </c>
      <c r="C1112" s="66">
        <v>41930</v>
      </c>
      <c r="D1112" s="68">
        <f t="shared" ref="D1112" si="2283">IF(B1112&gt;0,MONTH(B1112),"False")</f>
        <v>10</v>
      </c>
      <c r="E1112" s="66" t="str">
        <f t="shared" ref="E1112" si="2284">YEAR(B1112) &amp; CHOOSE(D1112,"-Jan","-Feb","-Mar","-Apr","-May","-Jun","-Jul","-Aug","-Sep","-Oct","-Nov","-Dec")</f>
        <v>2014-Oct</v>
      </c>
      <c r="F1112" s="68">
        <f t="shared" ref="F1112" si="2285">IF(C1112&gt;0,MONTH(C1112),"False")</f>
        <v>10</v>
      </c>
      <c r="G1112" s="304" t="s">
        <v>105</v>
      </c>
      <c r="H1112" s="299" t="s">
        <v>280</v>
      </c>
      <c r="J1112" s="299" t="s">
        <v>81</v>
      </c>
      <c r="K1112" s="299" t="s">
        <v>82</v>
      </c>
      <c r="L1112" s="299" t="s">
        <v>79</v>
      </c>
      <c r="M1112" s="1" t="s">
        <v>1885</v>
      </c>
      <c r="N1112" s="299" t="s">
        <v>124</v>
      </c>
      <c r="O1112" s="299" t="s">
        <v>286</v>
      </c>
      <c r="P1112" s="64" t="s">
        <v>1559</v>
      </c>
      <c r="R1112" s="64" t="s">
        <v>305</v>
      </c>
      <c r="S1112" s="304" t="s">
        <v>104</v>
      </c>
      <c r="X1112" s="304" t="s">
        <v>652</v>
      </c>
      <c r="Y1112" s="299" t="str">
        <f t="shared" si="2252"/>
        <v>Pass</v>
      </c>
      <c r="Z1112" s="11" t="str">
        <f t="shared" si="2253"/>
        <v/>
      </c>
      <c r="AA1112" s="299" t="str">
        <f t="shared" si="2254"/>
        <v/>
      </c>
      <c r="AB1112" s="299" t="str">
        <f t="shared" si="2255"/>
        <v/>
      </c>
    </row>
    <row r="1113" spans="2:28" x14ac:dyDescent="0.25">
      <c r="B1113" s="65">
        <v>41930</v>
      </c>
      <c r="C1113" s="66">
        <v>41930</v>
      </c>
      <c r="D1113" s="68">
        <f t="shared" ref="D1113:D1114" si="2286">IF(B1113&gt;0,MONTH(B1113),"False")</f>
        <v>10</v>
      </c>
      <c r="E1113" s="66" t="str">
        <f t="shared" ref="E1113:E1114" si="2287">YEAR(B1113) &amp; CHOOSE(D1113,"-Jan","-Feb","-Mar","-Apr","-May","-Jun","-Jul","-Aug","-Sep","-Oct","-Nov","-Dec")</f>
        <v>2014-Oct</v>
      </c>
      <c r="F1113" s="68">
        <f t="shared" ref="F1113:F1114" si="2288">IF(C1113&gt;0,MONTH(C1113),"False")</f>
        <v>10</v>
      </c>
      <c r="G1113" s="304" t="s">
        <v>105</v>
      </c>
      <c r="H1113" s="299" t="s">
        <v>280</v>
      </c>
      <c r="I1113" s="299"/>
      <c r="J1113" s="299" t="s">
        <v>146</v>
      </c>
      <c r="K1113" s="299" t="s">
        <v>82</v>
      </c>
      <c r="L1113" s="299" t="s">
        <v>79</v>
      </c>
      <c r="M1113" s="1" t="s">
        <v>1886</v>
      </c>
      <c r="N1113" s="299" t="s">
        <v>124</v>
      </c>
      <c r="O1113" s="299" t="s">
        <v>286</v>
      </c>
      <c r="P1113" s="64" t="s">
        <v>1559</v>
      </c>
      <c r="R1113" s="64" t="s">
        <v>305</v>
      </c>
      <c r="S1113" s="304" t="s">
        <v>104</v>
      </c>
      <c r="X1113" s="304" t="s">
        <v>652</v>
      </c>
      <c r="Y1113" s="299" t="str">
        <f t="shared" si="2252"/>
        <v>Pass</v>
      </c>
      <c r="Z1113" s="11" t="str">
        <f t="shared" si="2253"/>
        <v/>
      </c>
      <c r="AA1113" s="299" t="str">
        <f t="shared" si="2254"/>
        <v/>
      </c>
      <c r="AB1113" s="299" t="str">
        <f t="shared" si="2255"/>
        <v/>
      </c>
    </row>
    <row r="1114" spans="2:28" x14ac:dyDescent="0.25">
      <c r="B1114" s="66">
        <v>41930</v>
      </c>
      <c r="C1114" s="66">
        <v>41930</v>
      </c>
      <c r="D1114" s="68">
        <f t="shared" si="2286"/>
        <v>10</v>
      </c>
      <c r="E1114" s="66" t="str">
        <f t="shared" si="2287"/>
        <v>2014-Oct</v>
      </c>
      <c r="F1114" s="68">
        <f t="shared" si="2288"/>
        <v>10</v>
      </c>
      <c r="G1114" s="315" t="s">
        <v>112</v>
      </c>
      <c r="H1114" s="299" t="s">
        <v>103</v>
      </c>
      <c r="J1114" s="299" t="s">
        <v>119</v>
      </c>
      <c r="K1114" s="299" t="s">
        <v>119</v>
      </c>
      <c r="L1114" s="299" t="s">
        <v>79</v>
      </c>
      <c r="M1114" s="1" t="s">
        <v>1887</v>
      </c>
      <c r="N1114" s="299" t="s">
        <v>124</v>
      </c>
      <c r="O1114" s="299" t="s">
        <v>265</v>
      </c>
      <c r="R1114" s="64" t="s">
        <v>1653</v>
      </c>
      <c r="S1114" s="315" t="s">
        <v>104</v>
      </c>
      <c r="X1114" s="315" t="s">
        <v>300</v>
      </c>
      <c r="Y1114" s="299" t="str">
        <f t="shared" si="2252"/>
        <v>Pass</v>
      </c>
      <c r="Z1114" s="11" t="str">
        <f t="shared" si="2253"/>
        <v/>
      </c>
      <c r="AA1114" s="299" t="str">
        <f t="shared" si="2254"/>
        <v/>
      </c>
      <c r="AB1114" s="299" t="str">
        <f t="shared" si="2255"/>
        <v/>
      </c>
    </row>
    <row r="1115" spans="2:28" x14ac:dyDescent="0.25">
      <c r="B1115" s="66">
        <v>41930</v>
      </c>
      <c r="C1115" s="66">
        <v>41930</v>
      </c>
      <c r="D1115" s="68">
        <f t="shared" ref="D1115:D1116" si="2289">IF(B1115&gt;0,MONTH(B1115),"False")</f>
        <v>10</v>
      </c>
      <c r="E1115" s="66" t="str">
        <f t="shared" ref="E1115:E1116" si="2290">YEAR(B1115) &amp; CHOOSE(D1115,"-Jan","-Feb","-Mar","-Apr","-May","-Jun","-Jul","-Aug","-Sep","-Oct","-Nov","-Dec")</f>
        <v>2014-Oct</v>
      </c>
      <c r="F1115" s="68">
        <f t="shared" ref="F1115:F1116" si="2291">IF(C1115&gt;0,MONTH(C1115),"False")</f>
        <v>10</v>
      </c>
      <c r="G1115" s="299" t="s">
        <v>87</v>
      </c>
      <c r="H1115" s="299" t="s">
        <v>166</v>
      </c>
      <c r="J1115" s="299" t="s">
        <v>98</v>
      </c>
      <c r="K1115" s="299" t="s">
        <v>84</v>
      </c>
      <c r="L1115" s="299" t="s">
        <v>83</v>
      </c>
      <c r="M1115" s="1" t="s">
        <v>1888</v>
      </c>
      <c r="N1115" s="299" t="s">
        <v>124</v>
      </c>
      <c r="O1115" s="299" t="s">
        <v>156</v>
      </c>
      <c r="Q1115" s="2" t="s">
        <v>88</v>
      </c>
      <c r="R1115" s="64" t="s">
        <v>1353</v>
      </c>
      <c r="Y1115" s="299" t="str">
        <f t="shared" si="2252"/>
        <v>Obsolete</v>
      </c>
      <c r="Z1115" s="11">
        <f t="shared" si="2253"/>
        <v>41930</v>
      </c>
      <c r="AA1115" s="299" t="str">
        <f t="shared" si="2254"/>
        <v>2014 - 42</v>
      </c>
      <c r="AB1115" s="299">
        <f t="shared" si="2255"/>
        <v>2014</v>
      </c>
    </row>
    <row r="1116" spans="2:28" x14ac:dyDescent="0.25">
      <c r="B1116" s="65">
        <v>41932</v>
      </c>
      <c r="C1116" s="66">
        <v>41932</v>
      </c>
      <c r="D1116" s="68">
        <f t="shared" si="2289"/>
        <v>10</v>
      </c>
      <c r="E1116" s="66" t="str">
        <f t="shared" si="2290"/>
        <v>2014-Oct</v>
      </c>
      <c r="F1116" s="68">
        <f t="shared" si="2291"/>
        <v>10</v>
      </c>
      <c r="G1116" s="300" t="s">
        <v>93</v>
      </c>
      <c r="H1116" s="300" t="s">
        <v>1745</v>
      </c>
      <c r="I1116" s="360" t="s">
        <v>2139</v>
      </c>
      <c r="J1116" s="300" t="s">
        <v>81</v>
      </c>
      <c r="K1116" s="300" t="s">
        <v>82</v>
      </c>
      <c r="L1116" s="300" t="s">
        <v>79</v>
      </c>
      <c r="M1116" s="1" t="s">
        <v>1889</v>
      </c>
      <c r="N1116" s="300" t="s">
        <v>124</v>
      </c>
      <c r="O1116" s="300" t="s">
        <v>147</v>
      </c>
      <c r="P1116" s="64" t="s">
        <v>1823</v>
      </c>
      <c r="Q1116" s="2" t="s">
        <v>88</v>
      </c>
      <c r="R1116" s="64" t="s">
        <v>1824</v>
      </c>
      <c r="T1116" s="67" t="s">
        <v>110</v>
      </c>
      <c r="Y1116" s="299" t="str">
        <f t="shared" si="2252"/>
        <v>Obsolete</v>
      </c>
      <c r="Z1116" s="11">
        <f t="shared" si="2253"/>
        <v>41932</v>
      </c>
      <c r="AA1116" s="299" t="str">
        <f t="shared" si="2254"/>
        <v>2014 - 43</v>
      </c>
      <c r="AB1116" s="299">
        <f t="shared" si="2255"/>
        <v>2014</v>
      </c>
    </row>
    <row r="1117" spans="2:28" x14ac:dyDescent="0.25">
      <c r="B1117" s="66">
        <v>41932</v>
      </c>
      <c r="C1117" s="66">
        <v>41932</v>
      </c>
      <c r="D1117" s="68">
        <f t="shared" ref="D1117" si="2292">IF(B1117&gt;0,MONTH(B1117),"False")</f>
        <v>10</v>
      </c>
      <c r="E1117" s="66" t="str">
        <f t="shared" ref="E1117" si="2293">YEAR(B1117) &amp; CHOOSE(D1117,"-Jan","-Feb","-Mar","-Apr","-May","-Jun","-Jul","-Aug","-Sep","-Oct","-Nov","-Dec")</f>
        <v>2014-Oct</v>
      </c>
      <c r="F1117" s="68">
        <f t="shared" ref="F1117" si="2294">IF(C1117&gt;0,MONTH(C1117),"False")</f>
        <v>10</v>
      </c>
      <c r="G1117" s="300" t="s">
        <v>87</v>
      </c>
      <c r="H1117" s="300" t="s">
        <v>166</v>
      </c>
      <c r="J1117" s="300" t="s">
        <v>77</v>
      </c>
      <c r="K1117" s="300" t="s">
        <v>82</v>
      </c>
      <c r="L1117" s="300" t="s">
        <v>79</v>
      </c>
      <c r="M1117" s="1" t="s">
        <v>1890</v>
      </c>
      <c r="N1117" s="300" t="s">
        <v>124</v>
      </c>
      <c r="O1117" s="300" t="s">
        <v>1891</v>
      </c>
      <c r="R1117" s="64" t="s">
        <v>862</v>
      </c>
      <c r="Y1117" s="299" t="str">
        <f t="shared" si="2252"/>
        <v>Unknown</v>
      </c>
      <c r="Z1117" s="11" t="str">
        <f t="shared" si="2253"/>
        <v/>
      </c>
      <c r="AA1117" s="299" t="str">
        <f t="shared" si="2254"/>
        <v/>
      </c>
      <c r="AB1117" s="299" t="str">
        <f t="shared" si="2255"/>
        <v/>
      </c>
    </row>
    <row r="1118" spans="2:28" x14ac:dyDescent="0.25">
      <c r="B1118" s="66">
        <v>41932</v>
      </c>
      <c r="C1118" s="66">
        <v>41932</v>
      </c>
      <c r="D1118" s="68">
        <f t="shared" ref="D1118:D1119" si="2295">IF(B1118&gt;0,MONTH(B1118),"False")</f>
        <v>10</v>
      </c>
      <c r="E1118" s="66" t="str">
        <f t="shared" ref="E1118:E1119" si="2296">YEAR(B1118) &amp; CHOOSE(D1118,"-Jan","-Feb","-Mar","-Apr","-May","-Jun","-Jul","-Aug","-Sep","-Oct","-Nov","-Dec")</f>
        <v>2014-Oct</v>
      </c>
      <c r="F1118" s="68">
        <f t="shared" ref="F1118:F1119" si="2297">IF(C1118&gt;0,MONTH(C1118),"False")</f>
        <v>10</v>
      </c>
      <c r="G1118" s="310" t="s">
        <v>112</v>
      </c>
      <c r="H1118" s="300" t="s">
        <v>1745</v>
      </c>
      <c r="J1118" s="300" t="s">
        <v>78</v>
      </c>
      <c r="K1118" s="300" t="s">
        <v>78</v>
      </c>
      <c r="L1118" s="300" t="s">
        <v>79</v>
      </c>
      <c r="M1118" s="1" t="s">
        <v>1892</v>
      </c>
      <c r="N1118" s="300" t="s">
        <v>124</v>
      </c>
      <c r="O1118" s="300" t="s">
        <v>332</v>
      </c>
      <c r="R1118" s="64" t="s">
        <v>1796</v>
      </c>
      <c r="S1118" s="310" t="s">
        <v>104</v>
      </c>
      <c r="X1118" s="310" t="s">
        <v>1365</v>
      </c>
      <c r="Y1118" s="299" t="str">
        <f t="shared" ref="Y1118:Y1141" si="2298">IF(Q1118&gt;0,"Obsolete",IF(S1118&gt;0,S1118,"Unknown"))</f>
        <v>Pass</v>
      </c>
      <c r="Z1118" s="11" t="str">
        <f t="shared" ref="Z1118:Z1141" si="2299">IF(Q1118="Obsolete-LQA",C1118,IF(Q1118="Obsolete-IT",B1118,""))</f>
        <v/>
      </c>
      <c r="AA1118" s="299" t="str">
        <f>IFERROR(YEAR(Z1118)&amp;" - "&amp; IF(LEN( WEEKNUM(Z1118))=1,"0" &amp; WEEKNUM(Z1118),WEEKNUM(Z1118)),"")</f>
        <v/>
      </c>
      <c r="AB1118" s="299" t="str">
        <f>IFERROR(YEAR(Z1118),"")</f>
        <v/>
      </c>
    </row>
    <row r="1119" spans="2:28" x14ac:dyDescent="0.25">
      <c r="B1119" s="65">
        <v>41932</v>
      </c>
      <c r="C1119" s="66">
        <v>41932</v>
      </c>
      <c r="D1119" s="68">
        <f t="shared" si="2295"/>
        <v>10</v>
      </c>
      <c r="E1119" s="66" t="str">
        <f t="shared" si="2296"/>
        <v>2014-Oct</v>
      </c>
      <c r="F1119" s="68">
        <f t="shared" si="2297"/>
        <v>10</v>
      </c>
      <c r="G1119" s="311" t="s">
        <v>105</v>
      </c>
      <c r="H1119" s="300" t="s">
        <v>280</v>
      </c>
      <c r="J1119" s="300" t="s">
        <v>81</v>
      </c>
      <c r="K1119" s="300" t="s">
        <v>82</v>
      </c>
      <c r="L1119" s="300" t="s">
        <v>79</v>
      </c>
      <c r="M1119" s="1" t="s">
        <v>1893</v>
      </c>
      <c r="N1119" s="300" t="s">
        <v>124</v>
      </c>
      <c r="O1119" s="300" t="s">
        <v>116</v>
      </c>
      <c r="P1119" s="64" t="s">
        <v>305</v>
      </c>
      <c r="R1119" s="64" t="s">
        <v>1559</v>
      </c>
      <c r="S1119" s="311" t="s">
        <v>104</v>
      </c>
      <c r="X1119" s="311" t="s">
        <v>544</v>
      </c>
      <c r="Y1119" s="310" t="str">
        <f t="shared" si="2298"/>
        <v>Pass</v>
      </c>
      <c r="Z1119" s="11" t="str">
        <f t="shared" si="2299"/>
        <v/>
      </c>
      <c r="AA1119" s="310" t="str">
        <f t="shared" ref="AA1119:AA1141" si="2300">IFERROR(YEAR(Z1119)&amp;" - "&amp; IF(LEN( WEEKNUM(Z1119))=1,"0" &amp; WEEKNUM(Z1119),WEEKNUM(Z1119)),"")</f>
        <v/>
      </c>
      <c r="AB1119" s="310" t="str">
        <f t="shared" ref="AB1119:AB1141" si="2301">IFERROR(YEAR(Z1119),"")</f>
        <v/>
      </c>
    </row>
    <row r="1120" spans="2:28" x14ac:dyDescent="0.25">
      <c r="B1120" s="65">
        <v>41932</v>
      </c>
      <c r="C1120" s="66">
        <v>41932</v>
      </c>
      <c r="D1120" s="68">
        <f t="shared" ref="D1120:D1122" si="2302">IF(B1120&gt;0,MONTH(B1120),"False")</f>
        <v>10</v>
      </c>
      <c r="E1120" s="66" t="str">
        <f t="shared" ref="E1120:E1122" si="2303">YEAR(B1120) &amp; CHOOSE(D1120,"-Jan","-Feb","-Mar","-Apr","-May","-Jun","-Jul","-Aug","-Sep","-Oct","-Nov","-Dec")</f>
        <v>2014-Oct</v>
      </c>
      <c r="F1120" s="68">
        <f t="shared" ref="F1120:F1122" si="2304">IF(C1120&gt;0,MONTH(C1120),"False")</f>
        <v>10</v>
      </c>
      <c r="G1120" s="311" t="s">
        <v>105</v>
      </c>
      <c r="H1120" s="300" t="s">
        <v>280</v>
      </c>
      <c r="I1120" s="300"/>
      <c r="J1120" s="300" t="s">
        <v>77</v>
      </c>
      <c r="K1120" s="300" t="s">
        <v>82</v>
      </c>
      <c r="L1120" s="300" t="s">
        <v>79</v>
      </c>
      <c r="M1120" s="1" t="s">
        <v>1894</v>
      </c>
      <c r="N1120" s="300" t="s">
        <v>124</v>
      </c>
      <c r="O1120" s="300" t="s">
        <v>116</v>
      </c>
      <c r="P1120" s="64" t="s">
        <v>305</v>
      </c>
      <c r="R1120" s="64" t="s">
        <v>1559</v>
      </c>
      <c r="S1120" s="311" t="s">
        <v>104</v>
      </c>
      <c r="X1120" s="311" t="s">
        <v>544</v>
      </c>
      <c r="Y1120" s="310" t="str">
        <f t="shared" si="2298"/>
        <v>Pass</v>
      </c>
      <c r="Z1120" s="11" t="str">
        <f t="shared" si="2299"/>
        <v/>
      </c>
      <c r="AA1120" s="310" t="str">
        <f t="shared" si="2300"/>
        <v/>
      </c>
      <c r="AB1120" s="310" t="str">
        <f t="shared" si="2301"/>
        <v/>
      </c>
    </row>
    <row r="1121" spans="2:28" x14ac:dyDescent="0.25">
      <c r="B1121" s="66">
        <v>41933</v>
      </c>
      <c r="C1121" s="66">
        <v>41933</v>
      </c>
      <c r="D1121" s="68">
        <f t="shared" si="2302"/>
        <v>10</v>
      </c>
      <c r="E1121" s="66" t="str">
        <f t="shared" si="2303"/>
        <v>2014-Oct</v>
      </c>
      <c r="F1121" s="68">
        <f t="shared" si="2304"/>
        <v>10</v>
      </c>
      <c r="G1121" s="333" t="s">
        <v>126</v>
      </c>
      <c r="H1121" s="301" t="s">
        <v>280</v>
      </c>
      <c r="J1121" s="301" t="s">
        <v>78</v>
      </c>
      <c r="K1121" s="301" t="s">
        <v>78</v>
      </c>
      <c r="L1121" s="301" t="s">
        <v>79</v>
      </c>
      <c r="M1121" s="1" t="s">
        <v>1895</v>
      </c>
      <c r="N1121" s="301" t="s">
        <v>124</v>
      </c>
      <c r="O1121" s="301" t="s">
        <v>304</v>
      </c>
      <c r="R1121" s="64" t="s">
        <v>344</v>
      </c>
      <c r="S1121" s="333" t="s">
        <v>104</v>
      </c>
      <c r="T1121" s="67" t="s">
        <v>110</v>
      </c>
      <c r="X1121" s="333" t="s">
        <v>652</v>
      </c>
      <c r="Y1121" s="310" t="str">
        <f t="shared" si="2298"/>
        <v>Pass</v>
      </c>
      <c r="Z1121" s="11" t="str">
        <f t="shared" si="2299"/>
        <v/>
      </c>
      <c r="AA1121" s="310" t="str">
        <f t="shared" si="2300"/>
        <v/>
      </c>
      <c r="AB1121" s="310" t="str">
        <f t="shared" si="2301"/>
        <v/>
      </c>
    </row>
    <row r="1122" spans="2:28" x14ac:dyDescent="0.25">
      <c r="B1122" s="66">
        <v>41933</v>
      </c>
      <c r="C1122" s="66">
        <v>41933</v>
      </c>
      <c r="D1122" s="68">
        <f t="shared" si="2302"/>
        <v>10</v>
      </c>
      <c r="E1122" s="66" t="str">
        <f t="shared" si="2303"/>
        <v>2014-Oct</v>
      </c>
      <c r="F1122" s="68">
        <f t="shared" si="2304"/>
        <v>10</v>
      </c>
      <c r="G1122" s="301" t="s">
        <v>87</v>
      </c>
      <c r="H1122" s="301" t="s">
        <v>166</v>
      </c>
      <c r="I1122" s="301"/>
      <c r="J1122" s="301" t="s">
        <v>119</v>
      </c>
      <c r="K1122" s="301" t="s">
        <v>119</v>
      </c>
      <c r="L1122" s="301" t="s">
        <v>83</v>
      </c>
      <c r="M1122" s="1" t="s">
        <v>1896</v>
      </c>
      <c r="N1122" s="301" t="s">
        <v>124</v>
      </c>
      <c r="O1122" s="301" t="s">
        <v>156</v>
      </c>
      <c r="R1122" s="64" t="s">
        <v>473</v>
      </c>
      <c r="Y1122" s="310" t="str">
        <f t="shared" si="2298"/>
        <v>Unknown</v>
      </c>
      <c r="Z1122" s="11" t="str">
        <f t="shared" si="2299"/>
        <v/>
      </c>
      <c r="AA1122" s="310" t="str">
        <f t="shared" si="2300"/>
        <v/>
      </c>
      <c r="AB1122" s="310" t="str">
        <f t="shared" si="2301"/>
        <v/>
      </c>
    </row>
    <row r="1123" spans="2:28" x14ac:dyDescent="0.25">
      <c r="B1123" s="65">
        <v>41933</v>
      </c>
      <c r="C1123" s="66">
        <v>41933</v>
      </c>
      <c r="D1123" s="68">
        <f t="shared" ref="D1123:D1124" si="2305">IF(B1123&gt;0,MONTH(B1123),"False")</f>
        <v>10</v>
      </c>
      <c r="E1123" s="66" t="str">
        <f t="shared" ref="E1123:E1124" si="2306">YEAR(B1123) &amp; CHOOSE(D1123,"-Jan","-Feb","-Mar","-Apr","-May","-Jun","-Jul","-Aug","-Sep","-Oct","-Nov","-Dec")</f>
        <v>2014-Oct</v>
      </c>
      <c r="F1123" s="68">
        <f t="shared" ref="F1123:F1124" si="2307">IF(C1123&gt;0,MONTH(C1123),"False")</f>
        <v>10</v>
      </c>
      <c r="G1123" s="311" t="s">
        <v>105</v>
      </c>
      <c r="H1123" s="301" t="s">
        <v>136</v>
      </c>
      <c r="J1123" s="301" t="s">
        <v>77</v>
      </c>
      <c r="K1123" s="301" t="s">
        <v>82</v>
      </c>
      <c r="L1123" s="301" t="s">
        <v>79</v>
      </c>
      <c r="M1123" s="1" t="s">
        <v>1897</v>
      </c>
      <c r="N1123" s="301" t="s">
        <v>124</v>
      </c>
      <c r="O1123" s="301" t="s">
        <v>114</v>
      </c>
      <c r="P1123" s="64" t="s">
        <v>750</v>
      </c>
      <c r="R1123" s="64" t="s">
        <v>1513</v>
      </c>
      <c r="S1123" s="311" t="s">
        <v>104</v>
      </c>
      <c r="X1123" s="311" t="s">
        <v>158</v>
      </c>
      <c r="Y1123" s="310" t="str">
        <f t="shared" si="2298"/>
        <v>Pass</v>
      </c>
      <c r="Z1123" s="11" t="str">
        <f t="shared" si="2299"/>
        <v/>
      </c>
      <c r="AA1123" s="310" t="str">
        <f t="shared" si="2300"/>
        <v/>
      </c>
      <c r="AB1123" s="310" t="str">
        <f t="shared" si="2301"/>
        <v/>
      </c>
    </row>
    <row r="1124" spans="2:28" x14ac:dyDescent="0.25">
      <c r="B1124" s="66">
        <v>41933</v>
      </c>
      <c r="C1124" s="66">
        <v>41933</v>
      </c>
      <c r="D1124" s="68">
        <f t="shared" si="2305"/>
        <v>10</v>
      </c>
      <c r="E1124" s="66" t="str">
        <f t="shared" si="2306"/>
        <v>2014-Oct</v>
      </c>
      <c r="F1124" s="68">
        <f t="shared" si="2307"/>
        <v>10</v>
      </c>
      <c r="G1124" s="301" t="s">
        <v>87</v>
      </c>
      <c r="H1124" s="301" t="s">
        <v>115</v>
      </c>
      <c r="J1124" s="301" t="s">
        <v>77</v>
      </c>
      <c r="K1124" s="301" t="s">
        <v>82</v>
      </c>
      <c r="L1124" s="301" t="s">
        <v>83</v>
      </c>
      <c r="M1124" s="1" t="s">
        <v>1898</v>
      </c>
      <c r="N1124" s="301" t="s">
        <v>124</v>
      </c>
      <c r="O1124" s="301" t="s">
        <v>353</v>
      </c>
      <c r="R1124" s="64" t="s">
        <v>1768</v>
      </c>
      <c r="Y1124" s="310" t="str">
        <f t="shared" si="2298"/>
        <v>Unknown</v>
      </c>
      <c r="Z1124" s="11" t="str">
        <f t="shared" si="2299"/>
        <v/>
      </c>
      <c r="AA1124" s="310" t="str">
        <f t="shared" si="2300"/>
        <v/>
      </c>
      <c r="AB1124" s="310" t="str">
        <f t="shared" si="2301"/>
        <v/>
      </c>
    </row>
    <row r="1125" spans="2:28" x14ac:dyDescent="0.25">
      <c r="B1125" s="66">
        <v>41934</v>
      </c>
      <c r="C1125" s="66">
        <v>41934</v>
      </c>
      <c r="D1125" s="68">
        <f t="shared" ref="D1125:D1126" si="2308">IF(B1125&gt;0,MONTH(B1125),"False")</f>
        <v>10</v>
      </c>
      <c r="E1125" s="66" t="str">
        <f t="shared" ref="E1125:E1126" si="2309">YEAR(B1125) &amp; CHOOSE(D1125,"-Jan","-Feb","-Mar","-Apr","-May","-Jun","-Jul","-Aug","-Sep","-Oct","-Nov","-Dec")</f>
        <v>2014-Oct</v>
      </c>
      <c r="F1125" s="68">
        <f t="shared" ref="F1125:F1126" si="2310">IF(C1125&gt;0,MONTH(C1125),"False")</f>
        <v>10</v>
      </c>
      <c r="G1125" s="302" t="s">
        <v>87</v>
      </c>
      <c r="H1125" s="302" t="s">
        <v>115</v>
      </c>
      <c r="J1125" s="302" t="s">
        <v>78</v>
      </c>
      <c r="K1125" s="302" t="s">
        <v>78</v>
      </c>
      <c r="L1125" s="302" t="s">
        <v>79</v>
      </c>
      <c r="M1125" s="1" t="s">
        <v>1899</v>
      </c>
      <c r="N1125" s="302" t="s">
        <v>124</v>
      </c>
      <c r="O1125" s="302" t="s">
        <v>324</v>
      </c>
      <c r="R1125" s="64" t="s">
        <v>1881</v>
      </c>
      <c r="Y1125" s="310" t="str">
        <f t="shared" si="2298"/>
        <v>Unknown</v>
      </c>
      <c r="Z1125" s="11" t="str">
        <f t="shared" si="2299"/>
        <v/>
      </c>
      <c r="AA1125" s="310" t="str">
        <f t="shared" si="2300"/>
        <v/>
      </c>
      <c r="AB1125" s="310" t="str">
        <f t="shared" si="2301"/>
        <v/>
      </c>
    </row>
    <row r="1126" spans="2:28" x14ac:dyDescent="0.25">
      <c r="B1126" s="65">
        <v>41939</v>
      </c>
      <c r="C1126" s="66">
        <v>41939</v>
      </c>
      <c r="D1126" s="68">
        <f t="shared" si="2308"/>
        <v>10</v>
      </c>
      <c r="E1126" s="66" t="str">
        <f t="shared" si="2309"/>
        <v>2014-Oct</v>
      </c>
      <c r="F1126" s="68">
        <f t="shared" si="2310"/>
        <v>10</v>
      </c>
      <c r="G1126" s="311" t="s">
        <v>105</v>
      </c>
      <c r="H1126" s="303" t="s">
        <v>280</v>
      </c>
      <c r="J1126" s="303" t="s">
        <v>81</v>
      </c>
      <c r="K1126" s="303" t="s">
        <v>82</v>
      </c>
      <c r="L1126" s="303" t="s">
        <v>79</v>
      </c>
      <c r="M1126" s="1" t="s">
        <v>1900</v>
      </c>
      <c r="N1126" s="303" t="s">
        <v>124</v>
      </c>
      <c r="O1126" s="303" t="s">
        <v>286</v>
      </c>
      <c r="P1126" s="64" t="s">
        <v>305</v>
      </c>
      <c r="R1126" s="64" t="s">
        <v>1559</v>
      </c>
      <c r="S1126" s="311" t="s">
        <v>104</v>
      </c>
      <c r="X1126" s="311" t="s">
        <v>544</v>
      </c>
      <c r="Y1126" s="310" t="str">
        <f t="shared" si="2298"/>
        <v>Pass</v>
      </c>
      <c r="Z1126" s="11" t="str">
        <f t="shared" si="2299"/>
        <v/>
      </c>
      <c r="AA1126" s="310" t="str">
        <f t="shared" si="2300"/>
        <v/>
      </c>
      <c r="AB1126" s="310" t="str">
        <f t="shared" si="2301"/>
        <v/>
      </c>
    </row>
    <row r="1127" spans="2:28" x14ac:dyDescent="0.25">
      <c r="B1127" s="65">
        <v>41939</v>
      </c>
      <c r="C1127" s="66">
        <v>41939</v>
      </c>
      <c r="D1127" s="68">
        <f t="shared" ref="D1127" si="2311">IF(B1127&gt;0,MONTH(B1127),"False")</f>
        <v>10</v>
      </c>
      <c r="E1127" s="66" t="str">
        <f t="shared" ref="E1127" si="2312">YEAR(B1127) &amp; CHOOSE(D1127,"-Jan","-Feb","-Mar","-Apr","-May","-Jun","-Jul","-Aug","-Sep","-Oct","-Nov","-Dec")</f>
        <v>2014-Oct</v>
      </c>
      <c r="F1127" s="68">
        <f t="shared" ref="F1127" si="2313">IF(C1127&gt;0,MONTH(C1127),"False")</f>
        <v>10</v>
      </c>
      <c r="G1127" s="303" t="s">
        <v>93</v>
      </c>
      <c r="H1127" s="303" t="s">
        <v>136</v>
      </c>
      <c r="J1127" s="303" t="s">
        <v>77</v>
      </c>
      <c r="K1127" s="303" t="s">
        <v>82</v>
      </c>
      <c r="L1127" s="303" t="s">
        <v>79</v>
      </c>
      <c r="M1127" s="1" t="s">
        <v>1901</v>
      </c>
      <c r="N1127" s="303" t="s">
        <v>124</v>
      </c>
      <c r="O1127" s="303" t="s">
        <v>1368</v>
      </c>
      <c r="P1127" s="64" t="s">
        <v>750</v>
      </c>
      <c r="Q1127" s="2" t="s">
        <v>88</v>
      </c>
      <c r="R1127" s="64" t="s">
        <v>1513</v>
      </c>
      <c r="Y1127" s="310" t="str">
        <f t="shared" si="2298"/>
        <v>Obsolete</v>
      </c>
      <c r="Z1127" s="11">
        <f t="shared" si="2299"/>
        <v>41939</v>
      </c>
      <c r="AA1127" s="310" t="str">
        <f t="shared" si="2300"/>
        <v>2014 - 44</v>
      </c>
      <c r="AB1127" s="310">
        <f t="shared" si="2301"/>
        <v>2014</v>
      </c>
    </row>
    <row r="1128" spans="2:28" x14ac:dyDescent="0.25">
      <c r="B1128" s="65">
        <v>41939</v>
      </c>
      <c r="C1128" s="66">
        <v>41939</v>
      </c>
      <c r="D1128" s="68">
        <f t="shared" ref="D1128:D1129" si="2314">IF(B1128&gt;0,MONTH(B1128),"False")</f>
        <v>10</v>
      </c>
      <c r="E1128" s="66" t="str">
        <f t="shared" ref="E1128:E1129" si="2315">YEAR(B1128) &amp; CHOOSE(D1128,"-Jan","-Feb","-Mar","-Apr","-May","-Jun","-Jul","-Aug","-Sep","-Oct","-Nov","-Dec")</f>
        <v>2014-Oct</v>
      </c>
      <c r="F1128" s="68">
        <f t="shared" ref="F1128:F1129" si="2316">IF(C1128&gt;0,MONTH(C1128),"False")</f>
        <v>10</v>
      </c>
      <c r="G1128" s="303" t="s">
        <v>93</v>
      </c>
      <c r="H1128" s="303" t="s">
        <v>136</v>
      </c>
      <c r="I1128" s="303"/>
      <c r="J1128" s="303" t="s">
        <v>120</v>
      </c>
      <c r="K1128" s="303" t="s">
        <v>82</v>
      </c>
      <c r="L1128" s="303" t="s">
        <v>79</v>
      </c>
      <c r="M1128" s="303" t="s">
        <v>1902</v>
      </c>
      <c r="N1128" s="303" t="s">
        <v>124</v>
      </c>
      <c r="O1128" s="303" t="s">
        <v>1368</v>
      </c>
      <c r="P1128" s="64" t="s">
        <v>750</v>
      </c>
      <c r="Q1128" s="2" t="s">
        <v>88</v>
      </c>
      <c r="R1128" s="64" t="s">
        <v>1513</v>
      </c>
      <c r="Y1128" s="310" t="str">
        <f t="shared" si="2298"/>
        <v>Obsolete</v>
      </c>
      <c r="Z1128" s="11">
        <f t="shared" si="2299"/>
        <v>41939</v>
      </c>
      <c r="AA1128" s="310" t="str">
        <f t="shared" si="2300"/>
        <v>2014 - 44</v>
      </c>
      <c r="AB1128" s="310">
        <f t="shared" si="2301"/>
        <v>2014</v>
      </c>
    </row>
    <row r="1129" spans="2:28" x14ac:dyDescent="0.25">
      <c r="B1129" s="66">
        <v>41939</v>
      </c>
      <c r="C1129" s="66">
        <v>41939</v>
      </c>
      <c r="D1129" s="68">
        <f t="shared" si="2314"/>
        <v>10</v>
      </c>
      <c r="E1129" s="66" t="str">
        <f t="shared" si="2315"/>
        <v>2014-Oct</v>
      </c>
      <c r="F1129" s="68">
        <f t="shared" si="2316"/>
        <v>10</v>
      </c>
      <c r="G1129" s="303" t="s">
        <v>87</v>
      </c>
      <c r="H1129" s="303" t="s">
        <v>166</v>
      </c>
      <c r="J1129" s="303" t="s">
        <v>77</v>
      </c>
      <c r="K1129" s="303" t="s">
        <v>82</v>
      </c>
      <c r="L1129" s="303" t="s">
        <v>79</v>
      </c>
      <c r="M1129" s="1" t="s">
        <v>1903</v>
      </c>
      <c r="N1129" s="303" t="s">
        <v>124</v>
      </c>
      <c r="O1129" s="303" t="s">
        <v>1891</v>
      </c>
      <c r="R1129" s="64" t="s">
        <v>862</v>
      </c>
      <c r="Y1129" s="310" t="str">
        <f t="shared" si="2298"/>
        <v>Unknown</v>
      </c>
      <c r="Z1129" s="11" t="str">
        <f t="shared" si="2299"/>
        <v/>
      </c>
      <c r="AA1129" s="310" t="str">
        <f t="shared" si="2300"/>
        <v/>
      </c>
      <c r="AB1129" s="310" t="str">
        <f t="shared" si="2301"/>
        <v/>
      </c>
    </row>
    <row r="1130" spans="2:28" x14ac:dyDescent="0.25">
      <c r="B1130" s="65">
        <v>41939</v>
      </c>
      <c r="C1130" s="66">
        <v>41939</v>
      </c>
      <c r="D1130" s="68">
        <f t="shared" ref="D1130:D1131" si="2317">IF(B1130&gt;0,MONTH(B1130),"False")</f>
        <v>10</v>
      </c>
      <c r="E1130" s="66" t="str">
        <f t="shared" ref="E1130:E1131" si="2318">YEAR(B1130) &amp; CHOOSE(D1130,"-Jan","-Feb","-Mar","-Apr","-May","-Jun","-Jul","-Aug","-Sep","-Oct","-Nov","-Dec")</f>
        <v>2014-Oct</v>
      </c>
      <c r="F1130" s="68">
        <f t="shared" ref="F1130:F1131" si="2319">IF(C1130&gt;0,MONTH(C1130),"False")</f>
        <v>10</v>
      </c>
      <c r="G1130" s="303" t="s">
        <v>93</v>
      </c>
      <c r="H1130" s="303" t="s">
        <v>28</v>
      </c>
      <c r="J1130" s="303" t="s">
        <v>77</v>
      </c>
      <c r="K1130" s="303" t="s">
        <v>82</v>
      </c>
      <c r="L1130" s="303" t="s">
        <v>79</v>
      </c>
      <c r="M1130" s="1" t="s">
        <v>1904</v>
      </c>
      <c r="N1130" s="303" t="s">
        <v>124</v>
      </c>
      <c r="O1130" s="303" t="s">
        <v>162</v>
      </c>
      <c r="P1130" s="64" t="s">
        <v>334</v>
      </c>
      <c r="Q1130" s="2" t="s">
        <v>88</v>
      </c>
      <c r="R1130" s="64" t="s">
        <v>335</v>
      </c>
      <c r="Y1130" s="310" t="str">
        <f t="shared" si="2298"/>
        <v>Obsolete</v>
      </c>
      <c r="Z1130" s="11">
        <f t="shared" si="2299"/>
        <v>41939</v>
      </c>
      <c r="AA1130" s="310" t="str">
        <f t="shared" si="2300"/>
        <v>2014 - 44</v>
      </c>
      <c r="AB1130" s="310">
        <f t="shared" si="2301"/>
        <v>2014</v>
      </c>
    </row>
    <row r="1131" spans="2:28" x14ac:dyDescent="0.25">
      <c r="B1131" s="66">
        <v>41940</v>
      </c>
      <c r="C1131" s="66">
        <v>41940</v>
      </c>
      <c r="D1131" s="68">
        <f t="shared" si="2317"/>
        <v>10</v>
      </c>
      <c r="E1131" s="66" t="str">
        <f t="shared" si="2318"/>
        <v>2014-Oct</v>
      </c>
      <c r="F1131" s="68">
        <f t="shared" si="2319"/>
        <v>10</v>
      </c>
      <c r="G1131" s="325" t="s">
        <v>112</v>
      </c>
      <c r="H1131" s="304" t="s">
        <v>136</v>
      </c>
      <c r="J1131" s="304" t="s">
        <v>149</v>
      </c>
      <c r="K1131" s="304" t="s">
        <v>84</v>
      </c>
      <c r="L1131" s="304" t="s">
        <v>79</v>
      </c>
      <c r="M1131" s="1" t="s">
        <v>1905</v>
      </c>
      <c r="N1131" s="304" t="s">
        <v>124</v>
      </c>
      <c r="O1131" s="304" t="s">
        <v>299</v>
      </c>
      <c r="R1131" s="64" t="s">
        <v>1611</v>
      </c>
      <c r="S1131" s="325" t="s">
        <v>104</v>
      </c>
      <c r="X1131" s="325" t="s">
        <v>159</v>
      </c>
      <c r="Y1131" s="310" t="str">
        <f t="shared" si="2298"/>
        <v>Pass</v>
      </c>
      <c r="Z1131" s="11" t="str">
        <f t="shared" si="2299"/>
        <v/>
      </c>
      <c r="AA1131" s="310" t="str">
        <f t="shared" si="2300"/>
        <v/>
      </c>
      <c r="AB1131" s="310" t="str">
        <f t="shared" si="2301"/>
        <v/>
      </c>
    </row>
    <row r="1132" spans="2:28" x14ac:dyDescent="0.25">
      <c r="B1132" s="65">
        <v>41940</v>
      </c>
      <c r="C1132" s="66">
        <v>41940</v>
      </c>
      <c r="D1132" s="68">
        <f t="shared" ref="D1132:D1133" si="2320">IF(B1132&gt;0,MONTH(B1132),"False")</f>
        <v>10</v>
      </c>
      <c r="E1132" s="66" t="str">
        <f t="shared" ref="E1132:E1133" si="2321">YEAR(B1132) &amp; CHOOSE(D1132,"-Jan","-Feb","-Mar","-Apr","-May","-Jun","-Jul","-Aug","-Sep","-Oct","-Nov","-Dec")</f>
        <v>2014-Oct</v>
      </c>
      <c r="F1132" s="68">
        <f t="shared" ref="F1132:F1133" si="2322">IF(C1132&gt;0,MONTH(C1132),"False")</f>
        <v>10</v>
      </c>
      <c r="G1132" s="304" t="s">
        <v>121</v>
      </c>
      <c r="H1132" s="304" t="s">
        <v>1745</v>
      </c>
      <c r="I1132" s="360" t="s">
        <v>2139</v>
      </c>
      <c r="J1132" s="304" t="s">
        <v>81</v>
      </c>
      <c r="K1132" s="304" t="s">
        <v>82</v>
      </c>
      <c r="L1132" s="304" t="s">
        <v>79</v>
      </c>
      <c r="M1132" s="1" t="s">
        <v>1906</v>
      </c>
      <c r="N1132" s="304" t="s">
        <v>124</v>
      </c>
      <c r="O1132" s="304" t="s">
        <v>273</v>
      </c>
      <c r="P1132" s="64" t="s">
        <v>1823</v>
      </c>
      <c r="R1132" s="64" t="s">
        <v>1824</v>
      </c>
      <c r="S1132" s="1" t="s">
        <v>104</v>
      </c>
      <c r="X1132" s="1" t="s">
        <v>158</v>
      </c>
      <c r="Y1132" s="310" t="str">
        <f t="shared" si="2298"/>
        <v>Pass</v>
      </c>
      <c r="Z1132" s="11" t="str">
        <f t="shared" si="2299"/>
        <v/>
      </c>
      <c r="AA1132" s="310" t="str">
        <f t="shared" si="2300"/>
        <v/>
      </c>
      <c r="AB1132" s="310" t="str">
        <f t="shared" si="2301"/>
        <v/>
      </c>
    </row>
    <row r="1133" spans="2:28" x14ac:dyDescent="0.25">
      <c r="B1133" s="66">
        <v>41941</v>
      </c>
      <c r="C1133" s="66">
        <v>41941</v>
      </c>
      <c r="D1133" s="68">
        <f t="shared" si="2320"/>
        <v>10</v>
      </c>
      <c r="E1133" s="66" t="str">
        <f t="shared" si="2321"/>
        <v>2014-Oct</v>
      </c>
      <c r="F1133" s="68">
        <f t="shared" si="2322"/>
        <v>10</v>
      </c>
      <c r="G1133" s="307" t="s">
        <v>87</v>
      </c>
      <c r="H1133" s="307" t="s">
        <v>166</v>
      </c>
      <c r="J1133" s="307" t="s">
        <v>149</v>
      </c>
      <c r="K1133" s="307" t="s">
        <v>84</v>
      </c>
      <c r="L1133" s="307" t="s">
        <v>83</v>
      </c>
      <c r="M1133" s="1" t="s">
        <v>1907</v>
      </c>
      <c r="N1133" s="307" t="s">
        <v>124</v>
      </c>
      <c r="O1133" s="307" t="s">
        <v>350</v>
      </c>
      <c r="Q1133" s="2" t="s">
        <v>88</v>
      </c>
      <c r="R1133" s="64" t="s">
        <v>1908</v>
      </c>
      <c r="Y1133" s="310" t="str">
        <f t="shared" si="2298"/>
        <v>Obsolete</v>
      </c>
      <c r="Z1133" s="11">
        <f t="shared" si="2299"/>
        <v>41941</v>
      </c>
      <c r="AA1133" s="310" t="str">
        <f t="shared" si="2300"/>
        <v>2014 - 44</v>
      </c>
      <c r="AB1133" s="310">
        <f t="shared" si="2301"/>
        <v>2014</v>
      </c>
    </row>
    <row r="1134" spans="2:28" x14ac:dyDescent="0.25">
      <c r="B1134" s="66">
        <v>41941</v>
      </c>
      <c r="C1134" s="66">
        <v>41941</v>
      </c>
      <c r="D1134" s="68">
        <f t="shared" ref="D1134:D1135" si="2323">IF(B1134&gt;0,MONTH(B1134),"False")</f>
        <v>10</v>
      </c>
      <c r="E1134" s="66" t="str">
        <f t="shared" ref="E1134:E1135" si="2324">YEAR(B1134) &amp; CHOOSE(D1134,"-Jan","-Feb","-Mar","-Apr","-May","-Jun","-Jul","-Aug","-Sep","-Oct","-Nov","-Dec")</f>
        <v>2014-Oct</v>
      </c>
      <c r="F1134" s="68">
        <f t="shared" ref="F1134:F1135" si="2325">IF(C1134&gt;0,MONTH(C1134),"False")</f>
        <v>10</v>
      </c>
      <c r="G1134" s="307" t="s">
        <v>87</v>
      </c>
      <c r="H1134" s="307" t="s">
        <v>1745</v>
      </c>
      <c r="J1134" s="307" t="s">
        <v>78</v>
      </c>
      <c r="K1134" s="307" t="s">
        <v>78</v>
      </c>
      <c r="L1134" s="307" t="s">
        <v>79</v>
      </c>
      <c r="M1134" s="1" t="s">
        <v>1909</v>
      </c>
      <c r="N1134" s="307" t="s">
        <v>124</v>
      </c>
      <c r="O1134" s="307" t="s">
        <v>168</v>
      </c>
      <c r="Q1134" s="2" t="s">
        <v>88</v>
      </c>
      <c r="R1134" s="64" t="s">
        <v>308</v>
      </c>
      <c r="Y1134" s="310" t="str">
        <f t="shared" si="2298"/>
        <v>Obsolete</v>
      </c>
      <c r="Z1134" s="11">
        <f t="shared" si="2299"/>
        <v>41941</v>
      </c>
      <c r="AA1134" s="310" t="str">
        <f t="shared" si="2300"/>
        <v>2014 - 44</v>
      </c>
      <c r="AB1134" s="310">
        <f t="shared" si="2301"/>
        <v>2014</v>
      </c>
    </row>
    <row r="1135" spans="2:28" x14ac:dyDescent="0.25">
      <c r="B1135" s="65">
        <v>41941</v>
      </c>
      <c r="C1135" s="66">
        <v>41941</v>
      </c>
      <c r="D1135" s="68">
        <f t="shared" si="2323"/>
        <v>10</v>
      </c>
      <c r="E1135" s="66" t="str">
        <f t="shared" si="2324"/>
        <v>2014-Oct</v>
      </c>
      <c r="F1135" s="68">
        <f t="shared" si="2325"/>
        <v>10</v>
      </c>
      <c r="G1135" s="311" t="s">
        <v>105</v>
      </c>
      <c r="H1135" s="307" t="s">
        <v>280</v>
      </c>
      <c r="J1135" s="307" t="s">
        <v>146</v>
      </c>
      <c r="K1135" s="307" t="s">
        <v>82</v>
      </c>
      <c r="L1135" s="307" t="s">
        <v>79</v>
      </c>
      <c r="M1135" s="1" t="s">
        <v>1910</v>
      </c>
      <c r="N1135" s="307" t="s">
        <v>124</v>
      </c>
      <c r="O1135" s="307" t="s">
        <v>116</v>
      </c>
      <c r="P1135" s="64" t="s">
        <v>305</v>
      </c>
      <c r="R1135" s="64" t="s">
        <v>1559</v>
      </c>
      <c r="S1135" s="311" t="s">
        <v>104</v>
      </c>
      <c r="X1135" s="311" t="s">
        <v>544</v>
      </c>
      <c r="Y1135" s="310" t="str">
        <f t="shared" si="2298"/>
        <v>Pass</v>
      </c>
      <c r="Z1135" s="11" t="str">
        <f t="shared" si="2299"/>
        <v/>
      </c>
      <c r="AA1135" s="310" t="str">
        <f t="shared" si="2300"/>
        <v/>
      </c>
      <c r="AB1135" s="310" t="str">
        <f t="shared" si="2301"/>
        <v/>
      </c>
    </row>
    <row r="1136" spans="2:28" x14ac:dyDescent="0.25">
      <c r="B1136" s="66">
        <v>41941</v>
      </c>
      <c r="C1136" s="66">
        <v>41941</v>
      </c>
      <c r="D1136" s="68">
        <f t="shared" ref="D1136:D1137" si="2326">IF(B1136&gt;0,MONTH(B1136),"False")</f>
        <v>10</v>
      </c>
      <c r="E1136" s="66" t="str">
        <f t="shared" ref="E1136:E1137" si="2327">YEAR(B1136) &amp; CHOOSE(D1136,"-Jan","-Feb","-Mar","-Apr","-May","-Jun","-Jul","-Aug","-Sep","-Oct","-Nov","-Dec")</f>
        <v>2014-Oct</v>
      </c>
      <c r="F1136" s="68">
        <f t="shared" ref="F1136:F1137" si="2328">IF(C1136&gt;0,MONTH(C1136),"False")</f>
        <v>10</v>
      </c>
      <c r="G1136" s="311" t="s">
        <v>126</v>
      </c>
      <c r="H1136" s="307" t="s">
        <v>280</v>
      </c>
      <c r="J1136" s="307" t="s">
        <v>78</v>
      </c>
      <c r="K1136" s="307" t="s">
        <v>78</v>
      </c>
      <c r="L1136" s="307" t="s">
        <v>79</v>
      </c>
      <c r="M1136" s="1" t="s">
        <v>1911</v>
      </c>
      <c r="N1136" s="307" t="s">
        <v>124</v>
      </c>
      <c r="O1136" s="307" t="s">
        <v>304</v>
      </c>
      <c r="R1136" s="64" t="s">
        <v>344</v>
      </c>
      <c r="S1136" s="311" t="s">
        <v>104</v>
      </c>
      <c r="X1136" s="311" t="s">
        <v>544</v>
      </c>
      <c r="Y1136" s="310" t="str">
        <f t="shared" si="2298"/>
        <v>Pass</v>
      </c>
      <c r="Z1136" s="11" t="str">
        <f t="shared" si="2299"/>
        <v/>
      </c>
      <c r="AA1136" s="310" t="str">
        <f t="shared" si="2300"/>
        <v/>
      </c>
      <c r="AB1136" s="310" t="str">
        <f t="shared" si="2301"/>
        <v/>
      </c>
    </row>
    <row r="1137" spans="2:28" x14ac:dyDescent="0.25">
      <c r="B1137" s="65">
        <v>41941</v>
      </c>
      <c r="C1137" s="66">
        <v>41941</v>
      </c>
      <c r="D1137" s="68">
        <f t="shared" si="2326"/>
        <v>10</v>
      </c>
      <c r="E1137" s="66" t="str">
        <f t="shared" si="2327"/>
        <v>2014-Oct</v>
      </c>
      <c r="F1137" s="68">
        <f t="shared" si="2328"/>
        <v>10</v>
      </c>
      <c r="G1137" s="328" t="s">
        <v>121</v>
      </c>
      <c r="H1137" s="307" t="s">
        <v>316</v>
      </c>
      <c r="J1137" s="307" t="s">
        <v>77</v>
      </c>
      <c r="K1137" s="307" t="s">
        <v>82</v>
      </c>
      <c r="L1137" s="307" t="s">
        <v>79</v>
      </c>
      <c r="M1137" s="1" t="s">
        <v>1912</v>
      </c>
      <c r="N1137" s="307" t="s">
        <v>124</v>
      </c>
      <c r="O1137" s="307" t="s">
        <v>285</v>
      </c>
      <c r="P1137" s="64" t="s">
        <v>340</v>
      </c>
      <c r="R1137" s="64" t="s">
        <v>705</v>
      </c>
      <c r="S1137" s="328" t="s">
        <v>104</v>
      </c>
      <c r="X1137" s="328" t="s">
        <v>300</v>
      </c>
      <c r="Y1137" s="310" t="str">
        <f t="shared" si="2298"/>
        <v>Pass</v>
      </c>
      <c r="Z1137" s="11" t="str">
        <f t="shared" si="2299"/>
        <v/>
      </c>
      <c r="AA1137" s="310" t="str">
        <f t="shared" si="2300"/>
        <v/>
      </c>
      <c r="AB1137" s="310" t="str">
        <f t="shared" si="2301"/>
        <v/>
      </c>
    </row>
    <row r="1138" spans="2:28" x14ac:dyDescent="0.25">
      <c r="B1138" s="65">
        <v>41941</v>
      </c>
      <c r="C1138" s="66">
        <v>41941</v>
      </c>
      <c r="D1138" s="68">
        <f t="shared" ref="D1138:D1139" si="2329">IF(B1138&gt;0,MONTH(B1138),"False")</f>
        <v>10</v>
      </c>
      <c r="E1138" s="66" t="str">
        <f t="shared" ref="E1138:E1139" si="2330">YEAR(B1138) &amp; CHOOSE(D1138,"-Jan","-Feb","-Mar","-Apr","-May","-Jun","-Jul","-Aug","-Sep","-Oct","-Nov","-Dec")</f>
        <v>2014-Oct</v>
      </c>
      <c r="F1138" s="68">
        <f t="shared" ref="F1138:F1139" si="2331">IF(C1138&gt;0,MONTH(C1138),"False")</f>
        <v>10</v>
      </c>
      <c r="G1138" s="368" t="s">
        <v>121</v>
      </c>
      <c r="H1138" s="307" t="s">
        <v>28</v>
      </c>
      <c r="J1138" s="307" t="s">
        <v>77</v>
      </c>
      <c r="K1138" s="307" t="s">
        <v>82</v>
      </c>
      <c r="L1138" s="307" t="s">
        <v>79</v>
      </c>
      <c r="M1138" s="1" t="s">
        <v>1913</v>
      </c>
      <c r="N1138" s="307" t="s">
        <v>124</v>
      </c>
      <c r="O1138" s="307" t="s">
        <v>1368</v>
      </c>
      <c r="P1138" s="64" t="s">
        <v>334</v>
      </c>
      <c r="R1138" s="64" t="s">
        <v>335</v>
      </c>
      <c r="S1138" s="368" t="s">
        <v>104</v>
      </c>
      <c r="X1138" s="368" t="s">
        <v>153</v>
      </c>
      <c r="Y1138" s="310" t="str">
        <f t="shared" si="2298"/>
        <v>Pass</v>
      </c>
      <c r="Z1138" s="11" t="str">
        <f t="shared" si="2299"/>
        <v/>
      </c>
      <c r="AA1138" s="310" t="str">
        <f t="shared" si="2300"/>
        <v/>
      </c>
      <c r="AB1138" s="310" t="str">
        <f t="shared" si="2301"/>
        <v/>
      </c>
    </row>
    <row r="1139" spans="2:28" x14ac:dyDescent="0.25">
      <c r="B1139" s="66">
        <v>41941</v>
      </c>
      <c r="C1139" s="66">
        <v>41941</v>
      </c>
      <c r="D1139" s="68">
        <f t="shared" si="2329"/>
        <v>10</v>
      </c>
      <c r="E1139" s="66" t="str">
        <f t="shared" si="2330"/>
        <v>2014-Oct</v>
      </c>
      <c r="F1139" s="68">
        <f t="shared" si="2331"/>
        <v>10</v>
      </c>
      <c r="G1139" s="378" t="s">
        <v>112</v>
      </c>
      <c r="H1139" s="307" t="s">
        <v>28</v>
      </c>
      <c r="J1139" s="307" t="s">
        <v>78</v>
      </c>
      <c r="K1139" s="307" t="s">
        <v>78</v>
      </c>
      <c r="L1139" s="307" t="s">
        <v>79</v>
      </c>
      <c r="M1139" s="1" t="s">
        <v>1914</v>
      </c>
      <c r="N1139" s="307" t="s">
        <v>124</v>
      </c>
      <c r="O1139" s="307" t="s">
        <v>168</v>
      </c>
      <c r="R1139" s="64" t="s">
        <v>308</v>
      </c>
      <c r="S1139" s="378" t="s">
        <v>104</v>
      </c>
      <c r="X1139" s="378" t="s">
        <v>155</v>
      </c>
      <c r="Y1139" s="310" t="str">
        <f t="shared" si="2298"/>
        <v>Pass</v>
      </c>
      <c r="Z1139" s="11" t="str">
        <f t="shared" si="2299"/>
        <v/>
      </c>
      <c r="AA1139" s="310" t="str">
        <f t="shared" si="2300"/>
        <v/>
      </c>
      <c r="AB1139" s="310" t="str">
        <f t="shared" si="2301"/>
        <v/>
      </c>
    </row>
    <row r="1140" spans="2:28" x14ac:dyDescent="0.25">
      <c r="B1140" s="66">
        <v>41942</v>
      </c>
      <c r="C1140" s="66">
        <v>41942</v>
      </c>
      <c r="D1140" s="68">
        <f t="shared" ref="D1140" si="2332">IF(B1140&gt;0,MONTH(B1140),"False")</f>
        <v>10</v>
      </c>
      <c r="E1140" s="66" t="str">
        <f t="shared" ref="E1140" si="2333">YEAR(B1140) &amp; CHOOSE(D1140,"-Jan","-Feb","-Mar","-Apr","-May","-Jun","-Jul","-Aug","-Sep","-Oct","-Nov","-Dec")</f>
        <v>2014-Oct</v>
      </c>
      <c r="F1140" s="68">
        <f t="shared" ref="F1140" si="2334">IF(C1140&gt;0,MONTH(C1140),"False")</f>
        <v>10</v>
      </c>
      <c r="G1140" s="310" t="s">
        <v>112</v>
      </c>
      <c r="H1140" s="310" t="s">
        <v>1745</v>
      </c>
      <c r="J1140" s="310" t="s">
        <v>78</v>
      </c>
      <c r="K1140" s="310" t="s">
        <v>78</v>
      </c>
      <c r="L1140" s="310" t="s">
        <v>79</v>
      </c>
      <c r="M1140" s="1" t="s">
        <v>1915</v>
      </c>
      <c r="N1140" s="310" t="s">
        <v>124</v>
      </c>
      <c r="O1140" s="310" t="s">
        <v>1746</v>
      </c>
      <c r="R1140" s="64" t="s">
        <v>1796</v>
      </c>
      <c r="S1140" s="310" t="s">
        <v>104</v>
      </c>
      <c r="X1140" s="310" t="s">
        <v>1365</v>
      </c>
      <c r="Y1140" s="310" t="str">
        <f t="shared" si="2298"/>
        <v>Pass</v>
      </c>
      <c r="Z1140" s="11" t="str">
        <f t="shared" si="2299"/>
        <v/>
      </c>
      <c r="AA1140" s="310" t="str">
        <f t="shared" si="2300"/>
        <v/>
      </c>
      <c r="AB1140" s="310" t="str">
        <f t="shared" si="2301"/>
        <v/>
      </c>
    </row>
    <row r="1141" spans="2:28" x14ac:dyDescent="0.25">
      <c r="B1141" s="66">
        <v>41942</v>
      </c>
      <c r="C1141" s="66">
        <v>41942</v>
      </c>
      <c r="D1141" s="68">
        <f t="shared" ref="D1141" si="2335">IF(B1141&gt;0,MONTH(B1141),"False")</f>
        <v>10</v>
      </c>
      <c r="E1141" s="66" t="str">
        <f t="shared" ref="E1141" si="2336">YEAR(B1141) &amp; CHOOSE(D1141,"-Jan","-Feb","-Mar","-Apr","-May","-Jun","-Jul","-Aug","-Sep","-Oct","-Nov","-Dec")</f>
        <v>2014-Oct</v>
      </c>
      <c r="F1141" s="68">
        <f t="shared" ref="F1141" si="2337">IF(C1141&gt;0,MONTH(C1141),"False")</f>
        <v>10</v>
      </c>
      <c r="G1141" s="310" t="s">
        <v>87</v>
      </c>
      <c r="H1141" s="310" t="s">
        <v>280</v>
      </c>
      <c r="J1141" s="310" t="s">
        <v>78</v>
      </c>
      <c r="K1141" s="310" t="s">
        <v>78</v>
      </c>
      <c r="L1141" s="310" t="s">
        <v>79</v>
      </c>
      <c r="M1141" s="1" t="s">
        <v>1916</v>
      </c>
      <c r="N1141" s="310" t="s">
        <v>124</v>
      </c>
      <c r="O1141" s="310" t="s">
        <v>304</v>
      </c>
      <c r="Q1141" s="2" t="s">
        <v>88</v>
      </c>
      <c r="R1141" s="64" t="s">
        <v>344</v>
      </c>
      <c r="Y1141" s="310" t="str">
        <f t="shared" si="2298"/>
        <v>Obsolete</v>
      </c>
      <c r="Z1141" s="11">
        <f t="shared" si="2299"/>
        <v>41942</v>
      </c>
      <c r="AA1141" s="310" t="str">
        <f t="shared" si="2300"/>
        <v>2014 - 44</v>
      </c>
      <c r="AB1141" s="310">
        <f t="shared" si="2301"/>
        <v>2014</v>
      </c>
    </row>
    <row r="1142" spans="2:28" x14ac:dyDescent="0.25">
      <c r="B1142" s="65">
        <v>41942</v>
      </c>
      <c r="C1142" s="66">
        <v>41942</v>
      </c>
      <c r="D1142" s="68">
        <f t="shared" ref="D1142" si="2338">IF(B1142&gt;0,MONTH(B1142),"False")</f>
        <v>10</v>
      </c>
      <c r="E1142" s="66" t="str">
        <f t="shared" ref="E1142" si="2339">YEAR(B1142) &amp; CHOOSE(D1142,"-Jan","-Feb","-Mar","-Apr","-May","-Jun","-Jul","-Aug","-Sep","-Oct","-Nov","-Dec")</f>
        <v>2014-Oct</v>
      </c>
      <c r="F1142" s="68">
        <f t="shared" ref="F1142" si="2340">IF(C1142&gt;0,MONTH(C1142),"False")</f>
        <v>10</v>
      </c>
      <c r="G1142" s="313" t="s">
        <v>105</v>
      </c>
      <c r="H1142" s="310" t="s">
        <v>280</v>
      </c>
      <c r="J1142" s="310" t="s">
        <v>81</v>
      </c>
      <c r="K1142" s="310" t="s">
        <v>82</v>
      </c>
      <c r="L1142" s="310" t="s">
        <v>79</v>
      </c>
      <c r="M1142" s="1" t="s">
        <v>1917</v>
      </c>
      <c r="N1142" s="310" t="s">
        <v>124</v>
      </c>
      <c r="O1142" s="310" t="s">
        <v>286</v>
      </c>
      <c r="P1142" s="64" t="s">
        <v>305</v>
      </c>
      <c r="R1142" s="64" t="s">
        <v>1559</v>
      </c>
      <c r="S1142" s="313" t="s">
        <v>104</v>
      </c>
      <c r="X1142" s="313" t="s">
        <v>544</v>
      </c>
      <c r="Y1142" s="310" t="str">
        <f t="shared" ref="Y1142:Y1154" si="2341">IF(Q1142&gt;0,"Obsolete",IF(S1142&gt;0,S1142,"Unknown"))</f>
        <v>Pass</v>
      </c>
      <c r="Z1142" s="11" t="str">
        <f t="shared" ref="Z1142:Z1154" si="2342">IF(Q1142="Obsolete-LQA",C1142,IF(Q1142="Obsolete-IT",B1142,""))</f>
        <v/>
      </c>
      <c r="AA1142" s="310" t="str">
        <f t="shared" ref="AA1142:AA1154" si="2343">IFERROR(YEAR(Z1142)&amp;" - "&amp; IF(LEN( WEEKNUM(Z1142))=1,"0" &amp; WEEKNUM(Z1142),WEEKNUM(Z1142)),"")</f>
        <v/>
      </c>
      <c r="AB1142" s="310" t="str">
        <f t="shared" ref="AB1142:AB1154" si="2344">IFERROR(YEAR(Z1142),"")</f>
        <v/>
      </c>
    </row>
    <row r="1143" spans="2:28" x14ac:dyDescent="0.25">
      <c r="B1143" s="65">
        <v>41942</v>
      </c>
      <c r="C1143" s="66">
        <v>41942</v>
      </c>
      <c r="D1143" s="68">
        <f t="shared" ref="D1143" si="2345">IF(B1143&gt;0,MONTH(B1143),"False")</f>
        <v>10</v>
      </c>
      <c r="E1143" s="66" t="str">
        <f t="shared" ref="E1143" si="2346">YEAR(B1143) &amp; CHOOSE(D1143,"-Jan","-Feb","-Mar","-Apr","-May","-Jun","-Jul","-Aug","-Sep","-Oct","-Nov","-Dec")</f>
        <v>2014-Oct</v>
      </c>
      <c r="F1143" s="68">
        <f t="shared" ref="F1143" si="2347">IF(C1143&gt;0,MONTH(C1143),"False")</f>
        <v>10</v>
      </c>
      <c r="G1143" s="313" t="s">
        <v>105</v>
      </c>
      <c r="H1143" s="310" t="s">
        <v>280</v>
      </c>
      <c r="I1143" s="310"/>
      <c r="J1143" s="310" t="s">
        <v>146</v>
      </c>
      <c r="K1143" s="310" t="s">
        <v>82</v>
      </c>
      <c r="L1143" s="310" t="s">
        <v>79</v>
      </c>
      <c r="M1143" s="310" t="s">
        <v>1918</v>
      </c>
      <c r="N1143" s="310" t="s">
        <v>124</v>
      </c>
      <c r="O1143" s="310" t="s">
        <v>286</v>
      </c>
      <c r="P1143" s="64" t="s">
        <v>305</v>
      </c>
      <c r="R1143" s="64" t="s">
        <v>1559</v>
      </c>
      <c r="S1143" s="313" t="s">
        <v>104</v>
      </c>
      <c r="X1143" s="313" t="s">
        <v>544</v>
      </c>
      <c r="Y1143" s="310" t="str">
        <f t="shared" si="2341"/>
        <v>Pass</v>
      </c>
      <c r="Z1143" s="11" t="str">
        <f t="shared" si="2342"/>
        <v/>
      </c>
      <c r="AA1143" s="310" t="str">
        <f t="shared" si="2343"/>
        <v/>
      </c>
      <c r="AB1143" s="310" t="str">
        <f t="shared" si="2344"/>
        <v/>
      </c>
    </row>
    <row r="1144" spans="2:28" x14ac:dyDescent="0.25">
      <c r="B1144" s="65">
        <v>41942</v>
      </c>
      <c r="C1144" s="66">
        <v>41942</v>
      </c>
      <c r="D1144" s="68">
        <f t="shared" ref="D1144:D1146" si="2348">IF(B1144&gt;0,MONTH(B1144),"False")</f>
        <v>10</v>
      </c>
      <c r="E1144" s="66" t="str">
        <f t="shared" ref="E1144:E1146" si="2349">YEAR(B1144) &amp; CHOOSE(D1144,"-Jan","-Feb","-Mar","-Apr","-May","-Jun","-Jul","-Aug","-Sep","-Oct","-Nov","-Dec")</f>
        <v>2014-Oct</v>
      </c>
      <c r="F1144" s="68">
        <f t="shared" ref="F1144:F1146" si="2350">IF(C1144&gt;0,MONTH(C1144),"False")</f>
        <v>10</v>
      </c>
      <c r="G1144" s="310" t="s">
        <v>121</v>
      </c>
      <c r="H1144" s="310" t="s">
        <v>103</v>
      </c>
      <c r="J1144" s="310" t="s">
        <v>77</v>
      </c>
      <c r="K1144" s="310" t="s">
        <v>82</v>
      </c>
      <c r="L1144" s="310" t="s">
        <v>79</v>
      </c>
      <c r="M1144" s="1" t="s">
        <v>1919</v>
      </c>
      <c r="N1144" s="310" t="s">
        <v>124</v>
      </c>
      <c r="O1144" s="310" t="s">
        <v>507</v>
      </c>
      <c r="P1144" s="64" t="s">
        <v>351</v>
      </c>
      <c r="R1144" s="64" t="s">
        <v>361</v>
      </c>
      <c r="S1144" s="310" t="s">
        <v>104</v>
      </c>
      <c r="X1144" s="310" t="s">
        <v>300</v>
      </c>
      <c r="Y1144" s="310" t="str">
        <f t="shared" si="2341"/>
        <v>Pass</v>
      </c>
      <c r="Z1144" s="11" t="str">
        <f t="shared" si="2342"/>
        <v/>
      </c>
      <c r="AA1144" s="310" t="str">
        <f t="shared" si="2343"/>
        <v/>
      </c>
      <c r="AB1144" s="310" t="str">
        <f t="shared" si="2344"/>
        <v/>
      </c>
    </row>
    <row r="1145" spans="2:28" x14ac:dyDescent="0.25">
      <c r="B1145" s="65">
        <v>41942</v>
      </c>
      <c r="C1145" s="66">
        <v>41942</v>
      </c>
      <c r="D1145" s="68">
        <f t="shared" si="2348"/>
        <v>10</v>
      </c>
      <c r="E1145" s="66" t="str">
        <f t="shared" si="2349"/>
        <v>2014-Oct</v>
      </c>
      <c r="F1145" s="68">
        <f t="shared" si="2350"/>
        <v>10</v>
      </c>
      <c r="G1145" s="310" t="s">
        <v>93</v>
      </c>
      <c r="H1145" s="310" t="s">
        <v>136</v>
      </c>
      <c r="J1145" s="310" t="s">
        <v>77</v>
      </c>
      <c r="K1145" s="310" t="s">
        <v>82</v>
      </c>
      <c r="L1145" s="310" t="s">
        <v>79</v>
      </c>
      <c r="M1145" s="1" t="s">
        <v>1920</v>
      </c>
      <c r="N1145" s="310" t="s">
        <v>124</v>
      </c>
      <c r="O1145" s="310" t="s">
        <v>507</v>
      </c>
      <c r="P1145" s="64" t="s">
        <v>750</v>
      </c>
      <c r="Q1145" s="2" t="s">
        <v>88</v>
      </c>
      <c r="R1145" s="64" t="s">
        <v>1513</v>
      </c>
      <c r="Y1145" s="310" t="str">
        <f t="shared" si="2341"/>
        <v>Obsolete</v>
      </c>
      <c r="Z1145" s="11">
        <f t="shared" si="2342"/>
        <v>41942</v>
      </c>
      <c r="AA1145" s="310" t="str">
        <f t="shared" si="2343"/>
        <v>2014 - 44</v>
      </c>
      <c r="AB1145" s="310">
        <f t="shared" si="2344"/>
        <v>2014</v>
      </c>
    </row>
    <row r="1146" spans="2:28" x14ac:dyDescent="0.25">
      <c r="B1146" s="66">
        <v>41942</v>
      </c>
      <c r="C1146" s="66">
        <v>41942</v>
      </c>
      <c r="D1146" s="68">
        <f t="shared" si="2348"/>
        <v>10</v>
      </c>
      <c r="E1146" s="66" t="str">
        <f t="shared" si="2349"/>
        <v>2014-Oct</v>
      </c>
      <c r="F1146" s="68">
        <f t="shared" si="2350"/>
        <v>10</v>
      </c>
      <c r="G1146" s="310" t="s">
        <v>87</v>
      </c>
      <c r="H1146" s="310" t="s">
        <v>115</v>
      </c>
      <c r="J1146" s="310" t="s">
        <v>78</v>
      </c>
      <c r="K1146" s="310" t="s">
        <v>78</v>
      </c>
      <c r="L1146" s="310" t="s">
        <v>79</v>
      </c>
      <c r="M1146" s="1" t="s">
        <v>1921</v>
      </c>
      <c r="N1146" s="310" t="s">
        <v>124</v>
      </c>
      <c r="O1146" s="310" t="s">
        <v>332</v>
      </c>
      <c r="R1146" s="64" t="s">
        <v>1881</v>
      </c>
      <c r="Y1146" s="310" t="str">
        <f t="shared" si="2341"/>
        <v>Unknown</v>
      </c>
      <c r="Z1146" s="11" t="str">
        <f t="shared" si="2342"/>
        <v/>
      </c>
      <c r="AA1146" s="310" t="str">
        <f t="shared" si="2343"/>
        <v/>
      </c>
      <c r="AB1146" s="310" t="str">
        <f t="shared" si="2344"/>
        <v/>
      </c>
    </row>
    <row r="1147" spans="2:28" x14ac:dyDescent="0.25">
      <c r="B1147" s="65">
        <v>41943</v>
      </c>
      <c r="C1147" s="66">
        <v>41943</v>
      </c>
      <c r="D1147" s="68">
        <f t="shared" ref="D1147" si="2351">IF(B1147&gt;0,MONTH(B1147),"False")</f>
        <v>10</v>
      </c>
      <c r="E1147" s="66" t="str">
        <f t="shared" ref="E1147" si="2352">YEAR(B1147) &amp; CHOOSE(D1147,"-Jan","-Feb","-Mar","-Apr","-May","-Jun","-Jul","-Aug","-Sep","-Oct","-Nov","-Dec")</f>
        <v>2014-Oct</v>
      </c>
      <c r="F1147" s="68">
        <f t="shared" ref="F1147" si="2353">IF(C1147&gt;0,MONTH(C1147),"False")</f>
        <v>10</v>
      </c>
      <c r="G1147" s="313" t="s">
        <v>105</v>
      </c>
      <c r="H1147" s="311" t="s">
        <v>280</v>
      </c>
      <c r="J1147" s="311" t="s">
        <v>146</v>
      </c>
      <c r="K1147" s="311" t="s">
        <v>82</v>
      </c>
      <c r="L1147" s="311" t="s">
        <v>79</v>
      </c>
      <c r="M1147" s="1" t="s">
        <v>1922</v>
      </c>
      <c r="N1147" s="311" t="s">
        <v>124</v>
      </c>
      <c r="O1147" s="311" t="s">
        <v>286</v>
      </c>
      <c r="P1147" s="64" t="s">
        <v>305</v>
      </c>
      <c r="R1147" s="64" t="s">
        <v>1559</v>
      </c>
      <c r="S1147" s="313" t="s">
        <v>104</v>
      </c>
      <c r="X1147" s="313" t="s">
        <v>544</v>
      </c>
      <c r="Y1147" s="310" t="str">
        <f t="shared" si="2341"/>
        <v>Pass</v>
      </c>
      <c r="Z1147" s="11" t="str">
        <f t="shared" si="2342"/>
        <v/>
      </c>
      <c r="AA1147" s="310" t="str">
        <f t="shared" si="2343"/>
        <v/>
      </c>
      <c r="AB1147" s="310" t="str">
        <f t="shared" si="2344"/>
        <v/>
      </c>
    </row>
    <row r="1148" spans="2:28" x14ac:dyDescent="0.25">
      <c r="B1148" s="65">
        <v>41943</v>
      </c>
      <c r="C1148" s="66">
        <v>41943</v>
      </c>
      <c r="D1148" s="68">
        <f t="shared" ref="D1148" si="2354">IF(B1148&gt;0,MONTH(B1148),"False")</f>
        <v>10</v>
      </c>
      <c r="E1148" s="66" t="str">
        <f t="shared" ref="E1148" si="2355">YEAR(B1148) &amp; CHOOSE(D1148,"-Jan","-Feb","-Mar","-Apr","-May","-Jun","-Jul","-Aug","-Sep","-Oct","-Nov","-Dec")</f>
        <v>2014-Oct</v>
      </c>
      <c r="F1148" s="68">
        <f t="shared" ref="F1148" si="2356">IF(C1148&gt;0,MONTH(C1148),"False")</f>
        <v>10</v>
      </c>
      <c r="G1148" s="311" t="s">
        <v>121</v>
      </c>
      <c r="H1148" s="311" t="s">
        <v>1745</v>
      </c>
      <c r="I1148" s="360" t="s">
        <v>2139</v>
      </c>
      <c r="J1148" s="311" t="s">
        <v>81</v>
      </c>
      <c r="K1148" s="311" t="s">
        <v>82</v>
      </c>
      <c r="L1148" s="311" t="s">
        <v>79</v>
      </c>
      <c r="M1148" s="1" t="s">
        <v>1923</v>
      </c>
      <c r="N1148" s="311" t="s">
        <v>124</v>
      </c>
      <c r="O1148" s="311" t="s">
        <v>147</v>
      </c>
      <c r="P1148" s="64" t="s">
        <v>1823</v>
      </c>
      <c r="R1148" s="64" t="s">
        <v>1824</v>
      </c>
      <c r="S1148" s="1" t="s">
        <v>104</v>
      </c>
      <c r="X1148" s="1" t="s">
        <v>158</v>
      </c>
      <c r="Y1148" s="310" t="str">
        <f t="shared" si="2341"/>
        <v>Pass</v>
      </c>
      <c r="Z1148" s="11" t="str">
        <f t="shared" si="2342"/>
        <v/>
      </c>
      <c r="AA1148" s="310" t="str">
        <f t="shared" si="2343"/>
        <v/>
      </c>
      <c r="AB1148" s="310" t="str">
        <f t="shared" si="2344"/>
        <v/>
      </c>
    </row>
    <row r="1149" spans="2:28" x14ac:dyDescent="0.25">
      <c r="B1149" s="65">
        <v>41943</v>
      </c>
      <c r="C1149" s="66">
        <v>41943</v>
      </c>
      <c r="D1149" s="68">
        <f t="shared" ref="D1149" si="2357">IF(B1149&gt;0,MONTH(B1149),"False")</f>
        <v>10</v>
      </c>
      <c r="E1149" s="66" t="str">
        <f t="shared" ref="E1149" si="2358">YEAR(B1149) &amp; CHOOSE(D1149,"-Jan","-Feb","-Mar","-Apr","-May","-Jun","-Jul","-Aug","-Sep","-Oct","-Nov","-Dec")</f>
        <v>2014-Oct</v>
      </c>
      <c r="F1149" s="68">
        <f t="shared" ref="F1149" si="2359">IF(C1149&gt;0,MONTH(C1149),"False")</f>
        <v>10</v>
      </c>
      <c r="G1149" s="311" t="s">
        <v>93</v>
      </c>
      <c r="H1149" s="311" t="s">
        <v>280</v>
      </c>
      <c r="J1149" s="311" t="s">
        <v>81</v>
      </c>
      <c r="K1149" s="311" t="s">
        <v>82</v>
      </c>
      <c r="L1149" s="311" t="s">
        <v>79</v>
      </c>
      <c r="M1149" s="1" t="s">
        <v>1924</v>
      </c>
      <c r="N1149" s="311" t="s">
        <v>124</v>
      </c>
      <c r="O1149" s="311" t="s">
        <v>116</v>
      </c>
      <c r="P1149" s="64" t="s">
        <v>305</v>
      </c>
      <c r="R1149" s="64" t="s">
        <v>1559</v>
      </c>
      <c r="Y1149" s="310" t="str">
        <f t="shared" si="2341"/>
        <v>Unknown</v>
      </c>
      <c r="Z1149" s="11" t="str">
        <f t="shared" si="2342"/>
        <v/>
      </c>
      <c r="AA1149" s="310" t="str">
        <f t="shared" si="2343"/>
        <v/>
      </c>
      <c r="AB1149" s="310" t="str">
        <f t="shared" si="2344"/>
        <v/>
      </c>
    </row>
    <row r="1150" spans="2:28" s="311" customFormat="1" x14ac:dyDescent="0.25">
      <c r="B1150" s="65">
        <v>41943</v>
      </c>
      <c r="C1150" s="66">
        <v>41943</v>
      </c>
      <c r="D1150" s="68">
        <f t="shared" ref="D1150" si="2360">IF(B1150&gt;0,MONTH(B1150),"False")</f>
        <v>10</v>
      </c>
      <c r="E1150" s="66" t="str">
        <f t="shared" ref="E1150" si="2361">YEAR(B1150) &amp; CHOOSE(D1150,"-Jan","-Feb","-Mar","-Apr","-May","-Jun","-Jul","-Aug","-Sep","-Oct","-Nov","-Dec")</f>
        <v>2014-Oct</v>
      </c>
      <c r="F1150" s="68">
        <f t="shared" ref="F1150" si="2362">IF(C1150&gt;0,MONTH(C1150),"False")</f>
        <v>10</v>
      </c>
      <c r="G1150" s="333" t="s">
        <v>105</v>
      </c>
      <c r="H1150" s="311" t="s">
        <v>280</v>
      </c>
      <c r="J1150" s="311" t="s">
        <v>81</v>
      </c>
      <c r="K1150" s="311" t="s">
        <v>82</v>
      </c>
      <c r="L1150" s="311" t="s">
        <v>79</v>
      </c>
      <c r="M1150" s="311" t="s">
        <v>1925</v>
      </c>
      <c r="N1150" s="311" t="s">
        <v>124</v>
      </c>
      <c r="O1150" s="311" t="s">
        <v>116</v>
      </c>
      <c r="P1150" s="64" t="s">
        <v>305</v>
      </c>
      <c r="Q1150" s="2"/>
      <c r="R1150" s="64" t="s">
        <v>1559</v>
      </c>
      <c r="S1150" s="333" t="s">
        <v>104</v>
      </c>
      <c r="T1150" s="67"/>
      <c r="X1150" s="333" t="s">
        <v>652</v>
      </c>
      <c r="Y1150" s="311" t="str">
        <f t="shared" ref="Y1150" si="2363">IF(Q1150&gt;0,"Obsolete",IF(S1150&gt;0,S1150,"Unknown"))</f>
        <v>Pass</v>
      </c>
      <c r="Z1150" s="11" t="str">
        <f t="shared" ref="Z1150" si="2364">IF(Q1150="Obsolete-LQA",C1150,IF(Q1150="Obsolete-IT",B1150,""))</f>
        <v/>
      </c>
      <c r="AA1150" s="311" t="str">
        <f t="shared" ref="AA1150" si="2365">IFERROR(YEAR(Z1150)&amp;" - "&amp; IF(LEN( WEEKNUM(Z1150))=1,"0" &amp; WEEKNUM(Z1150),WEEKNUM(Z1150)),"")</f>
        <v/>
      </c>
      <c r="AB1150" s="311" t="str">
        <f t="shared" ref="AB1150" si="2366">IFERROR(YEAR(Z1150),"")</f>
        <v/>
      </c>
    </row>
    <row r="1151" spans="2:28" x14ac:dyDescent="0.25">
      <c r="B1151" s="65">
        <v>41943</v>
      </c>
      <c r="C1151" s="66">
        <v>41943</v>
      </c>
      <c r="D1151" s="68">
        <f t="shared" ref="D1151:D1153" si="2367">IF(B1151&gt;0,MONTH(B1151),"False")</f>
        <v>10</v>
      </c>
      <c r="E1151" s="66" t="str">
        <f t="shared" ref="E1151:E1153" si="2368">YEAR(B1151) &amp; CHOOSE(D1151,"-Jan","-Feb","-Mar","-Apr","-May","-Jun","-Jul","-Aug","-Sep","-Oct","-Nov","-Dec")</f>
        <v>2014-Oct</v>
      </c>
      <c r="F1151" s="68">
        <f t="shared" ref="F1151:F1153" si="2369">IF(C1151&gt;0,MONTH(C1151),"False")</f>
        <v>10</v>
      </c>
      <c r="G1151" s="328" t="s">
        <v>121</v>
      </c>
      <c r="H1151" s="311" t="s">
        <v>316</v>
      </c>
      <c r="J1151" s="311" t="s">
        <v>77</v>
      </c>
      <c r="K1151" s="311" t="s">
        <v>82</v>
      </c>
      <c r="L1151" s="311" t="s">
        <v>79</v>
      </c>
      <c r="M1151" s="1" t="s">
        <v>1926</v>
      </c>
      <c r="N1151" s="311" t="s">
        <v>124</v>
      </c>
      <c r="O1151" s="311" t="s">
        <v>285</v>
      </c>
      <c r="P1151" s="64" t="s">
        <v>340</v>
      </c>
      <c r="R1151" s="64" t="s">
        <v>705</v>
      </c>
      <c r="S1151" s="328" t="s">
        <v>104</v>
      </c>
      <c r="T1151" s="67" t="s">
        <v>110</v>
      </c>
      <c r="X1151" s="328" t="s">
        <v>300</v>
      </c>
      <c r="Y1151" s="310" t="str">
        <f t="shared" si="2341"/>
        <v>Pass</v>
      </c>
      <c r="Z1151" s="11" t="str">
        <f t="shared" si="2342"/>
        <v/>
      </c>
      <c r="AA1151" s="310" t="str">
        <f t="shared" si="2343"/>
        <v/>
      </c>
      <c r="AB1151" s="310" t="str">
        <f t="shared" si="2344"/>
        <v/>
      </c>
    </row>
    <row r="1152" spans="2:28" x14ac:dyDescent="0.25">
      <c r="B1152" s="66">
        <v>41943</v>
      </c>
      <c r="C1152" s="66">
        <v>41943</v>
      </c>
      <c r="D1152" s="68">
        <f t="shared" si="2367"/>
        <v>10</v>
      </c>
      <c r="E1152" s="66" t="str">
        <f t="shared" si="2368"/>
        <v>2014-Oct</v>
      </c>
      <c r="F1152" s="68">
        <f t="shared" si="2369"/>
        <v>10</v>
      </c>
      <c r="G1152" s="311" t="s">
        <v>87</v>
      </c>
      <c r="H1152" s="311" t="s">
        <v>115</v>
      </c>
      <c r="J1152" s="311" t="s">
        <v>77</v>
      </c>
      <c r="K1152" s="311" t="s">
        <v>82</v>
      </c>
      <c r="L1152" s="311" t="s">
        <v>79</v>
      </c>
      <c r="M1152" s="1" t="s">
        <v>1927</v>
      </c>
      <c r="N1152" s="311" t="s">
        <v>124</v>
      </c>
      <c r="O1152" s="311" t="s">
        <v>353</v>
      </c>
      <c r="R1152" s="64" t="s">
        <v>1768</v>
      </c>
      <c r="Y1152" s="310" t="str">
        <f t="shared" si="2341"/>
        <v>Unknown</v>
      </c>
      <c r="Z1152" s="11" t="str">
        <f t="shared" si="2342"/>
        <v/>
      </c>
      <c r="AA1152" s="310" t="str">
        <f t="shared" si="2343"/>
        <v/>
      </c>
      <c r="AB1152" s="310" t="str">
        <f t="shared" si="2344"/>
        <v/>
      </c>
    </row>
    <row r="1153" spans="2:28" s="311" customFormat="1" x14ac:dyDescent="0.25">
      <c r="B1153" s="66">
        <v>41943</v>
      </c>
      <c r="C1153" s="66">
        <v>41943</v>
      </c>
      <c r="D1153" s="68">
        <f t="shared" si="2367"/>
        <v>10</v>
      </c>
      <c r="E1153" s="66" t="str">
        <f t="shared" si="2368"/>
        <v>2014-Oct</v>
      </c>
      <c r="F1153" s="68">
        <f t="shared" si="2369"/>
        <v>10</v>
      </c>
      <c r="G1153" s="311" t="s">
        <v>87</v>
      </c>
      <c r="H1153" s="311" t="s">
        <v>166</v>
      </c>
      <c r="J1153" s="311" t="s">
        <v>292</v>
      </c>
      <c r="K1153" s="311" t="s">
        <v>292</v>
      </c>
      <c r="L1153" s="311" t="s">
        <v>83</v>
      </c>
      <c r="M1153" s="311" t="s">
        <v>1928</v>
      </c>
      <c r="N1153" s="311" t="s">
        <v>124</v>
      </c>
      <c r="O1153" s="311" t="s">
        <v>156</v>
      </c>
      <c r="Q1153" s="2"/>
      <c r="R1153" s="64" t="s">
        <v>487</v>
      </c>
      <c r="T1153" s="67"/>
      <c r="Y1153" s="311" t="str">
        <f t="shared" si="2341"/>
        <v>Unknown</v>
      </c>
      <c r="Z1153" s="11" t="str">
        <f t="shared" si="2342"/>
        <v/>
      </c>
      <c r="AA1153" s="311" t="str">
        <f t="shared" si="2343"/>
        <v/>
      </c>
      <c r="AB1153" s="311" t="str">
        <f t="shared" si="2344"/>
        <v/>
      </c>
    </row>
    <row r="1154" spans="2:28" x14ac:dyDescent="0.25">
      <c r="B1154" s="65">
        <v>41946</v>
      </c>
      <c r="C1154" s="66">
        <v>41946</v>
      </c>
      <c r="D1154" s="68">
        <f t="shared" ref="D1154:D1155" si="2370">IF(B1154&gt;0,MONTH(B1154),"False")</f>
        <v>11</v>
      </c>
      <c r="E1154" s="66" t="str">
        <f t="shared" ref="E1154:E1155" si="2371">YEAR(B1154) &amp; CHOOSE(D1154,"-Jan","-Feb","-Mar","-Apr","-May","-Jun","-Jul","-Aug","-Sep","-Oct","-Nov","-Dec")</f>
        <v>2014-Nov</v>
      </c>
      <c r="F1154" s="68">
        <f t="shared" ref="F1154:F1155" si="2372">IF(C1154&gt;0,MONTH(C1154),"False")</f>
        <v>11</v>
      </c>
      <c r="G1154" s="366" t="s">
        <v>121</v>
      </c>
      <c r="H1154" s="312" t="s">
        <v>28</v>
      </c>
      <c r="J1154" s="312" t="s">
        <v>77</v>
      </c>
      <c r="K1154" s="312" t="s">
        <v>82</v>
      </c>
      <c r="L1154" s="312" t="s">
        <v>79</v>
      </c>
      <c r="M1154" s="1" t="s">
        <v>1937</v>
      </c>
      <c r="N1154" s="312" t="s">
        <v>124</v>
      </c>
      <c r="O1154" s="312" t="s">
        <v>162</v>
      </c>
      <c r="P1154" s="64" t="s">
        <v>334</v>
      </c>
      <c r="R1154" s="64" t="s">
        <v>335</v>
      </c>
      <c r="S1154" s="366" t="s">
        <v>104</v>
      </c>
      <c r="X1154" s="366" t="s">
        <v>153</v>
      </c>
      <c r="Y1154" s="310" t="str">
        <f t="shared" si="2341"/>
        <v>Pass</v>
      </c>
      <c r="Z1154" s="11" t="str">
        <f t="shared" si="2342"/>
        <v/>
      </c>
      <c r="AA1154" s="310" t="str">
        <f t="shared" si="2343"/>
        <v/>
      </c>
      <c r="AB1154" s="310" t="str">
        <f t="shared" si="2344"/>
        <v/>
      </c>
    </row>
    <row r="1155" spans="2:28" x14ac:dyDescent="0.25">
      <c r="B1155" s="66">
        <v>41946</v>
      </c>
      <c r="C1155" s="66">
        <v>41946</v>
      </c>
      <c r="D1155" s="68">
        <f t="shared" si="2370"/>
        <v>11</v>
      </c>
      <c r="E1155" s="66" t="str">
        <f t="shared" si="2371"/>
        <v>2014-Nov</v>
      </c>
      <c r="F1155" s="68">
        <f t="shared" si="2372"/>
        <v>11</v>
      </c>
      <c r="G1155" s="312" t="s">
        <v>87</v>
      </c>
      <c r="H1155" s="312" t="s">
        <v>115</v>
      </c>
      <c r="J1155" s="312" t="s">
        <v>292</v>
      </c>
      <c r="K1155" s="312" t="s">
        <v>292</v>
      </c>
      <c r="L1155" s="312" t="s">
        <v>83</v>
      </c>
      <c r="M1155" s="312" t="s">
        <v>1938</v>
      </c>
      <c r="N1155" s="312" t="s">
        <v>124</v>
      </c>
      <c r="O1155" s="312" t="s">
        <v>156</v>
      </c>
      <c r="R1155" s="64" t="s">
        <v>1873</v>
      </c>
      <c r="Y1155" s="313" t="str">
        <f t="shared" ref="Y1155:Y1176" si="2373">IF(Q1155&gt;0,"Obsolete",IF(S1155&gt;0,S1155,"Unknown"))</f>
        <v>Unknown</v>
      </c>
      <c r="Z1155" s="11" t="str">
        <f t="shared" ref="Z1155:Z1176" si="2374">IF(Q1155="Obsolete-LQA",C1155,IF(Q1155="Obsolete-IT",B1155,""))</f>
        <v/>
      </c>
      <c r="AA1155" s="313" t="str">
        <f t="shared" ref="AA1155:AA1176" si="2375">IFERROR(YEAR(Z1155)&amp;" - "&amp; IF(LEN( WEEKNUM(Z1155))=1,"0" &amp; WEEKNUM(Z1155),WEEKNUM(Z1155)),"")</f>
        <v/>
      </c>
      <c r="AB1155" s="313" t="str">
        <f t="shared" ref="AB1155:AB1176" si="2376">IFERROR(YEAR(Z1155),"")</f>
        <v/>
      </c>
    </row>
    <row r="1156" spans="2:28" x14ac:dyDescent="0.25">
      <c r="B1156" s="66">
        <v>41946</v>
      </c>
      <c r="C1156" s="66">
        <v>41946</v>
      </c>
      <c r="D1156" s="68">
        <f t="shared" ref="D1156:D1157" si="2377">IF(B1156&gt;0,MONTH(B1156),"False")</f>
        <v>11</v>
      </c>
      <c r="E1156" s="66" t="str">
        <f t="shared" ref="E1156:E1157" si="2378">YEAR(B1156) &amp; CHOOSE(D1156,"-Jan","-Feb","-Mar","-Apr","-May","-Jun","-Jul","-Aug","-Sep","-Oct","-Nov","-Dec")</f>
        <v>2014-Nov</v>
      </c>
      <c r="F1156" s="68">
        <f t="shared" ref="F1156:F1157" si="2379">IF(C1156&gt;0,MONTH(C1156),"False")</f>
        <v>11</v>
      </c>
      <c r="G1156" s="316" t="s">
        <v>126</v>
      </c>
      <c r="H1156" s="312" t="s">
        <v>280</v>
      </c>
      <c r="J1156" s="312" t="s">
        <v>78</v>
      </c>
      <c r="K1156" s="312" t="s">
        <v>78</v>
      </c>
      <c r="L1156" s="312" t="s">
        <v>79</v>
      </c>
      <c r="M1156" s="1" t="s">
        <v>1939</v>
      </c>
      <c r="N1156" s="312" t="s">
        <v>124</v>
      </c>
      <c r="O1156" s="312" t="s">
        <v>304</v>
      </c>
      <c r="R1156" s="64" t="s">
        <v>344</v>
      </c>
      <c r="S1156" s="316" t="s">
        <v>104</v>
      </c>
      <c r="X1156" s="316" t="s">
        <v>544</v>
      </c>
      <c r="Y1156" s="313" t="str">
        <f t="shared" si="2373"/>
        <v>Pass</v>
      </c>
      <c r="Z1156" s="11" t="str">
        <f t="shared" si="2374"/>
        <v/>
      </c>
      <c r="AA1156" s="313" t="str">
        <f t="shared" si="2375"/>
        <v/>
      </c>
      <c r="AB1156" s="313" t="str">
        <f t="shared" si="2376"/>
        <v/>
      </c>
    </row>
    <row r="1157" spans="2:28" x14ac:dyDescent="0.25">
      <c r="B1157" s="65">
        <v>41946</v>
      </c>
      <c r="C1157" s="66">
        <v>41946</v>
      </c>
      <c r="D1157" s="68">
        <f t="shared" si="2377"/>
        <v>11</v>
      </c>
      <c r="E1157" s="66" t="str">
        <f t="shared" si="2378"/>
        <v>2014-Nov</v>
      </c>
      <c r="F1157" s="68">
        <f t="shared" si="2379"/>
        <v>11</v>
      </c>
      <c r="G1157" s="368" t="s">
        <v>121</v>
      </c>
      <c r="H1157" s="312" t="s">
        <v>28</v>
      </c>
      <c r="I1157" s="312"/>
      <c r="J1157" s="312" t="s">
        <v>77</v>
      </c>
      <c r="K1157" s="312" t="s">
        <v>82</v>
      </c>
      <c r="L1157" s="312" t="s">
        <v>79</v>
      </c>
      <c r="M1157" s="1" t="s">
        <v>1940</v>
      </c>
      <c r="N1157" s="312" t="s">
        <v>124</v>
      </c>
      <c r="O1157" s="312" t="s">
        <v>1368</v>
      </c>
      <c r="P1157" s="64" t="s">
        <v>334</v>
      </c>
      <c r="R1157" s="64" t="s">
        <v>335</v>
      </c>
      <c r="S1157" s="368" t="s">
        <v>104</v>
      </c>
      <c r="X1157" s="368" t="s">
        <v>153</v>
      </c>
      <c r="Y1157" s="313" t="str">
        <f t="shared" si="2373"/>
        <v>Pass</v>
      </c>
      <c r="Z1157" s="11" t="str">
        <f t="shared" si="2374"/>
        <v/>
      </c>
      <c r="AA1157" s="313" t="str">
        <f t="shared" si="2375"/>
        <v/>
      </c>
      <c r="AB1157" s="313" t="str">
        <f t="shared" si="2376"/>
        <v/>
      </c>
    </row>
    <row r="1158" spans="2:28" x14ac:dyDescent="0.25">
      <c r="B1158" s="65">
        <v>41947</v>
      </c>
      <c r="C1158" s="66">
        <v>41947</v>
      </c>
      <c r="D1158" s="68">
        <f t="shared" ref="D1158" si="2380">IF(B1158&gt;0,MONTH(B1158),"False")</f>
        <v>11</v>
      </c>
      <c r="E1158" s="66" t="str">
        <f t="shared" ref="E1158" si="2381">YEAR(B1158) &amp; CHOOSE(D1158,"-Jan","-Feb","-Mar","-Apr","-May","-Jun","-Jul","-Aug","-Sep","-Oct","-Nov","-Dec")</f>
        <v>2014-Nov</v>
      </c>
      <c r="F1158" s="68">
        <f t="shared" ref="F1158" si="2382">IF(C1158&gt;0,MONTH(C1158),"False")</f>
        <v>11</v>
      </c>
      <c r="G1158" s="317" t="s">
        <v>105</v>
      </c>
      <c r="H1158" s="313" t="s">
        <v>280</v>
      </c>
      <c r="J1158" s="313" t="s">
        <v>81</v>
      </c>
      <c r="K1158" s="313" t="s">
        <v>82</v>
      </c>
      <c r="L1158" s="313" t="s">
        <v>79</v>
      </c>
      <c r="M1158" s="1" t="s">
        <v>1941</v>
      </c>
      <c r="N1158" s="313" t="s">
        <v>124</v>
      </c>
      <c r="O1158" s="313" t="s">
        <v>116</v>
      </c>
      <c r="P1158" s="64" t="s">
        <v>305</v>
      </c>
      <c r="R1158" s="64" t="s">
        <v>1559</v>
      </c>
      <c r="S1158" s="317" t="s">
        <v>104</v>
      </c>
      <c r="X1158" s="317" t="s">
        <v>544</v>
      </c>
      <c r="Y1158" s="313" t="str">
        <f t="shared" si="2373"/>
        <v>Pass</v>
      </c>
      <c r="Z1158" s="11" t="str">
        <f t="shared" si="2374"/>
        <v/>
      </c>
      <c r="AA1158" s="313" t="str">
        <f t="shared" si="2375"/>
        <v/>
      </c>
      <c r="AB1158" s="313" t="str">
        <f t="shared" si="2376"/>
        <v/>
      </c>
    </row>
    <row r="1159" spans="2:28" s="313" customFormat="1" x14ac:dyDescent="0.25">
      <c r="B1159" s="65">
        <v>41947</v>
      </c>
      <c r="C1159" s="66">
        <v>41947</v>
      </c>
      <c r="D1159" s="68">
        <f t="shared" ref="D1159" si="2383">IF(B1159&gt;0,MONTH(B1159),"False")</f>
        <v>11</v>
      </c>
      <c r="E1159" s="66" t="str">
        <f t="shared" ref="E1159" si="2384">YEAR(B1159) &amp; CHOOSE(D1159,"-Jan","-Feb","-Mar","-Apr","-May","-Jun","-Jul","-Aug","-Sep","-Oct","-Nov","-Dec")</f>
        <v>2014-Nov</v>
      </c>
      <c r="F1159" s="68">
        <f t="shared" ref="F1159" si="2385">IF(C1159&gt;0,MONTH(C1159),"False")</f>
        <v>11</v>
      </c>
      <c r="G1159" s="317" t="s">
        <v>105</v>
      </c>
      <c r="H1159" s="313" t="s">
        <v>280</v>
      </c>
      <c r="J1159" s="313" t="s">
        <v>146</v>
      </c>
      <c r="K1159" s="313" t="s">
        <v>82</v>
      </c>
      <c r="L1159" s="313" t="s">
        <v>79</v>
      </c>
      <c r="M1159" s="313" t="s">
        <v>1942</v>
      </c>
      <c r="N1159" s="313" t="s">
        <v>124</v>
      </c>
      <c r="O1159" s="313" t="s">
        <v>116</v>
      </c>
      <c r="P1159" s="64" t="s">
        <v>305</v>
      </c>
      <c r="Q1159" s="2"/>
      <c r="R1159" s="64" t="s">
        <v>1559</v>
      </c>
      <c r="S1159" s="317" t="s">
        <v>104</v>
      </c>
      <c r="T1159" s="67"/>
      <c r="X1159" s="317" t="s">
        <v>544</v>
      </c>
      <c r="Y1159" s="313" t="str">
        <f t="shared" si="2373"/>
        <v>Pass</v>
      </c>
      <c r="Z1159" s="11" t="str">
        <f t="shared" si="2374"/>
        <v/>
      </c>
      <c r="AA1159" s="313" t="str">
        <f t="shared" si="2375"/>
        <v/>
      </c>
      <c r="AB1159" s="313" t="str">
        <f t="shared" si="2376"/>
        <v/>
      </c>
    </row>
    <row r="1160" spans="2:28" x14ac:dyDescent="0.25">
      <c r="B1160" s="65">
        <v>41947</v>
      </c>
      <c r="C1160" s="66">
        <v>41947</v>
      </c>
      <c r="D1160" s="68">
        <f t="shared" ref="D1160:D1163" si="2386">IF(B1160&gt;0,MONTH(B1160),"False")</f>
        <v>11</v>
      </c>
      <c r="E1160" s="66" t="str">
        <f t="shared" ref="E1160:E1163" si="2387">YEAR(B1160) &amp; CHOOSE(D1160,"-Jan","-Feb","-Mar","-Apr","-May","-Jun","-Jul","-Aug","-Sep","-Oct","-Nov","-Dec")</f>
        <v>2014-Nov</v>
      </c>
      <c r="F1160" s="68">
        <f t="shared" ref="F1160:F1163" si="2388">IF(C1160&gt;0,MONTH(C1160),"False")</f>
        <v>11</v>
      </c>
      <c r="G1160" s="325" t="s">
        <v>121</v>
      </c>
      <c r="H1160" s="313" t="s">
        <v>136</v>
      </c>
      <c r="J1160" s="313" t="s">
        <v>120</v>
      </c>
      <c r="K1160" s="313" t="s">
        <v>82</v>
      </c>
      <c r="L1160" s="313" t="s">
        <v>79</v>
      </c>
      <c r="M1160" s="1" t="s">
        <v>1943</v>
      </c>
      <c r="N1160" s="313" t="s">
        <v>124</v>
      </c>
      <c r="O1160" s="313" t="s">
        <v>114</v>
      </c>
      <c r="P1160" s="64" t="s">
        <v>750</v>
      </c>
      <c r="R1160" s="64" t="s">
        <v>1513</v>
      </c>
      <c r="S1160" s="325" t="s">
        <v>104</v>
      </c>
      <c r="X1160" s="325" t="s">
        <v>159</v>
      </c>
      <c r="Y1160" s="313" t="str">
        <f t="shared" si="2373"/>
        <v>Pass</v>
      </c>
      <c r="Z1160" s="11" t="str">
        <f t="shared" si="2374"/>
        <v/>
      </c>
      <c r="AA1160" s="313" t="str">
        <f t="shared" si="2375"/>
        <v/>
      </c>
      <c r="AB1160" s="313" t="str">
        <f t="shared" si="2376"/>
        <v/>
      </c>
    </row>
    <row r="1161" spans="2:28" s="313" customFormat="1" x14ac:dyDescent="0.25">
      <c r="B1161" s="65">
        <v>41947</v>
      </c>
      <c r="C1161" s="66">
        <v>41947</v>
      </c>
      <c r="D1161" s="68">
        <f t="shared" si="2386"/>
        <v>11</v>
      </c>
      <c r="E1161" s="66" t="str">
        <f t="shared" si="2387"/>
        <v>2014-Nov</v>
      </c>
      <c r="F1161" s="68">
        <f t="shared" si="2388"/>
        <v>11</v>
      </c>
      <c r="G1161" s="313" t="s">
        <v>93</v>
      </c>
      <c r="H1161" s="313" t="s">
        <v>280</v>
      </c>
      <c r="J1161" s="313" t="s">
        <v>81</v>
      </c>
      <c r="K1161" s="313" t="s">
        <v>82</v>
      </c>
      <c r="L1161" s="313" t="s">
        <v>79</v>
      </c>
      <c r="M1161" s="314" t="s">
        <v>1943</v>
      </c>
      <c r="N1161" s="313" t="s">
        <v>124</v>
      </c>
      <c r="O1161" s="313" t="s">
        <v>286</v>
      </c>
      <c r="P1161" s="64" t="s">
        <v>305</v>
      </c>
      <c r="Q1161" s="2"/>
      <c r="R1161" s="64" t="s">
        <v>1559</v>
      </c>
      <c r="T1161" s="67"/>
      <c r="Y1161" s="313" t="str">
        <f t="shared" si="2373"/>
        <v>Unknown</v>
      </c>
      <c r="Z1161" s="11" t="str">
        <f t="shared" si="2374"/>
        <v/>
      </c>
      <c r="AA1161" s="313" t="str">
        <f t="shared" si="2375"/>
        <v/>
      </c>
      <c r="AB1161" s="313" t="str">
        <f t="shared" si="2376"/>
        <v/>
      </c>
    </row>
    <row r="1162" spans="2:28" s="315" customFormat="1" x14ac:dyDescent="0.25">
      <c r="B1162" s="65">
        <v>41947</v>
      </c>
      <c r="C1162" s="66">
        <v>41947</v>
      </c>
      <c r="D1162" s="68">
        <f t="shared" si="2386"/>
        <v>11</v>
      </c>
      <c r="E1162" s="66" t="str">
        <f t="shared" si="2387"/>
        <v>2014-Nov</v>
      </c>
      <c r="F1162" s="68">
        <f t="shared" si="2388"/>
        <v>11</v>
      </c>
      <c r="G1162" s="333" t="s">
        <v>105</v>
      </c>
      <c r="H1162" s="315" t="s">
        <v>280</v>
      </c>
      <c r="J1162" s="315" t="s">
        <v>81</v>
      </c>
      <c r="K1162" s="315" t="s">
        <v>82</v>
      </c>
      <c r="L1162" s="315" t="s">
        <v>79</v>
      </c>
      <c r="M1162" s="315" t="s">
        <v>1951</v>
      </c>
      <c r="N1162" s="315" t="s">
        <v>124</v>
      </c>
      <c r="O1162" s="315" t="s">
        <v>116</v>
      </c>
      <c r="P1162" s="64" t="s">
        <v>305</v>
      </c>
      <c r="Q1162" s="2"/>
      <c r="R1162" s="64" t="s">
        <v>1559</v>
      </c>
      <c r="S1162" s="333" t="s">
        <v>104</v>
      </c>
      <c r="T1162" s="67" t="s">
        <v>110</v>
      </c>
      <c r="X1162" s="333" t="s">
        <v>652</v>
      </c>
      <c r="Y1162" s="315" t="str">
        <f t="shared" ref="Y1162" si="2389">IF(Q1162&gt;0,"Obsolete",IF(S1162&gt;0,S1162,"Unknown"))</f>
        <v>Pass</v>
      </c>
      <c r="Z1162" s="11" t="str">
        <f t="shared" ref="Z1162" si="2390">IF(Q1162="Obsolete-LQA",C1162,IF(Q1162="Obsolete-IT",B1162,""))</f>
        <v/>
      </c>
      <c r="AA1162" s="315" t="str">
        <f t="shared" ref="AA1162" si="2391">IFERROR(YEAR(Z1162)&amp;" - "&amp; IF(LEN( WEEKNUM(Z1162))=1,"0" &amp; WEEKNUM(Z1162),WEEKNUM(Z1162)),"")</f>
        <v/>
      </c>
      <c r="AB1162" s="315" t="str">
        <f t="shared" ref="AB1162" si="2392">IFERROR(YEAR(Z1162),"")</f>
        <v/>
      </c>
    </row>
    <row r="1163" spans="2:28" s="313" customFormat="1" x14ac:dyDescent="0.25">
      <c r="B1163" s="65">
        <v>41947</v>
      </c>
      <c r="C1163" s="66">
        <v>41947</v>
      </c>
      <c r="D1163" s="68">
        <f t="shared" si="2386"/>
        <v>11</v>
      </c>
      <c r="E1163" s="66" t="str">
        <f t="shared" si="2387"/>
        <v>2014-Nov</v>
      </c>
      <c r="F1163" s="68">
        <f t="shared" si="2388"/>
        <v>11</v>
      </c>
      <c r="G1163" s="333" t="s">
        <v>105</v>
      </c>
      <c r="H1163" s="313" t="s">
        <v>280</v>
      </c>
      <c r="J1163" s="313" t="s">
        <v>146</v>
      </c>
      <c r="K1163" s="313" t="s">
        <v>82</v>
      </c>
      <c r="L1163" s="313" t="s">
        <v>79</v>
      </c>
      <c r="M1163" s="313" t="s">
        <v>1944</v>
      </c>
      <c r="N1163" s="313" t="s">
        <v>124</v>
      </c>
      <c r="O1163" s="313" t="s">
        <v>286</v>
      </c>
      <c r="P1163" s="64" t="s">
        <v>305</v>
      </c>
      <c r="Q1163" s="2"/>
      <c r="R1163" s="64" t="s">
        <v>1559</v>
      </c>
      <c r="S1163" s="333" t="s">
        <v>104</v>
      </c>
      <c r="T1163" s="67"/>
      <c r="X1163" s="333" t="s">
        <v>652</v>
      </c>
      <c r="Y1163" s="313" t="str">
        <f t="shared" si="2373"/>
        <v>Pass</v>
      </c>
      <c r="Z1163" s="11" t="str">
        <f t="shared" si="2374"/>
        <v/>
      </c>
      <c r="AA1163" s="313" t="str">
        <f t="shared" si="2375"/>
        <v/>
      </c>
      <c r="AB1163" s="313" t="str">
        <f t="shared" si="2376"/>
        <v/>
      </c>
    </row>
    <row r="1164" spans="2:28" x14ac:dyDescent="0.25">
      <c r="B1164" s="65">
        <v>41947</v>
      </c>
      <c r="C1164" s="66">
        <v>41947</v>
      </c>
      <c r="D1164" s="68">
        <f t="shared" ref="D1164" si="2393">IF(B1164&gt;0,MONTH(B1164),"False")</f>
        <v>11</v>
      </c>
      <c r="E1164" s="66" t="str">
        <f t="shared" ref="E1164" si="2394">YEAR(B1164) &amp; CHOOSE(D1164,"-Jan","-Feb","-Mar","-Apr","-May","-Jun","-Jul","-Aug","-Sep","-Oct","-Nov","-Dec")</f>
        <v>2014-Nov</v>
      </c>
      <c r="F1164" s="68">
        <f t="shared" ref="F1164" si="2395">IF(C1164&gt;0,MONTH(C1164),"False")</f>
        <v>11</v>
      </c>
      <c r="G1164" s="328" t="s">
        <v>121</v>
      </c>
      <c r="H1164" s="313" t="s">
        <v>316</v>
      </c>
      <c r="J1164" s="313" t="s">
        <v>77</v>
      </c>
      <c r="K1164" s="313" t="s">
        <v>82</v>
      </c>
      <c r="L1164" s="313" t="s">
        <v>79</v>
      </c>
      <c r="M1164" s="1" t="s">
        <v>1945</v>
      </c>
      <c r="N1164" s="313" t="s">
        <v>124</v>
      </c>
      <c r="O1164" s="313" t="s">
        <v>285</v>
      </c>
      <c r="P1164" s="64" t="s">
        <v>340</v>
      </c>
      <c r="R1164" s="64" t="s">
        <v>705</v>
      </c>
      <c r="S1164" s="328" t="s">
        <v>104</v>
      </c>
      <c r="X1164" s="328" t="s">
        <v>300</v>
      </c>
      <c r="Y1164" s="313" t="str">
        <f t="shared" si="2373"/>
        <v>Pass</v>
      </c>
      <c r="Z1164" s="11" t="str">
        <f t="shared" si="2374"/>
        <v/>
      </c>
      <c r="AA1164" s="313" t="str">
        <f t="shared" si="2375"/>
        <v/>
      </c>
      <c r="AB1164" s="313" t="str">
        <f t="shared" si="2376"/>
        <v/>
      </c>
    </row>
    <row r="1165" spans="2:28" x14ac:dyDescent="0.25">
      <c r="B1165" s="65">
        <v>41948</v>
      </c>
      <c r="C1165" s="66">
        <v>41948</v>
      </c>
      <c r="D1165" s="68">
        <f t="shared" ref="D1165" si="2396">IF(B1165&gt;0,MONTH(B1165),"False")</f>
        <v>11</v>
      </c>
      <c r="E1165" s="66" t="str">
        <f t="shared" ref="E1165" si="2397">YEAR(B1165) &amp; CHOOSE(D1165,"-Jan","-Feb","-Mar","-Apr","-May","-Jun","-Jul","-Aug","-Sep","-Oct","-Nov","-Dec")</f>
        <v>2014-Nov</v>
      </c>
      <c r="F1165" s="68">
        <f t="shared" ref="F1165" si="2398">IF(C1165&gt;0,MONTH(C1165),"False")</f>
        <v>11</v>
      </c>
      <c r="G1165" s="325" t="s">
        <v>121</v>
      </c>
      <c r="H1165" s="314" t="s">
        <v>136</v>
      </c>
      <c r="J1165" s="314" t="s">
        <v>77</v>
      </c>
      <c r="K1165" s="314" t="s">
        <v>82</v>
      </c>
      <c r="L1165" s="314" t="s">
        <v>79</v>
      </c>
      <c r="M1165" s="1" t="s">
        <v>1946</v>
      </c>
      <c r="N1165" s="314" t="s">
        <v>124</v>
      </c>
      <c r="O1165" s="314" t="s">
        <v>507</v>
      </c>
      <c r="P1165" s="64" t="s">
        <v>750</v>
      </c>
      <c r="R1165" s="64" t="s">
        <v>1513</v>
      </c>
      <c r="S1165" s="325" t="s">
        <v>104</v>
      </c>
      <c r="X1165" s="325" t="s">
        <v>159</v>
      </c>
      <c r="Y1165" s="313" t="str">
        <f t="shared" si="2373"/>
        <v>Pass</v>
      </c>
      <c r="Z1165" s="11" t="str">
        <f t="shared" si="2374"/>
        <v/>
      </c>
      <c r="AA1165" s="313" t="str">
        <f t="shared" si="2375"/>
        <v/>
      </c>
      <c r="AB1165" s="313" t="str">
        <f t="shared" si="2376"/>
        <v/>
      </c>
    </row>
    <row r="1166" spans="2:28" x14ac:dyDescent="0.25">
      <c r="B1166" s="65">
        <v>41948</v>
      </c>
      <c r="C1166" s="66">
        <v>41948</v>
      </c>
      <c r="D1166" s="68">
        <f t="shared" ref="D1166" si="2399">IF(B1166&gt;0,MONTH(B1166),"False")</f>
        <v>11</v>
      </c>
      <c r="E1166" s="66" t="str">
        <f t="shared" ref="E1166" si="2400">YEAR(B1166) &amp; CHOOSE(D1166,"-Jan","-Feb","-Mar","-Apr","-May","-Jun","-Jul","-Aug","-Sep","-Oct","-Nov","-Dec")</f>
        <v>2014-Nov</v>
      </c>
      <c r="F1166" s="68">
        <f t="shared" ref="F1166" si="2401">IF(C1166&gt;0,MONTH(C1166),"False")</f>
        <v>11</v>
      </c>
      <c r="G1166" s="314" t="s">
        <v>121</v>
      </c>
      <c r="H1166" s="314" t="s">
        <v>1745</v>
      </c>
      <c r="I1166" s="360" t="s">
        <v>2139</v>
      </c>
      <c r="J1166" s="314" t="s">
        <v>81</v>
      </c>
      <c r="K1166" s="314" t="s">
        <v>82</v>
      </c>
      <c r="L1166" s="314" t="s">
        <v>79</v>
      </c>
      <c r="M1166" s="1" t="s">
        <v>1947</v>
      </c>
      <c r="N1166" s="314" t="s">
        <v>124</v>
      </c>
      <c r="O1166" s="314" t="s">
        <v>147</v>
      </c>
      <c r="P1166" s="64" t="s">
        <v>1823</v>
      </c>
      <c r="R1166" s="64" t="s">
        <v>1824</v>
      </c>
      <c r="S1166" s="1" t="s">
        <v>104</v>
      </c>
      <c r="T1166" s="67" t="s">
        <v>110</v>
      </c>
      <c r="X1166" s="1" t="s">
        <v>158</v>
      </c>
      <c r="Y1166" s="313" t="str">
        <f t="shared" si="2373"/>
        <v>Pass</v>
      </c>
      <c r="Z1166" s="11" t="str">
        <f t="shared" si="2374"/>
        <v/>
      </c>
      <c r="AA1166" s="313" t="str">
        <f t="shared" si="2375"/>
        <v/>
      </c>
      <c r="AB1166" s="313" t="str">
        <f t="shared" si="2376"/>
        <v/>
      </c>
    </row>
    <row r="1167" spans="2:28" x14ac:dyDescent="0.25">
      <c r="B1167" s="65">
        <v>41948</v>
      </c>
      <c r="C1167" s="66">
        <v>41948</v>
      </c>
      <c r="D1167" s="68">
        <f t="shared" ref="D1167:D1168" si="2402">IF(B1167&gt;0,MONTH(B1167),"False")</f>
        <v>11</v>
      </c>
      <c r="E1167" s="66" t="str">
        <f t="shared" ref="E1167:E1168" si="2403">YEAR(B1167) &amp; CHOOSE(D1167,"-Jan","-Feb","-Mar","-Apr","-May","-Jun","-Jul","-Aug","-Sep","-Oct","-Nov","-Dec")</f>
        <v>2014-Nov</v>
      </c>
      <c r="F1167" s="68">
        <f t="shared" ref="F1167:F1168" si="2404">IF(C1167&gt;0,MONTH(C1167),"False")</f>
        <v>11</v>
      </c>
      <c r="G1167" s="325" t="s">
        <v>121</v>
      </c>
      <c r="H1167" s="314" t="s">
        <v>136</v>
      </c>
      <c r="J1167" s="314" t="s">
        <v>77</v>
      </c>
      <c r="K1167" s="314" t="s">
        <v>82</v>
      </c>
      <c r="L1167" s="314" t="s">
        <v>79</v>
      </c>
      <c r="M1167" s="314" t="s">
        <v>1948</v>
      </c>
      <c r="N1167" s="314" t="s">
        <v>124</v>
      </c>
      <c r="O1167" s="314" t="s">
        <v>507</v>
      </c>
      <c r="P1167" s="64" t="s">
        <v>750</v>
      </c>
      <c r="R1167" s="64" t="s">
        <v>1513</v>
      </c>
      <c r="S1167" s="325" t="s">
        <v>104</v>
      </c>
      <c r="X1167" s="325" t="s">
        <v>159</v>
      </c>
      <c r="Y1167" s="313" t="str">
        <f t="shared" si="2373"/>
        <v>Pass</v>
      </c>
      <c r="Z1167" s="11" t="str">
        <f t="shared" si="2374"/>
        <v/>
      </c>
      <c r="AA1167" s="313" t="str">
        <f t="shared" si="2375"/>
        <v/>
      </c>
      <c r="AB1167" s="313" t="str">
        <f t="shared" si="2376"/>
        <v/>
      </c>
    </row>
    <row r="1168" spans="2:28" x14ac:dyDescent="0.25">
      <c r="B1168" s="65">
        <v>41948</v>
      </c>
      <c r="C1168" s="66">
        <v>41948</v>
      </c>
      <c r="D1168" s="68">
        <f t="shared" si="2402"/>
        <v>11</v>
      </c>
      <c r="E1168" s="66" t="str">
        <f t="shared" si="2403"/>
        <v>2014-Nov</v>
      </c>
      <c r="F1168" s="68">
        <f t="shared" si="2404"/>
        <v>11</v>
      </c>
      <c r="G1168" s="314" t="s">
        <v>121</v>
      </c>
      <c r="H1168" s="314" t="s">
        <v>1745</v>
      </c>
      <c r="I1168" s="360" t="s">
        <v>2139</v>
      </c>
      <c r="J1168" s="314" t="s">
        <v>81</v>
      </c>
      <c r="K1168" s="314" t="s">
        <v>82</v>
      </c>
      <c r="L1168" s="314" t="s">
        <v>79</v>
      </c>
      <c r="M1168" s="314" t="s">
        <v>1949</v>
      </c>
      <c r="N1168" s="314" t="s">
        <v>124</v>
      </c>
      <c r="O1168" s="314" t="s">
        <v>273</v>
      </c>
      <c r="P1168" s="64" t="s">
        <v>1823</v>
      </c>
      <c r="R1168" s="64" t="s">
        <v>1824</v>
      </c>
      <c r="S1168" s="1" t="s">
        <v>104</v>
      </c>
      <c r="X1168" s="1" t="s">
        <v>158</v>
      </c>
      <c r="Y1168" s="313" t="str">
        <f t="shared" si="2373"/>
        <v>Pass</v>
      </c>
      <c r="Z1168" s="11" t="str">
        <f t="shared" si="2374"/>
        <v/>
      </c>
      <c r="AA1168" s="313" t="str">
        <f t="shared" si="2375"/>
        <v/>
      </c>
      <c r="AB1168" s="313" t="str">
        <f t="shared" si="2376"/>
        <v/>
      </c>
    </row>
    <row r="1169" spans="2:28" x14ac:dyDescent="0.25">
      <c r="B1169" s="65">
        <v>41949</v>
      </c>
      <c r="C1169" s="66">
        <v>41949</v>
      </c>
      <c r="D1169" s="68">
        <f t="shared" ref="D1169:D1170" si="2405">IF(B1169&gt;0,MONTH(B1169),"False")</f>
        <v>11</v>
      </c>
      <c r="E1169" s="66" t="str">
        <f t="shared" ref="E1169:E1170" si="2406">YEAR(B1169) &amp; CHOOSE(D1169,"-Jan","-Feb","-Mar","-Apr","-May","-Jun","-Jul","-Aug","-Sep","-Oct","-Nov","-Dec")</f>
        <v>2014-Nov</v>
      </c>
      <c r="F1169" s="68">
        <f t="shared" ref="F1169:F1170" si="2407">IF(C1169&gt;0,MONTH(C1169),"False")</f>
        <v>11</v>
      </c>
      <c r="G1169" s="325" t="s">
        <v>121</v>
      </c>
      <c r="H1169" s="314" t="s">
        <v>136</v>
      </c>
      <c r="I1169" s="314"/>
      <c r="J1169" s="314" t="s">
        <v>77</v>
      </c>
      <c r="K1169" s="314" t="s">
        <v>82</v>
      </c>
      <c r="L1169" s="314" t="s">
        <v>79</v>
      </c>
      <c r="M1169" s="314" t="s">
        <v>1950</v>
      </c>
      <c r="N1169" s="314" t="s">
        <v>124</v>
      </c>
      <c r="O1169" s="314" t="s">
        <v>507</v>
      </c>
      <c r="P1169" s="64" t="s">
        <v>750</v>
      </c>
      <c r="R1169" s="64" t="s">
        <v>1513</v>
      </c>
      <c r="S1169" s="325" t="s">
        <v>104</v>
      </c>
      <c r="X1169" s="325" t="s">
        <v>159</v>
      </c>
      <c r="Y1169" s="313" t="str">
        <f t="shared" si="2373"/>
        <v>Pass</v>
      </c>
      <c r="Z1169" s="11" t="str">
        <f t="shared" si="2374"/>
        <v/>
      </c>
      <c r="AA1169" s="313" t="str">
        <f t="shared" si="2375"/>
        <v/>
      </c>
      <c r="AB1169" s="313" t="str">
        <f t="shared" si="2376"/>
        <v/>
      </c>
    </row>
    <row r="1170" spans="2:28" x14ac:dyDescent="0.25">
      <c r="B1170" s="66">
        <v>41950</v>
      </c>
      <c r="C1170" s="66">
        <v>41950</v>
      </c>
      <c r="D1170" s="68">
        <f t="shared" si="2405"/>
        <v>11</v>
      </c>
      <c r="E1170" s="66" t="str">
        <f t="shared" si="2406"/>
        <v>2014-Nov</v>
      </c>
      <c r="F1170" s="68">
        <f t="shared" si="2407"/>
        <v>11</v>
      </c>
      <c r="G1170" s="317" t="s">
        <v>126</v>
      </c>
      <c r="H1170" s="315" t="s">
        <v>342</v>
      </c>
      <c r="J1170" s="315" t="s">
        <v>78</v>
      </c>
      <c r="K1170" s="315" t="s">
        <v>78</v>
      </c>
      <c r="L1170" s="315" t="s">
        <v>79</v>
      </c>
      <c r="M1170" s="1" t="s">
        <v>1952</v>
      </c>
      <c r="N1170" s="315" t="s">
        <v>124</v>
      </c>
      <c r="O1170" s="315" t="s">
        <v>138</v>
      </c>
      <c r="R1170" s="64" t="s">
        <v>1953</v>
      </c>
      <c r="S1170" s="317" t="s">
        <v>104</v>
      </c>
      <c r="X1170" s="317" t="s">
        <v>154</v>
      </c>
      <c r="Y1170" s="313" t="str">
        <f t="shared" si="2373"/>
        <v>Pass</v>
      </c>
      <c r="Z1170" s="11" t="str">
        <f t="shared" si="2374"/>
        <v/>
      </c>
      <c r="AA1170" s="313" t="str">
        <f t="shared" si="2375"/>
        <v/>
      </c>
      <c r="AB1170" s="313" t="str">
        <f t="shared" si="2376"/>
        <v/>
      </c>
    </row>
    <row r="1171" spans="2:28" x14ac:dyDescent="0.25">
      <c r="B1171" s="65">
        <v>41954</v>
      </c>
      <c r="C1171" s="66">
        <v>41954</v>
      </c>
      <c r="D1171" s="68">
        <f t="shared" ref="D1171:D1172" si="2408">IF(B1171&gt;0,MONTH(B1171),"False")</f>
        <v>11</v>
      </c>
      <c r="E1171" s="66" t="str">
        <f t="shared" ref="E1171:E1172" si="2409">YEAR(B1171) &amp; CHOOSE(D1171,"-Jan","-Feb","-Mar","-Apr","-May","-Jun","-Jul","-Aug","-Sep","-Oct","-Nov","-Dec")</f>
        <v>2014-Nov</v>
      </c>
      <c r="F1171" s="68">
        <f t="shared" ref="F1171:F1172" si="2410">IF(C1171&gt;0,MONTH(C1171),"False")</f>
        <v>11</v>
      </c>
      <c r="G1171" s="328" t="s">
        <v>121</v>
      </c>
      <c r="H1171" s="317" t="s">
        <v>316</v>
      </c>
      <c r="J1171" s="317" t="s">
        <v>77</v>
      </c>
      <c r="K1171" s="317" t="s">
        <v>82</v>
      </c>
      <c r="L1171" s="317" t="s">
        <v>79</v>
      </c>
      <c r="M1171" s="1" t="s">
        <v>1954</v>
      </c>
      <c r="N1171" s="317" t="s">
        <v>124</v>
      </c>
      <c r="O1171" s="317" t="s">
        <v>285</v>
      </c>
      <c r="P1171" s="64" t="s">
        <v>340</v>
      </c>
      <c r="R1171" s="64" t="s">
        <v>705</v>
      </c>
      <c r="S1171" s="328" t="s">
        <v>104</v>
      </c>
      <c r="T1171" s="67" t="s">
        <v>110</v>
      </c>
      <c r="X1171" s="328" t="s">
        <v>300</v>
      </c>
      <c r="Y1171" s="313" t="str">
        <f t="shared" si="2373"/>
        <v>Pass</v>
      </c>
      <c r="Z1171" s="11" t="str">
        <f t="shared" si="2374"/>
        <v/>
      </c>
      <c r="AA1171" s="313" t="str">
        <f t="shared" si="2375"/>
        <v/>
      </c>
      <c r="AB1171" s="313" t="str">
        <f t="shared" si="2376"/>
        <v/>
      </c>
    </row>
    <row r="1172" spans="2:28" x14ac:dyDescent="0.25">
      <c r="B1172" s="66">
        <v>41954</v>
      </c>
      <c r="C1172" s="66">
        <v>41954</v>
      </c>
      <c r="D1172" s="68">
        <f t="shared" si="2408"/>
        <v>11</v>
      </c>
      <c r="E1172" s="66" t="str">
        <f t="shared" si="2409"/>
        <v>2014-Nov</v>
      </c>
      <c r="F1172" s="68">
        <f t="shared" si="2410"/>
        <v>11</v>
      </c>
      <c r="G1172" s="325" t="s">
        <v>112</v>
      </c>
      <c r="H1172" s="317" t="s">
        <v>136</v>
      </c>
      <c r="J1172" s="317" t="s">
        <v>149</v>
      </c>
      <c r="K1172" s="317" t="s">
        <v>84</v>
      </c>
      <c r="L1172" s="317" t="s">
        <v>79</v>
      </c>
      <c r="M1172" s="1" t="s">
        <v>1955</v>
      </c>
      <c r="N1172" s="317" t="s">
        <v>124</v>
      </c>
      <c r="O1172" s="317" t="s">
        <v>350</v>
      </c>
      <c r="R1172" s="64" t="s">
        <v>1611</v>
      </c>
      <c r="S1172" s="325" t="s">
        <v>104</v>
      </c>
      <c r="T1172" s="67" t="s">
        <v>110</v>
      </c>
      <c r="X1172" s="325" t="s">
        <v>159</v>
      </c>
      <c r="Y1172" s="313" t="str">
        <f t="shared" si="2373"/>
        <v>Pass</v>
      </c>
      <c r="Z1172" s="11" t="str">
        <f t="shared" si="2374"/>
        <v/>
      </c>
      <c r="AA1172" s="313" t="str">
        <f t="shared" si="2375"/>
        <v/>
      </c>
      <c r="AB1172" s="313" t="str">
        <f t="shared" si="2376"/>
        <v/>
      </c>
    </row>
    <row r="1173" spans="2:28" x14ac:dyDescent="0.25">
      <c r="B1173" s="66">
        <v>41954</v>
      </c>
      <c r="C1173" s="66">
        <v>41954</v>
      </c>
      <c r="D1173" s="68">
        <f t="shared" ref="D1173" si="2411">IF(B1173&gt;0,MONTH(B1173),"False")</f>
        <v>11</v>
      </c>
      <c r="E1173" s="66" t="str">
        <f t="shared" ref="E1173" si="2412">YEAR(B1173) &amp; CHOOSE(D1173,"-Jan","-Feb","-Mar","-Apr","-May","-Jun","-Jul","-Aug","-Sep","-Oct","-Nov","-Dec")</f>
        <v>2014-Nov</v>
      </c>
      <c r="F1173" s="68">
        <f t="shared" ref="F1173" si="2413">IF(C1173&gt;0,MONTH(C1173),"False")</f>
        <v>11</v>
      </c>
      <c r="G1173" s="319" t="s">
        <v>112</v>
      </c>
      <c r="H1173" s="317" t="s">
        <v>166</v>
      </c>
      <c r="J1173" s="317" t="s">
        <v>78</v>
      </c>
      <c r="K1173" s="317" t="s">
        <v>78</v>
      </c>
      <c r="L1173" s="317" t="s">
        <v>79</v>
      </c>
      <c r="M1173" s="1" t="s">
        <v>1956</v>
      </c>
      <c r="N1173" s="317" t="s">
        <v>124</v>
      </c>
      <c r="O1173" s="317" t="s">
        <v>287</v>
      </c>
      <c r="R1173" s="64" t="s">
        <v>488</v>
      </c>
      <c r="S1173" s="319" t="s">
        <v>104</v>
      </c>
      <c r="X1173" s="319" t="s">
        <v>154</v>
      </c>
      <c r="Y1173" s="313" t="str">
        <f t="shared" si="2373"/>
        <v>Pass</v>
      </c>
      <c r="Z1173" s="11" t="str">
        <f t="shared" si="2374"/>
        <v/>
      </c>
      <c r="AA1173" s="313" t="str">
        <f t="shared" si="2375"/>
        <v/>
      </c>
      <c r="AB1173" s="313" t="str">
        <f t="shared" si="2376"/>
        <v/>
      </c>
    </row>
    <row r="1174" spans="2:28" x14ac:dyDescent="0.25">
      <c r="B1174" s="66">
        <v>41954</v>
      </c>
      <c r="C1174" s="66">
        <v>41954</v>
      </c>
      <c r="D1174" s="68">
        <f t="shared" ref="D1174:D1175" si="2414">IF(B1174&gt;0,MONTH(B1174),"False")</f>
        <v>11</v>
      </c>
      <c r="E1174" s="66" t="str">
        <f t="shared" ref="E1174:E1175" si="2415">YEAR(B1174) &amp; CHOOSE(D1174,"-Jan","-Feb","-Mar","-Apr","-May","-Jun","-Jul","-Aug","-Sep","-Oct","-Nov","-Dec")</f>
        <v>2014-Nov</v>
      </c>
      <c r="F1174" s="68">
        <f t="shared" ref="F1174:F1175" si="2416">IF(C1174&gt;0,MONTH(C1174),"False")</f>
        <v>11</v>
      </c>
      <c r="G1174" s="319" t="s">
        <v>112</v>
      </c>
      <c r="H1174" s="317" t="s">
        <v>316</v>
      </c>
      <c r="J1174" s="317" t="s">
        <v>78</v>
      </c>
      <c r="K1174" s="317" t="s">
        <v>78</v>
      </c>
      <c r="L1174" s="317" t="s">
        <v>79</v>
      </c>
      <c r="M1174" s="1" t="s">
        <v>1957</v>
      </c>
      <c r="N1174" s="317" t="s">
        <v>124</v>
      </c>
      <c r="O1174" s="317" t="s">
        <v>287</v>
      </c>
      <c r="R1174" s="64" t="s">
        <v>1140</v>
      </c>
      <c r="S1174" s="319" t="s">
        <v>104</v>
      </c>
      <c r="X1174" s="319" t="s">
        <v>154</v>
      </c>
      <c r="Y1174" s="313" t="str">
        <f t="shared" si="2373"/>
        <v>Pass</v>
      </c>
      <c r="Z1174" s="11" t="str">
        <f t="shared" si="2374"/>
        <v/>
      </c>
      <c r="AA1174" s="313" t="str">
        <f t="shared" si="2375"/>
        <v/>
      </c>
      <c r="AB1174" s="313" t="str">
        <f t="shared" si="2376"/>
        <v/>
      </c>
    </row>
    <row r="1175" spans="2:28" x14ac:dyDescent="0.25">
      <c r="B1175" s="65">
        <v>41954</v>
      </c>
      <c r="C1175" s="66">
        <v>41954</v>
      </c>
      <c r="D1175" s="68">
        <f t="shared" si="2414"/>
        <v>11</v>
      </c>
      <c r="E1175" s="66" t="str">
        <f t="shared" si="2415"/>
        <v>2014-Nov</v>
      </c>
      <c r="F1175" s="68">
        <f t="shared" si="2416"/>
        <v>11</v>
      </c>
      <c r="G1175" s="347" t="s">
        <v>105</v>
      </c>
      <c r="H1175" s="317" t="s">
        <v>280</v>
      </c>
      <c r="J1175" s="317" t="s">
        <v>81</v>
      </c>
      <c r="K1175" s="317" t="s">
        <v>82</v>
      </c>
      <c r="L1175" s="317" t="s">
        <v>79</v>
      </c>
      <c r="M1175" s="1" t="s">
        <v>1958</v>
      </c>
      <c r="N1175" s="317" t="s">
        <v>124</v>
      </c>
      <c r="O1175" s="317" t="s">
        <v>286</v>
      </c>
      <c r="P1175" s="64" t="s">
        <v>305</v>
      </c>
      <c r="R1175" s="64" t="s">
        <v>1559</v>
      </c>
      <c r="S1175" s="347" t="s">
        <v>104</v>
      </c>
      <c r="X1175" s="347" t="s">
        <v>544</v>
      </c>
      <c r="Y1175" s="313" t="str">
        <f t="shared" si="2373"/>
        <v>Pass</v>
      </c>
      <c r="Z1175" s="11" t="str">
        <f t="shared" si="2374"/>
        <v/>
      </c>
      <c r="AA1175" s="313" t="str">
        <f t="shared" si="2375"/>
        <v/>
      </c>
      <c r="AB1175" s="313" t="str">
        <f t="shared" si="2376"/>
        <v/>
      </c>
    </row>
    <row r="1176" spans="2:28" x14ac:dyDescent="0.25">
      <c r="B1176" s="65">
        <v>41955</v>
      </c>
      <c r="C1176" s="66">
        <v>41955</v>
      </c>
      <c r="D1176" s="68">
        <f t="shared" ref="D1176" si="2417">IF(B1176&gt;0,MONTH(B1176),"False")</f>
        <v>11</v>
      </c>
      <c r="E1176" s="66" t="str">
        <f t="shared" ref="E1176" si="2418">YEAR(B1176) &amp; CHOOSE(D1176,"-Jan","-Feb","-Mar","-Apr","-May","-Jun","-Jul","-Aug","-Sep","-Oct","-Nov","-Dec")</f>
        <v>2014-Nov</v>
      </c>
      <c r="F1176" s="68">
        <f t="shared" ref="F1176" si="2419">IF(C1176&gt;0,MONTH(C1176),"False")</f>
        <v>11</v>
      </c>
      <c r="G1176" s="318" t="s">
        <v>93</v>
      </c>
      <c r="H1176" s="318" t="s">
        <v>103</v>
      </c>
      <c r="J1176" s="318" t="s">
        <v>77</v>
      </c>
      <c r="K1176" s="318" t="s">
        <v>82</v>
      </c>
      <c r="L1176" s="318" t="s">
        <v>79</v>
      </c>
      <c r="M1176" s="1" t="s">
        <v>1959</v>
      </c>
      <c r="N1176" s="318" t="s">
        <v>124</v>
      </c>
      <c r="O1176" s="318" t="s">
        <v>507</v>
      </c>
      <c r="P1176" s="64" t="s">
        <v>351</v>
      </c>
      <c r="Q1176" s="2" t="s">
        <v>88</v>
      </c>
      <c r="R1176" s="64" t="s">
        <v>361</v>
      </c>
      <c r="Y1176" s="313" t="str">
        <f t="shared" si="2373"/>
        <v>Obsolete</v>
      </c>
      <c r="Z1176" s="11">
        <f t="shared" si="2374"/>
        <v>41955</v>
      </c>
      <c r="AA1176" s="313" t="str">
        <f t="shared" si="2375"/>
        <v>2014 - 46</v>
      </c>
      <c r="AB1176" s="313">
        <f t="shared" si="2376"/>
        <v>2014</v>
      </c>
    </row>
    <row r="1177" spans="2:28" x14ac:dyDescent="0.25">
      <c r="B1177" s="65">
        <v>41955</v>
      </c>
      <c r="D1177" s="68">
        <f t="shared" ref="D1177:D1178" si="2420">IF(B1177&gt;0,MONTH(B1177),"False")</f>
        <v>11</v>
      </c>
      <c r="E1177" s="66" t="str">
        <f t="shared" ref="E1177:E1178" si="2421">YEAR(B1177) &amp; CHOOSE(D1177,"-Jan","-Feb","-Mar","-Apr","-May","-Jun","-Jul","-Aug","-Sep","-Oct","-Nov","-Dec")</f>
        <v>2014-Nov</v>
      </c>
      <c r="F1177" s="68" t="str">
        <f t="shared" ref="F1177:F1178" si="2422">IF(C1177&gt;0,MONTH(C1177),"False")</f>
        <v>False</v>
      </c>
      <c r="G1177" s="318" t="s">
        <v>75</v>
      </c>
      <c r="H1177" s="318" t="s">
        <v>166</v>
      </c>
      <c r="J1177" s="318" t="s">
        <v>98</v>
      </c>
      <c r="K1177" s="318" t="s">
        <v>82</v>
      </c>
      <c r="L1177" s="318" t="s">
        <v>79</v>
      </c>
      <c r="M1177" s="1" t="s">
        <v>1960</v>
      </c>
      <c r="N1177" s="318" t="s">
        <v>124</v>
      </c>
      <c r="O1177" s="318" t="s">
        <v>285</v>
      </c>
      <c r="P1177" s="64" t="s">
        <v>336</v>
      </c>
      <c r="Q1177" s="2" t="s">
        <v>94</v>
      </c>
      <c r="Y1177" s="322" t="str">
        <f t="shared" ref="Y1177:Y1211" si="2423">IF(Q1177&gt;0,"Obsolete",IF(S1177&gt;0,S1177,"Unknown"))</f>
        <v>Obsolete</v>
      </c>
      <c r="Z1177" s="11">
        <f t="shared" ref="Z1177:Z1211" si="2424">IF(Q1177="Obsolete-LQA",C1177,IF(Q1177="Obsolete-IT",B1177,""))</f>
        <v>41955</v>
      </c>
      <c r="AA1177" s="322" t="str">
        <f t="shared" ref="AA1177:AA1211" si="2425">IFERROR(YEAR(Z1177)&amp;" - "&amp; IF(LEN( WEEKNUM(Z1177))=1,"0" &amp; WEEKNUM(Z1177),WEEKNUM(Z1177)),"")</f>
        <v>2014 - 46</v>
      </c>
      <c r="AB1177" s="322">
        <f t="shared" ref="AB1177:AB1211" si="2426">IFERROR(YEAR(Z1177),"")</f>
        <v>2014</v>
      </c>
    </row>
    <row r="1178" spans="2:28" x14ac:dyDescent="0.25">
      <c r="B1178" s="66">
        <v>41955</v>
      </c>
      <c r="C1178" s="66">
        <v>41955</v>
      </c>
      <c r="D1178" s="68">
        <f t="shared" si="2420"/>
        <v>11</v>
      </c>
      <c r="E1178" s="66" t="str">
        <f t="shared" si="2421"/>
        <v>2014-Nov</v>
      </c>
      <c r="F1178" s="68">
        <f t="shared" si="2422"/>
        <v>11</v>
      </c>
      <c r="G1178" s="318" t="s">
        <v>87</v>
      </c>
      <c r="H1178" s="318" t="s">
        <v>139</v>
      </c>
      <c r="I1178" s="318"/>
      <c r="J1178" s="318" t="s">
        <v>90</v>
      </c>
      <c r="K1178" s="318" t="s">
        <v>89</v>
      </c>
      <c r="L1178" s="318" t="s">
        <v>83</v>
      </c>
      <c r="M1178" s="1" t="s">
        <v>1961</v>
      </c>
      <c r="N1178" s="318" t="s">
        <v>124</v>
      </c>
      <c r="O1178" s="318" t="s">
        <v>1962</v>
      </c>
      <c r="R1178" s="64" t="s">
        <v>1963</v>
      </c>
      <c r="Y1178" s="322" t="str">
        <f t="shared" si="2423"/>
        <v>Unknown</v>
      </c>
      <c r="Z1178" s="11" t="str">
        <f t="shared" si="2424"/>
        <v/>
      </c>
      <c r="AA1178" s="322" t="str">
        <f t="shared" si="2425"/>
        <v/>
      </c>
      <c r="AB1178" s="322" t="str">
        <f t="shared" si="2426"/>
        <v/>
      </c>
    </row>
    <row r="1179" spans="2:28" x14ac:dyDescent="0.25">
      <c r="B1179" s="66">
        <v>41955</v>
      </c>
      <c r="C1179" s="66">
        <v>41955</v>
      </c>
      <c r="D1179" s="68">
        <f t="shared" ref="D1179" si="2427">IF(B1179&gt;0,MONTH(B1179),"False")</f>
        <v>11</v>
      </c>
      <c r="E1179" s="66" t="str">
        <f t="shared" ref="E1179" si="2428">YEAR(B1179) &amp; CHOOSE(D1179,"-Jan","-Feb","-Mar","-Apr","-May","-Jun","-Jul","-Aug","-Sep","-Oct","-Nov","-Dec")</f>
        <v>2014-Nov</v>
      </c>
      <c r="F1179" s="68">
        <f t="shared" ref="F1179" si="2429">IF(C1179&gt;0,MONTH(C1179),"False")</f>
        <v>11</v>
      </c>
      <c r="G1179" s="324" t="s">
        <v>126</v>
      </c>
      <c r="H1179" s="318" t="s">
        <v>280</v>
      </c>
      <c r="J1179" s="318" t="s">
        <v>78</v>
      </c>
      <c r="K1179" s="318" t="s">
        <v>78</v>
      </c>
      <c r="L1179" s="318" t="s">
        <v>79</v>
      </c>
      <c r="M1179" s="1" t="s">
        <v>1964</v>
      </c>
      <c r="N1179" s="318" t="s">
        <v>124</v>
      </c>
      <c r="O1179" s="318" t="s">
        <v>304</v>
      </c>
      <c r="R1179" s="64" t="s">
        <v>344</v>
      </c>
      <c r="S1179" s="324" t="s">
        <v>104</v>
      </c>
      <c r="X1179" s="324" t="s">
        <v>544</v>
      </c>
      <c r="Y1179" s="322" t="str">
        <f t="shared" si="2423"/>
        <v>Pass</v>
      </c>
      <c r="Z1179" s="11" t="str">
        <f t="shared" si="2424"/>
        <v/>
      </c>
      <c r="AA1179" s="322" t="str">
        <f t="shared" si="2425"/>
        <v/>
      </c>
      <c r="AB1179" s="322" t="str">
        <f t="shared" si="2426"/>
        <v/>
      </c>
    </row>
    <row r="1180" spans="2:28" x14ac:dyDescent="0.25">
      <c r="B1180" s="66">
        <v>41956</v>
      </c>
      <c r="C1180" s="66">
        <v>41956</v>
      </c>
      <c r="D1180" s="68">
        <f t="shared" ref="D1180:D1181" si="2430">IF(B1180&gt;0,MONTH(B1180),"False")</f>
        <v>11</v>
      </c>
      <c r="E1180" s="66" t="str">
        <f t="shared" ref="E1180:E1181" si="2431">YEAR(B1180) &amp; CHOOSE(D1180,"-Jan","-Feb","-Mar","-Apr","-May","-Jun","-Jul","-Aug","-Sep","-Oct","-Nov","-Dec")</f>
        <v>2014-Nov</v>
      </c>
      <c r="F1180" s="68">
        <f t="shared" ref="F1180:F1181" si="2432">IF(C1180&gt;0,MONTH(C1180),"False")</f>
        <v>11</v>
      </c>
      <c r="G1180" s="319" t="s">
        <v>87</v>
      </c>
      <c r="H1180" s="319" t="s">
        <v>115</v>
      </c>
      <c r="J1180" s="319" t="s">
        <v>78</v>
      </c>
      <c r="K1180" s="319" t="s">
        <v>78</v>
      </c>
      <c r="L1180" s="319" t="s">
        <v>79</v>
      </c>
      <c r="M1180" s="1" t="s">
        <v>1965</v>
      </c>
      <c r="N1180" s="319" t="s">
        <v>124</v>
      </c>
      <c r="O1180" s="319" t="s">
        <v>324</v>
      </c>
      <c r="R1180" s="64" t="s">
        <v>1881</v>
      </c>
      <c r="Y1180" s="322" t="str">
        <f t="shared" si="2423"/>
        <v>Unknown</v>
      </c>
      <c r="Z1180" s="11" t="str">
        <f t="shared" si="2424"/>
        <v/>
      </c>
      <c r="AA1180" s="322" t="str">
        <f t="shared" si="2425"/>
        <v/>
      </c>
      <c r="AB1180" s="322" t="str">
        <f t="shared" si="2426"/>
        <v/>
      </c>
    </row>
    <row r="1181" spans="2:28" x14ac:dyDescent="0.25">
      <c r="B1181" s="65">
        <v>41956</v>
      </c>
      <c r="C1181" s="66">
        <v>41956</v>
      </c>
      <c r="D1181" s="68">
        <f t="shared" si="2430"/>
        <v>11</v>
      </c>
      <c r="E1181" s="66" t="str">
        <f t="shared" si="2431"/>
        <v>2014-Nov</v>
      </c>
      <c r="F1181" s="68">
        <f t="shared" si="2432"/>
        <v>11</v>
      </c>
      <c r="G1181" s="319" t="s">
        <v>93</v>
      </c>
      <c r="H1181" s="319" t="s">
        <v>280</v>
      </c>
      <c r="J1181" s="319" t="s">
        <v>77</v>
      </c>
      <c r="K1181" s="319" t="s">
        <v>82</v>
      </c>
      <c r="L1181" s="319" t="s">
        <v>79</v>
      </c>
      <c r="M1181" s="1" t="s">
        <v>1966</v>
      </c>
      <c r="N1181" s="319" t="s">
        <v>124</v>
      </c>
      <c r="O1181" s="319" t="s">
        <v>116</v>
      </c>
      <c r="P1181" s="64" t="s">
        <v>305</v>
      </c>
      <c r="R1181" s="64" t="s">
        <v>1559</v>
      </c>
      <c r="S1181" s="345" t="s">
        <v>104</v>
      </c>
      <c r="X1181" s="345" t="s">
        <v>544</v>
      </c>
      <c r="Y1181" s="322" t="str">
        <f t="shared" si="2423"/>
        <v>Pass</v>
      </c>
      <c r="Z1181" s="11" t="str">
        <f t="shared" si="2424"/>
        <v/>
      </c>
      <c r="AA1181" s="322" t="str">
        <f t="shared" si="2425"/>
        <v/>
      </c>
      <c r="AB1181" s="322" t="str">
        <f t="shared" si="2426"/>
        <v/>
      </c>
    </row>
    <row r="1182" spans="2:28" x14ac:dyDescent="0.25">
      <c r="B1182" s="65">
        <v>41956</v>
      </c>
      <c r="C1182" s="66">
        <v>41956</v>
      </c>
      <c r="D1182" s="68">
        <f t="shared" ref="D1182" si="2433">IF(B1182&gt;0,MONTH(B1182),"False")</f>
        <v>11</v>
      </c>
      <c r="E1182" s="66" t="str">
        <f t="shared" ref="E1182" si="2434">YEAR(B1182) &amp; CHOOSE(D1182,"-Jan","-Feb","-Mar","-Apr","-May","-Jun","-Jul","-Aug","-Sep","-Oct","-Nov","-Dec")</f>
        <v>2014-Nov</v>
      </c>
      <c r="F1182" s="68">
        <f t="shared" ref="F1182" si="2435">IF(C1182&gt;0,MONTH(C1182),"False")</f>
        <v>11</v>
      </c>
      <c r="G1182" s="321" t="s">
        <v>105</v>
      </c>
      <c r="H1182" s="319" t="s">
        <v>280</v>
      </c>
      <c r="I1182" s="319"/>
      <c r="J1182" s="319" t="s">
        <v>81</v>
      </c>
      <c r="K1182" s="319" t="s">
        <v>82</v>
      </c>
      <c r="L1182" s="319" t="s">
        <v>79</v>
      </c>
      <c r="M1182" s="1" t="s">
        <v>1967</v>
      </c>
      <c r="N1182" s="319" t="s">
        <v>124</v>
      </c>
      <c r="O1182" s="319" t="s">
        <v>286</v>
      </c>
      <c r="P1182" s="64" t="s">
        <v>305</v>
      </c>
      <c r="R1182" s="64" t="s">
        <v>1559</v>
      </c>
      <c r="S1182" s="321" t="s">
        <v>104</v>
      </c>
      <c r="X1182" s="321" t="s">
        <v>544</v>
      </c>
      <c r="Y1182" s="322" t="str">
        <f t="shared" si="2423"/>
        <v>Pass</v>
      </c>
      <c r="Z1182" s="11" t="str">
        <f t="shared" si="2424"/>
        <v/>
      </c>
      <c r="AA1182" s="322" t="str">
        <f t="shared" si="2425"/>
        <v/>
      </c>
      <c r="AB1182" s="322" t="str">
        <f t="shared" si="2426"/>
        <v/>
      </c>
    </row>
    <row r="1183" spans="2:28" x14ac:dyDescent="0.25">
      <c r="B1183" s="65">
        <v>41957</v>
      </c>
      <c r="C1183" s="66">
        <v>41957</v>
      </c>
      <c r="D1183" s="68">
        <f t="shared" ref="D1183" si="2436">IF(B1183&gt;0,MONTH(B1183),"False")</f>
        <v>11</v>
      </c>
      <c r="E1183" s="66" t="str">
        <f t="shared" ref="E1183" si="2437">YEAR(B1183) &amp; CHOOSE(D1183,"-Jan","-Feb","-Mar","-Apr","-May","-Jun","-Jul","-Aug","-Sep","-Oct","-Nov","-Dec")</f>
        <v>2014-Nov</v>
      </c>
      <c r="F1183" s="68">
        <f t="shared" ref="F1183" si="2438">IF(C1183&gt;0,MONTH(C1183),"False")</f>
        <v>11</v>
      </c>
      <c r="G1183" s="366" t="s">
        <v>121</v>
      </c>
      <c r="H1183" s="320" t="s">
        <v>28</v>
      </c>
      <c r="J1183" s="320" t="s">
        <v>77</v>
      </c>
      <c r="K1183" s="320" t="s">
        <v>82</v>
      </c>
      <c r="L1183" s="320" t="s">
        <v>79</v>
      </c>
      <c r="M1183" s="1" t="s">
        <v>1968</v>
      </c>
      <c r="N1183" s="320" t="s">
        <v>124</v>
      </c>
      <c r="O1183" s="320" t="s">
        <v>162</v>
      </c>
      <c r="P1183" s="64" t="s">
        <v>334</v>
      </c>
      <c r="R1183" s="64" t="s">
        <v>335</v>
      </c>
      <c r="S1183" s="366" t="s">
        <v>104</v>
      </c>
      <c r="X1183" s="366" t="s">
        <v>153</v>
      </c>
      <c r="Y1183" s="322" t="str">
        <f t="shared" si="2423"/>
        <v>Pass</v>
      </c>
      <c r="Z1183" s="11" t="str">
        <f t="shared" si="2424"/>
        <v/>
      </c>
      <c r="AA1183" s="322" t="str">
        <f t="shared" si="2425"/>
        <v/>
      </c>
      <c r="AB1183" s="322" t="str">
        <f t="shared" si="2426"/>
        <v/>
      </c>
    </row>
    <row r="1184" spans="2:28" x14ac:dyDescent="0.25">
      <c r="B1184" s="66">
        <v>41957</v>
      </c>
      <c r="C1184" s="66">
        <v>41957</v>
      </c>
      <c r="D1184" s="68">
        <f t="shared" ref="D1184:D1185" si="2439">IF(B1184&gt;0,MONTH(B1184),"False")</f>
        <v>11</v>
      </c>
      <c r="E1184" s="66" t="str">
        <f t="shared" ref="E1184:E1185" si="2440">YEAR(B1184) &amp; CHOOSE(D1184,"-Jan","-Feb","-Mar","-Apr","-May","-Jun","-Jul","-Aug","-Sep","-Oct","-Nov","-Dec")</f>
        <v>2014-Nov</v>
      </c>
      <c r="F1184" s="68">
        <f t="shared" ref="F1184:F1185" si="2441">IF(C1184&gt;0,MONTH(C1184),"False")</f>
        <v>11</v>
      </c>
      <c r="G1184" s="320" t="s">
        <v>87</v>
      </c>
      <c r="H1184" s="320" t="s">
        <v>115</v>
      </c>
      <c r="J1184" s="320" t="s">
        <v>149</v>
      </c>
      <c r="K1184" s="320" t="s">
        <v>84</v>
      </c>
      <c r="L1184" s="320" t="s">
        <v>79</v>
      </c>
      <c r="M1184" s="1" t="s">
        <v>1970</v>
      </c>
      <c r="N1184" s="320" t="s">
        <v>124</v>
      </c>
      <c r="O1184" s="320" t="s">
        <v>350</v>
      </c>
      <c r="R1184" s="64" t="s">
        <v>1969</v>
      </c>
      <c r="T1184" s="67" t="s">
        <v>110</v>
      </c>
      <c r="Y1184" s="322" t="str">
        <f t="shared" si="2423"/>
        <v>Unknown</v>
      </c>
      <c r="Z1184" s="11" t="str">
        <f t="shared" si="2424"/>
        <v/>
      </c>
      <c r="AA1184" s="322" t="str">
        <f t="shared" si="2425"/>
        <v/>
      </c>
      <c r="AB1184" s="322" t="str">
        <f t="shared" si="2426"/>
        <v/>
      </c>
    </row>
    <row r="1185" spans="2:28" x14ac:dyDescent="0.25">
      <c r="B1185" s="65">
        <v>41960</v>
      </c>
      <c r="C1185" s="66">
        <v>41960</v>
      </c>
      <c r="D1185" s="68">
        <f t="shared" si="2439"/>
        <v>11</v>
      </c>
      <c r="E1185" s="66" t="str">
        <f t="shared" si="2440"/>
        <v>2014-Nov</v>
      </c>
      <c r="F1185" s="68">
        <f t="shared" si="2441"/>
        <v>11</v>
      </c>
      <c r="G1185" s="322" t="s">
        <v>121</v>
      </c>
      <c r="H1185" s="321" t="s">
        <v>103</v>
      </c>
      <c r="J1185" s="321" t="s">
        <v>77</v>
      </c>
      <c r="K1185" s="321" t="s">
        <v>82</v>
      </c>
      <c r="L1185" s="321" t="s">
        <v>79</v>
      </c>
      <c r="M1185" s="1" t="s">
        <v>1971</v>
      </c>
      <c r="N1185" s="321" t="s">
        <v>124</v>
      </c>
      <c r="O1185" s="321" t="s">
        <v>507</v>
      </c>
      <c r="P1185" s="64" t="s">
        <v>351</v>
      </c>
      <c r="R1185" s="64" t="s">
        <v>361</v>
      </c>
      <c r="S1185" s="322" t="s">
        <v>104</v>
      </c>
      <c r="X1185" s="322" t="s">
        <v>1758</v>
      </c>
      <c r="Y1185" s="322" t="str">
        <f t="shared" si="2423"/>
        <v>Pass</v>
      </c>
      <c r="Z1185" s="11" t="str">
        <f t="shared" si="2424"/>
        <v/>
      </c>
      <c r="AA1185" s="322" t="str">
        <f t="shared" si="2425"/>
        <v/>
      </c>
      <c r="AB1185" s="322" t="str">
        <f t="shared" si="2426"/>
        <v/>
      </c>
    </row>
    <row r="1186" spans="2:28" x14ac:dyDescent="0.25">
      <c r="B1186" s="65">
        <v>41960</v>
      </c>
      <c r="C1186" s="66">
        <v>41960</v>
      </c>
      <c r="D1186" s="68">
        <f t="shared" ref="D1186:D1187" si="2442">IF(B1186&gt;0,MONTH(B1186),"False")</f>
        <v>11</v>
      </c>
      <c r="E1186" s="66" t="str">
        <f t="shared" ref="E1186:E1187" si="2443">YEAR(B1186) &amp; CHOOSE(D1186,"-Jan","-Feb","-Mar","-Apr","-May","-Jun","-Jul","-Aug","-Sep","-Oct","-Nov","-Dec")</f>
        <v>2014-Nov</v>
      </c>
      <c r="F1186" s="68">
        <f t="shared" ref="F1186:F1187" si="2444">IF(C1186&gt;0,MONTH(C1186),"False")</f>
        <v>11</v>
      </c>
      <c r="G1186" s="321" t="s">
        <v>93</v>
      </c>
      <c r="H1186" s="321" t="s">
        <v>280</v>
      </c>
      <c r="J1186" s="321" t="s">
        <v>146</v>
      </c>
      <c r="K1186" s="321" t="s">
        <v>82</v>
      </c>
      <c r="L1186" s="321" t="s">
        <v>79</v>
      </c>
      <c r="M1186" s="323" t="s">
        <v>1971</v>
      </c>
      <c r="N1186" s="321" t="s">
        <v>124</v>
      </c>
      <c r="O1186" s="321" t="s">
        <v>286</v>
      </c>
      <c r="P1186" s="64" t="s">
        <v>305</v>
      </c>
      <c r="R1186" s="64" t="s">
        <v>1559</v>
      </c>
      <c r="Y1186" s="322" t="str">
        <f t="shared" si="2423"/>
        <v>Unknown</v>
      </c>
      <c r="Z1186" s="11" t="str">
        <f t="shared" si="2424"/>
        <v/>
      </c>
      <c r="AA1186" s="322" t="str">
        <f t="shared" si="2425"/>
        <v/>
      </c>
      <c r="AB1186" s="322" t="str">
        <f t="shared" si="2426"/>
        <v/>
      </c>
    </row>
    <row r="1187" spans="2:28" s="416" customFormat="1" x14ac:dyDescent="0.25">
      <c r="B1187" s="65">
        <v>41960</v>
      </c>
      <c r="C1187" s="66">
        <v>41960</v>
      </c>
      <c r="D1187" s="68">
        <f t="shared" si="2442"/>
        <v>11</v>
      </c>
      <c r="E1187" s="66" t="str">
        <f t="shared" si="2443"/>
        <v>2014-Nov</v>
      </c>
      <c r="F1187" s="68">
        <f t="shared" si="2444"/>
        <v>11</v>
      </c>
      <c r="G1187" s="416" t="s">
        <v>105</v>
      </c>
      <c r="H1187" s="416" t="s">
        <v>280</v>
      </c>
      <c r="J1187" s="416" t="s">
        <v>146</v>
      </c>
      <c r="K1187" s="416" t="s">
        <v>82</v>
      </c>
      <c r="L1187" s="416" t="s">
        <v>79</v>
      </c>
      <c r="M1187" s="416" t="s">
        <v>2301</v>
      </c>
      <c r="N1187" s="416" t="s">
        <v>124</v>
      </c>
      <c r="O1187" s="416" t="s">
        <v>286</v>
      </c>
      <c r="P1187" s="64" t="s">
        <v>305</v>
      </c>
      <c r="Q1187" s="2"/>
      <c r="R1187" s="64" t="s">
        <v>1559</v>
      </c>
      <c r="S1187" s="416" t="s">
        <v>104</v>
      </c>
      <c r="T1187" s="67"/>
      <c r="X1187" s="416" t="s">
        <v>544</v>
      </c>
      <c r="Y1187" s="416" t="str">
        <f t="shared" ref="Y1187" si="2445">IF(Q1187&gt;0,"Obsolete",IF(S1187&gt;0,S1187,"Unknown"))</f>
        <v>Pass</v>
      </c>
      <c r="Z1187" s="11" t="str">
        <f t="shared" ref="Z1187" si="2446">IF(Q1187="Obsolete-LQA",C1187,IF(Q1187="Obsolete-IT",B1187,""))</f>
        <v/>
      </c>
      <c r="AA1187" s="416" t="str">
        <f t="shared" ref="AA1187" si="2447">IFERROR(YEAR(Z1187)&amp;" - "&amp; IF(LEN( WEEKNUM(Z1187))=1,"0" &amp; WEEKNUM(Z1187),WEEKNUM(Z1187)),"")</f>
        <v/>
      </c>
      <c r="AB1187" s="416" t="str">
        <f t="shared" ref="AB1187" si="2448">IFERROR(YEAR(Z1187),"")</f>
        <v/>
      </c>
    </row>
    <row r="1188" spans="2:28" s="321" customFormat="1" x14ac:dyDescent="0.25">
      <c r="B1188" s="65">
        <v>41960</v>
      </c>
      <c r="C1188" s="66">
        <v>41960</v>
      </c>
      <c r="D1188" s="68">
        <f t="shared" ref="D1188" si="2449">IF(B1188&gt;0,MONTH(B1188),"False")</f>
        <v>11</v>
      </c>
      <c r="E1188" s="66" t="str">
        <f t="shared" ref="E1188" si="2450">YEAR(B1188) &amp; CHOOSE(D1188,"-Jan","-Feb","-Mar","-Apr","-May","-Jun","-Jul","-Aug","-Sep","-Oct","-Nov","-Dec")</f>
        <v>2014-Nov</v>
      </c>
      <c r="F1188" s="68">
        <f t="shared" ref="F1188" si="2451">IF(C1188&gt;0,MONTH(C1188),"False")</f>
        <v>11</v>
      </c>
      <c r="G1188" s="416" t="s">
        <v>105</v>
      </c>
      <c r="H1188" s="321" t="s">
        <v>280</v>
      </c>
      <c r="J1188" s="321" t="s">
        <v>81</v>
      </c>
      <c r="K1188" s="321" t="s">
        <v>82</v>
      </c>
      <c r="L1188" s="321" t="s">
        <v>79</v>
      </c>
      <c r="M1188" s="321" t="s">
        <v>1972</v>
      </c>
      <c r="N1188" s="321" t="s">
        <v>124</v>
      </c>
      <c r="O1188" s="321" t="s">
        <v>286</v>
      </c>
      <c r="P1188" s="64" t="s">
        <v>305</v>
      </c>
      <c r="Q1188" s="2"/>
      <c r="R1188" s="64" t="s">
        <v>1559</v>
      </c>
      <c r="S1188" s="416" t="s">
        <v>104</v>
      </c>
      <c r="T1188" s="67"/>
      <c r="X1188" s="416" t="s">
        <v>544</v>
      </c>
      <c r="Y1188" s="322" t="str">
        <f t="shared" si="2423"/>
        <v>Pass</v>
      </c>
      <c r="Z1188" s="11" t="str">
        <f t="shared" si="2424"/>
        <v/>
      </c>
      <c r="AA1188" s="322" t="str">
        <f t="shared" si="2425"/>
        <v/>
      </c>
      <c r="AB1188" s="322" t="str">
        <f t="shared" si="2426"/>
        <v/>
      </c>
    </row>
    <row r="1189" spans="2:28" x14ac:dyDescent="0.25">
      <c r="B1189" s="65">
        <v>41960</v>
      </c>
      <c r="C1189" s="66">
        <v>41960</v>
      </c>
      <c r="D1189" s="68">
        <f t="shared" ref="D1189:D1191" si="2452">IF(B1189&gt;0,MONTH(B1189),"False")</f>
        <v>11</v>
      </c>
      <c r="E1189" s="66" t="str">
        <f t="shared" ref="E1189:E1191" si="2453">YEAR(B1189) &amp; CHOOSE(D1189,"-Jan","-Feb","-Mar","-Apr","-May","-Jun","-Jul","-Aug","-Sep","-Oct","-Nov","-Dec")</f>
        <v>2014-Nov</v>
      </c>
      <c r="F1189" s="68">
        <f t="shared" ref="F1189:F1191" si="2454">IF(C1189&gt;0,MONTH(C1189),"False")</f>
        <v>11</v>
      </c>
      <c r="G1189" s="322" t="s">
        <v>121</v>
      </c>
      <c r="H1189" s="321" t="s">
        <v>103</v>
      </c>
      <c r="J1189" s="321" t="s">
        <v>77</v>
      </c>
      <c r="K1189" s="321" t="s">
        <v>82</v>
      </c>
      <c r="L1189" s="321" t="s">
        <v>79</v>
      </c>
      <c r="M1189" s="1" t="s">
        <v>1973</v>
      </c>
      <c r="N1189" s="321" t="s">
        <v>124</v>
      </c>
      <c r="O1189" s="321" t="s">
        <v>265</v>
      </c>
      <c r="P1189" s="64" t="s">
        <v>361</v>
      </c>
      <c r="R1189" s="64" t="s">
        <v>351</v>
      </c>
      <c r="S1189" s="322" t="s">
        <v>104</v>
      </c>
      <c r="X1189" s="322" t="s">
        <v>1474</v>
      </c>
      <c r="Y1189" s="322" t="str">
        <f t="shared" si="2423"/>
        <v>Pass</v>
      </c>
      <c r="Z1189" s="11" t="str">
        <f t="shared" si="2424"/>
        <v/>
      </c>
      <c r="AA1189" s="322" t="str">
        <f t="shared" si="2425"/>
        <v/>
      </c>
      <c r="AB1189" s="322" t="str">
        <f t="shared" si="2426"/>
        <v/>
      </c>
    </row>
    <row r="1190" spans="2:28" x14ac:dyDescent="0.25">
      <c r="B1190" s="66">
        <v>41961</v>
      </c>
      <c r="C1190" s="66">
        <v>41961</v>
      </c>
      <c r="D1190" s="68">
        <f t="shared" si="2452"/>
        <v>11</v>
      </c>
      <c r="E1190" s="66" t="str">
        <f t="shared" si="2453"/>
        <v>2014-Nov</v>
      </c>
      <c r="F1190" s="68">
        <f t="shared" si="2454"/>
        <v>11</v>
      </c>
      <c r="G1190" s="322" t="s">
        <v>87</v>
      </c>
      <c r="H1190" s="322" t="s">
        <v>166</v>
      </c>
      <c r="J1190" s="322" t="s">
        <v>150</v>
      </c>
      <c r="K1190" s="322" t="s">
        <v>84</v>
      </c>
      <c r="L1190" s="322" t="s">
        <v>83</v>
      </c>
      <c r="M1190" s="1" t="s">
        <v>1974</v>
      </c>
      <c r="N1190" s="322" t="s">
        <v>124</v>
      </c>
      <c r="O1190" s="322" t="s">
        <v>350</v>
      </c>
      <c r="R1190" s="64" t="s">
        <v>1975</v>
      </c>
      <c r="Y1190" s="322" t="str">
        <f t="shared" si="2423"/>
        <v>Unknown</v>
      </c>
      <c r="Z1190" s="11" t="str">
        <f t="shared" si="2424"/>
        <v/>
      </c>
      <c r="AA1190" s="322" t="str">
        <f t="shared" si="2425"/>
        <v/>
      </c>
      <c r="AB1190" s="322" t="str">
        <f t="shared" si="2426"/>
        <v/>
      </c>
    </row>
    <row r="1191" spans="2:28" x14ac:dyDescent="0.25">
      <c r="B1191" s="65">
        <v>41961</v>
      </c>
      <c r="C1191" s="66">
        <v>41961</v>
      </c>
      <c r="D1191" s="68">
        <f t="shared" si="2452"/>
        <v>11</v>
      </c>
      <c r="E1191" s="66" t="str">
        <f t="shared" si="2453"/>
        <v>2014-Nov</v>
      </c>
      <c r="F1191" s="68">
        <f t="shared" si="2454"/>
        <v>11</v>
      </c>
      <c r="G1191" s="322" t="s">
        <v>93</v>
      </c>
      <c r="H1191" s="322" t="s">
        <v>136</v>
      </c>
      <c r="J1191" s="322" t="s">
        <v>77</v>
      </c>
      <c r="K1191" s="322" t="s">
        <v>82</v>
      </c>
      <c r="L1191" s="322" t="s">
        <v>79</v>
      </c>
      <c r="M1191" s="1" t="s">
        <v>1976</v>
      </c>
      <c r="N1191" s="322" t="s">
        <v>124</v>
      </c>
      <c r="O1191" s="322" t="s">
        <v>114</v>
      </c>
      <c r="P1191" s="64" t="s">
        <v>750</v>
      </c>
      <c r="R1191" s="64" t="s">
        <v>1513</v>
      </c>
      <c r="Y1191" s="322" t="str">
        <f t="shared" si="2423"/>
        <v>Unknown</v>
      </c>
      <c r="Z1191" s="11" t="str">
        <f t="shared" si="2424"/>
        <v/>
      </c>
      <c r="AA1191" s="322" t="str">
        <f t="shared" si="2425"/>
        <v/>
      </c>
      <c r="AB1191" s="322" t="str">
        <f t="shared" si="2426"/>
        <v/>
      </c>
    </row>
    <row r="1192" spans="2:28" x14ac:dyDescent="0.25">
      <c r="B1192" s="65">
        <v>41961</v>
      </c>
      <c r="C1192" s="66">
        <v>41961</v>
      </c>
      <c r="D1192" s="68">
        <f t="shared" ref="D1192:D1193" si="2455">IF(B1192&gt;0,MONTH(B1192),"False")</f>
        <v>11</v>
      </c>
      <c r="E1192" s="66" t="str">
        <f t="shared" ref="E1192:E1193" si="2456">YEAR(B1192) &amp; CHOOSE(D1192,"-Jan","-Feb","-Mar","-Apr","-May","-Jun","-Jul","-Aug","-Sep","-Oct","-Nov","-Dec")</f>
        <v>2014-Nov</v>
      </c>
      <c r="F1192" s="68">
        <f t="shared" ref="F1192:F1193" si="2457">IF(C1192&gt;0,MONTH(C1192),"False")</f>
        <v>11</v>
      </c>
      <c r="G1192" s="322" t="s">
        <v>93</v>
      </c>
      <c r="H1192" s="322" t="s">
        <v>136</v>
      </c>
      <c r="J1192" s="322" t="s">
        <v>120</v>
      </c>
      <c r="K1192" s="322" t="s">
        <v>82</v>
      </c>
      <c r="L1192" s="322" t="s">
        <v>79</v>
      </c>
      <c r="M1192" s="1" t="s">
        <v>1977</v>
      </c>
      <c r="N1192" s="322" t="s">
        <v>124</v>
      </c>
      <c r="O1192" s="322" t="s">
        <v>114</v>
      </c>
      <c r="P1192" s="64" t="s">
        <v>750</v>
      </c>
      <c r="R1192" s="64" t="s">
        <v>1513</v>
      </c>
      <c r="Y1192" s="322" t="str">
        <f t="shared" si="2423"/>
        <v>Unknown</v>
      </c>
      <c r="Z1192" s="11" t="str">
        <f t="shared" si="2424"/>
        <v/>
      </c>
      <c r="AA1192" s="322" t="str">
        <f t="shared" si="2425"/>
        <v/>
      </c>
      <c r="AB1192" s="322" t="str">
        <f t="shared" si="2426"/>
        <v/>
      </c>
    </row>
    <row r="1193" spans="2:28" x14ac:dyDescent="0.25">
      <c r="B1193" s="66">
        <v>41961</v>
      </c>
      <c r="C1193" s="66">
        <v>41961</v>
      </c>
      <c r="D1193" s="68">
        <f t="shared" si="2455"/>
        <v>11</v>
      </c>
      <c r="E1193" s="66" t="str">
        <f t="shared" si="2456"/>
        <v>2014-Nov</v>
      </c>
      <c r="F1193" s="68">
        <f t="shared" si="2457"/>
        <v>11</v>
      </c>
      <c r="G1193" s="322" t="s">
        <v>87</v>
      </c>
      <c r="H1193" s="322" t="s">
        <v>115</v>
      </c>
      <c r="J1193" s="322" t="s">
        <v>77</v>
      </c>
      <c r="K1193" s="322" t="s">
        <v>82</v>
      </c>
      <c r="L1193" s="322" t="s">
        <v>79</v>
      </c>
      <c r="M1193" s="322" t="s">
        <v>1978</v>
      </c>
      <c r="N1193" s="322" t="s">
        <v>124</v>
      </c>
      <c r="O1193" s="322" t="s">
        <v>507</v>
      </c>
      <c r="R1193" s="64" t="s">
        <v>1979</v>
      </c>
      <c r="T1193" s="67" t="s">
        <v>110</v>
      </c>
      <c r="Y1193" s="322" t="str">
        <f t="shared" si="2423"/>
        <v>Unknown</v>
      </c>
      <c r="Z1193" s="11" t="str">
        <f t="shared" si="2424"/>
        <v/>
      </c>
      <c r="AA1193" s="322" t="str">
        <f t="shared" si="2425"/>
        <v/>
      </c>
      <c r="AB1193" s="322" t="str">
        <f t="shared" si="2426"/>
        <v/>
      </c>
    </row>
    <row r="1194" spans="2:28" x14ac:dyDescent="0.25">
      <c r="B1194" s="66">
        <v>41961</v>
      </c>
      <c r="C1194" s="66">
        <v>41961</v>
      </c>
      <c r="D1194" s="68">
        <f t="shared" ref="D1194:D1195" si="2458">IF(B1194&gt;0,MONTH(B1194),"False")</f>
        <v>11</v>
      </c>
      <c r="E1194" s="66" t="str">
        <f t="shared" ref="E1194:E1195" si="2459">YEAR(B1194) &amp; CHOOSE(D1194,"-Jan","-Feb","-Mar","-Apr","-May","-Jun","-Jul","-Aug","-Sep","-Oct","-Nov","-Dec")</f>
        <v>2014-Nov</v>
      </c>
      <c r="F1194" s="68">
        <f t="shared" ref="F1194:F1195" si="2460">IF(C1194&gt;0,MONTH(C1194),"False")</f>
        <v>11</v>
      </c>
      <c r="G1194" s="416" t="s">
        <v>126</v>
      </c>
      <c r="H1194" s="322" t="s">
        <v>280</v>
      </c>
      <c r="J1194" s="322" t="s">
        <v>78</v>
      </c>
      <c r="K1194" s="322" t="s">
        <v>78</v>
      </c>
      <c r="L1194" s="322" t="s">
        <v>79</v>
      </c>
      <c r="M1194" s="1" t="s">
        <v>1980</v>
      </c>
      <c r="N1194" s="322" t="s">
        <v>124</v>
      </c>
      <c r="O1194" s="322" t="s">
        <v>304</v>
      </c>
      <c r="R1194" s="64" t="s">
        <v>344</v>
      </c>
      <c r="S1194" s="416" t="s">
        <v>104</v>
      </c>
      <c r="X1194" s="416" t="s">
        <v>544</v>
      </c>
      <c r="Y1194" s="322" t="str">
        <f t="shared" si="2423"/>
        <v>Pass</v>
      </c>
      <c r="Z1194" s="11" t="str">
        <f t="shared" si="2424"/>
        <v/>
      </c>
      <c r="AA1194" s="322" t="str">
        <f t="shared" si="2425"/>
        <v/>
      </c>
      <c r="AB1194" s="322" t="str">
        <f t="shared" si="2426"/>
        <v/>
      </c>
    </row>
    <row r="1195" spans="2:28" x14ac:dyDescent="0.25">
      <c r="B1195" s="65">
        <v>41961</v>
      </c>
      <c r="C1195" s="66">
        <v>41961</v>
      </c>
      <c r="D1195" s="68">
        <f t="shared" si="2458"/>
        <v>11</v>
      </c>
      <c r="E1195" s="66" t="str">
        <f t="shared" si="2459"/>
        <v>2014-Nov</v>
      </c>
      <c r="F1195" s="68">
        <f t="shared" si="2460"/>
        <v>11</v>
      </c>
      <c r="G1195" s="322" t="s">
        <v>93</v>
      </c>
      <c r="H1195" s="322" t="s">
        <v>166</v>
      </c>
      <c r="J1195" s="322" t="s">
        <v>77</v>
      </c>
      <c r="K1195" s="322" t="s">
        <v>176</v>
      </c>
      <c r="L1195" s="322" t="s">
        <v>83</v>
      </c>
      <c r="M1195" s="1" t="s">
        <v>1981</v>
      </c>
      <c r="N1195" s="322" t="s">
        <v>124</v>
      </c>
      <c r="O1195" s="322" t="s">
        <v>164</v>
      </c>
      <c r="P1195" s="64" t="s">
        <v>1982</v>
      </c>
      <c r="R1195" s="64" t="s">
        <v>1983</v>
      </c>
      <c r="Y1195" s="322" t="str">
        <f t="shared" si="2423"/>
        <v>Unknown</v>
      </c>
      <c r="Z1195" s="11" t="str">
        <f t="shared" si="2424"/>
        <v/>
      </c>
      <c r="AA1195" s="322" t="str">
        <f t="shared" si="2425"/>
        <v/>
      </c>
      <c r="AB1195" s="322" t="str">
        <f t="shared" si="2426"/>
        <v/>
      </c>
    </row>
    <row r="1196" spans="2:28" x14ac:dyDescent="0.25">
      <c r="B1196" s="65">
        <v>41962</v>
      </c>
      <c r="C1196" s="66">
        <v>41962</v>
      </c>
      <c r="D1196" s="68">
        <f t="shared" ref="D1196:D1197" si="2461">IF(B1196&gt;0,MONTH(B1196),"False")</f>
        <v>11</v>
      </c>
      <c r="E1196" s="66" t="str">
        <f t="shared" ref="E1196:E1197" si="2462">YEAR(B1196) &amp; CHOOSE(D1196,"-Jan","-Feb","-Mar","-Apr","-May","-Jun","-Jul","-Aug","-Sep","-Oct","-Nov","-Dec")</f>
        <v>2014-Nov</v>
      </c>
      <c r="F1196" s="68">
        <f t="shared" ref="F1196:F1197" si="2463">IF(C1196&gt;0,MONTH(C1196),"False")</f>
        <v>11</v>
      </c>
      <c r="G1196" s="325" t="s">
        <v>121</v>
      </c>
      <c r="H1196" s="323" t="s">
        <v>136</v>
      </c>
      <c r="J1196" s="323" t="s">
        <v>77</v>
      </c>
      <c r="K1196" s="323" t="s">
        <v>82</v>
      </c>
      <c r="L1196" s="323" t="s">
        <v>79</v>
      </c>
      <c r="M1196" s="1" t="s">
        <v>1984</v>
      </c>
      <c r="N1196" s="323" t="s">
        <v>124</v>
      </c>
      <c r="O1196" s="323" t="s">
        <v>114</v>
      </c>
      <c r="P1196" s="64" t="s">
        <v>750</v>
      </c>
      <c r="R1196" s="64" t="s">
        <v>1513</v>
      </c>
      <c r="S1196" s="325" t="s">
        <v>104</v>
      </c>
      <c r="X1196" s="325" t="s">
        <v>159</v>
      </c>
      <c r="Y1196" s="322" t="str">
        <f t="shared" si="2423"/>
        <v>Pass</v>
      </c>
      <c r="Z1196" s="11" t="str">
        <f t="shared" si="2424"/>
        <v/>
      </c>
      <c r="AA1196" s="322" t="str">
        <f t="shared" si="2425"/>
        <v/>
      </c>
      <c r="AB1196" s="322" t="str">
        <f t="shared" si="2426"/>
        <v/>
      </c>
    </row>
    <row r="1197" spans="2:28" x14ac:dyDescent="0.25">
      <c r="B1197" s="66">
        <v>41962</v>
      </c>
      <c r="C1197" s="66">
        <v>41962</v>
      </c>
      <c r="D1197" s="68">
        <f t="shared" si="2461"/>
        <v>11</v>
      </c>
      <c r="E1197" s="66" t="str">
        <f t="shared" si="2462"/>
        <v>2014-Nov</v>
      </c>
      <c r="F1197" s="68">
        <f t="shared" si="2463"/>
        <v>11</v>
      </c>
      <c r="G1197" s="323" t="s">
        <v>87</v>
      </c>
      <c r="H1197" s="323" t="s">
        <v>115</v>
      </c>
      <c r="I1197" s="323"/>
      <c r="J1197" s="323" t="s">
        <v>77</v>
      </c>
      <c r="K1197" s="323" t="s">
        <v>82</v>
      </c>
      <c r="L1197" s="323" t="s">
        <v>79</v>
      </c>
      <c r="M1197" s="323" t="s">
        <v>1985</v>
      </c>
      <c r="N1197" s="323" t="s">
        <v>124</v>
      </c>
      <c r="O1197" s="323" t="s">
        <v>353</v>
      </c>
      <c r="P1197" s="323"/>
      <c r="R1197" s="64" t="s">
        <v>1979</v>
      </c>
      <c r="Y1197" s="322" t="str">
        <f t="shared" si="2423"/>
        <v>Unknown</v>
      </c>
      <c r="Z1197" s="11" t="str">
        <f t="shared" si="2424"/>
        <v/>
      </c>
      <c r="AA1197" s="322" t="str">
        <f t="shared" si="2425"/>
        <v/>
      </c>
      <c r="AB1197" s="322" t="str">
        <f t="shared" si="2426"/>
        <v/>
      </c>
    </row>
    <row r="1198" spans="2:28" x14ac:dyDescent="0.25">
      <c r="B1198" s="65">
        <v>41962</v>
      </c>
      <c r="C1198" s="66">
        <v>41962</v>
      </c>
      <c r="D1198" s="68">
        <f t="shared" ref="D1198" si="2464">IF(B1198&gt;0,MONTH(B1198),"False")</f>
        <v>11</v>
      </c>
      <c r="E1198" s="66" t="str">
        <f t="shared" ref="E1198" si="2465">YEAR(B1198) &amp; CHOOSE(D1198,"-Jan","-Feb","-Mar","-Apr","-May","-Jun","-Jul","-Aug","-Sep","-Oct","-Nov","-Dec")</f>
        <v>2014-Nov</v>
      </c>
      <c r="F1198" s="68">
        <f t="shared" ref="F1198" si="2466">IF(C1198&gt;0,MONTH(C1198),"False")</f>
        <v>11</v>
      </c>
      <c r="G1198" s="323" t="s">
        <v>93</v>
      </c>
      <c r="H1198" s="323" t="s">
        <v>316</v>
      </c>
      <c r="J1198" s="323" t="s">
        <v>77</v>
      </c>
      <c r="K1198" s="323" t="s">
        <v>82</v>
      </c>
      <c r="L1198" s="323" t="s">
        <v>79</v>
      </c>
      <c r="M1198" s="1" t="s">
        <v>1986</v>
      </c>
      <c r="N1198" s="323" t="s">
        <v>124</v>
      </c>
      <c r="O1198" s="323" t="s">
        <v>1987</v>
      </c>
      <c r="P1198" s="64" t="s">
        <v>340</v>
      </c>
      <c r="Q1198" s="2" t="s">
        <v>88</v>
      </c>
      <c r="R1198" s="64" t="s">
        <v>705</v>
      </c>
      <c r="Y1198" s="322" t="str">
        <f t="shared" si="2423"/>
        <v>Obsolete</v>
      </c>
      <c r="Z1198" s="11">
        <f t="shared" si="2424"/>
        <v>41962</v>
      </c>
      <c r="AA1198" s="322" t="str">
        <f t="shared" si="2425"/>
        <v>2014 - 47</v>
      </c>
      <c r="AB1198" s="322">
        <f t="shared" si="2426"/>
        <v>2014</v>
      </c>
    </row>
    <row r="1199" spans="2:28" x14ac:dyDescent="0.25">
      <c r="B1199" s="65">
        <v>41962</v>
      </c>
      <c r="C1199" s="66">
        <v>41962</v>
      </c>
      <c r="D1199" s="68">
        <f t="shared" ref="D1199" si="2467">IF(B1199&gt;0,MONTH(B1199),"False")</f>
        <v>11</v>
      </c>
      <c r="E1199" s="66" t="str">
        <f t="shared" ref="E1199" si="2468">YEAR(B1199) &amp; CHOOSE(D1199,"-Jan","-Feb","-Mar","-Apr","-May","-Jun","-Jul","-Aug","-Sep","-Oct","-Nov","-Dec")</f>
        <v>2014-Nov</v>
      </c>
      <c r="F1199" s="68">
        <f t="shared" ref="F1199" si="2469">IF(C1199&gt;0,MONTH(C1199),"False")</f>
        <v>11</v>
      </c>
      <c r="G1199" s="328" t="s">
        <v>121</v>
      </c>
      <c r="H1199" s="323" t="s">
        <v>316</v>
      </c>
      <c r="I1199" s="323"/>
      <c r="J1199" s="323" t="s">
        <v>77</v>
      </c>
      <c r="K1199" s="323" t="s">
        <v>82</v>
      </c>
      <c r="L1199" s="323" t="s">
        <v>79</v>
      </c>
      <c r="M1199" s="323" t="s">
        <v>1988</v>
      </c>
      <c r="N1199" s="323" t="s">
        <v>124</v>
      </c>
      <c r="O1199" s="323" t="s">
        <v>1987</v>
      </c>
      <c r="P1199" s="64" t="s">
        <v>340</v>
      </c>
      <c r="R1199" s="64" t="s">
        <v>705</v>
      </c>
      <c r="S1199" s="328" t="s">
        <v>104</v>
      </c>
      <c r="T1199" s="67" t="s">
        <v>110</v>
      </c>
      <c r="X1199" s="328" t="s">
        <v>300</v>
      </c>
      <c r="Y1199" s="322" t="str">
        <f t="shared" si="2423"/>
        <v>Pass</v>
      </c>
      <c r="Z1199" s="11" t="str">
        <f t="shared" si="2424"/>
        <v/>
      </c>
      <c r="AA1199" s="322" t="str">
        <f t="shared" si="2425"/>
        <v/>
      </c>
      <c r="AB1199" s="322" t="str">
        <f t="shared" si="2426"/>
        <v/>
      </c>
    </row>
    <row r="1200" spans="2:28" x14ac:dyDescent="0.25">
      <c r="B1200" s="65">
        <v>41963</v>
      </c>
      <c r="C1200" s="66">
        <v>41963</v>
      </c>
      <c r="D1200" s="68">
        <f t="shared" ref="D1200" si="2470">IF(B1200&gt;0,MONTH(B1200),"False")</f>
        <v>11</v>
      </c>
      <c r="E1200" s="66" t="str">
        <f t="shared" ref="E1200" si="2471">YEAR(B1200) &amp; CHOOSE(D1200,"-Jan","-Feb","-Mar","-Apr","-May","-Jun","-Jul","-Aug","-Sep","-Oct","-Nov","-Dec")</f>
        <v>2014-Nov</v>
      </c>
      <c r="F1200" s="68">
        <f t="shared" ref="F1200" si="2472">IF(C1200&gt;0,MONTH(C1200),"False")</f>
        <v>11</v>
      </c>
      <c r="G1200" s="333" t="s">
        <v>121</v>
      </c>
      <c r="H1200" s="324" t="s">
        <v>280</v>
      </c>
      <c r="J1200" s="324" t="s">
        <v>81</v>
      </c>
      <c r="K1200" s="324" t="s">
        <v>82</v>
      </c>
      <c r="L1200" s="324" t="s">
        <v>79</v>
      </c>
      <c r="M1200" s="1" t="s">
        <v>1989</v>
      </c>
      <c r="N1200" s="324" t="s">
        <v>124</v>
      </c>
      <c r="O1200" s="324" t="s">
        <v>286</v>
      </c>
      <c r="P1200" s="64" t="s">
        <v>305</v>
      </c>
      <c r="R1200" s="64" t="s">
        <v>1559</v>
      </c>
      <c r="S1200" s="333" t="s">
        <v>104</v>
      </c>
      <c r="X1200" s="333" t="s">
        <v>652</v>
      </c>
      <c r="Y1200" s="322" t="str">
        <f t="shared" si="2423"/>
        <v>Pass</v>
      </c>
      <c r="Z1200" s="11" t="str">
        <f t="shared" si="2424"/>
        <v/>
      </c>
      <c r="AA1200" s="322" t="str">
        <f t="shared" si="2425"/>
        <v/>
      </c>
      <c r="AB1200" s="322" t="str">
        <f t="shared" si="2426"/>
        <v/>
      </c>
    </row>
    <row r="1201" spans="2:28" s="324" customFormat="1" x14ac:dyDescent="0.25">
      <c r="B1201" s="65">
        <v>41963</v>
      </c>
      <c r="C1201" s="66">
        <v>41963</v>
      </c>
      <c r="D1201" s="68">
        <f t="shared" ref="D1201:D1202" si="2473">IF(B1201&gt;0,MONTH(B1201),"False")</f>
        <v>11</v>
      </c>
      <c r="E1201" s="66" t="str">
        <f t="shared" ref="E1201:E1202" si="2474">YEAR(B1201) &amp; CHOOSE(D1201,"-Jan","-Feb","-Mar","-Apr","-May","-Jun","-Jul","-Aug","-Sep","-Oct","-Nov","-Dec")</f>
        <v>2014-Nov</v>
      </c>
      <c r="F1201" s="68">
        <f t="shared" ref="F1201:F1202" si="2475">IF(C1201&gt;0,MONTH(C1201),"False")</f>
        <v>11</v>
      </c>
      <c r="G1201" s="416" t="s">
        <v>105</v>
      </c>
      <c r="H1201" s="324" t="s">
        <v>280</v>
      </c>
      <c r="J1201" s="324" t="s">
        <v>81</v>
      </c>
      <c r="K1201" s="324" t="s">
        <v>82</v>
      </c>
      <c r="L1201" s="324" t="s">
        <v>79</v>
      </c>
      <c r="M1201" s="324" t="s">
        <v>1990</v>
      </c>
      <c r="N1201" s="324" t="s">
        <v>124</v>
      </c>
      <c r="O1201" s="324" t="s">
        <v>286</v>
      </c>
      <c r="P1201" s="64" t="s">
        <v>305</v>
      </c>
      <c r="Q1201" s="2"/>
      <c r="R1201" s="64" t="s">
        <v>1559</v>
      </c>
      <c r="S1201" s="416" t="s">
        <v>104</v>
      </c>
      <c r="T1201" s="67"/>
      <c r="X1201" s="416" t="s">
        <v>544</v>
      </c>
      <c r="Y1201" s="324" t="str">
        <f t="shared" ref="Y1201" si="2476">IF(Q1201&gt;0,"Obsolete",IF(S1201&gt;0,S1201,"Unknown"))</f>
        <v>Pass</v>
      </c>
      <c r="Z1201" s="11" t="str">
        <f t="shared" ref="Z1201" si="2477">IF(Q1201="Obsolete-LQA",C1201,IF(Q1201="Obsolete-IT",B1201,""))</f>
        <v/>
      </c>
      <c r="AA1201" s="324" t="str">
        <f t="shared" ref="AA1201" si="2478">IFERROR(YEAR(Z1201)&amp;" - "&amp; IF(LEN( WEEKNUM(Z1201))=1,"0" &amp; WEEKNUM(Z1201),WEEKNUM(Z1201)),"")</f>
        <v/>
      </c>
      <c r="AB1201" s="324" t="str">
        <f t="shared" ref="AB1201" si="2479">IFERROR(YEAR(Z1201),"")</f>
        <v/>
      </c>
    </row>
    <row r="1202" spans="2:28" x14ac:dyDescent="0.25">
      <c r="B1202" s="66">
        <v>41963</v>
      </c>
      <c r="C1202" s="66">
        <v>41963</v>
      </c>
      <c r="D1202" s="68">
        <f t="shared" si="2473"/>
        <v>11</v>
      </c>
      <c r="E1202" s="66" t="str">
        <f t="shared" si="2474"/>
        <v>2014-Nov</v>
      </c>
      <c r="F1202" s="68">
        <f t="shared" si="2475"/>
        <v>11</v>
      </c>
      <c r="G1202" s="345" t="s">
        <v>112</v>
      </c>
      <c r="H1202" s="324" t="s">
        <v>280</v>
      </c>
      <c r="J1202" s="324" t="s">
        <v>78</v>
      </c>
      <c r="K1202" s="324" t="s">
        <v>78</v>
      </c>
      <c r="L1202" s="324" t="s">
        <v>79</v>
      </c>
      <c r="M1202" s="1" t="s">
        <v>1991</v>
      </c>
      <c r="N1202" s="324" t="s">
        <v>124</v>
      </c>
      <c r="O1202" s="324" t="s">
        <v>304</v>
      </c>
      <c r="R1202" s="64" t="s">
        <v>344</v>
      </c>
      <c r="S1202" s="345" t="s">
        <v>104</v>
      </c>
      <c r="X1202" s="345" t="s">
        <v>544</v>
      </c>
      <c r="Y1202" s="322" t="str">
        <f t="shared" si="2423"/>
        <v>Pass</v>
      </c>
      <c r="Z1202" s="11" t="str">
        <f t="shared" si="2424"/>
        <v/>
      </c>
      <c r="AA1202" s="322" t="str">
        <f t="shared" si="2425"/>
        <v/>
      </c>
      <c r="AB1202" s="322" t="str">
        <f t="shared" si="2426"/>
        <v/>
      </c>
    </row>
    <row r="1203" spans="2:28" x14ac:dyDescent="0.25">
      <c r="B1203" s="65">
        <v>41963</v>
      </c>
      <c r="C1203" s="66">
        <v>41963</v>
      </c>
      <c r="D1203" s="68">
        <f t="shared" ref="D1203" si="2480">IF(B1203&gt;0,MONTH(B1203),"False")</f>
        <v>11</v>
      </c>
      <c r="E1203" s="66" t="str">
        <f t="shared" ref="E1203" si="2481">YEAR(B1203) &amp; CHOOSE(D1203,"-Jan","-Feb","-Mar","-Apr","-May","-Jun","-Jul","-Aug","-Sep","-Oct","-Nov","-Dec")</f>
        <v>2014-Nov</v>
      </c>
      <c r="F1203" s="68">
        <f t="shared" ref="F1203" si="2482">IF(C1203&gt;0,MONTH(C1203),"False")</f>
        <v>11</v>
      </c>
      <c r="G1203" s="324" t="s">
        <v>93</v>
      </c>
      <c r="H1203" s="324" t="s">
        <v>280</v>
      </c>
      <c r="J1203" s="324" t="s">
        <v>77</v>
      </c>
      <c r="K1203" s="324" t="s">
        <v>82</v>
      </c>
      <c r="L1203" s="324" t="s">
        <v>79</v>
      </c>
      <c r="M1203" s="1" t="s">
        <v>1992</v>
      </c>
      <c r="N1203" s="324" t="s">
        <v>124</v>
      </c>
      <c r="O1203" s="324" t="s">
        <v>116</v>
      </c>
      <c r="P1203" s="64" t="s">
        <v>305</v>
      </c>
      <c r="R1203" s="64" t="s">
        <v>1559</v>
      </c>
      <c r="S1203" s="345" t="s">
        <v>104</v>
      </c>
      <c r="X1203" s="345" t="s">
        <v>544</v>
      </c>
      <c r="Y1203" s="322" t="str">
        <f t="shared" si="2423"/>
        <v>Pass</v>
      </c>
      <c r="Z1203" s="11" t="str">
        <f t="shared" si="2424"/>
        <v/>
      </c>
      <c r="AA1203" s="322" t="str">
        <f t="shared" si="2425"/>
        <v/>
      </c>
      <c r="AB1203" s="322" t="str">
        <f t="shared" si="2426"/>
        <v/>
      </c>
    </row>
    <row r="1204" spans="2:28" x14ac:dyDescent="0.25">
      <c r="B1204" s="65">
        <v>41963</v>
      </c>
      <c r="C1204" s="66">
        <v>41963</v>
      </c>
      <c r="D1204" s="68">
        <f t="shared" ref="D1204" si="2483">IF(B1204&gt;0,MONTH(B1204),"False")</f>
        <v>11</v>
      </c>
      <c r="E1204" s="66" t="str">
        <f t="shared" ref="E1204" si="2484">YEAR(B1204) &amp; CHOOSE(D1204,"-Jan","-Feb","-Mar","-Apr","-May","-Jun","-Jul","-Aug","-Sep","-Oct","-Nov","-Dec")</f>
        <v>2014-Nov</v>
      </c>
      <c r="F1204" s="68">
        <f t="shared" ref="F1204" si="2485">IF(C1204&gt;0,MONTH(C1204),"False")</f>
        <v>11</v>
      </c>
      <c r="G1204" s="324" t="s">
        <v>93</v>
      </c>
      <c r="H1204" s="324" t="s">
        <v>166</v>
      </c>
      <c r="J1204" s="324" t="s">
        <v>98</v>
      </c>
      <c r="K1204" s="324" t="s">
        <v>82</v>
      </c>
      <c r="L1204" s="324" t="s">
        <v>79</v>
      </c>
      <c r="M1204" s="1" t="s">
        <v>1993</v>
      </c>
      <c r="N1204" s="324" t="s">
        <v>124</v>
      </c>
      <c r="O1204" s="324" t="s">
        <v>285</v>
      </c>
      <c r="P1204" s="64" t="s">
        <v>336</v>
      </c>
      <c r="R1204" s="64" t="s">
        <v>1311</v>
      </c>
      <c r="S1204" s="345" t="s">
        <v>104</v>
      </c>
      <c r="X1204" s="345" t="s">
        <v>544</v>
      </c>
      <c r="Y1204" s="322" t="str">
        <f t="shared" si="2423"/>
        <v>Pass</v>
      </c>
      <c r="Z1204" s="11" t="str">
        <f t="shared" si="2424"/>
        <v/>
      </c>
      <c r="AA1204" s="322" t="str">
        <f t="shared" si="2425"/>
        <v/>
      </c>
      <c r="AB1204" s="322" t="str">
        <f t="shared" si="2426"/>
        <v/>
      </c>
    </row>
    <row r="1205" spans="2:28" x14ac:dyDescent="0.25">
      <c r="B1205" s="65">
        <v>41963</v>
      </c>
      <c r="C1205" s="66">
        <v>41963</v>
      </c>
      <c r="D1205" s="68">
        <f t="shared" ref="D1205:D1206" si="2486">IF(B1205&gt;0,MONTH(B1205),"False")</f>
        <v>11</v>
      </c>
      <c r="E1205" s="66" t="str">
        <f t="shared" ref="E1205:E1206" si="2487">YEAR(B1205) &amp; CHOOSE(D1205,"-Jan","-Feb","-Mar","-Apr","-May","-Jun","-Jul","-Aug","-Sep","-Oct","-Nov","-Dec")</f>
        <v>2014-Nov</v>
      </c>
      <c r="F1205" s="68">
        <f t="shared" ref="F1205:F1206" si="2488">IF(C1205&gt;0,MONTH(C1205),"False")</f>
        <v>11</v>
      </c>
      <c r="G1205" s="324" t="s">
        <v>93</v>
      </c>
      <c r="H1205" s="324" t="s">
        <v>280</v>
      </c>
      <c r="J1205" s="324" t="s">
        <v>77</v>
      </c>
      <c r="K1205" s="324" t="s">
        <v>176</v>
      </c>
      <c r="L1205" s="324" t="s">
        <v>83</v>
      </c>
      <c r="M1205" s="1" t="s">
        <v>1994</v>
      </c>
      <c r="N1205" s="324" t="s">
        <v>124</v>
      </c>
      <c r="O1205" s="324" t="s">
        <v>164</v>
      </c>
      <c r="P1205" s="64" t="s">
        <v>1995</v>
      </c>
      <c r="R1205" s="64" t="s">
        <v>1996</v>
      </c>
      <c r="S1205" s="345" t="s">
        <v>104</v>
      </c>
      <c r="X1205" s="345" t="s">
        <v>544</v>
      </c>
      <c r="Y1205" s="322" t="str">
        <f t="shared" si="2423"/>
        <v>Pass</v>
      </c>
      <c r="Z1205" s="11" t="str">
        <f t="shared" si="2424"/>
        <v/>
      </c>
      <c r="AA1205" s="322" t="str">
        <f t="shared" si="2425"/>
        <v/>
      </c>
      <c r="AB1205" s="322" t="str">
        <f t="shared" si="2426"/>
        <v/>
      </c>
    </row>
    <row r="1206" spans="2:28" x14ac:dyDescent="0.25">
      <c r="B1206" s="66">
        <v>41963</v>
      </c>
      <c r="C1206" s="66">
        <v>41963</v>
      </c>
      <c r="D1206" s="68">
        <f t="shared" si="2486"/>
        <v>11</v>
      </c>
      <c r="E1206" s="66" t="str">
        <f t="shared" si="2487"/>
        <v>2014-Nov</v>
      </c>
      <c r="F1206" s="68">
        <f t="shared" si="2488"/>
        <v>11</v>
      </c>
      <c r="G1206" s="329" t="s">
        <v>112</v>
      </c>
      <c r="H1206" s="324" t="s">
        <v>103</v>
      </c>
      <c r="J1206" s="324" t="s">
        <v>149</v>
      </c>
      <c r="K1206" s="324" t="s">
        <v>84</v>
      </c>
      <c r="L1206" s="324" t="s">
        <v>79</v>
      </c>
      <c r="M1206" s="1" t="s">
        <v>1997</v>
      </c>
      <c r="N1206" s="324" t="s">
        <v>124</v>
      </c>
      <c r="O1206" s="324" t="s">
        <v>264</v>
      </c>
      <c r="R1206" s="64" t="s">
        <v>357</v>
      </c>
      <c r="S1206" s="329" t="s">
        <v>104</v>
      </c>
      <c r="X1206" s="329" t="s">
        <v>300</v>
      </c>
      <c r="Y1206" s="322" t="str">
        <f t="shared" si="2423"/>
        <v>Pass</v>
      </c>
      <c r="Z1206" s="11" t="str">
        <f t="shared" si="2424"/>
        <v/>
      </c>
      <c r="AA1206" s="322" t="str">
        <f t="shared" si="2425"/>
        <v/>
      </c>
      <c r="AB1206" s="322" t="str">
        <f t="shared" si="2426"/>
        <v/>
      </c>
    </row>
    <row r="1207" spans="2:28" x14ac:dyDescent="0.25">
      <c r="B1207" s="66">
        <v>41963</v>
      </c>
      <c r="C1207" s="66">
        <v>41963</v>
      </c>
      <c r="D1207" s="68">
        <f t="shared" ref="D1207" si="2489">IF(B1207&gt;0,MONTH(B1207),"False")</f>
        <v>11</v>
      </c>
      <c r="E1207" s="66" t="str">
        <f t="shared" ref="E1207" si="2490">YEAR(B1207) &amp; CHOOSE(D1207,"-Jan","-Feb","-Mar","-Apr","-May","-Jun","-Jul","-Aug","-Sep","-Oct","-Nov","-Dec")</f>
        <v>2014-Nov</v>
      </c>
      <c r="F1207" s="68">
        <f t="shared" ref="F1207" si="2491">IF(C1207&gt;0,MONTH(C1207),"False")</f>
        <v>11</v>
      </c>
      <c r="G1207" s="324" t="s">
        <v>87</v>
      </c>
      <c r="H1207" s="324" t="s">
        <v>166</v>
      </c>
      <c r="J1207" s="324" t="s">
        <v>98</v>
      </c>
      <c r="K1207" s="324" t="s">
        <v>84</v>
      </c>
      <c r="L1207" s="324" t="s">
        <v>83</v>
      </c>
      <c r="M1207" s="1" t="s">
        <v>1998</v>
      </c>
      <c r="N1207" s="324" t="s">
        <v>124</v>
      </c>
      <c r="O1207" s="324" t="s">
        <v>156</v>
      </c>
      <c r="R1207" s="64" t="s">
        <v>1353</v>
      </c>
      <c r="Y1207" s="322" t="str">
        <f t="shared" si="2423"/>
        <v>Unknown</v>
      </c>
      <c r="Z1207" s="11" t="str">
        <f t="shared" si="2424"/>
        <v/>
      </c>
      <c r="AA1207" s="322" t="str">
        <f t="shared" si="2425"/>
        <v/>
      </c>
      <c r="AB1207" s="322" t="str">
        <f t="shared" si="2426"/>
        <v/>
      </c>
    </row>
    <row r="1208" spans="2:28" x14ac:dyDescent="0.25">
      <c r="B1208" s="66">
        <v>41964</v>
      </c>
      <c r="C1208" s="66">
        <v>41964</v>
      </c>
      <c r="D1208" s="68">
        <f t="shared" ref="D1208" si="2492">IF(B1208&gt;0,MONTH(B1208),"False")</f>
        <v>11</v>
      </c>
      <c r="E1208" s="66" t="str">
        <f t="shared" ref="E1208" si="2493">YEAR(B1208) &amp; CHOOSE(D1208,"-Jan","-Feb","-Mar","-Apr","-May","-Jun","-Jul","-Aug","-Sep","-Oct","-Nov","-Dec")</f>
        <v>2014-Nov</v>
      </c>
      <c r="F1208" s="68">
        <f t="shared" ref="F1208" si="2494">IF(C1208&gt;0,MONTH(C1208),"False")</f>
        <v>11</v>
      </c>
      <c r="G1208" s="325" t="s">
        <v>87</v>
      </c>
      <c r="H1208" s="325" t="s">
        <v>1685</v>
      </c>
      <c r="J1208" s="325" t="s">
        <v>260</v>
      </c>
      <c r="K1208" s="325" t="s">
        <v>84</v>
      </c>
      <c r="L1208" s="325" t="s">
        <v>83</v>
      </c>
      <c r="M1208" s="1" t="s">
        <v>1999</v>
      </c>
      <c r="N1208" s="325" t="s">
        <v>124</v>
      </c>
      <c r="O1208" s="325" t="s">
        <v>148</v>
      </c>
      <c r="R1208" s="64" t="s">
        <v>2000</v>
      </c>
      <c r="S1208" s="1" t="s">
        <v>104</v>
      </c>
      <c r="Y1208" s="322" t="str">
        <f t="shared" si="2423"/>
        <v>Pass</v>
      </c>
      <c r="Z1208" s="11" t="str">
        <f t="shared" si="2424"/>
        <v/>
      </c>
      <c r="AA1208" s="322" t="str">
        <f t="shared" si="2425"/>
        <v/>
      </c>
      <c r="AB1208" s="322" t="str">
        <f t="shared" si="2426"/>
        <v/>
      </c>
    </row>
    <row r="1209" spans="2:28" x14ac:dyDescent="0.25">
      <c r="B1209" s="66">
        <v>41964</v>
      </c>
      <c r="C1209" s="66">
        <v>41964</v>
      </c>
      <c r="D1209" s="68">
        <f t="shared" ref="D1209" si="2495">IF(B1209&gt;0,MONTH(B1209),"False")</f>
        <v>11</v>
      </c>
      <c r="E1209" s="66" t="str">
        <f t="shared" ref="E1209" si="2496">YEAR(B1209) &amp; CHOOSE(D1209,"-Jan","-Feb","-Mar","-Apr","-May","-Jun","-Jul","-Aug","-Sep","-Oct","-Nov","-Dec")</f>
        <v>2014-Nov</v>
      </c>
      <c r="F1209" s="68">
        <f t="shared" ref="F1209" si="2497">IF(C1209&gt;0,MONTH(C1209),"False")</f>
        <v>11</v>
      </c>
      <c r="G1209" s="325" t="s">
        <v>87</v>
      </c>
      <c r="H1209" s="325" t="s">
        <v>1685</v>
      </c>
      <c r="J1209" s="325" t="s">
        <v>149</v>
      </c>
      <c r="K1209" s="325" t="s">
        <v>84</v>
      </c>
      <c r="L1209" s="325" t="s">
        <v>83</v>
      </c>
      <c r="M1209" s="1" t="s">
        <v>2001</v>
      </c>
      <c r="N1209" s="325" t="s">
        <v>124</v>
      </c>
      <c r="O1209" s="325" t="s">
        <v>148</v>
      </c>
      <c r="R1209" s="64" t="s">
        <v>2000</v>
      </c>
      <c r="S1209" s="1" t="s">
        <v>104</v>
      </c>
      <c r="Y1209" s="322" t="str">
        <f t="shared" si="2423"/>
        <v>Pass</v>
      </c>
      <c r="Z1209" s="11" t="str">
        <f t="shared" si="2424"/>
        <v/>
      </c>
      <c r="AA1209" s="322" t="str">
        <f t="shared" si="2425"/>
        <v/>
      </c>
      <c r="AB1209" s="322" t="str">
        <f t="shared" si="2426"/>
        <v/>
      </c>
    </row>
    <row r="1210" spans="2:28" x14ac:dyDescent="0.25">
      <c r="B1210" s="66">
        <v>41964</v>
      </c>
      <c r="C1210" s="66">
        <v>41964</v>
      </c>
      <c r="D1210" s="68">
        <f t="shared" ref="D1210" si="2498">IF(B1210&gt;0,MONTH(B1210),"False")</f>
        <v>11</v>
      </c>
      <c r="E1210" s="66" t="str">
        <f t="shared" ref="E1210" si="2499">YEAR(B1210) &amp; CHOOSE(D1210,"-Jan","-Feb","-Mar","-Apr","-May","-Jun","-Jul","-Aug","-Sep","-Oct","-Nov","-Dec")</f>
        <v>2014-Nov</v>
      </c>
      <c r="F1210" s="68">
        <f t="shared" ref="F1210" si="2500">IF(C1210&gt;0,MONTH(C1210),"False")</f>
        <v>11</v>
      </c>
      <c r="G1210" s="325" t="s">
        <v>112</v>
      </c>
      <c r="H1210" s="325" t="s">
        <v>1745</v>
      </c>
      <c r="J1210" s="325" t="s">
        <v>78</v>
      </c>
      <c r="K1210" s="325" t="s">
        <v>78</v>
      </c>
      <c r="L1210" s="325" t="s">
        <v>79</v>
      </c>
      <c r="M1210" s="1" t="s">
        <v>2002</v>
      </c>
      <c r="N1210" s="325" t="s">
        <v>124</v>
      </c>
      <c r="O1210" s="325" t="s">
        <v>167</v>
      </c>
      <c r="R1210" s="64" t="s">
        <v>1796</v>
      </c>
      <c r="S1210" s="1" t="s">
        <v>104</v>
      </c>
      <c r="X1210" s="1" t="s">
        <v>158</v>
      </c>
      <c r="Y1210" s="322" t="str">
        <f t="shared" si="2423"/>
        <v>Pass</v>
      </c>
      <c r="Z1210" s="11" t="str">
        <f t="shared" si="2424"/>
        <v/>
      </c>
      <c r="AA1210" s="322" t="str">
        <f t="shared" si="2425"/>
        <v/>
      </c>
      <c r="AB1210" s="322" t="str">
        <f t="shared" si="2426"/>
        <v/>
      </c>
    </row>
    <row r="1211" spans="2:28" x14ac:dyDescent="0.25">
      <c r="B1211" s="66">
        <v>41967</v>
      </c>
      <c r="C1211" s="66">
        <v>41967</v>
      </c>
      <c r="D1211" s="68">
        <f t="shared" ref="D1211" si="2501">IF(B1211&gt;0,MONTH(B1211),"False")</f>
        <v>11</v>
      </c>
      <c r="E1211" s="66" t="str">
        <f t="shared" ref="E1211" si="2502">YEAR(B1211) &amp; CHOOSE(D1211,"-Jan","-Feb","-Mar","-Apr","-May","-Jun","-Jul","-Aug","-Sep","-Oct","-Nov","-Dec")</f>
        <v>2014-Nov</v>
      </c>
      <c r="F1211" s="68">
        <f t="shared" ref="F1211" si="2503">IF(C1211&gt;0,MONTH(C1211),"False")</f>
        <v>11</v>
      </c>
      <c r="G1211" s="326" t="s">
        <v>112</v>
      </c>
      <c r="H1211" s="326" t="s">
        <v>1685</v>
      </c>
      <c r="J1211" s="326" t="s">
        <v>77</v>
      </c>
      <c r="K1211" s="326" t="s">
        <v>82</v>
      </c>
      <c r="L1211" s="326" t="s">
        <v>83</v>
      </c>
      <c r="M1211" s="1" t="s">
        <v>2003</v>
      </c>
      <c r="N1211" s="326" t="s">
        <v>124</v>
      </c>
      <c r="O1211" s="326" t="s">
        <v>91</v>
      </c>
      <c r="R1211" s="64" t="s">
        <v>2004</v>
      </c>
      <c r="S1211" s="1" t="s">
        <v>104</v>
      </c>
      <c r="T1211" s="67" t="s">
        <v>110</v>
      </c>
      <c r="X1211" s="1" t="s">
        <v>300</v>
      </c>
      <c r="Y1211" s="322" t="str">
        <f t="shared" si="2423"/>
        <v>Pass</v>
      </c>
      <c r="Z1211" s="11" t="str">
        <f t="shared" si="2424"/>
        <v/>
      </c>
      <c r="AA1211" s="322" t="str">
        <f t="shared" si="2425"/>
        <v/>
      </c>
      <c r="AB1211" s="322" t="str">
        <f t="shared" si="2426"/>
        <v/>
      </c>
    </row>
    <row r="1212" spans="2:28" x14ac:dyDescent="0.25">
      <c r="B1212" s="66">
        <v>41967</v>
      </c>
      <c r="C1212" s="66">
        <v>41967</v>
      </c>
      <c r="D1212" s="68">
        <f t="shared" ref="D1212" si="2504">IF(B1212&gt;0,MONTH(B1212),"False")</f>
        <v>11</v>
      </c>
      <c r="E1212" s="66" t="str">
        <f t="shared" ref="E1212" si="2505">YEAR(B1212) &amp; CHOOSE(D1212,"-Jan","-Feb","-Mar","-Apr","-May","-Jun","-Jul","-Aug","-Sep","-Oct","-Nov","-Dec")</f>
        <v>2014-Nov</v>
      </c>
      <c r="F1212" s="68">
        <f t="shared" ref="F1212" si="2506">IF(C1212&gt;0,MONTH(C1212),"False")</f>
        <v>11</v>
      </c>
      <c r="G1212" s="326" t="s">
        <v>112</v>
      </c>
      <c r="H1212" s="326" t="s">
        <v>1685</v>
      </c>
      <c r="J1212" s="326" t="s">
        <v>150</v>
      </c>
      <c r="K1212" s="326" t="s">
        <v>84</v>
      </c>
      <c r="L1212" s="326" t="s">
        <v>83</v>
      </c>
      <c r="M1212" s="1" t="s">
        <v>2005</v>
      </c>
      <c r="N1212" s="326" t="s">
        <v>124</v>
      </c>
      <c r="O1212" s="326" t="s">
        <v>148</v>
      </c>
      <c r="R1212" s="64" t="s">
        <v>2000</v>
      </c>
      <c r="S1212" s="1" t="s">
        <v>104</v>
      </c>
      <c r="X1212" s="1" t="s">
        <v>300</v>
      </c>
      <c r="Y1212" s="322" t="str">
        <f t="shared" ref="Y1212:Y1245" si="2507">IF(Q1212&gt;0,"Obsolete",IF(S1212&gt;0,S1212,"Unknown"))</f>
        <v>Pass</v>
      </c>
      <c r="Z1212" s="11" t="str">
        <f t="shared" ref="Z1212:Z1245" si="2508">IF(Q1212="Obsolete-LQA",C1212,IF(Q1212="Obsolete-IT",B1212,""))</f>
        <v/>
      </c>
      <c r="AA1212" s="322" t="str">
        <f t="shared" ref="AA1212:AA1245" si="2509">IFERROR(YEAR(Z1212)&amp;" - "&amp; IF(LEN( WEEKNUM(Z1212))=1,"0" &amp; WEEKNUM(Z1212),WEEKNUM(Z1212)),"")</f>
        <v/>
      </c>
      <c r="AB1212" s="322" t="str">
        <f t="shared" ref="AB1212:AB1245" si="2510">IFERROR(YEAR(Z1212),"")</f>
        <v/>
      </c>
    </row>
    <row r="1213" spans="2:28" x14ac:dyDescent="0.25">
      <c r="B1213" s="66">
        <v>41967</v>
      </c>
      <c r="C1213" s="66">
        <v>41967</v>
      </c>
      <c r="D1213" s="68">
        <f t="shared" ref="D1213" si="2511">IF(B1213&gt;0,MONTH(B1213),"False")</f>
        <v>11</v>
      </c>
      <c r="E1213" s="66" t="str">
        <f t="shared" ref="E1213" si="2512">YEAR(B1213) &amp; CHOOSE(D1213,"-Jan","-Feb","-Mar","-Apr","-May","-Jun","-Jul","-Aug","-Sep","-Oct","-Nov","-Dec")</f>
        <v>2014-Nov</v>
      </c>
      <c r="F1213" s="68">
        <f t="shared" ref="F1213" si="2513">IF(C1213&gt;0,MONTH(C1213),"False")</f>
        <v>11</v>
      </c>
      <c r="G1213" s="326" t="s">
        <v>112</v>
      </c>
      <c r="H1213" s="326" t="s">
        <v>1685</v>
      </c>
      <c r="J1213" s="326" t="s">
        <v>149</v>
      </c>
      <c r="K1213" s="326" t="s">
        <v>84</v>
      </c>
      <c r="L1213" s="326" t="s">
        <v>83</v>
      </c>
      <c r="M1213" s="1" t="s">
        <v>2006</v>
      </c>
      <c r="N1213" s="326" t="s">
        <v>124</v>
      </c>
      <c r="O1213" s="326" t="s">
        <v>350</v>
      </c>
      <c r="R1213" s="64" t="s">
        <v>2000</v>
      </c>
      <c r="S1213" s="1" t="s">
        <v>104</v>
      </c>
      <c r="X1213" s="1" t="s">
        <v>300</v>
      </c>
      <c r="Y1213" s="322" t="str">
        <f t="shared" si="2507"/>
        <v>Pass</v>
      </c>
      <c r="Z1213" s="11" t="str">
        <f t="shared" si="2508"/>
        <v/>
      </c>
      <c r="AA1213" s="322" t="str">
        <f t="shared" si="2509"/>
        <v/>
      </c>
      <c r="AB1213" s="322" t="str">
        <f t="shared" si="2510"/>
        <v/>
      </c>
    </row>
    <row r="1214" spans="2:28" x14ac:dyDescent="0.25">
      <c r="B1214" s="66">
        <v>41967</v>
      </c>
      <c r="C1214" s="66">
        <v>41967</v>
      </c>
      <c r="D1214" s="68">
        <f t="shared" ref="D1214:D1215" si="2514">IF(B1214&gt;0,MONTH(B1214),"False")</f>
        <v>11</v>
      </c>
      <c r="E1214" s="66" t="str">
        <f t="shared" ref="E1214:E1215" si="2515">YEAR(B1214) &amp; CHOOSE(D1214,"-Jan","-Feb","-Mar","-Apr","-May","-Jun","-Jul","-Aug","-Sep","-Oct","-Nov","-Dec")</f>
        <v>2014-Nov</v>
      </c>
      <c r="F1214" s="68">
        <f t="shared" ref="F1214:F1215" si="2516">IF(C1214&gt;0,MONTH(C1214),"False")</f>
        <v>11</v>
      </c>
      <c r="G1214" s="326" t="s">
        <v>87</v>
      </c>
      <c r="H1214" s="326" t="s">
        <v>1685</v>
      </c>
      <c r="J1214" s="326" t="s">
        <v>146</v>
      </c>
      <c r="K1214" s="326" t="s">
        <v>82</v>
      </c>
      <c r="L1214" s="326" t="s">
        <v>83</v>
      </c>
      <c r="M1214" s="1" t="s">
        <v>2007</v>
      </c>
      <c r="N1214" s="326" t="s">
        <v>124</v>
      </c>
      <c r="O1214" s="326" t="s">
        <v>91</v>
      </c>
      <c r="R1214" s="64" t="s">
        <v>2004</v>
      </c>
      <c r="S1214" s="1" t="s">
        <v>104</v>
      </c>
      <c r="Y1214" s="322" t="str">
        <f t="shared" si="2507"/>
        <v>Pass</v>
      </c>
      <c r="Z1214" s="11" t="str">
        <f t="shared" si="2508"/>
        <v/>
      </c>
      <c r="AA1214" s="322" t="str">
        <f t="shared" si="2509"/>
        <v/>
      </c>
      <c r="AB1214" s="322" t="str">
        <f t="shared" si="2510"/>
        <v/>
      </c>
    </row>
    <row r="1215" spans="2:28" x14ac:dyDescent="0.25">
      <c r="B1215" s="65">
        <v>41967</v>
      </c>
      <c r="C1215" s="66">
        <v>41967</v>
      </c>
      <c r="D1215" s="68">
        <f t="shared" si="2514"/>
        <v>11</v>
      </c>
      <c r="E1215" s="66" t="str">
        <f t="shared" si="2515"/>
        <v>2014-Nov</v>
      </c>
      <c r="F1215" s="68">
        <f t="shared" si="2516"/>
        <v>11</v>
      </c>
      <c r="G1215" s="326" t="s">
        <v>93</v>
      </c>
      <c r="H1215" s="326" t="s">
        <v>1685</v>
      </c>
      <c r="J1215" s="326" t="s">
        <v>81</v>
      </c>
      <c r="K1215" s="326" t="s">
        <v>82</v>
      </c>
      <c r="L1215" s="326" t="s">
        <v>83</v>
      </c>
      <c r="M1215" s="1" t="s">
        <v>2008</v>
      </c>
      <c r="N1215" s="326" t="s">
        <v>124</v>
      </c>
      <c r="O1215" s="326" t="s">
        <v>91</v>
      </c>
      <c r="P1215" s="64" t="s">
        <v>2009</v>
      </c>
      <c r="R1215" s="64" t="s">
        <v>2004</v>
      </c>
      <c r="S1215" s="1" t="s">
        <v>104</v>
      </c>
      <c r="T1215" s="67" t="s">
        <v>110</v>
      </c>
      <c r="Y1215" s="322" t="str">
        <f t="shared" si="2507"/>
        <v>Pass</v>
      </c>
      <c r="Z1215" s="11" t="str">
        <f t="shared" si="2508"/>
        <v/>
      </c>
      <c r="AA1215" s="322" t="str">
        <f t="shared" si="2509"/>
        <v/>
      </c>
      <c r="AB1215" s="322" t="str">
        <f t="shared" si="2510"/>
        <v/>
      </c>
    </row>
    <row r="1216" spans="2:28" x14ac:dyDescent="0.25">
      <c r="B1216" s="65">
        <v>41967</v>
      </c>
      <c r="C1216" s="66">
        <v>41967</v>
      </c>
      <c r="D1216" s="68">
        <f t="shared" ref="D1216" si="2517">IF(B1216&gt;0,MONTH(B1216),"False")</f>
        <v>11</v>
      </c>
      <c r="E1216" s="66" t="str">
        <f t="shared" ref="E1216" si="2518">YEAR(B1216) &amp; CHOOSE(D1216,"-Jan","-Feb","-Mar","-Apr","-May","-Jun","-Jul","-Aug","-Sep","-Oct","-Nov","-Dec")</f>
        <v>2014-Nov</v>
      </c>
      <c r="F1216" s="68">
        <f t="shared" ref="F1216" si="2519">IF(C1216&gt;0,MONTH(C1216),"False")</f>
        <v>11</v>
      </c>
      <c r="G1216" s="326" t="s">
        <v>93</v>
      </c>
      <c r="H1216" s="326" t="s">
        <v>1685</v>
      </c>
      <c r="J1216" s="326" t="s">
        <v>98</v>
      </c>
      <c r="K1216" s="326" t="s">
        <v>82</v>
      </c>
      <c r="L1216" s="326" t="s">
        <v>83</v>
      </c>
      <c r="M1216" s="1" t="s">
        <v>2010</v>
      </c>
      <c r="N1216" s="326" t="s">
        <v>124</v>
      </c>
      <c r="O1216" s="326" t="s">
        <v>91</v>
      </c>
      <c r="P1216" s="64" t="s">
        <v>2009</v>
      </c>
      <c r="Q1216" s="2" t="s">
        <v>88</v>
      </c>
      <c r="R1216" s="64" t="s">
        <v>2004</v>
      </c>
      <c r="S1216" s="1" t="s">
        <v>104</v>
      </c>
      <c r="Y1216" s="322" t="str">
        <f t="shared" si="2507"/>
        <v>Obsolete</v>
      </c>
      <c r="Z1216" s="11">
        <f t="shared" si="2508"/>
        <v>41967</v>
      </c>
      <c r="AA1216" s="322" t="str">
        <f t="shared" si="2509"/>
        <v>2014 - 48</v>
      </c>
      <c r="AB1216" s="322">
        <f t="shared" si="2510"/>
        <v>2014</v>
      </c>
    </row>
    <row r="1217" spans="2:28" x14ac:dyDescent="0.25">
      <c r="B1217" s="65">
        <v>41967</v>
      </c>
      <c r="C1217" s="66">
        <v>41967</v>
      </c>
      <c r="D1217" s="68">
        <f t="shared" ref="D1217:D1218" si="2520">IF(B1217&gt;0,MONTH(B1217),"False")</f>
        <v>11</v>
      </c>
      <c r="E1217" s="66" t="str">
        <f t="shared" ref="E1217:E1218" si="2521">YEAR(B1217) &amp; CHOOSE(D1217,"-Jan","-Feb","-Mar","-Apr","-May","-Jun","-Jul","-Aug","-Sep","-Oct","-Nov","-Dec")</f>
        <v>2014-Nov</v>
      </c>
      <c r="F1217" s="68">
        <f t="shared" ref="F1217:F1218" si="2522">IF(C1217&gt;0,MONTH(C1217),"False")</f>
        <v>11</v>
      </c>
      <c r="G1217" s="366" t="s">
        <v>121</v>
      </c>
      <c r="H1217" s="326" t="s">
        <v>1685</v>
      </c>
      <c r="J1217" s="326" t="s">
        <v>77</v>
      </c>
      <c r="K1217" s="326" t="s">
        <v>82</v>
      </c>
      <c r="L1217" s="326" t="s">
        <v>83</v>
      </c>
      <c r="M1217" s="1" t="s">
        <v>2011</v>
      </c>
      <c r="N1217" s="326" t="s">
        <v>124</v>
      </c>
      <c r="O1217" s="326" t="s">
        <v>91</v>
      </c>
      <c r="P1217" s="64" t="s">
        <v>2009</v>
      </c>
      <c r="R1217" s="64" t="s">
        <v>2004</v>
      </c>
      <c r="S1217" s="366" t="s">
        <v>104</v>
      </c>
      <c r="X1217" s="366" t="s">
        <v>153</v>
      </c>
      <c r="Y1217" s="322" t="str">
        <f t="shared" si="2507"/>
        <v>Pass</v>
      </c>
      <c r="Z1217" s="11" t="str">
        <f t="shared" si="2508"/>
        <v/>
      </c>
      <c r="AA1217" s="322" t="str">
        <f t="shared" si="2509"/>
        <v/>
      </c>
      <c r="AB1217" s="322" t="str">
        <f t="shared" si="2510"/>
        <v/>
      </c>
    </row>
    <row r="1218" spans="2:28" x14ac:dyDescent="0.25">
      <c r="B1218" s="66">
        <v>41967</v>
      </c>
      <c r="C1218" s="66">
        <v>41967</v>
      </c>
      <c r="D1218" s="68">
        <f t="shared" si="2520"/>
        <v>11</v>
      </c>
      <c r="E1218" s="66" t="str">
        <f t="shared" si="2521"/>
        <v>2014-Nov</v>
      </c>
      <c r="F1218" s="68">
        <f t="shared" si="2522"/>
        <v>11</v>
      </c>
      <c r="G1218" s="326" t="s">
        <v>87</v>
      </c>
      <c r="H1218" s="326" t="s">
        <v>166</v>
      </c>
      <c r="J1218" s="326" t="s">
        <v>292</v>
      </c>
      <c r="K1218" s="326" t="s">
        <v>292</v>
      </c>
      <c r="L1218" s="326" t="s">
        <v>83</v>
      </c>
      <c r="M1218" s="1" t="s">
        <v>2012</v>
      </c>
      <c r="N1218" s="326" t="s">
        <v>124</v>
      </c>
      <c r="O1218" s="326" t="s">
        <v>156</v>
      </c>
      <c r="R1218" s="64" t="s">
        <v>2013</v>
      </c>
      <c r="Y1218" s="322" t="str">
        <f t="shared" si="2507"/>
        <v>Unknown</v>
      </c>
      <c r="Z1218" s="11" t="str">
        <f t="shared" si="2508"/>
        <v/>
      </c>
      <c r="AA1218" s="322" t="str">
        <f t="shared" si="2509"/>
        <v/>
      </c>
      <c r="AB1218" s="322" t="str">
        <f t="shared" si="2510"/>
        <v/>
      </c>
    </row>
    <row r="1219" spans="2:28" x14ac:dyDescent="0.25">
      <c r="B1219" s="65">
        <v>41967</v>
      </c>
      <c r="C1219" s="66">
        <v>41967</v>
      </c>
      <c r="D1219" s="68">
        <f t="shared" ref="D1219:D1220" si="2523">IF(B1219&gt;0,MONTH(B1219),"False")</f>
        <v>11</v>
      </c>
      <c r="E1219" s="66" t="str">
        <f t="shared" ref="E1219:E1220" si="2524">YEAR(B1219) &amp; CHOOSE(D1219,"-Jan","-Feb","-Mar","-Apr","-May","-Jun","-Jul","-Aug","-Sep","-Oct","-Nov","-Dec")</f>
        <v>2014-Nov</v>
      </c>
      <c r="F1219" s="68">
        <f t="shared" ref="F1219:F1220" si="2525">IF(C1219&gt;0,MONTH(C1219),"False")</f>
        <v>11</v>
      </c>
      <c r="G1219" s="326" t="s">
        <v>121</v>
      </c>
      <c r="H1219" s="326" t="s">
        <v>1685</v>
      </c>
      <c r="J1219" s="326" t="s">
        <v>78</v>
      </c>
      <c r="K1219" s="326" t="s">
        <v>82</v>
      </c>
      <c r="L1219" s="326" t="s">
        <v>83</v>
      </c>
      <c r="M1219" s="1" t="s">
        <v>2014</v>
      </c>
      <c r="N1219" s="326" t="s">
        <v>124</v>
      </c>
      <c r="O1219" s="326" t="s">
        <v>91</v>
      </c>
      <c r="P1219" s="64" t="s">
        <v>2009</v>
      </c>
      <c r="R1219" s="64" t="s">
        <v>2004</v>
      </c>
      <c r="S1219" s="1" t="s">
        <v>104</v>
      </c>
      <c r="X1219" s="1" t="s">
        <v>154</v>
      </c>
      <c r="Y1219" s="322" t="str">
        <f t="shared" si="2507"/>
        <v>Pass</v>
      </c>
      <c r="Z1219" s="11" t="str">
        <f t="shared" si="2508"/>
        <v/>
      </c>
      <c r="AA1219" s="322" t="str">
        <f t="shared" si="2509"/>
        <v/>
      </c>
      <c r="AB1219" s="322" t="str">
        <f t="shared" si="2510"/>
        <v/>
      </c>
    </row>
    <row r="1220" spans="2:28" x14ac:dyDescent="0.25">
      <c r="B1220" s="66">
        <v>41967</v>
      </c>
      <c r="C1220" s="66">
        <v>41967</v>
      </c>
      <c r="D1220" s="68">
        <f t="shared" si="2523"/>
        <v>11</v>
      </c>
      <c r="E1220" s="66" t="str">
        <f t="shared" si="2524"/>
        <v>2014-Nov</v>
      </c>
      <c r="F1220" s="68">
        <f t="shared" si="2525"/>
        <v>11</v>
      </c>
      <c r="G1220" s="327" t="s">
        <v>87</v>
      </c>
      <c r="H1220" s="327" t="s">
        <v>115</v>
      </c>
      <c r="J1220" s="327" t="s">
        <v>292</v>
      </c>
      <c r="K1220" s="327" t="s">
        <v>292</v>
      </c>
      <c r="L1220" s="327" t="s">
        <v>83</v>
      </c>
      <c r="M1220" s="1" t="s">
        <v>2015</v>
      </c>
      <c r="N1220" s="327" t="s">
        <v>124</v>
      </c>
      <c r="O1220" s="327" t="s">
        <v>156</v>
      </c>
      <c r="R1220" s="64" t="s">
        <v>2016</v>
      </c>
      <c r="Y1220" s="322" t="str">
        <f t="shared" si="2507"/>
        <v>Unknown</v>
      </c>
      <c r="Z1220" s="11" t="str">
        <f t="shared" si="2508"/>
        <v/>
      </c>
      <c r="AA1220" s="322" t="str">
        <f t="shared" si="2509"/>
        <v/>
      </c>
      <c r="AB1220" s="322" t="str">
        <f t="shared" si="2510"/>
        <v/>
      </c>
    </row>
    <row r="1221" spans="2:28" x14ac:dyDescent="0.25">
      <c r="B1221" s="66">
        <v>41967</v>
      </c>
      <c r="C1221" s="66">
        <v>41967</v>
      </c>
      <c r="D1221" s="68">
        <f t="shared" ref="D1221" si="2526">IF(B1221&gt;0,MONTH(B1221),"False")</f>
        <v>11</v>
      </c>
      <c r="E1221" s="66" t="str">
        <f t="shared" ref="E1221" si="2527">YEAR(B1221) &amp; CHOOSE(D1221,"-Jan","-Feb","-Mar","-Apr","-May","-Jun","-Jul","-Aug","-Sep","-Oct","-Nov","-Dec")</f>
        <v>2014-Nov</v>
      </c>
      <c r="F1221" s="68">
        <f t="shared" ref="F1221" si="2528">IF(C1221&gt;0,MONTH(C1221),"False")</f>
        <v>11</v>
      </c>
      <c r="G1221" s="327" t="s">
        <v>87</v>
      </c>
      <c r="H1221" s="327" t="s">
        <v>166</v>
      </c>
      <c r="J1221" s="327" t="s">
        <v>78</v>
      </c>
      <c r="K1221" s="327" t="s">
        <v>78</v>
      </c>
      <c r="L1221" s="327" t="s">
        <v>79</v>
      </c>
      <c r="M1221" s="1" t="s">
        <v>2017</v>
      </c>
      <c r="N1221" s="327" t="s">
        <v>124</v>
      </c>
      <c r="O1221" s="327" t="s">
        <v>287</v>
      </c>
      <c r="Q1221" s="2" t="s">
        <v>88</v>
      </c>
      <c r="R1221" s="64" t="s">
        <v>488</v>
      </c>
      <c r="Y1221" s="322" t="str">
        <f t="shared" si="2507"/>
        <v>Obsolete</v>
      </c>
      <c r="Z1221" s="11">
        <f t="shared" si="2508"/>
        <v>41967</v>
      </c>
      <c r="AA1221" s="322" t="str">
        <f t="shared" si="2509"/>
        <v>2014 - 48</v>
      </c>
      <c r="AB1221" s="322">
        <f t="shared" si="2510"/>
        <v>2014</v>
      </c>
    </row>
    <row r="1222" spans="2:28" x14ac:dyDescent="0.25">
      <c r="B1222" s="66">
        <v>41967</v>
      </c>
      <c r="C1222" s="66">
        <v>41967</v>
      </c>
      <c r="D1222" s="68">
        <f t="shared" ref="D1222" si="2529">IF(B1222&gt;0,MONTH(B1222),"False")</f>
        <v>11</v>
      </c>
      <c r="E1222" s="66" t="str">
        <f t="shared" ref="E1222" si="2530">YEAR(B1222) &amp; CHOOSE(D1222,"-Jan","-Feb","-Mar","-Apr","-May","-Jun","-Jul","-Aug","-Sep","-Oct","-Nov","-Dec")</f>
        <v>2014-Nov</v>
      </c>
      <c r="F1222" s="68">
        <f t="shared" ref="F1222" si="2531">IF(C1222&gt;0,MONTH(C1222),"False")</f>
        <v>11</v>
      </c>
      <c r="G1222" s="327" t="s">
        <v>87</v>
      </c>
      <c r="H1222" s="327" t="s">
        <v>166</v>
      </c>
      <c r="J1222" s="327" t="s">
        <v>98</v>
      </c>
      <c r="K1222" s="327" t="s">
        <v>84</v>
      </c>
      <c r="L1222" s="327" t="s">
        <v>83</v>
      </c>
      <c r="M1222" s="1" t="s">
        <v>2018</v>
      </c>
      <c r="N1222" s="327" t="s">
        <v>124</v>
      </c>
      <c r="O1222" s="327" t="s">
        <v>156</v>
      </c>
      <c r="R1222" s="64" t="s">
        <v>1353</v>
      </c>
      <c r="Y1222" s="322" t="str">
        <f t="shared" si="2507"/>
        <v>Unknown</v>
      </c>
      <c r="Z1222" s="11" t="str">
        <f t="shared" si="2508"/>
        <v/>
      </c>
      <c r="AA1222" s="322" t="str">
        <f t="shared" si="2509"/>
        <v/>
      </c>
      <c r="AB1222" s="322" t="str">
        <f t="shared" si="2510"/>
        <v/>
      </c>
    </row>
    <row r="1223" spans="2:28" x14ac:dyDescent="0.25">
      <c r="B1223" s="66">
        <v>41968</v>
      </c>
      <c r="C1223" s="66">
        <v>41968</v>
      </c>
      <c r="D1223" s="68">
        <f t="shared" ref="D1223" si="2532">IF(B1223&gt;0,MONTH(B1223),"False")</f>
        <v>11</v>
      </c>
      <c r="E1223" s="66" t="str">
        <f t="shared" ref="E1223" si="2533">YEAR(B1223) &amp; CHOOSE(D1223,"-Jan","-Feb","-Mar","-Apr","-May","-Jun","-Jul","-Aug","-Sep","-Oct","-Nov","-Dec")</f>
        <v>2014-Nov</v>
      </c>
      <c r="F1223" s="68">
        <f t="shared" ref="F1223" si="2534">IF(C1223&gt;0,MONTH(C1223),"False")</f>
        <v>11</v>
      </c>
      <c r="G1223" s="328" t="s">
        <v>87</v>
      </c>
      <c r="H1223" s="328" t="s">
        <v>280</v>
      </c>
      <c r="J1223" s="328" t="s">
        <v>98</v>
      </c>
      <c r="K1223" s="328" t="s">
        <v>84</v>
      </c>
      <c r="L1223" s="328" t="s">
        <v>83</v>
      </c>
      <c r="M1223" s="1" t="s">
        <v>2019</v>
      </c>
      <c r="N1223" s="328" t="s">
        <v>124</v>
      </c>
      <c r="O1223" s="328" t="s">
        <v>2020</v>
      </c>
      <c r="R1223" s="64" t="s">
        <v>1517</v>
      </c>
      <c r="Y1223" s="322" t="str">
        <f t="shared" si="2507"/>
        <v>Unknown</v>
      </c>
      <c r="Z1223" s="11" t="str">
        <f t="shared" si="2508"/>
        <v/>
      </c>
      <c r="AA1223" s="322" t="str">
        <f t="shared" si="2509"/>
        <v/>
      </c>
      <c r="AB1223" s="322" t="str">
        <f t="shared" si="2510"/>
        <v/>
      </c>
    </row>
    <row r="1224" spans="2:28" x14ac:dyDescent="0.25">
      <c r="B1224" s="66">
        <v>41968</v>
      </c>
      <c r="C1224" s="66">
        <v>41968</v>
      </c>
      <c r="D1224" s="68">
        <f t="shared" ref="D1224" si="2535">IF(B1224&gt;0,MONTH(B1224),"False")</f>
        <v>11</v>
      </c>
      <c r="E1224" s="66" t="str">
        <f t="shared" ref="E1224" si="2536">YEAR(B1224) &amp; CHOOSE(D1224,"-Jan","-Feb","-Mar","-Apr","-May","-Jun","-Jul","-Aug","-Sep","-Oct","-Nov","-Dec")</f>
        <v>2014-Nov</v>
      </c>
      <c r="F1224" s="68">
        <f t="shared" ref="F1224" si="2537">IF(C1224&gt;0,MONTH(C1224),"False")</f>
        <v>11</v>
      </c>
      <c r="G1224" s="328" t="s">
        <v>112</v>
      </c>
      <c r="H1224" s="328" t="s">
        <v>166</v>
      </c>
      <c r="J1224" s="328" t="s">
        <v>78</v>
      </c>
      <c r="K1224" s="328" t="s">
        <v>78</v>
      </c>
      <c r="L1224" s="328" t="s">
        <v>79</v>
      </c>
      <c r="M1224" s="1" t="s">
        <v>2021</v>
      </c>
      <c r="N1224" s="328" t="s">
        <v>124</v>
      </c>
      <c r="O1224" s="328" t="s">
        <v>287</v>
      </c>
      <c r="R1224" s="64" t="s">
        <v>488</v>
      </c>
      <c r="S1224" s="1" t="s">
        <v>104</v>
      </c>
      <c r="X1224" s="1" t="s">
        <v>300</v>
      </c>
      <c r="Y1224" s="322" t="str">
        <f t="shared" si="2507"/>
        <v>Pass</v>
      </c>
      <c r="Z1224" s="11" t="str">
        <f t="shared" si="2508"/>
        <v/>
      </c>
      <c r="AA1224" s="322" t="str">
        <f t="shared" si="2509"/>
        <v/>
      </c>
      <c r="AB1224" s="322" t="str">
        <f t="shared" si="2510"/>
        <v/>
      </c>
    </row>
    <row r="1225" spans="2:28" x14ac:dyDescent="0.25">
      <c r="B1225" s="66">
        <v>41968</v>
      </c>
      <c r="C1225" s="66">
        <v>41968</v>
      </c>
      <c r="D1225" s="68">
        <f t="shared" ref="D1225" si="2538">IF(B1225&gt;0,MONTH(B1225),"False")</f>
        <v>11</v>
      </c>
      <c r="E1225" s="66" t="str">
        <f t="shared" ref="E1225" si="2539">YEAR(B1225) &amp; CHOOSE(D1225,"-Jan","-Feb","-Mar","-Apr","-May","-Jun","-Jul","-Aug","-Sep","-Oct","-Nov","-Dec")</f>
        <v>2014-Nov</v>
      </c>
      <c r="F1225" s="68">
        <f t="shared" ref="F1225" si="2540">IF(C1225&gt;0,MONTH(C1225),"False")</f>
        <v>11</v>
      </c>
      <c r="G1225" s="329" t="s">
        <v>112</v>
      </c>
      <c r="H1225" s="328" t="s">
        <v>136</v>
      </c>
      <c r="J1225" s="328" t="s">
        <v>149</v>
      </c>
      <c r="K1225" s="328" t="s">
        <v>84</v>
      </c>
      <c r="L1225" s="328" t="s">
        <v>79</v>
      </c>
      <c r="M1225" s="1" t="s">
        <v>2022</v>
      </c>
      <c r="N1225" s="328" t="s">
        <v>124</v>
      </c>
      <c r="O1225" s="328" t="s">
        <v>264</v>
      </c>
      <c r="R1225" s="64" t="s">
        <v>1611</v>
      </c>
      <c r="S1225" s="329" t="s">
        <v>104</v>
      </c>
      <c r="X1225" s="329" t="s">
        <v>159</v>
      </c>
      <c r="Y1225" s="322" t="str">
        <f t="shared" si="2507"/>
        <v>Pass</v>
      </c>
      <c r="Z1225" s="11" t="str">
        <f t="shared" si="2508"/>
        <v/>
      </c>
      <c r="AA1225" s="322" t="str">
        <f t="shared" si="2509"/>
        <v/>
      </c>
      <c r="AB1225" s="322" t="str">
        <f t="shared" si="2510"/>
        <v/>
      </c>
    </row>
    <row r="1226" spans="2:28" x14ac:dyDescent="0.25">
      <c r="B1226" s="66">
        <v>41968</v>
      </c>
      <c r="C1226" s="66">
        <v>41968</v>
      </c>
      <c r="D1226" s="68">
        <f t="shared" ref="D1226:D1227" si="2541">IF(B1226&gt;0,MONTH(B1226),"False")</f>
        <v>11</v>
      </c>
      <c r="E1226" s="66" t="str">
        <f t="shared" ref="E1226:E1227" si="2542">YEAR(B1226) &amp; CHOOSE(D1226,"-Jan","-Feb","-Mar","-Apr","-May","-Jun","-Jul","-Aug","-Sep","-Oct","-Nov","-Dec")</f>
        <v>2014-Nov</v>
      </c>
      <c r="F1226" s="68">
        <f t="shared" ref="F1226:F1227" si="2543">IF(C1226&gt;0,MONTH(C1226),"False")</f>
        <v>11</v>
      </c>
      <c r="G1226" s="328" t="s">
        <v>112</v>
      </c>
      <c r="H1226" s="328" t="s">
        <v>1685</v>
      </c>
      <c r="J1226" s="328" t="s">
        <v>78</v>
      </c>
      <c r="K1226" s="328" t="s">
        <v>84</v>
      </c>
      <c r="L1226" s="328" t="s">
        <v>83</v>
      </c>
      <c r="M1226" s="1" t="s">
        <v>2023</v>
      </c>
      <c r="N1226" s="328" t="s">
        <v>124</v>
      </c>
      <c r="O1226" s="328" t="s">
        <v>152</v>
      </c>
      <c r="R1226" s="64" t="s">
        <v>2000</v>
      </c>
      <c r="S1226" s="1" t="s">
        <v>104</v>
      </c>
      <c r="X1226" s="1" t="s">
        <v>300</v>
      </c>
      <c r="Y1226" s="322" t="str">
        <f t="shared" si="2507"/>
        <v>Pass</v>
      </c>
      <c r="Z1226" s="11" t="str">
        <f t="shared" si="2508"/>
        <v/>
      </c>
      <c r="AA1226" s="322" t="str">
        <f t="shared" si="2509"/>
        <v/>
      </c>
      <c r="AB1226" s="322" t="str">
        <f t="shared" si="2510"/>
        <v/>
      </c>
    </row>
    <row r="1227" spans="2:28" x14ac:dyDescent="0.25">
      <c r="B1227" s="65">
        <v>41968</v>
      </c>
      <c r="C1227" s="66">
        <v>41968</v>
      </c>
      <c r="D1227" s="68">
        <f t="shared" si="2541"/>
        <v>11</v>
      </c>
      <c r="E1227" s="66" t="str">
        <f t="shared" si="2542"/>
        <v>2014-Nov</v>
      </c>
      <c r="F1227" s="68">
        <f t="shared" si="2543"/>
        <v>11</v>
      </c>
      <c r="G1227" s="328" t="s">
        <v>93</v>
      </c>
      <c r="H1227" s="328" t="s">
        <v>280</v>
      </c>
      <c r="J1227" s="328" t="s">
        <v>81</v>
      </c>
      <c r="K1227" s="328" t="s">
        <v>82</v>
      </c>
      <c r="L1227" s="328" t="s">
        <v>79</v>
      </c>
      <c r="M1227" s="1" t="s">
        <v>2024</v>
      </c>
      <c r="N1227" s="328" t="s">
        <v>124</v>
      </c>
      <c r="O1227" s="328" t="s">
        <v>286</v>
      </c>
      <c r="P1227" s="64" t="s">
        <v>305</v>
      </c>
      <c r="R1227" s="64" t="s">
        <v>1559</v>
      </c>
      <c r="S1227" s="345" t="s">
        <v>104</v>
      </c>
      <c r="X1227" s="345" t="s">
        <v>544</v>
      </c>
      <c r="Y1227" s="322" t="str">
        <f t="shared" si="2507"/>
        <v>Pass</v>
      </c>
      <c r="Z1227" s="11" t="str">
        <f t="shared" si="2508"/>
        <v/>
      </c>
      <c r="AA1227" s="322" t="str">
        <f t="shared" si="2509"/>
        <v/>
      </c>
      <c r="AB1227" s="322" t="str">
        <f t="shared" si="2510"/>
        <v/>
      </c>
    </row>
    <row r="1228" spans="2:28" x14ac:dyDescent="0.25">
      <c r="B1228" s="65">
        <v>41969</v>
      </c>
      <c r="C1228" s="66">
        <v>41969</v>
      </c>
      <c r="D1228" s="68">
        <f t="shared" ref="D1228:D1229" si="2544">IF(B1228&gt;0,MONTH(B1228),"False")</f>
        <v>11</v>
      </c>
      <c r="E1228" s="66" t="str">
        <f t="shared" ref="E1228:E1229" si="2545">YEAR(B1228) &amp; CHOOSE(D1228,"-Jan","-Feb","-Mar","-Apr","-May","-Jun","-Jul","-Aug","-Sep","-Oct","-Nov","-Dec")</f>
        <v>2014-Nov</v>
      </c>
      <c r="F1228" s="68">
        <f t="shared" ref="F1228:F1229" si="2546">IF(C1228&gt;0,MONTH(C1228),"False")</f>
        <v>11</v>
      </c>
      <c r="G1228" s="329" t="s">
        <v>93</v>
      </c>
      <c r="H1228" s="329" t="s">
        <v>103</v>
      </c>
      <c r="J1228" s="329" t="s">
        <v>77</v>
      </c>
      <c r="K1228" s="329" t="s">
        <v>82</v>
      </c>
      <c r="L1228" s="329" t="s">
        <v>79</v>
      </c>
      <c r="M1228" s="1" t="s">
        <v>2030</v>
      </c>
      <c r="N1228" s="329" t="s">
        <v>124</v>
      </c>
      <c r="O1228" s="329" t="s">
        <v>507</v>
      </c>
      <c r="P1228" s="64" t="s">
        <v>351</v>
      </c>
      <c r="R1228" s="64" t="s">
        <v>361</v>
      </c>
      <c r="Y1228" s="322" t="str">
        <f t="shared" si="2507"/>
        <v>Unknown</v>
      </c>
      <c r="Z1228" s="11" t="str">
        <f t="shared" si="2508"/>
        <v/>
      </c>
      <c r="AA1228" s="322" t="str">
        <f t="shared" si="2509"/>
        <v/>
      </c>
      <c r="AB1228" s="322" t="str">
        <f t="shared" si="2510"/>
        <v/>
      </c>
    </row>
    <row r="1229" spans="2:28" x14ac:dyDescent="0.25">
      <c r="B1229" s="66">
        <v>41969</v>
      </c>
      <c r="C1229" s="66">
        <v>41969</v>
      </c>
      <c r="D1229" s="68">
        <f t="shared" si="2544"/>
        <v>11</v>
      </c>
      <c r="E1229" s="66" t="str">
        <f t="shared" si="2545"/>
        <v>2014-Nov</v>
      </c>
      <c r="F1229" s="68">
        <f t="shared" si="2546"/>
        <v>11</v>
      </c>
      <c r="G1229" s="329" t="s">
        <v>87</v>
      </c>
      <c r="H1229" s="329" t="s">
        <v>166</v>
      </c>
      <c r="J1229" s="329" t="s">
        <v>260</v>
      </c>
      <c r="K1229" s="329" t="s">
        <v>84</v>
      </c>
      <c r="L1229" s="329" t="s">
        <v>83</v>
      </c>
      <c r="M1229" s="1" t="s">
        <v>2031</v>
      </c>
      <c r="N1229" s="329" t="s">
        <v>124</v>
      </c>
      <c r="O1229" s="329" t="s">
        <v>148</v>
      </c>
      <c r="R1229" s="64" t="s">
        <v>2032</v>
      </c>
      <c r="Y1229" s="322" t="str">
        <f t="shared" si="2507"/>
        <v>Unknown</v>
      </c>
      <c r="Z1229" s="11" t="str">
        <f t="shared" si="2508"/>
        <v/>
      </c>
      <c r="AA1229" s="322" t="str">
        <f t="shared" si="2509"/>
        <v/>
      </c>
      <c r="AB1229" s="322" t="str">
        <f t="shared" si="2510"/>
        <v/>
      </c>
    </row>
    <row r="1230" spans="2:28" x14ac:dyDescent="0.25">
      <c r="B1230" s="65">
        <v>41969</v>
      </c>
      <c r="C1230" s="66">
        <v>41969</v>
      </c>
      <c r="D1230" s="68">
        <f t="shared" ref="D1230:D1231" si="2547">IF(B1230&gt;0,MONTH(B1230),"False")</f>
        <v>11</v>
      </c>
      <c r="E1230" s="66" t="str">
        <f t="shared" ref="E1230:E1231" si="2548">YEAR(B1230) &amp; CHOOSE(D1230,"-Jan","-Feb","-Mar","-Apr","-May","-Jun","-Jul","-Aug","-Sep","-Oct","-Nov","-Dec")</f>
        <v>2014-Nov</v>
      </c>
      <c r="F1230" s="68">
        <f t="shared" ref="F1230:F1231" si="2549">IF(C1230&gt;0,MONTH(C1230),"False")</f>
        <v>11</v>
      </c>
      <c r="G1230" s="329" t="s">
        <v>121</v>
      </c>
      <c r="H1230" s="329" t="s">
        <v>1685</v>
      </c>
      <c r="J1230" s="329" t="s">
        <v>78</v>
      </c>
      <c r="K1230" s="329" t="s">
        <v>82</v>
      </c>
      <c r="L1230" s="329" t="s">
        <v>79</v>
      </c>
      <c r="M1230" s="1" t="s">
        <v>2033</v>
      </c>
      <c r="N1230" s="329" t="s">
        <v>124</v>
      </c>
      <c r="O1230" s="329" t="s">
        <v>91</v>
      </c>
      <c r="P1230" s="64" t="s">
        <v>2009</v>
      </c>
      <c r="R1230" s="64" t="s">
        <v>2004</v>
      </c>
      <c r="S1230" s="1" t="s">
        <v>104</v>
      </c>
      <c r="X1230" s="1" t="s">
        <v>154</v>
      </c>
      <c r="Y1230" s="322" t="str">
        <f t="shared" si="2507"/>
        <v>Pass</v>
      </c>
      <c r="Z1230" s="11" t="str">
        <f t="shared" si="2508"/>
        <v/>
      </c>
      <c r="AA1230" s="322" t="str">
        <f t="shared" si="2509"/>
        <v/>
      </c>
      <c r="AB1230" s="322" t="str">
        <f t="shared" si="2510"/>
        <v/>
      </c>
    </row>
    <row r="1231" spans="2:28" x14ac:dyDescent="0.25">
      <c r="B1231" s="66">
        <v>41969</v>
      </c>
      <c r="C1231" s="66">
        <v>41969</v>
      </c>
      <c r="D1231" s="68">
        <f t="shared" si="2547"/>
        <v>11</v>
      </c>
      <c r="E1231" s="66" t="str">
        <f t="shared" si="2548"/>
        <v>2014-Nov</v>
      </c>
      <c r="F1231" s="68">
        <f t="shared" si="2549"/>
        <v>11</v>
      </c>
      <c r="G1231" s="378" t="s">
        <v>112</v>
      </c>
      <c r="H1231" s="329" t="s">
        <v>166</v>
      </c>
      <c r="J1231" s="329" t="s">
        <v>146</v>
      </c>
      <c r="K1231" s="329" t="s">
        <v>82</v>
      </c>
      <c r="L1231" s="329" t="s">
        <v>79</v>
      </c>
      <c r="M1231" s="1" t="s">
        <v>2034</v>
      </c>
      <c r="N1231" s="329" t="s">
        <v>124</v>
      </c>
      <c r="O1231" s="329" t="s">
        <v>343</v>
      </c>
      <c r="R1231" s="64" t="s">
        <v>2035</v>
      </c>
      <c r="S1231" s="378" t="s">
        <v>104</v>
      </c>
      <c r="X1231" s="378" t="s">
        <v>349</v>
      </c>
      <c r="Y1231" s="322" t="str">
        <f t="shared" si="2507"/>
        <v>Pass</v>
      </c>
      <c r="Z1231" s="11" t="str">
        <f t="shared" si="2508"/>
        <v/>
      </c>
      <c r="AA1231" s="322" t="str">
        <f t="shared" si="2509"/>
        <v/>
      </c>
      <c r="AB1231" s="322" t="str">
        <f t="shared" si="2510"/>
        <v/>
      </c>
    </row>
    <row r="1232" spans="2:28" x14ac:dyDescent="0.25">
      <c r="B1232" s="66">
        <v>41970</v>
      </c>
      <c r="C1232" s="66">
        <v>41970</v>
      </c>
      <c r="D1232" s="68">
        <f t="shared" ref="D1232:D1233" si="2550">IF(B1232&gt;0,MONTH(B1232),"False")</f>
        <v>11</v>
      </c>
      <c r="E1232" s="66" t="str">
        <f t="shared" ref="E1232:E1233" si="2551">YEAR(B1232) &amp; CHOOSE(D1232,"-Jan","-Feb","-Mar","-Apr","-May","-Jun","-Jul","-Aug","-Sep","-Oct","-Nov","-Dec")</f>
        <v>2014-Nov</v>
      </c>
      <c r="F1232" s="68">
        <f t="shared" ref="F1232:F1233" si="2552">IF(C1232&gt;0,MONTH(C1232),"False")</f>
        <v>11</v>
      </c>
      <c r="G1232" s="331" t="s">
        <v>112</v>
      </c>
      <c r="H1232" s="331" t="s">
        <v>1685</v>
      </c>
      <c r="J1232" s="331" t="s">
        <v>78</v>
      </c>
      <c r="K1232" s="331" t="s">
        <v>78</v>
      </c>
      <c r="L1232" s="331" t="s">
        <v>83</v>
      </c>
      <c r="M1232" s="1" t="s">
        <v>2036</v>
      </c>
      <c r="N1232" s="331" t="s">
        <v>124</v>
      </c>
      <c r="O1232" s="331" t="s">
        <v>287</v>
      </c>
      <c r="R1232" s="64" t="s">
        <v>2037</v>
      </c>
      <c r="S1232" s="1" t="s">
        <v>104</v>
      </c>
      <c r="T1232" s="67" t="s">
        <v>110</v>
      </c>
      <c r="X1232" s="1" t="s">
        <v>154</v>
      </c>
      <c r="Y1232" s="322" t="str">
        <f t="shared" si="2507"/>
        <v>Pass</v>
      </c>
      <c r="Z1232" s="11" t="str">
        <f t="shared" si="2508"/>
        <v/>
      </c>
      <c r="AA1232" s="322" t="str">
        <f t="shared" si="2509"/>
        <v/>
      </c>
      <c r="AB1232" s="322" t="str">
        <f t="shared" si="2510"/>
        <v/>
      </c>
    </row>
    <row r="1233" spans="2:28" s="331" customFormat="1" x14ac:dyDescent="0.25">
      <c r="B1233" s="65">
        <v>41970</v>
      </c>
      <c r="C1233" s="66">
        <v>41970</v>
      </c>
      <c r="D1233" s="68">
        <f t="shared" si="2550"/>
        <v>11</v>
      </c>
      <c r="E1233" s="66" t="str">
        <f t="shared" si="2551"/>
        <v>2014-Nov</v>
      </c>
      <c r="F1233" s="68">
        <f t="shared" si="2552"/>
        <v>11</v>
      </c>
      <c r="G1233" s="331" t="s">
        <v>93</v>
      </c>
      <c r="H1233" s="331" t="s">
        <v>115</v>
      </c>
      <c r="J1233" s="331" t="s">
        <v>119</v>
      </c>
      <c r="K1233" s="331" t="s">
        <v>119</v>
      </c>
      <c r="L1233" s="331" t="s">
        <v>83</v>
      </c>
      <c r="M1233" s="331" t="s">
        <v>2038</v>
      </c>
      <c r="N1233" s="331" t="s">
        <v>124</v>
      </c>
      <c r="O1233" s="331" t="s">
        <v>353</v>
      </c>
      <c r="P1233" s="64" t="s">
        <v>1777</v>
      </c>
      <c r="Q1233" s="2"/>
      <c r="R1233" s="64" t="s">
        <v>2039</v>
      </c>
      <c r="T1233" s="67"/>
      <c r="Y1233" s="331" t="str">
        <f t="shared" si="2507"/>
        <v>Unknown</v>
      </c>
      <c r="Z1233" s="11" t="str">
        <f t="shared" si="2508"/>
        <v/>
      </c>
      <c r="AA1233" s="331" t="str">
        <f t="shared" si="2509"/>
        <v/>
      </c>
      <c r="AB1233" s="331" t="str">
        <f t="shared" si="2510"/>
        <v/>
      </c>
    </row>
    <row r="1234" spans="2:28" s="331" customFormat="1" x14ac:dyDescent="0.25">
      <c r="B1234" s="65">
        <v>41970</v>
      </c>
      <c r="C1234" s="66">
        <v>41970</v>
      </c>
      <c r="D1234" s="68">
        <f t="shared" ref="D1234" si="2553">IF(B1234&gt;0,MONTH(B1234),"False")</f>
        <v>11</v>
      </c>
      <c r="E1234" s="66" t="str">
        <f t="shared" ref="E1234" si="2554">YEAR(B1234) &amp; CHOOSE(D1234,"-Jan","-Feb","-Mar","-Apr","-May","-Jun","-Jul","-Aug","-Sep","-Oct","-Nov","-Dec")</f>
        <v>2014-Nov</v>
      </c>
      <c r="F1234" s="68">
        <f t="shared" ref="F1234" si="2555">IF(C1234&gt;0,MONTH(C1234),"False")</f>
        <v>11</v>
      </c>
      <c r="G1234" s="331" t="s">
        <v>93</v>
      </c>
      <c r="H1234" s="331" t="s">
        <v>115</v>
      </c>
      <c r="J1234" s="331" t="s">
        <v>119</v>
      </c>
      <c r="K1234" s="331" t="s">
        <v>119</v>
      </c>
      <c r="L1234" s="331" t="s">
        <v>83</v>
      </c>
      <c r="M1234" s="331" t="s">
        <v>2040</v>
      </c>
      <c r="N1234" s="331" t="s">
        <v>124</v>
      </c>
      <c r="O1234" s="331" t="s">
        <v>353</v>
      </c>
      <c r="P1234" s="64" t="s">
        <v>1777</v>
      </c>
      <c r="Q1234" s="2"/>
      <c r="R1234" s="64" t="s">
        <v>2039</v>
      </c>
      <c r="T1234" s="67"/>
      <c r="Y1234" s="331" t="str">
        <f t="shared" ref="Y1234" si="2556">IF(Q1234&gt;0,"Obsolete",IF(S1234&gt;0,S1234,"Unknown"))</f>
        <v>Unknown</v>
      </c>
      <c r="Z1234" s="11" t="str">
        <f t="shared" ref="Z1234" si="2557">IF(Q1234="Obsolete-LQA",C1234,IF(Q1234="Obsolete-IT",B1234,""))</f>
        <v/>
      </c>
      <c r="AA1234" s="331" t="str">
        <f t="shared" ref="AA1234" si="2558">IFERROR(YEAR(Z1234)&amp;" - "&amp; IF(LEN( WEEKNUM(Z1234))=1,"0" &amp; WEEKNUM(Z1234),WEEKNUM(Z1234)),"")</f>
        <v/>
      </c>
      <c r="AB1234" s="331" t="str">
        <f t="shared" ref="AB1234" si="2559">IFERROR(YEAR(Z1234),"")</f>
        <v/>
      </c>
    </row>
    <row r="1235" spans="2:28" x14ac:dyDescent="0.25">
      <c r="B1235" s="65">
        <v>41970</v>
      </c>
      <c r="C1235" s="66">
        <v>41970</v>
      </c>
      <c r="D1235" s="68">
        <f t="shared" ref="D1235:D1236" si="2560">IF(B1235&gt;0,MONTH(B1235),"False")</f>
        <v>11</v>
      </c>
      <c r="E1235" s="66" t="str">
        <f t="shared" ref="E1235:E1236" si="2561">YEAR(B1235) &amp; CHOOSE(D1235,"-Jan","-Feb","-Mar","-Apr","-May","-Jun","-Jul","-Aug","-Sep","-Oct","-Nov","-Dec")</f>
        <v>2014-Nov</v>
      </c>
      <c r="F1235" s="68">
        <f t="shared" ref="F1235:F1236" si="2562">IF(C1235&gt;0,MONTH(C1235),"False")</f>
        <v>11</v>
      </c>
      <c r="G1235" s="331" t="s">
        <v>93</v>
      </c>
      <c r="H1235" s="331" t="s">
        <v>1685</v>
      </c>
      <c r="J1235" s="331" t="s">
        <v>81</v>
      </c>
      <c r="K1235" s="331" t="s">
        <v>82</v>
      </c>
      <c r="L1235" s="331" t="s">
        <v>79</v>
      </c>
      <c r="M1235" s="1" t="s">
        <v>2041</v>
      </c>
      <c r="N1235" s="331" t="s">
        <v>124</v>
      </c>
      <c r="O1235" s="331" t="s">
        <v>91</v>
      </c>
      <c r="P1235" s="64" t="s">
        <v>2009</v>
      </c>
      <c r="R1235" s="64" t="s">
        <v>2004</v>
      </c>
      <c r="S1235" s="1" t="s">
        <v>104</v>
      </c>
      <c r="T1235" s="67" t="s">
        <v>110</v>
      </c>
      <c r="Y1235" s="322" t="str">
        <f t="shared" si="2507"/>
        <v>Pass</v>
      </c>
      <c r="Z1235" s="11" t="str">
        <f t="shared" si="2508"/>
        <v/>
      </c>
      <c r="AA1235" s="322" t="str">
        <f t="shared" si="2509"/>
        <v/>
      </c>
      <c r="AB1235" s="322" t="str">
        <f t="shared" si="2510"/>
        <v/>
      </c>
    </row>
    <row r="1236" spans="2:28" x14ac:dyDescent="0.25">
      <c r="B1236" s="66">
        <v>41970</v>
      </c>
      <c r="C1236" s="66">
        <v>41970</v>
      </c>
      <c r="D1236" s="68">
        <f t="shared" si="2560"/>
        <v>11</v>
      </c>
      <c r="E1236" s="66" t="str">
        <f t="shared" si="2561"/>
        <v>2014-Nov</v>
      </c>
      <c r="F1236" s="68">
        <f t="shared" si="2562"/>
        <v>11</v>
      </c>
      <c r="G1236" s="331" t="s">
        <v>112</v>
      </c>
      <c r="H1236" s="331" t="s">
        <v>103</v>
      </c>
      <c r="J1236" s="331" t="s">
        <v>78</v>
      </c>
      <c r="K1236" s="331" t="s">
        <v>78</v>
      </c>
      <c r="L1236" s="331" t="s">
        <v>79</v>
      </c>
      <c r="M1236" s="1" t="s">
        <v>2042</v>
      </c>
      <c r="N1236" s="331" t="s">
        <v>124</v>
      </c>
      <c r="O1236" s="331" t="s">
        <v>324</v>
      </c>
      <c r="R1236" s="64" t="s">
        <v>475</v>
      </c>
      <c r="S1236" s="1" t="s">
        <v>104</v>
      </c>
      <c r="X1236" s="1" t="s">
        <v>159</v>
      </c>
      <c r="Y1236" s="322" t="str">
        <f t="shared" si="2507"/>
        <v>Pass</v>
      </c>
      <c r="Z1236" s="11" t="str">
        <f t="shared" si="2508"/>
        <v/>
      </c>
      <c r="AA1236" s="322" t="str">
        <f t="shared" si="2509"/>
        <v/>
      </c>
      <c r="AB1236" s="322" t="str">
        <f t="shared" si="2510"/>
        <v/>
      </c>
    </row>
    <row r="1237" spans="2:28" x14ac:dyDescent="0.25">
      <c r="B1237" s="65">
        <v>41970</v>
      </c>
      <c r="C1237" s="66">
        <v>41970</v>
      </c>
      <c r="D1237" s="68">
        <f t="shared" ref="D1237:D1238" si="2563">IF(B1237&gt;0,MONTH(B1237),"False")</f>
        <v>11</v>
      </c>
      <c r="E1237" s="66" t="str">
        <f t="shared" ref="E1237:E1238" si="2564">YEAR(B1237) &amp; CHOOSE(D1237,"-Jan","-Feb","-Mar","-Apr","-May","-Jun","-Jul","-Aug","-Sep","-Oct","-Nov","-Dec")</f>
        <v>2014-Nov</v>
      </c>
      <c r="F1237" s="68">
        <f t="shared" ref="F1237:F1238" si="2565">IF(C1237&gt;0,MONTH(C1237),"False")</f>
        <v>11</v>
      </c>
      <c r="G1237" s="331" t="s">
        <v>93</v>
      </c>
      <c r="H1237" s="331" t="s">
        <v>166</v>
      </c>
      <c r="J1237" s="331" t="s">
        <v>98</v>
      </c>
      <c r="K1237" s="331" t="s">
        <v>82</v>
      </c>
      <c r="L1237" s="331" t="s">
        <v>79</v>
      </c>
      <c r="M1237" s="1" t="s">
        <v>2043</v>
      </c>
      <c r="N1237" s="331" t="s">
        <v>124</v>
      </c>
      <c r="O1237" s="331" t="s">
        <v>156</v>
      </c>
      <c r="P1237" s="64" t="s">
        <v>336</v>
      </c>
      <c r="R1237" s="64" t="s">
        <v>1311</v>
      </c>
      <c r="S1237" s="345" t="s">
        <v>104</v>
      </c>
      <c r="X1237" s="345" t="s">
        <v>544</v>
      </c>
      <c r="Y1237" s="322" t="str">
        <f t="shared" si="2507"/>
        <v>Pass</v>
      </c>
      <c r="Z1237" s="11" t="str">
        <f t="shared" si="2508"/>
        <v/>
      </c>
      <c r="AA1237" s="322" t="str">
        <f t="shared" si="2509"/>
        <v/>
      </c>
      <c r="AB1237" s="322" t="str">
        <f t="shared" si="2510"/>
        <v/>
      </c>
    </row>
    <row r="1238" spans="2:28" x14ac:dyDescent="0.25">
      <c r="B1238" s="66">
        <v>41970</v>
      </c>
      <c r="C1238" s="66">
        <v>41970</v>
      </c>
      <c r="D1238" s="68">
        <f t="shared" si="2563"/>
        <v>11</v>
      </c>
      <c r="E1238" s="66" t="str">
        <f t="shared" si="2564"/>
        <v>2014-Nov</v>
      </c>
      <c r="F1238" s="68">
        <f t="shared" si="2565"/>
        <v>11</v>
      </c>
      <c r="G1238" s="331" t="s">
        <v>87</v>
      </c>
      <c r="H1238" s="331" t="s">
        <v>166</v>
      </c>
      <c r="J1238" s="331" t="s">
        <v>98</v>
      </c>
      <c r="K1238" s="331" t="s">
        <v>84</v>
      </c>
      <c r="L1238" s="331" t="s">
        <v>83</v>
      </c>
      <c r="M1238" s="1" t="s">
        <v>2044</v>
      </c>
      <c r="N1238" s="331" t="s">
        <v>124</v>
      </c>
      <c r="O1238" s="331" t="s">
        <v>2020</v>
      </c>
      <c r="R1238" s="64" t="s">
        <v>1353</v>
      </c>
      <c r="Y1238" s="322" t="str">
        <f t="shared" si="2507"/>
        <v>Unknown</v>
      </c>
      <c r="Z1238" s="11" t="str">
        <f t="shared" si="2508"/>
        <v/>
      </c>
      <c r="AA1238" s="322" t="str">
        <f t="shared" si="2509"/>
        <v/>
      </c>
      <c r="AB1238" s="322" t="str">
        <f t="shared" si="2510"/>
        <v/>
      </c>
    </row>
    <row r="1239" spans="2:28" x14ac:dyDescent="0.25">
      <c r="B1239" s="66">
        <v>41970</v>
      </c>
      <c r="C1239" s="66">
        <v>41970</v>
      </c>
      <c r="D1239" s="68">
        <f t="shared" ref="D1239:D1240" si="2566">IF(B1239&gt;0,MONTH(B1239),"False")</f>
        <v>11</v>
      </c>
      <c r="E1239" s="66" t="str">
        <f t="shared" ref="E1239:E1240" si="2567">YEAR(B1239) &amp; CHOOSE(D1239,"-Jan","-Feb","-Mar","-Apr","-May","-Jun","-Jul","-Aug","-Sep","-Oct","-Nov","-Dec")</f>
        <v>2014-Nov</v>
      </c>
      <c r="F1239" s="68">
        <f t="shared" ref="F1239:F1240" si="2568">IF(C1239&gt;0,MONTH(C1239),"False")</f>
        <v>11</v>
      </c>
      <c r="G1239" s="331" t="s">
        <v>87</v>
      </c>
      <c r="H1239" s="331" t="s">
        <v>166</v>
      </c>
      <c r="J1239" s="331" t="s">
        <v>77</v>
      </c>
      <c r="K1239" s="331" t="s">
        <v>82</v>
      </c>
      <c r="L1239" s="331" t="s">
        <v>83</v>
      </c>
      <c r="M1239" s="1" t="s">
        <v>2045</v>
      </c>
      <c r="N1239" s="331" t="s">
        <v>124</v>
      </c>
      <c r="O1239" s="331" t="s">
        <v>1606</v>
      </c>
      <c r="R1239" s="64" t="s">
        <v>862</v>
      </c>
      <c r="S1239" s="344" t="s">
        <v>2084</v>
      </c>
      <c r="T1239" s="67" t="s">
        <v>110</v>
      </c>
      <c r="Y1239" s="322" t="str">
        <f t="shared" si="2507"/>
        <v>Fail</v>
      </c>
      <c r="Z1239" s="11" t="str">
        <f t="shared" si="2508"/>
        <v/>
      </c>
      <c r="AA1239" s="322" t="str">
        <f t="shared" si="2509"/>
        <v/>
      </c>
      <c r="AB1239" s="322" t="str">
        <f t="shared" si="2510"/>
        <v/>
      </c>
    </row>
    <row r="1240" spans="2:28" x14ac:dyDescent="0.25">
      <c r="B1240" s="65">
        <v>41970</v>
      </c>
      <c r="C1240" s="66">
        <v>41970</v>
      </c>
      <c r="D1240" s="68">
        <f t="shared" si="2566"/>
        <v>11</v>
      </c>
      <c r="E1240" s="66" t="str">
        <f t="shared" si="2567"/>
        <v>2014-Nov</v>
      </c>
      <c r="F1240" s="68">
        <f t="shared" si="2568"/>
        <v>11</v>
      </c>
      <c r="G1240" s="331" t="s">
        <v>93</v>
      </c>
      <c r="H1240" s="331" t="s">
        <v>280</v>
      </c>
      <c r="J1240" s="331" t="s">
        <v>77</v>
      </c>
      <c r="K1240" s="331" t="s">
        <v>82</v>
      </c>
      <c r="L1240" s="331" t="s">
        <v>79</v>
      </c>
      <c r="M1240" s="1" t="s">
        <v>2046</v>
      </c>
      <c r="N1240" s="331" t="s">
        <v>124</v>
      </c>
      <c r="O1240" s="331" t="s">
        <v>116</v>
      </c>
      <c r="P1240" s="64" t="s">
        <v>305</v>
      </c>
      <c r="R1240" s="64" t="s">
        <v>1559</v>
      </c>
      <c r="S1240" s="345" t="s">
        <v>104</v>
      </c>
      <c r="X1240" s="345" t="s">
        <v>544</v>
      </c>
      <c r="Y1240" s="322" t="str">
        <f t="shared" si="2507"/>
        <v>Pass</v>
      </c>
      <c r="Z1240" s="11" t="str">
        <f t="shared" si="2508"/>
        <v/>
      </c>
      <c r="AA1240" s="322" t="str">
        <f t="shared" si="2509"/>
        <v/>
      </c>
      <c r="AB1240" s="322" t="str">
        <f t="shared" si="2510"/>
        <v/>
      </c>
    </row>
    <row r="1241" spans="2:28" x14ac:dyDescent="0.25">
      <c r="B1241" s="65">
        <v>41970</v>
      </c>
      <c r="C1241" s="66">
        <v>41970</v>
      </c>
      <c r="D1241" s="68">
        <f t="shared" ref="D1241:D1242" si="2569">IF(B1241&gt;0,MONTH(B1241),"False")</f>
        <v>11</v>
      </c>
      <c r="E1241" s="66" t="str">
        <f t="shared" ref="E1241:E1242" si="2570">YEAR(B1241) &amp; CHOOSE(D1241,"-Jan","-Feb","-Mar","-Apr","-May","-Jun","-Jul","-Aug","-Sep","-Oct","-Nov","-Dec")</f>
        <v>2014-Nov</v>
      </c>
      <c r="F1241" s="68">
        <f t="shared" ref="F1241:F1242" si="2571">IF(C1241&gt;0,MONTH(C1241),"False")</f>
        <v>11</v>
      </c>
      <c r="G1241" s="331" t="s">
        <v>93</v>
      </c>
      <c r="H1241" s="331" t="s">
        <v>280</v>
      </c>
      <c r="J1241" s="331" t="s">
        <v>81</v>
      </c>
      <c r="K1241" s="331" t="s">
        <v>82</v>
      </c>
      <c r="L1241" s="331" t="s">
        <v>79</v>
      </c>
      <c r="M1241" s="1" t="s">
        <v>2047</v>
      </c>
      <c r="N1241" s="331" t="s">
        <v>124</v>
      </c>
      <c r="O1241" s="331" t="s">
        <v>286</v>
      </c>
      <c r="P1241" s="64" t="s">
        <v>305</v>
      </c>
      <c r="R1241" s="64" t="s">
        <v>1559</v>
      </c>
      <c r="S1241" s="357" t="s">
        <v>104</v>
      </c>
      <c r="X1241" s="357" t="s">
        <v>544</v>
      </c>
      <c r="Y1241" s="322" t="str">
        <f t="shared" si="2507"/>
        <v>Pass</v>
      </c>
      <c r="Z1241" s="11" t="str">
        <f t="shared" si="2508"/>
        <v/>
      </c>
      <c r="AA1241" s="322" t="str">
        <f t="shared" si="2509"/>
        <v/>
      </c>
      <c r="AB1241" s="322" t="str">
        <f t="shared" si="2510"/>
        <v/>
      </c>
    </row>
    <row r="1242" spans="2:28" x14ac:dyDescent="0.25">
      <c r="B1242" s="66">
        <v>41971</v>
      </c>
      <c r="C1242" s="66">
        <v>41971</v>
      </c>
      <c r="D1242" s="68">
        <f t="shared" si="2569"/>
        <v>11</v>
      </c>
      <c r="E1242" s="66" t="str">
        <f t="shared" si="2570"/>
        <v>2014-Nov</v>
      </c>
      <c r="F1242" s="68">
        <f t="shared" si="2571"/>
        <v>11</v>
      </c>
      <c r="G1242" s="332" t="s">
        <v>87</v>
      </c>
      <c r="H1242" s="332" t="s">
        <v>280</v>
      </c>
      <c r="J1242" s="332" t="s">
        <v>98</v>
      </c>
      <c r="K1242" s="332" t="s">
        <v>84</v>
      </c>
      <c r="L1242" s="332" t="s">
        <v>83</v>
      </c>
      <c r="M1242" s="1" t="s">
        <v>2048</v>
      </c>
      <c r="N1242" s="332" t="s">
        <v>124</v>
      </c>
      <c r="O1242" s="332" t="s">
        <v>2020</v>
      </c>
      <c r="R1242" s="64" t="s">
        <v>1517</v>
      </c>
      <c r="Y1242" s="322" t="str">
        <f t="shared" si="2507"/>
        <v>Unknown</v>
      </c>
      <c r="Z1242" s="11" t="str">
        <f t="shared" si="2508"/>
        <v/>
      </c>
      <c r="AA1242" s="322" t="str">
        <f t="shared" si="2509"/>
        <v/>
      </c>
      <c r="AB1242" s="322" t="str">
        <f t="shared" si="2510"/>
        <v/>
      </c>
    </row>
    <row r="1243" spans="2:28" x14ac:dyDescent="0.25">
      <c r="B1243" s="65">
        <v>41971</v>
      </c>
      <c r="C1243" s="66">
        <v>41971</v>
      </c>
      <c r="D1243" s="68">
        <f t="shared" ref="D1243:D1244" si="2572">IF(B1243&gt;0,MONTH(B1243),"False")</f>
        <v>11</v>
      </c>
      <c r="E1243" s="66" t="str">
        <f t="shared" ref="E1243:E1244" si="2573">YEAR(B1243) &amp; CHOOSE(D1243,"-Jan","-Feb","-Mar","-Apr","-May","-Jun","-Jul","-Aug","-Sep","-Oct","-Nov","-Dec")</f>
        <v>2014-Nov</v>
      </c>
      <c r="F1243" s="68">
        <f t="shared" ref="F1243:F1244" si="2574">IF(C1243&gt;0,MONTH(C1243),"False")</f>
        <v>11</v>
      </c>
      <c r="G1243" s="332" t="s">
        <v>93</v>
      </c>
      <c r="H1243" s="332" t="s">
        <v>115</v>
      </c>
      <c r="J1243" s="332" t="s">
        <v>77</v>
      </c>
      <c r="K1243" s="332" t="s">
        <v>82</v>
      </c>
      <c r="L1243" s="332" t="s">
        <v>83</v>
      </c>
      <c r="M1243" s="1" t="s">
        <v>2049</v>
      </c>
      <c r="N1243" s="332" t="s">
        <v>124</v>
      </c>
      <c r="O1243" s="332" t="s">
        <v>1606</v>
      </c>
      <c r="R1243" s="64" t="s">
        <v>1979</v>
      </c>
      <c r="Y1243" s="322" t="str">
        <f t="shared" si="2507"/>
        <v>Unknown</v>
      </c>
      <c r="Z1243" s="11" t="str">
        <f t="shared" si="2508"/>
        <v/>
      </c>
      <c r="AA1243" s="322" t="str">
        <f t="shared" si="2509"/>
        <v/>
      </c>
      <c r="AB1243" s="322" t="str">
        <f t="shared" si="2510"/>
        <v/>
      </c>
    </row>
    <row r="1244" spans="2:28" x14ac:dyDescent="0.25">
      <c r="B1244" s="66">
        <v>41971</v>
      </c>
      <c r="C1244" s="66">
        <v>41971</v>
      </c>
      <c r="D1244" s="68">
        <f t="shared" si="2572"/>
        <v>11</v>
      </c>
      <c r="E1244" s="66" t="str">
        <f t="shared" si="2573"/>
        <v>2014-Nov</v>
      </c>
      <c r="F1244" s="68">
        <f t="shared" si="2574"/>
        <v>11</v>
      </c>
      <c r="G1244" s="332" t="s">
        <v>112</v>
      </c>
      <c r="H1244" s="332" t="s">
        <v>1745</v>
      </c>
      <c r="J1244" s="332" t="s">
        <v>78</v>
      </c>
      <c r="K1244" s="332" t="s">
        <v>78</v>
      </c>
      <c r="L1244" s="332" t="s">
        <v>79</v>
      </c>
      <c r="M1244" s="1" t="s">
        <v>2050</v>
      </c>
      <c r="N1244" s="332" t="s">
        <v>124</v>
      </c>
      <c r="O1244" s="332" t="s">
        <v>168</v>
      </c>
      <c r="R1244" s="64" t="s">
        <v>1796</v>
      </c>
      <c r="S1244" s="1" t="s">
        <v>104</v>
      </c>
      <c r="X1244" s="1" t="s">
        <v>158</v>
      </c>
      <c r="Y1244" s="322" t="str">
        <f t="shared" si="2507"/>
        <v>Pass</v>
      </c>
      <c r="Z1244" s="11" t="str">
        <f t="shared" si="2508"/>
        <v/>
      </c>
      <c r="AA1244" s="322" t="str">
        <f t="shared" si="2509"/>
        <v/>
      </c>
      <c r="AB1244" s="322" t="str">
        <f t="shared" si="2510"/>
        <v/>
      </c>
    </row>
    <row r="1245" spans="2:28" x14ac:dyDescent="0.25">
      <c r="B1245" s="66">
        <v>41971</v>
      </c>
      <c r="C1245" s="66">
        <v>41971</v>
      </c>
      <c r="D1245" s="68">
        <f t="shared" ref="D1245:D1246" si="2575">IF(B1245&gt;0,MONTH(B1245),"False")</f>
        <v>11</v>
      </c>
      <c r="E1245" s="66" t="str">
        <f t="shared" ref="E1245:E1246" si="2576">YEAR(B1245) &amp; CHOOSE(D1245,"-Jan","-Feb","-Mar","-Apr","-May","-Jun","-Jul","-Aug","-Sep","-Oct","-Nov","-Dec")</f>
        <v>2014-Nov</v>
      </c>
      <c r="F1245" s="68">
        <f t="shared" ref="F1245:F1246" si="2577">IF(C1245&gt;0,MONTH(C1245),"False")</f>
        <v>11</v>
      </c>
      <c r="G1245" s="332" t="s">
        <v>87</v>
      </c>
      <c r="H1245" s="332" t="s">
        <v>166</v>
      </c>
      <c r="J1245" s="332" t="s">
        <v>149</v>
      </c>
      <c r="K1245" s="332" t="s">
        <v>84</v>
      </c>
      <c r="L1245" s="332" t="s">
        <v>83</v>
      </c>
      <c r="M1245" s="1" t="s">
        <v>2051</v>
      </c>
      <c r="N1245" s="332" t="s">
        <v>124</v>
      </c>
      <c r="O1245" s="332" t="s">
        <v>350</v>
      </c>
      <c r="Q1245" s="2" t="s">
        <v>88</v>
      </c>
      <c r="R1245" s="64" t="s">
        <v>1908</v>
      </c>
      <c r="Y1245" s="322" t="str">
        <f t="shared" si="2507"/>
        <v>Obsolete</v>
      </c>
      <c r="Z1245" s="11">
        <f t="shared" si="2508"/>
        <v>41971</v>
      </c>
      <c r="AA1245" s="322" t="str">
        <f t="shared" si="2509"/>
        <v>2014 - 48</v>
      </c>
      <c r="AB1245" s="322">
        <f t="shared" si="2510"/>
        <v>2014</v>
      </c>
    </row>
    <row r="1246" spans="2:28" x14ac:dyDescent="0.25">
      <c r="B1246" s="65">
        <v>41974</v>
      </c>
      <c r="C1246" s="66">
        <v>41974</v>
      </c>
      <c r="D1246" s="68">
        <f t="shared" si="2575"/>
        <v>12</v>
      </c>
      <c r="E1246" s="66" t="str">
        <f t="shared" si="2576"/>
        <v>2014-Dec</v>
      </c>
      <c r="F1246" s="68">
        <f t="shared" si="2577"/>
        <v>12</v>
      </c>
      <c r="G1246" s="366" t="s">
        <v>105</v>
      </c>
      <c r="H1246" s="333" t="s">
        <v>28</v>
      </c>
      <c r="J1246" s="335" t="s">
        <v>149</v>
      </c>
      <c r="K1246" s="333" t="s">
        <v>82</v>
      </c>
      <c r="L1246" s="333" t="s">
        <v>79</v>
      </c>
      <c r="M1246" s="1" t="s">
        <v>2052</v>
      </c>
      <c r="N1246" s="333" t="s">
        <v>124</v>
      </c>
      <c r="O1246" s="333" t="s">
        <v>1368</v>
      </c>
      <c r="P1246" s="64" t="s">
        <v>334</v>
      </c>
      <c r="R1246" s="64" t="s">
        <v>335</v>
      </c>
      <c r="S1246" s="366" t="s">
        <v>104</v>
      </c>
      <c r="X1246" s="366" t="s">
        <v>153</v>
      </c>
      <c r="Y1246" s="334" t="str">
        <f t="shared" ref="Y1246:Y1259" si="2578">IF(Q1246&gt;0,"Obsolete",IF(S1246&gt;0,S1246,"Unknown"))</f>
        <v>Pass</v>
      </c>
      <c r="Z1246" s="11" t="str">
        <f t="shared" ref="Z1246:Z1259" si="2579">IF(Q1246="Obsolete-LQA",C1246,IF(Q1246="Obsolete-IT",B1246,""))</f>
        <v/>
      </c>
      <c r="AA1246" s="334" t="str">
        <f t="shared" ref="AA1246:AA1259" si="2580">IFERROR(YEAR(Z1246)&amp;" - "&amp; IF(LEN( WEEKNUM(Z1246))=1,"0" &amp; WEEKNUM(Z1246),WEEKNUM(Z1246)),"")</f>
        <v/>
      </c>
      <c r="AB1246" s="334" t="str">
        <f t="shared" ref="AB1246:AB1259" si="2581">IFERROR(YEAR(Z1246),"")</f>
        <v/>
      </c>
    </row>
    <row r="1247" spans="2:28" x14ac:dyDescent="0.25">
      <c r="B1247" s="65">
        <v>41974</v>
      </c>
      <c r="C1247" s="66">
        <v>41974</v>
      </c>
      <c r="D1247" s="68">
        <f t="shared" ref="D1247" si="2582">IF(B1247&gt;0,MONTH(B1247),"False")</f>
        <v>12</v>
      </c>
      <c r="E1247" s="66" t="str">
        <f t="shared" ref="E1247" si="2583">YEAR(B1247) &amp; CHOOSE(D1247,"-Jan","-Feb","-Mar","-Apr","-May","-Jun","-Jul","-Aug","-Sep","-Oct","-Nov","-Dec")</f>
        <v>2014-Dec</v>
      </c>
      <c r="F1247" s="68">
        <f t="shared" ref="F1247" si="2584">IF(C1247&gt;0,MONTH(C1247),"False")</f>
        <v>12</v>
      </c>
      <c r="G1247" s="333" t="s">
        <v>121</v>
      </c>
      <c r="H1247" s="333" t="s">
        <v>1685</v>
      </c>
      <c r="J1247" s="333" t="s">
        <v>78</v>
      </c>
      <c r="K1247" s="333" t="s">
        <v>82</v>
      </c>
      <c r="L1247" s="333" t="s">
        <v>79</v>
      </c>
      <c r="M1247" s="1" t="s">
        <v>2053</v>
      </c>
      <c r="N1247" s="333" t="s">
        <v>124</v>
      </c>
      <c r="O1247" s="333" t="s">
        <v>91</v>
      </c>
      <c r="P1247" s="64" t="s">
        <v>2009</v>
      </c>
      <c r="R1247" s="64" t="s">
        <v>2004</v>
      </c>
      <c r="S1247" s="1" t="s">
        <v>104</v>
      </c>
      <c r="X1247" s="1" t="s">
        <v>154</v>
      </c>
      <c r="Y1247" s="334" t="str">
        <f t="shared" si="2578"/>
        <v>Pass</v>
      </c>
      <c r="Z1247" s="11" t="str">
        <f t="shared" si="2579"/>
        <v/>
      </c>
      <c r="AA1247" s="334" t="str">
        <f t="shared" si="2580"/>
        <v/>
      </c>
      <c r="AB1247" s="334" t="str">
        <f t="shared" si="2581"/>
        <v/>
      </c>
    </row>
    <row r="1248" spans="2:28" x14ac:dyDescent="0.25">
      <c r="B1248" s="65">
        <v>41974</v>
      </c>
      <c r="C1248" s="66">
        <v>41974</v>
      </c>
      <c r="D1248" s="68">
        <f t="shared" ref="D1248:D1249" si="2585">IF(B1248&gt;0,MONTH(B1248),"False")</f>
        <v>12</v>
      </c>
      <c r="E1248" s="66" t="str">
        <f t="shared" ref="E1248:E1249" si="2586">YEAR(B1248) &amp; CHOOSE(D1248,"-Jan","-Feb","-Mar","-Apr","-May","-Jun","-Jul","-Aug","-Sep","-Oct","-Nov","-Dec")</f>
        <v>2014-Dec</v>
      </c>
      <c r="F1248" s="68">
        <f t="shared" ref="F1248:F1249" si="2587">IF(C1248&gt;0,MONTH(C1248),"False")</f>
        <v>12</v>
      </c>
      <c r="G1248" s="334" t="s">
        <v>121</v>
      </c>
      <c r="H1248" s="333" t="s">
        <v>316</v>
      </c>
      <c r="J1248" s="333" t="s">
        <v>77</v>
      </c>
      <c r="K1248" s="333" t="s">
        <v>82</v>
      </c>
      <c r="L1248" s="333" t="s">
        <v>79</v>
      </c>
      <c r="M1248" s="1" t="s">
        <v>2054</v>
      </c>
      <c r="N1248" s="333" t="s">
        <v>124</v>
      </c>
      <c r="O1248" s="333" t="s">
        <v>285</v>
      </c>
      <c r="P1248" s="64" t="s">
        <v>340</v>
      </c>
      <c r="R1248" s="64" t="s">
        <v>705</v>
      </c>
      <c r="S1248" s="334" t="s">
        <v>104</v>
      </c>
      <c r="X1248" s="334" t="s">
        <v>300</v>
      </c>
      <c r="Y1248" s="334" t="str">
        <f t="shared" si="2578"/>
        <v>Pass</v>
      </c>
      <c r="Z1248" s="11" t="str">
        <f t="shared" si="2579"/>
        <v/>
      </c>
      <c r="AA1248" s="334" t="str">
        <f t="shared" si="2580"/>
        <v/>
      </c>
      <c r="AB1248" s="334" t="str">
        <f t="shared" si="2581"/>
        <v/>
      </c>
    </row>
    <row r="1249" spans="2:28" x14ac:dyDescent="0.25">
      <c r="B1249" s="66">
        <v>41975</v>
      </c>
      <c r="C1249" s="66">
        <v>41975</v>
      </c>
      <c r="D1249" s="68">
        <f t="shared" si="2585"/>
        <v>12</v>
      </c>
      <c r="E1249" s="66" t="str">
        <f t="shared" si="2586"/>
        <v>2014-Dec</v>
      </c>
      <c r="F1249" s="68">
        <f t="shared" si="2587"/>
        <v>12</v>
      </c>
      <c r="G1249" s="334" t="s">
        <v>87</v>
      </c>
      <c r="H1249" s="334" t="s">
        <v>280</v>
      </c>
      <c r="J1249" s="334" t="s">
        <v>260</v>
      </c>
      <c r="K1249" s="334" t="s">
        <v>84</v>
      </c>
      <c r="L1249" s="334" t="s">
        <v>83</v>
      </c>
      <c r="M1249" s="1" t="s">
        <v>2055</v>
      </c>
      <c r="N1249" s="334" t="s">
        <v>124</v>
      </c>
      <c r="O1249" s="334" t="s">
        <v>148</v>
      </c>
      <c r="R1249" s="64" t="s">
        <v>1517</v>
      </c>
      <c r="Y1249" s="334" t="str">
        <f t="shared" si="2578"/>
        <v>Unknown</v>
      </c>
      <c r="Z1249" s="11" t="str">
        <f t="shared" si="2579"/>
        <v/>
      </c>
      <c r="AA1249" s="334" t="str">
        <f t="shared" si="2580"/>
        <v/>
      </c>
      <c r="AB1249" s="334" t="str">
        <f t="shared" si="2581"/>
        <v/>
      </c>
    </row>
    <row r="1250" spans="2:28" x14ac:dyDescent="0.25">
      <c r="B1250" s="66">
        <v>41975</v>
      </c>
      <c r="C1250" s="66">
        <v>41975</v>
      </c>
      <c r="D1250" s="68">
        <f t="shared" ref="D1250" si="2588">IF(B1250&gt;0,MONTH(B1250),"False")</f>
        <v>12</v>
      </c>
      <c r="E1250" s="66" t="str">
        <f t="shared" ref="E1250" si="2589">YEAR(B1250) &amp; CHOOSE(D1250,"-Jan","-Feb","-Mar","-Apr","-May","-Jun","-Jul","-Aug","-Sep","-Oct","-Nov","-Dec")</f>
        <v>2014-Dec</v>
      </c>
      <c r="F1250" s="68">
        <f t="shared" ref="F1250" si="2590">IF(C1250&gt;0,MONTH(C1250),"False")</f>
        <v>12</v>
      </c>
      <c r="G1250" s="334" t="s">
        <v>87</v>
      </c>
      <c r="H1250" s="334" t="s">
        <v>280</v>
      </c>
      <c r="J1250" s="334" t="s">
        <v>149</v>
      </c>
      <c r="K1250" s="334" t="s">
        <v>84</v>
      </c>
      <c r="L1250" s="334" t="s">
        <v>83</v>
      </c>
      <c r="M1250" s="1" t="s">
        <v>2056</v>
      </c>
      <c r="N1250" s="334" t="s">
        <v>124</v>
      </c>
      <c r="O1250" s="334" t="s">
        <v>148</v>
      </c>
      <c r="R1250" s="64" t="s">
        <v>1517</v>
      </c>
      <c r="Y1250" s="334" t="str">
        <f t="shared" si="2578"/>
        <v>Unknown</v>
      </c>
      <c r="Z1250" s="11" t="str">
        <f t="shared" si="2579"/>
        <v/>
      </c>
      <c r="AA1250" s="334" t="str">
        <f t="shared" si="2580"/>
        <v/>
      </c>
      <c r="AB1250" s="334" t="str">
        <f t="shared" si="2581"/>
        <v/>
      </c>
    </row>
    <row r="1251" spans="2:28" x14ac:dyDescent="0.25">
      <c r="B1251" s="66">
        <v>41975</v>
      </c>
      <c r="C1251" s="66">
        <v>41975</v>
      </c>
      <c r="D1251" s="68">
        <f t="shared" ref="D1251:D1252" si="2591">IF(B1251&gt;0,MONTH(B1251),"False")</f>
        <v>12</v>
      </c>
      <c r="E1251" s="66" t="str">
        <f t="shared" ref="E1251:E1252" si="2592">YEAR(B1251) &amp; CHOOSE(D1251,"-Jan","-Feb","-Mar","-Apr","-May","-Jun","-Jul","-Aug","-Sep","-Oct","-Nov","-Dec")</f>
        <v>2014-Dec</v>
      </c>
      <c r="F1251" s="68">
        <f t="shared" ref="F1251:F1252" si="2593">IF(C1251&gt;0,MONTH(C1251),"False")</f>
        <v>12</v>
      </c>
      <c r="G1251" s="334" t="s">
        <v>87</v>
      </c>
      <c r="H1251" s="334" t="s">
        <v>136</v>
      </c>
      <c r="J1251" s="334" t="s">
        <v>149</v>
      </c>
      <c r="K1251" s="334" t="s">
        <v>84</v>
      </c>
      <c r="L1251" s="334" t="s">
        <v>79</v>
      </c>
      <c r="M1251" s="1" t="s">
        <v>2057</v>
      </c>
      <c r="N1251" s="334" t="s">
        <v>124</v>
      </c>
      <c r="O1251" s="334" t="s">
        <v>350</v>
      </c>
      <c r="R1251" s="64" t="s">
        <v>1611</v>
      </c>
      <c r="Y1251" s="334" t="str">
        <f t="shared" si="2578"/>
        <v>Unknown</v>
      </c>
      <c r="Z1251" s="11" t="str">
        <f t="shared" si="2579"/>
        <v/>
      </c>
      <c r="AA1251" s="334" t="str">
        <f t="shared" si="2580"/>
        <v/>
      </c>
      <c r="AB1251" s="334" t="str">
        <f t="shared" si="2581"/>
        <v/>
      </c>
    </row>
    <row r="1252" spans="2:28" x14ac:dyDescent="0.25">
      <c r="B1252" s="65">
        <v>41975</v>
      </c>
      <c r="C1252" s="66">
        <v>41975</v>
      </c>
      <c r="D1252" s="68">
        <f t="shared" si="2591"/>
        <v>12</v>
      </c>
      <c r="E1252" s="66" t="str">
        <f t="shared" si="2592"/>
        <v>2014-Dec</v>
      </c>
      <c r="F1252" s="68">
        <f t="shared" si="2593"/>
        <v>12</v>
      </c>
      <c r="G1252" s="362" t="s">
        <v>105</v>
      </c>
      <c r="H1252" s="334" t="s">
        <v>166</v>
      </c>
      <c r="J1252" s="334" t="s">
        <v>81</v>
      </c>
      <c r="K1252" s="334" t="s">
        <v>82</v>
      </c>
      <c r="L1252" s="334" t="s">
        <v>79</v>
      </c>
      <c r="M1252" s="1" t="s">
        <v>2058</v>
      </c>
      <c r="N1252" s="334" t="s">
        <v>124</v>
      </c>
      <c r="O1252" s="334" t="s">
        <v>302</v>
      </c>
      <c r="P1252" s="64" t="s">
        <v>289</v>
      </c>
      <c r="R1252" s="64" t="s">
        <v>290</v>
      </c>
      <c r="S1252" s="362" t="s">
        <v>104</v>
      </c>
      <c r="X1252" s="362" t="s">
        <v>544</v>
      </c>
      <c r="Y1252" s="334" t="str">
        <f t="shared" si="2578"/>
        <v>Pass</v>
      </c>
      <c r="Z1252" s="11" t="str">
        <f t="shared" si="2579"/>
        <v/>
      </c>
      <c r="AA1252" s="334" t="str">
        <f t="shared" si="2580"/>
        <v/>
      </c>
      <c r="AB1252" s="334" t="str">
        <f t="shared" si="2581"/>
        <v/>
      </c>
    </row>
    <row r="1253" spans="2:28" x14ac:dyDescent="0.25">
      <c r="B1253" s="65">
        <v>41975</v>
      </c>
      <c r="C1253" s="66">
        <v>41975</v>
      </c>
      <c r="D1253" s="68">
        <f t="shared" ref="D1253:D1254" si="2594">IF(B1253&gt;0,MONTH(B1253),"False")</f>
        <v>12</v>
      </c>
      <c r="E1253" s="66" t="str">
        <f t="shared" ref="E1253:E1254" si="2595">YEAR(B1253) &amp; CHOOSE(D1253,"-Jan","-Feb","-Mar","-Apr","-May","-Jun","-Jul","-Aug","-Sep","-Oct","-Nov","-Dec")</f>
        <v>2014-Dec</v>
      </c>
      <c r="F1253" s="68">
        <f t="shared" ref="F1253:F1254" si="2596">IF(C1253&gt;0,MONTH(C1253),"False")</f>
        <v>12</v>
      </c>
      <c r="G1253" s="408" t="s">
        <v>105</v>
      </c>
      <c r="H1253" s="334" t="s">
        <v>280</v>
      </c>
      <c r="J1253" s="334" t="s">
        <v>333</v>
      </c>
      <c r="K1253" s="334" t="s">
        <v>82</v>
      </c>
      <c r="L1253" s="334" t="s">
        <v>79</v>
      </c>
      <c r="M1253" s="1" t="s">
        <v>2059</v>
      </c>
      <c r="N1253" s="334" t="s">
        <v>124</v>
      </c>
      <c r="O1253" s="334" t="s">
        <v>116</v>
      </c>
      <c r="P1253" s="64" t="s">
        <v>305</v>
      </c>
      <c r="R1253" s="64" t="s">
        <v>1559</v>
      </c>
      <c r="S1253" s="408" t="s">
        <v>104</v>
      </c>
      <c r="X1253" s="408" t="s">
        <v>544</v>
      </c>
      <c r="Y1253" s="334" t="str">
        <f t="shared" si="2578"/>
        <v>Pass</v>
      </c>
      <c r="Z1253" s="11" t="str">
        <f t="shared" si="2579"/>
        <v/>
      </c>
      <c r="AA1253" s="334" t="str">
        <f t="shared" si="2580"/>
        <v/>
      </c>
      <c r="AB1253" s="334" t="str">
        <f t="shared" si="2581"/>
        <v/>
      </c>
    </row>
    <row r="1254" spans="2:28" x14ac:dyDescent="0.25">
      <c r="B1254" s="66">
        <v>41975</v>
      </c>
      <c r="C1254" s="66">
        <v>41975</v>
      </c>
      <c r="D1254" s="68">
        <f t="shared" si="2594"/>
        <v>12</v>
      </c>
      <c r="E1254" s="66" t="str">
        <f t="shared" si="2595"/>
        <v>2014-Dec</v>
      </c>
      <c r="F1254" s="68">
        <f t="shared" si="2596"/>
        <v>12</v>
      </c>
      <c r="G1254" s="355" t="s">
        <v>126</v>
      </c>
      <c r="H1254" s="334" t="s">
        <v>280</v>
      </c>
      <c r="J1254" s="334" t="s">
        <v>78</v>
      </c>
      <c r="K1254" s="334" t="s">
        <v>78</v>
      </c>
      <c r="L1254" s="334" t="s">
        <v>79</v>
      </c>
      <c r="M1254" s="1" t="s">
        <v>2060</v>
      </c>
      <c r="N1254" s="334" t="s">
        <v>124</v>
      </c>
      <c r="O1254" s="334" t="s">
        <v>304</v>
      </c>
      <c r="R1254" s="64" t="s">
        <v>344</v>
      </c>
      <c r="S1254" s="355" t="s">
        <v>104</v>
      </c>
      <c r="X1254" s="355" t="s">
        <v>544</v>
      </c>
      <c r="Y1254" s="334" t="str">
        <f t="shared" si="2578"/>
        <v>Pass</v>
      </c>
      <c r="Z1254" s="11" t="str">
        <f t="shared" si="2579"/>
        <v/>
      </c>
      <c r="AA1254" s="334" t="str">
        <f t="shared" si="2580"/>
        <v/>
      </c>
      <c r="AB1254" s="334" t="str">
        <f t="shared" si="2581"/>
        <v/>
      </c>
    </row>
    <row r="1255" spans="2:28" x14ac:dyDescent="0.25">
      <c r="B1255" s="65">
        <v>41975</v>
      </c>
      <c r="C1255" s="66">
        <v>41975</v>
      </c>
      <c r="D1255" s="68">
        <f t="shared" ref="D1255:D1256" si="2597">IF(B1255&gt;0,MONTH(B1255),"False")</f>
        <v>12</v>
      </c>
      <c r="E1255" s="66" t="str">
        <f t="shared" ref="E1255:E1256" si="2598">YEAR(B1255) &amp; CHOOSE(D1255,"-Jan","-Feb","-Mar","-Apr","-May","-Jun","-Jul","-Aug","-Sep","-Oct","-Nov","-Dec")</f>
        <v>2014-Dec</v>
      </c>
      <c r="F1255" s="68">
        <f t="shared" ref="F1255:F1256" si="2599">IF(C1255&gt;0,MONTH(C1255),"False")</f>
        <v>12</v>
      </c>
      <c r="G1255" s="334" t="s">
        <v>93</v>
      </c>
      <c r="H1255" s="334" t="s">
        <v>348</v>
      </c>
      <c r="J1255" s="334" t="s">
        <v>77</v>
      </c>
      <c r="K1255" s="334" t="s">
        <v>82</v>
      </c>
      <c r="L1255" s="334" t="s">
        <v>79</v>
      </c>
      <c r="M1255" s="1" t="s">
        <v>2061</v>
      </c>
      <c r="N1255" s="334" t="s">
        <v>124</v>
      </c>
      <c r="O1255" s="334" t="s">
        <v>91</v>
      </c>
      <c r="P1255" s="64" t="s">
        <v>352</v>
      </c>
      <c r="R1255" s="64" t="s">
        <v>2062</v>
      </c>
      <c r="Y1255" s="334" t="str">
        <f t="shared" si="2578"/>
        <v>Unknown</v>
      </c>
      <c r="Z1255" s="11" t="str">
        <f t="shared" si="2579"/>
        <v/>
      </c>
      <c r="AA1255" s="334" t="str">
        <f t="shared" si="2580"/>
        <v/>
      </c>
      <c r="AB1255" s="334" t="str">
        <f t="shared" si="2581"/>
        <v/>
      </c>
    </row>
    <row r="1256" spans="2:28" x14ac:dyDescent="0.25">
      <c r="B1256" s="66">
        <v>41976</v>
      </c>
      <c r="C1256" s="66">
        <v>41976</v>
      </c>
      <c r="D1256" s="68">
        <f t="shared" si="2597"/>
        <v>12</v>
      </c>
      <c r="E1256" s="66" t="str">
        <f t="shared" si="2598"/>
        <v>2014-Dec</v>
      </c>
      <c r="F1256" s="68">
        <f t="shared" si="2599"/>
        <v>12</v>
      </c>
      <c r="G1256" s="335" t="s">
        <v>87</v>
      </c>
      <c r="H1256" s="335" t="s">
        <v>166</v>
      </c>
      <c r="J1256" s="335" t="s">
        <v>98</v>
      </c>
      <c r="K1256" s="335" t="s">
        <v>84</v>
      </c>
      <c r="L1256" s="335" t="s">
        <v>83</v>
      </c>
      <c r="M1256" s="1" t="s">
        <v>2063</v>
      </c>
      <c r="N1256" s="335" t="s">
        <v>124</v>
      </c>
      <c r="O1256" s="335" t="s">
        <v>2020</v>
      </c>
      <c r="R1256" s="64" t="s">
        <v>1254</v>
      </c>
      <c r="Y1256" s="334" t="str">
        <f t="shared" si="2578"/>
        <v>Unknown</v>
      </c>
      <c r="Z1256" s="11" t="str">
        <f t="shared" si="2579"/>
        <v/>
      </c>
      <c r="AA1256" s="334" t="str">
        <f t="shared" si="2580"/>
        <v/>
      </c>
      <c r="AB1256" s="334" t="str">
        <f t="shared" si="2581"/>
        <v/>
      </c>
    </row>
    <row r="1257" spans="2:28" x14ac:dyDescent="0.25">
      <c r="B1257" s="66">
        <v>41976</v>
      </c>
      <c r="C1257" s="66">
        <v>41976</v>
      </c>
      <c r="D1257" s="68">
        <f t="shared" ref="D1257:D1258" si="2600">IF(B1257&gt;0,MONTH(B1257),"False")</f>
        <v>12</v>
      </c>
      <c r="E1257" s="66" t="str">
        <f t="shared" ref="E1257:E1258" si="2601">YEAR(B1257) &amp; CHOOSE(D1257,"-Jan","-Feb","-Mar","-Apr","-May","-Jun","-Jul","-Aug","-Sep","-Oct","-Nov","-Dec")</f>
        <v>2014-Dec</v>
      </c>
      <c r="F1257" s="68">
        <f t="shared" ref="F1257:F1258" si="2602">IF(C1257&gt;0,MONTH(C1257),"False")</f>
        <v>12</v>
      </c>
      <c r="G1257" s="335" t="s">
        <v>87</v>
      </c>
      <c r="H1257" s="335" t="s">
        <v>280</v>
      </c>
      <c r="J1257" s="335" t="s">
        <v>98</v>
      </c>
      <c r="K1257" s="335" t="s">
        <v>84</v>
      </c>
      <c r="L1257" s="335" t="s">
        <v>83</v>
      </c>
      <c r="M1257" s="1" t="s">
        <v>2064</v>
      </c>
      <c r="N1257" s="335" t="s">
        <v>124</v>
      </c>
      <c r="O1257" s="335" t="s">
        <v>2020</v>
      </c>
      <c r="Q1257" s="2" t="s">
        <v>88</v>
      </c>
      <c r="R1257" s="64" t="s">
        <v>1517</v>
      </c>
      <c r="Y1257" s="334" t="str">
        <f t="shared" si="2578"/>
        <v>Obsolete</v>
      </c>
      <c r="Z1257" s="11">
        <f t="shared" si="2579"/>
        <v>41976</v>
      </c>
      <c r="AA1257" s="334" t="str">
        <f t="shared" si="2580"/>
        <v>2014 - 49</v>
      </c>
      <c r="AB1257" s="334">
        <f t="shared" si="2581"/>
        <v>2014</v>
      </c>
    </row>
    <row r="1258" spans="2:28" x14ac:dyDescent="0.25">
      <c r="B1258" s="65">
        <v>41976</v>
      </c>
      <c r="C1258" s="66">
        <v>41976</v>
      </c>
      <c r="D1258" s="68">
        <f t="shared" si="2600"/>
        <v>12</v>
      </c>
      <c r="E1258" s="66" t="str">
        <f t="shared" si="2601"/>
        <v>2014-Dec</v>
      </c>
      <c r="F1258" s="68">
        <f t="shared" si="2602"/>
        <v>12</v>
      </c>
      <c r="G1258" s="343" t="s">
        <v>121</v>
      </c>
      <c r="H1258" s="335" t="s">
        <v>316</v>
      </c>
      <c r="J1258" s="335" t="s">
        <v>77</v>
      </c>
      <c r="K1258" s="335" t="s">
        <v>82</v>
      </c>
      <c r="L1258" s="335" t="s">
        <v>79</v>
      </c>
      <c r="M1258" s="1" t="s">
        <v>2065</v>
      </c>
      <c r="N1258" s="335" t="s">
        <v>124</v>
      </c>
      <c r="O1258" s="335" t="s">
        <v>285</v>
      </c>
      <c r="P1258" s="64" t="s">
        <v>340</v>
      </c>
      <c r="R1258" s="64" t="s">
        <v>705</v>
      </c>
      <c r="S1258" s="343" t="s">
        <v>104</v>
      </c>
      <c r="X1258" s="343" t="s">
        <v>300</v>
      </c>
      <c r="Y1258" s="334" t="str">
        <f t="shared" si="2578"/>
        <v>Pass</v>
      </c>
      <c r="Z1258" s="11" t="str">
        <f t="shared" si="2579"/>
        <v/>
      </c>
      <c r="AA1258" s="334" t="str">
        <f t="shared" si="2580"/>
        <v/>
      </c>
      <c r="AB1258" s="334" t="str">
        <f t="shared" si="2581"/>
        <v/>
      </c>
    </row>
    <row r="1259" spans="2:28" x14ac:dyDescent="0.25">
      <c r="B1259" s="66">
        <v>41976</v>
      </c>
      <c r="C1259" s="66">
        <v>41976</v>
      </c>
      <c r="D1259" s="68">
        <f t="shared" ref="D1259" si="2603">IF(B1259&gt;0,MONTH(B1259),"False")</f>
        <v>12</v>
      </c>
      <c r="E1259" s="66" t="str">
        <f t="shared" ref="E1259" si="2604">YEAR(B1259) &amp; CHOOSE(D1259,"-Jan","-Feb","-Mar","-Apr","-May","-Jun","-Jul","-Aug","-Sep","-Oct","-Nov","-Dec")</f>
        <v>2014-Dec</v>
      </c>
      <c r="F1259" s="68">
        <f t="shared" ref="F1259" si="2605">IF(C1259&gt;0,MONTH(C1259),"False")</f>
        <v>12</v>
      </c>
      <c r="G1259" s="335" t="s">
        <v>87</v>
      </c>
      <c r="H1259" s="335" t="s">
        <v>280</v>
      </c>
      <c r="J1259" s="335" t="s">
        <v>98</v>
      </c>
      <c r="K1259" s="335" t="s">
        <v>84</v>
      </c>
      <c r="L1259" s="335" t="s">
        <v>83</v>
      </c>
      <c r="M1259" s="1" t="s">
        <v>2066</v>
      </c>
      <c r="N1259" s="335" t="s">
        <v>124</v>
      </c>
      <c r="O1259" s="335" t="s">
        <v>2020</v>
      </c>
      <c r="R1259" s="64" t="s">
        <v>1517</v>
      </c>
      <c r="Y1259" s="334" t="str">
        <f t="shared" si="2578"/>
        <v>Unknown</v>
      </c>
      <c r="Z1259" s="11" t="str">
        <f t="shared" si="2579"/>
        <v/>
      </c>
      <c r="AA1259" s="334" t="str">
        <f t="shared" si="2580"/>
        <v/>
      </c>
      <c r="AB1259" s="334" t="str">
        <f t="shared" si="2581"/>
        <v/>
      </c>
    </row>
    <row r="1260" spans="2:28" x14ac:dyDescent="0.25">
      <c r="B1260" s="66">
        <v>41976</v>
      </c>
      <c r="C1260" s="66">
        <v>41976</v>
      </c>
      <c r="D1260" s="68">
        <f t="shared" ref="D1260" si="2606">IF(B1260&gt;0,MONTH(B1260),"False")</f>
        <v>12</v>
      </c>
      <c r="E1260" s="66" t="str">
        <f t="shared" ref="E1260" si="2607">YEAR(B1260) &amp; CHOOSE(D1260,"-Jan","-Feb","-Mar","-Apr","-May","-Jun","-Jul","-Aug","-Sep","-Oct","-Nov","-Dec")</f>
        <v>2014-Dec</v>
      </c>
      <c r="F1260" s="68">
        <f t="shared" ref="F1260" si="2608">IF(C1260&gt;0,MONTH(C1260),"False")</f>
        <v>12</v>
      </c>
      <c r="G1260" s="335" t="s">
        <v>87</v>
      </c>
      <c r="H1260" s="335" t="s">
        <v>166</v>
      </c>
      <c r="J1260" s="335" t="s">
        <v>149</v>
      </c>
      <c r="K1260" s="335" t="s">
        <v>84</v>
      </c>
      <c r="L1260" s="335" t="s">
        <v>83</v>
      </c>
      <c r="M1260" s="1" t="s">
        <v>2067</v>
      </c>
      <c r="N1260" s="335" t="s">
        <v>124</v>
      </c>
      <c r="O1260" s="335" t="s">
        <v>264</v>
      </c>
      <c r="Q1260" s="2" t="s">
        <v>88</v>
      </c>
      <c r="R1260" s="64" t="s">
        <v>1908</v>
      </c>
      <c r="T1260" s="67" t="s">
        <v>110</v>
      </c>
      <c r="Y1260" s="334" t="str">
        <f t="shared" ref="Y1260:Y1292" si="2609">IF(Q1260&gt;0,"Obsolete",IF(S1260&gt;0,S1260,"Unknown"))</f>
        <v>Obsolete</v>
      </c>
      <c r="Z1260" s="11">
        <f t="shared" ref="Z1260:Z1292" si="2610">IF(Q1260="Obsolete-LQA",C1260,IF(Q1260="Obsolete-IT",B1260,""))</f>
        <v>41976</v>
      </c>
      <c r="AA1260" s="334" t="str">
        <f t="shared" ref="AA1260:AA1292" si="2611">IFERROR(YEAR(Z1260)&amp;" - "&amp; IF(LEN( WEEKNUM(Z1260))=1,"0" &amp; WEEKNUM(Z1260),WEEKNUM(Z1260)),"")</f>
        <v>2014 - 49</v>
      </c>
      <c r="AB1260" s="334">
        <f t="shared" ref="AB1260:AB1292" si="2612">IFERROR(YEAR(Z1260),"")</f>
        <v>2014</v>
      </c>
    </row>
    <row r="1261" spans="2:28" x14ac:dyDescent="0.25">
      <c r="B1261" s="66">
        <v>41977</v>
      </c>
      <c r="C1261" s="66">
        <v>41977</v>
      </c>
      <c r="D1261" s="68">
        <f t="shared" ref="D1261:D1262" si="2613">IF(B1261&gt;0,MONTH(B1261),"False")</f>
        <v>12</v>
      </c>
      <c r="E1261" s="66" t="str">
        <f t="shared" ref="E1261:E1262" si="2614">YEAR(B1261) &amp; CHOOSE(D1261,"-Jan","-Feb","-Mar","-Apr","-May","-Jun","-Jul","-Aug","-Sep","-Oct","-Nov","-Dec")</f>
        <v>2014-Dec</v>
      </c>
      <c r="F1261" s="68">
        <f t="shared" ref="F1261:F1262" si="2615">IF(C1261&gt;0,MONTH(C1261),"False")</f>
        <v>12</v>
      </c>
      <c r="G1261" s="336" t="s">
        <v>112</v>
      </c>
      <c r="H1261" s="336" t="s">
        <v>1685</v>
      </c>
      <c r="J1261" s="336" t="s">
        <v>78</v>
      </c>
      <c r="K1261" s="336" t="s">
        <v>78</v>
      </c>
      <c r="L1261" s="336" t="s">
        <v>79</v>
      </c>
      <c r="M1261" s="1" t="s">
        <v>2069</v>
      </c>
      <c r="N1261" s="336" t="s">
        <v>124</v>
      </c>
      <c r="O1261" s="336" t="s">
        <v>97</v>
      </c>
      <c r="R1261" s="64" t="s">
        <v>2037</v>
      </c>
      <c r="S1261" s="1" t="s">
        <v>104</v>
      </c>
      <c r="T1261" s="67" t="s">
        <v>110</v>
      </c>
      <c r="X1261" s="1" t="s">
        <v>154</v>
      </c>
      <c r="Y1261" s="334" t="str">
        <f t="shared" si="2609"/>
        <v>Pass</v>
      </c>
      <c r="Z1261" s="11" t="str">
        <f t="shared" si="2610"/>
        <v/>
      </c>
      <c r="AA1261" s="334" t="str">
        <f t="shared" si="2611"/>
        <v/>
      </c>
      <c r="AB1261" s="334" t="str">
        <f t="shared" si="2612"/>
        <v/>
      </c>
    </row>
    <row r="1262" spans="2:28" x14ac:dyDescent="0.25">
      <c r="B1262" s="65">
        <v>41977</v>
      </c>
      <c r="C1262" s="66">
        <v>41977</v>
      </c>
      <c r="D1262" s="68">
        <f t="shared" si="2613"/>
        <v>12</v>
      </c>
      <c r="E1262" s="66" t="str">
        <f t="shared" si="2614"/>
        <v>2014-Dec</v>
      </c>
      <c r="F1262" s="68">
        <f t="shared" si="2615"/>
        <v>12</v>
      </c>
      <c r="G1262" s="415" t="s">
        <v>121</v>
      </c>
      <c r="H1262" s="336" t="s">
        <v>280</v>
      </c>
      <c r="J1262" s="336" t="s">
        <v>81</v>
      </c>
      <c r="K1262" s="336" t="s">
        <v>82</v>
      </c>
      <c r="L1262" s="336" t="s">
        <v>79</v>
      </c>
      <c r="M1262" s="1" t="s">
        <v>2070</v>
      </c>
      <c r="N1262" s="336" t="s">
        <v>124</v>
      </c>
      <c r="O1262" s="336" t="s">
        <v>286</v>
      </c>
      <c r="P1262" s="64" t="s">
        <v>305</v>
      </c>
      <c r="R1262" s="64" t="s">
        <v>1559</v>
      </c>
      <c r="S1262" s="415" t="s">
        <v>104</v>
      </c>
      <c r="X1262" s="415" t="s">
        <v>472</v>
      </c>
      <c r="Y1262" s="334" t="str">
        <f t="shared" si="2609"/>
        <v>Pass</v>
      </c>
      <c r="Z1262" s="11" t="str">
        <f t="shared" si="2610"/>
        <v/>
      </c>
      <c r="AA1262" s="334" t="str">
        <f t="shared" si="2611"/>
        <v/>
      </c>
      <c r="AB1262" s="334" t="str">
        <f t="shared" si="2612"/>
        <v/>
      </c>
    </row>
    <row r="1263" spans="2:28" x14ac:dyDescent="0.25">
      <c r="B1263" s="65">
        <v>41978</v>
      </c>
      <c r="C1263" s="66">
        <v>41978</v>
      </c>
      <c r="D1263" s="68">
        <f t="shared" ref="D1263:D1264" si="2616">IF(B1263&gt;0,MONTH(B1263),"False")</f>
        <v>12</v>
      </c>
      <c r="E1263" s="66" t="str">
        <f t="shared" ref="E1263:E1264" si="2617">YEAR(B1263) &amp; CHOOSE(D1263,"-Jan","-Feb","-Mar","-Apr","-May","-Jun","-Jul","-Aug","-Sep","-Oct","-Nov","-Dec")</f>
        <v>2014-Dec</v>
      </c>
      <c r="F1263" s="68">
        <f t="shared" ref="F1263:F1264" si="2618">IF(C1263&gt;0,MONTH(C1263),"False")</f>
        <v>12</v>
      </c>
      <c r="G1263" s="564" t="s">
        <v>121</v>
      </c>
      <c r="H1263" s="358" t="s">
        <v>1745</v>
      </c>
      <c r="I1263" s="369" t="s">
        <v>2139</v>
      </c>
      <c r="J1263" s="337" t="s">
        <v>81</v>
      </c>
      <c r="K1263" s="337" t="s">
        <v>82</v>
      </c>
      <c r="L1263" s="337" t="s">
        <v>79</v>
      </c>
      <c r="M1263" s="1" t="s">
        <v>2071</v>
      </c>
      <c r="N1263" s="337" t="s">
        <v>124</v>
      </c>
      <c r="O1263" s="337" t="s">
        <v>2072</v>
      </c>
      <c r="P1263" s="64" t="s">
        <v>1823</v>
      </c>
      <c r="Q1263" s="2" t="s">
        <v>88</v>
      </c>
      <c r="R1263" s="64" t="s">
        <v>1824</v>
      </c>
      <c r="X1263" s="564" t="s">
        <v>158</v>
      </c>
      <c r="Y1263" s="334" t="str">
        <f t="shared" si="2609"/>
        <v>Obsolete</v>
      </c>
      <c r="Z1263" s="11">
        <f t="shared" si="2610"/>
        <v>41978</v>
      </c>
      <c r="AA1263" s="334" t="str">
        <f t="shared" si="2611"/>
        <v>2014 - 49</v>
      </c>
      <c r="AB1263" s="334">
        <f t="shared" si="2612"/>
        <v>2014</v>
      </c>
    </row>
    <row r="1264" spans="2:28" x14ac:dyDescent="0.25">
      <c r="B1264" s="66">
        <v>41978</v>
      </c>
      <c r="C1264" s="66">
        <v>41978</v>
      </c>
      <c r="D1264" s="68">
        <f t="shared" si="2616"/>
        <v>12</v>
      </c>
      <c r="E1264" s="66" t="str">
        <f t="shared" si="2617"/>
        <v>2014-Dec</v>
      </c>
      <c r="F1264" s="68">
        <f t="shared" si="2618"/>
        <v>12</v>
      </c>
      <c r="G1264" s="337" t="s">
        <v>87</v>
      </c>
      <c r="H1264" s="337" t="s">
        <v>1685</v>
      </c>
      <c r="J1264" s="337" t="s">
        <v>146</v>
      </c>
      <c r="K1264" s="337" t="s">
        <v>82</v>
      </c>
      <c r="L1264" s="337" t="s">
        <v>83</v>
      </c>
      <c r="M1264" s="1" t="s">
        <v>2073</v>
      </c>
      <c r="N1264" s="337" t="s">
        <v>124</v>
      </c>
      <c r="O1264" s="337" t="s">
        <v>91</v>
      </c>
      <c r="R1264" s="64" t="s">
        <v>2004</v>
      </c>
      <c r="S1264" s="1" t="s">
        <v>104</v>
      </c>
      <c r="T1264" s="67" t="s">
        <v>110</v>
      </c>
      <c r="Y1264" s="334" t="str">
        <f t="shared" si="2609"/>
        <v>Pass</v>
      </c>
      <c r="Z1264" s="11" t="str">
        <f t="shared" si="2610"/>
        <v/>
      </c>
      <c r="AA1264" s="334" t="str">
        <f t="shared" si="2611"/>
        <v/>
      </c>
      <c r="AB1264" s="334" t="str">
        <f t="shared" si="2612"/>
        <v/>
      </c>
    </row>
    <row r="1265" spans="2:28" x14ac:dyDescent="0.25">
      <c r="B1265" s="65">
        <v>41978</v>
      </c>
      <c r="C1265" s="66">
        <v>41978</v>
      </c>
      <c r="D1265" s="68">
        <f t="shared" ref="D1265:D1266" si="2619">IF(B1265&gt;0,MONTH(B1265),"False")</f>
        <v>12</v>
      </c>
      <c r="E1265" s="66" t="str">
        <f t="shared" ref="E1265:E1266" si="2620">YEAR(B1265) &amp; CHOOSE(D1265,"-Jan","-Feb","-Mar","-Apr","-May","-Jun","-Jul","-Aug","-Sep","-Oct","-Nov","-Dec")</f>
        <v>2014-Dec</v>
      </c>
      <c r="F1265" s="68">
        <f t="shared" ref="F1265:F1266" si="2621">IF(C1265&gt;0,MONTH(C1265),"False")</f>
        <v>12</v>
      </c>
      <c r="G1265" s="337" t="s">
        <v>93</v>
      </c>
      <c r="H1265" s="337" t="s">
        <v>166</v>
      </c>
      <c r="J1265" s="337" t="s">
        <v>98</v>
      </c>
      <c r="K1265" s="337" t="s">
        <v>82</v>
      </c>
      <c r="L1265" s="337" t="s">
        <v>79</v>
      </c>
      <c r="M1265" s="1" t="s">
        <v>2068</v>
      </c>
      <c r="N1265" s="337" t="s">
        <v>124</v>
      </c>
      <c r="O1265" s="337" t="s">
        <v>156</v>
      </c>
      <c r="R1265" s="64" t="s">
        <v>1311</v>
      </c>
      <c r="S1265" s="345" t="s">
        <v>104</v>
      </c>
      <c r="X1265" s="345" t="s">
        <v>544</v>
      </c>
      <c r="Y1265" s="334" t="str">
        <f t="shared" si="2609"/>
        <v>Pass</v>
      </c>
      <c r="Z1265" s="11" t="str">
        <f t="shared" si="2610"/>
        <v/>
      </c>
      <c r="AA1265" s="334" t="str">
        <f t="shared" si="2611"/>
        <v/>
      </c>
      <c r="AB1265" s="334" t="str">
        <f t="shared" si="2612"/>
        <v/>
      </c>
    </row>
    <row r="1266" spans="2:28" x14ac:dyDescent="0.25">
      <c r="B1266" s="66">
        <v>41979</v>
      </c>
      <c r="C1266" s="66">
        <v>41979</v>
      </c>
      <c r="D1266" s="68">
        <f t="shared" si="2619"/>
        <v>12</v>
      </c>
      <c r="E1266" s="66" t="str">
        <f t="shared" si="2620"/>
        <v>2014-Dec</v>
      </c>
      <c r="F1266" s="68">
        <f t="shared" si="2621"/>
        <v>12</v>
      </c>
      <c r="G1266" s="338" t="s">
        <v>87</v>
      </c>
      <c r="H1266" s="338" t="s">
        <v>166</v>
      </c>
      <c r="J1266" s="338" t="s">
        <v>98</v>
      </c>
      <c r="K1266" s="338" t="s">
        <v>84</v>
      </c>
      <c r="L1266" s="338" t="s">
        <v>83</v>
      </c>
      <c r="M1266" s="1" t="s">
        <v>2074</v>
      </c>
      <c r="N1266" s="338" t="s">
        <v>124</v>
      </c>
      <c r="O1266" s="338" t="s">
        <v>2020</v>
      </c>
      <c r="R1266" s="64" t="s">
        <v>1353</v>
      </c>
      <c r="Y1266" s="334" t="str">
        <f t="shared" si="2609"/>
        <v>Unknown</v>
      </c>
      <c r="Z1266" s="11" t="str">
        <f t="shared" si="2610"/>
        <v/>
      </c>
      <c r="AA1266" s="334" t="str">
        <f t="shared" si="2611"/>
        <v/>
      </c>
      <c r="AB1266" s="334" t="str">
        <f t="shared" si="2612"/>
        <v/>
      </c>
    </row>
    <row r="1267" spans="2:28" x14ac:dyDescent="0.25">
      <c r="B1267" s="65">
        <v>41979</v>
      </c>
      <c r="C1267" s="66">
        <v>41979</v>
      </c>
      <c r="D1267" s="68">
        <f t="shared" ref="D1267:D1268" si="2622">IF(B1267&gt;0,MONTH(B1267),"False")</f>
        <v>12</v>
      </c>
      <c r="E1267" s="66" t="str">
        <f t="shared" ref="E1267:E1268" si="2623">YEAR(B1267) &amp; CHOOSE(D1267,"-Jan","-Feb","-Mar","-Apr","-May","-Jun","-Jul","-Aug","-Sep","-Oct","-Nov","-Dec")</f>
        <v>2014-Dec</v>
      </c>
      <c r="F1267" s="68">
        <f t="shared" ref="F1267:F1268" si="2624">IF(C1267&gt;0,MONTH(C1267),"False")</f>
        <v>12</v>
      </c>
      <c r="G1267" s="338" t="s">
        <v>93</v>
      </c>
      <c r="H1267" s="338" t="s">
        <v>166</v>
      </c>
      <c r="J1267" s="338" t="s">
        <v>98</v>
      </c>
      <c r="K1267" s="338" t="s">
        <v>82</v>
      </c>
      <c r="L1267" s="338" t="s">
        <v>79</v>
      </c>
      <c r="M1267" s="1" t="s">
        <v>2075</v>
      </c>
      <c r="N1267" s="338" t="s">
        <v>124</v>
      </c>
      <c r="O1267" s="338" t="s">
        <v>156</v>
      </c>
      <c r="P1267" s="64" t="s">
        <v>336</v>
      </c>
      <c r="R1267" s="64" t="s">
        <v>1311</v>
      </c>
      <c r="Y1267" s="334" t="str">
        <f t="shared" si="2609"/>
        <v>Unknown</v>
      </c>
      <c r="Z1267" s="11" t="str">
        <f t="shared" si="2610"/>
        <v/>
      </c>
      <c r="AA1267" s="334" t="str">
        <f t="shared" si="2611"/>
        <v/>
      </c>
      <c r="AB1267" s="334" t="str">
        <f t="shared" si="2612"/>
        <v/>
      </c>
    </row>
    <row r="1268" spans="2:28" x14ac:dyDescent="0.25">
      <c r="B1268" s="66">
        <v>41979</v>
      </c>
      <c r="C1268" s="66">
        <v>41979</v>
      </c>
      <c r="D1268" s="68">
        <f t="shared" si="2622"/>
        <v>12</v>
      </c>
      <c r="E1268" s="66" t="str">
        <f t="shared" si="2623"/>
        <v>2014-Dec</v>
      </c>
      <c r="F1268" s="68">
        <f t="shared" si="2624"/>
        <v>12</v>
      </c>
      <c r="G1268" s="338" t="s">
        <v>87</v>
      </c>
      <c r="H1268" s="338" t="s">
        <v>166</v>
      </c>
      <c r="J1268" s="338" t="s">
        <v>98</v>
      </c>
      <c r="K1268" s="338" t="s">
        <v>84</v>
      </c>
      <c r="L1268" s="338" t="s">
        <v>83</v>
      </c>
      <c r="M1268" s="1" t="s">
        <v>2076</v>
      </c>
      <c r="N1268" s="338" t="s">
        <v>124</v>
      </c>
      <c r="O1268" s="338" t="s">
        <v>2020</v>
      </c>
      <c r="R1268" s="64" t="s">
        <v>1517</v>
      </c>
      <c r="S1268" s="345" t="s">
        <v>104</v>
      </c>
      <c r="T1268" s="67" t="s">
        <v>110</v>
      </c>
      <c r="X1268" s="345" t="s">
        <v>544</v>
      </c>
      <c r="Y1268" s="334" t="str">
        <f t="shared" si="2609"/>
        <v>Pass</v>
      </c>
      <c r="Z1268" s="11" t="str">
        <f t="shared" si="2610"/>
        <v/>
      </c>
      <c r="AA1268" s="334" t="str">
        <f t="shared" si="2611"/>
        <v/>
      </c>
      <c r="AB1268" s="334" t="str">
        <f t="shared" si="2612"/>
        <v/>
      </c>
    </row>
    <row r="1269" spans="2:28" x14ac:dyDescent="0.25">
      <c r="B1269" s="65">
        <v>41981</v>
      </c>
      <c r="C1269" s="66">
        <v>41981</v>
      </c>
      <c r="D1269" s="68">
        <f t="shared" ref="D1269" si="2625">IF(B1269&gt;0,MONTH(B1269),"False")</f>
        <v>12</v>
      </c>
      <c r="E1269" s="66" t="str">
        <f t="shared" ref="E1269" si="2626">YEAR(B1269) &amp; CHOOSE(D1269,"-Jan","-Feb","-Mar","-Apr","-May","-Jun","-Jul","-Aug","-Sep","-Oct","-Nov","-Dec")</f>
        <v>2014-Dec</v>
      </c>
      <c r="F1269" s="68">
        <f t="shared" ref="F1269" si="2627">IF(C1269&gt;0,MONTH(C1269),"False")</f>
        <v>12</v>
      </c>
      <c r="G1269" s="339" t="s">
        <v>93</v>
      </c>
      <c r="H1269" s="339" t="s">
        <v>103</v>
      </c>
      <c r="J1269" s="339" t="s">
        <v>77</v>
      </c>
      <c r="K1269" s="339" t="s">
        <v>82</v>
      </c>
      <c r="L1269" s="339" t="s">
        <v>79</v>
      </c>
      <c r="M1269" s="1" t="s">
        <v>2077</v>
      </c>
      <c r="N1269" s="339" t="s">
        <v>124</v>
      </c>
      <c r="O1269" s="339" t="s">
        <v>507</v>
      </c>
      <c r="P1269" s="64" t="s">
        <v>351</v>
      </c>
      <c r="Q1269" s="2" t="s">
        <v>88</v>
      </c>
      <c r="R1269" s="64" t="s">
        <v>361</v>
      </c>
      <c r="Y1269" s="334" t="str">
        <f t="shared" si="2609"/>
        <v>Obsolete</v>
      </c>
      <c r="Z1269" s="11">
        <f t="shared" si="2610"/>
        <v>41981</v>
      </c>
      <c r="AA1269" s="334" t="str">
        <f t="shared" si="2611"/>
        <v>2014 - 50</v>
      </c>
      <c r="AB1269" s="334">
        <f t="shared" si="2612"/>
        <v>2014</v>
      </c>
    </row>
    <row r="1270" spans="2:28" x14ac:dyDescent="0.25">
      <c r="B1270" s="65">
        <v>41981</v>
      </c>
      <c r="C1270" s="66">
        <v>41982</v>
      </c>
      <c r="D1270" s="68">
        <f t="shared" ref="D1270:D1271" si="2628">IF(B1270&gt;0,MONTH(B1270),"False")</f>
        <v>12</v>
      </c>
      <c r="E1270" s="66" t="str">
        <f t="shared" ref="E1270:E1271" si="2629">YEAR(B1270) &amp; CHOOSE(D1270,"-Jan","-Feb","-Mar","-Apr","-May","-Jun","-Jul","-Aug","-Sep","-Oct","-Nov","-Dec")</f>
        <v>2014-Dec</v>
      </c>
      <c r="F1270" s="68">
        <f t="shared" ref="F1270:F1271" si="2630">IF(C1270&gt;0,MONTH(C1270),"False")</f>
        <v>12</v>
      </c>
      <c r="G1270" s="339" t="s">
        <v>121</v>
      </c>
      <c r="H1270" s="339" t="s">
        <v>1745</v>
      </c>
      <c r="I1270" s="369" t="s">
        <v>2139</v>
      </c>
      <c r="J1270" s="339" t="s">
        <v>81</v>
      </c>
      <c r="K1270" s="339" t="s">
        <v>82</v>
      </c>
      <c r="L1270" s="339" t="s">
        <v>79</v>
      </c>
      <c r="M1270" s="1" t="s">
        <v>2078</v>
      </c>
      <c r="N1270" s="339" t="s">
        <v>124</v>
      </c>
      <c r="O1270" s="339" t="s">
        <v>2072</v>
      </c>
      <c r="P1270" s="64" t="s">
        <v>1823</v>
      </c>
      <c r="R1270" s="64" t="s">
        <v>1824</v>
      </c>
      <c r="S1270" s="1" t="s">
        <v>104</v>
      </c>
      <c r="T1270" s="67" t="s">
        <v>110</v>
      </c>
      <c r="X1270" s="564" t="s">
        <v>158</v>
      </c>
      <c r="Y1270" s="334" t="str">
        <f t="shared" si="2609"/>
        <v>Pass</v>
      </c>
      <c r="Z1270" s="11" t="str">
        <f t="shared" si="2610"/>
        <v/>
      </c>
      <c r="AA1270" s="334" t="str">
        <f t="shared" si="2611"/>
        <v/>
      </c>
      <c r="AB1270" s="334" t="str">
        <f t="shared" si="2612"/>
        <v/>
      </c>
    </row>
    <row r="1271" spans="2:28" x14ac:dyDescent="0.25">
      <c r="B1271" s="66">
        <v>41982</v>
      </c>
      <c r="C1271" s="66">
        <v>41982</v>
      </c>
      <c r="D1271" s="68">
        <f t="shared" si="2628"/>
        <v>12</v>
      </c>
      <c r="E1271" s="66" t="str">
        <f t="shared" si="2629"/>
        <v>2014-Dec</v>
      </c>
      <c r="F1271" s="68">
        <f t="shared" si="2630"/>
        <v>12</v>
      </c>
      <c r="G1271" s="352" t="s">
        <v>112</v>
      </c>
      <c r="H1271" s="340" t="s">
        <v>316</v>
      </c>
      <c r="J1271" s="340" t="s">
        <v>98</v>
      </c>
      <c r="K1271" s="340" t="s">
        <v>84</v>
      </c>
      <c r="L1271" s="340" t="s">
        <v>83</v>
      </c>
      <c r="M1271" s="1" t="s">
        <v>2079</v>
      </c>
      <c r="N1271" s="340" t="s">
        <v>124</v>
      </c>
      <c r="O1271" s="340" t="s">
        <v>2020</v>
      </c>
      <c r="R1271" s="64" t="s">
        <v>604</v>
      </c>
      <c r="S1271" s="352" t="s">
        <v>104</v>
      </c>
      <c r="T1271" s="67" t="s">
        <v>110</v>
      </c>
      <c r="X1271" s="352" t="s">
        <v>300</v>
      </c>
      <c r="Y1271" s="334" t="str">
        <f t="shared" si="2609"/>
        <v>Pass</v>
      </c>
      <c r="Z1271" s="11" t="str">
        <f t="shared" si="2610"/>
        <v/>
      </c>
      <c r="AA1271" s="334" t="str">
        <f t="shared" si="2611"/>
        <v/>
      </c>
      <c r="AB1271" s="334" t="str">
        <f t="shared" si="2612"/>
        <v/>
      </c>
    </row>
    <row r="1272" spans="2:28" x14ac:dyDescent="0.25">
      <c r="B1272" s="66">
        <v>41982</v>
      </c>
      <c r="C1272" s="66">
        <v>41982</v>
      </c>
      <c r="D1272" s="68">
        <f t="shared" ref="D1272:D1273" si="2631">IF(B1272&gt;0,MONTH(B1272),"False")</f>
        <v>12</v>
      </c>
      <c r="E1272" s="66" t="str">
        <f t="shared" ref="E1272:E1273" si="2632">YEAR(B1272) &amp; CHOOSE(D1272,"-Jan","-Feb","-Mar","-Apr","-May","-Jun","-Jul","-Aug","-Sep","-Oct","-Nov","-Dec")</f>
        <v>2014-Dec</v>
      </c>
      <c r="F1272" s="68">
        <f t="shared" ref="F1272:F1273" si="2633">IF(C1272&gt;0,MONTH(C1272),"False")</f>
        <v>12</v>
      </c>
      <c r="G1272" s="340" t="s">
        <v>112</v>
      </c>
      <c r="H1272" s="340" t="s">
        <v>1685</v>
      </c>
      <c r="J1272" s="340" t="s">
        <v>77</v>
      </c>
      <c r="K1272" s="340" t="s">
        <v>82</v>
      </c>
      <c r="L1272" s="340" t="s">
        <v>83</v>
      </c>
      <c r="M1272" s="1" t="s">
        <v>2080</v>
      </c>
      <c r="N1272" s="340" t="s">
        <v>124</v>
      </c>
      <c r="O1272" s="340" t="s">
        <v>91</v>
      </c>
      <c r="R1272" s="64" t="s">
        <v>2004</v>
      </c>
      <c r="S1272" s="1" t="s">
        <v>104</v>
      </c>
      <c r="T1272" s="67" t="s">
        <v>110</v>
      </c>
      <c r="X1272" s="1" t="s">
        <v>300</v>
      </c>
      <c r="Y1272" s="334" t="str">
        <f t="shared" si="2609"/>
        <v>Pass</v>
      </c>
      <c r="Z1272" s="11" t="str">
        <f t="shared" si="2610"/>
        <v/>
      </c>
      <c r="AA1272" s="334" t="str">
        <f t="shared" si="2611"/>
        <v/>
      </c>
      <c r="AB1272" s="334" t="str">
        <f t="shared" si="2612"/>
        <v/>
      </c>
    </row>
    <row r="1273" spans="2:28" x14ac:dyDescent="0.25">
      <c r="B1273" s="65">
        <v>41983</v>
      </c>
      <c r="C1273" s="66">
        <v>41983</v>
      </c>
      <c r="D1273" s="68">
        <f t="shared" si="2631"/>
        <v>12</v>
      </c>
      <c r="E1273" s="66" t="str">
        <f t="shared" si="2632"/>
        <v>2014-Dec</v>
      </c>
      <c r="F1273" s="68">
        <f t="shared" si="2633"/>
        <v>12</v>
      </c>
      <c r="G1273" s="341" t="s">
        <v>93</v>
      </c>
      <c r="H1273" s="341" t="s">
        <v>280</v>
      </c>
      <c r="J1273" s="341" t="s">
        <v>81</v>
      </c>
      <c r="K1273" s="341" t="s">
        <v>82</v>
      </c>
      <c r="L1273" s="341" t="s">
        <v>79</v>
      </c>
      <c r="M1273" s="1" t="s">
        <v>2081</v>
      </c>
      <c r="N1273" s="341" t="s">
        <v>124</v>
      </c>
      <c r="O1273" s="341" t="s">
        <v>286</v>
      </c>
      <c r="P1273" s="64" t="s">
        <v>305</v>
      </c>
      <c r="R1273" s="64" t="s">
        <v>1559</v>
      </c>
      <c r="S1273" s="345" t="s">
        <v>104</v>
      </c>
      <c r="X1273" s="345" t="s">
        <v>544</v>
      </c>
      <c r="Y1273" s="334" t="str">
        <f t="shared" si="2609"/>
        <v>Pass</v>
      </c>
      <c r="Z1273" s="11" t="str">
        <f t="shared" si="2610"/>
        <v/>
      </c>
      <c r="AA1273" s="334" t="str">
        <f t="shared" si="2611"/>
        <v/>
      </c>
      <c r="AB1273" s="334" t="str">
        <f t="shared" si="2612"/>
        <v/>
      </c>
    </row>
    <row r="1274" spans="2:28" x14ac:dyDescent="0.25">
      <c r="B1274" s="66">
        <v>41983</v>
      </c>
      <c r="C1274" s="66">
        <v>41983</v>
      </c>
      <c r="D1274" s="68">
        <f t="shared" ref="D1274" si="2634">IF(B1274&gt;0,MONTH(B1274),"False")</f>
        <v>12</v>
      </c>
      <c r="E1274" s="66" t="str">
        <f t="shared" ref="E1274" si="2635">YEAR(B1274) &amp; CHOOSE(D1274,"-Jan","-Feb","-Mar","-Apr","-May","-Jun","-Jul","-Aug","-Sep","-Oct","-Nov","-Dec")</f>
        <v>2014-Dec</v>
      </c>
      <c r="F1274" s="68">
        <f t="shared" ref="F1274" si="2636">IF(C1274&gt;0,MONTH(C1274),"False")</f>
        <v>12</v>
      </c>
      <c r="G1274" s="341" t="s">
        <v>112</v>
      </c>
      <c r="H1274" s="341" t="s">
        <v>1685</v>
      </c>
      <c r="J1274" s="341" t="s">
        <v>78</v>
      </c>
      <c r="K1274" s="341" t="s">
        <v>78</v>
      </c>
      <c r="L1274" s="341" t="s">
        <v>79</v>
      </c>
      <c r="M1274" s="1" t="s">
        <v>2082</v>
      </c>
      <c r="N1274" s="341" t="s">
        <v>124</v>
      </c>
      <c r="O1274" s="341" t="s">
        <v>168</v>
      </c>
      <c r="R1274" s="64" t="s">
        <v>2037</v>
      </c>
      <c r="S1274" s="1" t="s">
        <v>104</v>
      </c>
      <c r="X1274" s="1" t="s">
        <v>154</v>
      </c>
      <c r="Y1274" s="334" t="str">
        <f t="shared" si="2609"/>
        <v>Pass</v>
      </c>
      <c r="Z1274" s="11" t="str">
        <f t="shared" si="2610"/>
        <v/>
      </c>
      <c r="AA1274" s="334" t="str">
        <f t="shared" si="2611"/>
        <v/>
      </c>
      <c r="AB1274" s="334" t="str">
        <f t="shared" si="2612"/>
        <v/>
      </c>
    </row>
    <row r="1275" spans="2:28" x14ac:dyDescent="0.25">
      <c r="B1275" s="66">
        <v>41983</v>
      </c>
      <c r="C1275" s="66">
        <v>41983</v>
      </c>
      <c r="D1275" s="68">
        <f t="shared" ref="D1275" si="2637">IF(B1275&gt;0,MONTH(B1275),"False")</f>
        <v>12</v>
      </c>
      <c r="E1275" s="66" t="str">
        <f t="shared" ref="E1275" si="2638">YEAR(B1275) &amp; CHOOSE(D1275,"-Jan","-Feb","-Mar","-Apr","-May","-Jun","-Jul","-Aug","-Sep","-Oct","-Nov","-Dec")</f>
        <v>2014-Dec</v>
      </c>
      <c r="F1275" s="68">
        <f t="shared" ref="F1275" si="2639">IF(C1275&gt;0,MONTH(C1275),"False")</f>
        <v>12</v>
      </c>
      <c r="G1275" s="342" t="s">
        <v>112</v>
      </c>
      <c r="H1275" s="342" t="s">
        <v>1745</v>
      </c>
      <c r="J1275" s="342" t="s">
        <v>78</v>
      </c>
      <c r="K1275" s="342" t="s">
        <v>78</v>
      </c>
      <c r="L1275" s="342" t="s">
        <v>79</v>
      </c>
      <c r="M1275" s="1" t="s">
        <v>2083</v>
      </c>
      <c r="N1275" s="342" t="s">
        <v>124</v>
      </c>
      <c r="O1275" s="342" t="s">
        <v>167</v>
      </c>
      <c r="R1275" s="64" t="s">
        <v>1796</v>
      </c>
      <c r="S1275" s="1" t="s">
        <v>104</v>
      </c>
      <c r="T1275" s="67" t="s">
        <v>110</v>
      </c>
      <c r="X1275" s="1" t="s">
        <v>158</v>
      </c>
      <c r="Y1275" s="334" t="str">
        <f t="shared" si="2609"/>
        <v>Pass</v>
      </c>
      <c r="Z1275" s="11" t="str">
        <f t="shared" si="2610"/>
        <v/>
      </c>
      <c r="AA1275" s="334" t="str">
        <f t="shared" si="2611"/>
        <v/>
      </c>
      <c r="AB1275" s="334" t="str">
        <f t="shared" si="2612"/>
        <v/>
      </c>
    </row>
    <row r="1276" spans="2:28" x14ac:dyDescent="0.25">
      <c r="B1276" s="66">
        <v>41988</v>
      </c>
      <c r="C1276" s="66">
        <v>41988</v>
      </c>
      <c r="D1276" s="68">
        <f t="shared" ref="D1276" si="2640">IF(B1276&gt;0,MONTH(B1276),"False")</f>
        <v>12</v>
      </c>
      <c r="E1276" s="66" t="str">
        <f t="shared" ref="E1276" si="2641">YEAR(B1276) &amp; CHOOSE(D1276,"-Jan","-Feb","-Mar","-Apr","-May","-Jun","-Jul","-Aug","-Sep","-Oct","-Nov","-Dec")</f>
        <v>2014-Dec</v>
      </c>
      <c r="F1276" s="68">
        <f t="shared" ref="F1276" si="2642">IF(C1276&gt;0,MONTH(C1276),"False")</f>
        <v>12</v>
      </c>
      <c r="G1276" s="343" t="s">
        <v>87</v>
      </c>
      <c r="H1276" s="343" t="s">
        <v>166</v>
      </c>
      <c r="J1276" s="343" t="s">
        <v>149</v>
      </c>
      <c r="K1276" s="343" t="s">
        <v>84</v>
      </c>
      <c r="L1276" s="343" t="s">
        <v>83</v>
      </c>
      <c r="M1276" s="345" t="s">
        <v>2085</v>
      </c>
      <c r="N1276" s="343" t="s">
        <v>124</v>
      </c>
      <c r="O1276" s="345" t="s">
        <v>264</v>
      </c>
      <c r="Q1276" s="2" t="s">
        <v>88</v>
      </c>
      <c r="R1276" s="64" t="s">
        <v>1908</v>
      </c>
      <c r="S1276" s="1" t="s">
        <v>2084</v>
      </c>
      <c r="T1276" s="67" t="s">
        <v>110</v>
      </c>
      <c r="Y1276" s="334" t="str">
        <f t="shared" si="2609"/>
        <v>Obsolete</v>
      </c>
      <c r="Z1276" s="11">
        <f t="shared" si="2610"/>
        <v>41988</v>
      </c>
      <c r="AA1276" s="334" t="str">
        <f t="shared" si="2611"/>
        <v>2014 - 51</v>
      </c>
      <c r="AB1276" s="334">
        <f t="shared" si="2612"/>
        <v>2014</v>
      </c>
    </row>
    <row r="1277" spans="2:28" x14ac:dyDescent="0.25">
      <c r="B1277" s="66">
        <v>41985</v>
      </c>
      <c r="C1277" s="66">
        <v>41985</v>
      </c>
      <c r="D1277" s="68">
        <f t="shared" ref="D1277:D1278" si="2643">IF(B1277&gt;0,MONTH(B1277),"False")</f>
        <v>12</v>
      </c>
      <c r="E1277" s="66" t="str">
        <f t="shared" ref="E1277:E1278" si="2644">YEAR(B1277) &amp; CHOOSE(D1277,"-Jan","-Feb","-Mar","-Apr","-May","-Jun","-Jul","-Aug","-Sep","-Oct","-Nov","-Dec")</f>
        <v>2014-Dec</v>
      </c>
      <c r="F1277" s="68">
        <f t="shared" ref="F1277:F1278" si="2645">IF(C1277&gt;0,MONTH(C1277),"False")</f>
        <v>12</v>
      </c>
      <c r="G1277" s="355" t="s">
        <v>126</v>
      </c>
      <c r="H1277" s="345" t="s">
        <v>280</v>
      </c>
      <c r="J1277" s="345" t="s">
        <v>78</v>
      </c>
      <c r="K1277" s="345" t="s">
        <v>78</v>
      </c>
      <c r="L1277" s="345" t="s">
        <v>79</v>
      </c>
      <c r="M1277" s="1" t="s">
        <v>2086</v>
      </c>
      <c r="N1277" s="345" t="s">
        <v>124</v>
      </c>
      <c r="O1277" s="345" t="s">
        <v>304</v>
      </c>
      <c r="R1277" s="64" t="s">
        <v>344</v>
      </c>
      <c r="S1277" s="355" t="s">
        <v>104</v>
      </c>
      <c r="X1277" s="355" t="s">
        <v>544</v>
      </c>
      <c r="Y1277" s="334" t="str">
        <f t="shared" si="2609"/>
        <v>Pass</v>
      </c>
      <c r="Z1277" s="11" t="str">
        <f t="shared" si="2610"/>
        <v/>
      </c>
      <c r="AA1277" s="334" t="str">
        <f t="shared" si="2611"/>
        <v/>
      </c>
      <c r="AB1277" s="334" t="str">
        <f t="shared" si="2612"/>
        <v/>
      </c>
    </row>
    <row r="1278" spans="2:28" x14ac:dyDescent="0.25">
      <c r="B1278" s="65">
        <v>41985</v>
      </c>
      <c r="C1278" s="66">
        <v>41985</v>
      </c>
      <c r="D1278" s="68">
        <f t="shared" si="2643"/>
        <v>12</v>
      </c>
      <c r="E1278" s="66" t="str">
        <f t="shared" si="2644"/>
        <v>2014-Dec</v>
      </c>
      <c r="F1278" s="68">
        <f t="shared" si="2645"/>
        <v>12</v>
      </c>
      <c r="G1278" s="345" t="s">
        <v>93</v>
      </c>
      <c r="H1278" s="345" t="s">
        <v>280</v>
      </c>
      <c r="J1278" s="345" t="s">
        <v>81</v>
      </c>
      <c r="K1278" s="345" t="s">
        <v>82</v>
      </c>
      <c r="L1278" s="345" t="s">
        <v>79</v>
      </c>
      <c r="M1278" s="1" t="s">
        <v>2087</v>
      </c>
      <c r="N1278" s="345" t="s">
        <v>124</v>
      </c>
      <c r="O1278" s="345" t="s">
        <v>286</v>
      </c>
      <c r="P1278" s="64" t="s">
        <v>305</v>
      </c>
      <c r="R1278" s="64" t="s">
        <v>1559</v>
      </c>
      <c r="S1278" s="345" t="s">
        <v>104</v>
      </c>
      <c r="X1278" s="345" t="s">
        <v>544</v>
      </c>
      <c r="Y1278" s="334" t="str">
        <f t="shared" si="2609"/>
        <v>Pass</v>
      </c>
      <c r="Z1278" s="11" t="str">
        <f t="shared" si="2610"/>
        <v/>
      </c>
      <c r="AA1278" s="334" t="str">
        <f t="shared" si="2611"/>
        <v/>
      </c>
      <c r="AB1278" s="334" t="str">
        <f t="shared" si="2612"/>
        <v/>
      </c>
    </row>
    <row r="1279" spans="2:28" x14ac:dyDescent="0.25">
      <c r="B1279" s="65">
        <v>41985</v>
      </c>
      <c r="C1279" s="66">
        <v>41985</v>
      </c>
      <c r="D1279" s="68">
        <f t="shared" ref="D1279:D1280" si="2646">IF(B1279&gt;0,MONTH(B1279),"False")</f>
        <v>12</v>
      </c>
      <c r="E1279" s="66" t="str">
        <f t="shared" ref="E1279:E1280" si="2647">YEAR(B1279) &amp; CHOOSE(D1279,"-Jan","-Feb","-Mar","-Apr","-May","-Jun","-Jul","-Aug","-Sep","-Oct","-Nov","-Dec")</f>
        <v>2014-Dec</v>
      </c>
      <c r="F1279" s="68">
        <f t="shared" ref="F1279:F1280" si="2648">IF(C1279&gt;0,MONTH(C1279),"False")</f>
        <v>12</v>
      </c>
      <c r="G1279" s="356" t="s">
        <v>121</v>
      </c>
      <c r="H1279" s="345" t="s">
        <v>348</v>
      </c>
      <c r="J1279" s="345" t="s">
        <v>77</v>
      </c>
      <c r="K1279" s="345" t="s">
        <v>82</v>
      </c>
      <c r="L1279" s="345" t="s">
        <v>79</v>
      </c>
      <c r="M1279" s="1" t="s">
        <v>2088</v>
      </c>
      <c r="N1279" s="345" t="s">
        <v>124</v>
      </c>
      <c r="O1279" s="345" t="s">
        <v>91</v>
      </c>
      <c r="P1279" s="64" t="s">
        <v>352</v>
      </c>
      <c r="R1279" s="64" t="s">
        <v>2062</v>
      </c>
      <c r="S1279" s="356" t="s">
        <v>104</v>
      </c>
      <c r="X1279" s="356" t="s">
        <v>1474</v>
      </c>
      <c r="Y1279" s="334" t="str">
        <f t="shared" si="2609"/>
        <v>Pass</v>
      </c>
      <c r="Z1279" s="11" t="str">
        <f t="shared" si="2610"/>
        <v/>
      </c>
      <c r="AA1279" s="334" t="str">
        <f t="shared" si="2611"/>
        <v/>
      </c>
      <c r="AB1279" s="334" t="str">
        <f t="shared" si="2612"/>
        <v/>
      </c>
    </row>
    <row r="1280" spans="2:28" x14ac:dyDescent="0.25">
      <c r="B1280" s="66">
        <v>41988</v>
      </c>
      <c r="C1280" s="66">
        <v>41988</v>
      </c>
      <c r="D1280" s="68">
        <f t="shared" si="2646"/>
        <v>12</v>
      </c>
      <c r="E1280" s="66" t="str">
        <f t="shared" si="2647"/>
        <v>2014-Dec</v>
      </c>
      <c r="F1280" s="68">
        <f t="shared" si="2648"/>
        <v>12</v>
      </c>
      <c r="G1280" s="346" t="s">
        <v>87</v>
      </c>
      <c r="H1280" s="346" t="s">
        <v>166</v>
      </c>
      <c r="J1280" s="346" t="s">
        <v>149</v>
      </c>
      <c r="K1280" s="346" t="s">
        <v>84</v>
      </c>
      <c r="L1280" s="346" t="s">
        <v>83</v>
      </c>
      <c r="M1280" s="1" t="s">
        <v>2085</v>
      </c>
      <c r="N1280" s="346" t="s">
        <v>124</v>
      </c>
      <c r="O1280" s="346" t="s">
        <v>264</v>
      </c>
      <c r="R1280" s="64" t="s">
        <v>1908</v>
      </c>
      <c r="Y1280" s="334" t="str">
        <f t="shared" si="2609"/>
        <v>Unknown</v>
      </c>
      <c r="Z1280" s="11" t="str">
        <f t="shared" si="2610"/>
        <v/>
      </c>
      <c r="AA1280" s="334" t="str">
        <f t="shared" si="2611"/>
        <v/>
      </c>
      <c r="AB1280" s="334" t="str">
        <f t="shared" si="2612"/>
        <v/>
      </c>
    </row>
    <row r="1281" spans="2:28" x14ac:dyDescent="0.25">
      <c r="B1281" s="66">
        <v>41988</v>
      </c>
      <c r="C1281" s="66">
        <v>41988</v>
      </c>
      <c r="D1281" s="68">
        <f t="shared" ref="D1281" si="2649">IF(B1281&gt;0,MONTH(B1281),"False")</f>
        <v>12</v>
      </c>
      <c r="E1281" s="66" t="str">
        <f t="shared" ref="E1281" si="2650">YEAR(B1281) &amp; CHOOSE(D1281,"-Jan","-Feb","-Mar","-Apr","-May","-Jun","-Jul","-Aug","-Sep","-Oct","-Nov","-Dec")</f>
        <v>2014-Dec</v>
      </c>
      <c r="F1281" s="68">
        <f t="shared" ref="F1281" si="2651">IF(C1281&gt;0,MONTH(C1281),"False")</f>
        <v>12</v>
      </c>
      <c r="G1281" s="346" t="s">
        <v>112</v>
      </c>
      <c r="H1281" s="346" t="s">
        <v>166</v>
      </c>
      <c r="J1281" s="346" t="s">
        <v>77</v>
      </c>
      <c r="K1281" s="346" t="s">
        <v>82</v>
      </c>
      <c r="L1281" s="346" t="s">
        <v>83</v>
      </c>
      <c r="M1281" s="1" t="s">
        <v>2089</v>
      </c>
      <c r="N1281" s="346" t="s">
        <v>124</v>
      </c>
      <c r="O1281" s="346" t="s">
        <v>1606</v>
      </c>
      <c r="R1281" s="64" t="s">
        <v>862</v>
      </c>
      <c r="S1281" s="1" t="s">
        <v>104</v>
      </c>
      <c r="X1281" s="1" t="s">
        <v>652</v>
      </c>
      <c r="Y1281" s="334" t="str">
        <f t="shared" si="2609"/>
        <v>Pass</v>
      </c>
      <c r="Z1281" s="11" t="str">
        <f t="shared" si="2610"/>
        <v/>
      </c>
      <c r="AA1281" s="334" t="str">
        <f t="shared" si="2611"/>
        <v/>
      </c>
      <c r="AB1281" s="334" t="str">
        <f t="shared" si="2612"/>
        <v/>
      </c>
    </row>
    <row r="1282" spans="2:28" x14ac:dyDescent="0.25">
      <c r="B1282" s="66">
        <v>41988</v>
      </c>
      <c r="C1282" s="66">
        <v>41988</v>
      </c>
      <c r="D1282" s="68">
        <f t="shared" ref="D1282" si="2652">IF(B1282&gt;0,MONTH(B1282),"False")</f>
        <v>12</v>
      </c>
      <c r="E1282" s="66" t="str">
        <f t="shared" ref="E1282" si="2653">YEAR(B1282) &amp; CHOOSE(D1282,"-Jan","-Feb","-Mar","-Apr","-May","-Jun","-Jul","-Aug","-Sep","-Oct","-Nov","-Dec")</f>
        <v>2014-Dec</v>
      </c>
      <c r="F1282" s="68">
        <f t="shared" ref="F1282" si="2654">IF(C1282&gt;0,MONTH(C1282),"False")</f>
        <v>12</v>
      </c>
      <c r="G1282" s="346" t="s">
        <v>87</v>
      </c>
      <c r="H1282" s="346" t="s">
        <v>2091</v>
      </c>
      <c r="J1282" s="346" t="s">
        <v>120</v>
      </c>
      <c r="K1282" s="346" t="s">
        <v>82</v>
      </c>
      <c r="L1282" s="346" t="s">
        <v>83</v>
      </c>
      <c r="M1282" s="1" t="s">
        <v>2090</v>
      </c>
      <c r="N1282" s="346" t="s">
        <v>124</v>
      </c>
      <c r="O1282" s="346" t="s">
        <v>114</v>
      </c>
      <c r="R1282" s="64" t="s">
        <v>2092</v>
      </c>
      <c r="Y1282" s="334" t="str">
        <f t="shared" si="2609"/>
        <v>Unknown</v>
      </c>
      <c r="Z1282" s="11" t="str">
        <f t="shared" si="2610"/>
        <v/>
      </c>
      <c r="AA1282" s="334" t="str">
        <f t="shared" si="2611"/>
        <v/>
      </c>
      <c r="AB1282" s="334" t="str">
        <f t="shared" si="2612"/>
        <v/>
      </c>
    </row>
    <row r="1283" spans="2:28" x14ac:dyDescent="0.25">
      <c r="B1283" s="66">
        <v>41988</v>
      </c>
      <c r="C1283" s="66">
        <v>41988</v>
      </c>
      <c r="D1283" s="68">
        <f t="shared" ref="D1283:D1284" si="2655">IF(B1283&gt;0,MONTH(B1283),"False")</f>
        <v>12</v>
      </c>
      <c r="E1283" s="66" t="str">
        <f t="shared" ref="E1283:E1284" si="2656">YEAR(B1283) &amp; CHOOSE(D1283,"-Jan","-Feb","-Mar","-Apr","-May","-Jun","-Jul","-Aug","-Sep","-Oct","-Nov","-Dec")</f>
        <v>2014-Dec</v>
      </c>
      <c r="F1283" s="68">
        <f t="shared" ref="F1283:F1284" si="2657">IF(C1283&gt;0,MONTH(C1283),"False")</f>
        <v>12</v>
      </c>
      <c r="G1283" s="346" t="s">
        <v>87</v>
      </c>
      <c r="H1283" s="346" t="s">
        <v>2091</v>
      </c>
      <c r="I1283" s="346"/>
      <c r="J1283" s="346" t="s">
        <v>77</v>
      </c>
      <c r="K1283" s="346" t="s">
        <v>82</v>
      </c>
      <c r="L1283" s="346" t="s">
        <v>83</v>
      </c>
      <c r="M1283" s="1" t="s">
        <v>2093</v>
      </c>
      <c r="N1283" s="346" t="s">
        <v>124</v>
      </c>
      <c r="O1283" s="346" t="s">
        <v>265</v>
      </c>
      <c r="R1283" s="64" t="s">
        <v>2092</v>
      </c>
      <c r="Y1283" s="334" t="str">
        <f t="shared" si="2609"/>
        <v>Unknown</v>
      </c>
      <c r="Z1283" s="11" t="str">
        <f t="shared" si="2610"/>
        <v/>
      </c>
      <c r="AA1283" s="334" t="str">
        <f t="shared" si="2611"/>
        <v/>
      </c>
      <c r="AB1283" s="334" t="str">
        <f t="shared" si="2612"/>
        <v/>
      </c>
    </row>
    <row r="1284" spans="2:28" x14ac:dyDescent="0.25">
      <c r="B1284" s="65">
        <v>41988</v>
      </c>
      <c r="C1284" s="66">
        <v>41988</v>
      </c>
      <c r="D1284" s="68">
        <f t="shared" si="2655"/>
        <v>12</v>
      </c>
      <c r="E1284" s="66" t="str">
        <f t="shared" si="2656"/>
        <v>2014-Dec</v>
      </c>
      <c r="F1284" s="68">
        <f t="shared" si="2657"/>
        <v>12</v>
      </c>
      <c r="G1284" s="346" t="s">
        <v>93</v>
      </c>
      <c r="H1284" s="346" t="s">
        <v>166</v>
      </c>
      <c r="J1284" s="346" t="s">
        <v>77</v>
      </c>
      <c r="K1284" s="346" t="s">
        <v>82</v>
      </c>
      <c r="L1284" s="346" t="s">
        <v>79</v>
      </c>
      <c r="M1284" s="1" t="s">
        <v>2094</v>
      </c>
      <c r="N1284" s="346" t="s">
        <v>124</v>
      </c>
      <c r="O1284" s="346" t="s">
        <v>1606</v>
      </c>
      <c r="P1284" s="64" t="s">
        <v>319</v>
      </c>
      <c r="R1284" s="64" t="s">
        <v>320</v>
      </c>
      <c r="S1284" s="1" t="s">
        <v>104</v>
      </c>
      <c r="X1284" s="1" t="s">
        <v>159</v>
      </c>
      <c r="Y1284" s="334" t="str">
        <f t="shared" si="2609"/>
        <v>Pass</v>
      </c>
      <c r="Z1284" s="11" t="str">
        <f t="shared" si="2610"/>
        <v/>
      </c>
      <c r="AA1284" s="334" t="str">
        <f t="shared" si="2611"/>
        <v/>
      </c>
      <c r="AB1284" s="334" t="str">
        <f t="shared" si="2612"/>
        <v/>
      </c>
    </row>
    <row r="1285" spans="2:28" x14ac:dyDescent="0.25">
      <c r="B1285" s="65">
        <v>41988</v>
      </c>
      <c r="C1285" s="66">
        <v>41988</v>
      </c>
      <c r="D1285" s="68">
        <f t="shared" ref="D1285" si="2658">IF(B1285&gt;0,MONTH(B1285),"False")</f>
        <v>12</v>
      </c>
      <c r="E1285" s="66" t="str">
        <f t="shared" ref="E1285" si="2659">YEAR(B1285) &amp; CHOOSE(D1285,"-Jan","-Feb","-Mar","-Apr","-May","-Jun","-Jul","-Aug","-Sep","-Oct","-Nov","-Dec")</f>
        <v>2014-Dec</v>
      </c>
      <c r="F1285" s="68">
        <f t="shared" ref="F1285" si="2660">IF(C1285&gt;0,MONTH(C1285),"False")</f>
        <v>12</v>
      </c>
      <c r="G1285" s="363" t="s">
        <v>121</v>
      </c>
      <c r="H1285" s="346" t="s">
        <v>1745</v>
      </c>
      <c r="I1285" s="369" t="s">
        <v>2139</v>
      </c>
      <c r="J1285" s="346" t="s">
        <v>81</v>
      </c>
      <c r="K1285" s="346" t="s">
        <v>82</v>
      </c>
      <c r="L1285" s="346" t="s">
        <v>79</v>
      </c>
      <c r="M1285" s="1" t="s">
        <v>2095</v>
      </c>
      <c r="N1285" s="346" t="s">
        <v>124</v>
      </c>
      <c r="O1285" s="346" t="s">
        <v>2072</v>
      </c>
      <c r="P1285" s="64" t="s">
        <v>1823</v>
      </c>
      <c r="R1285" s="64" t="s">
        <v>1824</v>
      </c>
      <c r="S1285" s="1" t="s">
        <v>104</v>
      </c>
      <c r="X1285" s="564" t="s">
        <v>158</v>
      </c>
      <c r="Y1285" s="334" t="str">
        <f t="shared" si="2609"/>
        <v>Pass</v>
      </c>
      <c r="Z1285" s="11" t="str">
        <f t="shared" si="2610"/>
        <v/>
      </c>
      <c r="AA1285" s="334" t="str">
        <f t="shared" si="2611"/>
        <v/>
      </c>
      <c r="AB1285" s="334" t="str">
        <f t="shared" si="2612"/>
        <v/>
      </c>
    </row>
    <row r="1286" spans="2:28" x14ac:dyDescent="0.25">
      <c r="B1286" s="65">
        <v>41988</v>
      </c>
      <c r="C1286" s="66">
        <v>41991</v>
      </c>
      <c r="D1286" s="68">
        <f t="shared" ref="D1286:D1287" si="2661">IF(B1286&gt;0,MONTH(B1286),"False")</f>
        <v>12</v>
      </c>
      <c r="E1286" s="66" t="str">
        <f t="shared" ref="E1286:E1287" si="2662">YEAR(B1286) &amp; CHOOSE(D1286,"-Jan","-Feb","-Mar","-Apr","-May","-Jun","-Jul","-Aug","-Sep","-Oct","-Nov","-Dec")</f>
        <v>2014-Dec</v>
      </c>
      <c r="F1286" s="68">
        <f t="shared" ref="F1286:F1287" si="2663">IF(C1286&gt;0,MONTH(C1286),"False")</f>
        <v>12</v>
      </c>
      <c r="G1286" s="415" t="s">
        <v>121</v>
      </c>
      <c r="H1286" s="346" t="s">
        <v>166</v>
      </c>
      <c r="J1286" s="346" t="s">
        <v>77</v>
      </c>
      <c r="K1286" s="346" t="s">
        <v>82</v>
      </c>
      <c r="L1286" s="346" t="s">
        <v>79</v>
      </c>
      <c r="M1286" s="1" t="s">
        <v>2096</v>
      </c>
      <c r="N1286" s="346" t="s">
        <v>124</v>
      </c>
      <c r="O1286" s="346" t="s">
        <v>1606</v>
      </c>
      <c r="P1286" s="64" t="s">
        <v>319</v>
      </c>
      <c r="S1286" s="415" t="s">
        <v>104</v>
      </c>
      <c r="X1286" s="415" t="s">
        <v>300</v>
      </c>
      <c r="Y1286" s="334" t="str">
        <f t="shared" si="2609"/>
        <v>Pass</v>
      </c>
      <c r="Z1286" s="11" t="str">
        <f t="shared" si="2610"/>
        <v/>
      </c>
      <c r="AA1286" s="334" t="str">
        <f t="shared" si="2611"/>
        <v/>
      </c>
      <c r="AB1286" s="334" t="str">
        <f t="shared" si="2612"/>
        <v/>
      </c>
    </row>
    <row r="1287" spans="2:28" x14ac:dyDescent="0.25">
      <c r="B1287" s="66">
        <v>41989</v>
      </c>
      <c r="C1287" s="66">
        <v>41989</v>
      </c>
      <c r="D1287" s="68">
        <f t="shared" si="2661"/>
        <v>12</v>
      </c>
      <c r="E1287" s="66" t="str">
        <f t="shared" si="2662"/>
        <v>2014-Dec</v>
      </c>
      <c r="F1287" s="68">
        <f t="shared" si="2663"/>
        <v>12</v>
      </c>
      <c r="G1287" s="347" t="s">
        <v>112</v>
      </c>
      <c r="H1287" s="347" t="s">
        <v>1745</v>
      </c>
      <c r="J1287" s="347" t="s">
        <v>78</v>
      </c>
      <c r="K1287" s="347" t="s">
        <v>78</v>
      </c>
      <c r="L1287" s="347" t="s">
        <v>79</v>
      </c>
      <c r="M1287" s="1" t="s">
        <v>2097</v>
      </c>
      <c r="N1287" s="347" t="s">
        <v>124</v>
      </c>
      <c r="O1287" s="347" t="s">
        <v>168</v>
      </c>
      <c r="R1287" s="64" t="s">
        <v>1796</v>
      </c>
      <c r="S1287" s="1" t="s">
        <v>104</v>
      </c>
      <c r="X1287" s="1" t="s">
        <v>158</v>
      </c>
      <c r="Y1287" s="334" t="str">
        <f t="shared" si="2609"/>
        <v>Pass</v>
      </c>
      <c r="Z1287" s="11" t="str">
        <f t="shared" si="2610"/>
        <v/>
      </c>
      <c r="AA1287" s="334" t="str">
        <f t="shared" si="2611"/>
        <v/>
      </c>
      <c r="AB1287" s="334" t="str">
        <f t="shared" si="2612"/>
        <v/>
      </c>
    </row>
    <row r="1288" spans="2:28" x14ac:dyDescent="0.25">
      <c r="B1288" s="66">
        <v>41989</v>
      </c>
      <c r="C1288" s="66">
        <v>41989</v>
      </c>
      <c r="D1288" s="68">
        <f t="shared" ref="D1288" si="2664">IF(B1288&gt;0,MONTH(B1288),"False")</f>
        <v>12</v>
      </c>
      <c r="E1288" s="66" t="str">
        <f t="shared" ref="E1288" si="2665">YEAR(B1288) &amp; CHOOSE(D1288,"-Jan","-Feb","-Mar","-Apr","-May","-Jun","-Jul","-Aug","-Sep","-Oct","-Nov","-Dec")</f>
        <v>2014-Dec</v>
      </c>
      <c r="F1288" s="68">
        <f t="shared" ref="F1288" si="2666">IF(C1288&gt;0,MONTH(C1288),"False")</f>
        <v>12</v>
      </c>
      <c r="G1288" s="347" t="s">
        <v>87</v>
      </c>
      <c r="H1288" s="347" t="s">
        <v>115</v>
      </c>
      <c r="J1288" s="347" t="s">
        <v>77</v>
      </c>
      <c r="K1288" s="347" t="s">
        <v>82</v>
      </c>
      <c r="L1288" s="347" t="s">
        <v>83</v>
      </c>
      <c r="M1288" s="1" t="s">
        <v>2098</v>
      </c>
      <c r="N1288" s="347" t="s">
        <v>124</v>
      </c>
      <c r="O1288" s="347" t="s">
        <v>507</v>
      </c>
      <c r="R1288" s="64" t="s">
        <v>1979</v>
      </c>
      <c r="T1288" s="67" t="s">
        <v>110</v>
      </c>
      <c r="Y1288" s="334" t="str">
        <f t="shared" si="2609"/>
        <v>Unknown</v>
      </c>
      <c r="Z1288" s="11" t="str">
        <f t="shared" si="2610"/>
        <v/>
      </c>
      <c r="AA1288" s="334" t="str">
        <f t="shared" si="2611"/>
        <v/>
      </c>
      <c r="AB1288" s="334" t="str">
        <f t="shared" si="2612"/>
        <v/>
      </c>
    </row>
    <row r="1289" spans="2:28" x14ac:dyDescent="0.25">
      <c r="B1289" s="66">
        <v>41990</v>
      </c>
      <c r="C1289" s="66">
        <v>41990</v>
      </c>
      <c r="D1289" s="68">
        <f t="shared" ref="D1289" si="2667">IF(B1289&gt;0,MONTH(B1289),"False")</f>
        <v>12</v>
      </c>
      <c r="E1289" s="66" t="str">
        <f t="shared" ref="E1289" si="2668">YEAR(B1289) &amp; CHOOSE(D1289,"-Jan","-Feb","-Mar","-Apr","-May","-Jun","-Jul","-Aug","-Sep","-Oct","-Nov","-Dec")</f>
        <v>2014-Dec</v>
      </c>
      <c r="F1289" s="68">
        <f t="shared" ref="F1289" si="2669">IF(C1289&gt;0,MONTH(C1289),"False")</f>
        <v>12</v>
      </c>
      <c r="G1289" s="348" t="s">
        <v>87</v>
      </c>
      <c r="H1289" s="348" t="s">
        <v>2091</v>
      </c>
      <c r="J1289" s="348" t="s">
        <v>150</v>
      </c>
      <c r="K1289" s="348" t="s">
        <v>84</v>
      </c>
      <c r="L1289" s="348" t="s">
        <v>83</v>
      </c>
      <c r="M1289" s="1" t="s">
        <v>2099</v>
      </c>
      <c r="N1289" s="348" t="s">
        <v>124</v>
      </c>
      <c r="O1289" s="348" t="s">
        <v>325</v>
      </c>
      <c r="R1289" s="64" t="s">
        <v>2100</v>
      </c>
      <c r="Y1289" s="334" t="str">
        <f t="shared" si="2609"/>
        <v>Unknown</v>
      </c>
      <c r="Z1289" s="11" t="str">
        <f t="shared" si="2610"/>
        <v/>
      </c>
      <c r="AA1289" s="334" t="str">
        <f t="shared" si="2611"/>
        <v/>
      </c>
      <c r="AB1289" s="334" t="str">
        <f t="shared" si="2612"/>
        <v/>
      </c>
    </row>
    <row r="1290" spans="2:28" x14ac:dyDescent="0.25">
      <c r="B1290" s="66">
        <v>41990</v>
      </c>
      <c r="C1290" s="66">
        <v>41990</v>
      </c>
      <c r="D1290" s="68">
        <f t="shared" ref="D1290" si="2670">IF(B1290&gt;0,MONTH(B1290),"False")</f>
        <v>12</v>
      </c>
      <c r="E1290" s="66" t="str">
        <f t="shared" ref="E1290" si="2671">YEAR(B1290) &amp; CHOOSE(D1290,"-Jan","-Feb","-Mar","-Apr","-May","-Jun","-Jul","-Aug","-Sep","-Oct","-Nov","-Dec")</f>
        <v>2014-Dec</v>
      </c>
      <c r="F1290" s="68">
        <f t="shared" ref="F1290" si="2672">IF(C1290&gt;0,MONTH(C1290),"False")</f>
        <v>12</v>
      </c>
      <c r="G1290" s="348" t="s">
        <v>87</v>
      </c>
      <c r="H1290" s="348" t="s">
        <v>2091</v>
      </c>
      <c r="J1290" s="348" t="s">
        <v>98</v>
      </c>
      <c r="K1290" s="348" t="s">
        <v>84</v>
      </c>
      <c r="L1290" s="348" t="s">
        <v>83</v>
      </c>
      <c r="M1290" s="1" t="s">
        <v>2101</v>
      </c>
      <c r="N1290" s="348" t="s">
        <v>124</v>
      </c>
      <c r="O1290" s="348" t="s">
        <v>2020</v>
      </c>
      <c r="Q1290" s="2" t="s">
        <v>88</v>
      </c>
      <c r="R1290" s="64" t="s">
        <v>2100</v>
      </c>
      <c r="Y1290" s="334" t="str">
        <f t="shared" si="2609"/>
        <v>Obsolete</v>
      </c>
      <c r="Z1290" s="11">
        <f t="shared" si="2610"/>
        <v>41990</v>
      </c>
      <c r="AA1290" s="334" t="str">
        <f t="shared" si="2611"/>
        <v>2014 - 51</v>
      </c>
      <c r="AB1290" s="334">
        <f t="shared" si="2612"/>
        <v>2014</v>
      </c>
    </row>
    <row r="1291" spans="2:28" x14ac:dyDescent="0.25">
      <c r="B1291" s="66">
        <v>41990</v>
      </c>
      <c r="C1291" s="66">
        <v>41990</v>
      </c>
      <c r="D1291" s="68">
        <f t="shared" ref="D1291" si="2673">IF(B1291&gt;0,MONTH(B1291),"False")</f>
        <v>12</v>
      </c>
      <c r="E1291" s="66" t="str">
        <f t="shared" ref="E1291" si="2674">YEAR(B1291) &amp; CHOOSE(D1291,"-Jan","-Feb","-Mar","-Apr","-May","-Jun","-Jul","-Aug","-Sep","-Oct","-Nov","-Dec")</f>
        <v>2014-Dec</v>
      </c>
      <c r="F1291" s="68">
        <f t="shared" ref="F1291" si="2675">IF(C1291&gt;0,MONTH(C1291),"False")</f>
        <v>12</v>
      </c>
      <c r="G1291" s="348" t="s">
        <v>87</v>
      </c>
      <c r="H1291" s="348" t="s">
        <v>166</v>
      </c>
      <c r="J1291" s="348" t="s">
        <v>292</v>
      </c>
      <c r="K1291" s="348" t="s">
        <v>292</v>
      </c>
      <c r="L1291" s="348" t="s">
        <v>83</v>
      </c>
      <c r="M1291" s="1" t="s">
        <v>2102</v>
      </c>
      <c r="N1291" s="348" t="s">
        <v>124</v>
      </c>
      <c r="O1291" s="348" t="s">
        <v>156</v>
      </c>
      <c r="R1291" s="64" t="s">
        <v>2103</v>
      </c>
      <c r="Y1291" s="334" t="str">
        <f t="shared" si="2609"/>
        <v>Unknown</v>
      </c>
      <c r="Z1291" s="11" t="str">
        <f t="shared" si="2610"/>
        <v/>
      </c>
      <c r="AA1291" s="334" t="str">
        <f t="shared" si="2611"/>
        <v/>
      </c>
      <c r="AB1291" s="334" t="str">
        <f t="shared" si="2612"/>
        <v/>
      </c>
    </row>
    <row r="1292" spans="2:28" x14ac:dyDescent="0.25">
      <c r="B1292" s="66">
        <v>41990</v>
      </c>
      <c r="C1292" s="66">
        <v>41990</v>
      </c>
      <c r="D1292" s="68">
        <f t="shared" ref="D1292" si="2676">IF(B1292&gt;0,MONTH(B1292),"False")</f>
        <v>12</v>
      </c>
      <c r="E1292" s="66" t="str">
        <f t="shared" ref="E1292" si="2677">YEAR(B1292) &amp; CHOOSE(D1292,"-Jan","-Feb","-Mar","-Apr","-May","-Jun","-Jul","-Aug","-Sep","-Oct","-Nov","-Dec")</f>
        <v>2014-Dec</v>
      </c>
      <c r="F1292" s="68">
        <f t="shared" ref="F1292" si="2678">IF(C1292&gt;0,MONTH(C1292),"False")</f>
        <v>12</v>
      </c>
      <c r="G1292" s="348" t="s">
        <v>112</v>
      </c>
      <c r="H1292" s="348" t="s">
        <v>1685</v>
      </c>
      <c r="J1292" s="348" t="s">
        <v>78</v>
      </c>
      <c r="K1292" s="348" t="s">
        <v>78</v>
      </c>
      <c r="L1292" s="348" t="s">
        <v>79</v>
      </c>
      <c r="M1292" s="348" t="s">
        <v>2104</v>
      </c>
      <c r="N1292" s="348" t="s">
        <v>124</v>
      </c>
      <c r="O1292" s="348" t="s">
        <v>97</v>
      </c>
      <c r="R1292" s="64" t="s">
        <v>2037</v>
      </c>
      <c r="S1292" s="1" t="s">
        <v>104</v>
      </c>
      <c r="X1292" s="1" t="s">
        <v>154</v>
      </c>
      <c r="Y1292" s="334" t="str">
        <f t="shared" si="2609"/>
        <v>Pass</v>
      </c>
      <c r="Z1292" s="11" t="str">
        <f t="shared" si="2610"/>
        <v/>
      </c>
      <c r="AA1292" s="334" t="str">
        <f t="shared" si="2611"/>
        <v/>
      </c>
      <c r="AB1292" s="334" t="str">
        <f t="shared" si="2612"/>
        <v/>
      </c>
    </row>
    <row r="1293" spans="2:28" x14ac:dyDescent="0.25">
      <c r="B1293" s="66">
        <v>41990</v>
      </c>
      <c r="C1293" s="66">
        <v>41990</v>
      </c>
      <c r="D1293" s="68">
        <f t="shared" ref="D1293:D1294" si="2679">IF(B1293&gt;0,MONTH(B1293),"False")</f>
        <v>12</v>
      </c>
      <c r="E1293" s="66" t="str">
        <f t="shared" ref="E1293:E1294" si="2680">YEAR(B1293) &amp; CHOOSE(D1293,"-Jan","-Feb","-Mar","-Apr","-May","-Jun","-Jul","-Aug","-Sep","-Oct","-Nov","-Dec")</f>
        <v>2014-Dec</v>
      </c>
      <c r="F1293" s="68">
        <f t="shared" ref="F1293:F1294" si="2681">IF(C1293&gt;0,MONTH(C1293),"False")</f>
        <v>12</v>
      </c>
      <c r="G1293" s="348" t="s">
        <v>87</v>
      </c>
      <c r="H1293" s="348" t="s">
        <v>115</v>
      </c>
      <c r="J1293" s="348" t="s">
        <v>292</v>
      </c>
      <c r="K1293" s="348" t="s">
        <v>292</v>
      </c>
      <c r="L1293" s="348" t="s">
        <v>83</v>
      </c>
      <c r="M1293" s="1" t="s">
        <v>2105</v>
      </c>
      <c r="N1293" s="348" t="s">
        <v>124</v>
      </c>
      <c r="O1293" s="348" t="s">
        <v>156</v>
      </c>
      <c r="R1293" s="64" t="s">
        <v>2106</v>
      </c>
      <c r="Y1293" s="362" t="str">
        <f t="shared" ref="Y1293:Y1312" si="2682">IF(Q1293&gt;0,"Obsolete",IF(S1293&gt;0,S1293,"Unknown"))</f>
        <v>Unknown</v>
      </c>
      <c r="Z1293" s="11" t="str">
        <f t="shared" ref="Z1293:Z1312" si="2683">IF(Q1293="Obsolete-LQA",C1293,IF(Q1293="Obsolete-IT",B1293,""))</f>
        <v/>
      </c>
      <c r="AA1293" s="362" t="str">
        <f t="shared" ref="AA1293:AA1312" si="2684">IFERROR(YEAR(Z1293)&amp;" - "&amp; IF(LEN( WEEKNUM(Z1293))=1,"0" &amp; WEEKNUM(Z1293),WEEKNUM(Z1293)),"")</f>
        <v/>
      </c>
      <c r="AB1293" s="362" t="str">
        <f t="shared" ref="AB1293:AB1312" si="2685">IFERROR(YEAR(Z1293),"")</f>
        <v/>
      </c>
    </row>
    <row r="1294" spans="2:28" x14ac:dyDescent="0.25">
      <c r="B1294" s="65">
        <v>41991</v>
      </c>
      <c r="C1294" s="66">
        <v>41991</v>
      </c>
      <c r="D1294" s="68">
        <f t="shared" si="2679"/>
        <v>12</v>
      </c>
      <c r="E1294" s="66" t="str">
        <f t="shared" si="2680"/>
        <v>2014-Dec</v>
      </c>
      <c r="F1294" s="68">
        <f t="shared" si="2681"/>
        <v>12</v>
      </c>
      <c r="G1294" s="349" t="s">
        <v>93</v>
      </c>
      <c r="H1294" s="349" t="s">
        <v>1685</v>
      </c>
      <c r="J1294" s="349" t="s">
        <v>81</v>
      </c>
      <c r="K1294" s="349" t="s">
        <v>82</v>
      </c>
      <c r="L1294" s="349" t="s">
        <v>79</v>
      </c>
      <c r="M1294" s="1" t="s">
        <v>2107</v>
      </c>
      <c r="N1294" s="349" t="s">
        <v>124</v>
      </c>
      <c r="O1294" s="349" t="s">
        <v>91</v>
      </c>
      <c r="P1294" s="64" t="s">
        <v>2009</v>
      </c>
      <c r="R1294" s="64" t="s">
        <v>2004</v>
      </c>
      <c r="S1294" s="1" t="s">
        <v>104</v>
      </c>
      <c r="Y1294" s="362" t="str">
        <f t="shared" si="2682"/>
        <v>Pass</v>
      </c>
      <c r="Z1294" s="11" t="str">
        <f t="shared" si="2683"/>
        <v/>
      </c>
      <c r="AA1294" s="362" t="str">
        <f t="shared" si="2684"/>
        <v/>
      </c>
      <c r="AB1294" s="362" t="str">
        <f t="shared" si="2685"/>
        <v/>
      </c>
    </row>
    <row r="1295" spans="2:28" x14ac:dyDescent="0.25">
      <c r="B1295" s="66">
        <v>41991</v>
      </c>
      <c r="C1295" s="66">
        <v>41991</v>
      </c>
      <c r="D1295" s="68">
        <f t="shared" ref="D1295" si="2686">IF(B1295&gt;0,MONTH(B1295),"False")</f>
        <v>12</v>
      </c>
      <c r="E1295" s="66" t="str">
        <f t="shared" ref="E1295" si="2687">YEAR(B1295) &amp; CHOOSE(D1295,"-Jan","-Feb","-Mar","-Apr","-May","-Jun","-Jul","-Aug","-Sep","-Oct","-Nov","-Dec")</f>
        <v>2014-Dec</v>
      </c>
      <c r="F1295" s="68">
        <f t="shared" ref="F1295" si="2688">IF(C1295&gt;0,MONTH(C1295),"False")</f>
        <v>12</v>
      </c>
      <c r="G1295" s="349" t="s">
        <v>87</v>
      </c>
      <c r="H1295" s="349" t="s">
        <v>136</v>
      </c>
      <c r="J1295" s="349" t="s">
        <v>149</v>
      </c>
      <c r="K1295" s="349" t="s">
        <v>84</v>
      </c>
      <c r="L1295" s="349" t="s">
        <v>83</v>
      </c>
      <c r="M1295" s="1" t="s">
        <v>2108</v>
      </c>
      <c r="N1295" s="349" t="s">
        <v>124</v>
      </c>
      <c r="O1295" s="349" t="s">
        <v>264</v>
      </c>
      <c r="Q1295" s="2" t="s">
        <v>88</v>
      </c>
      <c r="R1295" s="64" t="s">
        <v>2109</v>
      </c>
      <c r="T1295" s="67" t="s">
        <v>110</v>
      </c>
      <c r="Y1295" s="362" t="str">
        <f t="shared" si="2682"/>
        <v>Obsolete</v>
      </c>
      <c r="Z1295" s="11">
        <f t="shared" si="2683"/>
        <v>41991</v>
      </c>
      <c r="AA1295" s="362" t="str">
        <f t="shared" si="2684"/>
        <v>2014 - 51</v>
      </c>
      <c r="AB1295" s="362">
        <f t="shared" si="2685"/>
        <v>2014</v>
      </c>
    </row>
    <row r="1296" spans="2:28" x14ac:dyDescent="0.25">
      <c r="B1296" s="66">
        <v>41991</v>
      </c>
      <c r="C1296" s="66">
        <v>41991</v>
      </c>
      <c r="D1296" s="68">
        <f t="shared" ref="D1296" si="2689">IF(B1296&gt;0,MONTH(B1296),"False")</f>
        <v>12</v>
      </c>
      <c r="E1296" s="66" t="str">
        <f t="shared" ref="E1296" si="2690">YEAR(B1296) &amp; CHOOSE(D1296,"-Jan","-Feb","-Mar","-Apr","-May","-Jun","-Jul","-Aug","-Sep","-Oct","-Nov","-Dec")</f>
        <v>2014-Dec</v>
      </c>
      <c r="F1296" s="68">
        <f t="shared" ref="F1296" si="2691">IF(C1296&gt;0,MONTH(C1296),"False")</f>
        <v>12</v>
      </c>
      <c r="G1296" s="349" t="s">
        <v>112</v>
      </c>
      <c r="H1296" s="349" t="s">
        <v>166</v>
      </c>
      <c r="J1296" s="349" t="s">
        <v>78</v>
      </c>
      <c r="K1296" s="349" t="s">
        <v>78</v>
      </c>
      <c r="L1296" s="349" t="s">
        <v>79</v>
      </c>
      <c r="M1296" s="1" t="s">
        <v>2110</v>
      </c>
      <c r="N1296" s="349" t="s">
        <v>124</v>
      </c>
      <c r="O1296" s="349" t="s">
        <v>287</v>
      </c>
      <c r="R1296" s="64" t="s">
        <v>488</v>
      </c>
      <c r="S1296" s="1" t="s">
        <v>104</v>
      </c>
      <c r="X1296" s="1" t="s">
        <v>300</v>
      </c>
      <c r="Y1296" s="362" t="str">
        <f t="shared" si="2682"/>
        <v>Pass</v>
      </c>
      <c r="Z1296" s="11" t="str">
        <f t="shared" si="2683"/>
        <v/>
      </c>
      <c r="AA1296" s="362" t="str">
        <f t="shared" si="2684"/>
        <v/>
      </c>
      <c r="AB1296" s="362" t="str">
        <f t="shared" si="2685"/>
        <v/>
      </c>
    </row>
    <row r="1297" spans="2:28" x14ac:dyDescent="0.25">
      <c r="B1297" s="66">
        <v>41991</v>
      </c>
      <c r="C1297" s="66">
        <v>41991</v>
      </c>
      <c r="D1297" s="68">
        <f t="shared" ref="D1297" si="2692">IF(B1297&gt;0,MONTH(B1297),"False")</f>
        <v>12</v>
      </c>
      <c r="E1297" s="66" t="str">
        <f t="shared" ref="E1297" si="2693">YEAR(B1297) &amp; CHOOSE(D1297,"-Jan","-Feb","-Mar","-Apr","-May","-Jun","-Jul","-Aug","-Sep","-Oct","-Nov","-Dec")</f>
        <v>2014-Dec</v>
      </c>
      <c r="F1297" s="68">
        <f t="shared" ref="F1297" si="2694">IF(C1297&gt;0,MONTH(C1297),"False")</f>
        <v>12</v>
      </c>
      <c r="G1297" s="349" t="s">
        <v>112</v>
      </c>
      <c r="H1297" s="349" t="s">
        <v>115</v>
      </c>
      <c r="J1297" s="349" t="s">
        <v>77</v>
      </c>
      <c r="K1297" s="349" t="s">
        <v>82</v>
      </c>
      <c r="L1297" s="349" t="s">
        <v>83</v>
      </c>
      <c r="M1297" s="1" t="s">
        <v>2111</v>
      </c>
      <c r="N1297" s="349" t="s">
        <v>124</v>
      </c>
      <c r="O1297" s="349" t="s">
        <v>353</v>
      </c>
      <c r="R1297" s="64" t="s">
        <v>2112</v>
      </c>
      <c r="S1297" s="1" t="s">
        <v>104</v>
      </c>
      <c r="T1297" s="67" t="s">
        <v>110</v>
      </c>
      <c r="X1297" s="1" t="s">
        <v>159</v>
      </c>
      <c r="Y1297" s="362" t="str">
        <f t="shared" si="2682"/>
        <v>Pass</v>
      </c>
      <c r="Z1297" s="11" t="str">
        <f t="shared" si="2683"/>
        <v/>
      </c>
      <c r="AA1297" s="362" t="str">
        <f t="shared" si="2684"/>
        <v/>
      </c>
      <c r="AB1297" s="362" t="str">
        <f t="shared" si="2685"/>
        <v/>
      </c>
    </row>
    <row r="1298" spans="2:28" x14ac:dyDescent="0.25">
      <c r="B1298" s="66">
        <v>41992</v>
      </c>
      <c r="C1298" s="66">
        <v>41992</v>
      </c>
      <c r="D1298" s="68">
        <f t="shared" ref="D1298" si="2695">IF(B1298&gt;0,MONTH(B1298),"False")</f>
        <v>12</v>
      </c>
      <c r="E1298" s="66" t="str">
        <f t="shared" ref="E1298" si="2696">YEAR(B1298) &amp; CHOOSE(D1298,"-Jan","-Feb","-Mar","-Apr","-May","-Jun","-Jul","-Aug","-Sep","-Oct","-Nov","-Dec")</f>
        <v>2014-Dec</v>
      </c>
      <c r="F1298" s="68">
        <f t="shared" ref="F1298" si="2697">IF(C1298&gt;0,MONTH(C1298),"False")</f>
        <v>12</v>
      </c>
      <c r="G1298" s="350" t="s">
        <v>87</v>
      </c>
      <c r="H1298" s="350" t="s">
        <v>166</v>
      </c>
      <c r="J1298" s="350" t="s">
        <v>260</v>
      </c>
      <c r="K1298" s="350" t="s">
        <v>84</v>
      </c>
      <c r="L1298" s="350" t="s">
        <v>83</v>
      </c>
      <c r="M1298" s="1" t="s">
        <v>2113</v>
      </c>
      <c r="N1298" s="350" t="s">
        <v>124</v>
      </c>
      <c r="O1298" s="350" t="s">
        <v>148</v>
      </c>
      <c r="R1298" s="64" t="s">
        <v>2114</v>
      </c>
      <c r="Y1298" s="362" t="str">
        <f t="shared" si="2682"/>
        <v>Unknown</v>
      </c>
      <c r="Z1298" s="11" t="str">
        <f t="shared" si="2683"/>
        <v/>
      </c>
      <c r="AA1298" s="362" t="str">
        <f t="shared" si="2684"/>
        <v/>
      </c>
      <c r="AB1298" s="362" t="str">
        <f t="shared" si="2685"/>
        <v/>
      </c>
    </row>
    <row r="1299" spans="2:28" x14ac:dyDescent="0.25">
      <c r="B1299" s="66">
        <v>41992</v>
      </c>
      <c r="C1299" s="66">
        <v>41992</v>
      </c>
      <c r="D1299" s="68">
        <f t="shared" ref="D1299:D1300" si="2698">IF(B1299&gt;0,MONTH(B1299),"False")</f>
        <v>12</v>
      </c>
      <c r="E1299" s="66" t="str">
        <f t="shared" ref="E1299:E1300" si="2699">YEAR(B1299) &amp; CHOOSE(D1299,"-Jan","-Feb","-Mar","-Apr","-May","-Jun","-Jul","-Aug","-Sep","-Oct","-Nov","-Dec")</f>
        <v>2014-Dec</v>
      </c>
      <c r="F1299" s="68">
        <f t="shared" ref="F1299:F1300" si="2700">IF(C1299&gt;0,MONTH(C1299),"False")</f>
        <v>12</v>
      </c>
      <c r="G1299" s="350" t="s">
        <v>87</v>
      </c>
      <c r="H1299" s="350" t="s">
        <v>166</v>
      </c>
      <c r="J1299" s="350" t="s">
        <v>149</v>
      </c>
      <c r="K1299" s="350" t="s">
        <v>84</v>
      </c>
      <c r="L1299" s="350" t="s">
        <v>79</v>
      </c>
      <c r="M1299" s="1" t="s">
        <v>2115</v>
      </c>
      <c r="N1299" s="350" t="s">
        <v>124</v>
      </c>
      <c r="O1299" s="350" t="s">
        <v>148</v>
      </c>
      <c r="R1299" s="64" t="s">
        <v>1041</v>
      </c>
      <c r="Y1299" s="362" t="str">
        <f t="shared" si="2682"/>
        <v>Unknown</v>
      </c>
      <c r="Z1299" s="11" t="str">
        <f t="shared" si="2683"/>
        <v/>
      </c>
      <c r="AA1299" s="362" t="str">
        <f t="shared" si="2684"/>
        <v/>
      </c>
      <c r="AB1299" s="362" t="str">
        <f t="shared" si="2685"/>
        <v/>
      </c>
    </row>
    <row r="1300" spans="2:28" x14ac:dyDescent="0.25">
      <c r="B1300" s="65">
        <v>41992</v>
      </c>
      <c r="C1300" s="66">
        <v>41992</v>
      </c>
      <c r="D1300" s="68">
        <f t="shared" si="2698"/>
        <v>12</v>
      </c>
      <c r="E1300" s="66" t="str">
        <f t="shared" si="2699"/>
        <v>2014-Dec</v>
      </c>
      <c r="F1300" s="68">
        <f t="shared" si="2700"/>
        <v>12</v>
      </c>
      <c r="G1300" s="350" t="s">
        <v>93</v>
      </c>
      <c r="H1300" s="350" t="s">
        <v>136</v>
      </c>
      <c r="J1300" s="350" t="s">
        <v>77</v>
      </c>
      <c r="K1300" s="350" t="s">
        <v>82</v>
      </c>
      <c r="L1300" s="350" t="s">
        <v>79</v>
      </c>
      <c r="M1300" s="350" t="s">
        <v>2116</v>
      </c>
      <c r="N1300" s="350" t="s">
        <v>124</v>
      </c>
      <c r="O1300" s="350" t="s">
        <v>114</v>
      </c>
      <c r="P1300" s="64" t="s">
        <v>750</v>
      </c>
      <c r="Q1300" s="2" t="s">
        <v>88</v>
      </c>
      <c r="R1300" s="64" t="s">
        <v>2117</v>
      </c>
      <c r="Y1300" s="362" t="str">
        <f t="shared" si="2682"/>
        <v>Obsolete</v>
      </c>
      <c r="Z1300" s="11">
        <f t="shared" si="2683"/>
        <v>41992</v>
      </c>
      <c r="AA1300" s="362" t="str">
        <f t="shared" si="2684"/>
        <v>2014 - 51</v>
      </c>
      <c r="AB1300" s="362">
        <f t="shared" si="2685"/>
        <v>2014</v>
      </c>
    </row>
    <row r="1301" spans="2:28" x14ac:dyDescent="0.25">
      <c r="B1301" s="65">
        <v>41992</v>
      </c>
      <c r="C1301" s="66">
        <v>41992</v>
      </c>
      <c r="D1301" s="68">
        <f t="shared" ref="D1301:D1302" si="2701">IF(B1301&gt;0,MONTH(B1301),"False")</f>
        <v>12</v>
      </c>
      <c r="E1301" s="66" t="str">
        <f t="shared" ref="E1301:E1302" si="2702">YEAR(B1301) &amp; CHOOSE(D1301,"-Jan","-Feb","-Mar","-Apr","-May","-Jun","-Jul","-Aug","-Sep","-Oct","-Nov","-Dec")</f>
        <v>2014-Dec</v>
      </c>
      <c r="F1301" s="68">
        <f t="shared" ref="F1301:F1302" si="2703">IF(C1301&gt;0,MONTH(C1301),"False")</f>
        <v>12</v>
      </c>
      <c r="G1301" s="350" t="s">
        <v>93</v>
      </c>
      <c r="H1301" s="350" t="s">
        <v>1685</v>
      </c>
      <c r="J1301" s="350" t="s">
        <v>146</v>
      </c>
      <c r="K1301" s="350" t="s">
        <v>82</v>
      </c>
      <c r="L1301" s="350" t="s">
        <v>83</v>
      </c>
      <c r="M1301" s="1" t="s">
        <v>2118</v>
      </c>
      <c r="N1301" s="350" t="s">
        <v>124</v>
      </c>
      <c r="O1301" s="350" t="s">
        <v>91</v>
      </c>
      <c r="R1301" s="64" t="s">
        <v>2004</v>
      </c>
      <c r="S1301" s="1" t="s">
        <v>104</v>
      </c>
      <c r="T1301" s="67" t="s">
        <v>110</v>
      </c>
      <c r="Y1301" s="362" t="str">
        <f t="shared" si="2682"/>
        <v>Pass</v>
      </c>
      <c r="Z1301" s="11" t="str">
        <f t="shared" si="2683"/>
        <v/>
      </c>
      <c r="AA1301" s="362" t="str">
        <f t="shared" si="2684"/>
        <v/>
      </c>
      <c r="AB1301" s="362" t="str">
        <f t="shared" si="2685"/>
        <v/>
      </c>
    </row>
    <row r="1302" spans="2:28" x14ac:dyDescent="0.25">
      <c r="B1302" s="66">
        <v>41995</v>
      </c>
      <c r="C1302" s="66">
        <v>41995</v>
      </c>
      <c r="D1302" s="68">
        <f t="shared" si="2701"/>
        <v>12</v>
      </c>
      <c r="E1302" s="66" t="str">
        <f t="shared" si="2702"/>
        <v>2014-Dec</v>
      </c>
      <c r="F1302" s="68">
        <f t="shared" si="2703"/>
        <v>12</v>
      </c>
      <c r="G1302" s="351" t="s">
        <v>87</v>
      </c>
      <c r="H1302" s="351" t="s">
        <v>166</v>
      </c>
      <c r="J1302" s="351" t="s">
        <v>146</v>
      </c>
      <c r="K1302" s="351" t="s">
        <v>260</v>
      </c>
      <c r="L1302" s="351" t="s">
        <v>79</v>
      </c>
      <c r="M1302" s="1" t="s">
        <v>2119</v>
      </c>
      <c r="N1302" s="351" t="s">
        <v>124</v>
      </c>
      <c r="O1302" s="351" t="s">
        <v>183</v>
      </c>
      <c r="R1302" s="64" t="s">
        <v>894</v>
      </c>
      <c r="T1302" s="67" t="s">
        <v>110</v>
      </c>
      <c r="Y1302" s="362" t="str">
        <f t="shared" si="2682"/>
        <v>Unknown</v>
      </c>
      <c r="Z1302" s="11" t="str">
        <f t="shared" si="2683"/>
        <v/>
      </c>
      <c r="AA1302" s="362" t="str">
        <f t="shared" si="2684"/>
        <v/>
      </c>
      <c r="AB1302" s="362" t="str">
        <f t="shared" si="2685"/>
        <v/>
      </c>
    </row>
    <row r="1303" spans="2:28" x14ac:dyDescent="0.25">
      <c r="B1303" s="66">
        <v>41995</v>
      </c>
      <c r="C1303" s="66">
        <v>41995</v>
      </c>
      <c r="D1303" s="68">
        <f t="shared" ref="D1303:D1304" si="2704">IF(B1303&gt;0,MONTH(B1303),"False")</f>
        <v>12</v>
      </c>
      <c r="E1303" s="66" t="str">
        <f t="shared" ref="E1303:E1304" si="2705">YEAR(B1303) &amp; CHOOSE(D1303,"-Jan","-Feb","-Mar","-Apr","-May","-Jun","-Jul","-Aug","-Sep","-Oct","-Nov","-Dec")</f>
        <v>2014-Dec</v>
      </c>
      <c r="F1303" s="68">
        <f t="shared" ref="F1303:F1304" si="2706">IF(C1303&gt;0,MONTH(C1303),"False")</f>
        <v>12</v>
      </c>
      <c r="G1303" s="351" t="s">
        <v>87</v>
      </c>
      <c r="H1303" s="351" t="s">
        <v>2091</v>
      </c>
      <c r="J1303" s="351" t="s">
        <v>98</v>
      </c>
      <c r="K1303" s="351" t="s">
        <v>84</v>
      </c>
      <c r="L1303" s="351" t="s">
        <v>83</v>
      </c>
      <c r="M1303" s="1" t="s">
        <v>2120</v>
      </c>
      <c r="N1303" s="351" t="s">
        <v>124</v>
      </c>
      <c r="O1303" s="351" t="s">
        <v>2020</v>
      </c>
      <c r="R1303" s="64" t="s">
        <v>2100</v>
      </c>
      <c r="Y1303" s="362" t="str">
        <f t="shared" si="2682"/>
        <v>Unknown</v>
      </c>
      <c r="Z1303" s="11" t="str">
        <f t="shared" si="2683"/>
        <v/>
      </c>
      <c r="AA1303" s="362" t="str">
        <f t="shared" si="2684"/>
        <v/>
      </c>
      <c r="AB1303" s="362" t="str">
        <f t="shared" si="2685"/>
        <v/>
      </c>
    </row>
    <row r="1304" spans="2:28" x14ac:dyDescent="0.25">
      <c r="B1304" s="65">
        <v>41995</v>
      </c>
      <c r="C1304" s="66">
        <v>41996</v>
      </c>
      <c r="D1304" s="68">
        <f t="shared" si="2704"/>
        <v>12</v>
      </c>
      <c r="E1304" s="66" t="str">
        <f t="shared" si="2705"/>
        <v>2014-Dec</v>
      </c>
      <c r="F1304" s="68">
        <f t="shared" si="2706"/>
        <v>12</v>
      </c>
      <c r="G1304" s="362" t="s">
        <v>121</v>
      </c>
      <c r="H1304" s="351" t="s">
        <v>166</v>
      </c>
      <c r="J1304" s="351" t="s">
        <v>98</v>
      </c>
      <c r="K1304" s="351" t="s">
        <v>82</v>
      </c>
      <c r="L1304" s="351" t="s">
        <v>79</v>
      </c>
      <c r="M1304" s="1" t="s">
        <v>2121</v>
      </c>
      <c r="N1304" s="351" t="s">
        <v>124</v>
      </c>
      <c r="O1304" s="351" t="s">
        <v>285</v>
      </c>
      <c r="P1304" s="64" t="s">
        <v>336</v>
      </c>
      <c r="R1304" s="64" t="s">
        <v>1311</v>
      </c>
      <c r="S1304" s="362" t="s">
        <v>104</v>
      </c>
      <c r="X1304" s="362" t="s">
        <v>2146</v>
      </c>
      <c r="Y1304" s="362" t="str">
        <f t="shared" si="2682"/>
        <v>Pass</v>
      </c>
      <c r="Z1304" s="11" t="str">
        <f t="shared" si="2683"/>
        <v/>
      </c>
      <c r="AA1304" s="362" t="str">
        <f t="shared" si="2684"/>
        <v/>
      </c>
      <c r="AB1304" s="362" t="str">
        <f t="shared" si="2685"/>
        <v/>
      </c>
    </row>
    <row r="1305" spans="2:28" x14ac:dyDescent="0.25">
      <c r="B1305" s="66">
        <v>41995</v>
      </c>
      <c r="C1305" s="66">
        <v>41995</v>
      </c>
      <c r="D1305" s="68">
        <f t="shared" ref="D1305" si="2707">IF(B1305&gt;0,MONTH(B1305),"False")</f>
        <v>12</v>
      </c>
      <c r="E1305" s="66" t="str">
        <f t="shared" ref="E1305" si="2708">YEAR(B1305) &amp; CHOOSE(D1305,"-Jan","-Feb","-Mar","-Apr","-May","-Jun","-Jul","-Aug","-Sep","-Oct","-Nov","-Dec")</f>
        <v>2014-Dec</v>
      </c>
      <c r="F1305" s="68">
        <f t="shared" ref="F1305" si="2709">IF(C1305&gt;0,MONTH(C1305),"False")</f>
        <v>12</v>
      </c>
      <c r="G1305" s="351" t="s">
        <v>87</v>
      </c>
      <c r="H1305" s="351" t="s">
        <v>166</v>
      </c>
      <c r="J1305" s="351" t="s">
        <v>98</v>
      </c>
      <c r="K1305" s="351" t="s">
        <v>84</v>
      </c>
      <c r="L1305" s="351" t="s">
        <v>79</v>
      </c>
      <c r="M1305" s="1" t="s">
        <v>2122</v>
      </c>
      <c r="N1305" s="351" t="s">
        <v>124</v>
      </c>
      <c r="O1305" s="351" t="s">
        <v>156</v>
      </c>
      <c r="R1305" s="64" t="s">
        <v>1353</v>
      </c>
      <c r="Y1305" s="362" t="str">
        <f t="shared" si="2682"/>
        <v>Unknown</v>
      </c>
      <c r="Z1305" s="11" t="str">
        <f t="shared" si="2683"/>
        <v/>
      </c>
      <c r="AA1305" s="362" t="str">
        <f t="shared" si="2684"/>
        <v/>
      </c>
      <c r="AB1305" s="362" t="str">
        <f t="shared" si="2685"/>
        <v/>
      </c>
    </row>
    <row r="1306" spans="2:28" x14ac:dyDescent="0.25">
      <c r="B1306" s="66">
        <v>41996</v>
      </c>
      <c r="C1306" s="66">
        <v>41996</v>
      </c>
      <c r="D1306" s="68">
        <f t="shared" ref="D1306:D1307" si="2710">IF(B1306&gt;0,MONTH(B1306),"False")</f>
        <v>12</v>
      </c>
      <c r="E1306" s="66" t="str">
        <f t="shared" ref="E1306:E1307" si="2711">YEAR(B1306) &amp; CHOOSE(D1306,"-Jan","-Feb","-Mar","-Apr","-May","-Jun","-Jul","-Aug","-Sep","-Oct","-Nov","-Dec")</f>
        <v>2014-Dec</v>
      </c>
      <c r="F1306" s="68">
        <f t="shared" ref="F1306:F1307" si="2712">IF(C1306&gt;0,MONTH(C1306),"False")</f>
        <v>12</v>
      </c>
      <c r="G1306" s="352" t="s">
        <v>87</v>
      </c>
      <c r="H1306" s="352" t="s">
        <v>280</v>
      </c>
      <c r="J1306" s="352" t="s">
        <v>98</v>
      </c>
      <c r="K1306" s="352" t="s">
        <v>84</v>
      </c>
      <c r="L1306" s="352" t="s">
        <v>83</v>
      </c>
      <c r="M1306" s="1" t="s">
        <v>2123</v>
      </c>
      <c r="N1306" s="352" t="s">
        <v>124</v>
      </c>
      <c r="O1306" s="352" t="s">
        <v>2020</v>
      </c>
      <c r="R1306" s="64" t="s">
        <v>1517</v>
      </c>
      <c r="Y1306" s="362" t="str">
        <f t="shared" si="2682"/>
        <v>Unknown</v>
      </c>
      <c r="Z1306" s="11" t="str">
        <f t="shared" si="2683"/>
        <v/>
      </c>
      <c r="AA1306" s="362" t="str">
        <f t="shared" si="2684"/>
        <v/>
      </c>
      <c r="AB1306" s="362" t="str">
        <f t="shared" si="2685"/>
        <v/>
      </c>
    </row>
    <row r="1307" spans="2:28" x14ac:dyDescent="0.25">
      <c r="B1307" s="65">
        <v>41996</v>
      </c>
      <c r="C1307" s="66">
        <v>41996</v>
      </c>
      <c r="D1307" s="68">
        <f t="shared" si="2710"/>
        <v>12</v>
      </c>
      <c r="E1307" s="66" t="str">
        <f t="shared" si="2711"/>
        <v>2014-Dec</v>
      </c>
      <c r="F1307" s="68">
        <f t="shared" si="2712"/>
        <v>12</v>
      </c>
      <c r="G1307" s="415" t="s">
        <v>121</v>
      </c>
      <c r="H1307" s="352" t="s">
        <v>280</v>
      </c>
      <c r="J1307" s="352" t="s">
        <v>81</v>
      </c>
      <c r="K1307" s="352" t="s">
        <v>82</v>
      </c>
      <c r="L1307" s="352" t="s">
        <v>79</v>
      </c>
      <c r="M1307" s="1" t="s">
        <v>2124</v>
      </c>
      <c r="N1307" s="352" t="s">
        <v>124</v>
      </c>
      <c r="O1307" s="352" t="s">
        <v>286</v>
      </c>
      <c r="P1307" s="64" t="s">
        <v>305</v>
      </c>
      <c r="R1307" s="64" t="s">
        <v>1559</v>
      </c>
      <c r="S1307" s="415" t="s">
        <v>104</v>
      </c>
      <c r="X1307" s="415" t="s">
        <v>2146</v>
      </c>
      <c r="Y1307" s="362" t="str">
        <f t="shared" si="2682"/>
        <v>Pass</v>
      </c>
      <c r="Z1307" s="11" t="str">
        <f t="shared" si="2683"/>
        <v/>
      </c>
      <c r="AA1307" s="362" t="str">
        <f t="shared" si="2684"/>
        <v/>
      </c>
      <c r="AB1307" s="362" t="str">
        <f t="shared" si="2685"/>
        <v/>
      </c>
    </row>
    <row r="1308" spans="2:28" x14ac:dyDescent="0.25">
      <c r="B1308" s="66">
        <v>41996</v>
      </c>
      <c r="C1308" s="66">
        <v>41996</v>
      </c>
      <c r="D1308" s="68">
        <f t="shared" ref="D1308:D1309" si="2713">IF(B1308&gt;0,MONTH(B1308),"False")</f>
        <v>12</v>
      </c>
      <c r="E1308" s="66" t="str">
        <f t="shared" ref="E1308:E1309" si="2714">YEAR(B1308) &amp; CHOOSE(D1308,"-Jan","-Feb","-Mar","-Apr","-May","-Jun","-Jul","-Aug","-Sep","-Oct","-Nov","-Dec")</f>
        <v>2014-Dec</v>
      </c>
      <c r="F1308" s="68">
        <f t="shared" ref="F1308:F1309" si="2715">IF(C1308&gt;0,MONTH(C1308),"False")</f>
        <v>12</v>
      </c>
      <c r="G1308" s="378" t="s">
        <v>112</v>
      </c>
      <c r="H1308" s="352" t="s">
        <v>166</v>
      </c>
      <c r="J1308" s="352" t="s">
        <v>146</v>
      </c>
      <c r="K1308" s="352" t="s">
        <v>82</v>
      </c>
      <c r="L1308" s="352" t="s">
        <v>83</v>
      </c>
      <c r="M1308" s="1" t="s">
        <v>2125</v>
      </c>
      <c r="N1308" s="352" t="s">
        <v>124</v>
      </c>
      <c r="O1308" s="352" t="s">
        <v>302</v>
      </c>
      <c r="R1308" s="64" t="s">
        <v>2035</v>
      </c>
      <c r="S1308" s="378" t="s">
        <v>104</v>
      </c>
      <c r="X1308" s="378" t="s">
        <v>349</v>
      </c>
      <c r="Y1308" s="362" t="str">
        <f t="shared" si="2682"/>
        <v>Pass</v>
      </c>
      <c r="Z1308" s="11" t="str">
        <f t="shared" si="2683"/>
        <v/>
      </c>
      <c r="AA1308" s="362" t="str">
        <f t="shared" si="2684"/>
        <v/>
      </c>
      <c r="AB1308" s="362" t="str">
        <f t="shared" si="2685"/>
        <v/>
      </c>
    </row>
    <row r="1309" spans="2:28" x14ac:dyDescent="0.25">
      <c r="B1309" s="65">
        <v>41996</v>
      </c>
      <c r="C1309" s="66">
        <v>41996</v>
      </c>
      <c r="D1309" s="68">
        <f t="shared" si="2713"/>
        <v>12</v>
      </c>
      <c r="E1309" s="66" t="str">
        <f t="shared" si="2714"/>
        <v>2014-Dec</v>
      </c>
      <c r="F1309" s="68">
        <f t="shared" si="2715"/>
        <v>12</v>
      </c>
      <c r="G1309" s="366" t="s">
        <v>105</v>
      </c>
      <c r="H1309" s="352" t="s">
        <v>136</v>
      </c>
      <c r="J1309" s="352" t="s">
        <v>77</v>
      </c>
      <c r="K1309" s="352" t="s">
        <v>82</v>
      </c>
      <c r="L1309" s="352" t="s">
        <v>79</v>
      </c>
      <c r="M1309" s="1" t="s">
        <v>2126</v>
      </c>
      <c r="N1309" s="352" t="s">
        <v>124</v>
      </c>
      <c r="O1309" s="352" t="s">
        <v>114</v>
      </c>
      <c r="P1309" s="64" t="s">
        <v>2117</v>
      </c>
      <c r="R1309" s="64" t="s">
        <v>750</v>
      </c>
      <c r="S1309" s="366" t="s">
        <v>104</v>
      </c>
      <c r="X1309" s="366" t="s">
        <v>1758</v>
      </c>
      <c r="Y1309" s="362" t="str">
        <f t="shared" si="2682"/>
        <v>Pass</v>
      </c>
      <c r="Z1309" s="11" t="str">
        <f t="shared" si="2683"/>
        <v/>
      </c>
      <c r="AA1309" s="362" t="str">
        <f t="shared" si="2684"/>
        <v/>
      </c>
      <c r="AB1309" s="362" t="str">
        <f t="shared" si="2685"/>
        <v/>
      </c>
    </row>
    <row r="1310" spans="2:28" x14ac:dyDescent="0.25">
      <c r="B1310" s="65">
        <v>41997</v>
      </c>
      <c r="C1310" s="66">
        <v>41997</v>
      </c>
      <c r="D1310" s="68">
        <f t="shared" ref="D1310:D1311" si="2716">IF(B1310&gt;0,MONTH(B1310),"False")</f>
        <v>12</v>
      </c>
      <c r="E1310" s="66" t="str">
        <f t="shared" ref="E1310:E1311" si="2717">YEAR(B1310) &amp; CHOOSE(D1310,"-Jan","-Feb","-Mar","-Apr","-May","-Jun","-Jul","-Aug","-Sep","-Oct","-Nov","-Dec")</f>
        <v>2014-Dec</v>
      </c>
      <c r="F1310" s="68">
        <f t="shared" ref="F1310:F1311" si="2718">IF(C1310&gt;0,MONTH(C1310),"False")</f>
        <v>12</v>
      </c>
      <c r="G1310" s="366" t="s">
        <v>105</v>
      </c>
      <c r="H1310" s="353" t="s">
        <v>136</v>
      </c>
      <c r="J1310" s="353" t="s">
        <v>77</v>
      </c>
      <c r="K1310" s="353" t="s">
        <v>82</v>
      </c>
      <c r="L1310" s="353" t="s">
        <v>79</v>
      </c>
      <c r="M1310" s="1" t="s">
        <v>2127</v>
      </c>
      <c r="N1310" s="353" t="s">
        <v>124</v>
      </c>
      <c r="O1310" s="353" t="s">
        <v>114</v>
      </c>
      <c r="P1310" s="64" t="s">
        <v>2117</v>
      </c>
      <c r="R1310" s="64" t="s">
        <v>750</v>
      </c>
      <c r="S1310" s="366" t="s">
        <v>104</v>
      </c>
      <c r="X1310" s="366" t="s">
        <v>1758</v>
      </c>
      <c r="Y1310" s="362" t="str">
        <f t="shared" si="2682"/>
        <v>Pass</v>
      </c>
      <c r="Z1310" s="11" t="str">
        <f t="shared" si="2683"/>
        <v/>
      </c>
      <c r="AA1310" s="362" t="str">
        <f t="shared" si="2684"/>
        <v/>
      </c>
      <c r="AB1310" s="362" t="str">
        <f t="shared" si="2685"/>
        <v/>
      </c>
    </row>
    <row r="1311" spans="2:28" x14ac:dyDescent="0.25">
      <c r="B1311" s="66">
        <v>41998</v>
      </c>
      <c r="C1311" s="66">
        <v>41998</v>
      </c>
      <c r="D1311" s="68">
        <f t="shared" si="2716"/>
        <v>12</v>
      </c>
      <c r="E1311" s="66" t="str">
        <f t="shared" si="2717"/>
        <v>2014-Dec</v>
      </c>
      <c r="F1311" s="68">
        <f t="shared" si="2718"/>
        <v>12</v>
      </c>
      <c r="G1311" s="353" t="s">
        <v>87</v>
      </c>
      <c r="H1311" s="353" t="s">
        <v>166</v>
      </c>
      <c r="J1311" s="353" t="s">
        <v>98</v>
      </c>
      <c r="K1311" s="353" t="s">
        <v>84</v>
      </c>
      <c r="L1311" s="353" t="s">
        <v>83</v>
      </c>
      <c r="M1311" s="1" t="s">
        <v>2128</v>
      </c>
      <c r="N1311" s="353" t="s">
        <v>124</v>
      </c>
      <c r="O1311" s="353" t="s">
        <v>156</v>
      </c>
      <c r="R1311" s="64" t="s">
        <v>1353</v>
      </c>
      <c r="Y1311" s="362" t="str">
        <f t="shared" si="2682"/>
        <v>Unknown</v>
      </c>
      <c r="Z1311" s="11" t="str">
        <f t="shared" si="2683"/>
        <v/>
      </c>
      <c r="AA1311" s="362" t="str">
        <f t="shared" si="2684"/>
        <v/>
      </c>
      <c r="AB1311" s="362" t="str">
        <f t="shared" si="2685"/>
        <v/>
      </c>
    </row>
    <row r="1312" spans="2:28" x14ac:dyDescent="0.25">
      <c r="B1312" s="66">
        <v>41999</v>
      </c>
      <c r="C1312" s="66">
        <v>41999</v>
      </c>
      <c r="D1312" s="68">
        <f t="shared" ref="D1312:D1313" si="2719">IF(B1312&gt;0,MONTH(B1312),"False")</f>
        <v>12</v>
      </c>
      <c r="E1312" s="66" t="str">
        <f t="shared" ref="E1312:E1313" si="2720">YEAR(B1312) &amp; CHOOSE(D1312,"-Jan","-Feb","-Mar","-Apr","-May","-Jun","-Jul","-Aug","-Sep","-Oct","-Nov","-Dec")</f>
        <v>2014-Dec</v>
      </c>
      <c r="F1312" s="68">
        <f t="shared" ref="F1312:F1313" si="2721">IF(C1312&gt;0,MONTH(C1312),"False")</f>
        <v>12</v>
      </c>
      <c r="G1312" s="362" t="s">
        <v>112</v>
      </c>
      <c r="H1312" s="354" t="s">
        <v>280</v>
      </c>
      <c r="J1312" s="354" t="s">
        <v>98</v>
      </c>
      <c r="K1312" s="354" t="s">
        <v>84</v>
      </c>
      <c r="L1312" s="354" t="s">
        <v>83</v>
      </c>
      <c r="M1312" s="354" t="s">
        <v>2129</v>
      </c>
      <c r="N1312" s="354" t="s">
        <v>124</v>
      </c>
      <c r="O1312" s="354" t="s">
        <v>2020</v>
      </c>
      <c r="R1312" s="64" t="s">
        <v>1517</v>
      </c>
      <c r="S1312" s="362" t="s">
        <v>104</v>
      </c>
      <c r="X1312" s="362" t="s">
        <v>2146</v>
      </c>
      <c r="Y1312" s="362" t="str">
        <f t="shared" si="2682"/>
        <v>Pass</v>
      </c>
      <c r="Z1312" s="11" t="str">
        <f t="shared" si="2683"/>
        <v/>
      </c>
      <c r="AA1312" s="362" t="str">
        <f t="shared" si="2684"/>
        <v/>
      </c>
      <c r="AB1312" s="362" t="str">
        <f t="shared" si="2685"/>
        <v/>
      </c>
    </row>
    <row r="1313" spans="2:29" x14ac:dyDescent="0.25">
      <c r="B1313" s="65">
        <v>41999</v>
      </c>
      <c r="C1313" s="66">
        <v>41999</v>
      </c>
      <c r="D1313" s="68">
        <f t="shared" si="2719"/>
        <v>12</v>
      </c>
      <c r="E1313" s="66" t="str">
        <f t="shared" si="2720"/>
        <v>2014-Dec</v>
      </c>
      <c r="F1313" s="68">
        <f t="shared" si="2721"/>
        <v>12</v>
      </c>
      <c r="G1313" s="354" t="s">
        <v>93</v>
      </c>
      <c r="H1313" s="354" t="s">
        <v>166</v>
      </c>
      <c r="J1313" s="354" t="s">
        <v>77</v>
      </c>
      <c r="K1313" s="354" t="s">
        <v>82</v>
      </c>
      <c r="L1313" s="354" t="s">
        <v>79</v>
      </c>
      <c r="M1313" s="354" t="s">
        <v>2130</v>
      </c>
      <c r="N1313" s="354" t="s">
        <v>124</v>
      </c>
      <c r="O1313" s="354" t="s">
        <v>265</v>
      </c>
      <c r="P1313" s="64" t="s">
        <v>319</v>
      </c>
      <c r="R1313" s="64" t="s">
        <v>320</v>
      </c>
      <c r="S1313" s="1" t="s">
        <v>104</v>
      </c>
      <c r="T1313" s="67" t="s">
        <v>110</v>
      </c>
      <c r="X1313" s="1" t="s">
        <v>159</v>
      </c>
      <c r="Y1313" s="362" t="str">
        <f t="shared" ref="Y1313:Y1326" si="2722">IF(Q1313&gt;0,"Obsolete",IF(S1313&gt;0,S1313,"Unknown"))</f>
        <v>Pass</v>
      </c>
      <c r="Z1313" s="11" t="str">
        <f t="shared" ref="Z1313:Z1326" si="2723">IF(Q1313="Obsolete-LQA",C1313,IF(Q1313="Obsolete-IT",B1313,""))</f>
        <v/>
      </c>
      <c r="AA1313" s="362" t="str">
        <f t="shared" ref="AA1313:AA1326" si="2724">IFERROR(YEAR(Z1313)&amp;" - "&amp; IF(LEN( WEEKNUM(Z1313))=1,"0" &amp; WEEKNUM(Z1313),WEEKNUM(Z1313)),"")</f>
        <v/>
      </c>
      <c r="AB1313" s="362" t="str">
        <f t="shared" ref="AB1313:AB1326" si="2725">IFERROR(YEAR(Z1313),"")</f>
        <v/>
      </c>
    </row>
    <row r="1314" spans="2:29" x14ac:dyDescent="0.25">
      <c r="B1314" s="65">
        <v>42003</v>
      </c>
      <c r="C1314" s="66">
        <v>42003</v>
      </c>
      <c r="D1314" s="68">
        <f t="shared" ref="D1314:D1315" si="2726">IF(B1314&gt;0,MONTH(B1314),"False")</f>
        <v>12</v>
      </c>
      <c r="E1314" s="66" t="str">
        <f t="shared" ref="E1314:E1315" si="2727">YEAR(B1314) &amp; CHOOSE(D1314,"-Jan","-Feb","-Mar","-Apr","-May","-Jun","-Jul","-Aug","-Sep","-Oct","-Nov","-Dec")</f>
        <v>2014-Dec</v>
      </c>
      <c r="F1314" s="68">
        <f t="shared" ref="F1314:F1315" si="2728">IF(C1314&gt;0,MONTH(C1314),"False")</f>
        <v>12</v>
      </c>
      <c r="G1314" s="356" t="s">
        <v>93</v>
      </c>
      <c r="H1314" s="356" t="s">
        <v>28</v>
      </c>
      <c r="J1314" s="356" t="s">
        <v>77</v>
      </c>
      <c r="K1314" s="356" t="s">
        <v>82</v>
      </c>
      <c r="L1314" s="356" t="s">
        <v>79</v>
      </c>
      <c r="M1314" s="1" t="s">
        <v>2131</v>
      </c>
      <c r="N1314" s="356" t="s">
        <v>124</v>
      </c>
      <c r="O1314" s="356" t="s">
        <v>162</v>
      </c>
      <c r="P1314" s="64" t="s">
        <v>334</v>
      </c>
      <c r="Q1314" s="2" t="s">
        <v>88</v>
      </c>
      <c r="R1314" s="64" t="s">
        <v>335</v>
      </c>
      <c r="Y1314" s="362" t="str">
        <f t="shared" si="2722"/>
        <v>Obsolete</v>
      </c>
      <c r="Z1314" s="11">
        <f t="shared" si="2723"/>
        <v>42003</v>
      </c>
      <c r="AA1314" s="362" t="str">
        <f t="shared" si="2724"/>
        <v>2014 - 53</v>
      </c>
      <c r="AB1314" s="362">
        <f t="shared" si="2725"/>
        <v>2014</v>
      </c>
    </row>
    <row r="1315" spans="2:29" x14ac:dyDescent="0.25">
      <c r="B1315" s="66">
        <v>42003</v>
      </c>
      <c r="C1315" s="66">
        <v>42003</v>
      </c>
      <c r="D1315" s="68">
        <f t="shared" si="2726"/>
        <v>12</v>
      </c>
      <c r="E1315" s="66" t="str">
        <f t="shared" si="2727"/>
        <v>2014-Dec</v>
      </c>
      <c r="F1315" s="68">
        <f t="shared" si="2728"/>
        <v>12</v>
      </c>
      <c r="G1315" s="356" t="s">
        <v>87</v>
      </c>
      <c r="H1315" s="356" t="s">
        <v>342</v>
      </c>
      <c r="J1315" s="356" t="s">
        <v>78</v>
      </c>
      <c r="K1315" s="356" t="s">
        <v>78</v>
      </c>
      <c r="L1315" s="356" t="s">
        <v>79</v>
      </c>
      <c r="M1315" s="1" t="s">
        <v>2132</v>
      </c>
      <c r="N1315" s="356" t="s">
        <v>124</v>
      </c>
      <c r="O1315" s="356" t="s">
        <v>97</v>
      </c>
      <c r="R1315" s="64" t="s">
        <v>1953</v>
      </c>
      <c r="Y1315" s="362" t="str">
        <f t="shared" si="2722"/>
        <v>Unknown</v>
      </c>
      <c r="Z1315" s="11" t="str">
        <f t="shared" si="2723"/>
        <v/>
      </c>
      <c r="AA1315" s="362" t="str">
        <f t="shared" si="2724"/>
        <v/>
      </c>
      <c r="AB1315" s="362" t="str">
        <f t="shared" si="2725"/>
        <v/>
      </c>
    </row>
    <row r="1316" spans="2:29" x14ac:dyDescent="0.25">
      <c r="B1316" s="65">
        <v>42004</v>
      </c>
      <c r="C1316" s="66">
        <v>42004</v>
      </c>
      <c r="D1316" s="68">
        <f t="shared" ref="D1316" si="2729">IF(B1316&gt;0,MONTH(B1316),"False")</f>
        <v>12</v>
      </c>
      <c r="E1316" s="66" t="str">
        <f t="shared" ref="E1316" si="2730">YEAR(B1316) &amp; CHOOSE(D1316,"-Jan","-Feb","-Mar","-Apr","-May","-Jun","-Jul","-Aug","-Sep","-Oct","-Nov","-Dec")</f>
        <v>2014-Dec</v>
      </c>
      <c r="F1316" s="68">
        <f t="shared" ref="F1316" si="2731">IF(C1316&gt;0,MONTH(C1316),"False")</f>
        <v>12</v>
      </c>
      <c r="G1316" s="378" t="s">
        <v>121</v>
      </c>
      <c r="H1316" s="359" t="s">
        <v>316</v>
      </c>
      <c r="J1316" s="359" t="s">
        <v>78</v>
      </c>
      <c r="K1316" s="359" t="s">
        <v>78</v>
      </c>
      <c r="L1316" s="359" t="s">
        <v>79</v>
      </c>
      <c r="M1316" s="1" t="s">
        <v>2133</v>
      </c>
      <c r="N1316" s="359" t="s">
        <v>124</v>
      </c>
      <c r="O1316" s="359" t="s">
        <v>285</v>
      </c>
      <c r="P1316" s="64" t="s">
        <v>340</v>
      </c>
      <c r="R1316" s="64" t="s">
        <v>705</v>
      </c>
      <c r="S1316" s="378" t="s">
        <v>104</v>
      </c>
      <c r="X1316" s="378" t="s">
        <v>154</v>
      </c>
      <c r="Y1316" s="362" t="str">
        <f t="shared" si="2722"/>
        <v>Pass</v>
      </c>
      <c r="Z1316" s="11" t="str">
        <f t="shared" si="2723"/>
        <v/>
      </c>
      <c r="AA1316" s="362" t="str">
        <f t="shared" si="2724"/>
        <v/>
      </c>
      <c r="AB1316" s="362" t="str">
        <f t="shared" si="2725"/>
        <v/>
      </c>
    </row>
    <row r="1317" spans="2:29" x14ac:dyDescent="0.25">
      <c r="B1317" s="65">
        <v>42004</v>
      </c>
      <c r="C1317" s="66">
        <v>42004</v>
      </c>
      <c r="D1317" s="68">
        <f t="shared" ref="D1317" si="2732">IF(B1317&gt;0,MONTH(B1317),"False")</f>
        <v>12</v>
      </c>
      <c r="E1317" s="66" t="str">
        <f t="shared" ref="E1317" si="2733">YEAR(B1317) &amp; CHOOSE(D1317,"-Jan","-Feb","-Mar","-Apr","-May","-Jun","-Jul","-Aug","-Sep","-Oct","-Nov","-Dec")</f>
        <v>2014-Dec</v>
      </c>
      <c r="F1317" s="68">
        <f t="shared" ref="F1317" si="2734">IF(C1317&gt;0,MONTH(C1317),"False")</f>
        <v>12</v>
      </c>
      <c r="G1317" s="359" t="s">
        <v>93</v>
      </c>
      <c r="H1317" s="359" t="s">
        <v>316</v>
      </c>
      <c r="J1317" s="359" t="s">
        <v>77</v>
      </c>
      <c r="K1317" s="359" t="s">
        <v>82</v>
      </c>
      <c r="L1317" s="359" t="s">
        <v>79</v>
      </c>
      <c r="M1317" s="359" t="s">
        <v>2134</v>
      </c>
      <c r="N1317" s="359" t="s">
        <v>124</v>
      </c>
      <c r="O1317" s="359" t="s">
        <v>285</v>
      </c>
      <c r="P1317" s="64" t="s">
        <v>340</v>
      </c>
      <c r="Q1317" s="2" t="s">
        <v>88</v>
      </c>
      <c r="R1317" s="64" t="s">
        <v>705</v>
      </c>
      <c r="Y1317" s="362" t="str">
        <f t="shared" si="2722"/>
        <v>Obsolete</v>
      </c>
      <c r="Z1317" s="11">
        <f t="shared" si="2723"/>
        <v>42004</v>
      </c>
      <c r="AA1317" s="362" t="str">
        <f t="shared" si="2724"/>
        <v>2014 - 53</v>
      </c>
      <c r="AB1317" s="362">
        <f t="shared" si="2725"/>
        <v>2014</v>
      </c>
    </row>
    <row r="1318" spans="2:29" x14ac:dyDescent="0.25">
      <c r="B1318" s="65">
        <v>42004</v>
      </c>
      <c r="C1318" s="66">
        <v>42004</v>
      </c>
      <c r="D1318" s="68">
        <f t="shared" ref="D1318:D1319" si="2735">IF(B1318&gt;0,MONTH(B1318),"False")</f>
        <v>12</v>
      </c>
      <c r="E1318" s="66" t="str">
        <f t="shared" ref="E1318:E1319" si="2736">YEAR(B1318) &amp; CHOOSE(D1318,"-Jan","-Feb","-Mar","-Apr","-May","-Jun","-Jul","-Aug","-Sep","-Oct","-Nov","-Dec")</f>
        <v>2014-Dec</v>
      </c>
      <c r="F1318" s="68">
        <f t="shared" ref="F1318:F1319" si="2737">IF(C1318&gt;0,MONTH(C1318),"False")</f>
        <v>12</v>
      </c>
      <c r="G1318" s="397" t="s">
        <v>121</v>
      </c>
      <c r="H1318" s="359" t="s">
        <v>316</v>
      </c>
      <c r="J1318" s="359" t="s">
        <v>77</v>
      </c>
      <c r="K1318" s="359" t="s">
        <v>82</v>
      </c>
      <c r="L1318" s="359" t="s">
        <v>79</v>
      </c>
      <c r="M1318" s="1" t="s">
        <v>2135</v>
      </c>
      <c r="N1318" s="359" t="s">
        <v>124</v>
      </c>
      <c r="O1318" s="359" t="s">
        <v>285</v>
      </c>
      <c r="P1318" s="64" t="s">
        <v>340</v>
      </c>
      <c r="R1318" s="64" t="s">
        <v>705</v>
      </c>
      <c r="S1318" s="397" t="s">
        <v>104</v>
      </c>
      <c r="X1318" s="397" t="s">
        <v>300</v>
      </c>
      <c r="Y1318" s="362" t="str">
        <f t="shared" si="2722"/>
        <v>Pass</v>
      </c>
      <c r="Z1318" s="11" t="str">
        <f t="shared" si="2723"/>
        <v/>
      </c>
      <c r="AA1318" s="362" t="str">
        <f t="shared" si="2724"/>
        <v/>
      </c>
      <c r="AB1318" s="362" t="str">
        <f t="shared" si="2725"/>
        <v/>
      </c>
    </row>
    <row r="1319" spans="2:29" x14ac:dyDescent="0.25">
      <c r="B1319" s="66">
        <v>42004</v>
      </c>
      <c r="C1319" s="66">
        <v>42004</v>
      </c>
      <c r="D1319" s="68">
        <f t="shared" si="2735"/>
        <v>12</v>
      </c>
      <c r="E1319" s="66" t="str">
        <f t="shared" si="2736"/>
        <v>2014-Dec</v>
      </c>
      <c r="F1319" s="68">
        <f t="shared" si="2737"/>
        <v>12</v>
      </c>
      <c r="G1319" s="359" t="s">
        <v>87</v>
      </c>
      <c r="H1319" s="359" t="s">
        <v>166</v>
      </c>
      <c r="J1319" s="359" t="s">
        <v>149</v>
      </c>
      <c r="K1319" s="359" t="s">
        <v>84</v>
      </c>
      <c r="L1319" s="359" t="s">
        <v>83</v>
      </c>
      <c r="M1319" s="1" t="s">
        <v>2136</v>
      </c>
      <c r="N1319" s="359" t="s">
        <v>124</v>
      </c>
      <c r="O1319" s="359" t="s">
        <v>264</v>
      </c>
      <c r="R1319" s="64" t="s">
        <v>1908</v>
      </c>
      <c r="T1319" s="67" t="s">
        <v>110</v>
      </c>
      <c r="Y1319" s="362" t="str">
        <f t="shared" si="2722"/>
        <v>Unknown</v>
      </c>
      <c r="Z1319" s="11" t="str">
        <f t="shared" si="2723"/>
        <v/>
      </c>
      <c r="AA1319" s="362" t="str">
        <f t="shared" si="2724"/>
        <v/>
      </c>
      <c r="AB1319" s="362" t="str">
        <f t="shared" si="2725"/>
        <v/>
      </c>
    </row>
    <row r="1320" spans="2:29" x14ac:dyDescent="0.25">
      <c r="B1320" s="65">
        <v>42004</v>
      </c>
      <c r="C1320" s="66">
        <v>42004</v>
      </c>
      <c r="D1320" s="68">
        <f t="shared" ref="D1320:D1321" si="2738">IF(B1320&gt;0,MONTH(B1320),"False")</f>
        <v>12</v>
      </c>
      <c r="E1320" s="66" t="str">
        <f t="shared" ref="E1320:E1321" si="2739">YEAR(B1320) &amp; CHOOSE(D1320,"-Jan","-Feb","-Mar","-Apr","-May","-Jun","-Jul","-Aug","-Sep","-Oct","-Nov","-Dec")</f>
        <v>2014-Dec</v>
      </c>
      <c r="F1320" s="68">
        <f t="shared" ref="F1320:F1321" si="2740">IF(C1320&gt;0,MONTH(C1320),"False")</f>
        <v>12</v>
      </c>
      <c r="G1320" s="397" t="s">
        <v>121</v>
      </c>
      <c r="H1320" s="359" t="s">
        <v>316</v>
      </c>
      <c r="J1320" s="359" t="s">
        <v>81</v>
      </c>
      <c r="K1320" s="359" t="s">
        <v>82</v>
      </c>
      <c r="L1320" s="359" t="s">
        <v>79</v>
      </c>
      <c r="M1320" s="1" t="s">
        <v>2137</v>
      </c>
      <c r="N1320" s="359" t="s">
        <v>124</v>
      </c>
      <c r="O1320" s="359" t="s">
        <v>285</v>
      </c>
      <c r="P1320" s="64" t="s">
        <v>705</v>
      </c>
      <c r="R1320" s="64" t="s">
        <v>340</v>
      </c>
      <c r="S1320" s="397" t="s">
        <v>104</v>
      </c>
      <c r="T1320" s="67" t="s">
        <v>110</v>
      </c>
      <c r="X1320" s="397" t="s">
        <v>300</v>
      </c>
      <c r="Y1320" s="362" t="str">
        <f t="shared" si="2722"/>
        <v>Pass</v>
      </c>
      <c r="Z1320" s="11" t="str">
        <f t="shared" si="2723"/>
        <v/>
      </c>
      <c r="AA1320" s="362" t="str">
        <f t="shared" si="2724"/>
        <v/>
      </c>
      <c r="AB1320" s="362" t="str">
        <f t="shared" si="2725"/>
        <v/>
      </c>
    </row>
    <row r="1321" spans="2:29" x14ac:dyDescent="0.25">
      <c r="B1321" s="66">
        <v>42004</v>
      </c>
      <c r="C1321" s="66">
        <v>42004</v>
      </c>
      <c r="D1321" s="68">
        <f t="shared" si="2738"/>
        <v>12</v>
      </c>
      <c r="E1321" s="66" t="str">
        <f t="shared" si="2739"/>
        <v>2014-Dec</v>
      </c>
      <c r="F1321" s="68">
        <f t="shared" si="2740"/>
        <v>12</v>
      </c>
      <c r="G1321" s="359" t="s">
        <v>87</v>
      </c>
      <c r="H1321" s="359" t="s">
        <v>316</v>
      </c>
      <c r="J1321" s="359" t="s">
        <v>149</v>
      </c>
      <c r="K1321" s="359" t="s">
        <v>84</v>
      </c>
      <c r="L1321" s="359" t="s">
        <v>83</v>
      </c>
      <c r="M1321" s="1" t="s">
        <v>2138</v>
      </c>
      <c r="N1321" s="359" t="s">
        <v>124</v>
      </c>
      <c r="O1321" s="359" t="s">
        <v>264</v>
      </c>
      <c r="Q1321" s="2" t="s">
        <v>88</v>
      </c>
      <c r="R1321" s="64" t="s">
        <v>604</v>
      </c>
      <c r="T1321" s="67" t="s">
        <v>110</v>
      </c>
      <c r="Y1321" s="362" t="str">
        <f t="shared" si="2722"/>
        <v>Obsolete</v>
      </c>
      <c r="Z1321" s="11">
        <f t="shared" si="2723"/>
        <v>42004</v>
      </c>
      <c r="AA1321" s="362" t="str">
        <f t="shared" si="2724"/>
        <v>2014 - 53</v>
      </c>
      <c r="AB1321" s="362">
        <f t="shared" si="2725"/>
        <v>2014</v>
      </c>
    </row>
    <row r="1322" spans="2:29" x14ac:dyDescent="0.25">
      <c r="B1322" s="66">
        <v>42006</v>
      </c>
      <c r="C1322" s="66">
        <v>42006</v>
      </c>
      <c r="D1322" s="68">
        <f t="shared" ref="D1322" si="2741">IF(B1322&gt;0,MONTH(B1322),"False")</f>
        <v>1</v>
      </c>
      <c r="E1322" s="66" t="str">
        <f t="shared" ref="E1322" si="2742">YEAR(B1322) &amp; CHOOSE(D1322,"-Jan","-Feb","-Mar","-Apr","-May","-Jun","-Jul","-Aug","-Sep","-Oct","-Nov","-Dec")</f>
        <v>2015-Jan</v>
      </c>
      <c r="F1322" s="68">
        <f t="shared" ref="F1322" si="2743">IF(C1322&gt;0,MONTH(C1322),"False")</f>
        <v>1</v>
      </c>
      <c r="G1322" s="361" t="s">
        <v>87</v>
      </c>
      <c r="H1322" s="361" t="s">
        <v>316</v>
      </c>
      <c r="J1322" s="361" t="s">
        <v>78</v>
      </c>
      <c r="K1322" s="361" t="s">
        <v>78</v>
      </c>
      <c r="L1322" s="361" t="s">
        <v>79</v>
      </c>
      <c r="M1322" s="1" t="s">
        <v>2140</v>
      </c>
      <c r="N1322" s="361" t="s">
        <v>124</v>
      </c>
      <c r="O1322" s="361" t="s">
        <v>287</v>
      </c>
      <c r="Q1322" s="2" t="s">
        <v>88</v>
      </c>
      <c r="R1322" s="64" t="s">
        <v>1140</v>
      </c>
      <c r="Y1322" s="362" t="str">
        <f t="shared" si="2722"/>
        <v>Obsolete</v>
      </c>
      <c r="Z1322" s="11">
        <f t="shared" si="2723"/>
        <v>42006</v>
      </c>
      <c r="AA1322" s="362" t="str">
        <f t="shared" si="2724"/>
        <v>2015 - 01</v>
      </c>
      <c r="AB1322" s="362">
        <f t="shared" si="2725"/>
        <v>2015</v>
      </c>
    </row>
    <row r="1323" spans="2:29" x14ac:dyDescent="0.25">
      <c r="B1323" s="6">
        <v>42006</v>
      </c>
      <c r="C1323" s="7">
        <v>42006</v>
      </c>
      <c r="D1323" s="68">
        <f t="shared" ref="D1323:D1326" si="2744">IF(B1323&gt;0,MONTH(B1323),"False")</f>
        <v>1</v>
      </c>
      <c r="E1323" s="66" t="str">
        <f t="shared" ref="E1323:E1326" si="2745">YEAR(B1323) &amp; CHOOSE(D1323,"-Jan","-Feb","-Mar","-Apr","-May","-Jun","-Jul","-Aug","-Sep","-Oct","-Nov","-Dec")</f>
        <v>2015-Jan</v>
      </c>
      <c r="F1323" s="68">
        <f t="shared" ref="F1323:F1326" si="2746">IF(C1323&gt;0,MONTH(C1323),"False")</f>
        <v>1</v>
      </c>
      <c r="G1323" s="363" t="s">
        <v>93</v>
      </c>
      <c r="H1323" s="1" t="s">
        <v>316</v>
      </c>
      <c r="J1323" s="1" t="s">
        <v>78</v>
      </c>
      <c r="K1323" s="1" t="s">
        <v>78</v>
      </c>
      <c r="L1323" s="1" t="s">
        <v>79</v>
      </c>
      <c r="M1323" s="1" t="s">
        <v>2140</v>
      </c>
      <c r="N1323" s="1" t="s">
        <v>124</v>
      </c>
      <c r="O1323" s="1" t="s">
        <v>287</v>
      </c>
      <c r="Q1323" s="2" t="s">
        <v>88</v>
      </c>
      <c r="R1323" s="1" t="s">
        <v>1140</v>
      </c>
      <c r="Y1323" s="362" t="str">
        <f t="shared" si="2722"/>
        <v>Obsolete</v>
      </c>
      <c r="Z1323" s="11">
        <f t="shared" si="2723"/>
        <v>42006</v>
      </c>
      <c r="AA1323" s="362" t="str">
        <f t="shared" si="2724"/>
        <v>2015 - 01</v>
      </c>
      <c r="AB1323" s="362">
        <f t="shared" si="2725"/>
        <v>2015</v>
      </c>
    </row>
    <row r="1324" spans="2:29" x14ac:dyDescent="0.25">
      <c r="B1324" s="6">
        <v>42009</v>
      </c>
      <c r="C1324" s="7">
        <v>42009</v>
      </c>
      <c r="D1324" s="68">
        <f t="shared" si="2744"/>
        <v>1</v>
      </c>
      <c r="E1324" s="66" t="str">
        <f t="shared" si="2745"/>
        <v>2015-Jan</v>
      </c>
      <c r="F1324" s="68">
        <f t="shared" si="2746"/>
        <v>1</v>
      </c>
      <c r="G1324" s="363" t="s">
        <v>93</v>
      </c>
      <c r="H1324" s="1" t="s">
        <v>166</v>
      </c>
      <c r="J1324" s="1" t="s">
        <v>292</v>
      </c>
      <c r="K1324" s="1" t="s">
        <v>292</v>
      </c>
      <c r="L1324" s="1" t="s">
        <v>83</v>
      </c>
      <c r="M1324" s="1" t="s">
        <v>2141</v>
      </c>
      <c r="N1324" s="1" t="s">
        <v>124</v>
      </c>
      <c r="O1324" s="1" t="s">
        <v>156</v>
      </c>
      <c r="R1324" s="1" t="s">
        <v>2142</v>
      </c>
      <c r="Y1324" s="362" t="str">
        <f t="shared" si="2722"/>
        <v>Unknown</v>
      </c>
      <c r="Z1324" s="11" t="str">
        <f t="shared" si="2723"/>
        <v/>
      </c>
      <c r="AA1324" s="362" t="str">
        <f t="shared" si="2724"/>
        <v/>
      </c>
      <c r="AB1324" s="362" t="str">
        <f t="shared" si="2725"/>
        <v/>
      </c>
    </row>
    <row r="1325" spans="2:29" x14ac:dyDescent="0.25">
      <c r="B1325" s="6">
        <v>42009</v>
      </c>
      <c r="C1325" s="7">
        <v>42009</v>
      </c>
      <c r="D1325" s="68">
        <f t="shared" si="2744"/>
        <v>1</v>
      </c>
      <c r="E1325" s="66" t="str">
        <f t="shared" si="2745"/>
        <v>2015-Jan</v>
      </c>
      <c r="F1325" s="68">
        <f t="shared" si="2746"/>
        <v>1</v>
      </c>
      <c r="G1325" s="403" t="s">
        <v>121</v>
      </c>
      <c r="H1325" s="1" t="s">
        <v>115</v>
      </c>
      <c r="J1325" s="1" t="s">
        <v>292</v>
      </c>
      <c r="K1325" s="1" t="s">
        <v>292</v>
      </c>
      <c r="L1325" s="1" t="s">
        <v>83</v>
      </c>
      <c r="M1325" s="1" t="s">
        <v>2143</v>
      </c>
      <c r="N1325" s="1" t="s">
        <v>124</v>
      </c>
      <c r="O1325" s="1" t="s">
        <v>156</v>
      </c>
      <c r="R1325" s="1" t="s">
        <v>2144</v>
      </c>
      <c r="S1325" s="403" t="s">
        <v>104</v>
      </c>
      <c r="X1325" s="403" t="s">
        <v>159</v>
      </c>
      <c r="Y1325" s="362" t="str">
        <f t="shared" si="2722"/>
        <v>Pass</v>
      </c>
      <c r="Z1325" s="11" t="str">
        <f t="shared" si="2723"/>
        <v/>
      </c>
      <c r="AA1325" s="362" t="str">
        <f t="shared" si="2724"/>
        <v/>
      </c>
      <c r="AB1325" s="362" t="str">
        <f t="shared" si="2725"/>
        <v/>
      </c>
    </row>
    <row r="1326" spans="2:29" x14ac:dyDescent="0.25">
      <c r="B1326" s="6">
        <v>42009</v>
      </c>
      <c r="C1326" s="7">
        <v>42009</v>
      </c>
      <c r="D1326" s="68">
        <f t="shared" si="2744"/>
        <v>1</v>
      </c>
      <c r="E1326" s="66" t="str">
        <f t="shared" si="2745"/>
        <v>2015-Jan</v>
      </c>
      <c r="F1326" s="68">
        <f t="shared" si="2746"/>
        <v>1</v>
      </c>
      <c r="G1326" s="415" t="s">
        <v>121</v>
      </c>
      <c r="H1326" s="1" t="s">
        <v>280</v>
      </c>
      <c r="J1326" s="1" t="s">
        <v>81</v>
      </c>
      <c r="K1326" s="1" t="s">
        <v>82</v>
      </c>
      <c r="L1326" s="1" t="s">
        <v>79</v>
      </c>
      <c r="M1326" s="1" t="s">
        <v>2145</v>
      </c>
      <c r="N1326" s="362" t="s">
        <v>124</v>
      </c>
      <c r="O1326" s="1" t="s">
        <v>286</v>
      </c>
      <c r="P1326" s="364" t="s">
        <v>305</v>
      </c>
      <c r="R1326" s="1" t="s">
        <v>1559</v>
      </c>
      <c r="S1326" s="415" t="s">
        <v>104</v>
      </c>
      <c r="X1326" s="415" t="s">
        <v>2146</v>
      </c>
      <c r="Y1326" s="362" t="str">
        <f t="shared" si="2722"/>
        <v>Pass</v>
      </c>
      <c r="Z1326" s="11" t="str">
        <f t="shared" si="2723"/>
        <v/>
      </c>
      <c r="AA1326" s="362" t="str">
        <f t="shared" si="2724"/>
        <v/>
      </c>
      <c r="AB1326" s="362" t="str">
        <f t="shared" si="2725"/>
        <v/>
      </c>
    </row>
    <row r="1327" spans="2:29" x14ac:dyDescent="0.25">
      <c r="B1327" s="65">
        <v>42010</v>
      </c>
      <c r="C1327" s="66">
        <v>42010</v>
      </c>
      <c r="D1327" s="68">
        <f t="shared" ref="D1327" si="2747">IF(B1327&gt;0,MONTH(B1327),"False")</f>
        <v>1</v>
      </c>
      <c r="E1327" s="66" t="str">
        <f t="shared" ref="E1327" si="2748">YEAR(B1327) &amp; CHOOSE(D1327,"-Jan","-Feb","-Mar","-Apr","-May","-Jun","-Jul","-Aug","-Sep","-Oct","-Nov","-Dec")</f>
        <v>2015-Jan</v>
      </c>
      <c r="F1327" s="68">
        <f t="shared" ref="F1327" si="2749">IF(C1327&gt;0,MONTH(C1327),"False")</f>
        <v>1</v>
      </c>
      <c r="G1327" s="362" t="s">
        <v>93</v>
      </c>
      <c r="H1327" s="362" t="s">
        <v>28</v>
      </c>
      <c r="J1327" s="362" t="s">
        <v>77</v>
      </c>
      <c r="K1327" s="362" t="s">
        <v>82</v>
      </c>
      <c r="L1327" s="362" t="s">
        <v>79</v>
      </c>
      <c r="M1327" s="1" t="s">
        <v>2147</v>
      </c>
      <c r="N1327" s="362" t="s">
        <v>124</v>
      </c>
      <c r="O1327" s="362" t="s">
        <v>162</v>
      </c>
      <c r="P1327" s="64" t="s">
        <v>334</v>
      </c>
      <c r="Q1327" s="2" t="s">
        <v>88</v>
      </c>
      <c r="R1327" s="64" t="s">
        <v>335</v>
      </c>
      <c r="Y1327" s="362" t="str">
        <f t="shared" ref="Y1327:Y1340" si="2750">IF(Q1327&gt;0,"Obsolete",IF(S1327&gt;0,S1327,"Unknown"))</f>
        <v>Obsolete</v>
      </c>
      <c r="Z1327" s="11">
        <f t="shared" ref="Z1327:Z1340" si="2751">IF(Q1327="Obsolete-LQA",C1327,IF(Q1327="Obsolete-IT",B1327,""))</f>
        <v>42010</v>
      </c>
      <c r="AA1327" s="362" t="str">
        <f t="shared" ref="AA1327:AA1340" si="2752">IFERROR(YEAR(Z1327)&amp;" - "&amp; IF(LEN( WEEKNUM(Z1327))=1,"0" &amp; WEEKNUM(Z1327),WEEKNUM(Z1327)),"")</f>
        <v>2015 - 02</v>
      </c>
      <c r="AB1327" s="362">
        <f t="shared" ref="AB1327:AB1340" si="2753">IFERROR(YEAR(Z1327),"")</f>
        <v>2015</v>
      </c>
      <c r="AC1327" s="362"/>
    </row>
    <row r="1328" spans="2:29" x14ac:dyDescent="0.25">
      <c r="B1328" s="65">
        <v>42011</v>
      </c>
      <c r="C1328" s="66">
        <v>42011</v>
      </c>
      <c r="D1328" s="68">
        <f t="shared" ref="D1328" si="2754">IF(B1328&gt;0,MONTH(B1328),"False")</f>
        <v>1</v>
      </c>
      <c r="E1328" s="66" t="str">
        <f t="shared" ref="E1328" si="2755">YEAR(B1328) &amp; CHOOSE(D1328,"-Jan","-Feb","-Mar","-Apr","-May","-Jun","-Jul","-Aug","-Sep","-Oct","-Nov","-Dec")</f>
        <v>2015-Jan</v>
      </c>
      <c r="F1328" s="68">
        <f t="shared" ref="F1328" si="2756">IF(C1328&gt;0,MONTH(C1328),"False")</f>
        <v>1</v>
      </c>
      <c r="G1328" s="363" t="s">
        <v>121</v>
      </c>
      <c r="H1328" s="363" t="s">
        <v>1745</v>
      </c>
      <c r="I1328" s="369" t="s">
        <v>2139</v>
      </c>
      <c r="J1328" s="363" t="s">
        <v>81</v>
      </c>
      <c r="K1328" s="363" t="s">
        <v>82</v>
      </c>
      <c r="L1328" s="363" t="s">
        <v>79</v>
      </c>
      <c r="M1328" s="1" t="s">
        <v>2148</v>
      </c>
      <c r="N1328" s="363" t="s">
        <v>124</v>
      </c>
      <c r="O1328" s="363" t="s">
        <v>2072</v>
      </c>
      <c r="P1328" s="64" t="s">
        <v>1824</v>
      </c>
      <c r="R1328" s="64" t="s">
        <v>1823</v>
      </c>
      <c r="S1328" s="1" t="s">
        <v>104</v>
      </c>
      <c r="T1328" s="67" t="s">
        <v>110</v>
      </c>
      <c r="X1328" s="564" t="s">
        <v>158</v>
      </c>
      <c r="Y1328" s="362" t="str">
        <f t="shared" si="2750"/>
        <v>Pass</v>
      </c>
      <c r="Z1328" s="11" t="str">
        <f t="shared" si="2751"/>
        <v/>
      </c>
      <c r="AA1328" s="362" t="str">
        <f t="shared" si="2752"/>
        <v/>
      </c>
      <c r="AB1328" s="362" t="str">
        <f t="shared" si="2753"/>
        <v/>
      </c>
      <c r="AC1328" s="362"/>
    </row>
    <row r="1329" spans="2:30" x14ac:dyDescent="0.25">
      <c r="B1329" s="65">
        <v>42011</v>
      </c>
      <c r="C1329" s="66">
        <v>42011</v>
      </c>
      <c r="D1329" s="68">
        <f t="shared" ref="D1329:D1330" si="2757">IF(B1329&gt;0,MONTH(B1329),"False")</f>
        <v>1</v>
      </c>
      <c r="E1329" s="66" t="str">
        <f t="shared" ref="E1329:E1330" si="2758">YEAR(B1329) &amp; CHOOSE(D1329,"-Jan","-Feb","-Mar","-Apr","-May","-Jun","-Jul","-Aug","-Sep","-Oct","-Nov","-Dec")</f>
        <v>2015-Jan</v>
      </c>
      <c r="F1329" s="68">
        <f t="shared" ref="F1329:F1330" si="2759">IF(C1329&gt;0,MONTH(C1329),"False")</f>
        <v>1</v>
      </c>
      <c r="G1329" s="366" t="s">
        <v>121</v>
      </c>
      <c r="H1329" s="363" t="s">
        <v>115</v>
      </c>
      <c r="J1329" s="363" t="s">
        <v>77</v>
      </c>
      <c r="K1329" s="363" t="s">
        <v>82</v>
      </c>
      <c r="L1329" s="363" t="s">
        <v>83</v>
      </c>
      <c r="M1329" s="1" t="s">
        <v>2149</v>
      </c>
      <c r="N1329" s="363" t="s">
        <v>124</v>
      </c>
      <c r="O1329" s="363" t="s">
        <v>353</v>
      </c>
      <c r="R1329" s="64" t="s">
        <v>2150</v>
      </c>
      <c r="S1329" s="366" t="s">
        <v>104</v>
      </c>
      <c r="X1329" s="366" t="s">
        <v>1312</v>
      </c>
      <c r="Y1329" s="362" t="str">
        <f t="shared" si="2750"/>
        <v>Pass</v>
      </c>
      <c r="Z1329" s="11" t="str">
        <f t="shared" si="2751"/>
        <v/>
      </c>
      <c r="AA1329" s="362" t="str">
        <f t="shared" si="2752"/>
        <v/>
      </c>
      <c r="AB1329" s="362" t="str">
        <f t="shared" si="2753"/>
        <v/>
      </c>
      <c r="AC1329" s="362"/>
    </row>
    <row r="1330" spans="2:30" x14ac:dyDescent="0.25">
      <c r="B1330" s="66">
        <v>42011</v>
      </c>
      <c r="C1330" s="66">
        <v>42011</v>
      </c>
      <c r="D1330" s="68">
        <f t="shared" si="2757"/>
        <v>1</v>
      </c>
      <c r="E1330" s="66" t="str">
        <f t="shared" si="2758"/>
        <v>2015-Jan</v>
      </c>
      <c r="F1330" s="68">
        <f t="shared" si="2759"/>
        <v>1</v>
      </c>
      <c r="G1330" s="363" t="s">
        <v>112</v>
      </c>
      <c r="H1330" s="363" t="s">
        <v>166</v>
      </c>
      <c r="J1330" s="363" t="s">
        <v>146</v>
      </c>
      <c r="K1330" s="363" t="s">
        <v>260</v>
      </c>
      <c r="L1330" s="363" t="s">
        <v>79</v>
      </c>
      <c r="M1330" s="1" t="s">
        <v>2151</v>
      </c>
      <c r="N1330" s="363" t="s">
        <v>124</v>
      </c>
      <c r="O1330" s="363" t="s">
        <v>183</v>
      </c>
      <c r="R1330" s="64" t="s">
        <v>894</v>
      </c>
      <c r="S1330" s="363" t="s">
        <v>104</v>
      </c>
      <c r="X1330" s="363" t="s">
        <v>544</v>
      </c>
      <c r="Y1330" s="362" t="str">
        <f t="shared" si="2750"/>
        <v>Pass</v>
      </c>
      <c r="Z1330" s="11" t="str">
        <f t="shared" si="2751"/>
        <v/>
      </c>
      <c r="AA1330" s="362" t="str">
        <f t="shared" si="2752"/>
        <v/>
      </c>
      <c r="AB1330" s="362" t="str">
        <f t="shared" si="2753"/>
        <v/>
      </c>
      <c r="AC1330" s="362"/>
    </row>
    <row r="1331" spans="2:30" x14ac:dyDescent="0.25">
      <c r="B1331" s="66">
        <v>42011</v>
      </c>
      <c r="C1331" s="66">
        <v>42011</v>
      </c>
      <c r="D1331" s="68">
        <f t="shared" ref="D1331" si="2760">IF(B1331&gt;0,MONTH(B1331),"False")</f>
        <v>1</v>
      </c>
      <c r="E1331" s="66" t="str">
        <f t="shared" ref="E1331" si="2761">YEAR(B1331) &amp; CHOOSE(D1331,"-Jan","-Feb","-Mar","-Apr","-May","-Jun","-Jul","-Aug","-Sep","-Oct","-Nov","-Dec")</f>
        <v>2015-Jan</v>
      </c>
      <c r="F1331" s="68">
        <f t="shared" ref="F1331" si="2762">IF(C1331&gt;0,MONTH(C1331),"False")</f>
        <v>1</v>
      </c>
      <c r="G1331" s="396" t="s">
        <v>112</v>
      </c>
      <c r="H1331" s="363" t="s">
        <v>166</v>
      </c>
      <c r="J1331" s="363" t="s">
        <v>78</v>
      </c>
      <c r="K1331" s="363" t="s">
        <v>78</v>
      </c>
      <c r="L1331" s="363" t="s">
        <v>79</v>
      </c>
      <c r="M1331" s="1" t="s">
        <v>2152</v>
      </c>
      <c r="N1331" s="363" t="s">
        <v>124</v>
      </c>
      <c r="O1331" s="363" t="s">
        <v>332</v>
      </c>
      <c r="P1331" s="64" t="s">
        <v>2153</v>
      </c>
      <c r="R1331" s="64" t="s">
        <v>2154</v>
      </c>
      <c r="S1331" s="396" t="s">
        <v>104</v>
      </c>
      <c r="X1331" s="396" t="s">
        <v>154</v>
      </c>
      <c r="Y1331" s="362" t="str">
        <f t="shared" si="2750"/>
        <v>Pass</v>
      </c>
      <c r="Z1331" s="11" t="str">
        <f t="shared" si="2751"/>
        <v/>
      </c>
      <c r="AA1331" s="362" t="str">
        <f t="shared" si="2752"/>
        <v/>
      </c>
      <c r="AB1331" s="362" t="str">
        <f t="shared" si="2753"/>
        <v/>
      </c>
      <c r="AC1331" s="362"/>
    </row>
    <row r="1332" spans="2:30" x14ac:dyDescent="0.25">
      <c r="B1332" s="66">
        <v>42011</v>
      </c>
      <c r="C1332" s="66">
        <v>42011</v>
      </c>
      <c r="D1332" s="68">
        <f t="shared" ref="D1332:D1333" si="2763">IF(B1332&gt;0,MONTH(B1332),"False")</f>
        <v>1</v>
      </c>
      <c r="E1332" s="66" t="str">
        <f t="shared" ref="E1332:E1333" si="2764">YEAR(B1332) &amp; CHOOSE(D1332,"-Jan","-Feb","-Mar","-Apr","-May","-Jun","-Jul","-Aug","-Sep","-Oct","-Nov","-Dec")</f>
        <v>2015-Jan</v>
      </c>
      <c r="F1332" s="68">
        <f t="shared" ref="F1332:F1333" si="2765">IF(C1332&gt;0,MONTH(C1332),"False")</f>
        <v>1</v>
      </c>
      <c r="G1332" s="363" t="s">
        <v>112</v>
      </c>
      <c r="H1332" s="363" t="s">
        <v>1745</v>
      </c>
      <c r="J1332" s="363" t="s">
        <v>78</v>
      </c>
      <c r="K1332" s="363" t="s">
        <v>78</v>
      </c>
      <c r="L1332" s="363" t="s">
        <v>79</v>
      </c>
      <c r="M1332" s="1" t="s">
        <v>2155</v>
      </c>
      <c r="N1332" s="363" t="s">
        <v>124</v>
      </c>
      <c r="O1332" s="363" t="s">
        <v>168</v>
      </c>
      <c r="R1332" s="64" t="s">
        <v>1796</v>
      </c>
      <c r="S1332" s="1" t="s">
        <v>104</v>
      </c>
      <c r="X1332" s="1" t="s">
        <v>158</v>
      </c>
      <c r="Y1332" s="362" t="str">
        <f t="shared" si="2750"/>
        <v>Pass</v>
      </c>
      <c r="Z1332" s="11" t="str">
        <f t="shared" si="2751"/>
        <v/>
      </c>
      <c r="AA1332" s="362" t="str">
        <f t="shared" si="2752"/>
        <v/>
      </c>
      <c r="AB1332" s="362" t="str">
        <f t="shared" si="2753"/>
        <v/>
      </c>
      <c r="AC1332" s="362"/>
    </row>
    <row r="1333" spans="2:30" x14ac:dyDescent="0.25">
      <c r="B1333" s="65">
        <v>42012</v>
      </c>
      <c r="C1333" s="66">
        <v>42012</v>
      </c>
      <c r="D1333" s="68">
        <f t="shared" si="2763"/>
        <v>1</v>
      </c>
      <c r="E1333" s="66" t="str">
        <f t="shared" si="2764"/>
        <v>2015-Jan</v>
      </c>
      <c r="F1333" s="68">
        <f t="shared" si="2765"/>
        <v>1</v>
      </c>
      <c r="G1333" s="366" t="s">
        <v>121</v>
      </c>
      <c r="H1333" s="363" t="s">
        <v>28</v>
      </c>
      <c r="J1333" s="363" t="s">
        <v>77</v>
      </c>
      <c r="K1333" s="363" t="s">
        <v>82</v>
      </c>
      <c r="L1333" s="363" t="s">
        <v>79</v>
      </c>
      <c r="M1333" s="1" t="s">
        <v>2156</v>
      </c>
      <c r="N1333" s="363" t="s">
        <v>124</v>
      </c>
      <c r="O1333" s="363" t="s">
        <v>162</v>
      </c>
      <c r="P1333" s="64" t="s">
        <v>334</v>
      </c>
      <c r="R1333" s="64" t="s">
        <v>335</v>
      </c>
      <c r="S1333" s="366" t="s">
        <v>104</v>
      </c>
      <c r="T1333" s="67" t="s">
        <v>110</v>
      </c>
      <c r="X1333" s="366" t="s">
        <v>153</v>
      </c>
      <c r="Y1333" s="362" t="str">
        <f t="shared" si="2750"/>
        <v>Pass</v>
      </c>
      <c r="Z1333" s="11" t="str">
        <f t="shared" si="2751"/>
        <v/>
      </c>
      <c r="AA1333" s="362" t="str">
        <f t="shared" si="2752"/>
        <v/>
      </c>
      <c r="AB1333" s="362" t="str">
        <f t="shared" si="2753"/>
        <v/>
      </c>
      <c r="AC1333" s="362"/>
    </row>
    <row r="1334" spans="2:30" x14ac:dyDescent="0.25">
      <c r="B1334" s="65">
        <v>42013</v>
      </c>
      <c r="C1334" s="66">
        <v>42013</v>
      </c>
      <c r="D1334" s="68">
        <f t="shared" ref="D1334:D1335" si="2766">IF(B1334&gt;0,MONTH(B1334),"False")</f>
        <v>1</v>
      </c>
      <c r="E1334" s="66" t="str">
        <f t="shared" ref="E1334:E1335" si="2767">YEAR(B1334) &amp; CHOOSE(D1334,"-Jan","-Feb","-Mar","-Apr","-May","-Jun","-Jul","-Aug","-Sep","-Oct","-Nov","-Dec")</f>
        <v>2015-Jan</v>
      </c>
      <c r="F1334" s="68">
        <f t="shared" ref="F1334:F1335" si="2768">IF(C1334&gt;0,MONTH(C1334),"False")</f>
        <v>1</v>
      </c>
      <c r="G1334" s="365" t="s">
        <v>93</v>
      </c>
      <c r="H1334" s="365" t="s">
        <v>316</v>
      </c>
      <c r="J1334" s="365" t="s">
        <v>77</v>
      </c>
      <c r="K1334" s="365" t="s">
        <v>82</v>
      </c>
      <c r="L1334" s="365" t="s">
        <v>79</v>
      </c>
      <c r="M1334" s="1" t="s">
        <v>2157</v>
      </c>
      <c r="N1334" s="365" t="s">
        <v>124</v>
      </c>
      <c r="O1334" s="365" t="s">
        <v>285</v>
      </c>
      <c r="P1334" s="64" t="s">
        <v>340</v>
      </c>
      <c r="R1334" s="64" t="s">
        <v>705</v>
      </c>
      <c r="S1334" s="1" t="s">
        <v>104</v>
      </c>
      <c r="X1334" s="1" t="s">
        <v>1474</v>
      </c>
      <c r="Y1334" s="362" t="str">
        <f t="shared" si="2750"/>
        <v>Pass</v>
      </c>
      <c r="Z1334" s="11" t="str">
        <f t="shared" si="2751"/>
        <v/>
      </c>
      <c r="AA1334" s="362" t="str">
        <f t="shared" si="2752"/>
        <v/>
      </c>
      <c r="AB1334" s="362" t="str">
        <f t="shared" si="2753"/>
        <v/>
      </c>
      <c r="AC1334" s="362"/>
    </row>
    <row r="1335" spans="2:30" x14ac:dyDescent="0.25">
      <c r="B1335" s="66">
        <v>42013</v>
      </c>
      <c r="C1335" s="66">
        <v>42013</v>
      </c>
      <c r="D1335" s="68">
        <f t="shared" si="2766"/>
        <v>1</v>
      </c>
      <c r="E1335" s="66" t="str">
        <f t="shared" si="2767"/>
        <v>2015-Jan</v>
      </c>
      <c r="F1335" s="68">
        <f t="shared" si="2768"/>
        <v>1</v>
      </c>
      <c r="G1335" s="366" t="s">
        <v>126</v>
      </c>
      <c r="H1335" s="365" t="s">
        <v>136</v>
      </c>
      <c r="J1335" s="365" t="s">
        <v>149</v>
      </c>
      <c r="K1335" s="365" t="s">
        <v>84</v>
      </c>
      <c r="L1335" s="365" t="s">
        <v>79</v>
      </c>
      <c r="M1335" s="1" t="s">
        <v>2158</v>
      </c>
      <c r="N1335" s="365" t="s">
        <v>124</v>
      </c>
      <c r="O1335" s="365" t="s">
        <v>264</v>
      </c>
      <c r="R1335" s="64" t="s">
        <v>2109</v>
      </c>
      <c r="S1335" s="366" t="s">
        <v>104</v>
      </c>
      <c r="X1335" s="366" t="s">
        <v>1758</v>
      </c>
      <c r="Y1335" s="362" t="str">
        <f t="shared" si="2750"/>
        <v>Pass</v>
      </c>
      <c r="Z1335" s="11" t="str">
        <f t="shared" si="2751"/>
        <v/>
      </c>
      <c r="AA1335" s="362" t="str">
        <f t="shared" si="2752"/>
        <v/>
      </c>
      <c r="AB1335" s="362" t="str">
        <f t="shared" si="2753"/>
        <v/>
      </c>
      <c r="AC1335" s="362"/>
    </row>
    <row r="1336" spans="2:30" x14ac:dyDescent="0.25">
      <c r="B1336" s="65">
        <v>42013</v>
      </c>
      <c r="C1336" s="66">
        <v>42013</v>
      </c>
      <c r="D1336" s="68">
        <f t="shared" ref="D1336:D1337" si="2769">IF(B1336&gt;0,MONTH(B1336),"False")</f>
        <v>1</v>
      </c>
      <c r="E1336" s="66" t="str">
        <f t="shared" ref="E1336:E1337" si="2770">YEAR(B1336) &amp; CHOOSE(D1336,"-Jan","-Feb","-Mar","-Apr","-May","-Jun","-Jul","-Aug","-Sep","-Oct","-Nov","-Dec")</f>
        <v>2015-Jan</v>
      </c>
      <c r="F1336" s="68">
        <f t="shared" ref="F1336:F1337" si="2771">IF(C1336&gt;0,MONTH(C1336),"False")</f>
        <v>1</v>
      </c>
      <c r="G1336" s="365" t="s">
        <v>121</v>
      </c>
      <c r="H1336" s="365" t="s">
        <v>1745</v>
      </c>
      <c r="I1336" s="369" t="s">
        <v>2139</v>
      </c>
      <c r="J1336" s="365" t="s">
        <v>81</v>
      </c>
      <c r="K1336" s="365" t="s">
        <v>82</v>
      </c>
      <c r="L1336" s="365" t="s">
        <v>79</v>
      </c>
      <c r="M1336" s="1" t="s">
        <v>2159</v>
      </c>
      <c r="N1336" s="365" t="s">
        <v>124</v>
      </c>
      <c r="O1336" s="365" t="s">
        <v>147</v>
      </c>
      <c r="P1336" s="64" t="s">
        <v>1823</v>
      </c>
      <c r="R1336" s="64" t="s">
        <v>1824</v>
      </c>
      <c r="S1336" s="1" t="s">
        <v>104</v>
      </c>
      <c r="T1336" s="67" t="s">
        <v>110</v>
      </c>
      <c r="X1336" s="564" t="s">
        <v>158</v>
      </c>
      <c r="Y1336" s="362" t="str">
        <f t="shared" si="2750"/>
        <v>Pass</v>
      </c>
      <c r="Z1336" s="11" t="str">
        <f t="shared" si="2751"/>
        <v/>
      </c>
      <c r="AA1336" s="362" t="str">
        <f t="shared" si="2752"/>
        <v/>
      </c>
      <c r="AB1336" s="362" t="str">
        <f t="shared" si="2753"/>
        <v/>
      </c>
      <c r="AC1336" s="362"/>
    </row>
    <row r="1337" spans="2:30" x14ac:dyDescent="0.25">
      <c r="B1337" s="66">
        <v>42013</v>
      </c>
      <c r="C1337" s="66">
        <v>42013</v>
      </c>
      <c r="D1337" s="68">
        <f t="shared" si="2769"/>
        <v>1</v>
      </c>
      <c r="E1337" s="66" t="str">
        <f t="shared" si="2770"/>
        <v>2015-Jan</v>
      </c>
      <c r="F1337" s="68">
        <f t="shared" si="2771"/>
        <v>1</v>
      </c>
      <c r="G1337" s="365" t="s">
        <v>87</v>
      </c>
      <c r="H1337" s="365" t="s">
        <v>166</v>
      </c>
      <c r="J1337" s="365" t="s">
        <v>78</v>
      </c>
      <c r="K1337" s="365" t="s">
        <v>78</v>
      </c>
      <c r="L1337" s="365" t="s">
        <v>79</v>
      </c>
      <c r="M1337" s="1" t="s">
        <v>2160</v>
      </c>
      <c r="N1337" s="365" t="s">
        <v>124</v>
      </c>
      <c r="O1337" s="365" t="s">
        <v>168</v>
      </c>
      <c r="R1337" s="64" t="s">
        <v>1743</v>
      </c>
      <c r="Y1337" s="362" t="str">
        <f t="shared" si="2750"/>
        <v>Unknown</v>
      </c>
      <c r="Z1337" s="11" t="str">
        <f t="shared" si="2751"/>
        <v/>
      </c>
      <c r="AA1337" s="362" t="str">
        <f t="shared" si="2752"/>
        <v/>
      </c>
      <c r="AB1337" s="362" t="str">
        <f t="shared" si="2753"/>
        <v/>
      </c>
      <c r="AC1337" s="362"/>
    </row>
    <row r="1338" spans="2:30" x14ac:dyDescent="0.25">
      <c r="B1338" s="66">
        <v>42013</v>
      </c>
      <c r="C1338" s="66">
        <v>42013</v>
      </c>
      <c r="D1338" s="68">
        <f t="shared" ref="D1338" si="2772">IF(B1338&gt;0,MONTH(B1338),"False")</f>
        <v>1</v>
      </c>
      <c r="E1338" s="66" t="str">
        <f t="shared" ref="E1338" si="2773">YEAR(B1338) &amp; CHOOSE(D1338,"-Jan","-Feb","-Mar","-Apr","-May","-Jun","-Jul","-Aug","-Sep","-Oct","-Nov","-Dec")</f>
        <v>2015-Jan</v>
      </c>
      <c r="F1338" s="68">
        <f t="shared" ref="F1338" si="2774">IF(C1338&gt;0,MONTH(C1338),"False")</f>
        <v>1</v>
      </c>
      <c r="G1338" s="365" t="s">
        <v>87</v>
      </c>
      <c r="H1338" s="365" t="s">
        <v>2091</v>
      </c>
      <c r="J1338" s="365" t="s">
        <v>149</v>
      </c>
      <c r="K1338" s="365" t="s">
        <v>84</v>
      </c>
      <c r="L1338" s="365" t="s">
        <v>83</v>
      </c>
      <c r="M1338" s="1" t="s">
        <v>2161</v>
      </c>
      <c r="N1338" s="365" t="s">
        <v>124</v>
      </c>
      <c r="O1338" s="365" t="s">
        <v>264</v>
      </c>
      <c r="R1338" s="64" t="s">
        <v>2100</v>
      </c>
      <c r="Y1338" s="362" t="str">
        <f t="shared" si="2750"/>
        <v>Unknown</v>
      </c>
      <c r="Z1338" s="11" t="str">
        <f t="shared" si="2751"/>
        <v/>
      </c>
      <c r="AA1338" s="362" t="str">
        <f t="shared" si="2752"/>
        <v/>
      </c>
      <c r="AB1338" s="362" t="str">
        <f t="shared" si="2753"/>
        <v/>
      </c>
      <c r="AC1338" s="362"/>
    </row>
    <row r="1339" spans="2:30" x14ac:dyDescent="0.25">
      <c r="B1339" s="66">
        <v>42013</v>
      </c>
      <c r="C1339" s="66">
        <v>42013</v>
      </c>
      <c r="D1339" s="68">
        <f t="shared" ref="D1339:D1340" si="2775">IF(B1339&gt;0,MONTH(B1339),"False")</f>
        <v>1</v>
      </c>
      <c r="E1339" s="66" t="str">
        <f t="shared" ref="E1339:E1340" si="2776">YEAR(B1339) &amp; CHOOSE(D1339,"-Jan","-Feb","-Mar","-Apr","-May","-Jun","-Jul","-Aug","-Sep","-Oct","-Nov","-Dec")</f>
        <v>2015-Jan</v>
      </c>
      <c r="F1339" s="68">
        <f t="shared" ref="F1339:F1340" si="2777">IF(C1339&gt;0,MONTH(C1339),"False")</f>
        <v>1</v>
      </c>
      <c r="G1339" s="365" t="s">
        <v>112</v>
      </c>
      <c r="H1339" s="365" t="s">
        <v>1745</v>
      </c>
      <c r="J1339" s="365" t="s">
        <v>78</v>
      </c>
      <c r="K1339" s="365" t="s">
        <v>78</v>
      </c>
      <c r="L1339" s="365" t="s">
        <v>79</v>
      </c>
      <c r="M1339" s="1" t="s">
        <v>2162</v>
      </c>
      <c r="N1339" s="365" t="s">
        <v>124</v>
      </c>
      <c r="O1339" s="365" t="s">
        <v>167</v>
      </c>
      <c r="R1339" s="64" t="s">
        <v>1796</v>
      </c>
      <c r="S1339" s="1" t="s">
        <v>104</v>
      </c>
      <c r="X1339" s="1" t="s">
        <v>158</v>
      </c>
      <c r="Y1339" s="362" t="str">
        <f t="shared" si="2750"/>
        <v>Pass</v>
      </c>
      <c r="Z1339" s="11" t="str">
        <f t="shared" si="2751"/>
        <v/>
      </c>
      <c r="AA1339" s="362" t="str">
        <f t="shared" si="2752"/>
        <v/>
      </c>
      <c r="AB1339" s="362" t="str">
        <f t="shared" si="2753"/>
        <v/>
      </c>
      <c r="AC1339" s="362"/>
    </row>
    <row r="1340" spans="2:30" x14ac:dyDescent="0.25">
      <c r="B1340" s="65">
        <v>42013</v>
      </c>
      <c r="C1340" s="66">
        <v>42013</v>
      </c>
      <c r="D1340" s="68">
        <f t="shared" si="2775"/>
        <v>1</v>
      </c>
      <c r="E1340" s="66" t="str">
        <f t="shared" si="2776"/>
        <v>2015-Jan</v>
      </c>
      <c r="F1340" s="68">
        <f t="shared" si="2777"/>
        <v>1</v>
      </c>
      <c r="G1340" s="396" t="s">
        <v>121</v>
      </c>
      <c r="H1340" s="365" t="s">
        <v>348</v>
      </c>
      <c r="J1340" s="365" t="s">
        <v>77</v>
      </c>
      <c r="K1340" s="365" t="s">
        <v>82</v>
      </c>
      <c r="L1340" s="365" t="s">
        <v>79</v>
      </c>
      <c r="M1340" s="1" t="s">
        <v>2163</v>
      </c>
      <c r="N1340" s="365" t="s">
        <v>124</v>
      </c>
      <c r="O1340" s="365" t="s">
        <v>91</v>
      </c>
      <c r="P1340" s="64" t="s">
        <v>352</v>
      </c>
      <c r="R1340" s="64" t="s">
        <v>2062</v>
      </c>
      <c r="S1340" s="396" t="s">
        <v>104</v>
      </c>
      <c r="T1340" s="67" t="s">
        <v>110</v>
      </c>
      <c r="X1340" s="396" t="s">
        <v>154</v>
      </c>
      <c r="Y1340" s="362" t="str">
        <f t="shared" si="2750"/>
        <v>Pass</v>
      </c>
      <c r="Z1340" s="11" t="str">
        <f t="shared" si="2751"/>
        <v/>
      </c>
      <c r="AA1340" s="362" t="str">
        <f t="shared" si="2752"/>
        <v/>
      </c>
      <c r="AB1340" s="362" t="str">
        <f t="shared" si="2753"/>
        <v/>
      </c>
      <c r="AC1340" s="362"/>
    </row>
    <row r="1341" spans="2:30" x14ac:dyDescent="0.25">
      <c r="B1341" s="66">
        <v>42016</v>
      </c>
      <c r="C1341" s="66">
        <v>42016</v>
      </c>
      <c r="D1341" s="68">
        <f t="shared" ref="D1341:D1342" si="2778">IF(B1341&gt;0,MONTH(B1341),"False")</f>
        <v>1</v>
      </c>
      <c r="E1341" s="66" t="str">
        <f t="shared" ref="E1341:E1342" si="2779">YEAR(B1341) &amp; CHOOSE(D1341,"-Jan","-Feb","-Mar","-Apr","-May","-Jun","-Jul","-Aug","-Sep","-Oct","-Nov","-Dec")</f>
        <v>2015-Jan</v>
      </c>
      <c r="F1341" s="68">
        <f t="shared" ref="F1341:F1342" si="2780">IF(C1341&gt;0,MONTH(C1341),"False")</f>
        <v>1</v>
      </c>
      <c r="G1341" s="378" t="s">
        <v>112</v>
      </c>
      <c r="H1341" s="366" t="s">
        <v>316</v>
      </c>
      <c r="J1341" s="366" t="s">
        <v>78</v>
      </c>
      <c r="K1341" s="366" t="s">
        <v>78</v>
      </c>
      <c r="L1341" s="366" t="s">
        <v>79</v>
      </c>
      <c r="M1341" s="1" t="s">
        <v>2164</v>
      </c>
      <c r="N1341" s="366" t="s">
        <v>124</v>
      </c>
      <c r="O1341" s="366" t="s">
        <v>287</v>
      </c>
      <c r="R1341" s="64" t="s">
        <v>1140</v>
      </c>
      <c r="S1341" s="378" t="s">
        <v>104</v>
      </c>
      <c r="X1341" s="378" t="s">
        <v>154</v>
      </c>
      <c r="Y1341" s="378" t="str">
        <f t="shared" ref="Y1341:Y1365" si="2781">IF(Q1341&gt;0,"Obsolete",IF(S1341&gt;0,S1341,"Unknown"))</f>
        <v>Pass</v>
      </c>
      <c r="Z1341" s="11" t="str">
        <f t="shared" ref="Z1341:Z1365" si="2782">IF(Q1341="Obsolete-LQA",C1341,IF(Q1341="Obsolete-IT",B1341,""))</f>
        <v/>
      </c>
      <c r="AA1341" s="378" t="str">
        <f t="shared" ref="AA1341:AA1365" si="2783">IFERROR(YEAR(Z1341)&amp;" - "&amp; IF(LEN( WEEKNUM(Z1341))=1,"0" &amp; WEEKNUM(Z1341),WEEKNUM(Z1341)),"")</f>
        <v/>
      </c>
      <c r="AB1341" s="378" t="str">
        <f t="shared" ref="AB1341:AB1365" si="2784">IFERROR(YEAR(Z1341),"")</f>
        <v/>
      </c>
      <c r="AC1341" s="378"/>
      <c r="AD1341" s="378"/>
    </row>
    <row r="1342" spans="2:30" x14ac:dyDescent="0.25">
      <c r="B1342" s="65">
        <v>42016</v>
      </c>
      <c r="C1342" s="66">
        <v>42016</v>
      </c>
      <c r="D1342" s="68">
        <f t="shared" si="2778"/>
        <v>1</v>
      </c>
      <c r="E1342" s="66" t="str">
        <f t="shared" si="2779"/>
        <v>2015-Jan</v>
      </c>
      <c r="F1342" s="68">
        <f t="shared" si="2780"/>
        <v>1</v>
      </c>
      <c r="G1342" s="366" t="s">
        <v>121</v>
      </c>
      <c r="H1342" s="366" t="s">
        <v>1745</v>
      </c>
      <c r="I1342" s="369" t="s">
        <v>2139</v>
      </c>
      <c r="J1342" s="366" t="s">
        <v>81</v>
      </c>
      <c r="K1342" s="366" t="s">
        <v>82</v>
      </c>
      <c r="L1342" s="366" t="s">
        <v>79</v>
      </c>
      <c r="M1342" s="1" t="s">
        <v>2165</v>
      </c>
      <c r="N1342" s="366" t="s">
        <v>124</v>
      </c>
      <c r="O1342" s="366" t="s">
        <v>273</v>
      </c>
      <c r="P1342" s="64" t="s">
        <v>1823</v>
      </c>
      <c r="R1342" s="64" t="s">
        <v>1824</v>
      </c>
      <c r="S1342" s="1" t="s">
        <v>104</v>
      </c>
      <c r="X1342" s="564" t="s">
        <v>158</v>
      </c>
      <c r="Y1342" s="378" t="str">
        <f t="shared" si="2781"/>
        <v>Pass</v>
      </c>
      <c r="Z1342" s="11" t="str">
        <f t="shared" si="2782"/>
        <v/>
      </c>
      <c r="AA1342" s="378" t="str">
        <f t="shared" si="2783"/>
        <v/>
      </c>
      <c r="AB1342" s="378" t="str">
        <f t="shared" si="2784"/>
        <v/>
      </c>
      <c r="AC1342" s="378"/>
      <c r="AD1342" s="378"/>
    </row>
    <row r="1343" spans="2:30" x14ac:dyDescent="0.25">
      <c r="B1343" s="66">
        <v>42017</v>
      </c>
      <c r="C1343" s="66">
        <v>42017</v>
      </c>
      <c r="D1343" s="68">
        <f t="shared" ref="D1343:D1344" si="2785">IF(B1343&gt;0,MONTH(B1343),"False")</f>
        <v>1</v>
      </c>
      <c r="E1343" s="66" t="str">
        <f t="shared" ref="E1343:E1344" si="2786">YEAR(B1343) &amp; CHOOSE(D1343,"-Jan","-Feb","-Mar","-Apr","-May","-Jun","-Jul","-Aug","-Sep","-Oct","-Nov","-Dec")</f>
        <v>2015-Jan</v>
      </c>
      <c r="F1343" s="68">
        <f t="shared" ref="F1343:F1344" si="2787">IF(C1343&gt;0,MONTH(C1343),"False")</f>
        <v>1</v>
      </c>
      <c r="G1343" s="1" t="s">
        <v>87</v>
      </c>
      <c r="H1343" s="1" t="s">
        <v>2091</v>
      </c>
      <c r="J1343" s="1" t="s">
        <v>78</v>
      </c>
      <c r="K1343" s="1" t="s">
        <v>78</v>
      </c>
      <c r="L1343" s="1" t="s">
        <v>79</v>
      </c>
      <c r="M1343" s="1" t="s">
        <v>2166</v>
      </c>
      <c r="N1343" s="1" t="s">
        <v>124</v>
      </c>
      <c r="O1343" s="1" t="s">
        <v>332</v>
      </c>
      <c r="R1343" s="64" t="s">
        <v>2167</v>
      </c>
      <c r="Y1343" s="378" t="str">
        <f t="shared" si="2781"/>
        <v>Unknown</v>
      </c>
      <c r="Z1343" s="11" t="str">
        <f t="shared" si="2782"/>
        <v/>
      </c>
      <c r="AA1343" s="378" t="str">
        <f t="shared" si="2783"/>
        <v/>
      </c>
      <c r="AB1343" s="378" t="str">
        <f t="shared" si="2784"/>
        <v/>
      </c>
      <c r="AC1343" s="378"/>
      <c r="AD1343" s="378"/>
    </row>
    <row r="1344" spans="2:30" x14ac:dyDescent="0.25">
      <c r="B1344" s="65">
        <v>42017</v>
      </c>
      <c r="C1344" s="66">
        <v>42017</v>
      </c>
      <c r="D1344" s="68">
        <f t="shared" si="2785"/>
        <v>1</v>
      </c>
      <c r="E1344" s="66" t="str">
        <f t="shared" si="2786"/>
        <v>2015-Jan</v>
      </c>
      <c r="F1344" s="68">
        <f t="shared" si="2787"/>
        <v>1</v>
      </c>
      <c r="G1344" s="1" t="s">
        <v>121</v>
      </c>
      <c r="H1344" s="1" t="s">
        <v>1745</v>
      </c>
      <c r="I1344" s="369" t="s">
        <v>2188</v>
      </c>
      <c r="J1344" s="1" t="s">
        <v>81</v>
      </c>
      <c r="K1344" s="1" t="s">
        <v>82</v>
      </c>
      <c r="L1344" s="1" t="s">
        <v>79</v>
      </c>
      <c r="M1344" s="1" t="s">
        <v>2168</v>
      </c>
      <c r="N1344" s="1" t="s">
        <v>124</v>
      </c>
      <c r="O1344" s="1" t="s">
        <v>273</v>
      </c>
      <c r="P1344" s="64" t="s">
        <v>1823</v>
      </c>
      <c r="R1344" s="64" t="s">
        <v>1824</v>
      </c>
      <c r="S1344" s="1" t="s">
        <v>104</v>
      </c>
      <c r="T1344" s="67" t="s">
        <v>110</v>
      </c>
      <c r="X1344" s="564" t="s">
        <v>158</v>
      </c>
      <c r="Y1344" s="378" t="str">
        <f t="shared" si="2781"/>
        <v>Pass</v>
      </c>
      <c r="Z1344" s="11" t="str">
        <f t="shared" si="2782"/>
        <v/>
      </c>
      <c r="AA1344" s="378" t="str">
        <f t="shared" si="2783"/>
        <v/>
      </c>
      <c r="AB1344" s="378" t="str">
        <f t="shared" si="2784"/>
        <v/>
      </c>
      <c r="AC1344" s="378"/>
      <c r="AD1344" s="378"/>
    </row>
    <row r="1345" spans="2:30" x14ac:dyDescent="0.25">
      <c r="B1345" s="66">
        <v>42019</v>
      </c>
      <c r="C1345" s="66">
        <v>42019</v>
      </c>
      <c r="D1345" s="68">
        <f t="shared" ref="D1345:D1346" si="2788">IF(B1345&gt;0,MONTH(B1345),"False")</f>
        <v>1</v>
      </c>
      <c r="E1345" s="66" t="str">
        <f t="shared" ref="E1345:E1346" si="2789">YEAR(B1345) &amp; CHOOSE(D1345,"-Jan","-Feb","-Mar","-Apr","-May","-Jun","-Jul","-Aug","-Sep","-Oct","-Nov","-Dec")</f>
        <v>2015-Jan</v>
      </c>
      <c r="F1345" s="68">
        <f t="shared" ref="F1345:F1346" si="2790">IF(C1345&gt;0,MONTH(C1345),"False")</f>
        <v>1</v>
      </c>
      <c r="G1345" s="378" t="s">
        <v>112</v>
      </c>
      <c r="H1345" s="367" t="s">
        <v>166</v>
      </c>
      <c r="J1345" s="367" t="s">
        <v>146</v>
      </c>
      <c r="K1345" s="367" t="s">
        <v>82</v>
      </c>
      <c r="L1345" s="367" t="s">
        <v>83</v>
      </c>
      <c r="M1345" s="1" t="s">
        <v>2169</v>
      </c>
      <c r="N1345" s="367" t="s">
        <v>124</v>
      </c>
      <c r="O1345" s="367" t="s">
        <v>302</v>
      </c>
      <c r="R1345" s="64" t="s">
        <v>2035</v>
      </c>
      <c r="S1345" s="378" t="s">
        <v>104</v>
      </c>
      <c r="X1345" s="378" t="s">
        <v>349</v>
      </c>
      <c r="Y1345" s="378" t="str">
        <f t="shared" si="2781"/>
        <v>Pass</v>
      </c>
      <c r="Z1345" s="11" t="str">
        <f t="shared" si="2782"/>
        <v/>
      </c>
      <c r="AA1345" s="378" t="str">
        <f t="shared" si="2783"/>
        <v/>
      </c>
      <c r="AB1345" s="378" t="str">
        <f t="shared" si="2784"/>
        <v/>
      </c>
      <c r="AC1345" s="378"/>
      <c r="AD1345" s="378"/>
    </row>
    <row r="1346" spans="2:30" x14ac:dyDescent="0.25">
      <c r="B1346" s="65">
        <v>42019</v>
      </c>
      <c r="C1346" s="66">
        <v>42019</v>
      </c>
      <c r="D1346" s="68">
        <f t="shared" si="2788"/>
        <v>1</v>
      </c>
      <c r="E1346" s="66" t="str">
        <f t="shared" si="2789"/>
        <v>2015-Jan</v>
      </c>
      <c r="F1346" s="68">
        <f t="shared" si="2790"/>
        <v>1</v>
      </c>
      <c r="G1346" s="407" t="s">
        <v>121</v>
      </c>
      <c r="H1346" s="367" t="s">
        <v>103</v>
      </c>
      <c r="J1346" s="367" t="s">
        <v>77</v>
      </c>
      <c r="K1346" s="367" t="s">
        <v>82</v>
      </c>
      <c r="L1346" s="367" t="s">
        <v>79</v>
      </c>
      <c r="M1346" s="1" t="s">
        <v>2170</v>
      </c>
      <c r="N1346" s="367" t="s">
        <v>124</v>
      </c>
      <c r="O1346" s="367" t="s">
        <v>507</v>
      </c>
      <c r="P1346" s="64" t="s">
        <v>351</v>
      </c>
      <c r="R1346" s="64" t="s">
        <v>361</v>
      </c>
      <c r="S1346" s="407" t="s">
        <v>104</v>
      </c>
      <c r="X1346" s="407" t="s">
        <v>1474</v>
      </c>
      <c r="Y1346" s="378" t="str">
        <f t="shared" si="2781"/>
        <v>Pass</v>
      </c>
      <c r="Z1346" s="11" t="str">
        <f t="shared" si="2782"/>
        <v/>
      </c>
      <c r="AA1346" s="378" t="str">
        <f t="shared" si="2783"/>
        <v/>
      </c>
      <c r="AB1346" s="378" t="str">
        <f t="shared" si="2784"/>
        <v/>
      </c>
      <c r="AC1346" s="378"/>
      <c r="AD1346" s="378"/>
    </row>
    <row r="1347" spans="2:30" x14ac:dyDescent="0.25">
      <c r="B1347" s="65">
        <v>42019</v>
      </c>
      <c r="C1347" s="66">
        <v>42019</v>
      </c>
      <c r="D1347" s="68">
        <f t="shared" ref="D1347:D1348" si="2791">IF(B1347&gt;0,MONTH(B1347),"False")</f>
        <v>1</v>
      </c>
      <c r="E1347" s="66" t="str">
        <f t="shared" ref="E1347:E1348" si="2792">YEAR(B1347) &amp; CHOOSE(D1347,"-Jan","-Feb","-Mar","-Apr","-May","-Jun","-Jul","-Aug","-Sep","-Oct","-Nov","-Dec")</f>
        <v>2015-Jan</v>
      </c>
      <c r="F1347" s="68">
        <f t="shared" ref="F1347:F1348" si="2793">IF(C1347&gt;0,MONTH(C1347),"False")</f>
        <v>1</v>
      </c>
      <c r="G1347" s="367" t="s">
        <v>93</v>
      </c>
      <c r="H1347" s="367" t="s">
        <v>1745</v>
      </c>
      <c r="I1347" s="369" t="s">
        <v>2188</v>
      </c>
      <c r="J1347" s="367" t="s">
        <v>81</v>
      </c>
      <c r="K1347" s="367" t="s">
        <v>82</v>
      </c>
      <c r="L1347" s="367" t="s">
        <v>79</v>
      </c>
      <c r="M1347" s="1" t="s">
        <v>2171</v>
      </c>
      <c r="N1347" s="367" t="s">
        <v>124</v>
      </c>
      <c r="O1347" s="367" t="s">
        <v>273</v>
      </c>
      <c r="P1347" s="64" t="s">
        <v>1823</v>
      </c>
      <c r="Q1347" s="2" t="s">
        <v>88</v>
      </c>
      <c r="R1347" s="64" t="s">
        <v>1824</v>
      </c>
      <c r="X1347" s="564"/>
      <c r="Y1347" s="378" t="str">
        <f t="shared" si="2781"/>
        <v>Obsolete</v>
      </c>
      <c r="Z1347" s="11">
        <f t="shared" si="2782"/>
        <v>42019</v>
      </c>
      <c r="AA1347" s="378" t="str">
        <f t="shared" si="2783"/>
        <v>2015 - 03</v>
      </c>
      <c r="AB1347" s="378">
        <f t="shared" si="2784"/>
        <v>2015</v>
      </c>
      <c r="AC1347" s="378"/>
      <c r="AD1347" s="378"/>
    </row>
    <row r="1348" spans="2:30" x14ac:dyDescent="0.25">
      <c r="B1348" s="66">
        <v>42019</v>
      </c>
      <c r="C1348" s="66">
        <v>42019</v>
      </c>
      <c r="D1348" s="68">
        <f t="shared" si="2791"/>
        <v>1</v>
      </c>
      <c r="E1348" s="66" t="str">
        <f t="shared" si="2792"/>
        <v>2015-Jan</v>
      </c>
      <c r="F1348" s="68">
        <f t="shared" si="2793"/>
        <v>1</v>
      </c>
      <c r="G1348" s="367" t="s">
        <v>87</v>
      </c>
      <c r="H1348" s="367" t="s">
        <v>166</v>
      </c>
      <c r="I1348" s="367"/>
      <c r="J1348" s="367" t="s">
        <v>260</v>
      </c>
      <c r="K1348" s="367" t="s">
        <v>84</v>
      </c>
      <c r="L1348" s="367" t="s">
        <v>79</v>
      </c>
      <c r="M1348" s="1" t="s">
        <v>2172</v>
      </c>
      <c r="N1348" s="367" t="s">
        <v>124</v>
      </c>
      <c r="O1348" s="367" t="s">
        <v>148</v>
      </c>
      <c r="R1348" s="64" t="s">
        <v>2114</v>
      </c>
      <c r="Y1348" s="378" t="str">
        <f t="shared" si="2781"/>
        <v>Unknown</v>
      </c>
      <c r="Z1348" s="11" t="str">
        <f t="shared" si="2782"/>
        <v/>
      </c>
      <c r="AA1348" s="378" t="str">
        <f t="shared" si="2783"/>
        <v/>
      </c>
      <c r="AB1348" s="378" t="str">
        <f t="shared" si="2784"/>
        <v/>
      </c>
      <c r="AC1348" s="378"/>
      <c r="AD1348" s="378"/>
    </row>
    <row r="1349" spans="2:30" x14ac:dyDescent="0.25">
      <c r="B1349" s="66">
        <v>42019</v>
      </c>
      <c r="C1349" s="66">
        <v>42019</v>
      </c>
      <c r="D1349" s="68">
        <f t="shared" ref="D1349:D1350" si="2794">IF(B1349&gt;0,MONTH(B1349),"False")</f>
        <v>1</v>
      </c>
      <c r="E1349" s="66" t="str">
        <f t="shared" ref="E1349:E1350" si="2795">YEAR(B1349) &amp; CHOOSE(D1349,"-Jan","-Feb","-Mar","-Apr","-May","-Jun","-Jul","-Aug","-Sep","-Oct","-Nov","-Dec")</f>
        <v>2015-Jan</v>
      </c>
      <c r="F1349" s="68">
        <f t="shared" ref="F1349:F1350" si="2796">IF(C1349&gt;0,MONTH(C1349),"False")</f>
        <v>1</v>
      </c>
      <c r="G1349" s="367" t="s">
        <v>87</v>
      </c>
      <c r="H1349" s="367" t="s">
        <v>166</v>
      </c>
      <c r="I1349" s="367"/>
      <c r="J1349" s="367" t="s">
        <v>149</v>
      </c>
      <c r="K1349" s="367" t="s">
        <v>84</v>
      </c>
      <c r="L1349" s="367" t="s">
        <v>79</v>
      </c>
      <c r="M1349" s="1" t="s">
        <v>2173</v>
      </c>
      <c r="N1349" s="367" t="s">
        <v>124</v>
      </c>
      <c r="O1349" s="367" t="s">
        <v>148</v>
      </c>
      <c r="R1349" s="64" t="s">
        <v>1041</v>
      </c>
      <c r="T1349" s="67" t="s">
        <v>110</v>
      </c>
      <c r="Y1349" s="378" t="str">
        <f t="shared" si="2781"/>
        <v>Unknown</v>
      </c>
      <c r="Z1349" s="11" t="str">
        <f t="shared" si="2782"/>
        <v/>
      </c>
      <c r="AA1349" s="378" t="str">
        <f t="shared" si="2783"/>
        <v/>
      </c>
      <c r="AB1349" s="378" t="str">
        <f t="shared" si="2784"/>
        <v/>
      </c>
      <c r="AC1349" s="378"/>
      <c r="AD1349" s="378"/>
    </row>
    <row r="1350" spans="2:30" x14ac:dyDescent="0.25">
      <c r="B1350" s="65">
        <v>42020</v>
      </c>
      <c r="C1350" s="66">
        <v>42020</v>
      </c>
      <c r="D1350" s="68">
        <f t="shared" si="2794"/>
        <v>1</v>
      </c>
      <c r="E1350" s="66" t="str">
        <f t="shared" si="2795"/>
        <v>2015-Jan</v>
      </c>
      <c r="F1350" s="68">
        <f t="shared" si="2796"/>
        <v>1</v>
      </c>
      <c r="G1350" s="368" t="s">
        <v>93</v>
      </c>
      <c r="H1350" s="368" t="s">
        <v>76</v>
      </c>
      <c r="J1350" s="368" t="s">
        <v>77</v>
      </c>
      <c r="K1350" s="368" t="s">
        <v>82</v>
      </c>
      <c r="L1350" s="368" t="s">
        <v>79</v>
      </c>
      <c r="M1350" s="1" t="s">
        <v>2174</v>
      </c>
      <c r="N1350" s="368" t="s">
        <v>124</v>
      </c>
      <c r="O1350" s="368" t="s">
        <v>91</v>
      </c>
      <c r="P1350" s="64" t="s">
        <v>1740</v>
      </c>
      <c r="Q1350" s="2" t="s">
        <v>88</v>
      </c>
      <c r="R1350" s="64" t="s">
        <v>1741</v>
      </c>
      <c r="Y1350" s="378" t="str">
        <f t="shared" si="2781"/>
        <v>Obsolete</v>
      </c>
      <c r="Z1350" s="11">
        <f t="shared" si="2782"/>
        <v>42020</v>
      </c>
      <c r="AA1350" s="378" t="str">
        <f t="shared" si="2783"/>
        <v>2015 - 03</v>
      </c>
      <c r="AB1350" s="378">
        <f t="shared" si="2784"/>
        <v>2015</v>
      </c>
      <c r="AC1350" s="378"/>
      <c r="AD1350" s="378"/>
    </row>
    <row r="1351" spans="2:30" x14ac:dyDescent="0.25">
      <c r="B1351" s="66">
        <v>42020</v>
      </c>
      <c r="C1351" s="66">
        <v>42020</v>
      </c>
      <c r="D1351" s="68">
        <f t="shared" ref="D1351" si="2797">IF(B1351&gt;0,MONTH(B1351),"False")</f>
        <v>1</v>
      </c>
      <c r="E1351" s="66" t="str">
        <f t="shared" ref="E1351" si="2798">YEAR(B1351) &amp; CHOOSE(D1351,"-Jan","-Feb","-Mar","-Apr","-May","-Jun","-Jul","-Aug","-Sep","-Oct","-Nov","-Dec")</f>
        <v>2015-Jan</v>
      </c>
      <c r="F1351" s="68">
        <f t="shared" ref="F1351" si="2799">IF(C1351&gt;0,MONTH(C1351),"False")</f>
        <v>1</v>
      </c>
      <c r="G1351" s="368" t="s">
        <v>87</v>
      </c>
      <c r="H1351" s="368" t="s">
        <v>166</v>
      </c>
      <c r="J1351" s="368" t="s">
        <v>78</v>
      </c>
      <c r="K1351" s="368" t="s">
        <v>82</v>
      </c>
      <c r="L1351" s="368" t="s">
        <v>83</v>
      </c>
      <c r="M1351" s="1" t="s">
        <v>2175</v>
      </c>
      <c r="N1351" s="368" t="s">
        <v>124</v>
      </c>
      <c r="O1351" s="368" t="s">
        <v>343</v>
      </c>
      <c r="Q1351" s="2" t="s">
        <v>88</v>
      </c>
      <c r="R1351" s="64" t="s">
        <v>2176</v>
      </c>
      <c r="Y1351" s="378" t="str">
        <f t="shared" si="2781"/>
        <v>Obsolete</v>
      </c>
      <c r="Z1351" s="11">
        <f t="shared" si="2782"/>
        <v>42020</v>
      </c>
      <c r="AA1351" s="378" t="str">
        <f t="shared" si="2783"/>
        <v>2015 - 03</v>
      </c>
      <c r="AB1351" s="378">
        <f t="shared" si="2784"/>
        <v>2015</v>
      </c>
      <c r="AC1351" s="378"/>
      <c r="AD1351" s="378"/>
    </row>
    <row r="1352" spans="2:30" x14ac:dyDescent="0.25">
      <c r="B1352" s="66">
        <v>42020</v>
      </c>
      <c r="C1352" s="66">
        <v>42020</v>
      </c>
      <c r="D1352" s="68">
        <f t="shared" ref="D1352" si="2800">IF(B1352&gt;0,MONTH(B1352),"False")</f>
        <v>1</v>
      </c>
      <c r="E1352" s="66" t="str">
        <f t="shared" ref="E1352" si="2801">YEAR(B1352) &amp; CHOOSE(D1352,"-Jan","-Feb","-Mar","-Apr","-May","-Jun","-Jul","-Aug","-Sep","-Oct","-Nov","-Dec")</f>
        <v>2015-Jan</v>
      </c>
      <c r="F1352" s="68">
        <f t="shared" ref="F1352" si="2802">IF(C1352&gt;0,MONTH(C1352),"False")</f>
        <v>1</v>
      </c>
      <c r="G1352" s="368" t="s">
        <v>87</v>
      </c>
      <c r="H1352" s="368" t="s">
        <v>2091</v>
      </c>
      <c r="J1352" s="368" t="s">
        <v>77</v>
      </c>
      <c r="K1352" s="368" t="s">
        <v>82</v>
      </c>
      <c r="L1352" s="368" t="s">
        <v>83</v>
      </c>
      <c r="M1352" s="1" t="s">
        <v>2177</v>
      </c>
      <c r="N1352" s="368" t="s">
        <v>124</v>
      </c>
      <c r="O1352" s="368" t="s">
        <v>114</v>
      </c>
      <c r="R1352" s="64" t="s">
        <v>2092</v>
      </c>
      <c r="Y1352" s="378" t="str">
        <f t="shared" si="2781"/>
        <v>Unknown</v>
      </c>
      <c r="Z1352" s="11" t="str">
        <f t="shared" si="2782"/>
        <v/>
      </c>
      <c r="AA1352" s="378" t="str">
        <f t="shared" si="2783"/>
        <v/>
      </c>
      <c r="AB1352" s="378" t="str">
        <f t="shared" si="2784"/>
        <v/>
      </c>
      <c r="AC1352" s="378"/>
      <c r="AD1352" s="378"/>
    </row>
    <row r="1353" spans="2:30" x14ac:dyDescent="0.25">
      <c r="B1353" s="66">
        <v>42022</v>
      </c>
      <c r="C1353" s="66">
        <v>42022</v>
      </c>
      <c r="D1353" s="68">
        <f t="shared" ref="D1353" si="2803">IF(B1353&gt;0,MONTH(B1353),"False")</f>
        <v>1</v>
      </c>
      <c r="E1353" s="66" t="str">
        <f t="shared" ref="E1353" si="2804">YEAR(B1353) &amp; CHOOSE(D1353,"-Jan","-Feb","-Mar","-Apr","-May","-Jun","-Jul","-Aug","-Sep","-Oct","-Nov","-Dec")</f>
        <v>2015-Jan</v>
      </c>
      <c r="F1353" s="68">
        <f t="shared" ref="F1353" si="2805">IF(C1353&gt;0,MONTH(C1353),"False")</f>
        <v>1</v>
      </c>
      <c r="G1353" s="368" t="s">
        <v>87</v>
      </c>
      <c r="H1353" s="368" t="s">
        <v>166</v>
      </c>
      <c r="J1353" s="368" t="s">
        <v>78</v>
      </c>
      <c r="K1353" s="368" t="s">
        <v>78</v>
      </c>
      <c r="L1353" s="368" t="s">
        <v>83</v>
      </c>
      <c r="M1353" s="1" t="s">
        <v>2178</v>
      </c>
      <c r="N1353" s="368" t="s">
        <v>124</v>
      </c>
      <c r="O1353" s="368" t="s">
        <v>138</v>
      </c>
      <c r="Q1353" s="2" t="s">
        <v>88</v>
      </c>
      <c r="R1353" s="64" t="s">
        <v>2179</v>
      </c>
      <c r="Y1353" s="378" t="str">
        <f t="shared" si="2781"/>
        <v>Obsolete</v>
      </c>
      <c r="Z1353" s="11">
        <f t="shared" si="2782"/>
        <v>42022</v>
      </c>
      <c r="AA1353" s="378" t="str">
        <f t="shared" si="2783"/>
        <v>2015 - 04</v>
      </c>
      <c r="AB1353" s="378">
        <f t="shared" si="2784"/>
        <v>2015</v>
      </c>
      <c r="AC1353" s="378"/>
      <c r="AD1353" s="378"/>
    </row>
    <row r="1354" spans="2:30" x14ac:dyDescent="0.25">
      <c r="B1354" s="66">
        <v>42022</v>
      </c>
      <c r="C1354" s="66">
        <v>42022</v>
      </c>
      <c r="D1354" s="68">
        <f t="shared" ref="D1354:D1355" si="2806">IF(B1354&gt;0,MONTH(B1354),"False")</f>
        <v>1</v>
      </c>
      <c r="E1354" s="66" t="str">
        <f t="shared" ref="E1354:E1355" si="2807">YEAR(B1354) &amp; CHOOSE(D1354,"-Jan","-Feb","-Mar","-Apr","-May","-Jun","-Jul","-Aug","-Sep","-Oct","-Nov","-Dec")</f>
        <v>2015-Jan</v>
      </c>
      <c r="F1354" s="68">
        <f t="shared" ref="F1354:F1355" si="2808">IF(C1354&gt;0,MONTH(C1354),"False")</f>
        <v>1</v>
      </c>
      <c r="G1354" s="368" t="s">
        <v>87</v>
      </c>
      <c r="H1354" s="368" t="s">
        <v>166</v>
      </c>
      <c r="J1354" s="368" t="s">
        <v>78</v>
      </c>
      <c r="K1354" s="368" t="s">
        <v>84</v>
      </c>
      <c r="L1354" s="368" t="s">
        <v>83</v>
      </c>
      <c r="M1354" s="1" t="s">
        <v>2180</v>
      </c>
      <c r="N1354" s="368" t="s">
        <v>124</v>
      </c>
      <c r="O1354" s="368" t="s">
        <v>152</v>
      </c>
      <c r="R1354" s="64" t="s">
        <v>2181</v>
      </c>
      <c r="Y1354" s="378" t="str">
        <f t="shared" si="2781"/>
        <v>Unknown</v>
      </c>
      <c r="Z1354" s="11" t="str">
        <f t="shared" si="2782"/>
        <v/>
      </c>
      <c r="AA1354" s="378" t="str">
        <f t="shared" si="2783"/>
        <v/>
      </c>
      <c r="AB1354" s="378" t="str">
        <f t="shared" si="2784"/>
        <v/>
      </c>
      <c r="AC1354" s="378"/>
      <c r="AD1354" s="378"/>
    </row>
    <row r="1355" spans="2:30" x14ac:dyDescent="0.25">
      <c r="B1355" s="65">
        <v>42023</v>
      </c>
      <c r="C1355" s="66">
        <v>42023</v>
      </c>
      <c r="D1355" s="68">
        <f t="shared" si="2806"/>
        <v>1</v>
      </c>
      <c r="E1355" s="66" t="str">
        <f t="shared" si="2807"/>
        <v>2015-Jan</v>
      </c>
      <c r="F1355" s="68">
        <f t="shared" si="2808"/>
        <v>1</v>
      </c>
      <c r="G1355" s="368" t="s">
        <v>121</v>
      </c>
      <c r="H1355" s="368" t="s">
        <v>1685</v>
      </c>
      <c r="J1355" s="368" t="s">
        <v>98</v>
      </c>
      <c r="K1355" s="368" t="s">
        <v>82</v>
      </c>
      <c r="L1355" s="368" t="s">
        <v>83</v>
      </c>
      <c r="M1355" s="1" t="s">
        <v>2182</v>
      </c>
      <c r="N1355" s="368" t="s">
        <v>124</v>
      </c>
      <c r="O1355" s="368" t="s">
        <v>91</v>
      </c>
      <c r="P1355" s="64" t="s">
        <v>2009</v>
      </c>
      <c r="R1355" s="64" t="s">
        <v>2004</v>
      </c>
      <c r="S1355" s="1" t="s">
        <v>104</v>
      </c>
      <c r="T1355" s="67" t="s">
        <v>110</v>
      </c>
      <c r="X1355" s="1" t="s">
        <v>154</v>
      </c>
      <c r="Y1355" s="378" t="str">
        <f t="shared" si="2781"/>
        <v>Pass</v>
      </c>
      <c r="Z1355" s="11" t="str">
        <f t="shared" si="2782"/>
        <v/>
      </c>
      <c r="AA1355" s="378" t="str">
        <f t="shared" si="2783"/>
        <v/>
      </c>
      <c r="AB1355" s="378" t="str">
        <f t="shared" si="2784"/>
        <v/>
      </c>
      <c r="AC1355" s="378"/>
      <c r="AD1355" s="378"/>
    </row>
    <row r="1356" spans="2:30" x14ac:dyDescent="0.25">
      <c r="B1356" s="66">
        <v>42023</v>
      </c>
      <c r="C1356" s="66">
        <v>42023</v>
      </c>
      <c r="D1356" s="68">
        <f t="shared" ref="D1356" si="2809">IF(B1356&gt;0,MONTH(B1356),"False")</f>
        <v>1</v>
      </c>
      <c r="E1356" s="66" t="str">
        <f t="shared" ref="E1356" si="2810">YEAR(B1356) &amp; CHOOSE(D1356,"-Jan","-Feb","-Mar","-Apr","-May","-Jun","-Jul","-Aug","-Sep","-Oct","-Nov","-Dec")</f>
        <v>2015-Jan</v>
      </c>
      <c r="F1356" s="68">
        <f t="shared" ref="F1356" si="2811">IF(C1356&gt;0,MONTH(C1356),"False")</f>
        <v>1</v>
      </c>
      <c r="G1356" s="368" t="s">
        <v>87</v>
      </c>
      <c r="H1356" s="368" t="s">
        <v>166</v>
      </c>
      <c r="J1356" s="368" t="s">
        <v>120</v>
      </c>
      <c r="K1356" s="368" t="s">
        <v>82</v>
      </c>
      <c r="L1356" s="368" t="s">
        <v>83</v>
      </c>
      <c r="M1356" s="1" t="s">
        <v>2183</v>
      </c>
      <c r="N1356" s="368" t="s">
        <v>124</v>
      </c>
      <c r="O1356" s="368" t="s">
        <v>114</v>
      </c>
      <c r="R1356" s="64" t="s">
        <v>2092</v>
      </c>
      <c r="Y1356" s="378" t="str">
        <f t="shared" si="2781"/>
        <v>Unknown</v>
      </c>
      <c r="Z1356" s="11" t="str">
        <f t="shared" si="2782"/>
        <v/>
      </c>
      <c r="AA1356" s="378" t="str">
        <f t="shared" si="2783"/>
        <v/>
      </c>
      <c r="AB1356" s="378" t="str">
        <f t="shared" si="2784"/>
        <v/>
      </c>
      <c r="AC1356" s="378"/>
      <c r="AD1356" s="378"/>
    </row>
    <row r="1357" spans="2:30" x14ac:dyDescent="0.25">
      <c r="B1357" s="66">
        <v>42023</v>
      </c>
      <c r="C1357" s="66">
        <v>42023</v>
      </c>
      <c r="D1357" s="68">
        <f t="shared" ref="D1357:D1358" si="2812">IF(B1357&gt;0,MONTH(B1357),"False")</f>
        <v>1</v>
      </c>
      <c r="E1357" s="66" t="str">
        <f t="shared" ref="E1357:E1358" si="2813">YEAR(B1357) &amp; CHOOSE(D1357,"-Jan","-Feb","-Mar","-Apr","-May","-Jun","-Jul","-Aug","-Sep","-Oct","-Nov","-Dec")</f>
        <v>2015-Jan</v>
      </c>
      <c r="F1357" s="68">
        <f t="shared" ref="F1357:F1358" si="2814">IF(C1357&gt;0,MONTH(C1357),"False")</f>
        <v>1</v>
      </c>
      <c r="G1357" s="368" t="s">
        <v>112</v>
      </c>
      <c r="H1357" s="368" t="s">
        <v>1745</v>
      </c>
      <c r="J1357" s="368" t="s">
        <v>78</v>
      </c>
      <c r="K1357" s="368" t="s">
        <v>78</v>
      </c>
      <c r="L1357" s="368" t="s">
        <v>79</v>
      </c>
      <c r="M1357" s="1" t="s">
        <v>2184</v>
      </c>
      <c r="N1357" s="368" t="s">
        <v>124</v>
      </c>
      <c r="O1357" s="368" t="s">
        <v>168</v>
      </c>
      <c r="R1357" s="64" t="s">
        <v>1796</v>
      </c>
      <c r="S1357" s="1" t="s">
        <v>104</v>
      </c>
      <c r="T1357" s="67" t="s">
        <v>110</v>
      </c>
      <c r="X1357" s="1" t="s">
        <v>158</v>
      </c>
      <c r="Y1357" s="378" t="str">
        <f t="shared" si="2781"/>
        <v>Pass</v>
      </c>
      <c r="Z1357" s="11" t="str">
        <f t="shared" si="2782"/>
        <v/>
      </c>
      <c r="AA1357" s="378" t="str">
        <f t="shared" si="2783"/>
        <v/>
      </c>
      <c r="AB1357" s="378" t="str">
        <f t="shared" si="2784"/>
        <v/>
      </c>
      <c r="AC1357" s="378"/>
      <c r="AD1357" s="378"/>
    </row>
    <row r="1358" spans="2:30" x14ac:dyDescent="0.25">
      <c r="B1358" s="65">
        <v>42023</v>
      </c>
      <c r="C1358" s="66">
        <v>42023</v>
      </c>
      <c r="D1358" s="68">
        <f t="shared" si="2812"/>
        <v>1</v>
      </c>
      <c r="E1358" s="66" t="str">
        <f t="shared" si="2813"/>
        <v>2015-Jan</v>
      </c>
      <c r="F1358" s="68">
        <f t="shared" si="2814"/>
        <v>1</v>
      </c>
      <c r="G1358" s="397" t="s">
        <v>121</v>
      </c>
      <c r="H1358" s="368" t="s">
        <v>76</v>
      </c>
      <c r="J1358" s="368" t="s">
        <v>77</v>
      </c>
      <c r="K1358" s="368" t="s">
        <v>82</v>
      </c>
      <c r="L1358" s="368" t="s">
        <v>79</v>
      </c>
      <c r="M1358" s="1" t="s">
        <v>2185</v>
      </c>
      <c r="N1358" s="368" t="s">
        <v>124</v>
      </c>
      <c r="O1358" s="368" t="s">
        <v>91</v>
      </c>
      <c r="P1358" s="64" t="s">
        <v>1740</v>
      </c>
      <c r="R1358" s="64" t="s">
        <v>1741</v>
      </c>
      <c r="S1358" s="397" t="s">
        <v>104</v>
      </c>
      <c r="X1358" s="397" t="s">
        <v>300</v>
      </c>
      <c r="Y1358" s="378" t="str">
        <f t="shared" si="2781"/>
        <v>Pass</v>
      </c>
      <c r="Z1358" s="11" t="str">
        <f t="shared" si="2782"/>
        <v/>
      </c>
      <c r="AA1358" s="378" t="str">
        <f t="shared" si="2783"/>
        <v/>
      </c>
      <c r="AB1358" s="378" t="str">
        <f t="shared" si="2784"/>
        <v/>
      </c>
      <c r="AC1358" s="378"/>
      <c r="AD1358" s="378"/>
    </row>
    <row r="1359" spans="2:30" x14ac:dyDescent="0.25">
      <c r="B1359" s="65">
        <v>42023</v>
      </c>
      <c r="C1359" s="66">
        <v>42023</v>
      </c>
      <c r="D1359" s="68">
        <f t="shared" ref="D1359" si="2815">IF(B1359&gt;0,MONTH(B1359),"False")</f>
        <v>1</v>
      </c>
      <c r="E1359" s="66" t="str">
        <f t="shared" ref="E1359" si="2816">YEAR(B1359) &amp; CHOOSE(D1359,"-Jan","-Feb","-Mar","-Apr","-May","-Jun","-Jul","-Aug","-Sep","-Oct","-Nov","-Dec")</f>
        <v>2015-Jan</v>
      </c>
      <c r="F1359" s="68">
        <f t="shared" ref="F1359" si="2817">IF(C1359&gt;0,MONTH(C1359),"False")</f>
        <v>1</v>
      </c>
      <c r="G1359" s="397" t="s">
        <v>121</v>
      </c>
      <c r="H1359" s="368" t="s">
        <v>76</v>
      </c>
      <c r="J1359" s="368" t="s">
        <v>120</v>
      </c>
      <c r="K1359" s="368" t="s">
        <v>82</v>
      </c>
      <c r="L1359" s="368" t="s">
        <v>79</v>
      </c>
      <c r="M1359" s="1" t="s">
        <v>2186</v>
      </c>
      <c r="N1359" s="368" t="s">
        <v>124</v>
      </c>
      <c r="O1359" s="368" t="s">
        <v>91</v>
      </c>
      <c r="P1359" s="64" t="s">
        <v>1740</v>
      </c>
      <c r="R1359" s="64" t="s">
        <v>1741</v>
      </c>
      <c r="S1359" s="397" t="s">
        <v>104</v>
      </c>
      <c r="X1359" s="397" t="s">
        <v>300</v>
      </c>
      <c r="Y1359" s="378" t="str">
        <f t="shared" si="2781"/>
        <v>Pass</v>
      </c>
      <c r="Z1359" s="11" t="str">
        <f t="shared" si="2782"/>
        <v/>
      </c>
      <c r="AA1359" s="378" t="str">
        <f t="shared" si="2783"/>
        <v/>
      </c>
      <c r="AB1359" s="378" t="str">
        <f t="shared" si="2784"/>
        <v/>
      </c>
      <c r="AC1359" s="378"/>
      <c r="AD1359" s="378"/>
    </row>
    <row r="1360" spans="2:30" x14ac:dyDescent="0.25">
      <c r="B1360" s="65">
        <v>42024</v>
      </c>
      <c r="C1360" s="66">
        <v>42024</v>
      </c>
      <c r="D1360" s="68">
        <f t="shared" ref="D1360" si="2818">IF(B1360&gt;0,MONTH(B1360),"False")</f>
        <v>1</v>
      </c>
      <c r="E1360" s="66" t="str">
        <f t="shared" ref="E1360" si="2819">YEAR(B1360) &amp; CHOOSE(D1360,"-Jan","-Feb","-Mar","-Apr","-May","-Jun","-Jul","-Aug","-Sep","-Oct","-Nov","-Dec")</f>
        <v>2015-Jan</v>
      </c>
      <c r="F1360" s="68">
        <f t="shared" ref="F1360" si="2820">IF(C1360&gt;0,MONTH(C1360),"False")</f>
        <v>1</v>
      </c>
      <c r="G1360" s="368" t="s">
        <v>93</v>
      </c>
      <c r="H1360" s="368" t="s">
        <v>166</v>
      </c>
      <c r="J1360" s="368" t="s">
        <v>77</v>
      </c>
      <c r="K1360" s="368" t="s">
        <v>82</v>
      </c>
      <c r="L1360" s="368" t="s">
        <v>79</v>
      </c>
      <c r="M1360" s="1" t="s">
        <v>2187</v>
      </c>
      <c r="N1360" s="368" t="s">
        <v>124</v>
      </c>
      <c r="O1360" s="368" t="s">
        <v>1606</v>
      </c>
      <c r="P1360" s="64" t="s">
        <v>319</v>
      </c>
      <c r="Q1360" s="2" t="s">
        <v>88</v>
      </c>
      <c r="R1360" s="64" t="s">
        <v>320</v>
      </c>
      <c r="Y1360" s="378" t="str">
        <f t="shared" si="2781"/>
        <v>Obsolete</v>
      </c>
      <c r="Z1360" s="11">
        <f t="shared" si="2782"/>
        <v>42024</v>
      </c>
      <c r="AA1360" s="378" t="str">
        <f t="shared" si="2783"/>
        <v>2015 - 04</v>
      </c>
      <c r="AB1360" s="378">
        <f t="shared" si="2784"/>
        <v>2015</v>
      </c>
      <c r="AC1360" s="378"/>
      <c r="AD1360" s="378"/>
    </row>
    <row r="1361" spans="2:30" x14ac:dyDescent="0.25">
      <c r="B1361" s="65">
        <v>42025</v>
      </c>
      <c r="C1361" s="66">
        <v>42025</v>
      </c>
      <c r="D1361" s="68">
        <f t="shared" ref="D1361:D1362" si="2821">IF(B1361&gt;0,MONTH(B1361),"False")</f>
        <v>1</v>
      </c>
      <c r="E1361" s="66" t="str">
        <f t="shared" ref="E1361:E1362" si="2822">YEAR(B1361) &amp; CHOOSE(D1361,"-Jan","-Feb","-Mar","-Apr","-May","-Jun","-Jul","-Aug","-Sep","-Oct","-Nov","-Dec")</f>
        <v>2015-Jan</v>
      </c>
      <c r="F1361" s="68">
        <f t="shared" ref="F1361:F1362" si="2823">IF(C1361&gt;0,MONTH(C1361),"False")</f>
        <v>1</v>
      </c>
      <c r="G1361" s="378" t="s">
        <v>121</v>
      </c>
      <c r="H1361" s="378" t="s">
        <v>1745</v>
      </c>
      <c r="J1361" s="378" t="s">
        <v>81</v>
      </c>
      <c r="K1361" s="378" t="s">
        <v>82</v>
      </c>
      <c r="L1361" s="378" t="s">
        <v>79</v>
      </c>
      <c r="M1361" s="1" t="s">
        <v>2215</v>
      </c>
      <c r="N1361" s="378" t="s">
        <v>124</v>
      </c>
      <c r="O1361" s="378" t="s">
        <v>2072</v>
      </c>
      <c r="P1361" s="64" t="s">
        <v>1823</v>
      </c>
      <c r="R1361" s="64" t="s">
        <v>1824</v>
      </c>
      <c r="S1361" s="1" t="s">
        <v>104</v>
      </c>
      <c r="X1361" s="564"/>
      <c r="Y1361" s="378" t="str">
        <f t="shared" si="2781"/>
        <v>Pass</v>
      </c>
      <c r="Z1361" s="11" t="str">
        <f t="shared" si="2782"/>
        <v/>
      </c>
      <c r="AA1361" s="378" t="str">
        <f t="shared" si="2783"/>
        <v/>
      </c>
      <c r="AB1361" s="378" t="str">
        <f t="shared" si="2784"/>
        <v/>
      </c>
      <c r="AC1361" s="378"/>
      <c r="AD1361" s="378"/>
    </row>
    <row r="1362" spans="2:30" x14ac:dyDescent="0.25">
      <c r="B1362" s="66">
        <v>42025</v>
      </c>
      <c r="C1362" s="66">
        <v>42025</v>
      </c>
      <c r="D1362" s="68">
        <f t="shared" si="2821"/>
        <v>1</v>
      </c>
      <c r="E1362" s="66" t="str">
        <f t="shared" si="2822"/>
        <v>2015-Jan</v>
      </c>
      <c r="F1362" s="68">
        <f t="shared" si="2823"/>
        <v>1</v>
      </c>
      <c r="G1362" s="378" t="s">
        <v>112</v>
      </c>
      <c r="H1362" s="378" t="s">
        <v>166</v>
      </c>
      <c r="J1362" s="378" t="s">
        <v>78</v>
      </c>
      <c r="K1362" s="378" t="s">
        <v>78</v>
      </c>
      <c r="L1362" s="378" t="s">
        <v>79</v>
      </c>
      <c r="M1362" s="1" t="s">
        <v>2216</v>
      </c>
      <c r="N1362" s="378" t="s">
        <v>124</v>
      </c>
      <c r="O1362" s="378" t="s">
        <v>287</v>
      </c>
      <c r="R1362" s="64" t="s">
        <v>488</v>
      </c>
      <c r="S1362" s="1" t="s">
        <v>104</v>
      </c>
      <c r="X1362" s="1" t="s">
        <v>300</v>
      </c>
      <c r="Y1362" s="378" t="str">
        <f t="shared" si="2781"/>
        <v>Pass</v>
      </c>
      <c r="Z1362" s="11" t="str">
        <f t="shared" si="2782"/>
        <v/>
      </c>
      <c r="AA1362" s="378" t="str">
        <f t="shared" si="2783"/>
        <v/>
      </c>
      <c r="AB1362" s="378" t="str">
        <f t="shared" si="2784"/>
        <v/>
      </c>
      <c r="AC1362" s="378"/>
      <c r="AD1362" s="378"/>
    </row>
    <row r="1363" spans="2:30" x14ac:dyDescent="0.25">
      <c r="B1363" s="66">
        <v>42025</v>
      </c>
      <c r="C1363" s="66">
        <v>42025</v>
      </c>
      <c r="D1363" s="68">
        <f t="shared" ref="D1363" si="2824">IF(B1363&gt;0,MONTH(B1363),"False")</f>
        <v>1</v>
      </c>
      <c r="E1363" s="66" t="str">
        <f t="shared" ref="E1363" si="2825">YEAR(B1363) &amp; CHOOSE(D1363,"-Jan","-Feb","-Mar","-Apr","-May","-Jun","-Jul","-Aug","-Sep","-Oct","-Nov","-Dec")</f>
        <v>2015-Jan</v>
      </c>
      <c r="F1363" s="68">
        <f t="shared" ref="F1363" si="2826">IF(C1363&gt;0,MONTH(C1363),"False")</f>
        <v>1</v>
      </c>
      <c r="G1363" s="378" t="s">
        <v>87</v>
      </c>
      <c r="H1363" s="378" t="s">
        <v>166</v>
      </c>
      <c r="J1363" s="378" t="s">
        <v>292</v>
      </c>
      <c r="K1363" s="378" t="s">
        <v>292</v>
      </c>
      <c r="L1363" s="378" t="s">
        <v>79</v>
      </c>
      <c r="M1363" s="1" t="s">
        <v>2217</v>
      </c>
      <c r="N1363" s="378" t="s">
        <v>124</v>
      </c>
      <c r="O1363" s="378" t="s">
        <v>156</v>
      </c>
      <c r="R1363" s="64" t="s">
        <v>2142</v>
      </c>
      <c r="Y1363" s="378" t="str">
        <f t="shared" si="2781"/>
        <v>Unknown</v>
      </c>
      <c r="Z1363" s="11" t="str">
        <f t="shared" si="2782"/>
        <v/>
      </c>
      <c r="AA1363" s="378" t="str">
        <f t="shared" si="2783"/>
        <v/>
      </c>
      <c r="AB1363" s="378" t="str">
        <f t="shared" si="2784"/>
        <v/>
      </c>
      <c r="AC1363" s="378"/>
      <c r="AD1363" s="378"/>
    </row>
    <row r="1364" spans="2:30" x14ac:dyDescent="0.25">
      <c r="B1364" s="66">
        <v>42025</v>
      </c>
      <c r="C1364" s="66">
        <v>42025</v>
      </c>
      <c r="D1364" s="68">
        <f t="shared" ref="D1364:D1365" si="2827">IF(B1364&gt;0,MONTH(B1364),"False")</f>
        <v>1</v>
      </c>
      <c r="E1364" s="66" t="str">
        <f t="shared" ref="E1364:E1365" si="2828">YEAR(B1364) &amp; CHOOSE(D1364,"-Jan","-Feb","-Mar","-Apr","-May","-Jun","-Jul","-Aug","-Sep","-Oct","-Nov","-Dec")</f>
        <v>2015-Jan</v>
      </c>
      <c r="F1364" s="68">
        <f t="shared" ref="F1364:F1365" si="2829">IF(C1364&gt;0,MONTH(C1364),"False")</f>
        <v>1</v>
      </c>
      <c r="G1364" s="378" t="s">
        <v>87</v>
      </c>
      <c r="H1364" s="378" t="s">
        <v>28</v>
      </c>
      <c r="J1364" s="378" t="s">
        <v>292</v>
      </c>
      <c r="K1364" s="378" t="s">
        <v>292</v>
      </c>
      <c r="L1364" s="378" t="s">
        <v>83</v>
      </c>
      <c r="M1364" s="1" t="s">
        <v>2218</v>
      </c>
      <c r="N1364" s="378" t="s">
        <v>124</v>
      </c>
      <c r="O1364" s="378" t="s">
        <v>156</v>
      </c>
      <c r="Q1364" s="2" t="s">
        <v>88</v>
      </c>
      <c r="R1364" s="64" t="s">
        <v>489</v>
      </c>
      <c r="Y1364" s="378" t="str">
        <f t="shared" si="2781"/>
        <v>Obsolete</v>
      </c>
      <c r="Z1364" s="11">
        <f t="shared" si="2782"/>
        <v>42025</v>
      </c>
      <c r="AA1364" s="378" t="str">
        <f t="shared" si="2783"/>
        <v>2015 - 04</v>
      </c>
      <c r="AB1364" s="378">
        <f t="shared" si="2784"/>
        <v>2015</v>
      </c>
      <c r="AC1364" s="378"/>
      <c r="AD1364" s="378"/>
    </row>
    <row r="1365" spans="2:30" x14ac:dyDescent="0.25">
      <c r="B1365" s="65">
        <v>42026</v>
      </c>
      <c r="C1365" s="66">
        <v>42026</v>
      </c>
      <c r="D1365" s="68">
        <f t="shared" si="2827"/>
        <v>1</v>
      </c>
      <c r="E1365" s="66" t="str">
        <f t="shared" si="2828"/>
        <v>2015-Jan</v>
      </c>
      <c r="F1365" s="68">
        <f t="shared" si="2829"/>
        <v>1</v>
      </c>
      <c r="G1365" s="396" t="s">
        <v>93</v>
      </c>
      <c r="H1365" s="396" t="s">
        <v>1745</v>
      </c>
      <c r="J1365" s="396" t="s">
        <v>81</v>
      </c>
      <c r="K1365" s="396" t="s">
        <v>82</v>
      </c>
      <c r="L1365" s="396" t="s">
        <v>79</v>
      </c>
      <c r="M1365" s="1" t="s">
        <v>2219</v>
      </c>
      <c r="N1365" s="396" t="s">
        <v>124</v>
      </c>
      <c r="O1365" s="396" t="s">
        <v>273</v>
      </c>
      <c r="P1365" s="64" t="s">
        <v>1823</v>
      </c>
      <c r="Q1365" s="2" t="s">
        <v>88</v>
      </c>
      <c r="R1365" t="s">
        <v>2220</v>
      </c>
      <c r="X1365" s="564"/>
      <c r="Y1365" s="378" t="str">
        <f t="shared" si="2781"/>
        <v>Obsolete</v>
      </c>
      <c r="Z1365" s="11">
        <f t="shared" si="2782"/>
        <v>42026</v>
      </c>
      <c r="AA1365" s="378" t="str">
        <f t="shared" si="2783"/>
        <v>2015 - 04</v>
      </c>
      <c r="AB1365" s="378">
        <f t="shared" si="2784"/>
        <v>2015</v>
      </c>
      <c r="AC1365" s="378"/>
      <c r="AD1365" s="378"/>
    </row>
    <row r="1366" spans="2:30" s="396" customFormat="1" x14ac:dyDescent="0.25">
      <c r="B1366" s="65">
        <v>42026</v>
      </c>
      <c r="C1366" s="66">
        <v>42026</v>
      </c>
      <c r="D1366" s="68">
        <f t="shared" ref="D1366:D1367" si="2830">IF(B1366&gt;0,MONTH(B1366),"False")</f>
        <v>1</v>
      </c>
      <c r="E1366" s="66" t="str">
        <f t="shared" ref="E1366:E1367" si="2831">YEAR(B1366) &amp; CHOOSE(D1366,"-Jan","-Feb","-Mar","-Apr","-May","-Jun","-Jul","-Aug","-Sep","-Oct","-Nov","-Dec")</f>
        <v>2015-Jan</v>
      </c>
      <c r="F1366" s="68">
        <f t="shared" ref="F1366:F1367" si="2832">IF(C1366&gt;0,MONTH(C1366),"False")</f>
        <v>1</v>
      </c>
      <c r="G1366" s="396" t="s">
        <v>93</v>
      </c>
      <c r="H1366" s="396" t="s">
        <v>1745</v>
      </c>
      <c r="J1366" s="396" t="s">
        <v>81</v>
      </c>
      <c r="K1366" s="396" t="s">
        <v>82</v>
      </c>
      <c r="L1366" s="396" t="s">
        <v>79</v>
      </c>
      <c r="M1366" s="396" t="s">
        <v>2221</v>
      </c>
      <c r="N1366" s="396" t="s">
        <v>124</v>
      </c>
      <c r="O1366" s="396" t="s">
        <v>273</v>
      </c>
      <c r="P1366" s="64" t="s">
        <v>1823</v>
      </c>
      <c r="Q1366" s="2" t="s">
        <v>88</v>
      </c>
      <c r="R1366" s="62" t="s">
        <v>2220</v>
      </c>
      <c r="T1366" s="67"/>
      <c r="X1366" s="564"/>
      <c r="Y1366" s="396" t="str">
        <f t="shared" ref="Y1366" si="2833">IF(Q1366&gt;0,"Obsolete",IF(S1366&gt;0,S1366,"Unknown"))</f>
        <v>Obsolete</v>
      </c>
      <c r="Z1366" s="11">
        <f t="shared" ref="Z1366" si="2834">IF(Q1366="Obsolete-LQA",C1366,IF(Q1366="Obsolete-IT",B1366,""))</f>
        <v>42026</v>
      </c>
      <c r="AA1366" s="396" t="str">
        <f t="shared" ref="AA1366" si="2835">IFERROR(YEAR(Z1366)&amp;" - "&amp; IF(LEN( WEEKNUM(Z1366))=1,"0" &amp; WEEKNUM(Z1366),WEEKNUM(Z1366)),"")</f>
        <v>2015 - 04</v>
      </c>
      <c r="AB1366" s="396">
        <f t="shared" ref="AB1366" si="2836">IFERROR(YEAR(Z1366),"")</f>
        <v>2015</v>
      </c>
    </row>
    <row r="1367" spans="2:30" x14ac:dyDescent="0.25">
      <c r="B1367" s="66">
        <v>42026</v>
      </c>
      <c r="C1367" s="66">
        <v>42026</v>
      </c>
      <c r="D1367" s="68">
        <f t="shared" si="2830"/>
        <v>1</v>
      </c>
      <c r="E1367" s="66" t="str">
        <f t="shared" si="2831"/>
        <v>2015-Jan</v>
      </c>
      <c r="F1367" s="68">
        <f t="shared" si="2832"/>
        <v>1</v>
      </c>
      <c r="G1367" s="396" t="s">
        <v>87</v>
      </c>
      <c r="H1367" s="396" t="s">
        <v>1685</v>
      </c>
      <c r="J1367" s="396" t="s">
        <v>78</v>
      </c>
      <c r="K1367" s="396" t="s">
        <v>78</v>
      </c>
      <c r="L1367" s="396" t="s">
        <v>79</v>
      </c>
      <c r="M1367" s="1" t="s">
        <v>2222</v>
      </c>
      <c r="N1367" s="396" t="s">
        <v>124</v>
      </c>
      <c r="O1367" s="396" t="s">
        <v>97</v>
      </c>
      <c r="Q1367" s="2" t="s">
        <v>88</v>
      </c>
      <c r="R1367" s="64" t="s">
        <v>2037</v>
      </c>
      <c r="Y1367" s="404" t="str">
        <f t="shared" ref="Y1367:Y1397" si="2837">IF(Q1367&gt;0,"Obsolete",IF(S1367&gt;0,S1367,"Unknown"))</f>
        <v>Obsolete</v>
      </c>
      <c r="Z1367" s="11">
        <f t="shared" ref="Z1367:Z1397" si="2838">IF(Q1367="Obsolete-LQA",C1367,IF(Q1367="Obsolete-IT",B1367,""))</f>
        <v>42026</v>
      </c>
      <c r="AA1367" s="404" t="str">
        <f t="shared" ref="AA1367:AA1397" si="2839">IFERROR(YEAR(Z1367)&amp;" - "&amp; IF(LEN( WEEKNUM(Z1367))=1,"0" &amp; WEEKNUM(Z1367),WEEKNUM(Z1367)),"")</f>
        <v>2015 - 04</v>
      </c>
      <c r="AB1367" s="404">
        <f t="shared" ref="AB1367:AB1397" si="2840">IFERROR(YEAR(Z1367),"")</f>
        <v>2015</v>
      </c>
    </row>
    <row r="1368" spans="2:30" x14ac:dyDescent="0.25">
      <c r="B1368" s="65">
        <v>42026</v>
      </c>
      <c r="C1368" s="66">
        <v>42026</v>
      </c>
      <c r="D1368" s="68">
        <f t="shared" ref="D1368:D1370" si="2841">IF(B1368&gt;0,MONTH(B1368),"False")</f>
        <v>1</v>
      </c>
      <c r="E1368" s="66" t="str">
        <f t="shared" ref="E1368:E1370" si="2842">YEAR(B1368) &amp; CHOOSE(D1368,"-Jan","-Feb","-Mar","-Apr","-May","-Jun","-Jul","-Aug","-Sep","-Oct","-Nov","-Dec")</f>
        <v>2015-Jan</v>
      </c>
      <c r="F1368" s="68">
        <f t="shared" ref="F1368:F1370" si="2843">IF(C1368&gt;0,MONTH(C1368),"False")</f>
        <v>1</v>
      </c>
      <c r="G1368" s="407" t="s">
        <v>121</v>
      </c>
      <c r="H1368" s="396" t="s">
        <v>103</v>
      </c>
      <c r="J1368" s="396" t="s">
        <v>77</v>
      </c>
      <c r="K1368" s="396" t="s">
        <v>82</v>
      </c>
      <c r="L1368" s="396" t="s">
        <v>79</v>
      </c>
      <c r="M1368" s="1" t="s">
        <v>2223</v>
      </c>
      <c r="N1368" s="396" t="s">
        <v>124</v>
      </c>
      <c r="O1368" s="396" t="s">
        <v>507</v>
      </c>
      <c r="P1368" s="64" t="s">
        <v>351</v>
      </c>
      <c r="R1368" s="64" t="s">
        <v>361</v>
      </c>
      <c r="S1368" s="407" t="s">
        <v>104</v>
      </c>
      <c r="X1368" s="407" t="s">
        <v>1474</v>
      </c>
      <c r="Y1368" s="404" t="str">
        <f t="shared" si="2837"/>
        <v>Pass</v>
      </c>
      <c r="Z1368" s="11" t="str">
        <f t="shared" si="2838"/>
        <v/>
      </c>
      <c r="AA1368" s="404" t="str">
        <f t="shared" si="2839"/>
        <v/>
      </c>
      <c r="AB1368" s="404" t="str">
        <f t="shared" si="2840"/>
        <v/>
      </c>
    </row>
    <row r="1369" spans="2:30" x14ac:dyDescent="0.25">
      <c r="B1369" s="66">
        <v>42026</v>
      </c>
      <c r="C1369" s="66">
        <v>42026</v>
      </c>
      <c r="D1369" s="68">
        <f t="shared" si="2841"/>
        <v>1</v>
      </c>
      <c r="E1369" s="66" t="str">
        <f t="shared" si="2842"/>
        <v>2015-Jan</v>
      </c>
      <c r="F1369" s="68">
        <f t="shared" si="2843"/>
        <v>1</v>
      </c>
      <c r="G1369" s="396" t="s">
        <v>112</v>
      </c>
      <c r="H1369" s="396" t="s">
        <v>1685</v>
      </c>
      <c r="J1369" s="396" t="s">
        <v>260</v>
      </c>
      <c r="K1369" s="396" t="s">
        <v>84</v>
      </c>
      <c r="L1369" s="396" t="s">
        <v>79</v>
      </c>
      <c r="M1369" s="1" t="s">
        <v>2224</v>
      </c>
      <c r="N1369" s="396" t="s">
        <v>124</v>
      </c>
      <c r="O1369" s="396" t="s">
        <v>148</v>
      </c>
      <c r="R1369" s="64" t="s">
        <v>2000</v>
      </c>
      <c r="S1369" s="1" t="s">
        <v>104</v>
      </c>
      <c r="X1369" s="1" t="s">
        <v>300</v>
      </c>
      <c r="Y1369" s="404" t="str">
        <f t="shared" si="2837"/>
        <v>Pass</v>
      </c>
      <c r="Z1369" s="11" t="str">
        <f t="shared" si="2838"/>
        <v/>
      </c>
      <c r="AA1369" s="404" t="str">
        <f t="shared" si="2839"/>
        <v/>
      </c>
      <c r="AB1369" s="404" t="str">
        <f t="shared" si="2840"/>
        <v/>
      </c>
    </row>
    <row r="1370" spans="2:30" x14ac:dyDescent="0.25">
      <c r="B1370" s="66">
        <v>42026</v>
      </c>
      <c r="C1370" s="66">
        <v>42026</v>
      </c>
      <c r="D1370" s="68">
        <f t="shared" si="2841"/>
        <v>1</v>
      </c>
      <c r="E1370" s="66" t="str">
        <f t="shared" si="2842"/>
        <v>2015-Jan</v>
      </c>
      <c r="F1370" s="68">
        <f t="shared" si="2843"/>
        <v>1</v>
      </c>
      <c r="G1370" s="396" t="s">
        <v>112</v>
      </c>
      <c r="H1370" s="396" t="s">
        <v>1685</v>
      </c>
      <c r="J1370" s="396" t="s">
        <v>149</v>
      </c>
      <c r="K1370" s="396" t="s">
        <v>84</v>
      </c>
      <c r="L1370" s="396" t="s">
        <v>79</v>
      </c>
      <c r="M1370" s="1" t="s">
        <v>2225</v>
      </c>
      <c r="N1370" s="396" t="s">
        <v>124</v>
      </c>
      <c r="O1370" s="396" t="s">
        <v>148</v>
      </c>
      <c r="R1370" s="64" t="s">
        <v>2000</v>
      </c>
      <c r="S1370" s="1" t="s">
        <v>104</v>
      </c>
      <c r="X1370" s="1" t="s">
        <v>300</v>
      </c>
      <c r="Y1370" s="404" t="str">
        <f t="shared" si="2837"/>
        <v>Pass</v>
      </c>
      <c r="Z1370" s="11" t="str">
        <f t="shared" si="2838"/>
        <v/>
      </c>
      <c r="AA1370" s="404" t="str">
        <f t="shared" si="2839"/>
        <v/>
      </c>
      <c r="AB1370" s="404" t="str">
        <f t="shared" si="2840"/>
        <v/>
      </c>
    </row>
    <row r="1371" spans="2:30" x14ac:dyDescent="0.25">
      <c r="B1371" s="66">
        <v>42027</v>
      </c>
      <c r="C1371" s="66">
        <v>42027</v>
      </c>
      <c r="D1371" s="68">
        <f t="shared" ref="D1371:D1372" si="2844">IF(B1371&gt;0,MONTH(B1371),"False")</f>
        <v>1</v>
      </c>
      <c r="E1371" s="66" t="str">
        <f t="shared" ref="E1371:E1372" si="2845">YEAR(B1371) &amp; CHOOSE(D1371,"-Jan","-Feb","-Mar","-Apr","-May","-Jun","-Jul","-Aug","-Sep","-Oct","-Nov","-Dec")</f>
        <v>2015-Jan</v>
      </c>
      <c r="F1371" s="68">
        <f t="shared" ref="F1371:F1372" si="2846">IF(C1371&gt;0,MONTH(C1371),"False")</f>
        <v>1</v>
      </c>
      <c r="G1371" s="397" t="s">
        <v>87</v>
      </c>
      <c r="H1371" s="397" t="s">
        <v>316</v>
      </c>
      <c r="J1371" s="397" t="s">
        <v>149</v>
      </c>
      <c r="K1371" s="397" t="s">
        <v>84</v>
      </c>
      <c r="L1371" s="397" t="s">
        <v>83</v>
      </c>
      <c r="M1371" s="1" t="s">
        <v>2226</v>
      </c>
      <c r="N1371" s="397" t="s">
        <v>124</v>
      </c>
      <c r="O1371" s="397" t="s">
        <v>264</v>
      </c>
      <c r="R1371" s="64" t="s">
        <v>604</v>
      </c>
      <c r="S1371" s="1" t="s">
        <v>104</v>
      </c>
      <c r="X1371" s="1" t="s">
        <v>1474</v>
      </c>
      <c r="Y1371" s="404" t="str">
        <f t="shared" si="2837"/>
        <v>Pass</v>
      </c>
      <c r="Z1371" s="11" t="str">
        <f t="shared" si="2838"/>
        <v/>
      </c>
      <c r="AA1371" s="404" t="str">
        <f t="shared" si="2839"/>
        <v/>
      </c>
      <c r="AB1371" s="404" t="str">
        <f t="shared" si="2840"/>
        <v/>
      </c>
    </row>
    <row r="1372" spans="2:30" x14ac:dyDescent="0.25">
      <c r="B1372" s="65">
        <v>42027</v>
      </c>
      <c r="C1372" s="66">
        <v>42027</v>
      </c>
      <c r="D1372" s="68">
        <f t="shared" si="2844"/>
        <v>1</v>
      </c>
      <c r="E1372" s="66" t="str">
        <f t="shared" si="2845"/>
        <v>2015-Jan</v>
      </c>
      <c r="F1372" s="68">
        <f t="shared" si="2846"/>
        <v>1</v>
      </c>
      <c r="G1372" s="397" t="s">
        <v>93</v>
      </c>
      <c r="H1372" s="397" t="s">
        <v>1685</v>
      </c>
      <c r="J1372" s="397" t="s">
        <v>81</v>
      </c>
      <c r="K1372" s="397" t="s">
        <v>82</v>
      </c>
      <c r="L1372" s="397" t="s">
        <v>79</v>
      </c>
      <c r="M1372" s="1" t="s">
        <v>2227</v>
      </c>
      <c r="N1372" s="397" t="s">
        <v>124</v>
      </c>
      <c r="O1372" s="397" t="s">
        <v>91</v>
      </c>
      <c r="P1372" s="64" t="s">
        <v>2009</v>
      </c>
      <c r="R1372" s="64" t="s">
        <v>2004</v>
      </c>
      <c r="S1372" s="1" t="s">
        <v>104</v>
      </c>
      <c r="Y1372" s="404" t="str">
        <f t="shared" si="2837"/>
        <v>Pass</v>
      </c>
      <c r="Z1372" s="11" t="str">
        <f t="shared" si="2838"/>
        <v/>
      </c>
      <c r="AA1372" s="404" t="str">
        <f t="shared" si="2839"/>
        <v/>
      </c>
      <c r="AB1372" s="404" t="str">
        <f t="shared" si="2840"/>
        <v/>
      </c>
    </row>
    <row r="1373" spans="2:30" x14ac:dyDescent="0.25">
      <c r="B1373" s="65">
        <v>42027</v>
      </c>
      <c r="C1373" s="66">
        <v>42027</v>
      </c>
      <c r="D1373" s="68">
        <f t="shared" ref="D1373" si="2847">IF(B1373&gt;0,MONTH(B1373),"False")</f>
        <v>1</v>
      </c>
      <c r="E1373" s="66" t="str">
        <f t="shared" ref="E1373" si="2848">YEAR(B1373) &amp; CHOOSE(D1373,"-Jan","-Feb","-Mar","-Apr","-May","-Jun","-Jul","-Aug","-Sep","-Oct","-Nov","-Dec")</f>
        <v>2015-Jan</v>
      </c>
      <c r="F1373" s="68">
        <f t="shared" ref="F1373" si="2849">IF(C1373&gt;0,MONTH(C1373),"False")</f>
        <v>1</v>
      </c>
      <c r="G1373" s="397" t="s">
        <v>121</v>
      </c>
      <c r="H1373" s="397" t="s">
        <v>1745</v>
      </c>
      <c r="J1373" s="397" t="s">
        <v>81</v>
      </c>
      <c r="K1373" s="397" t="s">
        <v>82</v>
      </c>
      <c r="L1373" s="397" t="s">
        <v>79</v>
      </c>
      <c r="M1373" s="1" t="s">
        <v>2228</v>
      </c>
      <c r="N1373" s="397" t="s">
        <v>124</v>
      </c>
      <c r="O1373" s="397" t="s">
        <v>2072</v>
      </c>
      <c r="P1373" s="64" t="s">
        <v>1823</v>
      </c>
      <c r="R1373" s="64" t="s">
        <v>1824</v>
      </c>
      <c r="S1373" s="1" t="s">
        <v>104</v>
      </c>
      <c r="T1373" s="67" t="s">
        <v>110</v>
      </c>
      <c r="X1373" s="564" t="s">
        <v>158</v>
      </c>
      <c r="Y1373" s="404" t="str">
        <f t="shared" si="2837"/>
        <v>Pass</v>
      </c>
      <c r="Z1373" s="11" t="str">
        <f t="shared" si="2838"/>
        <v/>
      </c>
      <c r="AA1373" s="404" t="str">
        <f t="shared" si="2839"/>
        <v/>
      </c>
      <c r="AB1373" s="404" t="str">
        <f t="shared" si="2840"/>
        <v/>
      </c>
    </row>
    <row r="1374" spans="2:30" x14ac:dyDescent="0.25">
      <c r="B1374" s="65">
        <v>42029</v>
      </c>
      <c r="C1374" s="66">
        <v>42029</v>
      </c>
      <c r="D1374" s="68">
        <f t="shared" ref="D1374" si="2850">IF(B1374&gt;0,MONTH(B1374),"False")</f>
        <v>1</v>
      </c>
      <c r="E1374" s="66" t="str">
        <f t="shared" ref="E1374" si="2851">YEAR(B1374) &amp; CHOOSE(D1374,"-Jan","-Feb","-Mar","-Apr","-May","-Jun","-Jul","-Aug","-Sep","-Oct","-Nov","-Dec")</f>
        <v>2015-Jan</v>
      </c>
      <c r="F1374" s="68">
        <f t="shared" ref="F1374" si="2852">IF(C1374&gt;0,MONTH(C1374),"False")</f>
        <v>1</v>
      </c>
      <c r="G1374" s="397" t="s">
        <v>121</v>
      </c>
      <c r="H1374" s="397" t="s">
        <v>1745</v>
      </c>
      <c r="I1374" s="397"/>
      <c r="J1374" s="397" t="s">
        <v>81</v>
      </c>
      <c r="K1374" s="397" t="s">
        <v>82</v>
      </c>
      <c r="L1374" s="397" t="s">
        <v>79</v>
      </c>
      <c r="M1374" s="397" t="s">
        <v>2229</v>
      </c>
      <c r="N1374" s="397" t="s">
        <v>124</v>
      </c>
      <c r="O1374" s="397" t="s">
        <v>2072</v>
      </c>
      <c r="P1374" s="64" t="s">
        <v>1823</v>
      </c>
      <c r="R1374" s="64" t="s">
        <v>1824</v>
      </c>
      <c r="S1374" s="1" t="s">
        <v>104</v>
      </c>
      <c r="X1374" s="564" t="s">
        <v>158</v>
      </c>
      <c r="Y1374" s="404" t="str">
        <f t="shared" si="2837"/>
        <v>Pass</v>
      </c>
      <c r="Z1374" s="11" t="str">
        <f t="shared" si="2838"/>
        <v/>
      </c>
      <c r="AA1374" s="404" t="str">
        <f t="shared" si="2839"/>
        <v/>
      </c>
      <c r="AB1374" s="404" t="str">
        <f t="shared" si="2840"/>
        <v/>
      </c>
    </row>
    <row r="1375" spans="2:30" x14ac:dyDescent="0.25">
      <c r="B1375" s="65">
        <v>42031</v>
      </c>
      <c r="C1375" s="66">
        <v>42031</v>
      </c>
      <c r="D1375" s="68">
        <f t="shared" ref="D1375" si="2853">IF(B1375&gt;0,MONTH(B1375),"False")</f>
        <v>1</v>
      </c>
      <c r="E1375" s="66" t="str">
        <f t="shared" ref="E1375" si="2854">YEAR(B1375) &amp; CHOOSE(D1375,"-Jan","-Feb","-Mar","-Apr","-May","-Jun","-Jul","-Aug","-Sep","-Oct","-Nov","-Dec")</f>
        <v>2015-Jan</v>
      </c>
      <c r="F1375" s="68">
        <f t="shared" ref="F1375" si="2855">IF(C1375&gt;0,MONTH(C1375),"False")</f>
        <v>1</v>
      </c>
      <c r="G1375" s="408" t="s">
        <v>121</v>
      </c>
      <c r="H1375" s="397" t="s">
        <v>166</v>
      </c>
      <c r="J1375" s="397" t="s">
        <v>98</v>
      </c>
      <c r="K1375" s="397" t="s">
        <v>82</v>
      </c>
      <c r="L1375" s="397" t="s">
        <v>79</v>
      </c>
      <c r="M1375" s="1" t="s">
        <v>2230</v>
      </c>
      <c r="N1375" s="397" t="s">
        <v>124</v>
      </c>
      <c r="O1375" s="397" t="s">
        <v>285</v>
      </c>
      <c r="P1375" s="64" t="s">
        <v>336</v>
      </c>
      <c r="R1375" s="64" t="s">
        <v>1311</v>
      </c>
      <c r="S1375" s="408" t="s">
        <v>104</v>
      </c>
      <c r="X1375" s="408" t="s">
        <v>2146</v>
      </c>
      <c r="Y1375" s="404" t="str">
        <f t="shared" si="2837"/>
        <v>Pass</v>
      </c>
      <c r="Z1375" s="11" t="str">
        <f t="shared" si="2838"/>
        <v/>
      </c>
      <c r="AA1375" s="404" t="str">
        <f t="shared" si="2839"/>
        <v/>
      </c>
      <c r="AB1375" s="404" t="str">
        <f t="shared" si="2840"/>
        <v/>
      </c>
    </row>
    <row r="1376" spans="2:30" x14ac:dyDescent="0.25">
      <c r="B1376" s="65">
        <v>42032</v>
      </c>
      <c r="C1376" s="66">
        <v>42032</v>
      </c>
      <c r="D1376" s="68">
        <f t="shared" ref="D1376" si="2856">IF(B1376&gt;0,MONTH(B1376),"False")</f>
        <v>1</v>
      </c>
      <c r="E1376" s="66" t="str">
        <f t="shared" ref="E1376" si="2857">YEAR(B1376) &amp; CHOOSE(D1376,"-Jan","-Feb","-Mar","-Apr","-May","-Jun","-Jul","-Aug","-Sep","-Oct","-Nov","-Dec")</f>
        <v>2015-Jan</v>
      </c>
      <c r="F1376" s="68">
        <f t="shared" ref="F1376" si="2858">IF(C1376&gt;0,MONTH(C1376),"False")</f>
        <v>1</v>
      </c>
      <c r="G1376" s="417" t="s">
        <v>121</v>
      </c>
      <c r="H1376" s="398" t="s">
        <v>280</v>
      </c>
      <c r="J1376" s="398" t="s">
        <v>81</v>
      </c>
      <c r="K1376" s="398" t="s">
        <v>82</v>
      </c>
      <c r="L1376" s="398" t="s">
        <v>79</v>
      </c>
      <c r="M1376" s="1" t="s">
        <v>2231</v>
      </c>
      <c r="N1376" s="398" t="s">
        <v>124</v>
      </c>
      <c r="O1376" s="398" t="s">
        <v>286</v>
      </c>
      <c r="P1376" s="64" t="s">
        <v>305</v>
      </c>
      <c r="R1376" s="64" t="s">
        <v>1559</v>
      </c>
      <c r="S1376" s="417" t="s">
        <v>104</v>
      </c>
      <c r="X1376" s="417" t="s">
        <v>2146</v>
      </c>
      <c r="Y1376" s="404" t="str">
        <f t="shared" si="2837"/>
        <v>Pass</v>
      </c>
      <c r="Z1376" s="11" t="str">
        <f t="shared" si="2838"/>
        <v/>
      </c>
      <c r="AA1376" s="404" t="str">
        <f t="shared" si="2839"/>
        <v/>
      </c>
      <c r="AB1376" s="404" t="str">
        <f t="shared" si="2840"/>
        <v/>
      </c>
    </row>
    <row r="1377" spans="2:28" x14ac:dyDescent="0.25">
      <c r="B1377" s="65">
        <v>42033</v>
      </c>
      <c r="C1377" s="66">
        <v>42033</v>
      </c>
      <c r="D1377" s="68">
        <f t="shared" ref="D1377" si="2859">IF(B1377&gt;0,MONTH(B1377),"False")</f>
        <v>1</v>
      </c>
      <c r="E1377" s="66" t="str">
        <f t="shared" ref="E1377" si="2860">YEAR(B1377) &amp; CHOOSE(D1377,"-Jan","-Feb","-Mar","-Apr","-May","-Jun","-Jul","-Aug","-Sep","-Oct","-Nov","-Dec")</f>
        <v>2015-Jan</v>
      </c>
      <c r="F1377" s="68">
        <f t="shared" ref="F1377" si="2861">IF(C1377&gt;0,MONTH(C1377),"False")</f>
        <v>1</v>
      </c>
      <c r="G1377" s="399" t="s">
        <v>121</v>
      </c>
      <c r="H1377" s="399" t="s">
        <v>1745</v>
      </c>
      <c r="J1377" s="399" t="s">
        <v>81</v>
      </c>
      <c r="K1377" s="399" t="s">
        <v>82</v>
      </c>
      <c r="L1377" s="399" t="s">
        <v>79</v>
      </c>
      <c r="M1377" s="1" t="s">
        <v>2232</v>
      </c>
      <c r="N1377" s="399" t="s">
        <v>124</v>
      </c>
      <c r="O1377" s="399" t="s">
        <v>2072</v>
      </c>
      <c r="P1377" s="64" t="s">
        <v>1823</v>
      </c>
      <c r="R1377" s="64" t="s">
        <v>1824</v>
      </c>
      <c r="S1377" s="1" t="s">
        <v>104</v>
      </c>
      <c r="X1377" s="564" t="s">
        <v>158</v>
      </c>
      <c r="Y1377" s="404" t="str">
        <f t="shared" si="2837"/>
        <v>Pass</v>
      </c>
      <c r="Z1377" s="11" t="str">
        <f t="shared" si="2838"/>
        <v/>
      </c>
      <c r="AA1377" s="404" t="str">
        <f t="shared" si="2839"/>
        <v/>
      </c>
      <c r="AB1377" s="404" t="str">
        <f t="shared" si="2840"/>
        <v/>
      </c>
    </row>
    <row r="1378" spans="2:28" x14ac:dyDescent="0.25">
      <c r="B1378" s="65">
        <v>42033</v>
      </c>
      <c r="C1378" s="66">
        <v>42033</v>
      </c>
      <c r="D1378" s="68">
        <f t="shared" ref="D1378:D1379" si="2862">IF(B1378&gt;0,MONTH(B1378),"False")</f>
        <v>1</v>
      </c>
      <c r="E1378" s="66" t="str">
        <f t="shared" ref="E1378:E1379" si="2863">YEAR(B1378) &amp; CHOOSE(D1378,"-Jan","-Feb","-Mar","-Apr","-May","-Jun","-Jul","-Aug","-Sep","-Oct","-Nov","-Dec")</f>
        <v>2015-Jan</v>
      </c>
      <c r="F1378" s="68">
        <f t="shared" ref="F1378:F1379" si="2864">IF(C1378&gt;0,MONTH(C1378),"False")</f>
        <v>1</v>
      </c>
      <c r="G1378" s="407" t="s">
        <v>121</v>
      </c>
      <c r="H1378" s="399" t="s">
        <v>103</v>
      </c>
      <c r="J1378" s="399" t="s">
        <v>77</v>
      </c>
      <c r="K1378" s="399" t="s">
        <v>82</v>
      </c>
      <c r="L1378" s="399" t="s">
        <v>79</v>
      </c>
      <c r="M1378" s="1" t="s">
        <v>2233</v>
      </c>
      <c r="N1378" s="399" t="s">
        <v>124</v>
      </c>
      <c r="O1378" s="399" t="s">
        <v>265</v>
      </c>
      <c r="P1378" s="64" t="s">
        <v>361</v>
      </c>
      <c r="R1378" s="64" t="s">
        <v>351</v>
      </c>
      <c r="S1378" s="407" t="s">
        <v>104</v>
      </c>
      <c r="X1378" s="407" t="s">
        <v>1474</v>
      </c>
      <c r="Y1378" s="404" t="str">
        <f t="shared" si="2837"/>
        <v>Pass</v>
      </c>
      <c r="Z1378" s="11" t="str">
        <f t="shared" si="2838"/>
        <v/>
      </c>
      <c r="AA1378" s="404" t="str">
        <f t="shared" si="2839"/>
        <v/>
      </c>
      <c r="AB1378" s="404" t="str">
        <f t="shared" si="2840"/>
        <v/>
      </c>
    </row>
    <row r="1379" spans="2:28" x14ac:dyDescent="0.25">
      <c r="B1379" s="66">
        <v>42033</v>
      </c>
      <c r="C1379" s="66">
        <v>42033</v>
      </c>
      <c r="D1379" s="68">
        <f t="shared" si="2862"/>
        <v>1</v>
      </c>
      <c r="E1379" s="66" t="str">
        <f t="shared" si="2863"/>
        <v>2015-Jan</v>
      </c>
      <c r="F1379" s="68">
        <f t="shared" si="2864"/>
        <v>1</v>
      </c>
      <c r="G1379" s="399" t="s">
        <v>112</v>
      </c>
      <c r="H1379" s="399" t="s">
        <v>1685</v>
      </c>
      <c r="J1379" s="399" t="s">
        <v>78</v>
      </c>
      <c r="K1379" s="399" t="s">
        <v>78</v>
      </c>
      <c r="L1379" s="399" t="s">
        <v>79</v>
      </c>
      <c r="M1379" s="1" t="s">
        <v>2234</v>
      </c>
      <c r="N1379" s="399" t="s">
        <v>124</v>
      </c>
      <c r="O1379" s="399" t="s">
        <v>97</v>
      </c>
      <c r="R1379" s="64" t="s">
        <v>2037</v>
      </c>
      <c r="S1379" s="1" t="s">
        <v>104</v>
      </c>
      <c r="X1379" s="1" t="s">
        <v>154</v>
      </c>
      <c r="Y1379" s="404" t="str">
        <f t="shared" si="2837"/>
        <v>Pass</v>
      </c>
      <c r="Z1379" s="11" t="str">
        <f t="shared" si="2838"/>
        <v/>
      </c>
      <c r="AA1379" s="404" t="str">
        <f t="shared" si="2839"/>
        <v/>
      </c>
      <c r="AB1379" s="404" t="str">
        <f t="shared" si="2840"/>
        <v/>
      </c>
    </row>
    <row r="1380" spans="2:28" x14ac:dyDescent="0.25">
      <c r="B1380" s="65">
        <v>42033</v>
      </c>
      <c r="C1380" s="66">
        <v>42033</v>
      </c>
      <c r="D1380" s="68">
        <f t="shared" ref="D1380:D1381" si="2865">IF(B1380&gt;0,MONTH(B1380),"False")</f>
        <v>1</v>
      </c>
      <c r="E1380" s="66" t="str">
        <f t="shared" ref="E1380:E1381" si="2866">YEAR(B1380) &amp; CHOOSE(D1380,"-Jan","-Feb","-Mar","-Apr","-May","-Jun","-Jul","-Aug","-Sep","-Oct","-Nov","-Dec")</f>
        <v>2015-Jan</v>
      </c>
      <c r="F1380" s="68">
        <f t="shared" ref="F1380:F1381" si="2867">IF(C1380&gt;0,MONTH(C1380),"False")</f>
        <v>1</v>
      </c>
      <c r="G1380" s="408" t="s">
        <v>105</v>
      </c>
      <c r="H1380" s="399" t="s">
        <v>280</v>
      </c>
      <c r="J1380" s="399" t="s">
        <v>98</v>
      </c>
      <c r="K1380" s="399" t="s">
        <v>82</v>
      </c>
      <c r="L1380" s="399" t="s">
        <v>79</v>
      </c>
      <c r="M1380" s="1" t="s">
        <v>2235</v>
      </c>
      <c r="N1380" s="399" t="s">
        <v>124</v>
      </c>
      <c r="O1380" s="399" t="s">
        <v>116</v>
      </c>
      <c r="P1380" s="64" t="s">
        <v>642</v>
      </c>
      <c r="R1380" s="64" t="s">
        <v>2236</v>
      </c>
      <c r="S1380" s="408" t="s">
        <v>104</v>
      </c>
      <c r="X1380" s="408" t="s">
        <v>2146</v>
      </c>
      <c r="Y1380" s="404" t="str">
        <f t="shared" si="2837"/>
        <v>Pass</v>
      </c>
      <c r="Z1380" s="11" t="str">
        <f t="shared" si="2838"/>
        <v/>
      </c>
      <c r="AA1380" s="404" t="str">
        <f t="shared" si="2839"/>
        <v/>
      </c>
      <c r="AB1380" s="404" t="str">
        <f t="shared" si="2840"/>
        <v/>
      </c>
    </row>
    <row r="1381" spans="2:28" s="401" customFormat="1" x14ac:dyDescent="0.25">
      <c r="B1381" s="66">
        <v>42033</v>
      </c>
      <c r="C1381" s="66">
        <v>42033</v>
      </c>
      <c r="D1381" s="68">
        <f t="shared" si="2865"/>
        <v>1</v>
      </c>
      <c r="E1381" s="66" t="str">
        <f t="shared" si="2866"/>
        <v>2015-Jan</v>
      </c>
      <c r="F1381" s="68">
        <f t="shared" si="2867"/>
        <v>1</v>
      </c>
      <c r="G1381" s="401" t="s">
        <v>87</v>
      </c>
      <c r="H1381" s="401" t="s">
        <v>166</v>
      </c>
      <c r="J1381" s="401" t="s">
        <v>98</v>
      </c>
      <c r="K1381" s="401" t="s">
        <v>84</v>
      </c>
      <c r="L1381" s="401" t="s">
        <v>83</v>
      </c>
      <c r="M1381" s="401" t="s">
        <v>2239</v>
      </c>
      <c r="N1381" s="401" t="s">
        <v>124</v>
      </c>
      <c r="O1381" s="401" t="s">
        <v>156</v>
      </c>
      <c r="P1381" s="64"/>
      <c r="Q1381" s="2" t="s">
        <v>88</v>
      </c>
      <c r="R1381" s="64" t="s">
        <v>1353</v>
      </c>
      <c r="T1381" s="67"/>
      <c r="Y1381" s="404" t="str">
        <f t="shared" si="2837"/>
        <v>Obsolete</v>
      </c>
      <c r="Z1381" s="11">
        <f t="shared" si="2838"/>
        <v>42033</v>
      </c>
      <c r="AA1381" s="404" t="str">
        <f t="shared" si="2839"/>
        <v>2015 - 05</v>
      </c>
      <c r="AB1381" s="404">
        <f t="shared" si="2840"/>
        <v>2015</v>
      </c>
    </row>
    <row r="1382" spans="2:28" x14ac:dyDescent="0.25">
      <c r="B1382" s="65">
        <v>42034</v>
      </c>
      <c r="C1382" s="66">
        <v>42034</v>
      </c>
      <c r="D1382" s="68">
        <f t="shared" ref="D1382:D1383" si="2868">IF(B1382&gt;0,MONTH(B1382),"False")</f>
        <v>1</v>
      </c>
      <c r="E1382" s="66" t="str">
        <f t="shared" ref="E1382:E1383" si="2869">YEAR(B1382) &amp; CHOOSE(D1382,"-Jan","-Feb","-Mar","-Apr","-May","-Jun","-Jul","-Aug","-Sep","-Oct","-Nov","-Dec")</f>
        <v>2015-Jan</v>
      </c>
      <c r="F1382" s="68">
        <f t="shared" ref="F1382:F1383" si="2870">IF(C1382&gt;0,MONTH(C1382),"False")</f>
        <v>1</v>
      </c>
      <c r="G1382" s="400" t="s">
        <v>121</v>
      </c>
      <c r="H1382" s="400" t="s">
        <v>1685</v>
      </c>
      <c r="J1382" s="400" t="s">
        <v>78</v>
      </c>
      <c r="K1382" s="400" t="s">
        <v>82</v>
      </c>
      <c r="L1382" s="400" t="s">
        <v>79</v>
      </c>
      <c r="M1382" s="1" t="s">
        <v>2237</v>
      </c>
      <c r="N1382" s="400" t="s">
        <v>124</v>
      </c>
      <c r="O1382" s="400" t="s">
        <v>91</v>
      </c>
      <c r="P1382" s="64" t="s">
        <v>2009</v>
      </c>
      <c r="R1382" s="64" t="s">
        <v>2004</v>
      </c>
      <c r="S1382" s="1" t="s">
        <v>104</v>
      </c>
      <c r="X1382" s="1" t="s">
        <v>154</v>
      </c>
      <c r="Y1382" s="404" t="str">
        <f t="shared" si="2837"/>
        <v>Pass</v>
      </c>
      <c r="Z1382" s="11" t="str">
        <f t="shared" si="2838"/>
        <v/>
      </c>
      <c r="AA1382" s="404" t="str">
        <f t="shared" si="2839"/>
        <v/>
      </c>
      <c r="AB1382" s="404" t="str">
        <f t="shared" si="2840"/>
        <v/>
      </c>
    </row>
    <row r="1383" spans="2:28" x14ac:dyDescent="0.25">
      <c r="B1383" s="66">
        <v>42034</v>
      </c>
      <c r="C1383" s="66">
        <v>42034</v>
      </c>
      <c r="D1383" s="68">
        <f t="shared" si="2868"/>
        <v>1</v>
      </c>
      <c r="E1383" s="66" t="str">
        <f t="shared" si="2869"/>
        <v>2015-Jan</v>
      </c>
      <c r="F1383" s="68">
        <f t="shared" si="2870"/>
        <v>1</v>
      </c>
      <c r="G1383" s="400" t="s">
        <v>87</v>
      </c>
      <c r="H1383" s="400" t="s">
        <v>136</v>
      </c>
      <c r="J1383" s="400" t="s">
        <v>149</v>
      </c>
      <c r="K1383" s="400" t="s">
        <v>84</v>
      </c>
      <c r="L1383" s="400" t="s">
        <v>83</v>
      </c>
      <c r="M1383" s="1" t="s">
        <v>2238</v>
      </c>
      <c r="N1383" s="400" t="s">
        <v>124</v>
      </c>
      <c r="O1383" s="400" t="s">
        <v>264</v>
      </c>
      <c r="R1383" s="64" t="s">
        <v>2109</v>
      </c>
      <c r="S1383" s="1" t="s">
        <v>104</v>
      </c>
      <c r="X1383" s="1" t="s">
        <v>159</v>
      </c>
      <c r="Y1383" s="404" t="str">
        <f t="shared" si="2837"/>
        <v>Pass</v>
      </c>
      <c r="Z1383" s="11" t="str">
        <f t="shared" si="2838"/>
        <v/>
      </c>
      <c r="AA1383" s="404" t="str">
        <f t="shared" si="2839"/>
        <v/>
      </c>
      <c r="AB1383" s="404" t="str">
        <f t="shared" si="2840"/>
        <v/>
      </c>
    </row>
    <row r="1384" spans="2:28" x14ac:dyDescent="0.25">
      <c r="B1384" s="66">
        <v>42034</v>
      </c>
      <c r="C1384" s="66">
        <v>42034</v>
      </c>
      <c r="D1384" s="68">
        <f t="shared" ref="D1384" si="2871">IF(B1384&gt;0,MONTH(B1384),"False")</f>
        <v>1</v>
      </c>
      <c r="E1384" s="66" t="str">
        <f t="shared" ref="E1384" si="2872">YEAR(B1384) &amp; CHOOSE(D1384,"-Jan","-Feb","-Mar","-Apr","-May","-Jun","-Jul","-Aug","-Sep","-Oct","-Nov","-Dec")</f>
        <v>2015-Jan</v>
      </c>
      <c r="F1384" s="68">
        <f t="shared" ref="F1384" si="2873">IF(C1384&gt;0,MONTH(C1384),"False")</f>
        <v>1</v>
      </c>
      <c r="G1384" s="401" t="s">
        <v>87</v>
      </c>
      <c r="H1384" s="401" t="s">
        <v>166</v>
      </c>
      <c r="J1384" s="401" t="s">
        <v>98</v>
      </c>
      <c r="K1384" s="401" t="s">
        <v>84</v>
      </c>
      <c r="L1384" s="401" t="s">
        <v>83</v>
      </c>
      <c r="M1384" s="1" t="s">
        <v>2240</v>
      </c>
      <c r="N1384" s="401" t="s">
        <v>124</v>
      </c>
      <c r="O1384" s="401" t="s">
        <v>156</v>
      </c>
      <c r="R1384" s="64" t="s">
        <v>1353</v>
      </c>
      <c r="Y1384" s="404" t="str">
        <f t="shared" si="2837"/>
        <v>Unknown</v>
      </c>
      <c r="Z1384" s="11" t="str">
        <f t="shared" si="2838"/>
        <v/>
      </c>
      <c r="AA1384" s="404" t="str">
        <f t="shared" si="2839"/>
        <v/>
      </c>
      <c r="AB1384" s="404" t="str">
        <f t="shared" si="2840"/>
        <v/>
      </c>
    </row>
    <row r="1385" spans="2:28" x14ac:dyDescent="0.25">
      <c r="B1385" s="66">
        <v>42034</v>
      </c>
      <c r="C1385" s="66">
        <v>42034</v>
      </c>
      <c r="D1385" s="68">
        <f t="shared" ref="D1385" si="2874">IF(B1385&gt;0,MONTH(B1385),"False")</f>
        <v>1</v>
      </c>
      <c r="E1385" s="66" t="str">
        <f t="shared" ref="E1385" si="2875">YEAR(B1385) &amp; CHOOSE(D1385,"-Jan","-Feb","-Mar","-Apr","-May","-Jun","-Jul","-Aug","-Sep","-Oct","-Nov","-Dec")</f>
        <v>2015-Jan</v>
      </c>
      <c r="F1385" s="68">
        <f t="shared" ref="F1385" si="2876">IF(C1385&gt;0,MONTH(C1385),"False")</f>
        <v>1</v>
      </c>
      <c r="G1385" s="401" t="s">
        <v>87</v>
      </c>
      <c r="H1385" s="401" t="s">
        <v>115</v>
      </c>
      <c r="J1385" s="401" t="s">
        <v>98</v>
      </c>
      <c r="K1385" s="401" t="s">
        <v>84</v>
      </c>
      <c r="L1385" s="401" t="s">
        <v>83</v>
      </c>
      <c r="M1385" s="1" t="s">
        <v>2241</v>
      </c>
      <c r="N1385" s="401" t="s">
        <v>124</v>
      </c>
      <c r="O1385" s="401" t="s">
        <v>156</v>
      </c>
      <c r="Q1385" s="2" t="s">
        <v>88</v>
      </c>
      <c r="R1385" s="64" t="s">
        <v>2242</v>
      </c>
      <c r="Y1385" s="404" t="str">
        <f t="shared" si="2837"/>
        <v>Obsolete</v>
      </c>
      <c r="Z1385" s="11">
        <f t="shared" si="2838"/>
        <v>42034</v>
      </c>
      <c r="AA1385" s="404" t="str">
        <f t="shared" si="2839"/>
        <v>2015 - 05</v>
      </c>
      <c r="AB1385" s="404">
        <f t="shared" si="2840"/>
        <v>2015</v>
      </c>
    </row>
    <row r="1386" spans="2:28" x14ac:dyDescent="0.25">
      <c r="B1386" s="66">
        <v>42037</v>
      </c>
      <c r="C1386" s="66">
        <v>42037</v>
      </c>
      <c r="D1386" s="68">
        <f t="shared" ref="D1386" si="2877">IF(B1386&gt;0,MONTH(B1386),"False")</f>
        <v>2</v>
      </c>
      <c r="E1386" s="66" t="str">
        <f t="shared" ref="E1386" si="2878">YEAR(B1386) &amp; CHOOSE(D1386,"-Jan","-Feb","-Mar","-Apr","-May","-Jun","-Jul","-Aug","-Sep","-Oct","-Nov","-Dec")</f>
        <v>2015-Feb</v>
      </c>
      <c r="F1386" s="68">
        <f t="shared" ref="F1386" si="2879">IF(C1386&gt;0,MONTH(C1386),"False")</f>
        <v>2</v>
      </c>
      <c r="G1386" s="402" t="s">
        <v>87</v>
      </c>
      <c r="H1386" s="402" t="s">
        <v>280</v>
      </c>
      <c r="J1386" s="402" t="s">
        <v>98</v>
      </c>
      <c r="K1386" s="402" t="s">
        <v>84</v>
      </c>
      <c r="L1386" s="402" t="s">
        <v>83</v>
      </c>
      <c r="M1386" s="1" t="s">
        <v>2243</v>
      </c>
      <c r="N1386" s="402" t="s">
        <v>124</v>
      </c>
      <c r="O1386" s="402" t="s">
        <v>2020</v>
      </c>
      <c r="R1386" s="64" t="s">
        <v>1517</v>
      </c>
      <c r="Y1386" s="404" t="str">
        <f t="shared" si="2837"/>
        <v>Unknown</v>
      </c>
      <c r="Z1386" s="11" t="str">
        <f t="shared" si="2838"/>
        <v/>
      </c>
      <c r="AA1386" s="404" t="str">
        <f t="shared" si="2839"/>
        <v/>
      </c>
      <c r="AB1386" s="404" t="str">
        <f t="shared" si="2840"/>
        <v/>
      </c>
    </row>
    <row r="1387" spans="2:28" x14ac:dyDescent="0.25">
      <c r="B1387" s="66">
        <v>42037</v>
      </c>
      <c r="C1387" s="66">
        <v>42037</v>
      </c>
      <c r="D1387" s="68">
        <f t="shared" ref="D1387:D1388" si="2880">IF(B1387&gt;0,MONTH(B1387),"False")</f>
        <v>2</v>
      </c>
      <c r="E1387" s="66" t="str">
        <f t="shared" ref="E1387:E1388" si="2881">YEAR(B1387) &amp; CHOOSE(D1387,"-Jan","-Feb","-Mar","-Apr","-May","-Jun","-Jul","-Aug","-Sep","-Oct","-Nov","-Dec")</f>
        <v>2015-Feb</v>
      </c>
      <c r="F1387" s="68">
        <f t="shared" ref="F1387:F1388" si="2882">IF(C1387&gt;0,MONTH(C1387),"False")</f>
        <v>2</v>
      </c>
      <c r="G1387" s="404" t="s">
        <v>112</v>
      </c>
      <c r="H1387" s="402" t="s">
        <v>28</v>
      </c>
      <c r="J1387" s="402" t="s">
        <v>78</v>
      </c>
      <c r="K1387" s="402" t="s">
        <v>78</v>
      </c>
      <c r="L1387" s="402" t="s">
        <v>79</v>
      </c>
      <c r="M1387" s="1" t="s">
        <v>2244</v>
      </c>
      <c r="N1387" s="402" t="s">
        <v>124</v>
      </c>
      <c r="O1387" s="402" t="s">
        <v>168</v>
      </c>
      <c r="R1387" s="64" t="s">
        <v>308</v>
      </c>
      <c r="S1387" s="404" t="s">
        <v>104</v>
      </c>
      <c r="X1387" s="404" t="s">
        <v>1544</v>
      </c>
      <c r="Y1387" s="404" t="str">
        <f t="shared" si="2837"/>
        <v>Pass</v>
      </c>
      <c r="Z1387" s="11" t="str">
        <f t="shared" si="2838"/>
        <v/>
      </c>
      <c r="AA1387" s="404" t="str">
        <f t="shared" si="2839"/>
        <v/>
      </c>
      <c r="AB1387" s="404" t="str">
        <f t="shared" si="2840"/>
        <v/>
      </c>
    </row>
    <row r="1388" spans="2:28" x14ac:dyDescent="0.25">
      <c r="B1388" s="65">
        <v>42037</v>
      </c>
      <c r="C1388" s="66">
        <v>42037</v>
      </c>
      <c r="D1388" s="68">
        <f t="shared" si="2880"/>
        <v>2</v>
      </c>
      <c r="E1388" s="66" t="str">
        <f t="shared" si="2881"/>
        <v>2015-Feb</v>
      </c>
      <c r="F1388" s="68">
        <f t="shared" si="2882"/>
        <v>2</v>
      </c>
      <c r="G1388" s="415" t="s">
        <v>121</v>
      </c>
      <c r="H1388" s="402" t="s">
        <v>316</v>
      </c>
      <c r="J1388" s="402" t="s">
        <v>77</v>
      </c>
      <c r="K1388" s="402" t="s">
        <v>82</v>
      </c>
      <c r="L1388" s="402" t="s">
        <v>79</v>
      </c>
      <c r="M1388" s="415" t="s">
        <v>2298</v>
      </c>
      <c r="N1388" s="402" t="s">
        <v>124</v>
      </c>
      <c r="O1388" s="402" t="s">
        <v>285</v>
      </c>
      <c r="P1388" s="64" t="s">
        <v>340</v>
      </c>
      <c r="R1388" s="64" t="s">
        <v>705</v>
      </c>
      <c r="S1388" s="415" t="s">
        <v>104</v>
      </c>
      <c r="X1388" s="415" t="s">
        <v>300</v>
      </c>
      <c r="Y1388" s="404" t="str">
        <f t="shared" si="2837"/>
        <v>Pass</v>
      </c>
      <c r="Z1388" s="11" t="str">
        <f t="shared" si="2838"/>
        <v/>
      </c>
      <c r="AA1388" s="404" t="str">
        <f t="shared" si="2839"/>
        <v/>
      </c>
      <c r="AB1388" s="404" t="str">
        <f t="shared" si="2840"/>
        <v/>
      </c>
    </row>
    <row r="1389" spans="2:28" x14ac:dyDescent="0.25">
      <c r="B1389" s="65">
        <v>42037</v>
      </c>
      <c r="C1389" s="66">
        <v>42037</v>
      </c>
      <c r="D1389" s="68">
        <f t="shared" ref="D1389:D1390" si="2883">IF(B1389&gt;0,MONTH(B1389),"False")</f>
        <v>2</v>
      </c>
      <c r="E1389" s="66" t="str">
        <f t="shared" ref="E1389:E1390" si="2884">YEAR(B1389) &amp; CHOOSE(D1389,"-Jan","-Feb","-Mar","-Apr","-May","-Jun","-Jul","-Aug","-Sep","-Oct","-Nov","-Dec")</f>
        <v>2015-Feb</v>
      </c>
      <c r="F1389" s="68">
        <f t="shared" ref="F1389:F1390" si="2885">IF(C1389&gt;0,MONTH(C1389),"False")</f>
        <v>2</v>
      </c>
      <c r="G1389" s="402" t="s">
        <v>121</v>
      </c>
      <c r="H1389" s="402" t="s">
        <v>280</v>
      </c>
      <c r="J1389" s="402" t="s">
        <v>81</v>
      </c>
      <c r="K1389" s="402" t="s">
        <v>82</v>
      </c>
      <c r="L1389" s="402" t="s">
        <v>79</v>
      </c>
      <c r="M1389" s="1" t="s">
        <v>2245</v>
      </c>
      <c r="N1389" s="402" t="s">
        <v>124</v>
      </c>
      <c r="O1389" s="402" t="s">
        <v>286</v>
      </c>
      <c r="P1389" s="64" t="s">
        <v>305</v>
      </c>
      <c r="R1389" s="64" t="s">
        <v>1559</v>
      </c>
      <c r="S1389" s="1" t="s">
        <v>104</v>
      </c>
      <c r="X1389" s="1" t="s">
        <v>2146</v>
      </c>
      <c r="Y1389" s="404" t="str">
        <f t="shared" si="2837"/>
        <v>Pass</v>
      </c>
      <c r="Z1389" s="11" t="str">
        <f t="shared" si="2838"/>
        <v/>
      </c>
      <c r="AA1389" s="404" t="str">
        <f t="shared" si="2839"/>
        <v/>
      </c>
      <c r="AB1389" s="404" t="str">
        <f t="shared" si="2840"/>
        <v/>
      </c>
    </row>
    <row r="1390" spans="2:28" x14ac:dyDescent="0.25">
      <c r="B1390" s="66">
        <v>42037</v>
      </c>
      <c r="C1390" s="66">
        <v>42037</v>
      </c>
      <c r="D1390" s="68">
        <f t="shared" si="2883"/>
        <v>2</v>
      </c>
      <c r="E1390" s="66" t="str">
        <f t="shared" si="2884"/>
        <v>2015-Feb</v>
      </c>
      <c r="F1390" s="68">
        <f t="shared" si="2885"/>
        <v>2</v>
      </c>
      <c r="G1390" s="402" t="s">
        <v>112</v>
      </c>
      <c r="H1390" s="402" t="s">
        <v>115</v>
      </c>
      <c r="J1390" s="402" t="s">
        <v>98</v>
      </c>
      <c r="K1390" s="402" t="s">
        <v>84</v>
      </c>
      <c r="L1390" s="402" t="s">
        <v>83</v>
      </c>
      <c r="M1390" s="1" t="s">
        <v>2246</v>
      </c>
      <c r="N1390" s="402" t="s">
        <v>124</v>
      </c>
      <c r="O1390" s="402" t="s">
        <v>156</v>
      </c>
      <c r="R1390" s="64" t="s">
        <v>2242</v>
      </c>
      <c r="S1390" s="1" t="s">
        <v>104</v>
      </c>
      <c r="X1390" s="1" t="s">
        <v>259</v>
      </c>
      <c r="Y1390" s="404" t="str">
        <f t="shared" si="2837"/>
        <v>Pass</v>
      </c>
      <c r="Z1390" s="11" t="str">
        <f t="shared" si="2838"/>
        <v/>
      </c>
      <c r="AA1390" s="404" t="str">
        <f t="shared" si="2839"/>
        <v/>
      </c>
      <c r="AB1390" s="404" t="str">
        <f t="shared" si="2840"/>
        <v/>
      </c>
    </row>
    <row r="1391" spans="2:28" x14ac:dyDescent="0.25">
      <c r="B1391" s="66">
        <v>42037</v>
      </c>
      <c r="C1391" s="66">
        <v>42037</v>
      </c>
      <c r="D1391" s="68">
        <f t="shared" ref="D1391:D1392" si="2886">IF(B1391&gt;0,MONTH(B1391),"False")</f>
        <v>2</v>
      </c>
      <c r="E1391" s="66" t="str">
        <f t="shared" ref="E1391:E1392" si="2887">YEAR(B1391) &amp; CHOOSE(D1391,"-Jan","-Feb","-Mar","-Apr","-May","-Jun","-Jul","-Aug","-Sep","-Oct","-Nov","-Dec")</f>
        <v>2015-Feb</v>
      </c>
      <c r="F1391" s="68">
        <f t="shared" ref="F1391:F1392" si="2888">IF(C1391&gt;0,MONTH(C1391),"False")</f>
        <v>2</v>
      </c>
      <c r="G1391" s="407" t="s">
        <v>112</v>
      </c>
      <c r="H1391" s="402" t="s">
        <v>331</v>
      </c>
      <c r="J1391" s="402" t="s">
        <v>78</v>
      </c>
      <c r="K1391" s="402" t="s">
        <v>78</v>
      </c>
      <c r="L1391" s="402" t="s">
        <v>79</v>
      </c>
      <c r="M1391" s="1" t="s">
        <v>2247</v>
      </c>
      <c r="N1391" s="402" t="s">
        <v>124</v>
      </c>
      <c r="O1391" s="402" t="s">
        <v>97</v>
      </c>
      <c r="R1391" s="64" t="s">
        <v>771</v>
      </c>
      <c r="S1391" s="407" t="s">
        <v>104</v>
      </c>
      <c r="X1391" s="407" t="s">
        <v>298</v>
      </c>
      <c r="Y1391" s="404" t="str">
        <f t="shared" si="2837"/>
        <v>Pass</v>
      </c>
      <c r="Z1391" s="11" t="str">
        <f t="shared" si="2838"/>
        <v/>
      </c>
      <c r="AA1391" s="404" t="str">
        <f t="shared" si="2839"/>
        <v/>
      </c>
      <c r="AB1391" s="404" t="str">
        <f t="shared" si="2840"/>
        <v/>
      </c>
    </row>
    <row r="1392" spans="2:28" x14ac:dyDescent="0.25">
      <c r="B1392" s="65">
        <v>42038</v>
      </c>
      <c r="C1392" s="66">
        <v>42038</v>
      </c>
      <c r="D1392" s="68">
        <f t="shared" si="2886"/>
        <v>2</v>
      </c>
      <c r="E1392" s="66" t="str">
        <f t="shared" si="2887"/>
        <v>2015-Feb</v>
      </c>
      <c r="F1392" s="68">
        <f t="shared" si="2888"/>
        <v>2</v>
      </c>
      <c r="G1392" s="403" t="s">
        <v>121</v>
      </c>
      <c r="H1392" s="403" t="s">
        <v>1745</v>
      </c>
      <c r="J1392" s="403" t="s">
        <v>81</v>
      </c>
      <c r="K1392" s="403" t="s">
        <v>82</v>
      </c>
      <c r="L1392" s="403" t="s">
        <v>79</v>
      </c>
      <c r="M1392" s="1" t="s">
        <v>2248</v>
      </c>
      <c r="N1392" s="403" t="s">
        <v>124</v>
      </c>
      <c r="O1392" s="403" t="s">
        <v>2072</v>
      </c>
      <c r="P1392" s="64" t="s">
        <v>1823</v>
      </c>
      <c r="R1392" s="64" t="s">
        <v>1824</v>
      </c>
      <c r="S1392" s="1" t="s">
        <v>104</v>
      </c>
      <c r="X1392" s="564" t="s">
        <v>158</v>
      </c>
      <c r="Y1392" s="404" t="str">
        <f t="shared" si="2837"/>
        <v>Pass</v>
      </c>
      <c r="Z1392" s="11" t="str">
        <f t="shared" si="2838"/>
        <v/>
      </c>
      <c r="AA1392" s="404" t="str">
        <f t="shared" si="2839"/>
        <v/>
      </c>
      <c r="AB1392" s="404" t="str">
        <f t="shared" si="2840"/>
        <v/>
      </c>
    </row>
    <row r="1393" spans="2:28" s="403" customFormat="1" x14ac:dyDescent="0.25">
      <c r="B1393" s="65">
        <v>42038</v>
      </c>
      <c r="C1393" s="66">
        <v>42038</v>
      </c>
      <c r="D1393" s="68">
        <f t="shared" ref="D1393:D1395" si="2889">IF(B1393&gt;0,MONTH(B1393),"False")</f>
        <v>2</v>
      </c>
      <c r="E1393" s="66" t="str">
        <f t="shared" ref="E1393:E1395" si="2890">YEAR(B1393) &amp; CHOOSE(D1393,"-Jan","-Feb","-Mar","-Apr","-May","-Jun","-Jul","-Aug","-Sep","-Oct","-Nov","-Dec")</f>
        <v>2015-Feb</v>
      </c>
      <c r="F1393" s="68">
        <f t="shared" ref="F1393:F1395" si="2891">IF(C1393&gt;0,MONTH(C1393),"False")</f>
        <v>2</v>
      </c>
      <c r="G1393" s="403" t="s">
        <v>121</v>
      </c>
      <c r="H1393" s="403" t="s">
        <v>1745</v>
      </c>
      <c r="J1393" s="403" t="s">
        <v>81</v>
      </c>
      <c r="K1393" s="403" t="s">
        <v>82</v>
      </c>
      <c r="L1393" s="403" t="s">
        <v>79</v>
      </c>
      <c r="M1393" s="403" t="s">
        <v>2249</v>
      </c>
      <c r="N1393" s="403" t="s">
        <v>124</v>
      </c>
      <c r="O1393" s="403" t="s">
        <v>273</v>
      </c>
      <c r="P1393" s="64" t="s">
        <v>1823</v>
      </c>
      <c r="Q1393" s="2"/>
      <c r="R1393" s="64" t="s">
        <v>1824</v>
      </c>
      <c r="S1393" s="403" t="s">
        <v>104</v>
      </c>
      <c r="T1393" s="67"/>
      <c r="X1393" s="564" t="s">
        <v>158</v>
      </c>
      <c r="Y1393" s="404" t="str">
        <f t="shared" si="2837"/>
        <v>Pass</v>
      </c>
      <c r="Z1393" s="11" t="str">
        <f t="shared" si="2838"/>
        <v/>
      </c>
      <c r="AA1393" s="404" t="str">
        <f t="shared" si="2839"/>
        <v/>
      </c>
      <c r="AB1393" s="404" t="str">
        <f t="shared" si="2840"/>
        <v/>
      </c>
    </row>
    <row r="1394" spans="2:28" s="403" customFormat="1" x14ac:dyDescent="0.25">
      <c r="B1394" s="65">
        <v>42038</v>
      </c>
      <c r="C1394" s="66">
        <v>42038</v>
      </c>
      <c r="D1394" s="68">
        <f t="shared" si="2889"/>
        <v>2</v>
      </c>
      <c r="E1394" s="66" t="str">
        <f t="shared" si="2890"/>
        <v>2015-Feb</v>
      </c>
      <c r="F1394" s="68">
        <f t="shared" si="2891"/>
        <v>2</v>
      </c>
      <c r="G1394" s="403" t="s">
        <v>121</v>
      </c>
      <c r="H1394" s="403" t="s">
        <v>1745</v>
      </c>
      <c r="J1394" s="403" t="s">
        <v>81</v>
      </c>
      <c r="K1394" s="403" t="s">
        <v>82</v>
      </c>
      <c r="L1394" s="403" t="s">
        <v>79</v>
      </c>
      <c r="M1394" s="403" t="s">
        <v>2250</v>
      </c>
      <c r="N1394" s="403" t="s">
        <v>124</v>
      </c>
      <c r="O1394" s="403" t="s">
        <v>2072</v>
      </c>
      <c r="P1394" s="64" t="s">
        <v>1823</v>
      </c>
      <c r="Q1394" s="2"/>
      <c r="R1394" s="64" t="s">
        <v>1824</v>
      </c>
      <c r="S1394" s="403" t="s">
        <v>104</v>
      </c>
      <c r="T1394" s="67"/>
      <c r="X1394" s="403" t="s">
        <v>158</v>
      </c>
      <c r="Y1394" s="404" t="str">
        <f t="shared" si="2837"/>
        <v>Pass</v>
      </c>
      <c r="Z1394" s="11" t="str">
        <f t="shared" si="2838"/>
        <v/>
      </c>
      <c r="AA1394" s="404" t="str">
        <f t="shared" si="2839"/>
        <v/>
      </c>
      <c r="AB1394" s="404" t="str">
        <f t="shared" si="2840"/>
        <v/>
      </c>
    </row>
    <row r="1395" spans="2:28" x14ac:dyDescent="0.25">
      <c r="B1395" s="66">
        <v>42038</v>
      </c>
      <c r="C1395" s="66">
        <v>42038</v>
      </c>
      <c r="D1395" s="68">
        <f t="shared" si="2889"/>
        <v>2</v>
      </c>
      <c r="E1395" s="66" t="str">
        <f t="shared" si="2890"/>
        <v>2015-Feb</v>
      </c>
      <c r="F1395" s="68">
        <f t="shared" si="2891"/>
        <v>2</v>
      </c>
      <c r="G1395" s="403" t="s">
        <v>87</v>
      </c>
      <c r="H1395" s="403" t="s">
        <v>166</v>
      </c>
      <c r="J1395" s="403" t="s">
        <v>2252</v>
      </c>
      <c r="K1395" s="403" t="s">
        <v>84</v>
      </c>
      <c r="L1395" s="403" t="s">
        <v>83</v>
      </c>
      <c r="M1395" s="1" t="s">
        <v>2251</v>
      </c>
      <c r="N1395" s="403" t="s">
        <v>124</v>
      </c>
      <c r="O1395" s="403" t="s">
        <v>2253</v>
      </c>
      <c r="R1395" s="64" t="s">
        <v>2254</v>
      </c>
      <c r="Y1395" s="404" t="str">
        <f t="shared" si="2837"/>
        <v>Unknown</v>
      </c>
      <c r="Z1395" s="11" t="str">
        <f t="shared" si="2838"/>
        <v/>
      </c>
      <c r="AA1395" s="404" t="str">
        <f t="shared" si="2839"/>
        <v/>
      </c>
      <c r="AB1395" s="404" t="str">
        <f t="shared" si="2840"/>
        <v/>
      </c>
    </row>
    <row r="1396" spans="2:28" x14ac:dyDescent="0.25">
      <c r="B1396" s="66">
        <v>42038</v>
      </c>
      <c r="C1396" s="66">
        <v>42038</v>
      </c>
      <c r="D1396" s="68">
        <f t="shared" ref="D1396" si="2892">IF(B1396&gt;0,MONTH(B1396),"False")</f>
        <v>2</v>
      </c>
      <c r="E1396" s="66" t="str">
        <f t="shared" ref="E1396" si="2893">YEAR(B1396) &amp; CHOOSE(D1396,"-Jan","-Feb","-Mar","-Apr","-May","-Jun","-Jul","-Aug","-Sep","-Oct","-Nov","-Dec")</f>
        <v>2015-Feb</v>
      </c>
      <c r="F1396" s="68">
        <f t="shared" ref="F1396" si="2894">IF(C1396&gt;0,MONTH(C1396),"False")</f>
        <v>2</v>
      </c>
      <c r="G1396" s="403" t="s">
        <v>87</v>
      </c>
      <c r="H1396" s="403" t="s">
        <v>166</v>
      </c>
      <c r="I1396" s="403"/>
      <c r="J1396" s="403" t="s">
        <v>2252</v>
      </c>
      <c r="K1396" s="403" t="s">
        <v>82</v>
      </c>
      <c r="L1396" s="403" t="s">
        <v>83</v>
      </c>
      <c r="M1396" s="1" t="s">
        <v>2255</v>
      </c>
      <c r="N1396" s="403" t="s">
        <v>124</v>
      </c>
      <c r="O1396" s="403" t="s">
        <v>1368</v>
      </c>
      <c r="Q1396" s="2" t="s">
        <v>88</v>
      </c>
      <c r="R1396" s="64" t="s">
        <v>2256</v>
      </c>
      <c r="Y1396" s="404" t="str">
        <f t="shared" si="2837"/>
        <v>Obsolete</v>
      </c>
      <c r="Z1396" s="11">
        <f t="shared" si="2838"/>
        <v>42038</v>
      </c>
      <c r="AA1396" s="404" t="str">
        <f t="shared" si="2839"/>
        <v>2015 - 06</v>
      </c>
      <c r="AB1396" s="404">
        <f t="shared" si="2840"/>
        <v>2015</v>
      </c>
    </row>
    <row r="1397" spans="2:28" x14ac:dyDescent="0.25">
      <c r="B1397" s="66">
        <v>42038</v>
      </c>
      <c r="C1397" s="66">
        <v>42038</v>
      </c>
      <c r="D1397" s="68">
        <f t="shared" ref="D1397:D1398" si="2895">IF(B1397&gt;0,MONTH(B1397),"False")</f>
        <v>2</v>
      </c>
      <c r="E1397" s="66" t="str">
        <f t="shared" ref="E1397:E1398" si="2896">YEAR(B1397) &amp; CHOOSE(D1397,"-Jan","-Feb","-Mar","-Apr","-May","-Jun","-Jul","-Aug","-Sep","-Oct","-Nov","-Dec")</f>
        <v>2015-Feb</v>
      </c>
      <c r="F1397" s="68">
        <f t="shared" ref="F1397:F1398" si="2897">IF(C1397&gt;0,MONTH(C1397),"False")</f>
        <v>2</v>
      </c>
      <c r="G1397" s="403" t="s">
        <v>112</v>
      </c>
      <c r="H1397" s="403" t="s">
        <v>1745</v>
      </c>
      <c r="J1397" s="403" t="s">
        <v>78</v>
      </c>
      <c r="K1397" s="403" t="s">
        <v>78</v>
      </c>
      <c r="L1397" s="403" t="s">
        <v>79</v>
      </c>
      <c r="M1397" s="1" t="s">
        <v>2257</v>
      </c>
      <c r="N1397" s="403" t="s">
        <v>124</v>
      </c>
      <c r="O1397" s="403" t="s">
        <v>168</v>
      </c>
      <c r="R1397" s="64" t="s">
        <v>1796</v>
      </c>
      <c r="S1397" s="1" t="s">
        <v>104</v>
      </c>
      <c r="X1397" s="1" t="s">
        <v>158</v>
      </c>
      <c r="Y1397" s="404" t="str">
        <f t="shared" si="2837"/>
        <v>Pass</v>
      </c>
      <c r="Z1397" s="11" t="str">
        <f t="shared" si="2838"/>
        <v/>
      </c>
      <c r="AA1397" s="404" t="str">
        <f t="shared" si="2839"/>
        <v/>
      </c>
      <c r="AB1397" s="404" t="str">
        <f t="shared" si="2840"/>
        <v/>
      </c>
    </row>
    <row r="1398" spans="2:28" x14ac:dyDescent="0.25">
      <c r="B1398" s="65">
        <v>42039</v>
      </c>
      <c r="C1398" s="66">
        <v>42039</v>
      </c>
      <c r="D1398" s="68">
        <f t="shared" si="2895"/>
        <v>2</v>
      </c>
      <c r="E1398" s="66" t="str">
        <f t="shared" si="2896"/>
        <v>2015-Feb</v>
      </c>
      <c r="F1398" s="68">
        <f t="shared" si="2897"/>
        <v>2</v>
      </c>
      <c r="G1398" s="408" t="s">
        <v>121</v>
      </c>
      <c r="H1398" s="404" t="s">
        <v>166</v>
      </c>
      <c r="J1398" s="404" t="s">
        <v>98</v>
      </c>
      <c r="K1398" s="404" t="s">
        <v>82</v>
      </c>
      <c r="L1398" s="404" t="s">
        <v>79</v>
      </c>
      <c r="M1398" s="1" t="s">
        <v>2258</v>
      </c>
      <c r="N1398" s="404" t="s">
        <v>124</v>
      </c>
      <c r="O1398" s="404" t="s">
        <v>285</v>
      </c>
      <c r="P1398" s="64" t="s">
        <v>336</v>
      </c>
      <c r="R1398" s="64" t="s">
        <v>1311</v>
      </c>
      <c r="S1398" s="408" t="s">
        <v>104</v>
      </c>
      <c r="X1398" s="408" t="s">
        <v>2146</v>
      </c>
      <c r="Y1398" s="404" t="str">
        <f t="shared" ref="Y1398:Y1440" si="2898">IF(Q1398&gt;0,"Obsolete",IF(S1398&gt;0,S1398,"Unknown"))</f>
        <v>Pass</v>
      </c>
      <c r="Z1398" s="11" t="str">
        <f t="shared" ref="Z1398:Z1440" si="2899">IF(Q1398="Obsolete-LQA",C1398,IF(Q1398="Obsolete-IT",B1398,""))</f>
        <v/>
      </c>
      <c r="AA1398" s="404" t="str">
        <f t="shared" ref="AA1398:AA1440" si="2900">IFERROR(YEAR(Z1398)&amp;" - "&amp; IF(LEN( WEEKNUM(Z1398))=1,"0" &amp; WEEKNUM(Z1398),WEEKNUM(Z1398)),"")</f>
        <v/>
      </c>
      <c r="AB1398" s="404" t="str">
        <f t="shared" ref="AB1398:AB1440" si="2901">IFERROR(YEAR(Z1398),"")</f>
        <v/>
      </c>
    </row>
    <row r="1399" spans="2:28" x14ac:dyDescent="0.25">
      <c r="B1399" s="66">
        <v>42040</v>
      </c>
      <c r="C1399" s="66">
        <v>42040</v>
      </c>
      <c r="D1399" s="68">
        <f t="shared" ref="D1399:D1400" si="2902">IF(B1399&gt;0,MONTH(B1399),"False")</f>
        <v>2</v>
      </c>
      <c r="E1399" s="66" t="str">
        <f t="shared" ref="E1399:E1400" si="2903">YEAR(B1399) &amp; CHOOSE(D1399,"-Jan","-Feb","-Mar","-Apr","-May","-Jun","-Jul","-Aug","-Sep","-Oct","-Nov","-Dec")</f>
        <v>2015-Feb</v>
      </c>
      <c r="F1399" s="68">
        <f t="shared" ref="F1399:F1400" si="2904">IF(C1399&gt;0,MONTH(C1399),"False")</f>
        <v>2</v>
      </c>
      <c r="G1399" s="408" t="s">
        <v>126</v>
      </c>
      <c r="H1399" s="405" t="s">
        <v>280</v>
      </c>
      <c r="J1399" s="405" t="s">
        <v>98</v>
      </c>
      <c r="K1399" s="405" t="s">
        <v>84</v>
      </c>
      <c r="L1399" s="405" t="s">
        <v>83</v>
      </c>
      <c r="M1399" s="1" t="s">
        <v>2259</v>
      </c>
      <c r="N1399" s="405" t="s">
        <v>124</v>
      </c>
      <c r="O1399" s="405" t="s">
        <v>2020</v>
      </c>
      <c r="R1399" s="64" t="s">
        <v>1517</v>
      </c>
      <c r="S1399" s="408" t="s">
        <v>104</v>
      </c>
      <c r="X1399" s="408" t="s">
        <v>2146</v>
      </c>
      <c r="Y1399" s="404" t="str">
        <f t="shared" si="2898"/>
        <v>Pass</v>
      </c>
      <c r="Z1399" s="11" t="str">
        <f t="shared" si="2899"/>
        <v/>
      </c>
      <c r="AA1399" s="404" t="str">
        <f t="shared" si="2900"/>
        <v/>
      </c>
      <c r="AB1399" s="404" t="str">
        <f t="shared" si="2901"/>
        <v/>
      </c>
    </row>
    <row r="1400" spans="2:28" x14ac:dyDescent="0.25">
      <c r="B1400" s="65">
        <v>42040</v>
      </c>
      <c r="C1400" s="66">
        <v>42040</v>
      </c>
      <c r="D1400" s="68">
        <f t="shared" si="2902"/>
        <v>2</v>
      </c>
      <c r="E1400" s="66" t="str">
        <f t="shared" si="2903"/>
        <v>2015-Feb</v>
      </c>
      <c r="F1400" s="68">
        <f t="shared" si="2904"/>
        <v>2</v>
      </c>
      <c r="G1400" s="405" t="s">
        <v>121</v>
      </c>
      <c r="H1400" s="405" t="s">
        <v>1745</v>
      </c>
      <c r="J1400" s="405" t="s">
        <v>81</v>
      </c>
      <c r="K1400" s="405" t="s">
        <v>82</v>
      </c>
      <c r="L1400" s="405" t="s">
        <v>79</v>
      </c>
      <c r="M1400" s="1" t="s">
        <v>2260</v>
      </c>
      <c r="N1400" s="405" t="s">
        <v>124</v>
      </c>
      <c r="O1400" s="405" t="s">
        <v>2072</v>
      </c>
      <c r="P1400" s="64" t="s">
        <v>1823</v>
      </c>
      <c r="R1400" s="64" t="s">
        <v>1824</v>
      </c>
      <c r="S1400" s="1" t="s">
        <v>104</v>
      </c>
      <c r="X1400" s="564" t="s">
        <v>158</v>
      </c>
      <c r="Y1400" s="404" t="str">
        <f t="shared" si="2898"/>
        <v>Pass</v>
      </c>
      <c r="Z1400" s="11" t="str">
        <f t="shared" si="2899"/>
        <v/>
      </c>
      <c r="AA1400" s="404" t="str">
        <f t="shared" si="2900"/>
        <v/>
      </c>
      <c r="AB1400" s="404" t="str">
        <f t="shared" si="2901"/>
        <v/>
      </c>
    </row>
    <row r="1401" spans="2:28" x14ac:dyDescent="0.25">
      <c r="B1401" s="65">
        <v>42040</v>
      </c>
      <c r="C1401" s="66">
        <v>42040</v>
      </c>
      <c r="D1401" s="68">
        <f t="shared" ref="D1401:D1402" si="2905">IF(B1401&gt;0,MONTH(B1401),"False")</f>
        <v>2</v>
      </c>
      <c r="E1401" s="66" t="str">
        <f t="shared" ref="E1401:E1402" si="2906">YEAR(B1401) &amp; CHOOSE(D1401,"-Jan","-Feb","-Mar","-Apr","-May","-Jun","-Jul","-Aug","-Sep","-Oct","-Nov","-Dec")</f>
        <v>2015-Feb</v>
      </c>
      <c r="F1401" s="68">
        <f t="shared" ref="F1401:F1402" si="2907">IF(C1401&gt;0,MONTH(C1401),"False")</f>
        <v>2</v>
      </c>
      <c r="G1401" s="415" t="s">
        <v>121</v>
      </c>
      <c r="H1401" s="405" t="s">
        <v>316</v>
      </c>
      <c r="J1401" s="405" t="s">
        <v>77</v>
      </c>
      <c r="K1401" s="405" t="s">
        <v>82</v>
      </c>
      <c r="L1401" s="405" t="s">
        <v>79</v>
      </c>
      <c r="M1401" s="1" t="s">
        <v>2261</v>
      </c>
      <c r="N1401" s="405" t="s">
        <v>124</v>
      </c>
      <c r="O1401" s="405" t="s">
        <v>285</v>
      </c>
      <c r="P1401" s="64" t="s">
        <v>340</v>
      </c>
      <c r="R1401" s="64" t="s">
        <v>705</v>
      </c>
      <c r="S1401" s="415" t="s">
        <v>104</v>
      </c>
      <c r="T1401" s="67" t="s">
        <v>110</v>
      </c>
      <c r="X1401" s="415" t="s">
        <v>300</v>
      </c>
      <c r="Y1401" s="404" t="str">
        <f t="shared" si="2898"/>
        <v>Pass</v>
      </c>
      <c r="Z1401" s="11" t="str">
        <f t="shared" si="2899"/>
        <v/>
      </c>
      <c r="AA1401" s="404" t="str">
        <f t="shared" si="2900"/>
        <v/>
      </c>
      <c r="AB1401" s="404" t="str">
        <f t="shared" si="2901"/>
        <v/>
      </c>
    </row>
    <row r="1402" spans="2:28" x14ac:dyDescent="0.25">
      <c r="B1402" s="66">
        <v>42040</v>
      </c>
      <c r="C1402" s="66">
        <v>42040</v>
      </c>
      <c r="D1402" s="68">
        <f t="shared" si="2905"/>
        <v>2</v>
      </c>
      <c r="E1402" s="66" t="str">
        <f t="shared" si="2906"/>
        <v>2015-Feb</v>
      </c>
      <c r="F1402" s="68">
        <f t="shared" si="2907"/>
        <v>2</v>
      </c>
      <c r="G1402" s="405" t="s">
        <v>112</v>
      </c>
      <c r="H1402" s="405" t="s">
        <v>348</v>
      </c>
      <c r="J1402" s="405" t="s">
        <v>78</v>
      </c>
      <c r="K1402" s="405" t="s">
        <v>78</v>
      </c>
      <c r="L1402" s="405" t="s">
        <v>79</v>
      </c>
      <c r="M1402" s="1" t="s">
        <v>2262</v>
      </c>
      <c r="N1402" s="405" t="s">
        <v>124</v>
      </c>
      <c r="O1402" s="405" t="s">
        <v>97</v>
      </c>
      <c r="R1402" s="64" t="s">
        <v>1801</v>
      </c>
      <c r="S1402" s="1" t="s">
        <v>104</v>
      </c>
      <c r="T1402" s="67" t="s">
        <v>110</v>
      </c>
      <c r="X1402" s="1" t="s">
        <v>1474</v>
      </c>
      <c r="Y1402" s="404" t="str">
        <f t="shared" si="2898"/>
        <v>Pass</v>
      </c>
      <c r="Z1402" s="11" t="str">
        <f t="shared" si="2899"/>
        <v/>
      </c>
      <c r="AA1402" s="404" t="str">
        <f t="shared" si="2900"/>
        <v/>
      </c>
      <c r="AB1402" s="404" t="str">
        <f t="shared" si="2901"/>
        <v/>
      </c>
    </row>
    <row r="1403" spans="2:28" x14ac:dyDescent="0.25">
      <c r="B1403" s="65">
        <v>42041</v>
      </c>
      <c r="C1403" s="66">
        <v>42041</v>
      </c>
      <c r="D1403" s="68">
        <f t="shared" ref="D1403" si="2908">IF(B1403&gt;0,MONTH(B1403),"False")</f>
        <v>2</v>
      </c>
      <c r="E1403" s="66" t="str">
        <f t="shared" ref="E1403" si="2909">YEAR(B1403) &amp; CHOOSE(D1403,"-Jan","-Feb","-Mar","-Apr","-May","-Jun","-Jul","-Aug","-Sep","-Oct","-Nov","-Dec")</f>
        <v>2015-Feb</v>
      </c>
      <c r="F1403" s="68">
        <f t="shared" ref="F1403" si="2910">IF(C1403&gt;0,MONTH(C1403),"False")</f>
        <v>2</v>
      </c>
      <c r="G1403" s="406" t="s">
        <v>93</v>
      </c>
      <c r="H1403" s="406" t="s">
        <v>316</v>
      </c>
      <c r="J1403" s="406" t="s">
        <v>77</v>
      </c>
      <c r="K1403" s="406" t="s">
        <v>82</v>
      </c>
      <c r="L1403" s="406" t="s">
        <v>79</v>
      </c>
      <c r="M1403" s="1" t="s">
        <v>2263</v>
      </c>
      <c r="N1403" s="406" t="s">
        <v>124</v>
      </c>
      <c r="O1403" s="406" t="s">
        <v>285</v>
      </c>
      <c r="P1403" s="64" t="s">
        <v>340</v>
      </c>
      <c r="Q1403" s="2" t="s">
        <v>88</v>
      </c>
      <c r="R1403" s="64" t="s">
        <v>705</v>
      </c>
      <c r="Y1403" s="404" t="str">
        <f t="shared" si="2898"/>
        <v>Obsolete</v>
      </c>
      <c r="Z1403" s="11">
        <f t="shared" si="2899"/>
        <v>42041</v>
      </c>
      <c r="AA1403" s="404" t="str">
        <f t="shared" si="2900"/>
        <v>2015 - 06</v>
      </c>
      <c r="AB1403" s="404">
        <f t="shared" si="2901"/>
        <v>2015</v>
      </c>
    </row>
    <row r="1404" spans="2:28" x14ac:dyDescent="0.25">
      <c r="B1404" s="65">
        <v>42041</v>
      </c>
      <c r="C1404" s="66">
        <v>42041</v>
      </c>
      <c r="D1404" s="68">
        <f t="shared" ref="D1404" si="2911">IF(B1404&gt;0,MONTH(B1404),"False")</f>
        <v>2</v>
      </c>
      <c r="E1404" s="66" t="str">
        <f t="shared" ref="E1404" si="2912">YEAR(B1404) &amp; CHOOSE(D1404,"-Jan","-Feb","-Mar","-Apr","-May","-Jun","-Jul","-Aug","-Sep","-Oct","-Nov","-Dec")</f>
        <v>2015-Feb</v>
      </c>
      <c r="F1404" s="68">
        <f t="shared" ref="F1404" si="2913">IF(C1404&gt;0,MONTH(C1404),"False")</f>
        <v>2</v>
      </c>
      <c r="G1404" s="415" t="s">
        <v>121</v>
      </c>
      <c r="H1404" s="406" t="s">
        <v>166</v>
      </c>
      <c r="J1404" s="406" t="s">
        <v>77</v>
      </c>
      <c r="K1404" s="406" t="s">
        <v>82</v>
      </c>
      <c r="L1404" s="406" t="s">
        <v>79</v>
      </c>
      <c r="M1404" s="1" t="s">
        <v>2264</v>
      </c>
      <c r="N1404" s="406" t="s">
        <v>124</v>
      </c>
      <c r="O1404" s="406" t="s">
        <v>1606</v>
      </c>
      <c r="P1404" s="64" t="s">
        <v>319</v>
      </c>
      <c r="R1404" s="64" t="s">
        <v>320</v>
      </c>
      <c r="S1404" s="415" t="s">
        <v>104</v>
      </c>
      <c r="X1404" s="415" t="s">
        <v>300</v>
      </c>
      <c r="Y1404" s="404" t="str">
        <f t="shared" si="2898"/>
        <v>Pass</v>
      </c>
      <c r="Z1404" s="11" t="str">
        <f t="shared" si="2899"/>
        <v/>
      </c>
      <c r="AA1404" s="404" t="str">
        <f t="shared" si="2900"/>
        <v/>
      </c>
      <c r="AB1404" s="404" t="str">
        <f t="shared" si="2901"/>
        <v/>
      </c>
    </row>
    <row r="1405" spans="2:28" x14ac:dyDescent="0.25">
      <c r="B1405" s="65">
        <v>42044</v>
      </c>
      <c r="C1405" s="66">
        <v>42044</v>
      </c>
      <c r="D1405" s="68">
        <f t="shared" ref="D1405" si="2914">IF(B1405&gt;0,MONTH(B1405),"False")</f>
        <v>2</v>
      </c>
      <c r="E1405" s="66" t="str">
        <f t="shared" ref="E1405" si="2915">YEAR(B1405) &amp; CHOOSE(D1405,"-Jan","-Feb","-Mar","-Apr","-May","-Jun","-Jul","-Aug","-Sep","-Oct","-Nov","-Dec")</f>
        <v>2015-Feb</v>
      </c>
      <c r="F1405" s="68">
        <f t="shared" ref="F1405" si="2916">IF(C1405&gt;0,MONTH(C1405),"False")</f>
        <v>2</v>
      </c>
      <c r="G1405" s="407" t="s">
        <v>93</v>
      </c>
      <c r="H1405" s="407" t="s">
        <v>280</v>
      </c>
      <c r="J1405" s="407" t="s">
        <v>81</v>
      </c>
      <c r="K1405" s="407" t="s">
        <v>82</v>
      </c>
      <c r="L1405" s="407" t="s">
        <v>79</v>
      </c>
      <c r="M1405" s="1" t="s">
        <v>2265</v>
      </c>
      <c r="N1405" s="407" t="s">
        <v>124</v>
      </c>
      <c r="O1405" s="407" t="s">
        <v>116</v>
      </c>
      <c r="P1405" s="64" t="s">
        <v>305</v>
      </c>
      <c r="R1405" s="64" t="s">
        <v>1559</v>
      </c>
      <c r="Y1405" s="404" t="str">
        <f t="shared" si="2898"/>
        <v>Unknown</v>
      </c>
      <c r="Z1405" s="11" t="str">
        <f t="shared" si="2899"/>
        <v/>
      </c>
      <c r="AA1405" s="404" t="str">
        <f t="shared" si="2900"/>
        <v/>
      </c>
      <c r="AB1405" s="404" t="str">
        <f t="shared" si="2901"/>
        <v/>
      </c>
    </row>
    <row r="1406" spans="2:28" s="407" customFormat="1" x14ac:dyDescent="0.25">
      <c r="B1406" s="65">
        <v>42044</v>
      </c>
      <c r="C1406" s="66">
        <v>42044</v>
      </c>
      <c r="D1406" s="68">
        <f t="shared" ref="D1406" si="2917">IF(B1406&gt;0,MONTH(B1406),"False")</f>
        <v>2</v>
      </c>
      <c r="E1406" s="66" t="str">
        <f t="shared" ref="E1406" si="2918">YEAR(B1406) &amp; CHOOSE(D1406,"-Jan","-Feb","-Mar","-Apr","-May","-Jun","-Jul","-Aug","-Sep","-Oct","-Nov","-Dec")</f>
        <v>2015-Feb</v>
      </c>
      <c r="F1406" s="68">
        <f t="shared" ref="F1406" si="2919">IF(C1406&gt;0,MONTH(C1406),"False")</f>
        <v>2</v>
      </c>
      <c r="G1406" s="407" t="s">
        <v>93</v>
      </c>
      <c r="H1406" s="407" t="s">
        <v>280</v>
      </c>
      <c r="J1406" s="407" t="s">
        <v>146</v>
      </c>
      <c r="K1406" s="407" t="s">
        <v>82</v>
      </c>
      <c r="L1406" s="407" t="s">
        <v>79</v>
      </c>
      <c r="M1406" s="407" t="s">
        <v>2266</v>
      </c>
      <c r="N1406" s="407" t="s">
        <v>124</v>
      </c>
      <c r="O1406" s="407" t="s">
        <v>116</v>
      </c>
      <c r="P1406" s="64" t="s">
        <v>305</v>
      </c>
      <c r="Q1406" s="2"/>
      <c r="R1406" s="64" t="s">
        <v>1559</v>
      </c>
      <c r="T1406" s="67"/>
      <c r="Y1406" s="407" t="str">
        <f t="shared" ref="Y1406" si="2920">IF(Q1406&gt;0,"Obsolete",IF(S1406&gt;0,S1406,"Unknown"))</f>
        <v>Unknown</v>
      </c>
      <c r="Z1406" s="11" t="str">
        <f t="shared" ref="Z1406" si="2921">IF(Q1406="Obsolete-LQA",C1406,IF(Q1406="Obsolete-IT",B1406,""))</f>
        <v/>
      </c>
      <c r="AA1406" s="407" t="str">
        <f t="shared" ref="AA1406" si="2922">IFERROR(YEAR(Z1406)&amp;" - "&amp; IF(LEN( WEEKNUM(Z1406))=1,"0" &amp; WEEKNUM(Z1406),WEEKNUM(Z1406)),"")</f>
        <v/>
      </c>
      <c r="AB1406" s="407" t="str">
        <f t="shared" ref="AB1406" si="2923">IFERROR(YEAR(Z1406),"")</f>
        <v/>
      </c>
    </row>
    <row r="1407" spans="2:28" x14ac:dyDescent="0.25">
      <c r="B1407" s="65">
        <v>42044</v>
      </c>
      <c r="C1407" s="66">
        <v>42047</v>
      </c>
      <c r="D1407" s="68">
        <f t="shared" ref="D1407:D1408" si="2924">IF(B1407&gt;0,MONTH(B1407),"False")</f>
        <v>2</v>
      </c>
      <c r="E1407" s="66" t="str">
        <f t="shared" ref="E1407:E1408" si="2925">YEAR(B1407) &amp; CHOOSE(D1407,"-Jan","-Feb","-Mar","-Apr","-May","-Jun","-Jul","-Aug","-Sep","-Oct","-Nov","-Dec")</f>
        <v>2015-Feb</v>
      </c>
      <c r="F1407" s="68">
        <f t="shared" ref="F1407:F1408" si="2926">IF(C1407&gt;0,MONTH(C1407),"False")</f>
        <v>2</v>
      </c>
      <c r="G1407" s="564" t="s">
        <v>121</v>
      </c>
      <c r="H1407" s="407" t="s">
        <v>1745</v>
      </c>
      <c r="J1407" s="407" t="s">
        <v>81</v>
      </c>
      <c r="K1407" s="407" t="s">
        <v>82</v>
      </c>
      <c r="L1407" s="407" t="s">
        <v>79</v>
      </c>
      <c r="M1407" s="1" t="s">
        <v>2267</v>
      </c>
      <c r="N1407" s="407" t="s">
        <v>124</v>
      </c>
      <c r="O1407" s="407" t="s">
        <v>273</v>
      </c>
      <c r="P1407" s="64" t="s">
        <v>1824</v>
      </c>
      <c r="R1407" s="64" t="s">
        <v>1824</v>
      </c>
      <c r="S1407" s="1" t="s">
        <v>104</v>
      </c>
      <c r="T1407" s="67" t="s">
        <v>110</v>
      </c>
      <c r="X1407" s="564" t="s">
        <v>158</v>
      </c>
      <c r="Y1407" s="404" t="str">
        <f t="shared" si="2898"/>
        <v>Pass</v>
      </c>
      <c r="Z1407" s="11" t="str">
        <f t="shared" si="2899"/>
        <v/>
      </c>
      <c r="AA1407" s="404" t="str">
        <f t="shared" si="2900"/>
        <v/>
      </c>
      <c r="AB1407" s="404" t="str">
        <f t="shared" si="2901"/>
        <v/>
      </c>
    </row>
    <row r="1408" spans="2:28" x14ac:dyDescent="0.25">
      <c r="B1408" s="66">
        <v>42044</v>
      </c>
      <c r="C1408" s="66">
        <v>42044</v>
      </c>
      <c r="D1408" s="68">
        <f t="shared" si="2924"/>
        <v>2</v>
      </c>
      <c r="E1408" s="66" t="str">
        <f t="shared" si="2925"/>
        <v>2015-Feb</v>
      </c>
      <c r="F1408" s="68">
        <f t="shared" si="2926"/>
        <v>2</v>
      </c>
      <c r="G1408" s="407" t="s">
        <v>87</v>
      </c>
      <c r="H1408" s="407" t="s">
        <v>280</v>
      </c>
      <c r="J1408" s="407" t="s">
        <v>78</v>
      </c>
      <c r="K1408" s="407" t="s">
        <v>78</v>
      </c>
      <c r="L1408" s="407" t="s">
        <v>79</v>
      </c>
      <c r="M1408" s="1" t="s">
        <v>2268</v>
      </c>
      <c r="N1408" s="407" t="s">
        <v>124</v>
      </c>
      <c r="O1408" s="407" t="s">
        <v>138</v>
      </c>
      <c r="R1408" s="64" t="s">
        <v>344</v>
      </c>
      <c r="Y1408" s="404" t="str">
        <f t="shared" si="2898"/>
        <v>Unknown</v>
      </c>
      <c r="Z1408" s="11" t="str">
        <f t="shared" si="2899"/>
        <v/>
      </c>
      <c r="AA1408" s="404" t="str">
        <f t="shared" si="2900"/>
        <v/>
      </c>
      <c r="AB1408" s="404" t="str">
        <f t="shared" si="2901"/>
        <v/>
      </c>
    </row>
    <row r="1409" spans="2:28" x14ac:dyDescent="0.25">
      <c r="B1409" s="66">
        <v>42045</v>
      </c>
      <c r="C1409" s="66">
        <v>42045</v>
      </c>
      <c r="D1409" s="68">
        <f t="shared" ref="D1409" si="2927">IF(B1409&gt;0,MONTH(B1409),"False")</f>
        <v>2</v>
      </c>
      <c r="E1409" s="66" t="str">
        <f t="shared" ref="E1409" si="2928">YEAR(B1409) &amp; CHOOSE(D1409,"-Jan","-Feb","-Mar","-Apr","-May","-Jun","-Jul","-Aug","-Sep","-Oct","-Nov","-Dec")</f>
        <v>2015-Feb</v>
      </c>
      <c r="F1409" s="68">
        <f t="shared" ref="F1409" si="2929">IF(C1409&gt;0,MONTH(C1409),"False")</f>
        <v>2</v>
      </c>
      <c r="G1409" s="408" t="s">
        <v>87</v>
      </c>
      <c r="H1409" s="408" t="s">
        <v>2091</v>
      </c>
      <c r="J1409" s="408" t="s">
        <v>77</v>
      </c>
      <c r="K1409" s="408" t="s">
        <v>82</v>
      </c>
      <c r="L1409" s="408" t="s">
        <v>83</v>
      </c>
      <c r="M1409" s="1" t="s">
        <v>2269</v>
      </c>
      <c r="N1409" s="408" t="s">
        <v>124</v>
      </c>
      <c r="O1409" s="408" t="s">
        <v>114</v>
      </c>
      <c r="R1409" s="64" t="s">
        <v>2092</v>
      </c>
      <c r="Y1409" s="404" t="str">
        <f t="shared" si="2898"/>
        <v>Unknown</v>
      </c>
      <c r="Z1409" s="11" t="str">
        <f t="shared" si="2899"/>
        <v/>
      </c>
      <c r="AA1409" s="404" t="str">
        <f t="shared" si="2900"/>
        <v/>
      </c>
      <c r="AB1409" s="404" t="str">
        <f t="shared" si="2901"/>
        <v/>
      </c>
    </row>
    <row r="1410" spans="2:28" x14ac:dyDescent="0.25">
      <c r="B1410" s="66">
        <v>42045</v>
      </c>
      <c r="C1410" s="66">
        <v>42045</v>
      </c>
      <c r="D1410" s="68">
        <f t="shared" ref="D1410:D1411" si="2930">IF(B1410&gt;0,MONTH(B1410),"False")</f>
        <v>2</v>
      </c>
      <c r="E1410" s="66" t="str">
        <f t="shared" ref="E1410:E1411" si="2931">YEAR(B1410) &amp; CHOOSE(D1410,"-Jan","-Feb","-Mar","-Apr","-May","-Jun","-Jul","-Aug","-Sep","-Oct","-Nov","-Dec")</f>
        <v>2015-Feb</v>
      </c>
      <c r="F1410" s="68">
        <f t="shared" ref="F1410:F1411" si="2932">IF(C1410&gt;0,MONTH(C1410),"False")</f>
        <v>2</v>
      </c>
      <c r="G1410" s="408" t="s">
        <v>87</v>
      </c>
      <c r="H1410" s="408" t="s">
        <v>2091</v>
      </c>
      <c r="J1410" s="408" t="s">
        <v>150</v>
      </c>
      <c r="K1410" s="408" t="s">
        <v>84</v>
      </c>
      <c r="L1410" s="408" t="s">
        <v>83</v>
      </c>
      <c r="M1410" s="1" t="s">
        <v>2270</v>
      </c>
      <c r="N1410" s="408" t="s">
        <v>124</v>
      </c>
      <c r="O1410" s="408" t="s">
        <v>264</v>
      </c>
      <c r="R1410" s="64" t="s">
        <v>2100</v>
      </c>
      <c r="Y1410" s="404" t="str">
        <f t="shared" si="2898"/>
        <v>Unknown</v>
      </c>
      <c r="Z1410" s="11" t="str">
        <f t="shared" si="2899"/>
        <v/>
      </c>
      <c r="AA1410" s="404" t="str">
        <f t="shared" si="2900"/>
        <v/>
      </c>
      <c r="AB1410" s="404" t="str">
        <f t="shared" si="2901"/>
        <v/>
      </c>
    </row>
    <row r="1411" spans="2:28" x14ac:dyDescent="0.25">
      <c r="B1411" s="65">
        <v>42045</v>
      </c>
      <c r="C1411" s="66">
        <v>42058</v>
      </c>
      <c r="D1411" s="68">
        <f t="shared" si="2930"/>
        <v>2</v>
      </c>
      <c r="E1411" s="66" t="str">
        <f t="shared" si="2931"/>
        <v>2015-Feb</v>
      </c>
      <c r="F1411" s="68">
        <f t="shared" si="2932"/>
        <v>2</v>
      </c>
      <c r="G1411" s="416" t="s">
        <v>93</v>
      </c>
      <c r="H1411" s="408" t="s">
        <v>115</v>
      </c>
      <c r="J1411" s="408" t="s">
        <v>77</v>
      </c>
      <c r="K1411" s="408" t="s">
        <v>119</v>
      </c>
      <c r="L1411" s="408" t="s">
        <v>79</v>
      </c>
      <c r="M1411" s="1" t="s">
        <v>1780</v>
      </c>
      <c r="N1411" s="408" t="s">
        <v>124</v>
      </c>
      <c r="O1411" s="408" t="s">
        <v>507</v>
      </c>
      <c r="P1411" s="64" t="s">
        <v>1777</v>
      </c>
      <c r="Q1411" s="2" t="s">
        <v>88</v>
      </c>
      <c r="R1411" s="64"/>
      <c r="Y1411" s="404" t="str">
        <f t="shared" si="2898"/>
        <v>Obsolete</v>
      </c>
      <c r="Z1411" s="11">
        <f t="shared" si="2899"/>
        <v>42058</v>
      </c>
      <c r="AA1411" s="404" t="str">
        <f t="shared" si="2900"/>
        <v>2015 - 09</v>
      </c>
      <c r="AB1411" s="404">
        <f t="shared" si="2901"/>
        <v>2015</v>
      </c>
    </row>
    <row r="1412" spans="2:28" s="408" customFormat="1" x14ac:dyDescent="0.25">
      <c r="B1412" s="65">
        <v>42045</v>
      </c>
      <c r="C1412" s="66">
        <v>42058</v>
      </c>
      <c r="D1412" s="68">
        <f t="shared" ref="D1412:D1413" si="2933">IF(B1412&gt;0,MONTH(B1412),"False")</f>
        <v>2</v>
      </c>
      <c r="E1412" s="66" t="str">
        <f t="shared" ref="E1412:E1413" si="2934">YEAR(B1412) &amp; CHOOSE(D1412,"-Jan","-Feb","-Mar","-Apr","-May","-Jun","-Jul","-Aug","-Sep","-Oct","-Nov","-Dec")</f>
        <v>2015-Feb</v>
      </c>
      <c r="F1412" s="68">
        <f t="shared" ref="F1412:F1413" si="2935">IF(C1412&gt;0,MONTH(C1412),"False")</f>
        <v>2</v>
      </c>
      <c r="G1412" s="416" t="s">
        <v>93</v>
      </c>
      <c r="H1412" s="408" t="s">
        <v>115</v>
      </c>
      <c r="J1412" s="408" t="s">
        <v>77</v>
      </c>
      <c r="K1412" s="408" t="s">
        <v>119</v>
      </c>
      <c r="L1412" s="408" t="s">
        <v>79</v>
      </c>
      <c r="M1412" s="408" t="s">
        <v>2271</v>
      </c>
      <c r="N1412" s="408" t="s">
        <v>124</v>
      </c>
      <c r="O1412" s="408" t="s">
        <v>507</v>
      </c>
      <c r="P1412" s="64" t="s">
        <v>1777</v>
      </c>
      <c r="Q1412" s="2" t="s">
        <v>88</v>
      </c>
      <c r="R1412" s="64"/>
      <c r="T1412" s="67"/>
      <c r="Y1412" s="408" t="str">
        <f t="shared" ref="Y1412" si="2936">IF(Q1412&gt;0,"Obsolete",IF(S1412&gt;0,S1412,"Unknown"))</f>
        <v>Obsolete</v>
      </c>
      <c r="Z1412" s="11">
        <f t="shared" ref="Z1412" si="2937">IF(Q1412="Obsolete-LQA",C1412,IF(Q1412="Obsolete-IT",B1412,""))</f>
        <v>42058</v>
      </c>
      <c r="AA1412" s="408" t="str">
        <f t="shared" ref="AA1412" si="2938">IFERROR(YEAR(Z1412)&amp;" - "&amp; IF(LEN( WEEKNUM(Z1412))=1,"0" &amp; WEEKNUM(Z1412),WEEKNUM(Z1412)),"")</f>
        <v>2015 - 09</v>
      </c>
      <c r="AB1412" s="408">
        <f t="shared" ref="AB1412" si="2939">IFERROR(YEAR(Z1412),"")</f>
        <v>2015</v>
      </c>
    </row>
    <row r="1413" spans="2:28" x14ac:dyDescent="0.25">
      <c r="B1413" s="65">
        <v>42045</v>
      </c>
      <c r="C1413" s="66">
        <v>42045</v>
      </c>
      <c r="D1413" s="68">
        <f t="shared" si="2933"/>
        <v>2</v>
      </c>
      <c r="E1413" s="66" t="str">
        <f t="shared" si="2934"/>
        <v>2015-Feb</v>
      </c>
      <c r="F1413" s="68">
        <f t="shared" si="2935"/>
        <v>2</v>
      </c>
      <c r="G1413" s="408" t="s">
        <v>93</v>
      </c>
      <c r="H1413" s="408" t="s">
        <v>280</v>
      </c>
      <c r="J1413" s="408" t="s">
        <v>146</v>
      </c>
      <c r="K1413" s="408" t="s">
        <v>82</v>
      </c>
      <c r="L1413" s="408" t="s">
        <v>79</v>
      </c>
      <c r="M1413" s="1" t="s">
        <v>2272</v>
      </c>
      <c r="N1413" s="408" t="s">
        <v>124</v>
      </c>
      <c r="O1413" s="408" t="s">
        <v>116</v>
      </c>
      <c r="P1413" s="64" t="s">
        <v>305</v>
      </c>
      <c r="R1413" s="64" t="s">
        <v>1559</v>
      </c>
      <c r="Y1413" s="404" t="str">
        <f t="shared" si="2898"/>
        <v>Unknown</v>
      </c>
      <c r="Z1413" s="11" t="str">
        <f t="shared" si="2899"/>
        <v/>
      </c>
      <c r="AA1413" s="404" t="str">
        <f t="shared" si="2900"/>
        <v/>
      </c>
      <c r="AB1413" s="404" t="str">
        <f t="shared" si="2901"/>
        <v/>
      </c>
    </row>
    <row r="1414" spans="2:28" x14ac:dyDescent="0.25">
      <c r="B1414" s="65">
        <v>42046</v>
      </c>
      <c r="C1414" s="66">
        <v>42046</v>
      </c>
      <c r="D1414" s="68">
        <f t="shared" ref="D1414:D1415" si="2940">IF(B1414&gt;0,MONTH(B1414),"False")</f>
        <v>2</v>
      </c>
      <c r="E1414" s="66" t="str">
        <f t="shared" ref="E1414:E1415" si="2941">YEAR(B1414) &amp; CHOOSE(D1414,"-Jan","-Feb","-Mar","-Apr","-May","-Jun","-Jul","-Aug","-Sep","-Oct","-Nov","-Dec")</f>
        <v>2015-Feb</v>
      </c>
      <c r="F1414" s="68">
        <f t="shared" ref="F1414:F1415" si="2942">IF(C1414&gt;0,MONTH(C1414),"False")</f>
        <v>2</v>
      </c>
      <c r="G1414" s="564" t="s">
        <v>121</v>
      </c>
      <c r="H1414" s="409" t="s">
        <v>1745</v>
      </c>
      <c r="J1414" s="409" t="s">
        <v>81</v>
      </c>
      <c r="K1414" s="409" t="s">
        <v>82</v>
      </c>
      <c r="L1414" s="409" t="s">
        <v>79</v>
      </c>
      <c r="M1414" s="1" t="s">
        <v>2273</v>
      </c>
      <c r="N1414" s="409" t="s">
        <v>124</v>
      </c>
      <c r="O1414" s="409" t="s">
        <v>2072</v>
      </c>
      <c r="P1414" s="64" t="s">
        <v>1824</v>
      </c>
      <c r="R1414" s="64" t="s">
        <v>1824</v>
      </c>
      <c r="S1414" s="1" t="s">
        <v>104</v>
      </c>
      <c r="X1414" s="564" t="s">
        <v>158</v>
      </c>
      <c r="Y1414" s="404" t="str">
        <f t="shared" si="2898"/>
        <v>Pass</v>
      </c>
      <c r="Z1414" s="11" t="str">
        <f t="shared" si="2899"/>
        <v/>
      </c>
      <c r="AA1414" s="404" t="str">
        <f t="shared" si="2900"/>
        <v/>
      </c>
      <c r="AB1414" s="404" t="str">
        <f t="shared" si="2901"/>
        <v/>
      </c>
    </row>
    <row r="1415" spans="2:28" x14ac:dyDescent="0.25">
      <c r="B1415" s="66">
        <v>42046</v>
      </c>
      <c r="C1415" s="66">
        <v>42046</v>
      </c>
      <c r="D1415" s="68">
        <f t="shared" si="2940"/>
        <v>2</v>
      </c>
      <c r="E1415" s="66" t="str">
        <f t="shared" si="2941"/>
        <v>2015-Feb</v>
      </c>
      <c r="F1415" s="68">
        <f t="shared" si="2942"/>
        <v>2</v>
      </c>
      <c r="G1415" s="409" t="s">
        <v>87</v>
      </c>
      <c r="H1415" s="409" t="s">
        <v>280</v>
      </c>
      <c r="J1415" s="409" t="s">
        <v>78</v>
      </c>
      <c r="K1415" s="409" t="s">
        <v>78</v>
      </c>
      <c r="L1415" s="409" t="s">
        <v>79</v>
      </c>
      <c r="M1415" s="1" t="s">
        <v>2274</v>
      </c>
      <c r="N1415" s="409" t="s">
        <v>124</v>
      </c>
      <c r="O1415" s="409" t="s">
        <v>167</v>
      </c>
      <c r="R1415" s="64" t="s">
        <v>344</v>
      </c>
      <c r="Y1415" s="404" t="str">
        <f t="shared" si="2898"/>
        <v>Unknown</v>
      </c>
      <c r="Z1415" s="11" t="str">
        <f t="shared" si="2899"/>
        <v/>
      </c>
      <c r="AA1415" s="404" t="str">
        <f t="shared" si="2900"/>
        <v/>
      </c>
      <c r="AB1415" s="404" t="str">
        <f t="shared" si="2901"/>
        <v/>
      </c>
    </row>
    <row r="1416" spans="2:28" x14ac:dyDescent="0.25">
      <c r="B1416" s="65">
        <v>42047</v>
      </c>
      <c r="C1416" s="66">
        <v>42047</v>
      </c>
      <c r="D1416" s="68">
        <f t="shared" ref="D1416" si="2943">IF(B1416&gt;0,MONTH(B1416),"False")</f>
        <v>2</v>
      </c>
      <c r="E1416" s="66" t="str">
        <f t="shared" ref="E1416" si="2944">YEAR(B1416) &amp; CHOOSE(D1416,"-Jan","-Feb","-Mar","-Apr","-May","-Jun","-Jul","-Aug","-Sep","-Oct","-Nov","-Dec")</f>
        <v>2015-Feb</v>
      </c>
      <c r="F1416" s="68">
        <f t="shared" ref="F1416" si="2945">IF(C1416&gt;0,MONTH(C1416),"False")</f>
        <v>2</v>
      </c>
      <c r="G1416" s="410" t="s">
        <v>93</v>
      </c>
      <c r="H1416" s="410" t="s">
        <v>316</v>
      </c>
      <c r="J1416" s="410" t="s">
        <v>77</v>
      </c>
      <c r="K1416" s="410" t="s">
        <v>82</v>
      </c>
      <c r="L1416" s="410" t="s">
        <v>79</v>
      </c>
      <c r="M1416" s="1" t="s">
        <v>2275</v>
      </c>
      <c r="N1416" s="410" t="s">
        <v>124</v>
      </c>
      <c r="O1416" s="410" t="s">
        <v>285</v>
      </c>
      <c r="P1416" s="64" t="s">
        <v>340</v>
      </c>
      <c r="Q1416" s="2" t="s">
        <v>88</v>
      </c>
      <c r="R1416" s="64" t="s">
        <v>705</v>
      </c>
      <c r="T1416" s="67" t="s">
        <v>110</v>
      </c>
      <c r="Y1416" s="404" t="str">
        <f t="shared" si="2898"/>
        <v>Obsolete</v>
      </c>
      <c r="Z1416" s="11">
        <f t="shared" si="2899"/>
        <v>42047</v>
      </c>
      <c r="AA1416" s="404" t="str">
        <f t="shared" si="2900"/>
        <v>2015 - 07</v>
      </c>
      <c r="AB1416" s="404">
        <f t="shared" si="2901"/>
        <v>2015</v>
      </c>
    </row>
    <row r="1417" spans="2:28" x14ac:dyDescent="0.25">
      <c r="B1417" s="65">
        <v>42047</v>
      </c>
      <c r="C1417" s="66">
        <v>42047</v>
      </c>
      <c r="D1417" s="68">
        <f t="shared" ref="D1417" si="2946">IF(B1417&gt;0,MONTH(B1417),"False")</f>
        <v>2</v>
      </c>
      <c r="E1417" s="66" t="str">
        <f t="shared" ref="E1417" si="2947">YEAR(B1417) &amp; CHOOSE(D1417,"-Jan","-Feb","-Mar","-Apr","-May","-Jun","-Jul","-Aug","-Sep","-Oct","-Nov","-Dec")</f>
        <v>2015-Feb</v>
      </c>
      <c r="F1417" s="68">
        <f t="shared" ref="F1417" si="2948">IF(C1417&gt;0,MONTH(C1417),"False")</f>
        <v>2</v>
      </c>
      <c r="G1417" s="410" t="s">
        <v>93</v>
      </c>
      <c r="H1417" s="410" t="s">
        <v>280</v>
      </c>
      <c r="J1417" s="410" t="s">
        <v>146</v>
      </c>
      <c r="K1417" s="410" t="s">
        <v>82</v>
      </c>
      <c r="L1417" s="410" t="s">
        <v>79</v>
      </c>
      <c r="M1417" s="1" t="s">
        <v>2276</v>
      </c>
      <c r="N1417" s="410" t="s">
        <v>124</v>
      </c>
      <c r="O1417" s="410" t="s">
        <v>116</v>
      </c>
      <c r="P1417" s="64" t="s">
        <v>305</v>
      </c>
      <c r="R1417" s="64" t="s">
        <v>1559</v>
      </c>
      <c r="Y1417" s="404" t="str">
        <f t="shared" si="2898"/>
        <v>Unknown</v>
      </c>
      <c r="Z1417" s="11" t="str">
        <f t="shared" si="2899"/>
        <v/>
      </c>
      <c r="AA1417" s="404" t="str">
        <f t="shared" si="2900"/>
        <v/>
      </c>
      <c r="AB1417" s="404" t="str">
        <f t="shared" si="2901"/>
        <v/>
      </c>
    </row>
    <row r="1418" spans="2:28" s="410" customFormat="1" x14ac:dyDescent="0.25">
      <c r="B1418" s="65">
        <v>42047</v>
      </c>
      <c r="C1418" s="66">
        <v>42047</v>
      </c>
      <c r="D1418" s="68">
        <f t="shared" ref="D1418" si="2949">IF(B1418&gt;0,MONTH(B1418),"False")</f>
        <v>2</v>
      </c>
      <c r="E1418" s="66" t="str">
        <f t="shared" ref="E1418" si="2950">YEAR(B1418) &amp; CHOOSE(D1418,"-Jan","-Feb","-Mar","-Apr","-May","-Jun","-Jul","-Aug","-Sep","-Oct","-Nov","-Dec")</f>
        <v>2015-Feb</v>
      </c>
      <c r="F1418" s="68">
        <f t="shared" ref="F1418" si="2951">IF(C1418&gt;0,MONTH(C1418),"False")</f>
        <v>2</v>
      </c>
      <c r="G1418" s="410" t="s">
        <v>93</v>
      </c>
      <c r="H1418" s="410" t="s">
        <v>280</v>
      </c>
      <c r="J1418" s="410" t="s">
        <v>146</v>
      </c>
      <c r="K1418" s="410" t="s">
        <v>82</v>
      </c>
      <c r="L1418" s="410" t="s">
        <v>79</v>
      </c>
      <c r="M1418" s="410" t="s">
        <v>2277</v>
      </c>
      <c r="N1418" s="410" t="s">
        <v>124</v>
      </c>
      <c r="O1418" s="410" t="s">
        <v>116</v>
      </c>
      <c r="P1418" s="64" t="s">
        <v>305</v>
      </c>
      <c r="Q1418" s="2"/>
      <c r="R1418" s="64" t="s">
        <v>1559</v>
      </c>
      <c r="T1418" s="67"/>
      <c r="Y1418" s="410" t="str">
        <f t="shared" ref="Y1418" si="2952">IF(Q1418&gt;0,"Obsolete",IF(S1418&gt;0,S1418,"Unknown"))</f>
        <v>Unknown</v>
      </c>
      <c r="Z1418" s="11" t="str">
        <f t="shared" ref="Z1418" si="2953">IF(Q1418="Obsolete-LQA",C1418,IF(Q1418="Obsolete-IT",B1418,""))</f>
        <v/>
      </c>
      <c r="AA1418" s="410" t="str">
        <f t="shared" ref="AA1418" si="2954">IFERROR(YEAR(Z1418)&amp;" - "&amp; IF(LEN( WEEKNUM(Z1418))=1,"0" &amp; WEEKNUM(Z1418),WEEKNUM(Z1418)),"")</f>
        <v/>
      </c>
      <c r="AB1418" s="410" t="str">
        <f t="shared" ref="AB1418" si="2955">IFERROR(YEAR(Z1418),"")</f>
        <v/>
      </c>
    </row>
    <row r="1419" spans="2:28" x14ac:dyDescent="0.25">
      <c r="B1419" s="65">
        <v>42047</v>
      </c>
      <c r="C1419" s="66">
        <v>42047</v>
      </c>
      <c r="D1419" s="68">
        <f t="shared" ref="D1419:D1420" si="2956">IF(B1419&gt;0,MONTH(B1419),"False")</f>
        <v>2</v>
      </c>
      <c r="E1419" s="66" t="str">
        <f t="shared" ref="E1419:E1420" si="2957">YEAR(B1419) &amp; CHOOSE(D1419,"-Jan","-Feb","-Mar","-Apr","-May","-Jun","-Jul","-Aug","-Sep","-Oct","-Nov","-Dec")</f>
        <v>2015-Feb</v>
      </c>
      <c r="F1419" s="68">
        <f t="shared" ref="F1419:F1420" si="2958">IF(C1419&gt;0,MONTH(C1419),"False")</f>
        <v>2</v>
      </c>
      <c r="G1419" s="410" t="s">
        <v>93</v>
      </c>
      <c r="H1419" s="410" t="s">
        <v>280</v>
      </c>
      <c r="I1419" s="410"/>
      <c r="J1419" s="410" t="s">
        <v>81</v>
      </c>
      <c r="K1419" s="410" t="s">
        <v>82</v>
      </c>
      <c r="L1419" s="410" t="s">
        <v>79</v>
      </c>
      <c r="M1419" s="1" t="s">
        <v>2278</v>
      </c>
      <c r="N1419" s="410" t="s">
        <v>124</v>
      </c>
      <c r="O1419" s="410" t="s">
        <v>116</v>
      </c>
      <c r="P1419" s="64" t="s">
        <v>305</v>
      </c>
      <c r="R1419" s="64" t="s">
        <v>1559</v>
      </c>
      <c r="Y1419" s="404" t="str">
        <f t="shared" si="2898"/>
        <v>Unknown</v>
      </c>
      <c r="Z1419" s="11" t="str">
        <f t="shared" si="2899"/>
        <v/>
      </c>
      <c r="AA1419" s="404" t="str">
        <f t="shared" si="2900"/>
        <v/>
      </c>
      <c r="AB1419" s="404" t="str">
        <f t="shared" si="2901"/>
        <v/>
      </c>
    </row>
    <row r="1420" spans="2:28" x14ac:dyDescent="0.25">
      <c r="B1420" s="66">
        <v>42047</v>
      </c>
      <c r="C1420" s="66">
        <v>42047</v>
      </c>
      <c r="D1420" s="68">
        <f t="shared" si="2956"/>
        <v>2</v>
      </c>
      <c r="E1420" s="66" t="str">
        <f t="shared" si="2957"/>
        <v>2015-Feb</v>
      </c>
      <c r="F1420" s="68">
        <f t="shared" si="2958"/>
        <v>2</v>
      </c>
      <c r="G1420" s="410" t="s">
        <v>87</v>
      </c>
      <c r="H1420" s="410" t="s">
        <v>280</v>
      </c>
      <c r="J1420" s="410" t="s">
        <v>78</v>
      </c>
      <c r="K1420" s="410" t="s">
        <v>78</v>
      </c>
      <c r="L1420" s="410" t="s">
        <v>79</v>
      </c>
      <c r="M1420" s="1" t="s">
        <v>2279</v>
      </c>
      <c r="N1420" s="410" t="s">
        <v>124</v>
      </c>
      <c r="O1420" s="410" t="s">
        <v>167</v>
      </c>
      <c r="R1420" s="64" t="s">
        <v>344</v>
      </c>
      <c r="Y1420" s="404" t="str">
        <f t="shared" si="2898"/>
        <v>Unknown</v>
      </c>
      <c r="Z1420" s="11" t="str">
        <f t="shared" si="2899"/>
        <v/>
      </c>
      <c r="AA1420" s="404" t="str">
        <f t="shared" si="2900"/>
        <v/>
      </c>
      <c r="AB1420" s="404" t="str">
        <f t="shared" si="2901"/>
        <v/>
      </c>
    </row>
    <row r="1421" spans="2:28" x14ac:dyDescent="0.25">
      <c r="B1421" s="65">
        <v>42047</v>
      </c>
      <c r="C1421" s="66">
        <v>42047</v>
      </c>
      <c r="D1421" s="68">
        <f t="shared" ref="D1421:D1422" si="2959">IF(B1421&gt;0,MONTH(B1421),"False")</f>
        <v>2</v>
      </c>
      <c r="E1421" s="66" t="str">
        <f t="shared" ref="E1421:E1422" si="2960">YEAR(B1421) &amp; CHOOSE(D1421,"-Jan","-Feb","-Mar","-Apr","-May","-Jun","-Jul","-Aug","-Sep","-Oct","-Nov","-Dec")</f>
        <v>2015-Feb</v>
      </c>
      <c r="F1421" s="68">
        <f t="shared" ref="F1421:F1422" si="2961">IF(C1421&gt;0,MONTH(C1421),"False")</f>
        <v>2</v>
      </c>
      <c r="G1421" s="412" t="s">
        <v>121</v>
      </c>
      <c r="H1421" s="410" t="s">
        <v>136</v>
      </c>
      <c r="J1421" s="410" t="s">
        <v>77</v>
      </c>
      <c r="K1421" s="410" t="s">
        <v>82</v>
      </c>
      <c r="L1421" s="410" t="s">
        <v>79</v>
      </c>
      <c r="M1421" s="1" t="s">
        <v>2280</v>
      </c>
      <c r="N1421" s="410" t="s">
        <v>124</v>
      </c>
      <c r="O1421" s="410" t="s">
        <v>507</v>
      </c>
      <c r="P1421" s="64" t="s">
        <v>750</v>
      </c>
      <c r="R1421" s="64" t="s">
        <v>2117</v>
      </c>
      <c r="S1421" s="412" t="s">
        <v>104</v>
      </c>
      <c r="X1421" s="412" t="s">
        <v>159</v>
      </c>
      <c r="Y1421" s="404" t="str">
        <f t="shared" si="2898"/>
        <v>Pass</v>
      </c>
      <c r="Z1421" s="11" t="str">
        <f t="shared" si="2899"/>
        <v/>
      </c>
      <c r="AA1421" s="404" t="str">
        <f t="shared" si="2900"/>
        <v/>
      </c>
      <c r="AB1421" s="404" t="str">
        <f t="shared" si="2901"/>
        <v/>
      </c>
    </row>
    <row r="1422" spans="2:28" x14ac:dyDescent="0.25">
      <c r="B1422" s="66">
        <v>42048</v>
      </c>
      <c r="C1422" s="66">
        <v>42048</v>
      </c>
      <c r="D1422" s="68">
        <f t="shared" si="2959"/>
        <v>2</v>
      </c>
      <c r="E1422" s="66" t="str">
        <f t="shared" si="2960"/>
        <v>2015-Feb</v>
      </c>
      <c r="F1422" s="68">
        <f t="shared" si="2961"/>
        <v>2</v>
      </c>
      <c r="G1422" s="411" t="s">
        <v>112</v>
      </c>
      <c r="H1422" s="411" t="s">
        <v>348</v>
      </c>
      <c r="J1422" s="411" t="s">
        <v>78</v>
      </c>
      <c r="K1422" s="411" t="s">
        <v>78</v>
      </c>
      <c r="L1422" s="411" t="s">
        <v>79</v>
      </c>
      <c r="M1422" s="1" t="s">
        <v>2281</v>
      </c>
      <c r="N1422" s="411" t="s">
        <v>124</v>
      </c>
      <c r="O1422" s="411" t="s">
        <v>97</v>
      </c>
      <c r="R1422" s="64" t="s">
        <v>1801</v>
      </c>
      <c r="S1422" s="1" t="s">
        <v>104</v>
      </c>
      <c r="X1422" s="1" t="s">
        <v>1474</v>
      </c>
      <c r="Y1422" s="404" t="str">
        <f t="shared" si="2898"/>
        <v>Pass</v>
      </c>
      <c r="Z1422" s="11" t="str">
        <f t="shared" si="2899"/>
        <v/>
      </c>
      <c r="AA1422" s="404" t="str">
        <f t="shared" si="2900"/>
        <v/>
      </c>
      <c r="AB1422" s="404" t="str">
        <f t="shared" si="2901"/>
        <v/>
      </c>
    </row>
    <row r="1423" spans="2:28" x14ac:dyDescent="0.25">
      <c r="B1423" s="66">
        <v>42048</v>
      </c>
      <c r="C1423" s="66">
        <v>42048</v>
      </c>
      <c r="D1423" s="68">
        <f t="shared" ref="D1423" si="2962">IF(B1423&gt;0,MONTH(B1423),"False")</f>
        <v>2</v>
      </c>
      <c r="E1423" s="66" t="str">
        <f t="shared" ref="E1423" si="2963">YEAR(B1423) &amp; CHOOSE(D1423,"-Jan","-Feb","-Mar","-Apr","-May","-Jun","-Jul","-Aug","-Sep","-Oct","-Nov","-Dec")</f>
        <v>2015-Feb</v>
      </c>
      <c r="F1423" s="68">
        <f t="shared" ref="F1423" si="2964">IF(C1423&gt;0,MONTH(C1423),"False")</f>
        <v>2</v>
      </c>
      <c r="G1423" s="411" t="s">
        <v>87</v>
      </c>
      <c r="H1423" s="411" t="s">
        <v>280</v>
      </c>
      <c r="J1423" s="411" t="s">
        <v>78</v>
      </c>
      <c r="K1423" s="411" t="s">
        <v>78</v>
      </c>
      <c r="L1423" s="411" t="s">
        <v>79</v>
      </c>
      <c r="M1423" s="1" t="s">
        <v>2282</v>
      </c>
      <c r="N1423" s="411" t="s">
        <v>124</v>
      </c>
      <c r="O1423" s="411" t="s">
        <v>138</v>
      </c>
      <c r="R1423" s="64" t="s">
        <v>344</v>
      </c>
      <c r="Y1423" s="404" t="str">
        <f t="shared" si="2898"/>
        <v>Unknown</v>
      </c>
      <c r="Z1423" s="11" t="str">
        <f t="shared" si="2899"/>
        <v/>
      </c>
      <c r="AA1423" s="404" t="str">
        <f t="shared" si="2900"/>
        <v/>
      </c>
      <c r="AB1423" s="404" t="str">
        <f t="shared" si="2901"/>
        <v/>
      </c>
    </row>
    <row r="1424" spans="2:28" x14ac:dyDescent="0.25">
      <c r="B1424" s="66">
        <v>42048</v>
      </c>
      <c r="C1424" s="66">
        <v>42048</v>
      </c>
      <c r="D1424" s="68">
        <f t="shared" ref="D1424:D1425" si="2965">IF(B1424&gt;0,MONTH(B1424),"False")</f>
        <v>2</v>
      </c>
      <c r="E1424" s="66" t="str">
        <f t="shared" ref="E1424:E1425" si="2966">YEAR(B1424) &amp; CHOOSE(D1424,"-Jan","-Feb","-Mar","-Apr","-May","-Jun","-Jul","-Aug","-Sep","-Oct","-Nov","-Dec")</f>
        <v>2015-Feb</v>
      </c>
      <c r="F1424" s="68">
        <f t="shared" ref="F1424:F1425" si="2967">IF(C1424&gt;0,MONTH(C1424),"False")</f>
        <v>2</v>
      </c>
      <c r="G1424" s="411" t="s">
        <v>87</v>
      </c>
      <c r="H1424" s="411" t="s">
        <v>280</v>
      </c>
      <c r="J1424" s="411" t="s">
        <v>119</v>
      </c>
      <c r="K1424" s="411" t="s">
        <v>119</v>
      </c>
      <c r="L1424" s="411" t="s">
        <v>79</v>
      </c>
      <c r="M1424" s="1" t="s">
        <v>2283</v>
      </c>
      <c r="N1424" s="411" t="s">
        <v>124</v>
      </c>
      <c r="O1424" s="411" t="s">
        <v>167</v>
      </c>
      <c r="Q1424" s="2" t="s">
        <v>88</v>
      </c>
      <c r="R1424" s="64" t="s">
        <v>362</v>
      </c>
      <c r="Y1424" s="404" t="str">
        <f t="shared" si="2898"/>
        <v>Obsolete</v>
      </c>
      <c r="Z1424" s="11">
        <f t="shared" si="2899"/>
        <v>42048</v>
      </c>
      <c r="AA1424" s="404" t="str">
        <f t="shared" si="2900"/>
        <v>2015 - 07</v>
      </c>
      <c r="AB1424" s="404">
        <f t="shared" si="2901"/>
        <v>2015</v>
      </c>
    </row>
    <row r="1425" spans="2:28" x14ac:dyDescent="0.25">
      <c r="B1425" s="65">
        <v>42051</v>
      </c>
      <c r="C1425" s="66">
        <v>42051</v>
      </c>
      <c r="D1425" s="68">
        <f t="shared" si="2965"/>
        <v>2</v>
      </c>
      <c r="E1425" s="66" t="str">
        <f t="shared" si="2966"/>
        <v>2015-Feb</v>
      </c>
      <c r="F1425" s="68">
        <f t="shared" si="2967"/>
        <v>2</v>
      </c>
      <c r="G1425" s="412" t="s">
        <v>121</v>
      </c>
      <c r="H1425" s="411" t="s">
        <v>136</v>
      </c>
      <c r="J1425" s="411" t="s">
        <v>77</v>
      </c>
      <c r="K1425" s="411" t="s">
        <v>82</v>
      </c>
      <c r="L1425" s="411" t="s">
        <v>79</v>
      </c>
      <c r="M1425" s="1" t="s">
        <v>2284</v>
      </c>
      <c r="N1425" s="411" t="s">
        <v>124</v>
      </c>
      <c r="O1425" s="411" t="s">
        <v>114</v>
      </c>
      <c r="P1425" s="64" t="s">
        <v>750</v>
      </c>
      <c r="R1425" s="64" t="s">
        <v>2117</v>
      </c>
      <c r="S1425" s="412" t="s">
        <v>104</v>
      </c>
      <c r="X1425" s="412" t="s">
        <v>159</v>
      </c>
      <c r="Y1425" s="404" t="str">
        <f t="shared" si="2898"/>
        <v>Pass</v>
      </c>
      <c r="Z1425" s="11" t="str">
        <f t="shared" si="2899"/>
        <v/>
      </c>
      <c r="AA1425" s="404" t="str">
        <f t="shared" si="2900"/>
        <v/>
      </c>
      <c r="AB1425" s="404" t="str">
        <f t="shared" si="2901"/>
        <v/>
      </c>
    </row>
    <row r="1426" spans="2:28" x14ac:dyDescent="0.25">
      <c r="B1426" s="65">
        <v>42051</v>
      </c>
      <c r="C1426" s="66">
        <v>42051</v>
      </c>
      <c r="D1426" s="68">
        <f t="shared" ref="D1426:D1427" si="2968">IF(B1426&gt;0,MONTH(B1426),"False")</f>
        <v>2</v>
      </c>
      <c r="E1426" s="66" t="str">
        <f t="shared" ref="E1426:E1427" si="2969">YEAR(B1426) &amp; CHOOSE(D1426,"-Jan","-Feb","-Mar","-Apr","-May","-Jun","-Jul","-Aug","-Sep","-Oct","-Nov","-Dec")</f>
        <v>2015-Feb</v>
      </c>
      <c r="F1426" s="68">
        <f t="shared" ref="F1426:F1427" si="2970">IF(C1426&gt;0,MONTH(C1426),"False")</f>
        <v>2</v>
      </c>
      <c r="G1426" s="412" t="s">
        <v>93</v>
      </c>
      <c r="H1426" s="412" t="s">
        <v>348</v>
      </c>
      <c r="J1426" s="412" t="s">
        <v>77</v>
      </c>
      <c r="K1426" s="412" t="s">
        <v>82</v>
      </c>
      <c r="L1426" s="412" t="s">
        <v>79</v>
      </c>
      <c r="M1426" s="1" t="s">
        <v>2285</v>
      </c>
      <c r="N1426" s="412" t="s">
        <v>124</v>
      </c>
      <c r="O1426" s="412" t="s">
        <v>91</v>
      </c>
      <c r="P1426" s="64" t="s">
        <v>352</v>
      </c>
      <c r="Q1426" s="2" t="s">
        <v>88</v>
      </c>
      <c r="R1426" s="64" t="s">
        <v>2062</v>
      </c>
      <c r="Y1426" s="404" t="str">
        <f t="shared" si="2898"/>
        <v>Obsolete</v>
      </c>
      <c r="Z1426" s="11">
        <f t="shared" si="2899"/>
        <v>42051</v>
      </c>
      <c r="AA1426" s="404" t="str">
        <f t="shared" si="2900"/>
        <v>2015 - 08</v>
      </c>
      <c r="AB1426" s="404">
        <f t="shared" si="2901"/>
        <v>2015</v>
      </c>
    </row>
    <row r="1427" spans="2:28" x14ac:dyDescent="0.25">
      <c r="B1427" s="66">
        <v>42051</v>
      </c>
      <c r="C1427" s="66">
        <v>42051</v>
      </c>
      <c r="D1427" s="68">
        <f t="shared" si="2968"/>
        <v>2</v>
      </c>
      <c r="E1427" s="66" t="str">
        <f t="shared" si="2969"/>
        <v>2015-Feb</v>
      </c>
      <c r="F1427" s="68">
        <f t="shared" si="2970"/>
        <v>2</v>
      </c>
      <c r="G1427" s="412" t="s">
        <v>87</v>
      </c>
      <c r="H1427" s="412" t="s">
        <v>280</v>
      </c>
      <c r="J1427" s="412" t="s">
        <v>119</v>
      </c>
      <c r="K1427" s="412" t="s">
        <v>119</v>
      </c>
      <c r="L1427" s="412" t="s">
        <v>79</v>
      </c>
      <c r="M1427" s="1" t="s">
        <v>2286</v>
      </c>
      <c r="N1427" s="412" t="s">
        <v>124</v>
      </c>
      <c r="O1427" s="412" t="s">
        <v>138</v>
      </c>
      <c r="R1427" s="64" t="s">
        <v>362</v>
      </c>
      <c r="Y1427" s="404" t="str">
        <f t="shared" si="2898"/>
        <v>Unknown</v>
      </c>
      <c r="Z1427" s="11" t="str">
        <f t="shared" si="2899"/>
        <v/>
      </c>
      <c r="AA1427" s="404" t="str">
        <f t="shared" si="2900"/>
        <v/>
      </c>
      <c r="AB1427" s="404" t="str">
        <f t="shared" si="2901"/>
        <v/>
      </c>
    </row>
    <row r="1428" spans="2:28" x14ac:dyDescent="0.25">
      <c r="B1428" s="65">
        <v>42051</v>
      </c>
      <c r="C1428" s="66">
        <v>42051</v>
      </c>
      <c r="D1428" s="68">
        <f t="shared" ref="D1428" si="2971">IF(B1428&gt;0,MONTH(B1428),"False")</f>
        <v>2</v>
      </c>
      <c r="E1428" s="66" t="str">
        <f t="shared" ref="E1428" si="2972">YEAR(B1428) &amp; CHOOSE(D1428,"-Jan","-Feb","-Mar","-Apr","-May","-Jun","-Jul","-Aug","-Sep","-Oct","-Nov","-Dec")</f>
        <v>2015-Feb</v>
      </c>
      <c r="F1428" s="68">
        <f t="shared" ref="F1428" si="2973">IF(C1428&gt;0,MONTH(C1428),"False")</f>
        <v>2</v>
      </c>
      <c r="G1428" s="564" t="s">
        <v>121</v>
      </c>
      <c r="H1428" s="412" t="s">
        <v>1745</v>
      </c>
      <c r="J1428" s="412" t="s">
        <v>81</v>
      </c>
      <c r="K1428" s="412" t="s">
        <v>82</v>
      </c>
      <c r="L1428" s="412" t="s">
        <v>79</v>
      </c>
      <c r="M1428" s="1" t="s">
        <v>2287</v>
      </c>
      <c r="N1428" s="412" t="s">
        <v>124</v>
      </c>
      <c r="O1428" s="412" t="s">
        <v>2072</v>
      </c>
      <c r="P1428" s="64" t="s">
        <v>1823</v>
      </c>
      <c r="R1428" s="64" t="s">
        <v>1824</v>
      </c>
      <c r="S1428" s="1" t="s">
        <v>104</v>
      </c>
      <c r="X1428" s="564" t="s">
        <v>158</v>
      </c>
      <c r="Y1428" s="404" t="str">
        <f t="shared" si="2898"/>
        <v>Pass</v>
      </c>
      <c r="Z1428" s="11" t="str">
        <f t="shared" si="2899"/>
        <v/>
      </c>
      <c r="AA1428" s="404" t="str">
        <f t="shared" si="2900"/>
        <v/>
      </c>
      <c r="AB1428" s="404" t="str">
        <f t="shared" si="2901"/>
        <v/>
      </c>
    </row>
    <row r="1429" spans="2:28" x14ac:dyDescent="0.25">
      <c r="B1429" s="65">
        <v>42052</v>
      </c>
      <c r="C1429" s="66">
        <v>42053</v>
      </c>
      <c r="D1429" s="68">
        <f t="shared" ref="D1429:D1430" si="2974">IF(B1429&gt;0,MONTH(B1429),"False")</f>
        <v>2</v>
      </c>
      <c r="E1429" s="66" t="str">
        <f t="shared" ref="E1429:E1430" si="2975">YEAR(B1429) &amp; CHOOSE(D1429,"-Jan","-Feb","-Mar","-Apr","-May","-Jun","-Jul","-Aug","-Sep","-Oct","-Nov","-Dec")</f>
        <v>2015-Feb</v>
      </c>
      <c r="F1429" s="68">
        <f t="shared" ref="F1429:F1430" si="2976">IF(C1429&gt;0,MONTH(C1429),"False")</f>
        <v>2</v>
      </c>
      <c r="G1429" s="413" t="s">
        <v>121</v>
      </c>
      <c r="H1429" s="412" t="s">
        <v>1745</v>
      </c>
      <c r="J1429" s="412" t="s">
        <v>81</v>
      </c>
      <c r="K1429" s="412" t="s">
        <v>82</v>
      </c>
      <c r="L1429" s="412" t="s">
        <v>79</v>
      </c>
      <c r="M1429" s="1" t="s">
        <v>2288</v>
      </c>
      <c r="N1429" s="412" t="s">
        <v>124</v>
      </c>
      <c r="O1429" s="412" t="s">
        <v>273</v>
      </c>
      <c r="P1429" s="64" t="s">
        <v>1823</v>
      </c>
      <c r="R1429" s="64" t="s">
        <v>1824</v>
      </c>
      <c r="S1429" s="1" t="s">
        <v>104</v>
      </c>
      <c r="X1429" s="564" t="s">
        <v>158</v>
      </c>
      <c r="Y1429" s="404" t="str">
        <f t="shared" si="2898"/>
        <v>Pass</v>
      </c>
      <c r="Z1429" s="11" t="str">
        <f t="shared" si="2899"/>
        <v/>
      </c>
      <c r="AA1429" s="404" t="str">
        <f t="shared" si="2900"/>
        <v/>
      </c>
      <c r="AB1429" s="404" t="str">
        <f t="shared" si="2901"/>
        <v/>
      </c>
    </row>
    <row r="1430" spans="2:28" x14ac:dyDescent="0.25">
      <c r="B1430" s="65">
        <v>42053</v>
      </c>
      <c r="C1430" s="66">
        <v>42053</v>
      </c>
      <c r="D1430" s="68">
        <f t="shared" si="2974"/>
        <v>2</v>
      </c>
      <c r="E1430" s="66" t="str">
        <f t="shared" si="2975"/>
        <v>2015-Feb</v>
      </c>
      <c r="F1430" s="68">
        <f t="shared" si="2976"/>
        <v>2</v>
      </c>
      <c r="G1430" s="413" t="s">
        <v>93</v>
      </c>
      <c r="H1430" s="413" t="s">
        <v>316</v>
      </c>
      <c r="J1430" s="413" t="s">
        <v>77</v>
      </c>
      <c r="K1430" s="413" t="s">
        <v>82</v>
      </c>
      <c r="L1430" s="413" t="s">
        <v>79</v>
      </c>
      <c r="M1430" s="1" t="s">
        <v>2289</v>
      </c>
      <c r="N1430" s="413" t="s">
        <v>124</v>
      </c>
      <c r="O1430" s="413" t="s">
        <v>285</v>
      </c>
      <c r="P1430" s="64" t="s">
        <v>340</v>
      </c>
      <c r="Q1430" s="2" t="s">
        <v>88</v>
      </c>
      <c r="R1430" s="64" t="s">
        <v>705</v>
      </c>
      <c r="Y1430" s="404" t="str">
        <f t="shared" si="2898"/>
        <v>Obsolete</v>
      </c>
      <c r="Z1430" s="11">
        <f t="shared" si="2899"/>
        <v>42053</v>
      </c>
      <c r="AA1430" s="404" t="str">
        <f t="shared" si="2900"/>
        <v>2015 - 08</v>
      </c>
      <c r="AB1430" s="404">
        <f t="shared" si="2901"/>
        <v>2015</v>
      </c>
    </row>
    <row r="1431" spans="2:28" s="413" customFormat="1" x14ac:dyDescent="0.25">
      <c r="B1431" s="65">
        <v>42053</v>
      </c>
      <c r="C1431" s="66">
        <v>42053</v>
      </c>
      <c r="D1431" s="68">
        <f t="shared" ref="D1431" si="2977">IF(B1431&gt;0,MONTH(B1431),"False")</f>
        <v>2</v>
      </c>
      <c r="E1431" s="66" t="str">
        <f t="shared" ref="E1431" si="2978">YEAR(B1431) &amp; CHOOSE(D1431,"-Jan","-Feb","-Mar","-Apr","-May","-Jun","-Jul","-Aug","-Sep","-Oct","-Nov","-Dec")</f>
        <v>2015-Feb</v>
      </c>
      <c r="F1431" s="68">
        <f t="shared" ref="F1431" si="2979">IF(C1431&gt;0,MONTH(C1431),"False")</f>
        <v>2</v>
      </c>
      <c r="G1431" s="413" t="s">
        <v>121</v>
      </c>
      <c r="H1431" s="413" t="s">
        <v>1745</v>
      </c>
      <c r="J1431" s="413" t="s">
        <v>81</v>
      </c>
      <c r="K1431" s="413" t="s">
        <v>82</v>
      </c>
      <c r="L1431" s="413" t="s">
        <v>79</v>
      </c>
      <c r="M1431" s="413" t="s">
        <v>2290</v>
      </c>
      <c r="N1431" s="413" t="s">
        <v>124</v>
      </c>
      <c r="O1431" s="413" t="s">
        <v>273</v>
      </c>
      <c r="P1431" s="64" t="s">
        <v>1823</v>
      </c>
      <c r="Q1431" s="2"/>
      <c r="R1431" s="64" t="s">
        <v>1824</v>
      </c>
      <c r="S1431" s="413" t="s">
        <v>104</v>
      </c>
      <c r="T1431" s="67"/>
      <c r="X1431" s="413" t="s">
        <v>158</v>
      </c>
      <c r="Y1431" s="413" t="str">
        <f t="shared" ref="Y1431" si="2980">IF(Q1431&gt;0,"Obsolete",IF(S1431&gt;0,S1431,"Unknown"))</f>
        <v>Pass</v>
      </c>
      <c r="Z1431" s="11" t="str">
        <f t="shared" ref="Z1431" si="2981">IF(Q1431="Obsolete-LQA",C1431,IF(Q1431="Obsolete-IT",B1431,""))</f>
        <v/>
      </c>
      <c r="AA1431" s="413" t="str">
        <f t="shared" ref="AA1431" si="2982">IFERROR(YEAR(Z1431)&amp;" - "&amp; IF(LEN( WEEKNUM(Z1431))=1,"0" &amp; WEEKNUM(Z1431),WEEKNUM(Z1431)),"")</f>
        <v/>
      </c>
      <c r="AB1431" s="413" t="str">
        <f t="shared" ref="AB1431" si="2983">IFERROR(YEAR(Z1431),"")</f>
        <v/>
      </c>
    </row>
    <row r="1432" spans="2:28" x14ac:dyDescent="0.25">
      <c r="B1432" s="65">
        <v>42054</v>
      </c>
      <c r="C1432" s="66">
        <v>42054</v>
      </c>
      <c r="D1432" s="68">
        <f t="shared" ref="D1432" si="2984">IF(B1432&gt;0,MONTH(B1432),"False")</f>
        <v>2</v>
      </c>
      <c r="E1432" s="66" t="str">
        <f t="shared" ref="E1432" si="2985">YEAR(B1432) &amp; CHOOSE(D1432,"-Jan","-Feb","-Mar","-Apr","-May","-Jun","-Jul","-Aug","-Sep","-Oct","-Nov","-Dec")</f>
        <v>2015-Feb</v>
      </c>
      <c r="F1432" s="68">
        <f t="shared" ref="F1432" si="2986">IF(C1432&gt;0,MONTH(C1432),"False")</f>
        <v>2</v>
      </c>
      <c r="G1432" s="415" t="s">
        <v>121</v>
      </c>
      <c r="H1432" s="414" t="s">
        <v>316</v>
      </c>
      <c r="J1432" s="414" t="s">
        <v>77</v>
      </c>
      <c r="K1432" s="414" t="s">
        <v>82</v>
      </c>
      <c r="L1432" s="414" t="s">
        <v>79</v>
      </c>
      <c r="M1432" s="1" t="s">
        <v>2293</v>
      </c>
      <c r="N1432" s="414" t="s">
        <v>124</v>
      </c>
      <c r="O1432" s="414" t="s">
        <v>285</v>
      </c>
      <c r="P1432" s="64" t="s">
        <v>340</v>
      </c>
      <c r="R1432" s="64" t="s">
        <v>705</v>
      </c>
      <c r="S1432" s="415" t="s">
        <v>104</v>
      </c>
      <c r="X1432" s="415" t="s">
        <v>300</v>
      </c>
      <c r="Y1432" s="404" t="str">
        <f t="shared" si="2898"/>
        <v>Pass</v>
      </c>
      <c r="Z1432" s="11" t="str">
        <f t="shared" si="2899"/>
        <v/>
      </c>
      <c r="AA1432" s="404" t="str">
        <f t="shared" si="2900"/>
        <v/>
      </c>
      <c r="AB1432" s="404" t="str">
        <f t="shared" si="2901"/>
        <v/>
      </c>
    </row>
    <row r="1433" spans="2:28" x14ac:dyDescent="0.25">
      <c r="B1433" s="65">
        <v>42054</v>
      </c>
      <c r="C1433" s="66">
        <v>42054</v>
      </c>
      <c r="D1433" s="68">
        <f t="shared" ref="D1433:D1434" si="2987">IF(B1433&gt;0,MONTH(B1433),"False")</f>
        <v>2</v>
      </c>
      <c r="E1433" s="66" t="str">
        <f t="shared" ref="E1433:E1434" si="2988">YEAR(B1433) &amp; CHOOSE(D1433,"-Jan","-Feb","-Mar","-Apr","-May","-Jun","-Jul","-Aug","-Sep","-Oct","-Nov","-Dec")</f>
        <v>2015-Feb</v>
      </c>
      <c r="F1433" s="68">
        <f t="shared" ref="F1433:F1434" si="2989">IF(C1433&gt;0,MONTH(C1433),"False")</f>
        <v>2</v>
      </c>
      <c r="G1433" s="414" t="s">
        <v>121</v>
      </c>
      <c r="H1433" s="414" t="s">
        <v>28</v>
      </c>
      <c r="J1433" s="414" t="s">
        <v>77</v>
      </c>
      <c r="K1433" s="414" t="s">
        <v>82</v>
      </c>
      <c r="L1433" s="414" t="s">
        <v>79</v>
      </c>
      <c r="M1433" s="1" t="s">
        <v>2294</v>
      </c>
      <c r="N1433" s="414" t="s">
        <v>124</v>
      </c>
      <c r="O1433" s="414" t="s">
        <v>162</v>
      </c>
      <c r="P1433" s="64" t="s">
        <v>334</v>
      </c>
      <c r="R1433" s="64" t="s">
        <v>335</v>
      </c>
      <c r="S1433" s="1" t="s">
        <v>104</v>
      </c>
      <c r="X1433" s="1" t="s">
        <v>819</v>
      </c>
      <c r="Y1433" s="404" t="str">
        <f t="shared" si="2898"/>
        <v>Pass</v>
      </c>
      <c r="Z1433" s="11" t="str">
        <f t="shared" si="2899"/>
        <v/>
      </c>
      <c r="AA1433" s="404" t="str">
        <f t="shared" si="2900"/>
        <v/>
      </c>
      <c r="AB1433" s="404" t="str">
        <f t="shared" si="2901"/>
        <v/>
      </c>
    </row>
    <row r="1434" spans="2:28" x14ac:dyDescent="0.25">
      <c r="B1434" s="66">
        <v>42055</v>
      </c>
      <c r="C1434" s="66">
        <v>42055</v>
      </c>
      <c r="D1434" s="68">
        <f t="shared" si="2987"/>
        <v>2</v>
      </c>
      <c r="E1434" s="66" t="str">
        <f t="shared" si="2988"/>
        <v>2015-Feb</v>
      </c>
      <c r="F1434" s="68">
        <f t="shared" si="2989"/>
        <v>2</v>
      </c>
      <c r="G1434" s="415" t="s">
        <v>87</v>
      </c>
      <c r="H1434" s="415" t="s">
        <v>316</v>
      </c>
      <c r="J1434" s="415" t="s">
        <v>149</v>
      </c>
      <c r="K1434" s="415" t="s">
        <v>84</v>
      </c>
      <c r="L1434" s="415" t="s">
        <v>79</v>
      </c>
      <c r="M1434" s="1" t="s">
        <v>2295</v>
      </c>
      <c r="N1434" s="415" t="s">
        <v>124</v>
      </c>
      <c r="O1434" s="415" t="s">
        <v>264</v>
      </c>
      <c r="R1434" s="64" t="s">
        <v>604</v>
      </c>
      <c r="S1434" s="1" t="s">
        <v>104</v>
      </c>
      <c r="X1434" s="1" t="s">
        <v>1474</v>
      </c>
      <c r="Y1434" s="404" t="str">
        <f t="shared" si="2898"/>
        <v>Pass</v>
      </c>
      <c r="Z1434" s="11" t="str">
        <f t="shared" si="2899"/>
        <v/>
      </c>
      <c r="AA1434" s="404" t="str">
        <f t="shared" si="2900"/>
        <v/>
      </c>
      <c r="AB1434" s="404" t="str">
        <f t="shared" si="2901"/>
        <v/>
      </c>
    </row>
    <row r="1435" spans="2:28" x14ac:dyDescent="0.25">
      <c r="B1435" s="65">
        <v>42055</v>
      </c>
      <c r="C1435" s="66">
        <v>42055</v>
      </c>
      <c r="D1435" s="68">
        <f t="shared" ref="D1435:D1436" si="2990">IF(B1435&gt;0,MONTH(B1435),"False")</f>
        <v>2</v>
      </c>
      <c r="E1435" s="66" t="str">
        <f t="shared" ref="E1435:E1436" si="2991">YEAR(B1435) &amp; CHOOSE(D1435,"-Jan","-Feb","-Mar","-Apr","-May","-Jun","-Jul","-Aug","-Sep","-Oct","-Nov","-Dec")</f>
        <v>2015-Feb</v>
      </c>
      <c r="F1435" s="68">
        <f t="shared" ref="F1435:F1436" si="2992">IF(C1435&gt;0,MONTH(C1435),"False")</f>
        <v>2</v>
      </c>
      <c r="G1435" s="415" t="s">
        <v>93</v>
      </c>
      <c r="H1435" s="415" t="s">
        <v>166</v>
      </c>
      <c r="J1435" s="415" t="s">
        <v>333</v>
      </c>
      <c r="K1435" s="415" t="s">
        <v>82</v>
      </c>
      <c r="L1435" s="415" t="s">
        <v>83</v>
      </c>
      <c r="M1435" s="1" t="s">
        <v>2296</v>
      </c>
      <c r="N1435" s="415" t="s">
        <v>124</v>
      </c>
      <c r="O1435" s="415" t="s">
        <v>302</v>
      </c>
      <c r="R1435" s="64" t="s">
        <v>2297</v>
      </c>
      <c r="Y1435" s="404" t="str">
        <f t="shared" si="2898"/>
        <v>Unknown</v>
      </c>
      <c r="Z1435" s="11" t="str">
        <f t="shared" si="2899"/>
        <v/>
      </c>
      <c r="AA1435" s="404" t="str">
        <f t="shared" si="2900"/>
        <v/>
      </c>
      <c r="AB1435" s="404" t="str">
        <f t="shared" si="2901"/>
        <v/>
      </c>
    </row>
    <row r="1436" spans="2:28" x14ac:dyDescent="0.25">
      <c r="B1436" s="66">
        <v>42058</v>
      </c>
      <c r="C1436" s="66">
        <v>42058</v>
      </c>
      <c r="D1436" s="68">
        <f t="shared" si="2990"/>
        <v>2</v>
      </c>
      <c r="E1436" s="66" t="str">
        <f t="shared" si="2991"/>
        <v>2015-Feb</v>
      </c>
      <c r="F1436" s="68">
        <f t="shared" si="2992"/>
        <v>2</v>
      </c>
      <c r="G1436" s="416" t="s">
        <v>87</v>
      </c>
      <c r="H1436" s="416" t="s">
        <v>2091</v>
      </c>
      <c r="J1436" s="416" t="s">
        <v>149</v>
      </c>
      <c r="K1436" s="416" t="s">
        <v>84</v>
      </c>
      <c r="L1436" s="416" t="s">
        <v>83</v>
      </c>
      <c r="M1436" s="1" t="s">
        <v>2299</v>
      </c>
      <c r="N1436" s="416" t="s">
        <v>124</v>
      </c>
      <c r="O1436" s="416" t="s">
        <v>264</v>
      </c>
      <c r="R1436" s="64" t="s">
        <v>2100</v>
      </c>
      <c r="Y1436" s="404" t="str">
        <f t="shared" si="2898"/>
        <v>Unknown</v>
      </c>
      <c r="Z1436" s="11" t="str">
        <f t="shared" si="2899"/>
        <v/>
      </c>
      <c r="AA1436" s="404" t="str">
        <f t="shared" si="2900"/>
        <v/>
      </c>
      <c r="AB1436" s="404" t="str">
        <f t="shared" si="2901"/>
        <v/>
      </c>
    </row>
    <row r="1437" spans="2:28" x14ac:dyDescent="0.25">
      <c r="B1437" s="66">
        <v>42058</v>
      </c>
      <c r="C1437" s="66">
        <v>42058</v>
      </c>
      <c r="D1437" s="68">
        <f t="shared" ref="D1437:D1438" si="2993">IF(B1437&gt;0,MONTH(B1437),"False")</f>
        <v>2</v>
      </c>
      <c r="E1437" s="66" t="str">
        <f t="shared" ref="E1437:E1438" si="2994">YEAR(B1437) &amp; CHOOSE(D1437,"-Jan","-Feb","-Mar","-Apr","-May","-Jun","-Jul","-Aug","-Sep","-Oct","-Nov","-Dec")</f>
        <v>2015-Feb</v>
      </c>
      <c r="F1437" s="68">
        <f t="shared" ref="F1437:F1438" si="2995">IF(C1437&gt;0,MONTH(C1437),"False")</f>
        <v>2</v>
      </c>
      <c r="G1437" s="416" t="s">
        <v>112</v>
      </c>
      <c r="H1437" s="416" t="s">
        <v>115</v>
      </c>
      <c r="J1437" s="416" t="s">
        <v>77</v>
      </c>
      <c r="K1437" s="416" t="s">
        <v>82</v>
      </c>
      <c r="L1437" s="416" t="s">
        <v>83</v>
      </c>
      <c r="M1437" s="1" t="s">
        <v>2300</v>
      </c>
      <c r="N1437" s="416" t="s">
        <v>124</v>
      </c>
      <c r="O1437" s="416" t="s">
        <v>353</v>
      </c>
      <c r="R1437" s="64" t="s">
        <v>2150</v>
      </c>
      <c r="S1437" s="1" t="s">
        <v>104</v>
      </c>
      <c r="T1437" s="9" t="s">
        <v>110</v>
      </c>
      <c r="X1437" s="1" t="s">
        <v>259</v>
      </c>
      <c r="Y1437" s="404" t="str">
        <f t="shared" si="2898"/>
        <v>Pass</v>
      </c>
      <c r="Z1437" s="11" t="str">
        <f t="shared" si="2899"/>
        <v/>
      </c>
      <c r="AA1437" s="404" t="str">
        <f t="shared" si="2900"/>
        <v/>
      </c>
      <c r="AB1437" s="404" t="str">
        <f t="shared" si="2901"/>
        <v/>
      </c>
    </row>
    <row r="1438" spans="2:28" x14ac:dyDescent="0.25">
      <c r="B1438" s="65">
        <v>42058</v>
      </c>
      <c r="C1438" s="66">
        <v>42058</v>
      </c>
      <c r="D1438" s="68">
        <f t="shared" si="2993"/>
        <v>2</v>
      </c>
      <c r="E1438" s="66" t="str">
        <f t="shared" si="2994"/>
        <v>2015-Feb</v>
      </c>
      <c r="F1438" s="68">
        <f t="shared" si="2995"/>
        <v>2</v>
      </c>
      <c r="G1438" s="416" t="s">
        <v>121</v>
      </c>
      <c r="H1438" s="416" t="s">
        <v>348</v>
      </c>
      <c r="J1438" s="416" t="s">
        <v>77</v>
      </c>
      <c r="K1438" s="416" t="s">
        <v>82</v>
      </c>
      <c r="L1438" s="416" t="s">
        <v>79</v>
      </c>
      <c r="M1438" s="1" t="s">
        <v>2302</v>
      </c>
      <c r="N1438" s="416" t="s">
        <v>124</v>
      </c>
      <c r="O1438" s="416" t="s">
        <v>91</v>
      </c>
      <c r="P1438" s="64" t="s">
        <v>352</v>
      </c>
      <c r="R1438" s="64" t="s">
        <v>2062</v>
      </c>
      <c r="S1438" s="1" t="s">
        <v>104</v>
      </c>
      <c r="X1438" s="1" t="s">
        <v>1474</v>
      </c>
      <c r="Y1438" s="404" t="str">
        <f t="shared" si="2898"/>
        <v>Pass</v>
      </c>
      <c r="Z1438" s="11" t="str">
        <f t="shared" si="2899"/>
        <v/>
      </c>
      <c r="AA1438" s="404" t="str">
        <f t="shared" si="2900"/>
        <v/>
      </c>
      <c r="AB1438" s="404" t="str">
        <f t="shared" si="2901"/>
        <v/>
      </c>
    </row>
    <row r="1439" spans="2:28" x14ac:dyDescent="0.25">
      <c r="B1439" s="66">
        <v>42058</v>
      </c>
      <c r="C1439" s="66">
        <v>42058</v>
      </c>
      <c r="D1439" s="68">
        <f t="shared" ref="D1439" si="2996">IF(B1439&gt;0,MONTH(B1439),"False")</f>
        <v>2</v>
      </c>
      <c r="E1439" s="66" t="str">
        <f t="shared" ref="E1439" si="2997">YEAR(B1439) &amp; CHOOSE(D1439,"-Jan","-Feb","-Mar","-Apr","-May","-Jun","-Jul","-Aug","-Sep","-Oct","-Nov","-Dec")</f>
        <v>2015-Feb</v>
      </c>
      <c r="F1439" s="68">
        <f t="shared" ref="F1439" si="2998">IF(C1439&gt;0,MONTH(C1439),"False")</f>
        <v>2</v>
      </c>
      <c r="G1439" s="416" t="s">
        <v>87</v>
      </c>
      <c r="H1439" s="416" t="s">
        <v>280</v>
      </c>
      <c r="J1439" s="416" t="s">
        <v>119</v>
      </c>
      <c r="K1439" s="416" t="s">
        <v>119</v>
      </c>
      <c r="L1439" s="416" t="s">
        <v>79</v>
      </c>
      <c r="M1439" s="1" t="s">
        <v>2303</v>
      </c>
      <c r="N1439" s="416" t="s">
        <v>124</v>
      </c>
      <c r="O1439" s="416" t="s">
        <v>167</v>
      </c>
      <c r="R1439" s="64" t="s">
        <v>362</v>
      </c>
      <c r="Y1439" s="404" t="str">
        <f t="shared" si="2898"/>
        <v>Unknown</v>
      </c>
      <c r="Z1439" s="11" t="str">
        <f t="shared" si="2899"/>
        <v/>
      </c>
      <c r="AA1439" s="404" t="str">
        <f t="shared" si="2900"/>
        <v/>
      </c>
      <c r="AB1439" s="404" t="str">
        <f t="shared" si="2901"/>
        <v/>
      </c>
    </row>
    <row r="1440" spans="2:28" x14ac:dyDescent="0.25">
      <c r="B1440" s="66">
        <v>42058</v>
      </c>
      <c r="C1440" s="66">
        <v>42058</v>
      </c>
      <c r="D1440" s="68">
        <f t="shared" ref="D1440" si="2999">IF(B1440&gt;0,MONTH(B1440),"False")</f>
        <v>2</v>
      </c>
      <c r="E1440" s="66" t="str">
        <f t="shared" ref="E1440" si="3000">YEAR(B1440) &amp; CHOOSE(D1440,"-Jan","-Feb","-Mar","-Apr","-May","-Jun","-Jul","-Aug","-Sep","-Oct","-Nov","-Dec")</f>
        <v>2015-Feb</v>
      </c>
      <c r="F1440" s="68">
        <f t="shared" ref="F1440" si="3001">IF(C1440&gt;0,MONTH(C1440),"False")</f>
        <v>2</v>
      </c>
      <c r="G1440" s="416" t="s">
        <v>126</v>
      </c>
      <c r="H1440" s="416" t="s">
        <v>280</v>
      </c>
      <c r="J1440" s="416" t="s">
        <v>78</v>
      </c>
      <c r="K1440" s="416" t="s">
        <v>78</v>
      </c>
      <c r="L1440" s="416" t="s">
        <v>79</v>
      </c>
      <c r="M1440" s="1" t="s">
        <v>2304</v>
      </c>
      <c r="N1440" s="416" t="s">
        <v>124</v>
      </c>
      <c r="O1440" s="416" t="s">
        <v>167</v>
      </c>
      <c r="R1440" s="64" t="s">
        <v>344</v>
      </c>
      <c r="S1440" s="1" t="s">
        <v>104</v>
      </c>
      <c r="X1440" s="1" t="s">
        <v>544</v>
      </c>
      <c r="Y1440" s="404" t="str">
        <f t="shared" si="2898"/>
        <v>Pass</v>
      </c>
      <c r="Z1440" s="11" t="str">
        <f t="shared" si="2899"/>
        <v/>
      </c>
      <c r="AA1440" s="404" t="str">
        <f t="shared" si="2900"/>
        <v/>
      </c>
      <c r="AB1440" s="404" t="str">
        <f t="shared" si="2901"/>
        <v/>
      </c>
    </row>
    <row r="1441" spans="2:28" s="416" customFormat="1" x14ac:dyDescent="0.25">
      <c r="B1441" s="66">
        <v>42058</v>
      </c>
      <c r="C1441" s="66">
        <v>42058</v>
      </c>
      <c r="D1441" s="68">
        <f t="shared" ref="D1441" si="3002">IF(B1441&gt;0,MONTH(B1441),"False")</f>
        <v>2</v>
      </c>
      <c r="E1441" s="66" t="str">
        <f t="shared" ref="E1441" si="3003">YEAR(B1441) &amp; CHOOSE(D1441,"-Jan","-Feb","-Mar","-Apr","-May","-Jun","-Jul","-Aug","-Sep","-Oct","-Nov","-Dec")</f>
        <v>2015-Feb</v>
      </c>
      <c r="F1441" s="68">
        <f t="shared" ref="F1441" si="3004">IF(C1441&gt;0,MONTH(C1441),"False")</f>
        <v>2</v>
      </c>
      <c r="G1441" s="416" t="s">
        <v>112</v>
      </c>
      <c r="H1441" s="416" t="s">
        <v>280</v>
      </c>
      <c r="J1441" s="416" t="s">
        <v>78</v>
      </c>
      <c r="K1441" s="416" t="s">
        <v>78</v>
      </c>
      <c r="L1441" s="416" t="s">
        <v>79</v>
      </c>
      <c r="M1441" s="416" t="s">
        <v>2305</v>
      </c>
      <c r="N1441" s="416" t="s">
        <v>124</v>
      </c>
      <c r="O1441" s="416" t="s">
        <v>167</v>
      </c>
      <c r="Q1441" s="2"/>
      <c r="R1441" s="64" t="s">
        <v>344</v>
      </c>
      <c r="S1441" s="416" t="s">
        <v>104</v>
      </c>
      <c r="T1441" s="67"/>
      <c r="X1441" s="416" t="s">
        <v>544</v>
      </c>
      <c r="Y1441" s="416" t="str">
        <f t="shared" ref="Y1441" si="3005">IF(Q1441&gt;0,"Obsolete",IF(S1441&gt;0,S1441,"Unknown"))</f>
        <v>Pass</v>
      </c>
      <c r="Z1441" s="11" t="str">
        <f t="shared" ref="Z1441" si="3006">IF(Q1441="Obsolete-LQA",C1441,IF(Q1441="Obsolete-IT",B1441,""))</f>
        <v/>
      </c>
      <c r="AA1441" s="416" t="str">
        <f t="shared" ref="AA1441" si="3007">IFERROR(YEAR(Z1441)&amp;" - "&amp; IF(LEN( WEEKNUM(Z1441))=1,"0" &amp; WEEKNUM(Z1441),WEEKNUM(Z1441)),"")</f>
        <v/>
      </c>
      <c r="AB1441" s="416" t="str">
        <f t="shared" ref="AB1441" si="3008">IFERROR(YEAR(Z1441),"")</f>
        <v/>
      </c>
    </row>
    <row r="1442" spans="2:28" s="417" customFormat="1" x14ac:dyDescent="0.25">
      <c r="B1442" s="66">
        <v>42059</v>
      </c>
      <c r="C1442" s="66">
        <v>42059</v>
      </c>
      <c r="D1442" s="68">
        <f t="shared" ref="D1442:D1443" si="3009">IF(B1442&gt;0,MONTH(B1442),"False")</f>
        <v>2</v>
      </c>
      <c r="E1442" s="66" t="str">
        <f t="shared" ref="E1442:E1443" si="3010">YEAR(B1442) &amp; CHOOSE(D1442,"-Jan","-Feb","-Mar","-Apr","-May","-Jun","-Jul","-Aug","-Sep","-Oct","-Nov","-Dec")</f>
        <v>2015-Feb</v>
      </c>
      <c r="F1442" s="68">
        <f t="shared" ref="F1442:F1443" si="3011">IF(C1442&gt;0,MONTH(C1442),"False")</f>
        <v>2</v>
      </c>
      <c r="G1442" s="417" t="s">
        <v>87</v>
      </c>
      <c r="H1442" s="417" t="s">
        <v>280</v>
      </c>
      <c r="J1442" s="417" t="s">
        <v>78</v>
      </c>
      <c r="K1442" s="417" t="s">
        <v>78</v>
      </c>
      <c r="L1442" s="417" t="s">
        <v>79</v>
      </c>
      <c r="M1442" s="417" t="s">
        <v>2306</v>
      </c>
      <c r="N1442" s="417" t="s">
        <v>124</v>
      </c>
      <c r="O1442" s="417" t="s">
        <v>167</v>
      </c>
      <c r="Q1442" s="2"/>
      <c r="R1442" s="64" t="s">
        <v>344</v>
      </c>
      <c r="T1442" s="67"/>
      <c r="Y1442" s="417" t="str">
        <f t="shared" ref="Y1442" si="3012">IF(Q1442&gt;0,"Obsolete",IF(S1442&gt;0,S1442,"Unknown"))</f>
        <v>Unknown</v>
      </c>
      <c r="Z1442" s="11" t="str">
        <f t="shared" ref="Z1442" si="3013">IF(Q1442="Obsolete-LQA",C1442,IF(Q1442="Obsolete-IT",B1442,""))</f>
        <v/>
      </c>
      <c r="AA1442" s="417" t="str">
        <f t="shared" ref="AA1442" si="3014">IFERROR(YEAR(Z1442)&amp;" - "&amp; IF(LEN( WEEKNUM(Z1442))=1,"0" &amp; WEEKNUM(Z1442),WEEKNUM(Z1442)),"")</f>
        <v/>
      </c>
      <c r="AB1442" s="417" t="str">
        <f t="shared" ref="AB1442" si="3015">IFERROR(YEAR(Z1442),"")</f>
        <v/>
      </c>
    </row>
    <row r="1443" spans="2:28" x14ac:dyDescent="0.25">
      <c r="B1443" s="65">
        <v>42059</v>
      </c>
      <c r="C1443" s="66">
        <v>42059</v>
      </c>
      <c r="D1443" s="68">
        <f t="shared" si="3009"/>
        <v>2</v>
      </c>
      <c r="E1443" s="66" t="str">
        <f t="shared" si="3010"/>
        <v>2015-Feb</v>
      </c>
      <c r="F1443" s="68">
        <f t="shared" si="3011"/>
        <v>2</v>
      </c>
      <c r="G1443" s="417" t="s">
        <v>93</v>
      </c>
      <c r="H1443" s="417" t="s">
        <v>115</v>
      </c>
      <c r="J1443" s="417" t="s">
        <v>119</v>
      </c>
      <c r="K1443" s="417" t="s">
        <v>119</v>
      </c>
      <c r="L1443" s="417" t="s">
        <v>79</v>
      </c>
      <c r="M1443" s="1" t="s">
        <v>2307</v>
      </c>
      <c r="N1443" s="417" t="s">
        <v>124</v>
      </c>
      <c r="O1443" s="417" t="s">
        <v>353</v>
      </c>
      <c r="P1443" s="64" t="s">
        <v>2308</v>
      </c>
      <c r="Q1443" s="2" t="s">
        <v>88</v>
      </c>
      <c r="R1443" s="64" t="s">
        <v>1777</v>
      </c>
      <c r="Y1443" s="424" t="str">
        <f t="shared" ref="Y1443:Y1488" si="3016">IF(Q1443&gt;0,"Obsolete",IF(S1443&gt;0,S1443,"Unknown"))</f>
        <v>Obsolete</v>
      </c>
      <c r="Z1443" s="11">
        <f t="shared" ref="Z1443:Z1488" si="3017">IF(Q1443="Obsolete-LQA",C1443,IF(Q1443="Obsolete-IT",B1443,""))</f>
        <v>42059</v>
      </c>
      <c r="AA1443" s="424" t="str">
        <f t="shared" ref="AA1443:AA1488" si="3018">IFERROR(YEAR(Z1443)&amp;" - "&amp; IF(LEN( WEEKNUM(Z1443))=1,"0" &amp; WEEKNUM(Z1443),WEEKNUM(Z1443)),"")</f>
        <v>2015 - 09</v>
      </c>
      <c r="AB1443" s="424">
        <f t="shared" ref="AB1443:AB1488" si="3019">IFERROR(YEAR(Z1443),"")</f>
        <v>2015</v>
      </c>
    </row>
    <row r="1444" spans="2:28" s="417" customFormat="1" x14ac:dyDescent="0.25">
      <c r="B1444" s="65">
        <v>42059</v>
      </c>
      <c r="C1444" s="66">
        <v>42059</v>
      </c>
      <c r="D1444" s="68">
        <f t="shared" ref="D1444:D1445" si="3020">IF(B1444&gt;0,MONTH(B1444),"False")</f>
        <v>2</v>
      </c>
      <c r="E1444" s="66" t="str">
        <f t="shared" ref="E1444:E1445" si="3021">YEAR(B1444) &amp; CHOOSE(D1444,"-Jan","-Feb","-Mar","-Apr","-May","-Jun","-Jul","-Aug","-Sep","-Oct","-Nov","-Dec")</f>
        <v>2015-Feb</v>
      </c>
      <c r="F1444" s="68">
        <f t="shared" ref="F1444:F1445" si="3022">IF(C1444&gt;0,MONTH(C1444),"False")</f>
        <v>2</v>
      </c>
      <c r="G1444" s="417" t="s">
        <v>93</v>
      </c>
      <c r="H1444" s="417" t="s">
        <v>115</v>
      </c>
      <c r="J1444" s="417" t="s">
        <v>119</v>
      </c>
      <c r="K1444" s="417" t="s">
        <v>119</v>
      </c>
      <c r="L1444" s="417" t="s">
        <v>79</v>
      </c>
      <c r="M1444" s="417" t="s">
        <v>2309</v>
      </c>
      <c r="N1444" s="417" t="s">
        <v>124</v>
      </c>
      <c r="O1444" s="417" t="s">
        <v>353</v>
      </c>
      <c r="P1444" s="64" t="s">
        <v>2308</v>
      </c>
      <c r="Q1444" s="2" t="s">
        <v>88</v>
      </c>
      <c r="R1444" s="64" t="s">
        <v>1777</v>
      </c>
      <c r="T1444" s="67"/>
      <c r="Y1444" s="424" t="str">
        <f t="shared" si="3016"/>
        <v>Obsolete</v>
      </c>
      <c r="Z1444" s="11">
        <f t="shared" si="3017"/>
        <v>42059</v>
      </c>
      <c r="AA1444" s="424" t="str">
        <f t="shared" si="3018"/>
        <v>2015 - 09</v>
      </c>
      <c r="AB1444" s="424">
        <f t="shared" si="3019"/>
        <v>2015</v>
      </c>
    </row>
    <row r="1445" spans="2:28" x14ac:dyDescent="0.25">
      <c r="B1445" s="66">
        <v>42060</v>
      </c>
      <c r="C1445" s="66">
        <v>42060</v>
      </c>
      <c r="D1445" s="68">
        <f t="shared" si="3020"/>
        <v>2</v>
      </c>
      <c r="E1445" s="66" t="str">
        <f t="shared" si="3021"/>
        <v>2015-Feb</v>
      </c>
      <c r="F1445" s="68">
        <f t="shared" si="3022"/>
        <v>2</v>
      </c>
      <c r="G1445" s="418" t="s">
        <v>112</v>
      </c>
      <c r="H1445" s="418" t="s">
        <v>166</v>
      </c>
      <c r="J1445" s="418" t="s">
        <v>78</v>
      </c>
      <c r="K1445" s="418" t="s">
        <v>78</v>
      </c>
      <c r="L1445" s="418" t="s">
        <v>79</v>
      </c>
      <c r="M1445" s="1" t="s">
        <v>2310</v>
      </c>
      <c r="N1445" s="418" t="s">
        <v>124</v>
      </c>
      <c r="O1445" s="418" t="s">
        <v>287</v>
      </c>
      <c r="R1445" s="64" t="s">
        <v>488</v>
      </c>
      <c r="S1445" s="1" t="s">
        <v>104</v>
      </c>
      <c r="X1445" s="1" t="s">
        <v>300</v>
      </c>
      <c r="Y1445" s="424" t="str">
        <f t="shared" si="3016"/>
        <v>Pass</v>
      </c>
      <c r="Z1445" s="11" t="str">
        <f t="shared" si="3017"/>
        <v/>
      </c>
      <c r="AA1445" s="424" t="str">
        <f t="shared" si="3018"/>
        <v/>
      </c>
      <c r="AB1445" s="424" t="str">
        <f t="shared" si="3019"/>
        <v/>
      </c>
    </row>
    <row r="1446" spans="2:28" x14ac:dyDescent="0.25">
      <c r="B1446" s="66">
        <v>42061</v>
      </c>
      <c r="C1446" s="66">
        <v>42061</v>
      </c>
      <c r="D1446" s="68">
        <f t="shared" ref="D1446" si="3023">IF(B1446&gt;0,MONTH(B1446),"False")</f>
        <v>2</v>
      </c>
      <c r="E1446" s="66" t="str">
        <f t="shared" ref="E1446" si="3024">YEAR(B1446) &amp; CHOOSE(D1446,"-Jan","-Feb","-Mar","-Apr","-May","-Jun","-Jul","-Aug","-Sep","-Oct","-Nov","-Dec")</f>
        <v>2015-Feb</v>
      </c>
      <c r="F1446" s="68">
        <f t="shared" ref="F1446" si="3025">IF(C1446&gt;0,MONTH(C1446),"False")</f>
        <v>2</v>
      </c>
      <c r="G1446" s="419" t="s">
        <v>112</v>
      </c>
      <c r="H1446" s="419" t="s">
        <v>1685</v>
      </c>
      <c r="J1446" s="419" t="s">
        <v>78</v>
      </c>
      <c r="K1446" s="419" t="s">
        <v>78</v>
      </c>
      <c r="L1446" s="419" t="s">
        <v>79</v>
      </c>
      <c r="M1446" s="1" t="s">
        <v>2311</v>
      </c>
      <c r="N1446" s="419" t="s">
        <v>124</v>
      </c>
      <c r="O1446" s="419" t="s">
        <v>287</v>
      </c>
      <c r="R1446" s="64" t="s">
        <v>2037</v>
      </c>
      <c r="S1446" s="1" t="s">
        <v>104</v>
      </c>
      <c r="X1446" s="1" t="s">
        <v>154</v>
      </c>
      <c r="Y1446" s="424" t="str">
        <f t="shared" si="3016"/>
        <v>Pass</v>
      </c>
      <c r="Z1446" s="11" t="str">
        <f t="shared" si="3017"/>
        <v/>
      </c>
      <c r="AA1446" s="424" t="str">
        <f t="shared" si="3018"/>
        <v/>
      </c>
      <c r="AB1446" s="424" t="str">
        <f t="shared" si="3019"/>
        <v/>
      </c>
    </row>
    <row r="1447" spans="2:28" x14ac:dyDescent="0.25">
      <c r="B1447" s="66">
        <v>42061</v>
      </c>
      <c r="C1447" s="66">
        <v>42061</v>
      </c>
      <c r="D1447" s="68">
        <f t="shared" ref="D1447" si="3026">IF(B1447&gt;0,MONTH(B1447),"False")</f>
        <v>2</v>
      </c>
      <c r="E1447" s="66" t="str">
        <f t="shared" ref="E1447" si="3027">YEAR(B1447) &amp; CHOOSE(D1447,"-Jan","-Feb","-Mar","-Apr","-May","-Jun","-Jul","-Aug","-Sep","-Oct","-Nov","-Dec")</f>
        <v>2015-Feb</v>
      </c>
      <c r="F1447" s="68">
        <f t="shared" ref="F1447" si="3028">IF(C1447&gt;0,MONTH(C1447),"False")</f>
        <v>2</v>
      </c>
      <c r="G1447" s="419" t="s">
        <v>87</v>
      </c>
      <c r="H1447" s="419" t="s">
        <v>166</v>
      </c>
      <c r="J1447" s="419" t="s">
        <v>150</v>
      </c>
      <c r="K1447" s="419" t="s">
        <v>84</v>
      </c>
      <c r="L1447" s="419" t="s">
        <v>83</v>
      </c>
      <c r="M1447" s="1" t="s">
        <v>2312</v>
      </c>
      <c r="N1447" s="419" t="s">
        <v>124</v>
      </c>
      <c r="O1447" s="419" t="s">
        <v>264</v>
      </c>
      <c r="R1447" s="64" t="s">
        <v>2313</v>
      </c>
      <c r="T1447" s="67" t="s">
        <v>110</v>
      </c>
      <c r="Y1447" s="424" t="str">
        <f t="shared" si="3016"/>
        <v>Unknown</v>
      </c>
      <c r="Z1447" s="11" t="str">
        <f t="shared" si="3017"/>
        <v/>
      </c>
      <c r="AA1447" s="424" t="str">
        <f t="shared" si="3018"/>
        <v/>
      </c>
      <c r="AB1447" s="424" t="str">
        <f t="shared" si="3019"/>
        <v/>
      </c>
    </row>
    <row r="1448" spans="2:28" x14ac:dyDescent="0.25">
      <c r="B1448" s="66">
        <v>42061</v>
      </c>
      <c r="C1448" s="66">
        <v>42061</v>
      </c>
      <c r="D1448" s="68">
        <f t="shared" ref="D1448:D1449" si="3029">IF(B1448&gt;0,MONTH(B1448),"False")</f>
        <v>2</v>
      </c>
      <c r="E1448" s="66" t="str">
        <f t="shared" ref="E1448:E1449" si="3030">YEAR(B1448) &amp; CHOOSE(D1448,"-Jan","-Feb","-Mar","-Apr","-May","-Jun","-Jul","-Aug","-Sep","-Oct","-Nov","-Dec")</f>
        <v>2015-Feb</v>
      </c>
      <c r="F1448" s="68">
        <f t="shared" ref="F1448:F1449" si="3031">IF(C1448&gt;0,MONTH(C1448),"False")</f>
        <v>2</v>
      </c>
      <c r="G1448" s="419" t="s">
        <v>87</v>
      </c>
      <c r="H1448" s="419" t="s">
        <v>166</v>
      </c>
      <c r="J1448" s="419" t="s">
        <v>119</v>
      </c>
      <c r="K1448" s="419" t="s">
        <v>119</v>
      </c>
      <c r="L1448" s="419" t="s">
        <v>83</v>
      </c>
      <c r="M1448" s="1" t="s">
        <v>2314</v>
      </c>
      <c r="N1448" s="419" t="s">
        <v>124</v>
      </c>
      <c r="O1448" s="419" t="s">
        <v>589</v>
      </c>
      <c r="R1448" s="64" t="s">
        <v>473</v>
      </c>
      <c r="Y1448" s="424" t="str">
        <f t="shared" si="3016"/>
        <v>Unknown</v>
      </c>
      <c r="Z1448" s="11" t="str">
        <f t="shared" si="3017"/>
        <v/>
      </c>
      <c r="AA1448" s="424" t="str">
        <f t="shared" si="3018"/>
        <v/>
      </c>
      <c r="AB1448" s="424" t="str">
        <f t="shared" si="3019"/>
        <v/>
      </c>
    </row>
    <row r="1449" spans="2:28" x14ac:dyDescent="0.25">
      <c r="B1449" s="65">
        <v>42061</v>
      </c>
      <c r="C1449" s="66">
        <v>42061</v>
      </c>
      <c r="D1449" s="68">
        <f t="shared" si="3029"/>
        <v>2</v>
      </c>
      <c r="E1449" s="66" t="str">
        <f t="shared" si="3030"/>
        <v>2015-Feb</v>
      </c>
      <c r="F1449" s="68">
        <f t="shared" si="3031"/>
        <v>2</v>
      </c>
      <c r="G1449" s="419" t="s">
        <v>121</v>
      </c>
      <c r="H1449" s="419" t="s">
        <v>1745</v>
      </c>
      <c r="J1449" s="419" t="s">
        <v>81</v>
      </c>
      <c r="K1449" s="419" t="s">
        <v>82</v>
      </c>
      <c r="L1449" s="419" t="s">
        <v>79</v>
      </c>
      <c r="M1449" s="1" t="s">
        <v>2315</v>
      </c>
      <c r="N1449" s="419" t="s">
        <v>124</v>
      </c>
      <c r="O1449" s="419" t="s">
        <v>273</v>
      </c>
      <c r="P1449" s="64" t="s">
        <v>1824</v>
      </c>
      <c r="R1449" s="64" t="s">
        <v>1823</v>
      </c>
      <c r="S1449" s="1" t="s">
        <v>104</v>
      </c>
      <c r="X1449" s="1" t="s">
        <v>158</v>
      </c>
      <c r="Y1449" s="424" t="str">
        <f t="shared" si="3016"/>
        <v>Pass</v>
      </c>
      <c r="Z1449" s="11" t="str">
        <f t="shared" si="3017"/>
        <v/>
      </c>
      <c r="AA1449" s="424" t="str">
        <f t="shared" si="3018"/>
        <v/>
      </c>
      <c r="AB1449" s="424" t="str">
        <f t="shared" si="3019"/>
        <v/>
      </c>
    </row>
    <row r="1450" spans="2:28" x14ac:dyDescent="0.25">
      <c r="B1450" s="65">
        <v>42062</v>
      </c>
      <c r="C1450" s="66">
        <v>42062</v>
      </c>
      <c r="D1450" s="68">
        <f t="shared" ref="D1450" si="3032">IF(B1450&gt;0,MONTH(B1450),"False")</f>
        <v>2</v>
      </c>
      <c r="E1450" s="66" t="str">
        <f t="shared" ref="E1450" si="3033">YEAR(B1450) &amp; CHOOSE(D1450,"-Jan","-Feb","-Mar","-Apr","-May","-Jun","-Jul","-Aug","-Sep","-Oct","-Nov","-Dec")</f>
        <v>2015-Feb</v>
      </c>
      <c r="F1450" s="68">
        <f t="shared" ref="F1450" si="3034">IF(C1450&gt;0,MONTH(C1450),"False")</f>
        <v>2</v>
      </c>
      <c r="G1450" s="420" t="s">
        <v>121</v>
      </c>
      <c r="H1450" s="1" t="s">
        <v>115</v>
      </c>
      <c r="J1450" s="1" t="s">
        <v>119</v>
      </c>
      <c r="K1450" s="1" t="s">
        <v>119</v>
      </c>
      <c r="L1450" s="1" t="s">
        <v>79</v>
      </c>
      <c r="M1450" s="1" t="s">
        <v>2316</v>
      </c>
      <c r="N1450" s="1" t="s">
        <v>124</v>
      </c>
      <c r="O1450" s="1" t="s">
        <v>353</v>
      </c>
      <c r="P1450" s="422" t="s">
        <v>1777</v>
      </c>
      <c r="R1450" s="422" t="s">
        <v>2308</v>
      </c>
      <c r="S1450" s="1" t="s">
        <v>104</v>
      </c>
      <c r="T1450" s="67" t="s">
        <v>110</v>
      </c>
      <c r="X1450" s="1" t="s">
        <v>259</v>
      </c>
      <c r="Y1450" s="424" t="str">
        <f t="shared" si="3016"/>
        <v>Pass</v>
      </c>
      <c r="Z1450" s="11" t="str">
        <f t="shared" si="3017"/>
        <v/>
      </c>
      <c r="AA1450" s="424" t="str">
        <f t="shared" si="3018"/>
        <v/>
      </c>
      <c r="AB1450" s="424" t="str">
        <f t="shared" si="3019"/>
        <v/>
      </c>
    </row>
    <row r="1451" spans="2:28" s="420" customFormat="1" x14ac:dyDescent="0.25">
      <c r="B1451" s="65">
        <v>42062</v>
      </c>
      <c r="C1451" s="66">
        <v>42062</v>
      </c>
      <c r="D1451" s="68">
        <f t="shared" ref="D1451:D1452" si="3035">IF(B1451&gt;0,MONTH(B1451),"False")</f>
        <v>2</v>
      </c>
      <c r="E1451" s="66" t="str">
        <f t="shared" ref="E1451:E1452" si="3036">YEAR(B1451) &amp; CHOOSE(D1451,"-Jan","-Feb","-Mar","-Apr","-May","-Jun","-Jul","-Aug","-Sep","-Oct","-Nov","-Dec")</f>
        <v>2015-Feb</v>
      </c>
      <c r="F1451" s="68">
        <f t="shared" ref="F1451:F1452" si="3037">IF(C1451&gt;0,MONTH(C1451),"False")</f>
        <v>2</v>
      </c>
      <c r="G1451" s="420" t="s">
        <v>121</v>
      </c>
      <c r="H1451" s="420" t="s">
        <v>115</v>
      </c>
      <c r="J1451" s="420" t="s">
        <v>119</v>
      </c>
      <c r="K1451" s="420" t="s">
        <v>119</v>
      </c>
      <c r="L1451" s="420" t="s">
        <v>79</v>
      </c>
      <c r="M1451" s="420" t="s">
        <v>2317</v>
      </c>
      <c r="N1451" s="420" t="s">
        <v>124</v>
      </c>
      <c r="O1451" s="420" t="s">
        <v>353</v>
      </c>
      <c r="P1451" s="422" t="s">
        <v>1777</v>
      </c>
      <c r="Q1451" s="2"/>
      <c r="R1451" s="422" t="s">
        <v>2308</v>
      </c>
      <c r="S1451" s="420" t="s">
        <v>104</v>
      </c>
      <c r="T1451" s="67" t="s">
        <v>110</v>
      </c>
      <c r="X1451" s="420" t="s">
        <v>259</v>
      </c>
      <c r="Y1451" s="424" t="str">
        <f t="shared" si="3016"/>
        <v>Pass</v>
      </c>
      <c r="Z1451" s="11" t="str">
        <f t="shared" si="3017"/>
        <v/>
      </c>
      <c r="AA1451" s="424" t="str">
        <f t="shared" si="3018"/>
        <v/>
      </c>
      <c r="AB1451" s="424" t="str">
        <f t="shared" si="3019"/>
        <v/>
      </c>
    </row>
    <row r="1452" spans="2:28" x14ac:dyDescent="0.25">
      <c r="B1452" s="66">
        <v>42062</v>
      </c>
      <c r="C1452" s="66">
        <v>42062</v>
      </c>
      <c r="D1452" s="68">
        <f t="shared" si="3035"/>
        <v>2</v>
      </c>
      <c r="E1452" s="66" t="str">
        <f t="shared" si="3036"/>
        <v>2015-Feb</v>
      </c>
      <c r="F1452" s="68">
        <f t="shared" si="3037"/>
        <v>2</v>
      </c>
      <c r="G1452" s="420" t="s">
        <v>112</v>
      </c>
      <c r="H1452" s="420" t="s">
        <v>1745</v>
      </c>
      <c r="J1452" s="1" t="s">
        <v>78</v>
      </c>
      <c r="K1452" s="1" t="s">
        <v>78</v>
      </c>
      <c r="L1452" s="1" t="s">
        <v>79</v>
      </c>
      <c r="M1452" s="1" t="s">
        <v>2318</v>
      </c>
      <c r="N1452" s="1" t="s">
        <v>124</v>
      </c>
      <c r="O1452" s="1" t="s">
        <v>168</v>
      </c>
      <c r="R1452" s="422" t="s">
        <v>1796</v>
      </c>
      <c r="S1452" s="1" t="s">
        <v>104</v>
      </c>
      <c r="X1452" s="1" t="s">
        <v>2895</v>
      </c>
      <c r="Y1452" s="424" t="str">
        <f t="shared" si="3016"/>
        <v>Pass</v>
      </c>
      <c r="Z1452" s="11" t="str">
        <f t="shared" si="3017"/>
        <v/>
      </c>
      <c r="AA1452" s="424" t="str">
        <f t="shared" si="3018"/>
        <v/>
      </c>
      <c r="AB1452" s="424" t="str">
        <f t="shared" si="3019"/>
        <v/>
      </c>
    </row>
    <row r="1453" spans="2:28" x14ac:dyDescent="0.25">
      <c r="B1453" s="65">
        <v>42062</v>
      </c>
      <c r="C1453" s="66">
        <v>42062</v>
      </c>
      <c r="D1453" s="68">
        <f t="shared" ref="D1453" si="3038">IF(B1453&gt;0,MONTH(B1453),"False")</f>
        <v>2</v>
      </c>
      <c r="E1453" s="66" t="str">
        <f t="shared" ref="E1453" si="3039">YEAR(B1453) &amp; CHOOSE(D1453,"-Jan","-Feb","-Mar","-Apr","-May","-Jun","-Jul","-Aug","-Sep","-Oct","-Nov","-Dec")</f>
        <v>2015-Feb</v>
      </c>
      <c r="F1453" s="68">
        <f t="shared" ref="F1453" si="3040">IF(C1453&gt;0,MONTH(C1453),"False")</f>
        <v>2</v>
      </c>
      <c r="G1453" s="420" t="s">
        <v>121</v>
      </c>
      <c r="H1453" s="420" t="s">
        <v>1745</v>
      </c>
      <c r="I1453" s="1" t="s">
        <v>2384</v>
      </c>
      <c r="J1453" s="1" t="s">
        <v>81</v>
      </c>
      <c r="K1453" s="1" t="s">
        <v>82</v>
      </c>
      <c r="L1453" s="1" t="s">
        <v>79</v>
      </c>
      <c r="M1453" s="1" t="s">
        <v>2319</v>
      </c>
      <c r="N1453" s="1" t="s">
        <v>124</v>
      </c>
      <c r="O1453" s="1" t="s">
        <v>2072</v>
      </c>
      <c r="P1453" s="422" t="s">
        <v>1823</v>
      </c>
      <c r="R1453" s="422" t="s">
        <v>1824</v>
      </c>
      <c r="S1453" s="1" t="s">
        <v>104</v>
      </c>
      <c r="X1453" s="1" t="s">
        <v>158</v>
      </c>
      <c r="Y1453" s="424" t="str">
        <f t="shared" si="3016"/>
        <v>Pass</v>
      </c>
      <c r="Z1453" s="11" t="str">
        <f t="shared" si="3017"/>
        <v/>
      </c>
      <c r="AA1453" s="424" t="str">
        <f t="shared" si="3018"/>
        <v/>
      </c>
      <c r="AB1453" s="424" t="str">
        <f t="shared" si="3019"/>
        <v/>
      </c>
    </row>
    <row r="1454" spans="2:28" x14ac:dyDescent="0.25">
      <c r="B1454" s="65">
        <v>42065</v>
      </c>
      <c r="C1454" s="66">
        <v>42065</v>
      </c>
      <c r="D1454" s="68">
        <f t="shared" ref="D1454" si="3041">IF(B1454&gt;0,MONTH(B1454),"False")</f>
        <v>3</v>
      </c>
      <c r="E1454" s="66" t="str">
        <f t="shared" ref="E1454" si="3042">YEAR(B1454) &amp; CHOOSE(D1454,"-Jan","-Feb","-Mar","-Apr","-May","-Jun","-Jul","-Aug","-Sep","-Oct","-Nov","-Dec")</f>
        <v>2015-Mar</v>
      </c>
      <c r="F1454" s="68">
        <f t="shared" ref="F1454" si="3043">IF(C1454&gt;0,MONTH(C1454),"False")</f>
        <v>3</v>
      </c>
      <c r="G1454" s="421" t="s">
        <v>93</v>
      </c>
      <c r="H1454" s="1" t="s">
        <v>316</v>
      </c>
      <c r="J1454" s="1" t="s">
        <v>77</v>
      </c>
      <c r="K1454" s="1" t="s">
        <v>82</v>
      </c>
      <c r="L1454" s="1" t="s">
        <v>79</v>
      </c>
      <c r="M1454" s="1" t="s">
        <v>2320</v>
      </c>
      <c r="N1454" s="1" t="s">
        <v>124</v>
      </c>
      <c r="O1454" s="1" t="s">
        <v>285</v>
      </c>
      <c r="P1454" s="422" t="s">
        <v>340</v>
      </c>
      <c r="Q1454" s="2" t="s">
        <v>88</v>
      </c>
      <c r="R1454" s="422" t="s">
        <v>705</v>
      </c>
      <c r="Y1454" s="424" t="str">
        <f t="shared" si="3016"/>
        <v>Obsolete</v>
      </c>
      <c r="Z1454" s="11">
        <f t="shared" si="3017"/>
        <v>42065</v>
      </c>
      <c r="AA1454" s="424" t="str">
        <f t="shared" si="3018"/>
        <v>2015 - 10</v>
      </c>
      <c r="AB1454" s="424">
        <f t="shared" si="3019"/>
        <v>2015</v>
      </c>
    </row>
    <row r="1455" spans="2:28" x14ac:dyDescent="0.25">
      <c r="B1455" s="65">
        <v>42065</v>
      </c>
      <c r="C1455" s="66">
        <v>42065</v>
      </c>
      <c r="D1455" s="68">
        <f t="shared" ref="D1455:D1456" si="3044">IF(B1455&gt;0,MONTH(B1455),"False")</f>
        <v>3</v>
      </c>
      <c r="E1455" s="66" t="str">
        <f t="shared" ref="E1455:E1456" si="3045">YEAR(B1455) &amp; CHOOSE(D1455,"-Jan","-Feb","-Mar","-Apr","-May","-Jun","-Jul","-Aug","-Sep","-Oct","-Nov","-Dec")</f>
        <v>2015-Mar</v>
      </c>
      <c r="F1455" s="68">
        <f t="shared" ref="F1455:F1456" si="3046">IF(C1455&gt;0,MONTH(C1455),"False")</f>
        <v>3</v>
      </c>
      <c r="G1455" s="421" t="s">
        <v>121</v>
      </c>
      <c r="H1455" s="421" t="s">
        <v>316</v>
      </c>
      <c r="I1455" s="421"/>
      <c r="J1455" s="421" t="s">
        <v>77</v>
      </c>
      <c r="K1455" s="421" t="s">
        <v>82</v>
      </c>
      <c r="L1455" s="421" t="s">
        <v>79</v>
      </c>
      <c r="M1455" s="1" t="s">
        <v>2321</v>
      </c>
      <c r="N1455" s="421" t="s">
        <v>124</v>
      </c>
      <c r="O1455" s="421" t="s">
        <v>285</v>
      </c>
      <c r="P1455" s="422" t="s">
        <v>340</v>
      </c>
      <c r="R1455" s="422" t="s">
        <v>705</v>
      </c>
      <c r="S1455" s="421" t="s">
        <v>104</v>
      </c>
      <c r="X1455" s="1" t="s">
        <v>300</v>
      </c>
      <c r="Y1455" s="424" t="str">
        <f t="shared" si="3016"/>
        <v>Pass</v>
      </c>
      <c r="Z1455" s="11" t="str">
        <f t="shared" si="3017"/>
        <v/>
      </c>
      <c r="AA1455" s="424" t="str">
        <f t="shared" si="3018"/>
        <v/>
      </c>
      <c r="AB1455" s="424" t="str">
        <f t="shared" si="3019"/>
        <v/>
      </c>
    </row>
    <row r="1456" spans="2:28" x14ac:dyDescent="0.25">
      <c r="B1456" s="66">
        <v>42065</v>
      </c>
      <c r="C1456" s="66">
        <v>42065</v>
      </c>
      <c r="D1456" s="68">
        <f t="shared" si="3044"/>
        <v>3</v>
      </c>
      <c r="E1456" s="66" t="str">
        <f t="shared" si="3045"/>
        <v>2015-Mar</v>
      </c>
      <c r="F1456" s="68">
        <f t="shared" si="3046"/>
        <v>3</v>
      </c>
      <c r="G1456" s="421" t="s">
        <v>112</v>
      </c>
      <c r="H1456" s="1" t="s">
        <v>280</v>
      </c>
      <c r="J1456" s="1" t="s">
        <v>78</v>
      </c>
      <c r="K1456" s="1" t="s">
        <v>78</v>
      </c>
      <c r="L1456" s="1" t="s">
        <v>79</v>
      </c>
      <c r="M1456" s="1" t="s">
        <v>2322</v>
      </c>
      <c r="N1456" s="1" t="s">
        <v>124</v>
      </c>
      <c r="O1456" s="1" t="s">
        <v>138</v>
      </c>
      <c r="R1456" s="422" t="s">
        <v>344</v>
      </c>
      <c r="S1456" s="1" t="s">
        <v>104</v>
      </c>
      <c r="X1456" s="424" t="s">
        <v>544</v>
      </c>
      <c r="Y1456" s="424" t="str">
        <f t="shared" si="3016"/>
        <v>Pass</v>
      </c>
      <c r="Z1456" s="11" t="str">
        <f t="shared" si="3017"/>
        <v/>
      </c>
      <c r="AA1456" s="424" t="str">
        <f t="shared" si="3018"/>
        <v/>
      </c>
      <c r="AB1456" s="424" t="str">
        <f t="shared" si="3019"/>
        <v/>
      </c>
    </row>
    <row r="1457" spans="2:28" x14ac:dyDescent="0.25">
      <c r="B1457" s="65">
        <v>42066</v>
      </c>
      <c r="C1457" s="66">
        <v>42066</v>
      </c>
      <c r="D1457" s="68">
        <f t="shared" ref="D1457:D1458" si="3047">IF(B1457&gt;0,MONTH(B1457),"False")</f>
        <v>3</v>
      </c>
      <c r="E1457" s="66" t="str">
        <f t="shared" ref="E1457:E1458" si="3048">YEAR(B1457) &amp; CHOOSE(D1457,"-Jan","-Feb","-Mar","-Apr","-May","-Jun","-Jul","-Aug","-Sep","-Oct","-Nov","-Dec")</f>
        <v>2015-Mar</v>
      </c>
      <c r="F1457" s="68">
        <f t="shared" ref="F1457:F1458" si="3049">IF(C1457&gt;0,MONTH(C1457),"False")</f>
        <v>3</v>
      </c>
      <c r="G1457" s="423" t="s">
        <v>121</v>
      </c>
      <c r="H1457" s="423" t="s">
        <v>1745</v>
      </c>
      <c r="I1457" s="435" t="s">
        <v>2188</v>
      </c>
      <c r="J1457" s="423" t="s">
        <v>81</v>
      </c>
      <c r="K1457" s="423" t="s">
        <v>82</v>
      </c>
      <c r="L1457" s="423" t="s">
        <v>79</v>
      </c>
      <c r="M1457" s="1" t="s">
        <v>2328</v>
      </c>
      <c r="N1457" s="1" t="s">
        <v>124</v>
      </c>
      <c r="O1457" s="1" t="s">
        <v>2072</v>
      </c>
      <c r="P1457" s="422" t="s">
        <v>1823</v>
      </c>
      <c r="R1457" s="422" t="s">
        <v>1824</v>
      </c>
      <c r="S1457" s="1" t="s">
        <v>104</v>
      </c>
      <c r="X1457" s="564" t="s">
        <v>158</v>
      </c>
      <c r="Y1457" s="424" t="str">
        <f t="shared" si="3016"/>
        <v>Pass</v>
      </c>
      <c r="Z1457" s="11" t="str">
        <f t="shared" si="3017"/>
        <v/>
      </c>
      <c r="AA1457" s="424" t="str">
        <f t="shared" si="3018"/>
        <v/>
      </c>
      <c r="AB1457" s="424" t="str">
        <f t="shared" si="3019"/>
        <v/>
      </c>
    </row>
    <row r="1458" spans="2:28" x14ac:dyDescent="0.25">
      <c r="B1458" s="66">
        <v>42067</v>
      </c>
      <c r="C1458" s="66">
        <v>42067</v>
      </c>
      <c r="D1458" s="68">
        <f t="shared" si="3047"/>
        <v>3</v>
      </c>
      <c r="E1458" s="66" t="str">
        <f t="shared" si="3048"/>
        <v>2015-Mar</v>
      </c>
      <c r="F1458" s="68">
        <f t="shared" si="3049"/>
        <v>3</v>
      </c>
      <c r="G1458" s="423" t="s">
        <v>112</v>
      </c>
      <c r="H1458" s="1" t="s">
        <v>28</v>
      </c>
      <c r="J1458" s="1" t="s">
        <v>78</v>
      </c>
      <c r="K1458" s="1" t="s">
        <v>78</v>
      </c>
      <c r="L1458" s="1" t="s">
        <v>79</v>
      </c>
      <c r="M1458" s="1" t="s">
        <v>2329</v>
      </c>
      <c r="N1458" s="1" t="s">
        <v>124</v>
      </c>
      <c r="O1458" s="1" t="s">
        <v>168</v>
      </c>
      <c r="R1458" s="422" t="s">
        <v>308</v>
      </c>
      <c r="S1458" s="1" t="s">
        <v>104</v>
      </c>
      <c r="X1458" s="1" t="s">
        <v>155</v>
      </c>
      <c r="Y1458" s="424" t="str">
        <f t="shared" si="3016"/>
        <v>Pass</v>
      </c>
      <c r="Z1458" s="11" t="str">
        <f t="shared" si="3017"/>
        <v/>
      </c>
      <c r="AA1458" s="424" t="str">
        <f t="shared" si="3018"/>
        <v/>
      </c>
      <c r="AB1458" s="424" t="str">
        <f t="shared" si="3019"/>
        <v/>
      </c>
    </row>
    <row r="1459" spans="2:28" x14ac:dyDescent="0.25">
      <c r="B1459" s="66">
        <v>42067</v>
      </c>
      <c r="C1459" s="66">
        <v>42067</v>
      </c>
      <c r="D1459" s="68">
        <f t="shared" ref="D1459" si="3050">IF(B1459&gt;0,MONTH(B1459),"False")</f>
        <v>3</v>
      </c>
      <c r="E1459" s="66" t="str">
        <f t="shared" ref="E1459" si="3051">YEAR(B1459) &amp; CHOOSE(D1459,"-Jan","-Feb","-Mar","-Apr","-May","-Jun","-Jul","-Aug","-Sep","-Oct","-Nov","-Dec")</f>
        <v>2015-Mar</v>
      </c>
      <c r="F1459" s="68">
        <f t="shared" ref="F1459" si="3052">IF(C1459&gt;0,MONTH(C1459),"False")</f>
        <v>3</v>
      </c>
      <c r="G1459" s="423" t="s">
        <v>87</v>
      </c>
      <c r="H1459" s="1" t="s">
        <v>166</v>
      </c>
      <c r="J1459" s="1" t="s">
        <v>333</v>
      </c>
      <c r="K1459" s="1" t="s">
        <v>84</v>
      </c>
      <c r="L1459" s="1" t="s">
        <v>83</v>
      </c>
      <c r="M1459" s="1" t="s">
        <v>2330</v>
      </c>
      <c r="N1459" s="1" t="s">
        <v>124</v>
      </c>
      <c r="O1459" s="1" t="s">
        <v>148</v>
      </c>
      <c r="R1459" s="422" t="s">
        <v>2331</v>
      </c>
      <c r="Y1459" s="424" t="str">
        <f t="shared" si="3016"/>
        <v>Unknown</v>
      </c>
      <c r="Z1459" s="11" t="str">
        <f t="shared" si="3017"/>
        <v/>
      </c>
      <c r="AA1459" s="424" t="str">
        <f t="shared" si="3018"/>
        <v/>
      </c>
      <c r="AB1459" s="424" t="str">
        <f t="shared" si="3019"/>
        <v/>
      </c>
    </row>
    <row r="1460" spans="2:28" x14ac:dyDescent="0.25">
      <c r="B1460" s="66">
        <v>42067</v>
      </c>
      <c r="C1460" s="66">
        <v>42067</v>
      </c>
      <c r="D1460" s="68">
        <f t="shared" ref="D1460:D1461" si="3053">IF(B1460&gt;0,MONTH(B1460),"False")</f>
        <v>3</v>
      </c>
      <c r="E1460" s="66" t="str">
        <f t="shared" ref="E1460:E1461" si="3054">YEAR(B1460) &amp; CHOOSE(D1460,"-Jan","-Feb","-Mar","-Apr","-May","-Jun","-Jul","-Aug","-Sep","-Oct","-Nov","-Dec")</f>
        <v>2015-Mar</v>
      </c>
      <c r="F1460" s="68">
        <f t="shared" ref="F1460:F1461" si="3055">IF(C1460&gt;0,MONTH(C1460),"False")</f>
        <v>3</v>
      </c>
      <c r="G1460" s="424" t="s">
        <v>87</v>
      </c>
      <c r="H1460" s="424" t="s">
        <v>166</v>
      </c>
      <c r="J1460" s="1" t="s">
        <v>333</v>
      </c>
      <c r="K1460" s="1" t="s">
        <v>82</v>
      </c>
      <c r="L1460" s="1" t="s">
        <v>83</v>
      </c>
      <c r="M1460" s="1" t="s">
        <v>2332</v>
      </c>
      <c r="N1460" s="1" t="s">
        <v>124</v>
      </c>
      <c r="O1460" s="1" t="s">
        <v>302</v>
      </c>
      <c r="R1460" s="422" t="s">
        <v>2297</v>
      </c>
      <c r="Y1460" s="424" t="str">
        <f t="shared" si="3016"/>
        <v>Unknown</v>
      </c>
      <c r="Z1460" s="11" t="str">
        <f t="shared" si="3017"/>
        <v/>
      </c>
      <c r="AA1460" s="424" t="str">
        <f t="shared" si="3018"/>
        <v/>
      </c>
      <c r="AB1460" s="424" t="str">
        <f t="shared" si="3019"/>
        <v/>
      </c>
    </row>
    <row r="1461" spans="2:28" x14ac:dyDescent="0.25">
      <c r="B1461" s="65">
        <v>42068</v>
      </c>
      <c r="C1461" s="66">
        <v>42068</v>
      </c>
      <c r="D1461" s="68">
        <f t="shared" si="3053"/>
        <v>3</v>
      </c>
      <c r="E1461" s="66" t="str">
        <f t="shared" si="3054"/>
        <v>2015-Mar</v>
      </c>
      <c r="F1461" s="68">
        <f t="shared" si="3055"/>
        <v>3</v>
      </c>
      <c r="G1461" s="424" t="s">
        <v>121</v>
      </c>
      <c r="H1461" s="1" t="s">
        <v>280</v>
      </c>
      <c r="J1461" s="1" t="s">
        <v>81</v>
      </c>
      <c r="K1461" s="1" t="s">
        <v>82</v>
      </c>
      <c r="L1461" s="1" t="s">
        <v>79</v>
      </c>
      <c r="M1461" s="1" t="s">
        <v>2333</v>
      </c>
      <c r="N1461" s="1" t="s">
        <v>124</v>
      </c>
      <c r="O1461" s="1" t="s">
        <v>116</v>
      </c>
      <c r="P1461" s="422" t="s">
        <v>305</v>
      </c>
      <c r="R1461" s="64" t="s">
        <v>1559</v>
      </c>
      <c r="S1461" s="1" t="s">
        <v>104</v>
      </c>
      <c r="X1461" s="1" t="s">
        <v>2146</v>
      </c>
      <c r="Y1461" s="424" t="str">
        <f t="shared" si="3016"/>
        <v>Pass</v>
      </c>
      <c r="Z1461" s="11" t="str">
        <f t="shared" si="3017"/>
        <v/>
      </c>
      <c r="AA1461" s="424" t="str">
        <f t="shared" si="3018"/>
        <v/>
      </c>
      <c r="AB1461" s="424" t="str">
        <f t="shared" si="3019"/>
        <v/>
      </c>
    </row>
    <row r="1462" spans="2:28" x14ac:dyDescent="0.25">
      <c r="B1462" s="66">
        <v>42068</v>
      </c>
      <c r="C1462" s="66">
        <v>42068</v>
      </c>
      <c r="D1462" s="68">
        <f t="shared" ref="D1462" si="3056">IF(B1462&gt;0,MONTH(B1462),"False")</f>
        <v>3</v>
      </c>
      <c r="E1462" s="66" t="str">
        <f t="shared" ref="E1462" si="3057">YEAR(B1462) &amp; CHOOSE(D1462,"-Jan","-Feb","-Mar","-Apr","-May","-Jun","-Jul","-Aug","-Sep","-Oct","-Nov","-Dec")</f>
        <v>2015-Mar</v>
      </c>
      <c r="F1462" s="68">
        <f t="shared" ref="F1462" si="3058">IF(C1462&gt;0,MONTH(C1462),"False")</f>
        <v>3</v>
      </c>
      <c r="G1462" s="424" t="s">
        <v>87</v>
      </c>
      <c r="H1462" s="1" t="s">
        <v>1685</v>
      </c>
      <c r="J1462" s="1" t="s">
        <v>78</v>
      </c>
      <c r="K1462" s="1" t="s">
        <v>78</v>
      </c>
      <c r="L1462" s="1" t="s">
        <v>79</v>
      </c>
      <c r="M1462" s="1" t="s">
        <v>2339</v>
      </c>
      <c r="N1462" s="1" t="s">
        <v>124</v>
      </c>
      <c r="O1462" s="1" t="s">
        <v>287</v>
      </c>
      <c r="Q1462" s="2" t="s">
        <v>88</v>
      </c>
      <c r="R1462" s="64" t="s">
        <v>2037</v>
      </c>
      <c r="Y1462" s="424" t="str">
        <f t="shared" si="3016"/>
        <v>Obsolete</v>
      </c>
      <c r="Z1462" s="11">
        <f t="shared" si="3017"/>
        <v>42068</v>
      </c>
      <c r="AA1462" s="424" t="str">
        <f t="shared" si="3018"/>
        <v>2015 - 10</v>
      </c>
      <c r="AB1462" s="424">
        <f t="shared" si="3019"/>
        <v>2015</v>
      </c>
    </row>
    <row r="1463" spans="2:28" x14ac:dyDescent="0.25">
      <c r="B1463" s="66">
        <v>42068</v>
      </c>
      <c r="C1463" s="66">
        <v>42068</v>
      </c>
      <c r="D1463" s="68">
        <f t="shared" ref="D1463:D1464" si="3059">IF(B1463&gt;0,MONTH(B1463),"False")</f>
        <v>3</v>
      </c>
      <c r="E1463" s="66" t="str">
        <f t="shared" ref="E1463:E1464" si="3060">YEAR(B1463) &amp; CHOOSE(D1463,"-Jan","-Feb","-Mar","-Apr","-May","-Jun","-Jul","-Aug","-Sep","-Oct","-Nov","-Dec")</f>
        <v>2015-Mar</v>
      </c>
      <c r="F1463" s="68">
        <f t="shared" ref="F1463:F1464" si="3061">IF(C1463&gt;0,MONTH(C1463),"False")</f>
        <v>3</v>
      </c>
      <c r="G1463" s="424" t="s">
        <v>112</v>
      </c>
      <c r="H1463" s="1" t="s">
        <v>2091</v>
      </c>
      <c r="J1463" s="1" t="s">
        <v>78</v>
      </c>
      <c r="K1463" s="1" t="s">
        <v>78</v>
      </c>
      <c r="L1463" s="1" t="s">
        <v>79</v>
      </c>
      <c r="M1463" s="1" t="s">
        <v>2334</v>
      </c>
      <c r="N1463" s="1" t="s">
        <v>124</v>
      </c>
      <c r="O1463" s="1" t="s">
        <v>332</v>
      </c>
      <c r="R1463" s="422" t="s">
        <v>2167</v>
      </c>
      <c r="S1463" s="1" t="s">
        <v>104</v>
      </c>
      <c r="X1463" s="1" t="s">
        <v>159</v>
      </c>
      <c r="Y1463" s="424" t="str">
        <f t="shared" si="3016"/>
        <v>Pass</v>
      </c>
      <c r="Z1463" s="11" t="str">
        <f t="shared" si="3017"/>
        <v/>
      </c>
      <c r="AA1463" s="424" t="str">
        <f t="shared" si="3018"/>
        <v/>
      </c>
      <c r="AB1463" s="424" t="str">
        <f t="shared" si="3019"/>
        <v/>
      </c>
    </row>
    <row r="1464" spans="2:28" x14ac:dyDescent="0.25">
      <c r="B1464" s="65">
        <v>42068</v>
      </c>
      <c r="C1464" s="66">
        <v>42068</v>
      </c>
      <c r="D1464" s="68">
        <f t="shared" si="3059"/>
        <v>3</v>
      </c>
      <c r="E1464" s="66" t="str">
        <f t="shared" si="3060"/>
        <v>2015-Mar</v>
      </c>
      <c r="F1464" s="68">
        <f t="shared" si="3061"/>
        <v>3</v>
      </c>
      <c r="G1464" s="424" t="s">
        <v>121</v>
      </c>
      <c r="H1464" s="424" t="s">
        <v>1745</v>
      </c>
      <c r="I1464" s="435" t="s">
        <v>2188</v>
      </c>
      <c r="J1464" s="1" t="s">
        <v>81</v>
      </c>
      <c r="K1464" s="1" t="s">
        <v>82</v>
      </c>
      <c r="L1464" s="1" t="s">
        <v>79</v>
      </c>
      <c r="M1464" s="1" t="s">
        <v>2335</v>
      </c>
      <c r="N1464" s="1" t="s">
        <v>124</v>
      </c>
      <c r="O1464" s="1" t="s">
        <v>147</v>
      </c>
      <c r="P1464" s="422" t="s">
        <v>1823</v>
      </c>
      <c r="R1464" s="422" t="s">
        <v>1824</v>
      </c>
      <c r="S1464" s="1" t="s">
        <v>104</v>
      </c>
      <c r="X1464" s="1" t="s">
        <v>158</v>
      </c>
      <c r="Y1464" s="424" t="str">
        <f t="shared" si="3016"/>
        <v>Pass</v>
      </c>
      <c r="Z1464" s="11" t="str">
        <f t="shared" si="3017"/>
        <v/>
      </c>
      <c r="AA1464" s="424" t="str">
        <f t="shared" si="3018"/>
        <v/>
      </c>
      <c r="AB1464" s="424" t="str">
        <f t="shared" si="3019"/>
        <v/>
      </c>
    </row>
    <row r="1465" spans="2:28" s="424" customFormat="1" x14ac:dyDescent="0.25">
      <c r="B1465" s="65">
        <v>42068</v>
      </c>
      <c r="C1465" s="66">
        <v>42068</v>
      </c>
      <c r="D1465" s="68">
        <f t="shared" ref="D1465" si="3062">IF(B1465&gt;0,MONTH(B1465),"False")</f>
        <v>3</v>
      </c>
      <c r="E1465" s="66" t="str">
        <f t="shared" ref="E1465" si="3063">YEAR(B1465) &amp; CHOOSE(D1465,"-Jan","-Feb","-Mar","-Apr","-May","-Jun","-Jul","-Aug","-Sep","-Oct","-Nov","-Dec")</f>
        <v>2015-Mar</v>
      </c>
      <c r="F1465" s="68">
        <f t="shared" ref="F1465" si="3064">IF(C1465&gt;0,MONTH(C1465),"False")</f>
        <v>3</v>
      </c>
      <c r="G1465" s="424" t="s">
        <v>121</v>
      </c>
      <c r="H1465" s="424" t="s">
        <v>1745</v>
      </c>
      <c r="I1465" s="435" t="s">
        <v>2188</v>
      </c>
      <c r="J1465" s="424" t="s">
        <v>81</v>
      </c>
      <c r="K1465" s="424" t="s">
        <v>82</v>
      </c>
      <c r="L1465" s="424" t="s">
        <v>79</v>
      </c>
      <c r="M1465" s="424" t="s">
        <v>2336</v>
      </c>
      <c r="N1465" s="424" t="s">
        <v>124</v>
      </c>
      <c r="O1465" s="424" t="s">
        <v>2072</v>
      </c>
      <c r="P1465" s="422" t="s">
        <v>1823</v>
      </c>
      <c r="Q1465" s="2"/>
      <c r="R1465" s="422" t="s">
        <v>1824</v>
      </c>
      <c r="S1465" s="424" t="s">
        <v>104</v>
      </c>
      <c r="T1465" s="67"/>
      <c r="X1465" s="424" t="s">
        <v>158</v>
      </c>
      <c r="Y1465" s="424" t="str">
        <f t="shared" ref="Y1465" si="3065">IF(Q1465&gt;0,"Obsolete",IF(S1465&gt;0,S1465,"Unknown"))</f>
        <v>Pass</v>
      </c>
      <c r="Z1465" s="11" t="str">
        <f t="shared" ref="Z1465" si="3066">IF(Q1465="Obsolete-LQA",C1465,IF(Q1465="Obsolete-IT",B1465,""))</f>
        <v/>
      </c>
      <c r="AA1465" s="424" t="str">
        <f t="shared" ref="AA1465" si="3067">IFERROR(YEAR(Z1465)&amp;" - "&amp; IF(LEN( WEEKNUM(Z1465))=1,"0" &amp; WEEKNUM(Z1465),WEEKNUM(Z1465)),"")</f>
        <v/>
      </c>
      <c r="AB1465" s="424" t="str">
        <f t="shared" ref="AB1465" si="3068">IFERROR(YEAR(Z1465),"")</f>
        <v/>
      </c>
    </row>
    <row r="1466" spans="2:28" s="425" customFormat="1" x14ac:dyDescent="0.25">
      <c r="B1466" s="65">
        <v>42073</v>
      </c>
      <c r="C1466" s="66">
        <v>42073</v>
      </c>
      <c r="D1466" s="68">
        <f t="shared" ref="D1466:D1467" si="3069">IF(B1466&gt;0,MONTH(B1466),"False")</f>
        <v>3</v>
      </c>
      <c r="E1466" s="66" t="str">
        <f t="shared" ref="E1466:E1467" si="3070">YEAR(B1466) &amp; CHOOSE(D1466,"-Jan","-Feb","-Mar","-Apr","-May","-Jun","-Jul","-Aug","-Sep","-Oct","-Nov","-Dec")</f>
        <v>2015-Mar</v>
      </c>
      <c r="F1466" s="68">
        <f t="shared" ref="F1466:F1467" si="3071">IF(C1466&gt;0,MONTH(C1466),"False")</f>
        <v>3</v>
      </c>
      <c r="G1466" s="425" t="s">
        <v>121</v>
      </c>
      <c r="H1466" s="425" t="s">
        <v>1745</v>
      </c>
      <c r="I1466" s="435" t="s">
        <v>2384</v>
      </c>
      <c r="J1466" s="425" t="s">
        <v>81</v>
      </c>
      <c r="K1466" s="425" t="s">
        <v>82</v>
      </c>
      <c r="L1466" s="425" t="s">
        <v>79</v>
      </c>
      <c r="M1466" s="425" t="s">
        <v>2337</v>
      </c>
      <c r="N1466" s="425" t="s">
        <v>124</v>
      </c>
      <c r="O1466" s="425" t="s">
        <v>2072</v>
      </c>
      <c r="P1466" s="422" t="s">
        <v>1823</v>
      </c>
      <c r="Q1466" s="2"/>
      <c r="R1466" s="422" t="s">
        <v>1824</v>
      </c>
      <c r="S1466" s="425" t="s">
        <v>104</v>
      </c>
      <c r="T1466" s="67"/>
      <c r="X1466" s="425" t="s">
        <v>158</v>
      </c>
      <c r="Y1466" s="425" t="str">
        <f t="shared" ref="Y1466" si="3072">IF(Q1466&gt;0,"Obsolete",IF(S1466&gt;0,S1466,"Unknown"))</f>
        <v>Pass</v>
      </c>
      <c r="Z1466" s="11" t="str">
        <f t="shared" ref="Z1466" si="3073">IF(Q1466="Obsolete-LQA",C1466,IF(Q1466="Obsolete-IT",B1466,""))</f>
        <v/>
      </c>
      <c r="AA1466" s="425" t="str">
        <f t="shared" ref="AA1466" si="3074">IFERROR(YEAR(Z1466)&amp;" - "&amp; IF(LEN( WEEKNUM(Z1466))=1,"0" &amp; WEEKNUM(Z1466),WEEKNUM(Z1466)),"")</f>
        <v/>
      </c>
      <c r="AB1466" s="425" t="str">
        <f t="shared" ref="AB1466" si="3075">IFERROR(YEAR(Z1466),"")</f>
        <v/>
      </c>
    </row>
    <row r="1467" spans="2:28" x14ac:dyDescent="0.25">
      <c r="B1467" s="66">
        <v>42073</v>
      </c>
      <c r="C1467" s="66">
        <v>42073</v>
      </c>
      <c r="D1467" s="68">
        <f t="shared" si="3069"/>
        <v>3</v>
      </c>
      <c r="E1467" s="66" t="str">
        <f t="shared" si="3070"/>
        <v>2015-Mar</v>
      </c>
      <c r="F1467" s="68">
        <f t="shared" si="3071"/>
        <v>3</v>
      </c>
      <c r="G1467" s="425" t="s">
        <v>112</v>
      </c>
      <c r="H1467" s="425" t="s">
        <v>2091</v>
      </c>
      <c r="J1467" s="1" t="s">
        <v>77</v>
      </c>
      <c r="K1467" s="1" t="s">
        <v>82</v>
      </c>
      <c r="L1467" s="1" t="s">
        <v>83</v>
      </c>
      <c r="M1467" s="1" t="s">
        <v>2338</v>
      </c>
      <c r="N1467" s="1" t="s">
        <v>124</v>
      </c>
      <c r="O1467" s="1" t="s">
        <v>114</v>
      </c>
      <c r="R1467" s="422" t="s">
        <v>2092</v>
      </c>
      <c r="S1467" s="1" t="s">
        <v>104</v>
      </c>
      <c r="X1467" s="1" t="s">
        <v>159</v>
      </c>
      <c r="Y1467" s="424" t="str">
        <f t="shared" si="3016"/>
        <v>Pass</v>
      </c>
      <c r="Z1467" s="11" t="str">
        <f t="shared" si="3017"/>
        <v/>
      </c>
      <c r="AA1467" s="424" t="str">
        <f t="shared" si="3018"/>
        <v/>
      </c>
      <c r="AB1467" s="424" t="str">
        <f t="shared" si="3019"/>
        <v/>
      </c>
    </row>
    <row r="1468" spans="2:28" x14ac:dyDescent="0.25">
      <c r="B1468" s="66">
        <v>42074</v>
      </c>
      <c r="C1468" s="66">
        <v>42074</v>
      </c>
      <c r="D1468" s="68">
        <f t="shared" ref="D1468:D1469" si="3076">IF(B1468&gt;0,MONTH(B1468),"False")</f>
        <v>3</v>
      </c>
      <c r="E1468" s="66" t="str">
        <f t="shared" ref="E1468:E1469" si="3077">YEAR(B1468) &amp; CHOOSE(D1468,"-Jan","-Feb","-Mar","-Apr","-May","-Jun","-Jul","-Aug","-Sep","-Oct","-Nov","-Dec")</f>
        <v>2015-Mar</v>
      </c>
      <c r="F1468" s="68">
        <f t="shared" ref="F1468:F1469" si="3078">IF(C1468&gt;0,MONTH(C1468),"False")</f>
        <v>3</v>
      </c>
      <c r="G1468" s="426" t="s">
        <v>112</v>
      </c>
      <c r="H1468" s="1" t="s">
        <v>103</v>
      </c>
      <c r="J1468" s="1" t="s">
        <v>78</v>
      </c>
      <c r="K1468" s="1" t="s">
        <v>78</v>
      </c>
      <c r="L1468" s="1" t="s">
        <v>79</v>
      </c>
      <c r="M1468" s="1" t="s">
        <v>2340</v>
      </c>
      <c r="N1468" s="1" t="s">
        <v>124</v>
      </c>
      <c r="O1468" s="1" t="s">
        <v>332</v>
      </c>
      <c r="R1468" s="422" t="s">
        <v>475</v>
      </c>
      <c r="S1468" s="1" t="s">
        <v>104</v>
      </c>
      <c r="X1468" s="432" t="s">
        <v>1758</v>
      </c>
      <c r="Y1468" s="424" t="str">
        <f t="shared" si="3016"/>
        <v>Pass</v>
      </c>
      <c r="Z1468" s="11" t="str">
        <f t="shared" si="3017"/>
        <v/>
      </c>
      <c r="AA1468" s="424" t="str">
        <f t="shared" si="3018"/>
        <v/>
      </c>
      <c r="AB1468" s="424" t="str">
        <f t="shared" si="3019"/>
        <v/>
      </c>
    </row>
    <row r="1469" spans="2:28" x14ac:dyDescent="0.25">
      <c r="B1469" s="65">
        <v>42074</v>
      </c>
      <c r="C1469" s="66">
        <v>42074</v>
      </c>
      <c r="D1469" s="68">
        <f t="shared" si="3076"/>
        <v>3</v>
      </c>
      <c r="E1469" s="66" t="str">
        <f t="shared" si="3077"/>
        <v>2015-Mar</v>
      </c>
      <c r="F1469" s="68">
        <f t="shared" si="3078"/>
        <v>3</v>
      </c>
      <c r="G1469" s="426" t="s">
        <v>121</v>
      </c>
      <c r="H1469" s="1" t="s">
        <v>103</v>
      </c>
      <c r="J1469" s="1" t="s">
        <v>77</v>
      </c>
      <c r="K1469" s="1" t="s">
        <v>82</v>
      </c>
      <c r="L1469" s="1" t="s">
        <v>79</v>
      </c>
      <c r="M1469" s="434" t="s">
        <v>2340</v>
      </c>
      <c r="N1469" s="1" t="s">
        <v>124</v>
      </c>
      <c r="O1469" s="1" t="s">
        <v>507</v>
      </c>
      <c r="P1469" s="422" t="s">
        <v>351</v>
      </c>
      <c r="R1469" s="422" t="s">
        <v>361</v>
      </c>
      <c r="S1469" s="1" t="s">
        <v>104</v>
      </c>
      <c r="X1469" s="1" t="s">
        <v>1758</v>
      </c>
      <c r="Y1469" s="424" t="str">
        <f t="shared" si="3016"/>
        <v>Pass</v>
      </c>
      <c r="Z1469" s="11" t="str">
        <f t="shared" si="3017"/>
        <v/>
      </c>
      <c r="AA1469" s="424" t="str">
        <f t="shared" si="3018"/>
        <v/>
      </c>
      <c r="AB1469" s="424" t="str">
        <f t="shared" si="3019"/>
        <v/>
      </c>
    </row>
    <row r="1470" spans="2:28" x14ac:dyDescent="0.25">
      <c r="B1470" s="66">
        <v>42074</v>
      </c>
      <c r="C1470" s="66">
        <v>42074</v>
      </c>
      <c r="D1470" s="68">
        <f t="shared" ref="D1470:D1472" si="3079">IF(B1470&gt;0,MONTH(B1470),"False")</f>
        <v>3</v>
      </c>
      <c r="E1470" s="66" t="str">
        <f t="shared" ref="E1470:E1472" si="3080">YEAR(B1470) &amp; CHOOSE(D1470,"-Jan","-Feb","-Mar","-Apr","-May","-Jun","-Jul","-Aug","-Sep","-Oct","-Nov","-Dec")</f>
        <v>2015-Mar</v>
      </c>
      <c r="F1470" s="68">
        <f t="shared" ref="F1470:F1472" si="3081">IF(C1470&gt;0,MONTH(C1470),"False")</f>
        <v>3</v>
      </c>
      <c r="G1470" s="426" t="s">
        <v>112</v>
      </c>
      <c r="H1470" s="1" t="s">
        <v>1685</v>
      </c>
      <c r="J1470" s="1" t="s">
        <v>78</v>
      </c>
      <c r="K1470" s="1" t="s">
        <v>78</v>
      </c>
      <c r="L1470" s="1" t="s">
        <v>79</v>
      </c>
      <c r="M1470" s="1" t="s">
        <v>2341</v>
      </c>
      <c r="N1470" s="1" t="s">
        <v>124</v>
      </c>
      <c r="O1470" s="1" t="s">
        <v>287</v>
      </c>
      <c r="R1470" s="422" t="s">
        <v>2037</v>
      </c>
      <c r="S1470" s="1" t="s">
        <v>104</v>
      </c>
      <c r="X1470" s="1" t="s">
        <v>154</v>
      </c>
      <c r="Y1470" s="424" t="str">
        <f t="shared" si="3016"/>
        <v>Pass</v>
      </c>
      <c r="Z1470" s="11" t="str">
        <f t="shared" si="3017"/>
        <v/>
      </c>
      <c r="AA1470" s="424" t="str">
        <f t="shared" si="3018"/>
        <v/>
      </c>
      <c r="AB1470" s="424" t="str">
        <f t="shared" si="3019"/>
        <v/>
      </c>
    </row>
    <row r="1471" spans="2:28" x14ac:dyDescent="0.25">
      <c r="B1471" s="65">
        <v>42074</v>
      </c>
      <c r="C1471" s="66">
        <v>42074</v>
      </c>
      <c r="D1471" s="68">
        <f t="shared" si="3079"/>
        <v>3</v>
      </c>
      <c r="E1471" s="66" t="str">
        <f t="shared" si="3080"/>
        <v>2015-Mar</v>
      </c>
      <c r="F1471" s="68">
        <f t="shared" si="3081"/>
        <v>3</v>
      </c>
      <c r="G1471" s="426" t="s">
        <v>121</v>
      </c>
      <c r="H1471" s="1" t="s">
        <v>348</v>
      </c>
      <c r="J1471" s="1" t="s">
        <v>77</v>
      </c>
      <c r="K1471" s="1" t="s">
        <v>82</v>
      </c>
      <c r="L1471" s="1" t="s">
        <v>79</v>
      </c>
      <c r="M1471" s="1" t="s">
        <v>2342</v>
      </c>
      <c r="N1471" s="1" t="s">
        <v>124</v>
      </c>
      <c r="O1471" s="1" t="s">
        <v>91</v>
      </c>
      <c r="P1471" s="422" t="s">
        <v>352</v>
      </c>
      <c r="R1471" s="422" t="s">
        <v>2062</v>
      </c>
      <c r="S1471" s="1" t="s">
        <v>104</v>
      </c>
      <c r="X1471" s="1" t="s">
        <v>268</v>
      </c>
      <c r="Y1471" s="424" t="str">
        <f t="shared" si="3016"/>
        <v>Pass</v>
      </c>
      <c r="Z1471" s="11" t="str">
        <f t="shared" si="3017"/>
        <v/>
      </c>
      <c r="AA1471" s="424" t="str">
        <f t="shared" si="3018"/>
        <v/>
      </c>
      <c r="AB1471" s="424" t="str">
        <f t="shared" si="3019"/>
        <v/>
      </c>
    </row>
    <row r="1472" spans="2:28" s="426" customFormat="1" x14ac:dyDescent="0.25">
      <c r="B1472" s="65">
        <v>42074</v>
      </c>
      <c r="C1472" s="66">
        <v>42074</v>
      </c>
      <c r="D1472" s="68">
        <f t="shared" si="3079"/>
        <v>3</v>
      </c>
      <c r="E1472" s="66" t="str">
        <f t="shared" si="3080"/>
        <v>2015-Mar</v>
      </c>
      <c r="F1472" s="68">
        <f t="shared" si="3081"/>
        <v>3</v>
      </c>
      <c r="G1472" s="426" t="s">
        <v>121</v>
      </c>
      <c r="H1472" s="426" t="s">
        <v>103</v>
      </c>
      <c r="J1472" s="426" t="s">
        <v>77</v>
      </c>
      <c r="K1472" s="426" t="s">
        <v>82</v>
      </c>
      <c r="L1472" s="426" t="s">
        <v>79</v>
      </c>
      <c r="M1472" s="426" t="s">
        <v>2343</v>
      </c>
      <c r="N1472" s="426" t="s">
        <v>124</v>
      </c>
      <c r="O1472" s="426" t="s">
        <v>507</v>
      </c>
      <c r="P1472" s="422" t="s">
        <v>351</v>
      </c>
      <c r="Q1472" s="2"/>
      <c r="R1472" s="422" t="s">
        <v>361</v>
      </c>
      <c r="S1472" s="426" t="s">
        <v>104</v>
      </c>
      <c r="T1472" s="67"/>
      <c r="X1472" s="426" t="s">
        <v>1474</v>
      </c>
      <c r="Y1472" s="426" t="str">
        <f t="shared" ref="Y1472" si="3082">IF(Q1472&gt;0,"Obsolete",IF(S1472&gt;0,S1472,"Unknown"))</f>
        <v>Pass</v>
      </c>
      <c r="Z1472" s="11" t="str">
        <f t="shared" ref="Z1472" si="3083">IF(Q1472="Obsolete-LQA",C1472,IF(Q1472="Obsolete-IT",B1472,""))</f>
        <v/>
      </c>
      <c r="AA1472" s="426" t="str">
        <f t="shared" ref="AA1472" si="3084">IFERROR(YEAR(Z1472)&amp;" - "&amp; IF(LEN( WEEKNUM(Z1472))=1,"0" &amp; WEEKNUM(Z1472),WEEKNUM(Z1472)),"")</f>
        <v/>
      </c>
      <c r="AB1472" s="426" t="str">
        <f t="shared" ref="AB1472" si="3085">IFERROR(YEAR(Z1472),"")</f>
        <v/>
      </c>
    </row>
    <row r="1473" spans="2:28" x14ac:dyDescent="0.25">
      <c r="B1473" s="66">
        <v>42075</v>
      </c>
      <c r="C1473" s="66">
        <v>42075</v>
      </c>
      <c r="D1473" s="68">
        <f t="shared" ref="D1473:D1474" si="3086">IF(B1473&gt;0,MONTH(B1473),"False")</f>
        <v>3</v>
      </c>
      <c r="E1473" s="66" t="str">
        <f t="shared" ref="E1473:E1474" si="3087">YEAR(B1473) &amp; CHOOSE(D1473,"-Jan","-Feb","-Mar","-Apr","-May","-Jun","-Jul","-Aug","-Sep","-Oct","-Nov","-Dec")</f>
        <v>2015-Mar</v>
      </c>
      <c r="F1473" s="68">
        <f t="shared" ref="F1473:F1474" si="3088">IF(C1473&gt;0,MONTH(C1473),"False")</f>
        <v>3</v>
      </c>
      <c r="G1473" s="427" t="s">
        <v>87</v>
      </c>
      <c r="H1473" s="427" t="s">
        <v>2091</v>
      </c>
      <c r="J1473" s="1" t="s">
        <v>98</v>
      </c>
      <c r="K1473" s="1" t="s">
        <v>84</v>
      </c>
      <c r="L1473" s="1" t="s">
        <v>79</v>
      </c>
      <c r="M1473" s="1" t="s">
        <v>2344</v>
      </c>
      <c r="N1473" s="1" t="s">
        <v>124</v>
      </c>
      <c r="O1473" s="1" t="s">
        <v>2020</v>
      </c>
      <c r="R1473" s="422" t="s">
        <v>2100</v>
      </c>
      <c r="Y1473" s="424" t="str">
        <f t="shared" si="3016"/>
        <v>Unknown</v>
      </c>
      <c r="Z1473" s="11" t="str">
        <f t="shared" si="3017"/>
        <v/>
      </c>
      <c r="AA1473" s="424" t="str">
        <f t="shared" si="3018"/>
        <v/>
      </c>
      <c r="AB1473" s="424" t="str">
        <f t="shared" si="3019"/>
        <v/>
      </c>
    </row>
    <row r="1474" spans="2:28" x14ac:dyDescent="0.25">
      <c r="B1474" s="65">
        <v>42075</v>
      </c>
      <c r="C1474" s="66">
        <v>42075</v>
      </c>
      <c r="D1474" s="68">
        <f t="shared" si="3086"/>
        <v>3</v>
      </c>
      <c r="E1474" s="66" t="str">
        <f t="shared" si="3087"/>
        <v>2015-Mar</v>
      </c>
      <c r="F1474" s="68">
        <f t="shared" si="3088"/>
        <v>3</v>
      </c>
      <c r="G1474" s="427" t="s">
        <v>93</v>
      </c>
      <c r="H1474" s="1" t="s">
        <v>166</v>
      </c>
      <c r="I1474" s="1" t="s">
        <v>2617</v>
      </c>
      <c r="J1474" s="1" t="s">
        <v>81</v>
      </c>
      <c r="K1474" s="1" t="s">
        <v>82</v>
      </c>
      <c r="L1474" s="1" t="s">
        <v>79</v>
      </c>
      <c r="M1474" s="1" t="s">
        <v>2345</v>
      </c>
      <c r="N1474" s="1" t="s">
        <v>124</v>
      </c>
      <c r="O1474" s="1" t="s">
        <v>302</v>
      </c>
      <c r="P1474" s="422" t="s">
        <v>289</v>
      </c>
      <c r="R1474" s="422" t="s">
        <v>290</v>
      </c>
      <c r="S1474" s="1" t="s">
        <v>104</v>
      </c>
      <c r="T1474" s="9" t="s">
        <v>110</v>
      </c>
      <c r="Y1474" s="424" t="str">
        <f t="shared" si="3016"/>
        <v>Pass</v>
      </c>
      <c r="Z1474" s="11" t="str">
        <f t="shared" si="3017"/>
        <v/>
      </c>
      <c r="AA1474" s="424" t="str">
        <f t="shared" si="3018"/>
        <v/>
      </c>
      <c r="AB1474" s="424" t="str">
        <f t="shared" si="3019"/>
        <v/>
      </c>
    </row>
    <row r="1475" spans="2:28" x14ac:dyDescent="0.25">
      <c r="B1475" s="66">
        <v>42075</v>
      </c>
      <c r="C1475" s="66">
        <v>42075</v>
      </c>
      <c r="D1475" s="68">
        <f t="shared" ref="D1475" si="3089">IF(B1475&gt;0,MONTH(B1475),"False")</f>
        <v>3</v>
      </c>
      <c r="E1475" s="66" t="str">
        <f t="shared" ref="E1475" si="3090">YEAR(B1475) &amp; CHOOSE(D1475,"-Jan","-Feb","-Mar","-Apr","-May","-Jun","-Jul","-Aug","-Sep","-Oct","-Nov","-Dec")</f>
        <v>2015-Mar</v>
      </c>
      <c r="F1475" s="68">
        <f t="shared" ref="F1475" si="3091">IF(C1475&gt;0,MONTH(C1475),"False")</f>
        <v>3</v>
      </c>
      <c r="G1475" s="427" t="s">
        <v>112</v>
      </c>
      <c r="H1475" s="1" t="s">
        <v>1685</v>
      </c>
      <c r="J1475" s="1" t="s">
        <v>78</v>
      </c>
      <c r="K1475" s="1" t="s">
        <v>78</v>
      </c>
      <c r="L1475" s="1" t="s">
        <v>79</v>
      </c>
      <c r="M1475" s="1" t="s">
        <v>2346</v>
      </c>
      <c r="N1475" s="1" t="s">
        <v>124</v>
      </c>
      <c r="O1475" s="1" t="s">
        <v>287</v>
      </c>
      <c r="R1475" s="422" t="s">
        <v>2037</v>
      </c>
      <c r="S1475" s="1" t="s">
        <v>104</v>
      </c>
      <c r="X1475" s="1" t="s">
        <v>154</v>
      </c>
      <c r="Y1475" s="424" t="str">
        <f t="shared" si="3016"/>
        <v>Pass</v>
      </c>
      <c r="Z1475" s="11" t="str">
        <f t="shared" si="3017"/>
        <v/>
      </c>
      <c r="AA1475" s="424" t="str">
        <f t="shared" si="3018"/>
        <v/>
      </c>
      <c r="AB1475" s="424" t="str">
        <f t="shared" si="3019"/>
        <v/>
      </c>
    </row>
    <row r="1476" spans="2:28" x14ac:dyDescent="0.25">
      <c r="B1476" s="66">
        <v>42076</v>
      </c>
      <c r="C1476" s="66">
        <v>42076</v>
      </c>
      <c r="D1476" s="68">
        <f t="shared" ref="D1476:D1477" si="3092">IF(B1476&gt;0,MONTH(B1476),"False")</f>
        <v>3</v>
      </c>
      <c r="E1476" s="66" t="str">
        <f t="shared" ref="E1476:E1477" si="3093">YEAR(B1476) &amp; CHOOSE(D1476,"-Jan","-Feb","-Mar","-Apr","-May","-Jun","-Jul","-Aug","-Sep","-Oct","-Nov","-Dec")</f>
        <v>2015-Mar</v>
      </c>
      <c r="F1476" s="68">
        <f t="shared" ref="F1476:F1477" si="3094">IF(C1476&gt;0,MONTH(C1476),"False")</f>
        <v>3</v>
      </c>
      <c r="G1476" s="428" t="s">
        <v>112</v>
      </c>
      <c r="H1476" s="1" t="s">
        <v>103</v>
      </c>
      <c r="J1476" s="1" t="s">
        <v>78</v>
      </c>
      <c r="K1476" s="1" t="s">
        <v>78</v>
      </c>
      <c r="L1476" s="1" t="s">
        <v>79</v>
      </c>
      <c r="M1476" s="1" t="s">
        <v>2347</v>
      </c>
      <c r="N1476" s="1" t="s">
        <v>124</v>
      </c>
      <c r="O1476" s="1" t="s">
        <v>332</v>
      </c>
      <c r="R1476" s="422" t="s">
        <v>475</v>
      </c>
      <c r="S1476" s="1" t="s">
        <v>104</v>
      </c>
      <c r="X1476" s="1" t="s">
        <v>1758</v>
      </c>
      <c r="Y1476" s="424" t="str">
        <f t="shared" si="3016"/>
        <v>Pass</v>
      </c>
      <c r="Z1476" s="11" t="str">
        <f t="shared" si="3017"/>
        <v/>
      </c>
      <c r="AA1476" s="424" t="str">
        <f t="shared" si="3018"/>
        <v/>
      </c>
      <c r="AB1476" s="424" t="str">
        <f t="shared" si="3019"/>
        <v/>
      </c>
    </row>
    <row r="1477" spans="2:28" x14ac:dyDescent="0.25">
      <c r="B1477" s="65">
        <v>42079</v>
      </c>
      <c r="C1477" s="66">
        <v>42079</v>
      </c>
      <c r="D1477" s="68">
        <f t="shared" si="3092"/>
        <v>3</v>
      </c>
      <c r="E1477" s="66" t="str">
        <f t="shared" si="3093"/>
        <v>2015-Mar</v>
      </c>
      <c r="F1477" s="68">
        <f t="shared" si="3094"/>
        <v>3</v>
      </c>
      <c r="G1477" s="429" t="s">
        <v>121</v>
      </c>
      <c r="H1477" s="1" t="s">
        <v>316</v>
      </c>
      <c r="J1477" s="1" t="s">
        <v>77</v>
      </c>
      <c r="K1477" s="1" t="s">
        <v>82</v>
      </c>
      <c r="L1477" s="1" t="s">
        <v>79</v>
      </c>
      <c r="M1477" s="1" t="s">
        <v>2348</v>
      </c>
      <c r="N1477" s="1" t="s">
        <v>124</v>
      </c>
      <c r="O1477" s="1" t="s">
        <v>285</v>
      </c>
      <c r="P1477" s="64" t="s">
        <v>340</v>
      </c>
      <c r="R1477" s="422" t="s">
        <v>705</v>
      </c>
      <c r="S1477" s="1" t="s">
        <v>104</v>
      </c>
      <c r="T1477" s="67" t="s">
        <v>110</v>
      </c>
      <c r="X1477" s="1" t="s">
        <v>300</v>
      </c>
      <c r="Y1477" s="424" t="str">
        <f t="shared" si="3016"/>
        <v>Pass</v>
      </c>
      <c r="Z1477" s="11" t="str">
        <f t="shared" si="3017"/>
        <v/>
      </c>
      <c r="AA1477" s="424" t="str">
        <f t="shared" si="3018"/>
        <v/>
      </c>
      <c r="AB1477" s="424" t="str">
        <f t="shared" si="3019"/>
        <v/>
      </c>
    </row>
    <row r="1478" spans="2:28" x14ac:dyDescent="0.25">
      <c r="B1478" s="66">
        <v>42079</v>
      </c>
      <c r="C1478" s="66">
        <v>42079</v>
      </c>
      <c r="D1478" s="68">
        <f t="shared" ref="D1478:D1479" si="3095">IF(B1478&gt;0,MONTH(B1478),"False")</f>
        <v>3</v>
      </c>
      <c r="E1478" s="66" t="str">
        <f t="shared" ref="E1478:E1479" si="3096">YEAR(B1478) &amp; CHOOSE(D1478,"-Jan","-Feb","-Mar","-Apr","-May","-Jun","-Jul","-Aug","-Sep","-Oct","-Nov","-Dec")</f>
        <v>2015-Mar</v>
      </c>
      <c r="F1478" s="68">
        <f t="shared" ref="F1478:F1479" si="3097">IF(C1478&gt;0,MONTH(C1478),"False")</f>
        <v>3</v>
      </c>
      <c r="G1478" s="429" t="s">
        <v>87</v>
      </c>
      <c r="H1478" s="1" t="s">
        <v>166</v>
      </c>
      <c r="J1478" s="1" t="s">
        <v>98</v>
      </c>
      <c r="K1478" s="1" t="s">
        <v>84</v>
      </c>
      <c r="L1478" s="1" t="s">
        <v>79</v>
      </c>
      <c r="M1478" s="1" t="s">
        <v>2349</v>
      </c>
      <c r="N1478" s="1" t="s">
        <v>124</v>
      </c>
      <c r="O1478" s="1" t="s">
        <v>2020</v>
      </c>
      <c r="R1478" s="64" t="s">
        <v>1254</v>
      </c>
      <c r="Y1478" s="424" t="str">
        <f t="shared" si="3016"/>
        <v>Unknown</v>
      </c>
      <c r="Z1478" s="11" t="str">
        <f t="shared" si="3017"/>
        <v/>
      </c>
      <c r="AA1478" s="424" t="str">
        <f t="shared" si="3018"/>
        <v/>
      </c>
      <c r="AB1478" s="424" t="str">
        <f t="shared" si="3019"/>
        <v/>
      </c>
    </row>
    <row r="1479" spans="2:28" x14ac:dyDescent="0.25">
      <c r="B1479" s="65">
        <v>42079</v>
      </c>
      <c r="C1479" s="66">
        <v>42079</v>
      </c>
      <c r="D1479" s="68">
        <f t="shared" si="3095"/>
        <v>3</v>
      </c>
      <c r="E1479" s="66" t="str">
        <f t="shared" si="3096"/>
        <v>2015-Mar</v>
      </c>
      <c r="F1479" s="68">
        <f t="shared" si="3097"/>
        <v>3</v>
      </c>
      <c r="G1479" s="429" t="s">
        <v>93</v>
      </c>
      <c r="H1479" s="1" t="s">
        <v>103</v>
      </c>
      <c r="J1479" s="1" t="s">
        <v>77</v>
      </c>
      <c r="K1479" s="1" t="s">
        <v>82</v>
      </c>
      <c r="L1479" s="1" t="s">
        <v>79</v>
      </c>
      <c r="M1479" s="1" t="s">
        <v>2350</v>
      </c>
      <c r="N1479" s="1" t="s">
        <v>124</v>
      </c>
      <c r="O1479" s="1" t="s">
        <v>507</v>
      </c>
      <c r="P1479" s="422" t="s">
        <v>351</v>
      </c>
      <c r="R1479" s="422" t="s">
        <v>361</v>
      </c>
      <c r="Y1479" s="424" t="str">
        <f t="shared" si="3016"/>
        <v>Unknown</v>
      </c>
      <c r="Z1479" s="11" t="str">
        <f t="shared" si="3017"/>
        <v/>
      </c>
      <c r="AA1479" s="424" t="str">
        <f t="shared" si="3018"/>
        <v/>
      </c>
      <c r="AB1479" s="424" t="str">
        <f t="shared" si="3019"/>
        <v/>
      </c>
    </row>
    <row r="1480" spans="2:28" x14ac:dyDescent="0.25">
      <c r="B1480" s="65">
        <v>42079</v>
      </c>
      <c r="C1480" s="66">
        <v>42079</v>
      </c>
      <c r="D1480" s="68">
        <f t="shared" ref="D1480:D1481" si="3098">IF(B1480&gt;0,MONTH(B1480),"False")</f>
        <v>3</v>
      </c>
      <c r="E1480" s="66" t="str">
        <f t="shared" ref="E1480:E1481" si="3099">YEAR(B1480) &amp; CHOOSE(D1480,"-Jan","-Feb","-Mar","-Apr","-May","-Jun","-Jul","-Aug","-Sep","-Oct","-Nov","-Dec")</f>
        <v>2015-Mar</v>
      </c>
      <c r="F1480" s="68">
        <f t="shared" ref="F1480:F1481" si="3100">IF(C1480&gt;0,MONTH(C1480),"False")</f>
        <v>3</v>
      </c>
      <c r="G1480" s="429" t="s">
        <v>121</v>
      </c>
      <c r="H1480" s="429" t="s">
        <v>1745</v>
      </c>
      <c r="I1480" s="435" t="s">
        <v>2384</v>
      </c>
      <c r="J1480" s="1" t="s">
        <v>81</v>
      </c>
      <c r="K1480" s="1" t="s">
        <v>82</v>
      </c>
      <c r="L1480" s="1" t="s">
        <v>79</v>
      </c>
      <c r="M1480" s="1" t="s">
        <v>2351</v>
      </c>
      <c r="N1480" s="1" t="s">
        <v>124</v>
      </c>
      <c r="O1480" s="1" t="s">
        <v>273</v>
      </c>
      <c r="P1480" s="422" t="s">
        <v>1824</v>
      </c>
      <c r="R1480" s="422" t="s">
        <v>1823</v>
      </c>
      <c r="S1480" s="1" t="s">
        <v>104</v>
      </c>
      <c r="X1480" s="1" t="s">
        <v>158</v>
      </c>
      <c r="Y1480" s="424" t="str">
        <f t="shared" si="3016"/>
        <v>Pass</v>
      </c>
      <c r="Z1480" s="11" t="str">
        <f t="shared" si="3017"/>
        <v/>
      </c>
      <c r="AA1480" s="424" t="str">
        <f t="shared" si="3018"/>
        <v/>
      </c>
      <c r="AB1480" s="424" t="str">
        <f t="shared" si="3019"/>
        <v/>
      </c>
    </row>
    <row r="1481" spans="2:28" x14ac:dyDescent="0.25">
      <c r="B1481" s="66">
        <v>42079</v>
      </c>
      <c r="C1481" s="66">
        <v>42079</v>
      </c>
      <c r="D1481" s="68">
        <f t="shared" si="3098"/>
        <v>3</v>
      </c>
      <c r="E1481" s="66" t="str">
        <f t="shared" si="3099"/>
        <v>2015-Mar</v>
      </c>
      <c r="F1481" s="68">
        <f t="shared" si="3100"/>
        <v>3</v>
      </c>
      <c r="G1481" s="429" t="s">
        <v>87</v>
      </c>
      <c r="H1481" s="429" t="s">
        <v>166</v>
      </c>
      <c r="J1481" s="1" t="s">
        <v>78</v>
      </c>
      <c r="K1481" s="1" t="s">
        <v>82</v>
      </c>
      <c r="L1481" s="1" t="s">
        <v>83</v>
      </c>
      <c r="M1481" s="1" t="s">
        <v>2352</v>
      </c>
      <c r="N1481" s="1" t="s">
        <v>124</v>
      </c>
      <c r="O1481" s="1" t="s">
        <v>343</v>
      </c>
      <c r="R1481" s="422" t="s">
        <v>2176</v>
      </c>
      <c r="Y1481" s="424" t="str">
        <f t="shared" si="3016"/>
        <v>Unknown</v>
      </c>
      <c r="Z1481" s="11" t="str">
        <f t="shared" si="3017"/>
        <v/>
      </c>
      <c r="AA1481" s="424" t="str">
        <f t="shared" si="3018"/>
        <v/>
      </c>
      <c r="AB1481" s="424" t="str">
        <f t="shared" si="3019"/>
        <v/>
      </c>
    </row>
    <row r="1482" spans="2:28" x14ac:dyDescent="0.25">
      <c r="B1482" s="66">
        <v>42079</v>
      </c>
      <c r="C1482" s="66">
        <v>42079</v>
      </c>
      <c r="D1482" s="68">
        <f t="shared" ref="D1482" si="3101">IF(B1482&gt;0,MONTH(B1482),"False")</f>
        <v>3</v>
      </c>
      <c r="E1482" s="66" t="str">
        <f t="shared" ref="E1482" si="3102">YEAR(B1482) &amp; CHOOSE(D1482,"-Jan","-Feb","-Mar","-Apr","-May","-Jun","-Jul","-Aug","-Sep","-Oct","-Nov","-Dec")</f>
        <v>2015-Mar</v>
      </c>
      <c r="F1482" s="68">
        <f t="shared" ref="F1482" si="3103">IF(C1482&gt;0,MONTH(C1482),"False")</f>
        <v>3</v>
      </c>
      <c r="G1482" s="429" t="s">
        <v>87</v>
      </c>
      <c r="H1482" s="429" t="s">
        <v>166</v>
      </c>
      <c r="I1482" s="429"/>
      <c r="J1482" s="429" t="s">
        <v>78</v>
      </c>
      <c r="K1482" s="1" t="s">
        <v>84</v>
      </c>
      <c r="L1482" s="1" t="s">
        <v>83</v>
      </c>
      <c r="M1482" s="1" t="s">
        <v>2353</v>
      </c>
      <c r="N1482" s="1" t="s">
        <v>124</v>
      </c>
      <c r="O1482" s="1" t="s">
        <v>152</v>
      </c>
      <c r="R1482" s="422" t="s">
        <v>2181</v>
      </c>
      <c r="Y1482" s="424" t="str">
        <f t="shared" si="3016"/>
        <v>Unknown</v>
      </c>
      <c r="Z1482" s="11" t="str">
        <f t="shared" si="3017"/>
        <v/>
      </c>
      <c r="AA1482" s="424" t="str">
        <f t="shared" si="3018"/>
        <v/>
      </c>
      <c r="AB1482" s="424" t="str">
        <f t="shared" si="3019"/>
        <v/>
      </c>
    </row>
    <row r="1483" spans="2:28" x14ac:dyDescent="0.25">
      <c r="B1483" s="66">
        <v>42079</v>
      </c>
      <c r="C1483" s="66">
        <v>42079</v>
      </c>
      <c r="D1483" s="68">
        <f t="shared" ref="D1483" si="3104">IF(B1483&gt;0,MONTH(B1483),"False")</f>
        <v>3</v>
      </c>
      <c r="E1483" s="66" t="str">
        <f t="shared" ref="E1483" si="3105">YEAR(B1483) &amp; CHOOSE(D1483,"-Jan","-Feb","-Mar","-Apr","-May","-Jun","-Jul","-Aug","-Sep","-Oct","-Nov","-Dec")</f>
        <v>2015-Mar</v>
      </c>
      <c r="F1483" s="68">
        <f t="shared" ref="F1483" si="3106">IF(C1483&gt;0,MONTH(C1483),"False")</f>
        <v>3</v>
      </c>
      <c r="G1483" s="429" t="s">
        <v>112</v>
      </c>
      <c r="H1483" s="1" t="s">
        <v>1685</v>
      </c>
      <c r="J1483" s="1" t="s">
        <v>77</v>
      </c>
      <c r="K1483" s="1" t="s">
        <v>82</v>
      </c>
      <c r="L1483" s="1" t="s">
        <v>83</v>
      </c>
      <c r="M1483" s="1" t="s">
        <v>2354</v>
      </c>
      <c r="N1483" s="1" t="s">
        <v>124</v>
      </c>
      <c r="O1483" s="1" t="s">
        <v>353</v>
      </c>
      <c r="R1483" s="422" t="s">
        <v>2004</v>
      </c>
      <c r="S1483" s="1" t="s">
        <v>104</v>
      </c>
      <c r="T1483" s="67" t="s">
        <v>110</v>
      </c>
      <c r="X1483" s="1" t="s">
        <v>300</v>
      </c>
      <c r="Y1483" s="424" t="str">
        <f t="shared" si="3016"/>
        <v>Pass</v>
      </c>
      <c r="Z1483" s="11" t="str">
        <f t="shared" si="3017"/>
        <v/>
      </c>
      <c r="AA1483" s="424" t="str">
        <f t="shared" si="3018"/>
        <v/>
      </c>
      <c r="AB1483" s="424" t="str">
        <f t="shared" si="3019"/>
        <v/>
      </c>
    </row>
    <row r="1484" spans="2:28" x14ac:dyDescent="0.25">
      <c r="B1484" s="66">
        <v>42080</v>
      </c>
      <c r="C1484" s="66">
        <v>42080</v>
      </c>
      <c r="D1484" s="68">
        <f t="shared" ref="D1484" si="3107">IF(B1484&gt;0,MONTH(B1484),"False")</f>
        <v>3</v>
      </c>
      <c r="E1484" s="66" t="str">
        <f t="shared" ref="E1484" si="3108">YEAR(B1484) &amp; CHOOSE(D1484,"-Jan","-Feb","-Mar","-Apr","-May","-Jun","-Jul","-Aug","-Sep","-Oct","-Nov","-Dec")</f>
        <v>2015-Mar</v>
      </c>
      <c r="F1484" s="68">
        <f t="shared" ref="F1484" si="3109">IF(C1484&gt;0,MONTH(C1484),"False")</f>
        <v>3</v>
      </c>
      <c r="G1484" s="430" t="s">
        <v>87</v>
      </c>
      <c r="H1484" s="1" t="s">
        <v>166</v>
      </c>
      <c r="J1484" s="1" t="s">
        <v>78</v>
      </c>
      <c r="K1484" s="1" t="s">
        <v>78</v>
      </c>
      <c r="L1484" s="1" t="s">
        <v>83</v>
      </c>
      <c r="M1484" s="1" t="s">
        <v>2355</v>
      </c>
      <c r="N1484" s="1" t="s">
        <v>124</v>
      </c>
      <c r="O1484" s="1" t="s">
        <v>287</v>
      </c>
      <c r="Q1484" s="2" t="s">
        <v>88</v>
      </c>
      <c r="R1484" s="422" t="s">
        <v>2179</v>
      </c>
      <c r="Y1484" s="424" t="str">
        <f t="shared" si="3016"/>
        <v>Obsolete</v>
      </c>
      <c r="Z1484" s="11">
        <f t="shared" si="3017"/>
        <v>42080</v>
      </c>
      <c r="AA1484" s="424" t="str">
        <f t="shared" si="3018"/>
        <v>2015 - 12</v>
      </c>
      <c r="AB1484" s="424">
        <f t="shared" si="3019"/>
        <v>2015</v>
      </c>
    </row>
    <row r="1485" spans="2:28" x14ac:dyDescent="0.25">
      <c r="B1485" s="66">
        <v>42080</v>
      </c>
      <c r="C1485" s="66">
        <v>42080</v>
      </c>
      <c r="D1485" s="68">
        <f t="shared" ref="D1485" si="3110">IF(B1485&gt;0,MONTH(B1485),"False")</f>
        <v>3</v>
      </c>
      <c r="E1485" s="66" t="str">
        <f t="shared" ref="E1485" si="3111">YEAR(B1485) &amp; CHOOSE(D1485,"-Jan","-Feb","-Mar","-Apr","-May","-Jun","-Jul","-Aug","-Sep","-Oct","-Nov","-Dec")</f>
        <v>2015-Mar</v>
      </c>
      <c r="F1485" s="68">
        <f t="shared" ref="F1485" si="3112">IF(C1485&gt;0,MONTH(C1485),"False")</f>
        <v>3</v>
      </c>
      <c r="G1485" s="430" t="s">
        <v>112</v>
      </c>
      <c r="H1485" s="1" t="s">
        <v>115</v>
      </c>
      <c r="J1485" s="1" t="s">
        <v>77</v>
      </c>
      <c r="K1485" s="1" t="s">
        <v>82</v>
      </c>
      <c r="L1485" s="1" t="s">
        <v>83</v>
      </c>
      <c r="M1485" s="1" t="s">
        <v>2356</v>
      </c>
      <c r="N1485" s="1" t="s">
        <v>124</v>
      </c>
      <c r="O1485" s="1" t="s">
        <v>353</v>
      </c>
      <c r="R1485" s="422" t="s">
        <v>2150</v>
      </c>
      <c r="S1485" s="1" t="s">
        <v>104</v>
      </c>
      <c r="X1485" s="1" t="s">
        <v>259</v>
      </c>
      <c r="Y1485" s="424" t="str">
        <f t="shared" si="3016"/>
        <v>Pass</v>
      </c>
      <c r="Z1485" s="11" t="str">
        <f t="shared" si="3017"/>
        <v/>
      </c>
      <c r="AA1485" s="424" t="str">
        <f t="shared" si="3018"/>
        <v/>
      </c>
      <c r="AB1485" s="424" t="str">
        <f t="shared" si="3019"/>
        <v/>
      </c>
    </row>
    <row r="1486" spans="2:28" x14ac:dyDescent="0.25">
      <c r="B1486" s="66">
        <v>42080</v>
      </c>
      <c r="C1486" s="66">
        <v>42080</v>
      </c>
      <c r="D1486" s="68">
        <f t="shared" ref="D1486" si="3113">IF(B1486&gt;0,MONTH(B1486),"False")</f>
        <v>3</v>
      </c>
      <c r="E1486" s="66" t="str">
        <f t="shared" ref="E1486" si="3114">YEAR(B1486) &amp; CHOOSE(D1486,"-Jan","-Feb","-Mar","-Apr","-May","-Jun","-Jul","-Aug","-Sep","-Oct","-Nov","-Dec")</f>
        <v>2015-Mar</v>
      </c>
      <c r="F1486" s="68">
        <f t="shared" ref="F1486" si="3115">IF(C1486&gt;0,MONTH(C1486),"False")</f>
        <v>3</v>
      </c>
      <c r="G1486" s="430" t="s">
        <v>112</v>
      </c>
      <c r="H1486" s="1" t="s">
        <v>280</v>
      </c>
      <c r="J1486" s="1" t="s">
        <v>78</v>
      </c>
      <c r="K1486" s="1" t="s">
        <v>78</v>
      </c>
      <c r="L1486" s="1" t="s">
        <v>79</v>
      </c>
      <c r="M1486" s="1" t="s">
        <v>2357</v>
      </c>
      <c r="N1486" s="1" t="s">
        <v>124</v>
      </c>
      <c r="O1486" s="1" t="s">
        <v>167</v>
      </c>
      <c r="R1486" s="422" t="s">
        <v>344</v>
      </c>
      <c r="S1486" s="1" t="s">
        <v>104</v>
      </c>
      <c r="X1486" s="1" t="s">
        <v>544</v>
      </c>
      <c r="Y1486" s="424" t="str">
        <f t="shared" si="3016"/>
        <v>Pass</v>
      </c>
      <c r="Z1486" s="11" t="str">
        <f t="shared" si="3017"/>
        <v/>
      </c>
      <c r="AA1486" s="424" t="str">
        <f t="shared" si="3018"/>
        <v/>
      </c>
      <c r="AB1486" s="424" t="str">
        <f t="shared" si="3019"/>
        <v/>
      </c>
    </row>
    <row r="1487" spans="2:28" x14ac:dyDescent="0.25">
      <c r="B1487" s="66">
        <v>42080</v>
      </c>
      <c r="C1487" s="66">
        <v>42080</v>
      </c>
      <c r="D1487" s="68">
        <f t="shared" ref="D1487" si="3116">IF(B1487&gt;0,MONTH(B1487),"False")</f>
        <v>3</v>
      </c>
      <c r="E1487" s="66" t="str">
        <f t="shared" ref="E1487" si="3117">YEAR(B1487) &amp; CHOOSE(D1487,"-Jan","-Feb","-Mar","-Apr","-May","-Jun","-Jul","-Aug","-Sep","-Oct","-Nov","-Dec")</f>
        <v>2015-Mar</v>
      </c>
      <c r="F1487" s="68">
        <f t="shared" ref="F1487" si="3118">IF(C1487&gt;0,MONTH(C1487),"False")</f>
        <v>3</v>
      </c>
      <c r="G1487" s="430" t="s">
        <v>112</v>
      </c>
      <c r="H1487" s="1" t="s">
        <v>76</v>
      </c>
      <c r="J1487" s="1" t="s">
        <v>77</v>
      </c>
      <c r="K1487" s="1" t="s">
        <v>78</v>
      </c>
      <c r="L1487" s="1" t="s">
        <v>79</v>
      </c>
      <c r="M1487" s="1" t="s">
        <v>2358</v>
      </c>
      <c r="N1487" s="1" t="s">
        <v>124</v>
      </c>
      <c r="O1487" s="1" t="s">
        <v>287</v>
      </c>
      <c r="R1487" s="422" t="s">
        <v>1038</v>
      </c>
      <c r="S1487" s="1" t="s">
        <v>104</v>
      </c>
      <c r="X1487" s="1" t="s">
        <v>300</v>
      </c>
      <c r="Y1487" s="424" t="str">
        <f t="shared" si="3016"/>
        <v>Pass</v>
      </c>
      <c r="Z1487" s="11" t="str">
        <f t="shared" si="3017"/>
        <v/>
      </c>
      <c r="AA1487" s="424" t="str">
        <f t="shared" si="3018"/>
        <v/>
      </c>
      <c r="AB1487" s="424" t="str">
        <f t="shared" si="3019"/>
        <v/>
      </c>
    </row>
    <row r="1488" spans="2:28" x14ac:dyDescent="0.25">
      <c r="B1488" s="66">
        <v>42080</v>
      </c>
      <c r="C1488" s="66">
        <v>42080</v>
      </c>
      <c r="D1488" s="68">
        <f t="shared" ref="D1488" si="3119">IF(B1488&gt;0,MONTH(B1488),"False")</f>
        <v>3</v>
      </c>
      <c r="E1488" s="66" t="str">
        <f t="shared" ref="E1488" si="3120">YEAR(B1488) &amp; CHOOSE(D1488,"-Jan","-Feb","-Mar","-Apr","-May","-Jun","-Jul","-Aug","-Sep","-Oct","-Nov","-Dec")</f>
        <v>2015-Mar</v>
      </c>
      <c r="F1488" s="68">
        <f t="shared" ref="F1488" si="3121">IF(C1488&gt;0,MONTH(C1488),"False")</f>
        <v>3</v>
      </c>
      <c r="G1488" s="430" t="s">
        <v>87</v>
      </c>
      <c r="H1488" s="1" t="s">
        <v>166</v>
      </c>
      <c r="J1488" s="1" t="s">
        <v>333</v>
      </c>
      <c r="K1488" s="1" t="s">
        <v>82</v>
      </c>
      <c r="L1488" s="1" t="s">
        <v>83</v>
      </c>
      <c r="M1488" s="1" t="s">
        <v>2359</v>
      </c>
      <c r="N1488" s="1" t="s">
        <v>124</v>
      </c>
      <c r="O1488" s="1" t="s">
        <v>2360</v>
      </c>
      <c r="Q1488" s="2" t="s">
        <v>88</v>
      </c>
      <c r="R1488" s="422" t="s">
        <v>2297</v>
      </c>
      <c r="Y1488" s="424" t="str">
        <f t="shared" si="3016"/>
        <v>Obsolete</v>
      </c>
      <c r="Z1488" s="11">
        <f t="shared" si="3017"/>
        <v>42080</v>
      </c>
      <c r="AA1488" s="424" t="str">
        <f t="shared" si="3018"/>
        <v>2015 - 12</v>
      </c>
      <c r="AB1488" s="424">
        <f t="shared" si="3019"/>
        <v>2015</v>
      </c>
    </row>
    <row r="1489" spans="2:28" x14ac:dyDescent="0.25">
      <c r="B1489" s="66">
        <v>42080</v>
      </c>
      <c r="C1489" s="66">
        <v>42080</v>
      </c>
      <c r="D1489" s="68">
        <f t="shared" ref="D1489:D1490" si="3122">IF(B1489&gt;0,MONTH(B1489),"False")</f>
        <v>3</v>
      </c>
      <c r="E1489" s="66" t="str">
        <f t="shared" ref="E1489:E1490" si="3123">YEAR(B1489) &amp; CHOOSE(D1489,"-Jan","-Feb","-Mar","-Apr","-May","-Jun","-Jul","-Aug","-Sep","-Oct","-Nov","-Dec")</f>
        <v>2015-Mar</v>
      </c>
      <c r="F1489" s="68">
        <f t="shared" ref="F1489:F1490" si="3124">IF(C1489&gt;0,MONTH(C1489),"False")</f>
        <v>3</v>
      </c>
      <c r="G1489" s="430" t="s">
        <v>112</v>
      </c>
      <c r="H1489" s="1" t="s">
        <v>280</v>
      </c>
      <c r="J1489" s="1" t="s">
        <v>78</v>
      </c>
      <c r="K1489" s="1" t="s">
        <v>78</v>
      </c>
      <c r="L1489" s="1" t="s">
        <v>79</v>
      </c>
      <c r="M1489" s="1" t="s">
        <v>2361</v>
      </c>
      <c r="N1489" s="1" t="s">
        <v>124</v>
      </c>
      <c r="O1489" s="1" t="s">
        <v>167</v>
      </c>
      <c r="R1489" s="422" t="s">
        <v>344</v>
      </c>
      <c r="S1489" s="1" t="s">
        <v>104</v>
      </c>
      <c r="X1489" s="1" t="s">
        <v>544</v>
      </c>
      <c r="Y1489" s="441" t="str">
        <f t="shared" ref="Y1489:Y1530" si="3125">IF(Q1489&gt;0,"Obsolete",IF(S1489&gt;0,S1489,"Unknown"))</f>
        <v>Pass</v>
      </c>
      <c r="Z1489" s="11" t="str">
        <f t="shared" ref="Z1489:Z1530" si="3126">IF(Q1489="Obsolete-LQA",C1489,IF(Q1489="Obsolete-IT",B1489,""))</f>
        <v/>
      </c>
      <c r="AA1489" s="441" t="str">
        <f t="shared" ref="AA1489:AA1530" si="3127">IFERROR(YEAR(Z1489)&amp;" - "&amp; IF(LEN( WEEKNUM(Z1489))=1,"0" &amp; WEEKNUM(Z1489),WEEKNUM(Z1489)),"")</f>
        <v/>
      </c>
      <c r="AB1489" s="441" t="str">
        <f t="shared" ref="AB1489:AB1530" si="3128">IFERROR(YEAR(Z1489),"")</f>
        <v/>
      </c>
    </row>
    <row r="1490" spans="2:28" x14ac:dyDescent="0.25">
      <c r="B1490" s="65">
        <v>42081</v>
      </c>
      <c r="C1490" s="66">
        <v>42081</v>
      </c>
      <c r="D1490" s="68">
        <f t="shared" si="3122"/>
        <v>3</v>
      </c>
      <c r="E1490" s="66" t="str">
        <f t="shared" si="3123"/>
        <v>2015-Mar</v>
      </c>
      <c r="F1490" s="68">
        <f t="shared" si="3124"/>
        <v>3</v>
      </c>
      <c r="G1490" s="431" t="s">
        <v>121</v>
      </c>
      <c r="H1490" s="1" t="s">
        <v>280</v>
      </c>
      <c r="J1490" s="1" t="s">
        <v>81</v>
      </c>
      <c r="K1490" s="1" t="s">
        <v>82</v>
      </c>
      <c r="L1490" s="1" t="s">
        <v>79</v>
      </c>
      <c r="M1490" s="1" t="s">
        <v>2362</v>
      </c>
      <c r="N1490" s="1" t="s">
        <v>124</v>
      </c>
      <c r="O1490" s="1" t="s">
        <v>286</v>
      </c>
      <c r="P1490" s="422" t="s">
        <v>305</v>
      </c>
      <c r="R1490" s="422" t="s">
        <v>1559</v>
      </c>
      <c r="S1490" s="1" t="s">
        <v>104</v>
      </c>
      <c r="X1490" s="1" t="s">
        <v>2146</v>
      </c>
      <c r="Y1490" s="441" t="str">
        <f t="shared" si="3125"/>
        <v>Pass</v>
      </c>
      <c r="Z1490" s="11" t="str">
        <f t="shared" si="3126"/>
        <v/>
      </c>
      <c r="AA1490" s="441" t="str">
        <f t="shared" si="3127"/>
        <v/>
      </c>
      <c r="AB1490" s="441" t="str">
        <f t="shared" si="3128"/>
        <v/>
      </c>
    </row>
    <row r="1491" spans="2:28" x14ac:dyDescent="0.25">
      <c r="B1491" s="66">
        <v>42081</v>
      </c>
      <c r="C1491" s="66">
        <v>42081</v>
      </c>
      <c r="D1491" s="68">
        <f t="shared" ref="D1491:D1492" si="3129">IF(B1491&gt;0,MONTH(B1491),"False")</f>
        <v>3</v>
      </c>
      <c r="E1491" s="66" t="str">
        <f t="shared" ref="E1491:E1492" si="3130">YEAR(B1491) &amp; CHOOSE(D1491,"-Jan","-Feb","-Mar","-Apr","-May","-Jun","-Jul","-Aug","-Sep","-Oct","-Nov","-Dec")</f>
        <v>2015-Mar</v>
      </c>
      <c r="F1491" s="68">
        <f t="shared" ref="F1491:F1492" si="3131">IF(C1491&gt;0,MONTH(C1491),"False")</f>
        <v>3</v>
      </c>
      <c r="G1491" s="431" t="s">
        <v>112</v>
      </c>
      <c r="H1491" s="1" t="s">
        <v>103</v>
      </c>
      <c r="J1491" s="1" t="s">
        <v>78</v>
      </c>
      <c r="K1491" s="1" t="s">
        <v>78</v>
      </c>
      <c r="L1491" s="1" t="s">
        <v>79</v>
      </c>
      <c r="M1491" s="1" t="s">
        <v>2363</v>
      </c>
      <c r="N1491" s="1" t="s">
        <v>124</v>
      </c>
      <c r="O1491" s="1" t="s">
        <v>332</v>
      </c>
      <c r="R1491" s="422" t="s">
        <v>475</v>
      </c>
      <c r="S1491" s="1" t="s">
        <v>104</v>
      </c>
      <c r="X1491" s="432" t="s">
        <v>1758</v>
      </c>
      <c r="Y1491" s="441" t="str">
        <f t="shared" si="3125"/>
        <v>Pass</v>
      </c>
      <c r="Z1491" s="11" t="str">
        <f t="shared" si="3126"/>
        <v/>
      </c>
      <c r="AA1491" s="441" t="str">
        <f t="shared" si="3127"/>
        <v/>
      </c>
      <c r="AB1491" s="441" t="str">
        <f t="shared" si="3128"/>
        <v/>
      </c>
    </row>
    <row r="1492" spans="2:28" x14ac:dyDescent="0.25">
      <c r="B1492" s="65">
        <v>42081</v>
      </c>
      <c r="C1492" s="66">
        <v>42081</v>
      </c>
      <c r="D1492" s="68">
        <f t="shared" si="3129"/>
        <v>3</v>
      </c>
      <c r="E1492" s="66" t="str">
        <f t="shared" si="3130"/>
        <v>2015-Mar</v>
      </c>
      <c r="F1492" s="68">
        <f t="shared" si="3131"/>
        <v>3</v>
      </c>
      <c r="G1492" s="431" t="s">
        <v>121</v>
      </c>
      <c r="H1492" s="431" t="s">
        <v>103</v>
      </c>
      <c r="J1492" s="1" t="s">
        <v>77</v>
      </c>
      <c r="K1492" s="1" t="s">
        <v>82</v>
      </c>
      <c r="L1492" s="1" t="s">
        <v>79</v>
      </c>
      <c r="M1492" s="1" t="s">
        <v>2364</v>
      </c>
      <c r="N1492" s="1" t="s">
        <v>124</v>
      </c>
      <c r="O1492" s="1" t="s">
        <v>507</v>
      </c>
      <c r="P1492" s="64" t="s">
        <v>351</v>
      </c>
      <c r="R1492" s="422" t="s">
        <v>361</v>
      </c>
      <c r="S1492" s="1" t="s">
        <v>104</v>
      </c>
      <c r="X1492" s="1" t="s">
        <v>1758</v>
      </c>
      <c r="Y1492" s="441" t="str">
        <f t="shared" si="3125"/>
        <v>Pass</v>
      </c>
      <c r="Z1492" s="11" t="str">
        <f t="shared" si="3126"/>
        <v/>
      </c>
      <c r="AA1492" s="441" t="str">
        <f t="shared" si="3127"/>
        <v/>
      </c>
      <c r="AB1492" s="441" t="str">
        <f t="shared" si="3128"/>
        <v/>
      </c>
    </row>
    <row r="1493" spans="2:28" x14ac:dyDescent="0.25">
      <c r="B1493" s="66">
        <v>42082</v>
      </c>
      <c r="C1493" s="66">
        <v>42082</v>
      </c>
      <c r="D1493" s="68">
        <f t="shared" ref="D1493" si="3132">IF(B1493&gt;0,MONTH(B1493),"False")</f>
        <v>3</v>
      </c>
      <c r="E1493" s="66" t="str">
        <f t="shared" ref="E1493" si="3133">YEAR(B1493) &amp; CHOOSE(D1493,"-Jan","-Feb","-Mar","-Apr","-May","-Jun","-Jul","-Aug","-Sep","-Oct","-Nov","-Dec")</f>
        <v>2015-Mar</v>
      </c>
      <c r="F1493" s="68">
        <f t="shared" ref="F1493" si="3134">IF(C1493&gt;0,MONTH(C1493),"False")</f>
        <v>3</v>
      </c>
      <c r="G1493" s="432" t="s">
        <v>112</v>
      </c>
      <c r="H1493" s="1" t="s">
        <v>1685</v>
      </c>
      <c r="J1493" s="1" t="s">
        <v>78</v>
      </c>
      <c r="K1493" s="1" t="s">
        <v>78</v>
      </c>
      <c r="L1493" s="1" t="s">
        <v>79</v>
      </c>
      <c r="M1493" s="1" t="s">
        <v>2365</v>
      </c>
      <c r="N1493" s="1" t="s">
        <v>124</v>
      </c>
      <c r="O1493" s="1" t="s">
        <v>287</v>
      </c>
      <c r="R1493" s="422" t="s">
        <v>2037</v>
      </c>
      <c r="S1493" s="1" t="s">
        <v>104</v>
      </c>
      <c r="X1493" s="1" t="s">
        <v>154</v>
      </c>
      <c r="Y1493" s="441" t="str">
        <f t="shared" si="3125"/>
        <v>Pass</v>
      </c>
      <c r="Z1493" s="11" t="str">
        <f t="shared" si="3126"/>
        <v/>
      </c>
      <c r="AA1493" s="441" t="str">
        <f t="shared" si="3127"/>
        <v/>
      </c>
      <c r="AB1493" s="441" t="str">
        <f t="shared" si="3128"/>
        <v/>
      </c>
    </row>
    <row r="1494" spans="2:28" x14ac:dyDescent="0.25">
      <c r="B1494" s="66">
        <v>42082</v>
      </c>
      <c r="C1494" s="66">
        <v>42082</v>
      </c>
      <c r="D1494" s="68">
        <f t="shared" ref="D1494:D1495" si="3135">IF(B1494&gt;0,MONTH(B1494),"False")</f>
        <v>3</v>
      </c>
      <c r="E1494" s="66" t="str">
        <f t="shared" ref="E1494:E1495" si="3136">YEAR(B1494) &amp; CHOOSE(D1494,"-Jan","-Feb","-Mar","-Apr","-May","-Jun","-Jul","-Aug","-Sep","-Oct","-Nov","-Dec")</f>
        <v>2015-Mar</v>
      </c>
      <c r="F1494" s="68">
        <f t="shared" ref="F1494:F1495" si="3137">IF(C1494&gt;0,MONTH(C1494),"False")</f>
        <v>3</v>
      </c>
      <c r="G1494" s="432" t="s">
        <v>112</v>
      </c>
      <c r="H1494" s="432" t="s">
        <v>1745</v>
      </c>
      <c r="J1494" s="1" t="s">
        <v>78</v>
      </c>
      <c r="K1494" s="1" t="s">
        <v>78</v>
      </c>
      <c r="L1494" s="1" t="s">
        <v>79</v>
      </c>
      <c r="M1494" s="1" t="s">
        <v>2366</v>
      </c>
      <c r="N1494" s="1" t="s">
        <v>124</v>
      </c>
      <c r="O1494" s="1" t="s">
        <v>168</v>
      </c>
      <c r="R1494" s="422" t="s">
        <v>1796</v>
      </c>
      <c r="S1494" s="1" t="s">
        <v>104</v>
      </c>
      <c r="X1494" s="1" t="s">
        <v>2895</v>
      </c>
      <c r="Y1494" s="441" t="str">
        <f t="shared" si="3125"/>
        <v>Pass</v>
      </c>
      <c r="Z1494" s="11" t="str">
        <f t="shared" si="3126"/>
        <v/>
      </c>
      <c r="AA1494" s="441" t="str">
        <f t="shared" si="3127"/>
        <v/>
      </c>
      <c r="AB1494" s="441" t="str">
        <f t="shared" si="3128"/>
        <v/>
      </c>
    </row>
    <row r="1495" spans="2:28" x14ac:dyDescent="0.25">
      <c r="B1495" s="65">
        <v>42082</v>
      </c>
      <c r="C1495" s="66">
        <v>42082</v>
      </c>
      <c r="D1495" s="68">
        <f t="shared" si="3135"/>
        <v>3</v>
      </c>
      <c r="E1495" s="66" t="str">
        <f t="shared" si="3136"/>
        <v>2015-Mar</v>
      </c>
      <c r="F1495" s="68">
        <f t="shared" si="3137"/>
        <v>3</v>
      </c>
      <c r="G1495" s="432" t="s">
        <v>121</v>
      </c>
      <c r="H1495" s="1" t="s">
        <v>280</v>
      </c>
      <c r="J1495" s="1" t="s">
        <v>146</v>
      </c>
      <c r="K1495" s="1" t="s">
        <v>82</v>
      </c>
      <c r="L1495" s="1" t="s">
        <v>79</v>
      </c>
      <c r="M1495" s="1" t="s">
        <v>2367</v>
      </c>
      <c r="N1495" s="1" t="s">
        <v>124</v>
      </c>
      <c r="O1495" s="1" t="s">
        <v>286</v>
      </c>
      <c r="P1495" s="422" t="s">
        <v>305</v>
      </c>
      <c r="R1495" s="422" t="s">
        <v>1559</v>
      </c>
      <c r="S1495" s="1" t="s">
        <v>104</v>
      </c>
      <c r="X1495" s="1" t="s">
        <v>2510</v>
      </c>
      <c r="Y1495" s="441" t="str">
        <f t="shared" si="3125"/>
        <v>Pass</v>
      </c>
      <c r="Z1495" s="11" t="str">
        <f t="shared" si="3126"/>
        <v/>
      </c>
      <c r="AA1495" s="441" t="str">
        <f t="shared" si="3127"/>
        <v/>
      </c>
      <c r="AB1495" s="441" t="str">
        <f t="shared" si="3128"/>
        <v/>
      </c>
    </row>
    <row r="1496" spans="2:28" x14ac:dyDescent="0.25">
      <c r="B1496" s="66">
        <v>42083</v>
      </c>
      <c r="C1496" s="66">
        <v>42083</v>
      </c>
      <c r="D1496" s="68">
        <f t="shared" ref="D1496:D1497" si="3138">IF(B1496&gt;0,MONTH(B1496),"False")</f>
        <v>3</v>
      </c>
      <c r="E1496" s="66" t="str">
        <f t="shared" ref="E1496:E1497" si="3139">YEAR(B1496) &amp; CHOOSE(D1496,"-Jan","-Feb","-Mar","-Apr","-May","-Jun","-Jul","-Aug","-Sep","-Oct","-Nov","-Dec")</f>
        <v>2015-Mar</v>
      </c>
      <c r="F1496" s="68">
        <f t="shared" ref="F1496:F1497" si="3140">IF(C1496&gt;0,MONTH(C1496),"False")</f>
        <v>3</v>
      </c>
      <c r="G1496" s="433" t="s">
        <v>87</v>
      </c>
      <c r="H1496" s="1" t="s">
        <v>166</v>
      </c>
      <c r="J1496" s="1" t="s">
        <v>78</v>
      </c>
      <c r="K1496" s="1" t="s">
        <v>78</v>
      </c>
      <c r="L1496" s="1" t="s">
        <v>79</v>
      </c>
      <c r="M1496" s="1" t="s">
        <v>2368</v>
      </c>
      <c r="N1496" s="1" t="s">
        <v>124</v>
      </c>
      <c r="O1496" s="1" t="s">
        <v>287</v>
      </c>
      <c r="R1496" s="422" t="s">
        <v>488</v>
      </c>
      <c r="Y1496" s="441" t="str">
        <f t="shared" si="3125"/>
        <v>Unknown</v>
      </c>
      <c r="Z1496" s="11" t="str">
        <f t="shared" si="3126"/>
        <v/>
      </c>
      <c r="AA1496" s="441" t="str">
        <f t="shared" si="3127"/>
        <v/>
      </c>
      <c r="AB1496" s="441" t="str">
        <f t="shared" si="3128"/>
        <v/>
      </c>
    </row>
    <row r="1497" spans="2:28" x14ac:dyDescent="0.25">
      <c r="B1497" s="65">
        <v>42086</v>
      </c>
      <c r="C1497" s="66">
        <v>42086</v>
      </c>
      <c r="D1497" s="68">
        <f t="shared" si="3138"/>
        <v>3</v>
      </c>
      <c r="E1497" s="66" t="str">
        <f t="shared" si="3139"/>
        <v>2015-Mar</v>
      </c>
      <c r="F1497" s="68">
        <f t="shared" si="3140"/>
        <v>3</v>
      </c>
      <c r="G1497" s="434" t="s">
        <v>93</v>
      </c>
      <c r="H1497" s="1" t="s">
        <v>166</v>
      </c>
      <c r="J1497" s="1" t="s">
        <v>120</v>
      </c>
      <c r="K1497" s="1" t="s">
        <v>82</v>
      </c>
      <c r="L1497" s="1" t="s">
        <v>79</v>
      </c>
      <c r="M1497" s="1" t="s">
        <v>2369</v>
      </c>
      <c r="N1497" s="1" t="s">
        <v>124</v>
      </c>
      <c r="O1497" s="1" t="s">
        <v>1368</v>
      </c>
      <c r="P1497" s="422" t="s">
        <v>557</v>
      </c>
      <c r="R1497" s="422" t="s">
        <v>594</v>
      </c>
      <c r="Y1497" s="441" t="str">
        <f t="shared" si="3125"/>
        <v>Unknown</v>
      </c>
      <c r="Z1497" s="11" t="str">
        <f t="shared" si="3126"/>
        <v/>
      </c>
      <c r="AA1497" s="441" t="str">
        <f t="shared" si="3127"/>
        <v/>
      </c>
      <c r="AB1497" s="441" t="str">
        <f t="shared" si="3128"/>
        <v/>
      </c>
    </row>
    <row r="1498" spans="2:28" x14ac:dyDescent="0.25">
      <c r="B1498" s="66">
        <v>42086</v>
      </c>
      <c r="C1498" s="66">
        <v>42086</v>
      </c>
      <c r="D1498" s="68">
        <f t="shared" ref="D1498:D1499" si="3141">IF(B1498&gt;0,MONTH(B1498),"False")</f>
        <v>3</v>
      </c>
      <c r="E1498" s="66" t="str">
        <f t="shared" ref="E1498:E1499" si="3142">YEAR(B1498) &amp; CHOOSE(D1498,"-Jan","-Feb","-Mar","-Apr","-May","-Jun","-Jul","-Aug","-Sep","-Oct","-Nov","-Dec")</f>
        <v>2015-Mar</v>
      </c>
      <c r="F1498" s="68">
        <f t="shared" ref="F1498:F1499" si="3143">IF(C1498&gt;0,MONTH(C1498),"False")</f>
        <v>3</v>
      </c>
      <c r="G1498" s="434" t="s">
        <v>126</v>
      </c>
      <c r="H1498" s="1" t="s">
        <v>280</v>
      </c>
      <c r="J1498" s="1" t="s">
        <v>78</v>
      </c>
      <c r="K1498" s="1" t="s">
        <v>78</v>
      </c>
      <c r="L1498" s="1" t="s">
        <v>79</v>
      </c>
      <c r="M1498" s="1" t="s">
        <v>2370</v>
      </c>
      <c r="N1498" s="1" t="s">
        <v>124</v>
      </c>
      <c r="O1498" s="1" t="s">
        <v>167</v>
      </c>
      <c r="R1498" s="64" t="s">
        <v>344</v>
      </c>
      <c r="S1498" s="1" t="s">
        <v>104</v>
      </c>
      <c r="T1498" s="9" t="s">
        <v>110</v>
      </c>
      <c r="X1498" s="1" t="s">
        <v>2510</v>
      </c>
      <c r="Y1498" s="441" t="str">
        <f t="shared" si="3125"/>
        <v>Pass</v>
      </c>
      <c r="Z1498" s="11" t="str">
        <f t="shared" si="3126"/>
        <v/>
      </c>
      <c r="AA1498" s="441" t="str">
        <f t="shared" si="3127"/>
        <v/>
      </c>
      <c r="AB1498" s="441" t="str">
        <f t="shared" si="3128"/>
        <v/>
      </c>
    </row>
    <row r="1499" spans="2:28" x14ac:dyDescent="0.25">
      <c r="B1499" s="65">
        <v>42087</v>
      </c>
      <c r="C1499" s="66">
        <v>42087</v>
      </c>
      <c r="D1499" s="68">
        <f t="shared" si="3141"/>
        <v>3</v>
      </c>
      <c r="E1499" s="66" t="str">
        <f t="shared" si="3142"/>
        <v>2015-Mar</v>
      </c>
      <c r="F1499" s="68">
        <f t="shared" si="3143"/>
        <v>3</v>
      </c>
      <c r="G1499" s="435" t="s">
        <v>121</v>
      </c>
      <c r="H1499" s="435" t="s">
        <v>86</v>
      </c>
      <c r="J1499" s="1" t="s">
        <v>77</v>
      </c>
      <c r="K1499" s="1" t="s">
        <v>260</v>
      </c>
      <c r="L1499" s="1" t="s">
        <v>79</v>
      </c>
      <c r="M1499" s="1" t="s">
        <v>2371</v>
      </c>
      <c r="N1499" s="1" t="s">
        <v>124</v>
      </c>
      <c r="O1499" s="1" t="s">
        <v>164</v>
      </c>
      <c r="P1499" s="422" t="s">
        <v>2372</v>
      </c>
      <c r="R1499" s="422" t="s">
        <v>2377</v>
      </c>
      <c r="S1499" s="1" t="s">
        <v>104</v>
      </c>
      <c r="X1499" s="1" t="s">
        <v>2445</v>
      </c>
      <c r="Y1499" s="441" t="str">
        <f t="shared" si="3125"/>
        <v>Pass</v>
      </c>
      <c r="Z1499" s="11" t="str">
        <f t="shared" si="3126"/>
        <v/>
      </c>
      <c r="AA1499" s="441" t="str">
        <f t="shared" si="3127"/>
        <v/>
      </c>
      <c r="AB1499" s="441" t="str">
        <f t="shared" si="3128"/>
        <v/>
      </c>
    </row>
    <row r="1500" spans="2:28" x14ac:dyDescent="0.25">
      <c r="B1500" s="65">
        <v>42087</v>
      </c>
      <c r="C1500" s="66">
        <v>42087</v>
      </c>
      <c r="D1500" s="68">
        <f t="shared" ref="D1500:D1502" si="3144">IF(B1500&gt;0,MONTH(B1500),"False")</f>
        <v>3</v>
      </c>
      <c r="E1500" s="66" t="str">
        <f t="shared" ref="E1500:E1502" si="3145">YEAR(B1500) &amp; CHOOSE(D1500,"-Jan","-Feb","-Mar","-Apr","-May","-Jun","-Jul","-Aug","-Sep","-Oct","-Nov","-Dec")</f>
        <v>2015-Mar</v>
      </c>
      <c r="F1500" s="68">
        <f t="shared" ref="F1500:F1502" si="3146">IF(C1500&gt;0,MONTH(C1500),"False")</f>
        <v>3</v>
      </c>
      <c r="G1500" s="435" t="s">
        <v>121</v>
      </c>
      <c r="H1500" s="435" t="s">
        <v>86</v>
      </c>
      <c r="J1500" s="435" t="s">
        <v>77</v>
      </c>
      <c r="K1500" s="1" t="s">
        <v>261</v>
      </c>
      <c r="L1500" s="1" t="s">
        <v>79</v>
      </c>
      <c r="M1500" s="1" t="s">
        <v>2373</v>
      </c>
      <c r="N1500" s="435" t="s">
        <v>124</v>
      </c>
      <c r="O1500" s="435" t="s">
        <v>164</v>
      </c>
      <c r="P1500" s="422" t="s">
        <v>2372</v>
      </c>
      <c r="R1500" s="422" t="s">
        <v>2378</v>
      </c>
      <c r="S1500" s="1" t="s">
        <v>104</v>
      </c>
      <c r="X1500" s="1" t="s">
        <v>2445</v>
      </c>
      <c r="Y1500" s="441" t="str">
        <f t="shared" si="3125"/>
        <v>Pass</v>
      </c>
      <c r="Z1500" s="11" t="str">
        <f t="shared" si="3126"/>
        <v/>
      </c>
      <c r="AA1500" s="441" t="str">
        <f t="shared" si="3127"/>
        <v/>
      </c>
      <c r="AB1500" s="441" t="str">
        <f t="shared" si="3128"/>
        <v/>
      </c>
    </row>
    <row r="1501" spans="2:28" x14ac:dyDescent="0.25">
      <c r="B1501" s="65">
        <v>42087</v>
      </c>
      <c r="C1501" s="66">
        <v>42087</v>
      </c>
      <c r="D1501" s="68">
        <f t="shared" si="3144"/>
        <v>3</v>
      </c>
      <c r="E1501" s="66" t="str">
        <f t="shared" si="3145"/>
        <v>2015-Mar</v>
      </c>
      <c r="F1501" s="68">
        <f t="shared" si="3146"/>
        <v>3</v>
      </c>
      <c r="G1501" s="435" t="s">
        <v>121</v>
      </c>
      <c r="H1501" s="435" t="s">
        <v>86</v>
      </c>
      <c r="J1501" s="435" t="s">
        <v>77</v>
      </c>
      <c r="K1501" s="1" t="s">
        <v>262</v>
      </c>
      <c r="L1501" s="1" t="s">
        <v>79</v>
      </c>
      <c r="M1501" s="1" t="s">
        <v>2374</v>
      </c>
      <c r="N1501" s="435" t="s">
        <v>124</v>
      </c>
      <c r="O1501" s="435" t="s">
        <v>164</v>
      </c>
      <c r="P1501" s="422" t="s">
        <v>2372</v>
      </c>
      <c r="R1501" s="422" t="s">
        <v>2379</v>
      </c>
      <c r="S1501" s="1" t="s">
        <v>104</v>
      </c>
      <c r="X1501" s="1" t="s">
        <v>2445</v>
      </c>
      <c r="Y1501" s="441" t="str">
        <f t="shared" si="3125"/>
        <v>Pass</v>
      </c>
      <c r="Z1501" s="11" t="str">
        <f t="shared" si="3126"/>
        <v/>
      </c>
      <c r="AA1501" s="441" t="str">
        <f t="shared" si="3127"/>
        <v/>
      </c>
      <c r="AB1501" s="441" t="str">
        <f t="shared" si="3128"/>
        <v/>
      </c>
    </row>
    <row r="1502" spans="2:28" x14ac:dyDescent="0.25">
      <c r="B1502" s="65">
        <v>42087</v>
      </c>
      <c r="C1502" s="66">
        <v>42087</v>
      </c>
      <c r="D1502" s="68">
        <f t="shared" si="3144"/>
        <v>3</v>
      </c>
      <c r="E1502" s="66" t="str">
        <f t="shared" si="3145"/>
        <v>2015-Mar</v>
      </c>
      <c r="F1502" s="68">
        <f t="shared" si="3146"/>
        <v>3</v>
      </c>
      <c r="G1502" s="435" t="s">
        <v>93</v>
      </c>
      <c r="H1502" s="435" t="s">
        <v>86</v>
      </c>
      <c r="J1502" s="435" t="s">
        <v>77</v>
      </c>
      <c r="K1502" s="1" t="s">
        <v>176</v>
      </c>
      <c r="L1502" s="1" t="s">
        <v>79</v>
      </c>
      <c r="M1502" s="1" t="s">
        <v>2375</v>
      </c>
      <c r="N1502" s="435" t="s">
        <v>124</v>
      </c>
      <c r="O1502" s="435" t="s">
        <v>164</v>
      </c>
      <c r="P1502" s="422" t="s">
        <v>2372</v>
      </c>
      <c r="R1502" s="64" t="s">
        <v>2380</v>
      </c>
      <c r="Y1502" s="441" t="str">
        <f t="shared" si="3125"/>
        <v>Unknown</v>
      </c>
      <c r="Z1502" s="11" t="str">
        <f t="shared" si="3126"/>
        <v/>
      </c>
      <c r="AA1502" s="441" t="str">
        <f t="shared" si="3127"/>
        <v/>
      </c>
      <c r="AB1502" s="441" t="str">
        <f t="shared" si="3128"/>
        <v/>
      </c>
    </row>
    <row r="1503" spans="2:28" x14ac:dyDescent="0.25">
      <c r="B1503" s="65">
        <v>42087</v>
      </c>
      <c r="C1503" s="66">
        <v>42087</v>
      </c>
      <c r="D1503" s="68">
        <f t="shared" ref="D1503" si="3147">IF(B1503&gt;0,MONTH(B1503),"False")</f>
        <v>3</v>
      </c>
      <c r="E1503" s="66" t="str">
        <f t="shared" ref="E1503" si="3148">YEAR(B1503) &amp; CHOOSE(D1503,"-Jan","-Feb","-Mar","-Apr","-May","-Jun","-Jul","-Aug","-Sep","-Oct","-Nov","-Dec")</f>
        <v>2015-Mar</v>
      </c>
      <c r="F1503" s="68">
        <f t="shared" ref="F1503" si="3149">IF(C1503&gt;0,MONTH(C1503),"False")</f>
        <v>3</v>
      </c>
      <c r="G1503" s="435" t="s">
        <v>121</v>
      </c>
      <c r="H1503" s="435" t="s">
        <v>1745</v>
      </c>
      <c r="I1503" s="435" t="s">
        <v>2188</v>
      </c>
      <c r="J1503" s="1" t="s">
        <v>81</v>
      </c>
      <c r="K1503" s="1" t="s">
        <v>82</v>
      </c>
      <c r="L1503" s="1" t="s">
        <v>79</v>
      </c>
      <c r="M1503" s="1" t="s">
        <v>2376</v>
      </c>
      <c r="N1503" s="1" t="s">
        <v>124</v>
      </c>
      <c r="O1503" s="1" t="s">
        <v>2072</v>
      </c>
      <c r="P1503" s="422" t="s">
        <v>1823</v>
      </c>
      <c r="R1503" s="422" t="s">
        <v>1824</v>
      </c>
      <c r="S1503" s="1" t="s">
        <v>104</v>
      </c>
      <c r="X1503" s="1" t="s">
        <v>158</v>
      </c>
      <c r="Y1503" s="441" t="str">
        <f t="shared" si="3125"/>
        <v>Pass</v>
      </c>
      <c r="Z1503" s="11" t="str">
        <f t="shared" si="3126"/>
        <v/>
      </c>
      <c r="AA1503" s="441" t="str">
        <f t="shared" si="3127"/>
        <v/>
      </c>
      <c r="AB1503" s="441" t="str">
        <f t="shared" si="3128"/>
        <v/>
      </c>
    </row>
    <row r="1504" spans="2:28" x14ac:dyDescent="0.25">
      <c r="B1504" s="65">
        <v>42087</v>
      </c>
      <c r="C1504" s="66">
        <v>42087</v>
      </c>
      <c r="D1504" s="68">
        <f t="shared" ref="D1504:D1505" si="3150">IF(B1504&gt;0,MONTH(B1504),"False")</f>
        <v>3</v>
      </c>
      <c r="E1504" s="66" t="str">
        <f t="shared" ref="E1504:E1505" si="3151">YEAR(B1504) &amp; CHOOSE(D1504,"-Jan","-Feb","-Mar","-Apr","-May","-Jun","-Jul","-Aug","-Sep","-Oct","-Nov","-Dec")</f>
        <v>2015-Mar</v>
      </c>
      <c r="F1504" s="68">
        <f t="shared" ref="F1504:F1505" si="3152">IF(C1504&gt;0,MONTH(C1504),"False")</f>
        <v>3</v>
      </c>
      <c r="G1504" s="435" t="s">
        <v>93</v>
      </c>
      <c r="H1504" s="1" t="s">
        <v>103</v>
      </c>
      <c r="J1504" s="1" t="s">
        <v>77</v>
      </c>
      <c r="K1504" s="1" t="s">
        <v>82</v>
      </c>
      <c r="L1504" s="1" t="s">
        <v>79</v>
      </c>
      <c r="M1504" s="1" t="s">
        <v>2381</v>
      </c>
      <c r="N1504" s="1" t="s">
        <v>124</v>
      </c>
      <c r="O1504" s="1" t="s">
        <v>507</v>
      </c>
      <c r="P1504" s="422" t="s">
        <v>361</v>
      </c>
      <c r="R1504" s="422" t="s">
        <v>351</v>
      </c>
      <c r="Y1504" s="441" t="str">
        <f t="shared" si="3125"/>
        <v>Unknown</v>
      </c>
      <c r="Z1504" s="11" t="str">
        <f t="shared" si="3126"/>
        <v/>
      </c>
      <c r="AA1504" s="441" t="str">
        <f t="shared" si="3127"/>
        <v/>
      </c>
      <c r="AB1504" s="441" t="str">
        <f t="shared" si="3128"/>
        <v/>
      </c>
    </row>
    <row r="1505" spans="2:28" x14ac:dyDescent="0.25">
      <c r="B1505" s="66">
        <v>42087</v>
      </c>
      <c r="C1505" s="66">
        <v>42087</v>
      </c>
      <c r="D1505" s="68">
        <f t="shared" si="3150"/>
        <v>3</v>
      </c>
      <c r="E1505" s="66" t="str">
        <f t="shared" si="3151"/>
        <v>2015-Mar</v>
      </c>
      <c r="F1505" s="68">
        <f t="shared" si="3152"/>
        <v>3</v>
      </c>
      <c r="G1505" s="435" t="s">
        <v>112</v>
      </c>
      <c r="H1505" s="1" t="s">
        <v>331</v>
      </c>
      <c r="J1505" s="1" t="s">
        <v>78</v>
      </c>
      <c r="K1505" s="1" t="s">
        <v>78</v>
      </c>
      <c r="L1505" s="1" t="s">
        <v>79</v>
      </c>
      <c r="M1505" s="1" t="s">
        <v>2382</v>
      </c>
      <c r="N1505" s="1" t="s">
        <v>124</v>
      </c>
      <c r="O1505" s="1" t="s">
        <v>332</v>
      </c>
      <c r="R1505" s="422" t="s">
        <v>771</v>
      </c>
      <c r="S1505" s="1" t="s">
        <v>104</v>
      </c>
      <c r="X1505" s="1" t="s">
        <v>298</v>
      </c>
      <c r="Y1505" s="441" t="str">
        <f t="shared" si="3125"/>
        <v>Pass</v>
      </c>
      <c r="Z1505" s="11" t="str">
        <f t="shared" si="3126"/>
        <v/>
      </c>
      <c r="AA1505" s="441" t="str">
        <f t="shared" si="3127"/>
        <v/>
      </c>
      <c r="AB1505" s="441" t="str">
        <f t="shared" si="3128"/>
        <v/>
      </c>
    </row>
    <row r="1506" spans="2:28" x14ac:dyDescent="0.25">
      <c r="B1506" s="65">
        <v>42087</v>
      </c>
      <c r="C1506" s="66">
        <v>42087</v>
      </c>
      <c r="D1506" s="68">
        <f t="shared" ref="D1506" si="3153">IF(B1506&gt;0,MONTH(B1506),"False")</f>
        <v>3</v>
      </c>
      <c r="E1506" s="66" t="str">
        <f t="shared" ref="E1506" si="3154">YEAR(B1506) &amp; CHOOSE(D1506,"-Jan","-Feb","-Mar","-Apr","-May","-Jun","-Jul","-Aug","-Sep","-Oct","-Nov","-Dec")</f>
        <v>2015-Mar</v>
      </c>
      <c r="F1506" s="68">
        <f t="shared" ref="F1506" si="3155">IF(C1506&gt;0,MONTH(C1506),"False")</f>
        <v>3</v>
      </c>
      <c r="G1506" s="435" t="s">
        <v>121</v>
      </c>
      <c r="H1506" s="435" t="s">
        <v>1745</v>
      </c>
      <c r="I1506" s="435" t="s">
        <v>2384</v>
      </c>
      <c r="J1506" s="1" t="s">
        <v>81</v>
      </c>
      <c r="K1506" s="1" t="s">
        <v>82</v>
      </c>
      <c r="L1506" s="1" t="s">
        <v>79</v>
      </c>
      <c r="M1506" s="1" t="s">
        <v>2383</v>
      </c>
      <c r="N1506" s="1" t="s">
        <v>124</v>
      </c>
      <c r="O1506" s="1" t="s">
        <v>273</v>
      </c>
      <c r="P1506" s="64" t="s">
        <v>1823</v>
      </c>
      <c r="R1506" s="64" t="s">
        <v>1824</v>
      </c>
      <c r="S1506" s="1" t="s">
        <v>104</v>
      </c>
      <c r="X1506" s="1" t="s">
        <v>158</v>
      </c>
      <c r="Y1506" s="441" t="str">
        <f t="shared" si="3125"/>
        <v>Pass</v>
      </c>
      <c r="Z1506" s="11" t="str">
        <f t="shared" si="3126"/>
        <v/>
      </c>
      <c r="AA1506" s="441" t="str">
        <f t="shared" si="3127"/>
        <v/>
      </c>
      <c r="AB1506" s="441" t="str">
        <f t="shared" si="3128"/>
        <v/>
      </c>
    </row>
    <row r="1507" spans="2:28" x14ac:dyDescent="0.25">
      <c r="B1507" s="65">
        <v>42087</v>
      </c>
      <c r="C1507" s="66">
        <v>42087</v>
      </c>
      <c r="D1507" s="68">
        <f t="shared" ref="D1507:D1508" si="3156">IF(B1507&gt;0,MONTH(B1507),"False")</f>
        <v>3</v>
      </c>
      <c r="E1507" s="66" t="str">
        <f t="shared" ref="E1507:E1508" si="3157">YEAR(B1507) &amp; CHOOSE(D1507,"-Jan","-Feb","-Mar","-Apr","-May","-Jun","-Jul","-Aug","-Sep","-Oct","-Nov","-Dec")</f>
        <v>2015-Mar</v>
      </c>
      <c r="F1507" s="68">
        <f t="shared" ref="F1507:F1508" si="3158">IF(C1507&gt;0,MONTH(C1507),"False")</f>
        <v>3</v>
      </c>
      <c r="G1507" s="435" t="s">
        <v>93</v>
      </c>
      <c r="H1507" s="435" t="s">
        <v>280</v>
      </c>
      <c r="J1507" s="1" t="s">
        <v>146</v>
      </c>
      <c r="K1507" s="1" t="s">
        <v>82</v>
      </c>
      <c r="L1507" s="1" t="s">
        <v>79</v>
      </c>
      <c r="M1507" s="1" t="s">
        <v>2385</v>
      </c>
      <c r="N1507" s="1" t="s">
        <v>124</v>
      </c>
      <c r="O1507" s="1" t="s">
        <v>286</v>
      </c>
      <c r="P1507" s="422" t="s">
        <v>305</v>
      </c>
      <c r="R1507" s="422" t="s">
        <v>1559</v>
      </c>
      <c r="Y1507" s="441" t="str">
        <f t="shared" si="3125"/>
        <v>Unknown</v>
      </c>
      <c r="Z1507" s="11" t="str">
        <f t="shared" si="3126"/>
        <v/>
      </c>
      <c r="AA1507" s="441" t="str">
        <f t="shared" si="3127"/>
        <v/>
      </c>
      <c r="AB1507" s="441" t="str">
        <f t="shared" si="3128"/>
        <v/>
      </c>
    </row>
    <row r="1508" spans="2:28" x14ac:dyDescent="0.25">
      <c r="B1508" s="66">
        <v>42088</v>
      </c>
      <c r="C1508" s="66">
        <v>42088</v>
      </c>
      <c r="D1508" s="68">
        <f t="shared" si="3156"/>
        <v>3</v>
      </c>
      <c r="E1508" s="66" t="str">
        <f t="shared" si="3157"/>
        <v>2015-Mar</v>
      </c>
      <c r="F1508" s="68">
        <f t="shared" si="3158"/>
        <v>3</v>
      </c>
      <c r="G1508" s="436" t="s">
        <v>87</v>
      </c>
      <c r="H1508" s="1" t="s">
        <v>280</v>
      </c>
      <c r="J1508" s="1" t="s">
        <v>78</v>
      </c>
      <c r="K1508" s="1" t="s">
        <v>78</v>
      </c>
      <c r="L1508" s="1" t="s">
        <v>79</v>
      </c>
      <c r="M1508" s="1" t="s">
        <v>2386</v>
      </c>
      <c r="N1508" s="1" t="s">
        <v>124</v>
      </c>
      <c r="O1508" s="1" t="s">
        <v>167</v>
      </c>
      <c r="R1508" s="422" t="s">
        <v>344</v>
      </c>
      <c r="Y1508" s="441" t="str">
        <f t="shared" si="3125"/>
        <v>Unknown</v>
      </c>
      <c r="Z1508" s="11" t="str">
        <f t="shared" si="3126"/>
        <v/>
      </c>
      <c r="AA1508" s="441" t="str">
        <f t="shared" si="3127"/>
        <v/>
      </c>
      <c r="AB1508" s="441" t="str">
        <f t="shared" si="3128"/>
        <v/>
      </c>
    </row>
    <row r="1509" spans="2:28" x14ac:dyDescent="0.25">
      <c r="B1509" s="66">
        <v>42088</v>
      </c>
      <c r="C1509" s="66">
        <v>42088</v>
      </c>
      <c r="D1509" s="68">
        <f t="shared" ref="D1509:D1510" si="3159">IF(B1509&gt;0,MONTH(B1509),"False")</f>
        <v>3</v>
      </c>
      <c r="E1509" s="66" t="str">
        <f t="shared" ref="E1509:E1510" si="3160">YEAR(B1509) &amp; CHOOSE(D1509,"-Jan","-Feb","-Mar","-Apr","-May","-Jun","-Jul","-Aug","-Sep","-Oct","-Nov","-Dec")</f>
        <v>2015-Mar</v>
      </c>
      <c r="F1509" s="68">
        <f t="shared" ref="F1509:F1510" si="3161">IF(C1509&gt;0,MONTH(C1509),"False")</f>
        <v>3</v>
      </c>
      <c r="G1509" s="436" t="s">
        <v>112</v>
      </c>
      <c r="H1509" s="436" t="s">
        <v>1685</v>
      </c>
      <c r="J1509" s="1" t="s">
        <v>78</v>
      </c>
      <c r="K1509" s="1" t="s">
        <v>78</v>
      </c>
      <c r="L1509" s="1" t="s">
        <v>79</v>
      </c>
      <c r="M1509" s="1" t="s">
        <v>2387</v>
      </c>
      <c r="N1509" s="1" t="s">
        <v>124</v>
      </c>
      <c r="O1509" s="1" t="s">
        <v>287</v>
      </c>
      <c r="R1509" s="422" t="s">
        <v>2037</v>
      </c>
      <c r="S1509" s="1" t="s">
        <v>104</v>
      </c>
      <c r="T1509" s="9" t="s">
        <v>110</v>
      </c>
      <c r="X1509" s="1" t="s">
        <v>154</v>
      </c>
      <c r="Y1509" s="441" t="str">
        <f t="shared" si="3125"/>
        <v>Pass</v>
      </c>
      <c r="Z1509" s="11" t="str">
        <f t="shared" si="3126"/>
        <v/>
      </c>
      <c r="AA1509" s="441" t="str">
        <f t="shared" si="3127"/>
        <v/>
      </c>
      <c r="AB1509" s="441" t="str">
        <f t="shared" si="3128"/>
        <v/>
      </c>
    </row>
    <row r="1510" spans="2:28" x14ac:dyDescent="0.25">
      <c r="B1510" s="65">
        <v>42089</v>
      </c>
      <c r="C1510" s="66">
        <v>42089</v>
      </c>
      <c r="D1510" s="68">
        <f t="shared" si="3159"/>
        <v>3</v>
      </c>
      <c r="E1510" s="66" t="str">
        <f t="shared" si="3160"/>
        <v>2015-Mar</v>
      </c>
      <c r="F1510" s="68">
        <f t="shared" si="3161"/>
        <v>3</v>
      </c>
      <c r="G1510" s="437" t="s">
        <v>93</v>
      </c>
      <c r="H1510" s="437" t="s">
        <v>1685</v>
      </c>
      <c r="J1510" s="1" t="s">
        <v>81</v>
      </c>
      <c r="K1510" s="1" t="s">
        <v>82</v>
      </c>
      <c r="L1510" s="1" t="s">
        <v>79</v>
      </c>
      <c r="M1510" s="1" t="s">
        <v>2388</v>
      </c>
      <c r="N1510" s="1" t="s">
        <v>124</v>
      </c>
      <c r="O1510" s="1" t="s">
        <v>353</v>
      </c>
      <c r="P1510" s="422" t="s">
        <v>2009</v>
      </c>
      <c r="R1510" s="422" t="s">
        <v>2004</v>
      </c>
      <c r="S1510" s="1" t="s">
        <v>104</v>
      </c>
      <c r="Y1510" s="441" t="str">
        <f t="shared" si="3125"/>
        <v>Pass</v>
      </c>
      <c r="Z1510" s="11" t="str">
        <f t="shared" si="3126"/>
        <v/>
      </c>
      <c r="AA1510" s="441" t="str">
        <f t="shared" si="3127"/>
        <v/>
      </c>
      <c r="AB1510" s="441" t="str">
        <f t="shared" si="3128"/>
        <v/>
      </c>
    </row>
    <row r="1511" spans="2:28" x14ac:dyDescent="0.25">
      <c r="B1511" s="65">
        <v>42089</v>
      </c>
      <c r="C1511" s="66">
        <v>42089</v>
      </c>
      <c r="D1511" s="68">
        <f t="shared" ref="D1511:D1512" si="3162">IF(B1511&gt;0,MONTH(B1511),"False")</f>
        <v>3</v>
      </c>
      <c r="E1511" s="66" t="str">
        <f t="shared" ref="E1511:E1512" si="3163">YEAR(B1511) &amp; CHOOSE(D1511,"-Jan","-Feb","-Mar","-Apr","-May","-Jun","-Jul","-Aug","-Sep","-Oct","-Nov","-Dec")</f>
        <v>2015-Mar</v>
      </c>
      <c r="F1511" s="68">
        <f t="shared" ref="F1511:F1512" si="3164">IF(C1511&gt;0,MONTH(C1511),"False")</f>
        <v>3</v>
      </c>
      <c r="G1511" s="437" t="s">
        <v>121</v>
      </c>
      <c r="H1511" s="1" t="s">
        <v>280</v>
      </c>
      <c r="J1511" s="1" t="s">
        <v>81</v>
      </c>
      <c r="K1511" s="1" t="s">
        <v>82</v>
      </c>
      <c r="L1511" s="1" t="s">
        <v>79</v>
      </c>
      <c r="M1511" s="1" t="s">
        <v>2389</v>
      </c>
      <c r="N1511" s="1" t="s">
        <v>124</v>
      </c>
      <c r="O1511" s="1" t="s">
        <v>286</v>
      </c>
      <c r="P1511" s="422" t="s">
        <v>305</v>
      </c>
      <c r="R1511" s="422" t="s">
        <v>1559</v>
      </c>
      <c r="S1511" s="1" t="s">
        <v>104</v>
      </c>
      <c r="X1511" s="1" t="s">
        <v>2146</v>
      </c>
      <c r="Y1511" s="441" t="str">
        <f t="shared" si="3125"/>
        <v>Pass</v>
      </c>
      <c r="Z1511" s="11" t="str">
        <f t="shared" si="3126"/>
        <v/>
      </c>
      <c r="AA1511" s="441" t="str">
        <f t="shared" si="3127"/>
        <v/>
      </c>
      <c r="AB1511" s="441" t="str">
        <f t="shared" si="3128"/>
        <v/>
      </c>
    </row>
    <row r="1512" spans="2:28" x14ac:dyDescent="0.25">
      <c r="B1512" s="66">
        <v>42090</v>
      </c>
      <c r="C1512" s="66">
        <v>42090</v>
      </c>
      <c r="D1512" s="68">
        <f t="shared" si="3162"/>
        <v>3</v>
      </c>
      <c r="E1512" s="66" t="str">
        <f t="shared" si="3163"/>
        <v>2015-Mar</v>
      </c>
      <c r="F1512" s="68">
        <f t="shared" si="3164"/>
        <v>3</v>
      </c>
      <c r="G1512" s="438" t="s">
        <v>87</v>
      </c>
      <c r="H1512" s="438" t="s">
        <v>1685</v>
      </c>
      <c r="J1512" s="1" t="s">
        <v>146</v>
      </c>
      <c r="K1512" s="1" t="s">
        <v>82</v>
      </c>
      <c r="L1512" s="1" t="s">
        <v>79</v>
      </c>
      <c r="M1512" s="1" t="s">
        <v>2390</v>
      </c>
      <c r="N1512" s="1" t="s">
        <v>124</v>
      </c>
      <c r="O1512" s="1" t="s">
        <v>353</v>
      </c>
      <c r="R1512" s="422" t="s">
        <v>2004</v>
      </c>
      <c r="Y1512" s="441" t="str">
        <f t="shared" si="3125"/>
        <v>Unknown</v>
      </c>
      <c r="Z1512" s="11" t="str">
        <f t="shared" si="3126"/>
        <v/>
      </c>
      <c r="AA1512" s="441" t="str">
        <f t="shared" si="3127"/>
        <v/>
      </c>
      <c r="AB1512" s="441" t="str">
        <f t="shared" si="3128"/>
        <v/>
      </c>
    </row>
    <row r="1513" spans="2:28" x14ac:dyDescent="0.25">
      <c r="B1513" s="65">
        <v>42090</v>
      </c>
      <c r="C1513" s="66">
        <v>42090</v>
      </c>
      <c r="D1513" s="68">
        <f t="shared" ref="D1513:D1515" si="3165">IF(B1513&gt;0,MONTH(B1513),"False")</f>
        <v>3</v>
      </c>
      <c r="E1513" s="66" t="str">
        <f t="shared" ref="E1513:E1515" si="3166">YEAR(B1513) &amp; CHOOSE(D1513,"-Jan","-Feb","-Mar","-Apr","-May","-Jun","-Jul","-Aug","-Sep","-Oct","-Nov","-Dec")</f>
        <v>2015-Mar</v>
      </c>
      <c r="F1513" s="68">
        <f t="shared" ref="F1513:F1515" si="3167">IF(C1513&gt;0,MONTH(C1513),"False")</f>
        <v>3</v>
      </c>
      <c r="G1513" s="438" t="s">
        <v>93</v>
      </c>
      <c r="H1513" s="1" t="s">
        <v>166</v>
      </c>
      <c r="J1513" s="1" t="s">
        <v>77</v>
      </c>
      <c r="K1513" s="1" t="s">
        <v>82</v>
      </c>
      <c r="L1513" s="1" t="s">
        <v>79</v>
      </c>
      <c r="M1513" s="1" t="s">
        <v>2391</v>
      </c>
      <c r="N1513" s="1" t="s">
        <v>124</v>
      </c>
      <c r="O1513" s="1" t="s">
        <v>162</v>
      </c>
      <c r="P1513" s="64" t="s">
        <v>319</v>
      </c>
      <c r="Q1513" s="2" t="s">
        <v>88</v>
      </c>
      <c r="R1513" s="422" t="s">
        <v>320</v>
      </c>
      <c r="Y1513" s="441" t="str">
        <f t="shared" si="3125"/>
        <v>Obsolete</v>
      </c>
      <c r="Z1513" s="11">
        <f t="shared" si="3126"/>
        <v>42090</v>
      </c>
      <c r="AA1513" s="441" t="str">
        <f t="shared" si="3127"/>
        <v>2015 - 13</v>
      </c>
      <c r="AB1513" s="441">
        <f t="shared" si="3128"/>
        <v>2015</v>
      </c>
    </row>
    <row r="1514" spans="2:28" s="441" customFormat="1" x14ac:dyDescent="0.25">
      <c r="B1514" s="66">
        <v>42090</v>
      </c>
      <c r="C1514" s="66">
        <v>42090</v>
      </c>
      <c r="D1514" s="68">
        <f t="shared" ref="D1514" si="3168">IF(B1514&gt;0,MONTH(B1514),"False")</f>
        <v>3</v>
      </c>
      <c r="E1514" s="66" t="str">
        <f t="shared" ref="E1514" si="3169">YEAR(B1514) &amp; CHOOSE(D1514,"-Jan","-Feb","-Mar","-Apr","-May","-Jun","-Jul","-Aug","-Sep","-Oct","-Nov","-Dec")</f>
        <v>2015-Mar</v>
      </c>
      <c r="F1514" s="68">
        <f t="shared" ref="F1514" si="3170">IF(C1514&gt;0,MONTH(C1514),"False")</f>
        <v>3</v>
      </c>
      <c r="G1514" s="441" t="s">
        <v>112</v>
      </c>
      <c r="H1514" s="441" t="s">
        <v>280</v>
      </c>
      <c r="J1514" s="441" t="s">
        <v>78</v>
      </c>
      <c r="K1514" s="441" t="s">
        <v>78</v>
      </c>
      <c r="L1514" s="441" t="s">
        <v>79</v>
      </c>
      <c r="M1514" s="441" t="s">
        <v>2399</v>
      </c>
      <c r="N1514" s="441" t="s">
        <v>124</v>
      </c>
      <c r="O1514" s="441" t="s">
        <v>167</v>
      </c>
      <c r="Q1514" s="2"/>
      <c r="R1514" s="422" t="s">
        <v>344</v>
      </c>
      <c r="S1514" s="441" t="s">
        <v>104</v>
      </c>
      <c r="T1514" s="67"/>
      <c r="X1514" s="441" t="s">
        <v>544</v>
      </c>
      <c r="Y1514" s="441" t="str">
        <f t="shared" si="3125"/>
        <v>Pass</v>
      </c>
      <c r="Z1514" s="11" t="str">
        <f t="shared" si="3126"/>
        <v/>
      </c>
      <c r="AA1514" s="441" t="str">
        <f t="shared" si="3127"/>
        <v/>
      </c>
      <c r="AB1514" s="441" t="str">
        <f t="shared" si="3128"/>
        <v/>
      </c>
    </row>
    <row r="1515" spans="2:28" x14ac:dyDescent="0.25">
      <c r="B1515" s="66">
        <v>42090</v>
      </c>
      <c r="C1515" s="66">
        <v>42090</v>
      </c>
      <c r="D1515" s="68">
        <f t="shared" si="3165"/>
        <v>3</v>
      </c>
      <c r="E1515" s="66" t="str">
        <f t="shared" si="3166"/>
        <v>2015-Mar</v>
      </c>
      <c r="F1515" s="68">
        <f t="shared" si="3167"/>
        <v>3</v>
      </c>
      <c r="G1515" s="438" t="s">
        <v>126</v>
      </c>
      <c r="H1515" s="1" t="s">
        <v>280</v>
      </c>
      <c r="J1515" s="1" t="s">
        <v>78</v>
      </c>
      <c r="K1515" s="1" t="s">
        <v>78</v>
      </c>
      <c r="L1515" s="1" t="s">
        <v>79</v>
      </c>
      <c r="M1515" s="1" t="s">
        <v>2392</v>
      </c>
      <c r="N1515" s="1" t="s">
        <v>124</v>
      </c>
      <c r="O1515" s="1" t="s">
        <v>167</v>
      </c>
      <c r="R1515" s="422" t="s">
        <v>344</v>
      </c>
      <c r="S1515" s="1" t="s">
        <v>104</v>
      </c>
      <c r="X1515" s="1" t="s">
        <v>2510</v>
      </c>
      <c r="Y1515" s="441" t="str">
        <f t="shared" si="3125"/>
        <v>Pass</v>
      </c>
      <c r="Z1515" s="11" t="str">
        <f t="shared" si="3126"/>
        <v/>
      </c>
      <c r="AA1515" s="441" t="str">
        <f t="shared" si="3127"/>
        <v/>
      </c>
      <c r="AB1515" s="441" t="str">
        <f t="shared" si="3128"/>
        <v/>
      </c>
    </row>
    <row r="1516" spans="2:28" x14ac:dyDescent="0.25">
      <c r="B1516" s="65">
        <v>42093</v>
      </c>
      <c r="C1516" s="66">
        <v>42093</v>
      </c>
      <c r="D1516" s="68">
        <f t="shared" ref="D1516" si="3171">IF(B1516&gt;0,MONTH(B1516),"False")</f>
        <v>3</v>
      </c>
      <c r="E1516" s="66" t="str">
        <f t="shared" ref="E1516" si="3172">YEAR(B1516) &amp; CHOOSE(D1516,"-Jan","-Feb","-Mar","-Apr","-May","-Jun","-Jul","-Aug","-Sep","-Oct","-Nov","-Dec")</f>
        <v>2015-Mar</v>
      </c>
      <c r="F1516" s="68">
        <f t="shared" ref="F1516" si="3173">IF(C1516&gt;0,MONTH(C1516),"False")</f>
        <v>3</v>
      </c>
      <c r="G1516" s="439" t="s">
        <v>93</v>
      </c>
      <c r="H1516" s="1" t="s">
        <v>136</v>
      </c>
      <c r="J1516" s="1" t="s">
        <v>120</v>
      </c>
      <c r="K1516" s="1" t="s">
        <v>82</v>
      </c>
      <c r="L1516" s="1" t="s">
        <v>79</v>
      </c>
      <c r="M1516" s="1" t="s">
        <v>2393</v>
      </c>
      <c r="N1516" s="1" t="s">
        <v>124</v>
      </c>
      <c r="O1516" s="1" t="s">
        <v>91</v>
      </c>
      <c r="P1516" s="422" t="s">
        <v>750</v>
      </c>
      <c r="Q1516" s="2" t="s">
        <v>88</v>
      </c>
      <c r="R1516" s="422" t="s">
        <v>1513</v>
      </c>
      <c r="Y1516" s="441" t="str">
        <f t="shared" si="3125"/>
        <v>Obsolete</v>
      </c>
      <c r="Z1516" s="11">
        <f t="shared" si="3126"/>
        <v>42093</v>
      </c>
      <c r="AA1516" s="441" t="str">
        <f t="shared" si="3127"/>
        <v>2015 - 14</v>
      </c>
      <c r="AB1516" s="441">
        <f t="shared" si="3128"/>
        <v>2015</v>
      </c>
    </row>
    <row r="1517" spans="2:28" s="439" customFormat="1" x14ac:dyDescent="0.25">
      <c r="B1517" s="65">
        <v>42093</v>
      </c>
      <c r="C1517" s="66">
        <v>42093</v>
      </c>
      <c r="D1517" s="68">
        <f t="shared" ref="D1517:D1518" si="3174">IF(B1517&gt;0,MONTH(B1517),"False")</f>
        <v>3</v>
      </c>
      <c r="E1517" s="66" t="str">
        <f t="shared" ref="E1517:E1518" si="3175">YEAR(B1517) &amp; CHOOSE(D1517,"-Jan","-Feb","-Mar","-Apr","-May","-Jun","-Jul","-Aug","-Sep","-Oct","-Nov","-Dec")</f>
        <v>2015-Mar</v>
      </c>
      <c r="F1517" s="68">
        <f t="shared" ref="F1517:F1518" si="3176">IF(C1517&gt;0,MONTH(C1517),"False")</f>
        <v>3</v>
      </c>
      <c r="G1517" s="439" t="s">
        <v>93</v>
      </c>
      <c r="H1517" s="439" t="s">
        <v>136</v>
      </c>
      <c r="J1517" s="439" t="s">
        <v>77</v>
      </c>
      <c r="K1517" s="439" t="s">
        <v>82</v>
      </c>
      <c r="L1517" s="439" t="s">
        <v>79</v>
      </c>
      <c r="M1517" s="439" t="s">
        <v>2394</v>
      </c>
      <c r="N1517" s="439" t="s">
        <v>124</v>
      </c>
      <c r="O1517" s="439" t="s">
        <v>91</v>
      </c>
      <c r="P1517" s="422" t="s">
        <v>750</v>
      </c>
      <c r="Q1517" s="2" t="s">
        <v>88</v>
      </c>
      <c r="R1517" s="422" t="s">
        <v>1513</v>
      </c>
      <c r="T1517" s="67"/>
      <c r="Y1517" s="441" t="str">
        <f t="shared" si="3125"/>
        <v>Obsolete</v>
      </c>
      <c r="Z1517" s="11">
        <f t="shared" si="3126"/>
        <v>42093</v>
      </c>
      <c r="AA1517" s="441" t="str">
        <f t="shared" si="3127"/>
        <v>2015 - 14</v>
      </c>
      <c r="AB1517" s="441">
        <f t="shared" si="3128"/>
        <v>2015</v>
      </c>
    </row>
    <row r="1518" spans="2:28" x14ac:dyDescent="0.25">
      <c r="B1518" s="66">
        <v>42093</v>
      </c>
      <c r="C1518" s="66">
        <v>42093</v>
      </c>
      <c r="D1518" s="68">
        <f t="shared" si="3174"/>
        <v>3</v>
      </c>
      <c r="E1518" s="66" t="str">
        <f t="shared" si="3175"/>
        <v>2015-Mar</v>
      </c>
      <c r="F1518" s="68">
        <f t="shared" si="3176"/>
        <v>3</v>
      </c>
      <c r="G1518" s="439" t="s">
        <v>112</v>
      </c>
      <c r="H1518" s="1" t="s">
        <v>331</v>
      </c>
      <c r="J1518" s="1" t="s">
        <v>78</v>
      </c>
      <c r="K1518" s="1" t="s">
        <v>78</v>
      </c>
      <c r="L1518" s="1" t="s">
        <v>79</v>
      </c>
      <c r="M1518" s="1" t="s">
        <v>2395</v>
      </c>
      <c r="N1518" s="1" t="s">
        <v>124</v>
      </c>
      <c r="O1518" s="1" t="s">
        <v>332</v>
      </c>
      <c r="R1518" s="422" t="s">
        <v>771</v>
      </c>
      <c r="S1518" s="1" t="s">
        <v>104</v>
      </c>
      <c r="X1518" s="1" t="s">
        <v>298</v>
      </c>
      <c r="Y1518" s="441" t="str">
        <f t="shared" si="3125"/>
        <v>Pass</v>
      </c>
      <c r="Z1518" s="11" t="str">
        <f t="shared" si="3126"/>
        <v/>
      </c>
      <c r="AA1518" s="441" t="str">
        <f t="shared" si="3127"/>
        <v/>
      </c>
      <c r="AB1518" s="441" t="str">
        <f t="shared" si="3128"/>
        <v/>
      </c>
    </row>
    <row r="1519" spans="2:28" x14ac:dyDescent="0.25">
      <c r="B1519" s="66">
        <v>42093</v>
      </c>
      <c r="C1519" s="66">
        <v>42093</v>
      </c>
      <c r="D1519" s="68">
        <f t="shared" ref="D1519" si="3177">IF(B1519&gt;0,MONTH(B1519),"False")</f>
        <v>3</v>
      </c>
      <c r="E1519" s="66" t="str">
        <f t="shared" ref="E1519" si="3178">YEAR(B1519) &amp; CHOOSE(D1519,"-Jan","-Feb","-Mar","-Apr","-May","-Jun","-Jul","-Aug","-Sep","-Oct","-Nov","-Dec")</f>
        <v>2015-Mar</v>
      </c>
      <c r="F1519" s="68">
        <f t="shared" ref="F1519" si="3179">IF(C1519&gt;0,MONTH(C1519),"False")</f>
        <v>3</v>
      </c>
      <c r="G1519" s="439" t="s">
        <v>112</v>
      </c>
      <c r="H1519" s="439" t="s">
        <v>1685</v>
      </c>
      <c r="J1519" s="1" t="s">
        <v>77</v>
      </c>
      <c r="K1519" s="1" t="s">
        <v>82</v>
      </c>
      <c r="L1519" s="1" t="s">
        <v>83</v>
      </c>
      <c r="M1519" s="1" t="s">
        <v>2396</v>
      </c>
      <c r="N1519" s="1" t="s">
        <v>124</v>
      </c>
      <c r="O1519" s="1" t="s">
        <v>507</v>
      </c>
      <c r="R1519" s="422" t="s">
        <v>2004</v>
      </c>
      <c r="S1519" s="1" t="s">
        <v>104</v>
      </c>
      <c r="X1519" s="1" t="s">
        <v>300</v>
      </c>
      <c r="Y1519" s="441" t="str">
        <f t="shared" si="3125"/>
        <v>Pass</v>
      </c>
      <c r="Z1519" s="11" t="str">
        <f t="shared" si="3126"/>
        <v/>
      </c>
      <c r="AA1519" s="441" t="str">
        <f t="shared" si="3127"/>
        <v/>
      </c>
      <c r="AB1519" s="441" t="str">
        <f t="shared" si="3128"/>
        <v/>
      </c>
    </row>
    <row r="1520" spans="2:28" x14ac:dyDescent="0.25">
      <c r="B1520" s="66">
        <v>42094</v>
      </c>
      <c r="C1520" s="66">
        <v>42094</v>
      </c>
      <c r="D1520" s="68">
        <f t="shared" ref="D1520:D1522" si="3180">IF(B1520&gt;0,MONTH(B1520),"False")</f>
        <v>3</v>
      </c>
      <c r="E1520" s="66" t="str">
        <f t="shared" ref="E1520:E1522" si="3181">YEAR(B1520) &amp; CHOOSE(D1520,"-Jan","-Feb","-Mar","-Apr","-May","-Jun","-Jul","-Aug","-Sep","-Oct","-Nov","-Dec")</f>
        <v>2015-Mar</v>
      </c>
      <c r="F1520" s="68">
        <f t="shared" ref="F1520:F1522" si="3182">IF(C1520&gt;0,MONTH(C1520),"False")</f>
        <v>3</v>
      </c>
      <c r="G1520" s="440" t="s">
        <v>87</v>
      </c>
      <c r="H1520" s="440" t="s">
        <v>1685</v>
      </c>
      <c r="J1520" s="1" t="s">
        <v>146</v>
      </c>
      <c r="K1520" s="1" t="s">
        <v>82</v>
      </c>
      <c r="L1520" s="1" t="s">
        <v>83</v>
      </c>
      <c r="M1520" s="1" t="s">
        <v>2397</v>
      </c>
      <c r="N1520" s="1" t="s">
        <v>124</v>
      </c>
      <c r="O1520" s="1" t="s">
        <v>353</v>
      </c>
      <c r="R1520" s="422" t="s">
        <v>2398</v>
      </c>
      <c r="S1520" s="1" t="s">
        <v>104</v>
      </c>
      <c r="Y1520" s="441" t="str">
        <f t="shared" si="3125"/>
        <v>Pass</v>
      </c>
      <c r="Z1520" s="11" t="str">
        <f t="shared" si="3126"/>
        <v/>
      </c>
      <c r="AA1520" s="441" t="str">
        <f t="shared" si="3127"/>
        <v/>
      </c>
      <c r="AB1520" s="441" t="str">
        <f t="shared" si="3128"/>
        <v/>
      </c>
    </row>
    <row r="1521" spans="2:31" x14ac:dyDescent="0.25">
      <c r="B1521" s="66">
        <v>42095</v>
      </c>
      <c r="C1521" s="66">
        <v>42095</v>
      </c>
      <c r="D1521" s="68">
        <f t="shared" si="3180"/>
        <v>4</v>
      </c>
      <c r="E1521" s="66" t="str">
        <f t="shared" si="3181"/>
        <v>2015-Apr</v>
      </c>
      <c r="F1521" s="68">
        <f t="shared" si="3182"/>
        <v>4</v>
      </c>
      <c r="G1521" s="441" t="s">
        <v>126</v>
      </c>
      <c r="H1521" s="441" t="s">
        <v>280</v>
      </c>
      <c r="J1521" s="1" t="s">
        <v>78</v>
      </c>
      <c r="K1521" s="1" t="s">
        <v>78</v>
      </c>
      <c r="L1521" s="1" t="s">
        <v>79</v>
      </c>
      <c r="M1521" s="1" t="s">
        <v>2400</v>
      </c>
      <c r="N1521" s="1" t="s">
        <v>124</v>
      </c>
      <c r="O1521" s="1" t="s">
        <v>167</v>
      </c>
      <c r="R1521" s="422" t="s">
        <v>344</v>
      </c>
      <c r="S1521" s="1" t="s">
        <v>104</v>
      </c>
      <c r="X1521" s="1" t="s">
        <v>2510</v>
      </c>
      <c r="Y1521" s="441" t="str">
        <f t="shared" si="3125"/>
        <v>Pass</v>
      </c>
      <c r="Z1521" s="11" t="str">
        <f t="shared" si="3126"/>
        <v/>
      </c>
      <c r="AA1521" s="441" t="str">
        <f t="shared" si="3127"/>
        <v/>
      </c>
      <c r="AB1521" s="441" t="str">
        <f t="shared" si="3128"/>
        <v/>
      </c>
    </row>
    <row r="1522" spans="2:31" x14ac:dyDescent="0.25">
      <c r="B1522" s="65">
        <v>42096</v>
      </c>
      <c r="C1522" s="66">
        <v>42096</v>
      </c>
      <c r="D1522" s="68">
        <f t="shared" si="3180"/>
        <v>4</v>
      </c>
      <c r="E1522" s="66" t="str">
        <f t="shared" si="3181"/>
        <v>2015-Apr</v>
      </c>
      <c r="F1522" s="68">
        <f t="shared" si="3182"/>
        <v>4</v>
      </c>
      <c r="G1522" s="441" t="s">
        <v>93</v>
      </c>
      <c r="H1522" s="1" t="s">
        <v>136</v>
      </c>
      <c r="J1522" s="1" t="s">
        <v>77</v>
      </c>
      <c r="K1522" s="1" t="s">
        <v>82</v>
      </c>
      <c r="L1522" s="1" t="s">
        <v>79</v>
      </c>
      <c r="M1522" s="1" t="s">
        <v>2401</v>
      </c>
      <c r="N1522" s="1" t="s">
        <v>124</v>
      </c>
      <c r="O1522" s="1" t="s">
        <v>114</v>
      </c>
      <c r="P1522" s="422" t="s">
        <v>750</v>
      </c>
      <c r="Q1522" s="2" t="s">
        <v>88</v>
      </c>
      <c r="R1522" s="422" t="s">
        <v>2117</v>
      </c>
      <c r="Y1522" s="441" t="str">
        <f t="shared" si="3125"/>
        <v>Obsolete</v>
      </c>
      <c r="Z1522" s="11">
        <f t="shared" si="3126"/>
        <v>42096</v>
      </c>
      <c r="AA1522" s="441" t="str">
        <f t="shared" si="3127"/>
        <v>2015 - 14</v>
      </c>
      <c r="AB1522" s="441">
        <f t="shared" si="3128"/>
        <v>2015</v>
      </c>
    </row>
    <row r="1523" spans="2:31" x14ac:dyDescent="0.25">
      <c r="B1523" s="65">
        <v>42096</v>
      </c>
      <c r="C1523" s="66">
        <v>42096</v>
      </c>
      <c r="D1523" s="68">
        <f t="shared" ref="D1523" si="3183">IF(B1523&gt;0,MONTH(B1523),"False")</f>
        <v>4</v>
      </c>
      <c r="E1523" s="66" t="str">
        <f t="shared" ref="E1523" si="3184">YEAR(B1523) &amp; CHOOSE(D1523,"-Jan","-Feb","-Mar","-Apr","-May","-Jun","-Jul","-Aug","-Sep","-Oct","-Nov","-Dec")</f>
        <v>2015-Apr</v>
      </c>
      <c r="F1523" s="68">
        <f t="shared" ref="F1523" si="3185">IF(C1523&gt;0,MONTH(C1523),"False")</f>
        <v>4</v>
      </c>
      <c r="G1523" s="441" t="s">
        <v>121</v>
      </c>
      <c r="H1523" s="1" t="s">
        <v>139</v>
      </c>
      <c r="J1523" s="1" t="s">
        <v>78</v>
      </c>
      <c r="K1523" s="1" t="s">
        <v>78</v>
      </c>
      <c r="L1523" s="1" t="s">
        <v>79</v>
      </c>
      <c r="M1523" s="1" t="s">
        <v>2402</v>
      </c>
      <c r="N1523" s="1" t="s">
        <v>124</v>
      </c>
      <c r="O1523" s="1" t="s">
        <v>332</v>
      </c>
      <c r="P1523" s="422" t="s">
        <v>2403</v>
      </c>
      <c r="R1523" s="422" t="s">
        <v>2404</v>
      </c>
      <c r="S1523" s="1" t="s">
        <v>104</v>
      </c>
      <c r="X1523" s="1" t="s">
        <v>2458</v>
      </c>
      <c r="Y1523" s="441" t="str">
        <f t="shared" si="3125"/>
        <v>Pass</v>
      </c>
      <c r="Z1523" s="11" t="str">
        <f t="shared" si="3126"/>
        <v/>
      </c>
      <c r="AA1523" s="441" t="str">
        <f t="shared" si="3127"/>
        <v/>
      </c>
      <c r="AB1523" s="441" t="str">
        <f t="shared" si="3128"/>
        <v/>
      </c>
    </row>
    <row r="1524" spans="2:31" x14ac:dyDescent="0.25">
      <c r="B1524" s="65">
        <v>42096</v>
      </c>
      <c r="C1524" s="66">
        <v>42096</v>
      </c>
      <c r="D1524" s="68">
        <f t="shared" ref="D1524" si="3186">IF(B1524&gt;0,MONTH(B1524),"False")</f>
        <v>4</v>
      </c>
      <c r="E1524" s="66" t="str">
        <f t="shared" ref="E1524" si="3187">YEAR(B1524) &amp; CHOOSE(D1524,"-Jan","-Feb","-Mar","-Apr","-May","-Jun","-Jul","-Aug","-Sep","-Oct","-Nov","-Dec")</f>
        <v>2015-Apr</v>
      </c>
      <c r="F1524" s="68">
        <f t="shared" ref="F1524" si="3188">IF(C1524&gt;0,MONTH(C1524),"False")</f>
        <v>4</v>
      </c>
      <c r="G1524" s="441" t="s">
        <v>121</v>
      </c>
      <c r="H1524" s="441" t="s">
        <v>1745</v>
      </c>
      <c r="I1524" s="441" t="s">
        <v>2384</v>
      </c>
      <c r="J1524" s="1" t="s">
        <v>81</v>
      </c>
      <c r="K1524" s="1" t="s">
        <v>82</v>
      </c>
      <c r="L1524" s="1" t="s">
        <v>79</v>
      </c>
      <c r="M1524" s="1" t="s">
        <v>2405</v>
      </c>
      <c r="N1524" s="1" t="s">
        <v>124</v>
      </c>
      <c r="O1524" s="1" t="s">
        <v>273</v>
      </c>
      <c r="P1524" s="422" t="s">
        <v>1823</v>
      </c>
      <c r="R1524" s="422" t="s">
        <v>1824</v>
      </c>
      <c r="S1524" s="1" t="s">
        <v>104</v>
      </c>
      <c r="X1524" s="1" t="s">
        <v>158</v>
      </c>
      <c r="Y1524" s="441" t="str">
        <f t="shared" si="3125"/>
        <v>Pass</v>
      </c>
      <c r="Z1524" s="11" t="str">
        <f t="shared" si="3126"/>
        <v/>
      </c>
      <c r="AA1524" s="441" t="str">
        <f t="shared" si="3127"/>
        <v/>
      </c>
      <c r="AB1524" s="441" t="str">
        <f t="shared" si="3128"/>
        <v/>
      </c>
    </row>
    <row r="1525" spans="2:31" x14ac:dyDescent="0.25">
      <c r="B1525" s="65">
        <v>42096</v>
      </c>
      <c r="C1525" s="66">
        <v>42096</v>
      </c>
      <c r="D1525" s="68">
        <f t="shared" ref="D1525" si="3189">IF(B1525&gt;0,MONTH(B1525),"False")</f>
        <v>4</v>
      </c>
      <c r="E1525" s="66" t="str">
        <f t="shared" ref="E1525" si="3190">YEAR(B1525) &amp; CHOOSE(D1525,"-Jan","-Feb","-Mar","-Apr","-May","-Jun","-Jul","-Aug","-Sep","-Oct","-Nov","-Dec")</f>
        <v>2015-Apr</v>
      </c>
      <c r="F1525" s="68">
        <f t="shared" ref="F1525" si="3191">IF(C1525&gt;0,MONTH(C1525),"False")</f>
        <v>4</v>
      </c>
      <c r="G1525" s="441" t="s">
        <v>121</v>
      </c>
      <c r="H1525" s="1" t="s">
        <v>280</v>
      </c>
      <c r="J1525" s="1" t="s">
        <v>81</v>
      </c>
      <c r="K1525" s="1" t="s">
        <v>82</v>
      </c>
      <c r="L1525" s="1" t="s">
        <v>79</v>
      </c>
      <c r="M1525" s="1" t="s">
        <v>2406</v>
      </c>
      <c r="N1525" s="1" t="s">
        <v>124</v>
      </c>
      <c r="O1525" s="1" t="s">
        <v>286</v>
      </c>
      <c r="P1525" s="64" t="s">
        <v>305</v>
      </c>
      <c r="R1525" s="422" t="s">
        <v>1559</v>
      </c>
      <c r="S1525" s="1" t="s">
        <v>104</v>
      </c>
      <c r="X1525" s="1" t="s">
        <v>2146</v>
      </c>
      <c r="Y1525" s="441" t="str">
        <f t="shared" si="3125"/>
        <v>Pass</v>
      </c>
      <c r="Z1525" s="11" t="str">
        <f t="shared" si="3126"/>
        <v/>
      </c>
      <c r="AA1525" s="441" t="str">
        <f t="shared" si="3127"/>
        <v/>
      </c>
      <c r="AB1525" s="441" t="str">
        <f t="shared" si="3128"/>
        <v/>
      </c>
    </row>
    <row r="1526" spans="2:31" x14ac:dyDescent="0.25">
      <c r="B1526" s="65">
        <v>42100</v>
      </c>
      <c r="C1526" s="66">
        <v>42100</v>
      </c>
      <c r="D1526" s="68">
        <f t="shared" ref="D1526" si="3192">IF(B1526&gt;0,MONTH(B1526),"False")</f>
        <v>4</v>
      </c>
      <c r="E1526" s="66" t="str">
        <f t="shared" ref="E1526" si="3193">YEAR(B1526) &amp; CHOOSE(D1526,"-Jan","-Feb","-Mar","-Apr","-May","-Jun","-Jul","-Aug","-Sep","-Oct","-Nov","-Dec")</f>
        <v>2015-Apr</v>
      </c>
      <c r="F1526" s="68">
        <f t="shared" ref="F1526" si="3194">IF(C1526&gt;0,MONTH(C1526),"False")</f>
        <v>4</v>
      </c>
      <c r="G1526" s="442" t="s">
        <v>121</v>
      </c>
      <c r="H1526" s="442" t="s">
        <v>1745</v>
      </c>
      <c r="I1526" s="442" t="s">
        <v>2188</v>
      </c>
      <c r="J1526" s="1" t="s">
        <v>81</v>
      </c>
      <c r="K1526" s="1" t="s">
        <v>82</v>
      </c>
      <c r="L1526" s="1" t="s">
        <v>79</v>
      </c>
      <c r="M1526" s="1" t="s">
        <v>2407</v>
      </c>
      <c r="N1526" s="1" t="s">
        <v>124</v>
      </c>
      <c r="O1526" s="1" t="s">
        <v>2072</v>
      </c>
      <c r="P1526" s="422" t="s">
        <v>1824</v>
      </c>
      <c r="R1526" s="422" t="s">
        <v>1823</v>
      </c>
      <c r="S1526" s="1" t="s">
        <v>104</v>
      </c>
      <c r="X1526" s="1" t="s">
        <v>158</v>
      </c>
      <c r="Y1526" s="441" t="str">
        <f t="shared" si="3125"/>
        <v>Pass</v>
      </c>
      <c r="Z1526" s="11" t="str">
        <f t="shared" si="3126"/>
        <v/>
      </c>
      <c r="AA1526" s="441" t="str">
        <f t="shared" si="3127"/>
        <v/>
      </c>
      <c r="AB1526" s="441" t="str">
        <f t="shared" si="3128"/>
        <v/>
      </c>
    </row>
    <row r="1527" spans="2:31" s="442" customFormat="1" x14ac:dyDescent="0.25">
      <c r="B1527" s="65">
        <v>42100</v>
      </c>
      <c r="C1527" s="66">
        <v>42100</v>
      </c>
      <c r="D1527" s="68">
        <f t="shared" ref="D1527:D1528" si="3195">IF(B1527&gt;0,MONTH(B1527),"False")</f>
        <v>4</v>
      </c>
      <c r="E1527" s="66" t="str">
        <f t="shared" ref="E1527:E1528" si="3196">YEAR(B1527) &amp; CHOOSE(D1527,"-Jan","-Feb","-Mar","-Apr","-May","-Jun","-Jul","-Aug","-Sep","-Oct","-Nov","-Dec")</f>
        <v>2015-Apr</v>
      </c>
      <c r="F1527" s="68">
        <f t="shared" ref="F1527:F1528" si="3197">IF(C1527&gt;0,MONTH(C1527),"False")</f>
        <v>4</v>
      </c>
      <c r="G1527" s="442" t="s">
        <v>121</v>
      </c>
      <c r="H1527" s="442" t="s">
        <v>1745</v>
      </c>
      <c r="I1527" s="442" t="s">
        <v>2384</v>
      </c>
      <c r="J1527" s="442" t="s">
        <v>81</v>
      </c>
      <c r="K1527" s="442" t="s">
        <v>82</v>
      </c>
      <c r="L1527" s="442" t="s">
        <v>79</v>
      </c>
      <c r="M1527" s="442" t="s">
        <v>2408</v>
      </c>
      <c r="N1527" s="442" t="s">
        <v>124</v>
      </c>
      <c r="O1527" s="442" t="s">
        <v>273</v>
      </c>
      <c r="P1527" s="422" t="s">
        <v>1824</v>
      </c>
      <c r="Q1527" s="2"/>
      <c r="R1527" s="422" t="s">
        <v>1823</v>
      </c>
      <c r="S1527" s="442" t="s">
        <v>104</v>
      </c>
      <c r="T1527" s="67" t="s">
        <v>110</v>
      </c>
      <c r="X1527" s="442" t="s">
        <v>158</v>
      </c>
      <c r="Y1527" s="442" t="str">
        <f t="shared" ref="Y1527" si="3198">IF(Q1527&gt;0,"Obsolete",IF(S1527&gt;0,S1527,"Unknown"))</f>
        <v>Pass</v>
      </c>
      <c r="Z1527" s="11" t="str">
        <f t="shared" ref="Z1527" si="3199">IF(Q1527="Obsolete-LQA",C1527,IF(Q1527="Obsolete-IT",B1527,""))</f>
        <v/>
      </c>
      <c r="AA1527" s="442" t="str">
        <f t="shared" ref="AA1527" si="3200">IFERROR(YEAR(Z1527)&amp;" - "&amp; IF(LEN( WEEKNUM(Z1527))=1,"0" &amp; WEEKNUM(Z1527),WEEKNUM(Z1527)),"")</f>
        <v/>
      </c>
      <c r="AB1527" s="442" t="str">
        <f t="shared" ref="AB1527" si="3201">IFERROR(YEAR(Z1527),"")</f>
        <v/>
      </c>
    </row>
    <row r="1528" spans="2:31" x14ac:dyDescent="0.25">
      <c r="B1528" s="66">
        <v>42100</v>
      </c>
      <c r="C1528" s="66">
        <v>42100</v>
      </c>
      <c r="D1528" s="68">
        <f t="shared" si="3195"/>
        <v>4</v>
      </c>
      <c r="E1528" s="66" t="str">
        <f t="shared" si="3196"/>
        <v>2015-Apr</v>
      </c>
      <c r="F1528" s="68">
        <f t="shared" si="3197"/>
        <v>4</v>
      </c>
      <c r="G1528" s="442" t="s">
        <v>87</v>
      </c>
      <c r="H1528" s="1" t="s">
        <v>166</v>
      </c>
      <c r="J1528" s="1" t="s">
        <v>333</v>
      </c>
      <c r="K1528" s="1" t="s">
        <v>84</v>
      </c>
      <c r="L1528" s="1" t="s">
        <v>79</v>
      </c>
      <c r="M1528" s="1" t="s">
        <v>2409</v>
      </c>
      <c r="N1528" s="1" t="s">
        <v>124</v>
      </c>
      <c r="O1528" s="1" t="s">
        <v>2410</v>
      </c>
      <c r="Q1528" s="2" t="s">
        <v>88</v>
      </c>
      <c r="R1528" s="422" t="s">
        <v>346</v>
      </c>
      <c r="Y1528" s="441" t="str">
        <f t="shared" si="3125"/>
        <v>Obsolete</v>
      </c>
      <c r="Z1528" s="11">
        <f t="shared" si="3126"/>
        <v>42100</v>
      </c>
      <c r="AA1528" s="441" t="str">
        <f t="shared" si="3127"/>
        <v>2015 - 15</v>
      </c>
      <c r="AB1528" s="441">
        <f t="shared" si="3128"/>
        <v>2015</v>
      </c>
    </row>
    <row r="1529" spans="2:31" x14ac:dyDescent="0.25">
      <c r="B1529" s="66">
        <v>42100</v>
      </c>
      <c r="C1529" s="66">
        <v>42100</v>
      </c>
      <c r="D1529" s="68">
        <f t="shared" ref="D1529" si="3202">IF(B1529&gt;0,MONTH(B1529),"False")</f>
        <v>4</v>
      </c>
      <c r="E1529" s="66" t="str">
        <f t="shared" ref="E1529" si="3203">YEAR(B1529) &amp; CHOOSE(D1529,"-Jan","-Feb","-Mar","-Apr","-May","-Jun","-Jul","-Aug","-Sep","-Oct","-Nov","-Dec")</f>
        <v>2015-Apr</v>
      </c>
      <c r="F1529" s="68">
        <f t="shared" ref="F1529" si="3204">IF(C1529&gt;0,MONTH(C1529),"False")</f>
        <v>4</v>
      </c>
      <c r="G1529" s="442" t="s">
        <v>87</v>
      </c>
      <c r="H1529" s="1" t="s">
        <v>280</v>
      </c>
      <c r="J1529" s="1" t="s">
        <v>119</v>
      </c>
      <c r="K1529" s="1" t="s">
        <v>119</v>
      </c>
      <c r="L1529" s="1" t="s">
        <v>79</v>
      </c>
      <c r="M1529" s="1" t="s">
        <v>2411</v>
      </c>
      <c r="N1529" s="1" t="s">
        <v>124</v>
      </c>
      <c r="O1529" s="1" t="s">
        <v>167</v>
      </c>
      <c r="R1529" s="422" t="s">
        <v>362</v>
      </c>
      <c r="Y1529" s="441" t="str">
        <f t="shared" si="3125"/>
        <v>Unknown</v>
      </c>
      <c r="Z1529" s="11" t="str">
        <f t="shared" si="3126"/>
        <v/>
      </c>
      <c r="AA1529" s="441" t="str">
        <f t="shared" si="3127"/>
        <v/>
      </c>
      <c r="AB1529" s="441" t="str">
        <f t="shared" si="3128"/>
        <v/>
      </c>
    </row>
    <row r="1530" spans="2:31" x14ac:dyDescent="0.25">
      <c r="B1530" s="66">
        <v>42100</v>
      </c>
      <c r="C1530" s="66">
        <v>42100</v>
      </c>
      <c r="D1530" s="68">
        <f t="shared" ref="D1530:D1531" si="3205">IF(B1530&gt;0,MONTH(B1530),"False")</f>
        <v>4</v>
      </c>
      <c r="E1530" s="66" t="str">
        <f t="shared" ref="E1530:E1531" si="3206">YEAR(B1530) &amp; CHOOSE(D1530,"-Jan","-Feb","-Mar","-Apr","-May","-Jun","-Jul","-Aug","-Sep","-Oct","-Nov","-Dec")</f>
        <v>2015-Apr</v>
      </c>
      <c r="F1530" s="68">
        <f t="shared" ref="F1530:F1531" si="3207">IF(C1530&gt;0,MONTH(C1530),"False")</f>
        <v>4</v>
      </c>
      <c r="G1530" s="442" t="s">
        <v>87</v>
      </c>
      <c r="H1530" s="1" t="s">
        <v>280</v>
      </c>
      <c r="J1530" s="1" t="s">
        <v>119</v>
      </c>
      <c r="K1530" s="1" t="s">
        <v>119</v>
      </c>
      <c r="L1530" s="1" t="s">
        <v>79</v>
      </c>
      <c r="M1530" s="1" t="s">
        <v>2412</v>
      </c>
      <c r="N1530" s="1" t="s">
        <v>124</v>
      </c>
      <c r="O1530" s="1" t="s">
        <v>167</v>
      </c>
      <c r="R1530" s="422" t="s">
        <v>362</v>
      </c>
      <c r="Y1530" s="441" t="str">
        <f t="shared" si="3125"/>
        <v>Unknown</v>
      </c>
      <c r="Z1530" s="11" t="str">
        <f t="shared" si="3126"/>
        <v/>
      </c>
      <c r="AA1530" s="441" t="str">
        <f t="shared" si="3127"/>
        <v/>
      </c>
      <c r="AB1530" s="441" t="str">
        <f t="shared" si="3128"/>
        <v/>
      </c>
    </row>
    <row r="1531" spans="2:31" x14ac:dyDescent="0.25">
      <c r="B1531" s="65">
        <v>42101</v>
      </c>
      <c r="C1531" s="66">
        <v>42101</v>
      </c>
      <c r="D1531" s="68">
        <f t="shared" si="3205"/>
        <v>4</v>
      </c>
      <c r="E1531" s="66" t="str">
        <f t="shared" si="3206"/>
        <v>2015-Apr</v>
      </c>
      <c r="F1531" s="68">
        <f t="shared" si="3207"/>
        <v>4</v>
      </c>
      <c r="G1531" s="443" t="s">
        <v>121</v>
      </c>
      <c r="H1531" s="1" t="s">
        <v>348</v>
      </c>
      <c r="J1531" s="1" t="s">
        <v>77</v>
      </c>
      <c r="K1531" s="1" t="s">
        <v>82</v>
      </c>
      <c r="L1531" s="1" t="s">
        <v>79</v>
      </c>
      <c r="M1531" s="1" t="s">
        <v>2413</v>
      </c>
      <c r="N1531" s="1" t="s">
        <v>124</v>
      </c>
      <c r="O1531" s="1" t="s">
        <v>353</v>
      </c>
      <c r="P1531" s="422" t="s">
        <v>352</v>
      </c>
      <c r="R1531" s="422" t="s">
        <v>2062</v>
      </c>
      <c r="S1531" s="1" t="s">
        <v>104</v>
      </c>
      <c r="T1531" s="9" t="s">
        <v>110</v>
      </c>
      <c r="X1531" s="1" t="s">
        <v>268</v>
      </c>
      <c r="Y1531" s="443" t="str">
        <f t="shared" ref="Y1531:Y1594" si="3208">IF(Q1531&gt;0,"Obsolete",IF(S1531&gt;0,S1531,"Unknown"))</f>
        <v>Pass</v>
      </c>
      <c r="Z1531" s="11" t="str">
        <f t="shared" ref="Z1531:Z1594" si="3209">IF(Q1531="Obsolete-LQA",C1531,IF(Q1531="Obsolete-IT",B1531,""))</f>
        <v/>
      </c>
      <c r="AA1531" s="443" t="str">
        <f t="shared" ref="AA1531:AA1594" si="3210">IFERROR(YEAR(Z1531)&amp;" - "&amp; IF(LEN( WEEKNUM(Z1531))=1,"0" &amp; WEEKNUM(Z1531),WEEKNUM(Z1531)),"")</f>
        <v/>
      </c>
      <c r="AB1531" s="443" t="str">
        <f t="shared" ref="AB1531:AB1594" si="3211">IFERROR(YEAR(Z1531),"")</f>
        <v/>
      </c>
      <c r="AC1531" s="443"/>
      <c r="AD1531" s="443"/>
      <c r="AE1531" s="443"/>
    </row>
    <row r="1532" spans="2:31" x14ac:dyDescent="0.25">
      <c r="B1532" s="65">
        <v>42101</v>
      </c>
      <c r="C1532" s="66">
        <v>42101</v>
      </c>
      <c r="D1532" s="68">
        <f t="shared" ref="D1532:D1533" si="3212">IF(B1532&gt;0,MONTH(B1532),"False")</f>
        <v>4</v>
      </c>
      <c r="E1532" s="66" t="str">
        <f t="shared" ref="E1532:E1533" si="3213">YEAR(B1532) &amp; CHOOSE(D1532,"-Jan","-Feb","-Mar","-Apr","-May","-Jun","-Jul","-Aug","-Sep","-Oct","-Nov","-Dec")</f>
        <v>2015-Apr</v>
      </c>
      <c r="F1532" s="68">
        <f t="shared" ref="F1532:F1533" si="3214">IF(C1532&gt;0,MONTH(C1532),"False")</f>
        <v>4</v>
      </c>
      <c r="G1532" s="443" t="s">
        <v>121</v>
      </c>
      <c r="H1532" s="1" t="s">
        <v>280</v>
      </c>
      <c r="J1532" s="1" t="s">
        <v>81</v>
      </c>
      <c r="K1532" s="1" t="s">
        <v>82</v>
      </c>
      <c r="L1532" s="1" t="s">
        <v>79</v>
      </c>
      <c r="M1532" s="1" t="s">
        <v>2414</v>
      </c>
      <c r="N1532" s="1" t="s">
        <v>124</v>
      </c>
      <c r="O1532" s="1" t="s">
        <v>286</v>
      </c>
      <c r="P1532" s="422" t="s">
        <v>305</v>
      </c>
      <c r="R1532" s="422" t="s">
        <v>1559</v>
      </c>
      <c r="S1532" s="1" t="s">
        <v>104</v>
      </c>
      <c r="X1532" s="1" t="s">
        <v>2146</v>
      </c>
      <c r="Y1532" s="443" t="str">
        <f t="shared" si="3208"/>
        <v>Pass</v>
      </c>
      <c r="Z1532" s="11" t="str">
        <f t="shared" si="3209"/>
        <v/>
      </c>
      <c r="AA1532" s="443" t="str">
        <f t="shared" si="3210"/>
        <v/>
      </c>
      <c r="AB1532" s="443" t="str">
        <f t="shared" si="3211"/>
        <v/>
      </c>
      <c r="AC1532" s="443"/>
      <c r="AD1532" s="443"/>
      <c r="AE1532" s="443"/>
    </row>
    <row r="1533" spans="2:31" x14ac:dyDescent="0.25">
      <c r="B1533" s="66">
        <v>42101</v>
      </c>
      <c r="C1533" s="66">
        <v>42101</v>
      </c>
      <c r="D1533" s="68">
        <f t="shared" si="3212"/>
        <v>4</v>
      </c>
      <c r="E1533" s="66" t="str">
        <f t="shared" si="3213"/>
        <v>2015-Apr</v>
      </c>
      <c r="F1533" s="68">
        <f t="shared" si="3214"/>
        <v>4</v>
      </c>
      <c r="G1533" s="443" t="s">
        <v>112</v>
      </c>
      <c r="H1533" s="1" t="s">
        <v>76</v>
      </c>
      <c r="J1533" s="1" t="s">
        <v>77</v>
      </c>
      <c r="K1533" s="1" t="s">
        <v>78</v>
      </c>
      <c r="L1533" s="1" t="s">
        <v>79</v>
      </c>
      <c r="M1533" s="1" t="s">
        <v>2415</v>
      </c>
      <c r="N1533" s="1" t="s">
        <v>124</v>
      </c>
      <c r="O1533" s="1" t="s">
        <v>287</v>
      </c>
      <c r="R1533" s="422" t="s">
        <v>1038</v>
      </c>
      <c r="S1533" s="1" t="s">
        <v>104</v>
      </c>
      <c r="X1533" s="1" t="s">
        <v>300</v>
      </c>
      <c r="Y1533" s="443" t="str">
        <f t="shared" si="3208"/>
        <v>Pass</v>
      </c>
      <c r="Z1533" s="11" t="str">
        <f t="shared" si="3209"/>
        <v/>
      </c>
      <c r="AA1533" s="443" t="str">
        <f t="shared" si="3210"/>
        <v/>
      </c>
      <c r="AB1533" s="443" t="str">
        <f t="shared" si="3211"/>
        <v/>
      </c>
      <c r="AC1533" s="443"/>
      <c r="AD1533" s="443"/>
      <c r="AE1533" s="443"/>
    </row>
    <row r="1534" spans="2:31" x14ac:dyDescent="0.25">
      <c r="B1534" s="66">
        <v>42101</v>
      </c>
      <c r="C1534" s="66">
        <v>42101</v>
      </c>
      <c r="D1534" s="68">
        <f t="shared" ref="D1534:D1535" si="3215">IF(B1534&gt;0,MONTH(B1534),"False")</f>
        <v>4</v>
      </c>
      <c r="E1534" s="66" t="str">
        <f t="shared" ref="E1534:E1535" si="3216">YEAR(B1534) &amp; CHOOSE(D1534,"-Jan","-Feb","-Mar","-Apr","-May","-Jun","-Jul","-Aug","-Sep","-Oct","-Nov","-Dec")</f>
        <v>2015-Apr</v>
      </c>
      <c r="F1534" s="68">
        <f t="shared" ref="F1534:F1535" si="3217">IF(C1534&gt;0,MONTH(C1534),"False")</f>
        <v>4</v>
      </c>
      <c r="G1534" s="444" t="s">
        <v>87</v>
      </c>
      <c r="H1534" s="1" t="s">
        <v>280</v>
      </c>
      <c r="J1534" s="1" t="s">
        <v>333</v>
      </c>
      <c r="K1534" s="1" t="s">
        <v>84</v>
      </c>
      <c r="L1534" s="1" t="s">
        <v>79</v>
      </c>
      <c r="M1534" s="1" t="s">
        <v>2416</v>
      </c>
      <c r="N1534" s="1" t="s">
        <v>124</v>
      </c>
      <c r="O1534" s="1" t="s">
        <v>2410</v>
      </c>
      <c r="Q1534" s="2" t="s">
        <v>88</v>
      </c>
      <c r="R1534" s="422" t="s">
        <v>1517</v>
      </c>
      <c r="Y1534" s="443" t="str">
        <f t="shared" si="3208"/>
        <v>Obsolete</v>
      </c>
      <c r="Z1534" s="11">
        <f t="shared" si="3209"/>
        <v>42101</v>
      </c>
      <c r="AA1534" s="443" t="str">
        <f t="shared" si="3210"/>
        <v>2015 - 15</v>
      </c>
      <c r="AB1534" s="443">
        <f t="shared" si="3211"/>
        <v>2015</v>
      </c>
      <c r="AC1534" s="443"/>
      <c r="AD1534" s="443"/>
      <c r="AE1534" s="443"/>
    </row>
    <row r="1535" spans="2:31" x14ac:dyDescent="0.25">
      <c r="B1535" s="65">
        <v>42102</v>
      </c>
      <c r="C1535" s="66">
        <v>42102</v>
      </c>
      <c r="D1535" s="68">
        <f t="shared" si="3215"/>
        <v>4</v>
      </c>
      <c r="E1535" s="66" t="str">
        <f t="shared" si="3216"/>
        <v>2015-Apr</v>
      </c>
      <c r="F1535" s="68">
        <f t="shared" si="3217"/>
        <v>4</v>
      </c>
      <c r="G1535" s="445" t="s">
        <v>121</v>
      </c>
      <c r="H1535" s="1" t="s">
        <v>166</v>
      </c>
      <c r="J1535" s="1" t="s">
        <v>77</v>
      </c>
      <c r="K1535" s="1" t="s">
        <v>82</v>
      </c>
      <c r="L1535" s="1" t="s">
        <v>79</v>
      </c>
      <c r="M1535" s="1" t="s">
        <v>2420</v>
      </c>
      <c r="N1535" s="1" t="s">
        <v>124</v>
      </c>
      <c r="O1535" s="1" t="s">
        <v>162</v>
      </c>
      <c r="P1535" s="64" t="s">
        <v>319</v>
      </c>
      <c r="R1535" s="64" t="s">
        <v>320</v>
      </c>
      <c r="S1535" s="1" t="s">
        <v>104</v>
      </c>
      <c r="X1535" s="1" t="s">
        <v>2458</v>
      </c>
      <c r="Y1535" s="443" t="str">
        <f t="shared" si="3208"/>
        <v>Pass</v>
      </c>
      <c r="Z1535" s="11" t="str">
        <f t="shared" si="3209"/>
        <v/>
      </c>
      <c r="AA1535" s="443" t="str">
        <f t="shared" si="3210"/>
        <v/>
      </c>
      <c r="AB1535" s="443" t="str">
        <f t="shared" si="3211"/>
        <v/>
      </c>
      <c r="AC1535" s="443"/>
      <c r="AD1535" s="443"/>
      <c r="AE1535" s="443"/>
    </row>
    <row r="1536" spans="2:31" x14ac:dyDescent="0.25">
      <c r="B1536" s="66">
        <v>42103</v>
      </c>
      <c r="C1536" s="66">
        <v>42103</v>
      </c>
      <c r="D1536" s="68">
        <f t="shared" ref="D1536" si="3218">IF(B1536&gt;0,MONTH(B1536),"False")</f>
        <v>4</v>
      </c>
      <c r="E1536" s="66" t="str">
        <f t="shared" ref="E1536" si="3219">YEAR(B1536) &amp; CHOOSE(D1536,"-Jan","-Feb","-Mar","-Apr","-May","-Jun","-Jul","-Aug","-Sep","-Oct","-Nov","-Dec")</f>
        <v>2015-Apr</v>
      </c>
      <c r="F1536" s="68">
        <f t="shared" ref="F1536" si="3220">IF(C1536&gt;0,MONTH(C1536),"False")</f>
        <v>4</v>
      </c>
      <c r="G1536" s="446" t="s">
        <v>112</v>
      </c>
      <c r="H1536" s="446" t="s">
        <v>1685</v>
      </c>
      <c r="J1536" s="1" t="s">
        <v>78</v>
      </c>
      <c r="K1536" s="1" t="s">
        <v>78</v>
      </c>
      <c r="L1536" s="1" t="s">
        <v>79</v>
      </c>
      <c r="M1536" s="1" t="s">
        <v>2421</v>
      </c>
      <c r="N1536" s="1" t="s">
        <v>124</v>
      </c>
      <c r="O1536" s="1" t="s">
        <v>287</v>
      </c>
      <c r="R1536" s="422" t="s">
        <v>2037</v>
      </c>
      <c r="S1536" s="1" t="s">
        <v>104</v>
      </c>
      <c r="X1536" s="1" t="s">
        <v>154</v>
      </c>
      <c r="Y1536" s="443" t="str">
        <f t="shared" si="3208"/>
        <v>Pass</v>
      </c>
      <c r="Z1536" s="11" t="str">
        <f t="shared" si="3209"/>
        <v/>
      </c>
      <c r="AA1536" s="443" t="str">
        <f t="shared" si="3210"/>
        <v/>
      </c>
      <c r="AB1536" s="443" t="str">
        <f t="shared" si="3211"/>
        <v/>
      </c>
      <c r="AC1536" s="443"/>
      <c r="AD1536" s="443"/>
      <c r="AE1536" s="443"/>
    </row>
    <row r="1537" spans="2:31" x14ac:dyDescent="0.25">
      <c r="B1537" s="66">
        <v>42103</v>
      </c>
      <c r="C1537" s="66">
        <v>42103</v>
      </c>
      <c r="D1537" s="68">
        <f t="shared" ref="D1537:D1538" si="3221">IF(B1537&gt;0,MONTH(B1537),"False")</f>
        <v>4</v>
      </c>
      <c r="E1537" s="66" t="str">
        <f t="shared" ref="E1537:E1538" si="3222">YEAR(B1537) &amp; CHOOSE(D1537,"-Jan","-Feb","-Mar","-Apr","-May","-Jun","-Jul","-Aug","-Sep","-Oct","-Nov","-Dec")</f>
        <v>2015-Apr</v>
      </c>
      <c r="F1537" s="68">
        <f t="shared" ref="F1537:F1538" si="3223">IF(C1537&gt;0,MONTH(C1537),"False")</f>
        <v>4</v>
      </c>
      <c r="G1537" s="446" t="s">
        <v>112</v>
      </c>
      <c r="H1537" s="446" t="s">
        <v>1685</v>
      </c>
      <c r="J1537" s="1" t="s">
        <v>77</v>
      </c>
      <c r="K1537" s="1" t="s">
        <v>82</v>
      </c>
      <c r="L1537" s="1" t="s">
        <v>83</v>
      </c>
      <c r="M1537" s="1" t="s">
        <v>2422</v>
      </c>
      <c r="N1537" s="1" t="s">
        <v>124</v>
      </c>
      <c r="O1537" s="1" t="s">
        <v>343</v>
      </c>
      <c r="R1537" s="422" t="s">
        <v>2004</v>
      </c>
      <c r="S1537" s="1" t="s">
        <v>104</v>
      </c>
      <c r="X1537" s="1" t="s">
        <v>300</v>
      </c>
      <c r="Y1537" s="443" t="str">
        <f t="shared" si="3208"/>
        <v>Pass</v>
      </c>
      <c r="Z1537" s="11" t="str">
        <f t="shared" si="3209"/>
        <v/>
      </c>
      <c r="AA1537" s="443" t="str">
        <f t="shared" si="3210"/>
        <v/>
      </c>
      <c r="AB1537" s="443" t="str">
        <f t="shared" si="3211"/>
        <v/>
      </c>
      <c r="AC1537" s="443"/>
      <c r="AD1537" s="443"/>
      <c r="AE1537" s="443"/>
    </row>
    <row r="1538" spans="2:31" x14ac:dyDescent="0.25">
      <c r="B1538" s="65">
        <v>42104</v>
      </c>
      <c r="C1538" s="66">
        <v>42104</v>
      </c>
      <c r="D1538" s="68">
        <f t="shared" si="3221"/>
        <v>4</v>
      </c>
      <c r="E1538" s="66" t="str">
        <f t="shared" si="3222"/>
        <v>2015-Apr</v>
      </c>
      <c r="F1538" s="68">
        <f t="shared" si="3223"/>
        <v>4</v>
      </c>
      <c r="G1538" s="447" t="s">
        <v>121</v>
      </c>
      <c r="H1538" s="1" t="s">
        <v>103</v>
      </c>
      <c r="J1538" s="1" t="s">
        <v>77</v>
      </c>
      <c r="K1538" s="1" t="s">
        <v>82</v>
      </c>
      <c r="L1538" s="1" t="s">
        <v>79</v>
      </c>
      <c r="M1538" s="1" t="s">
        <v>2423</v>
      </c>
      <c r="N1538" s="1" t="s">
        <v>124</v>
      </c>
      <c r="O1538" s="1" t="s">
        <v>507</v>
      </c>
      <c r="P1538" s="422" t="s">
        <v>351</v>
      </c>
      <c r="R1538" s="422" t="s">
        <v>361</v>
      </c>
      <c r="S1538" s="1" t="s">
        <v>104</v>
      </c>
      <c r="X1538" s="1" t="s">
        <v>1474</v>
      </c>
      <c r="Y1538" s="443" t="str">
        <f t="shared" si="3208"/>
        <v>Pass</v>
      </c>
      <c r="Z1538" s="11" t="str">
        <f t="shared" si="3209"/>
        <v/>
      </c>
      <c r="AA1538" s="443" t="str">
        <f t="shared" si="3210"/>
        <v/>
      </c>
      <c r="AB1538" s="443" t="str">
        <f t="shared" si="3211"/>
        <v/>
      </c>
      <c r="AC1538" s="443"/>
      <c r="AD1538" s="443"/>
      <c r="AE1538" s="443"/>
    </row>
    <row r="1539" spans="2:31" x14ac:dyDescent="0.25">
      <c r="B1539" s="65">
        <v>42104</v>
      </c>
      <c r="C1539" s="66">
        <v>42104</v>
      </c>
      <c r="D1539" s="68">
        <f t="shared" ref="D1539:D1540" si="3224">IF(B1539&gt;0,MONTH(B1539),"False")</f>
        <v>4</v>
      </c>
      <c r="E1539" s="66" t="str">
        <f t="shared" ref="E1539:E1540" si="3225">YEAR(B1539) &amp; CHOOSE(D1539,"-Jan","-Feb","-Mar","-Apr","-May","-Jun","-Jul","-Aug","-Sep","-Oct","-Nov","-Dec")</f>
        <v>2015-Apr</v>
      </c>
      <c r="F1539" s="68">
        <f t="shared" ref="F1539:F1540" si="3226">IF(C1539&gt;0,MONTH(C1539),"False")</f>
        <v>4</v>
      </c>
      <c r="G1539" s="447" t="s">
        <v>121</v>
      </c>
      <c r="H1539" s="1" t="s">
        <v>139</v>
      </c>
      <c r="J1539" s="1" t="s">
        <v>77</v>
      </c>
      <c r="K1539" s="1" t="s">
        <v>82</v>
      </c>
      <c r="L1539" s="1" t="s">
        <v>79</v>
      </c>
      <c r="M1539" s="1" t="s">
        <v>2424</v>
      </c>
      <c r="N1539" s="1" t="s">
        <v>124</v>
      </c>
      <c r="O1539" s="1" t="s">
        <v>353</v>
      </c>
      <c r="P1539" s="422" t="s">
        <v>359</v>
      </c>
      <c r="R1539" s="422" t="s">
        <v>360</v>
      </c>
      <c r="S1539" s="1" t="s">
        <v>104</v>
      </c>
      <c r="X1539" s="1" t="s">
        <v>2458</v>
      </c>
      <c r="Y1539" s="443" t="str">
        <f t="shared" si="3208"/>
        <v>Pass</v>
      </c>
      <c r="Z1539" s="11" t="str">
        <f t="shared" si="3209"/>
        <v/>
      </c>
      <c r="AA1539" s="443" t="str">
        <f t="shared" si="3210"/>
        <v/>
      </c>
      <c r="AB1539" s="443" t="str">
        <f t="shared" si="3211"/>
        <v/>
      </c>
      <c r="AC1539" s="443"/>
      <c r="AD1539" s="443"/>
      <c r="AE1539" s="443"/>
    </row>
    <row r="1540" spans="2:31" x14ac:dyDescent="0.25">
      <c r="B1540" s="65">
        <v>42104</v>
      </c>
      <c r="C1540" s="66">
        <v>42104</v>
      </c>
      <c r="D1540" s="68">
        <f t="shared" si="3224"/>
        <v>4</v>
      </c>
      <c r="E1540" s="66" t="str">
        <f t="shared" si="3225"/>
        <v>2015-Apr</v>
      </c>
      <c r="F1540" s="68">
        <f t="shared" si="3226"/>
        <v>4</v>
      </c>
      <c r="G1540" s="447" t="s">
        <v>121</v>
      </c>
      <c r="H1540" s="1" t="s">
        <v>139</v>
      </c>
      <c r="J1540" s="1" t="s">
        <v>78</v>
      </c>
      <c r="K1540" s="1" t="s">
        <v>78</v>
      </c>
      <c r="L1540" s="1" t="s">
        <v>79</v>
      </c>
      <c r="M1540" s="1" t="s">
        <v>2425</v>
      </c>
      <c r="N1540" s="1" t="s">
        <v>124</v>
      </c>
      <c r="O1540" s="1" t="s">
        <v>332</v>
      </c>
      <c r="P1540" s="64" t="s">
        <v>2403</v>
      </c>
      <c r="R1540" s="422" t="s">
        <v>2403</v>
      </c>
      <c r="S1540" s="1" t="s">
        <v>104</v>
      </c>
      <c r="X1540" s="1" t="s">
        <v>2458</v>
      </c>
      <c r="Y1540" s="443" t="str">
        <f t="shared" si="3208"/>
        <v>Pass</v>
      </c>
      <c r="Z1540" s="11" t="str">
        <f t="shared" si="3209"/>
        <v/>
      </c>
      <c r="AA1540" s="443" t="str">
        <f t="shared" si="3210"/>
        <v/>
      </c>
      <c r="AB1540" s="443" t="str">
        <f t="shared" si="3211"/>
        <v/>
      </c>
      <c r="AC1540" s="443"/>
      <c r="AD1540" s="443"/>
      <c r="AE1540" s="443"/>
    </row>
    <row r="1541" spans="2:31" x14ac:dyDescent="0.25">
      <c r="B1541" s="65">
        <v>42104</v>
      </c>
      <c r="C1541" s="66">
        <v>42104</v>
      </c>
      <c r="D1541" s="68">
        <f t="shared" ref="D1541:D1542" si="3227">IF(B1541&gt;0,MONTH(B1541),"False")</f>
        <v>4</v>
      </c>
      <c r="E1541" s="66" t="str">
        <f t="shared" ref="E1541:E1542" si="3228">YEAR(B1541) &amp; CHOOSE(D1541,"-Jan","-Feb","-Mar","-Apr","-May","-Jun","-Jul","-Aug","-Sep","-Oct","-Nov","-Dec")</f>
        <v>2015-Apr</v>
      </c>
      <c r="F1541" s="68">
        <f t="shared" ref="F1541:F1542" si="3229">IF(C1541&gt;0,MONTH(C1541),"False")</f>
        <v>4</v>
      </c>
      <c r="G1541" s="447" t="s">
        <v>121</v>
      </c>
      <c r="H1541" s="1" t="s">
        <v>166</v>
      </c>
      <c r="J1541" s="1" t="s">
        <v>98</v>
      </c>
      <c r="K1541" s="1" t="s">
        <v>82</v>
      </c>
      <c r="L1541" s="1" t="s">
        <v>79</v>
      </c>
      <c r="M1541" s="1" t="s">
        <v>2426</v>
      </c>
      <c r="N1541" s="1" t="s">
        <v>124</v>
      </c>
      <c r="O1541" s="1" t="s">
        <v>353</v>
      </c>
      <c r="P1541" s="422" t="s">
        <v>336</v>
      </c>
      <c r="R1541" s="422" t="s">
        <v>1311</v>
      </c>
      <c r="S1541" s="1" t="s">
        <v>104</v>
      </c>
      <c r="X1541" s="1" t="s">
        <v>2445</v>
      </c>
      <c r="Y1541" s="443" t="str">
        <f t="shared" si="3208"/>
        <v>Pass</v>
      </c>
      <c r="Z1541" s="11" t="str">
        <f t="shared" si="3209"/>
        <v/>
      </c>
      <c r="AA1541" s="443" t="str">
        <f t="shared" si="3210"/>
        <v/>
      </c>
      <c r="AB1541" s="443" t="str">
        <f t="shared" si="3211"/>
        <v/>
      </c>
      <c r="AC1541" s="443"/>
      <c r="AD1541" s="443"/>
      <c r="AE1541" s="443"/>
    </row>
    <row r="1542" spans="2:31" x14ac:dyDescent="0.25">
      <c r="B1542" s="66">
        <v>42104</v>
      </c>
      <c r="C1542" s="66">
        <v>42104</v>
      </c>
      <c r="D1542" s="68">
        <f t="shared" si="3227"/>
        <v>4</v>
      </c>
      <c r="E1542" s="66" t="str">
        <f t="shared" si="3228"/>
        <v>2015-Apr</v>
      </c>
      <c r="F1542" s="68">
        <f t="shared" si="3229"/>
        <v>4</v>
      </c>
      <c r="G1542" s="447" t="s">
        <v>87</v>
      </c>
      <c r="H1542" s="1" t="s">
        <v>166</v>
      </c>
      <c r="J1542" s="1" t="s">
        <v>119</v>
      </c>
      <c r="K1542" s="1" t="s">
        <v>119</v>
      </c>
      <c r="L1542" s="1" t="s">
        <v>79</v>
      </c>
      <c r="M1542" s="1" t="s">
        <v>2427</v>
      </c>
      <c r="N1542" s="1" t="s">
        <v>124</v>
      </c>
      <c r="O1542" s="1" t="s">
        <v>156</v>
      </c>
      <c r="R1542" s="422" t="s">
        <v>473</v>
      </c>
      <c r="Y1542" s="443" t="str">
        <f t="shared" si="3208"/>
        <v>Unknown</v>
      </c>
      <c r="Z1542" s="11" t="str">
        <f t="shared" si="3209"/>
        <v/>
      </c>
      <c r="AA1542" s="443" t="str">
        <f t="shared" si="3210"/>
        <v/>
      </c>
      <c r="AB1542" s="443" t="str">
        <f t="shared" si="3211"/>
        <v/>
      </c>
      <c r="AC1542" s="443"/>
      <c r="AD1542" s="443"/>
      <c r="AE1542" s="443"/>
    </row>
    <row r="1543" spans="2:31" x14ac:dyDescent="0.25">
      <c r="B1543" s="66">
        <v>42104</v>
      </c>
      <c r="C1543" s="66">
        <v>42104</v>
      </c>
      <c r="D1543" s="68">
        <f t="shared" ref="D1543:D1544" si="3230">IF(B1543&gt;0,MONTH(B1543),"False")</f>
        <v>4</v>
      </c>
      <c r="E1543" s="66" t="str">
        <f t="shared" ref="E1543:E1544" si="3231">YEAR(B1543) &amp; CHOOSE(D1543,"-Jan","-Feb","-Mar","-Apr","-May","-Jun","-Jul","-Aug","-Sep","-Oct","-Nov","-Dec")</f>
        <v>2015-Apr</v>
      </c>
      <c r="F1543" s="68">
        <f t="shared" ref="F1543:F1544" si="3232">IF(C1543&gt;0,MONTH(C1543),"False")</f>
        <v>4</v>
      </c>
      <c r="G1543" s="447" t="s">
        <v>87</v>
      </c>
      <c r="H1543" s="1" t="s">
        <v>166</v>
      </c>
      <c r="J1543" s="1" t="s">
        <v>120</v>
      </c>
      <c r="K1543" s="1" t="s">
        <v>82</v>
      </c>
      <c r="L1543" s="1" t="s">
        <v>83</v>
      </c>
      <c r="M1543" s="1" t="s">
        <v>2428</v>
      </c>
      <c r="N1543" s="1" t="s">
        <v>124</v>
      </c>
      <c r="O1543" s="1" t="s">
        <v>1368</v>
      </c>
      <c r="Q1543" s="2" t="s">
        <v>88</v>
      </c>
      <c r="R1543" s="422" t="s">
        <v>2429</v>
      </c>
      <c r="Y1543" s="443" t="str">
        <f t="shared" si="3208"/>
        <v>Obsolete</v>
      </c>
      <c r="Z1543" s="11">
        <f t="shared" si="3209"/>
        <v>42104</v>
      </c>
      <c r="AA1543" s="443" t="str">
        <f t="shared" si="3210"/>
        <v>2015 - 15</v>
      </c>
      <c r="AB1543" s="443">
        <f t="shared" si="3211"/>
        <v>2015</v>
      </c>
      <c r="AC1543" s="443"/>
      <c r="AD1543" s="443"/>
      <c r="AE1543" s="443"/>
    </row>
    <row r="1544" spans="2:31" x14ac:dyDescent="0.25">
      <c r="B1544" s="65">
        <v>42104</v>
      </c>
      <c r="C1544" s="66">
        <v>42104</v>
      </c>
      <c r="D1544" s="68">
        <f t="shared" si="3230"/>
        <v>4</v>
      </c>
      <c r="E1544" s="66" t="str">
        <f t="shared" si="3231"/>
        <v>2015-Apr</v>
      </c>
      <c r="F1544" s="68">
        <f t="shared" si="3232"/>
        <v>4</v>
      </c>
      <c r="G1544" s="447" t="s">
        <v>121</v>
      </c>
      <c r="H1544" s="1" t="s">
        <v>86</v>
      </c>
      <c r="J1544" s="1" t="s">
        <v>77</v>
      </c>
      <c r="K1544" s="1" t="s">
        <v>176</v>
      </c>
      <c r="L1544" s="1" t="s">
        <v>79</v>
      </c>
      <c r="M1544" s="1" t="s">
        <v>2430</v>
      </c>
      <c r="N1544" s="1" t="s">
        <v>124</v>
      </c>
      <c r="O1544" s="1" t="s">
        <v>164</v>
      </c>
      <c r="P1544" s="64" t="s">
        <v>2431</v>
      </c>
      <c r="R1544" s="422" t="s">
        <v>2432</v>
      </c>
      <c r="S1544" s="1" t="s">
        <v>104</v>
      </c>
      <c r="X1544" s="1" t="s">
        <v>2445</v>
      </c>
      <c r="Y1544" s="443" t="str">
        <f t="shared" si="3208"/>
        <v>Pass</v>
      </c>
      <c r="Z1544" s="11" t="str">
        <f t="shared" si="3209"/>
        <v/>
      </c>
      <c r="AA1544" s="443" t="str">
        <f t="shared" si="3210"/>
        <v/>
      </c>
      <c r="AB1544" s="443" t="str">
        <f t="shared" si="3211"/>
        <v/>
      </c>
      <c r="AC1544" s="443"/>
      <c r="AD1544" s="443"/>
      <c r="AE1544" s="443"/>
    </row>
    <row r="1545" spans="2:31" x14ac:dyDescent="0.25">
      <c r="B1545" s="65">
        <v>42104</v>
      </c>
      <c r="C1545" s="66">
        <v>42104</v>
      </c>
      <c r="D1545" s="68">
        <f t="shared" ref="D1545:D1546" si="3233">IF(B1545&gt;0,MONTH(B1545),"False")</f>
        <v>4</v>
      </c>
      <c r="E1545" s="66" t="str">
        <f t="shared" ref="E1545:E1546" si="3234">YEAR(B1545) &amp; CHOOSE(D1545,"-Jan","-Feb","-Mar","-Apr","-May","-Jun","-Jul","-Aug","-Sep","-Oct","-Nov","-Dec")</f>
        <v>2015-Apr</v>
      </c>
      <c r="F1545" s="68">
        <f t="shared" ref="F1545:F1546" si="3235">IF(C1545&gt;0,MONTH(C1545),"False")</f>
        <v>4</v>
      </c>
      <c r="G1545" s="447" t="s">
        <v>121</v>
      </c>
      <c r="H1545" s="1" t="s">
        <v>280</v>
      </c>
      <c r="J1545" s="1" t="s">
        <v>81</v>
      </c>
      <c r="K1545" s="1" t="s">
        <v>82</v>
      </c>
      <c r="L1545" s="1" t="s">
        <v>79</v>
      </c>
      <c r="M1545" s="1" t="s">
        <v>2433</v>
      </c>
      <c r="N1545" s="1" t="s">
        <v>124</v>
      </c>
      <c r="O1545" s="1" t="s">
        <v>286</v>
      </c>
      <c r="P1545" s="422" t="s">
        <v>305</v>
      </c>
      <c r="R1545" s="422" t="s">
        <v>1559</v>
      </c>
      <c r="S1545" s="1" t="s">
        <v>104</v>
      </c>
      <c r="X1545" s="1" t="s">
        <v>2146</v>
      </c>
      <c r="Y1545" s="443" t="str">
        <f t="shared" si="3208"/>
        <v>Pass</v>
      </c>
      <c r="Z1545" s="11" t="str">
        <f t="shared" si="3209"/>
        <v/>
      </c>
      <c r="AA1545" s="443" t="str">
        <f t="shared" si="3210"/>
        <v/>
      </c>
      <c r="AB1545" s="443" t="str">
        <f t="shared" si="3211"/>
        <v/>
      </c>
      <c r="AC1545" s="443"/>
      <c r="AD1545" s="443"/>
      <c r="AE1545" s="443"/>
    </row>
    <row r="1546" spans="2:31" x14ac:dyDescent="0.25">
      <c r="B1546" s="66">
        <v>42104</v>
      </c>
      <c r="C1546" s="66">
        <v>42104</v>
      </c>
      <c r="D1546" s="68">
        <f t="shared" si="3233"/>
        <v>4</v>
      </c>
      <c r="E1546" s="66" t="str">
        <f t="shared" si="3234"/>
        <v>2015-Apr</v>
      </c>
      <c r="F1546" s="68">
        <f t="shared" si="3235"/>
        <v>4</v>
      </c>
      <c r="G1546" s="447" t="s">
        <v>87</v>
      </c>
      <c r="H1546" s="1" t="s">
        <v>166</v>
      </c>
      <c r="J1546" s="1" t="s">
        <v>292</v>
      </c>
      <c r="K1546" s="447" t="s">
        <v>292</v>
      </c>
      <c r="L1546" s="1" t="s">
        <v>83</v>
      </c>
      <c r="M1546" s="1" t="s">
        <v>2434</v>
      </c>
      <c r="N1546" s="1" t="s">
        <v>124</v>
      </c>
      <c r="O1546" s="1" t="s">
        <v>156</v>
      </c>
      <c r="R1546" s="422" t="s">
        <v>2435</v>
      </c>
      <c r="Y1546" s="443" t="str">
        <f t="shared" si="3208"/>
        <v>Unknown</v>
      </c>
      <c r="Z1546" s="11" t="str">
        <f t="shared" si="3209"/>
        <v/>
      </c>
      <c r="AA1546" s="443" t="str">
        <f t="shared" si="3210"/>
        <v/>
      </c>
      <c r="AB1546" s="443" t="str">
        <f t="shared" si="3211"/>
        <v/>
      </c>
      <c r="AC1546" s="443"/>
      <c r="AD1546" s="443"/>
      <c r="AE1546" s="443"/>
    </row>
    <row r="1547" spans="2:31" x14ac:dyDescent="0.25">
      <c r="B1547" s="66">
        <v>42104</v>
      </c>
      <c r="C1547" s="66">
        <v>42104</v>
      </c>
      <c r="D1547" s="68">
        <f t="shared" ref="D1547:D1548" si="3236">IF(B1547&gt;0,MONTH(B1547),"False")</f>
        <v>4</v>
      </c>
      <c r="E1547" s="66" t="str">
        <f t="shared" ref="E1547:E1548" si="3237">YEAR(B1547) &amp; CHOOSE(D1547,"-Jan","-Feb","-Mar","-Apr","-May","-Jun","-Jul","-Aug","-Sep","-Oct","-Nov","-Dec")</f>
        <v>2015-Apr</v>
      </c>
      <c r="F1547" s="68">
        <f t="shared" ref="F1547:F1548" si="3238">IF(C1547&gt;0,MONTH(C1547),"False")</f>
        <v>4</v>
      </c>
      <c r="G1547" s="447" t="s">
        <v>112</v>
      </c>
      <c r="H1547" s="1" t="s">
        <v>166</v>
      </c>
      <c r="J1547" s="1" t="s">
        <v>98</v>
      </c>
      <c r="K1547" s="1" t="s">
        <v>84</v>
      </c>
      <c r="L1547" s="1" t="s">
        <v>83</v>
      </c>
      <c r="M1547" s="1" t="s">
        <v>2436</v>
      </c>
      <c r="N1547" s="1" t="s">
        <v>124</v>
      </c>
      <c r="O1547" s="1" t="s">
        <v>2020</v>
      </c>
      <c r="R1547" s="422" t="s">
        <v>1353</v>
      </c>
      <c r="S1547" s="1" t="s">
        <v>104</v>
      </c>
      <c r="T1547" s="67" t="s">
        <v>110</v>
      </c>
      <c r="X1547" s="1" t="s">
        <v>2445</v>
      </c>
      <c r="Y1547" s="443" t="str">
        <f t="shared" si="3208"/>
        <v>Pass</v>
      </c>
      <c r="Z1547" s="11" t="str">
        <f t="shared" si="3209"/>
        <v/>
      </c>
      <c r="AA1547" s="443" t="str">
        <f t="shared" si="3210"/>
        <v/>
      </c>
      <c r="AB1547" s="443" t="str">
        <f t="shared" si="3211"/>
        <v/>
      </c>
      <c r="AC1547" s="443"/>
      <c r="AD1547" s="443"/>
      <c r="AE1547" s="443"/>
    </row>
    <row r="1548" spans="2:31" x14ac:dyDescent="0.25">
      <c r="B1548" s="65">
        <v>42104</v>
      </c>
      <c r="C1548" s="66">
        <v>42104</v>
      </c>
      <c r="D1548" s="68">
        <f t="shared" si="3236"/>
        <v>4</v>
      </c>
      <c r="E1548" s="66" t="str">
        <f t="shared" si="3237"/>
        <v>2015-Apr</v>
      </c>
      <c r="F1548" s="68">
        <f t="shared" si="3238"/>
        <v>4</v>
      </c>
      <c r="G1548" s="447" t="s">
        <v>121</v>
      </c>
      <c r="H1548" s="447" t="s">
        <v>280</v>
      </c>
      <c r="I1548" s="447"/>
      <c r="J1548" s="447" t="s">
        <v>81</v>
      </c>
      <c r="K1548" s="447" t="s">
        <v>82</v>
      </c>
      <c r="L1548" s="447" t="s">
        <v>79</v>
      </c>
      <c r="M1548" s="1" t="s">
        <v>2437</v>
      </c>
      <c r="N1548" s="447" t="s">
        <v>124</v>
      </c>
      <c r="O1548" s="447" t="s">
        <v>286</v>
      </c>
      <c r="P1548" s="422" t="s">
        <v>305</v>
      </c>
      <c r="R1548" s="422" t="s">
        <v>1559</v>
      </c>
      <c r="S1548" s="1" t="s">
        <v>104</v>
      </c>
      <c r="X1548" s="1" t="s">
        <v>2146</v>
      </c>
      <c r="Y1548" s="443" t="str">
        <f t="shared" si="3208"/>
        <v>Pass</v>
      </c>
      <c r="Z1548" s="11" t="str">
        <f t="shared" si="3209"/>
        <v/>
      </c>
      <c r="AA1548" s="443" t="str">
        <f t="shared" si="3210"/>
        <v/>
      </c>
      <c r="AB1548" s="443" t="str">
        <f t="shared" si="3211"/>
        <v/>
      </c>
      <c r="AC1548" s="443"/>
      <c r="AD1548" s="443"/>
      <c r="AE1548" s="443"/>
    </row>
    <row r="1549" spans="2:31" x14ac:dyDescent="0.25">
      <c r="B1549" s="66">
        <v>42104</v>
      </c>
      <c r="C1549" s="66">
        <v>42104</v>
      </c>
      <c r="D1549" s="68">
        <f t="shared" ref="D1549" si="3239">IF(B1549&gt;0,MONTH(B1549),"False")</f>
        <v>4</v>
      </c>
      <c r="E1549" s="66" t="str">
        <f t="shared" ref="E1549" si="3240">YEAR(B1549) &amp; CHOOSE(D1549,"-Jan","-Feb","-Mar","-Apr","-May","-Jun","-Jul","-Aug","-Sep","-Oct","-Nov","-Dec")</f>
        <v>2015-Apr</v>
      </c>
      <c r="F1549" s="68">
        <f t="shared" ref="F1549" si="3241">IF(C1549&gt;0,MONTH(C1549),"False")</f>
        <v>4</v>
      </c>
      <c r="G1549" s="447" t="s">
        <v>112</v>
      </c>
      <c r="H1549" s="1" t="s">
        <v>115</v>
      </c>
      <c r="J1549" s="1" t="s">
        <v>292</v>
      </c>
      <c r="K1549" s="447" t="s">
        <v>292</v>
      </c>
      <c r="L1549" s="1" t="s">
        <v>83</v>
      </c>
      <c r="M1549" s="1" t="s">
        <v>2438</v>
      </c>
      <c r="N1549" s="1" t="s">
        <v>124</v>
      </c>
      <c r="O1549" s="1" t="s">
        <v>156</v>
      </c>
      <c r="R1549" s="422" t="s">
        <v>2439</v>
      </c>
      <c r="S1549" s="1" t="s">
        <v>104</v>
      </c>
      <c r="X1549" s="1" t="s">
        <v>1312</v>
      </c>
      <c r="Y1549" s="443" t="str">
        <f t="shared" si="3208"/>
        <v>Pass</v>
      </c>
      <c r="Z1549" s="11" t="str">
        <f t="shared" si="3209"/>
        <v/>
      </c>
      <c r="AA1549" s="443" t="str">
        <f t="shared" si="3210"/>
        <v/>
      </c>
      <c r="AB1549" s="443" t="str">
        <f t="shared" si="3211"/>
        <v/>
      </c>
      <c r="AC1549" s="443"/>
      <c r="AD1549" s="443"/>
      <c r="AE1549" s="443"/>
    </row>
    <row r="1550" spans="2:31" x14ac:dyDescent="0.25">
      <c r="B1550" s="66">
        <v>42107</v>
      </c>
      <c r="C1550" s="66">
        <v>42107</v>
      </c>
      <c r="D1550" s="68">
        <f t="shared" ref="D1550" si="3242">IF(B1550&gt;0,MONTH(B1550),"False")</f>
        <v>4</v>
      </c>
      <c r="E1550" s="66" t="str">
        <f t="shared" ref="E1550" si="3243">YEAR(B1550) &amp; CHOOSE(D1550,"-Jan","-Feb","-Mar","-Apr","-May","-Jun","-Jul","-Aug","-Sep","-Oct","-Nov","-Dec")</f>
        <v>2015-Apr</v>
      </c>
      <c r="F1550" s="68">
        <f t="shared" ref="F1550" si="3244">IF(C1550&gt;0,MONTH(C1550),"False")</f>
        <v>4</v>
      </c>
      <c r="G1550" s="448" t="s">
        <v>87</v>
      </c>
      <c r="H1550" s="1" t="s">
        <v>280</v>
      </c>
      <c r="J1550" s="1" t="s">
        <v>78</v>
      </c>
      <c r="K1550" s="1" t="s">
        <v>78</v>
      </c>
      <c r="L1550" s="1" t="s">
        <v>79</v>
      </c>
      <c r="M1550" s="1" t="s">
        <v>2440</v>
      </c>
      <c r="N1550" s="1" t="s">
        <v>124</v>
      </c>
      <c r="O1550" s="1" t="s">
        <v>167</v>
      </c>
      <c r="R1550" s="422" t="s">
        <v>344</v>
      </c>
      <c r="Y1550" s="443" t="str">
        <f t="shared" si="3208"/>
        <v>Unknown</v>
      </c>
      <c r="Z1550" s="11" t="str">
        <f t="shared" si="3209"/>
        <v/>
      </c>
      <c r="AA1550" s="443" t="str">
        <f t="shared" si="3210"/>
        <v/>
      </c>
      <c r="AB1550" s="443" t="str">
        <f t="shared" si="3211"/>
        <v/>
      </c>
      <c r="AC1550" s="443"/>
      <c r="AD1550" s="443"/>
      <c r="AE1550" s="443"/>
    </row>
    <row r="1551" spans="2:31" x14ac:dyDescent="0.25">
      <c r="B1551" s="66">
        <v>42107</v>
      </c>
      <c r="C1551" s="66">
        <v>42107</v>
      </c>
      <c r="D1551" s="68">
        <f t="shared" ref="D1551" si="3245">IF(B1551&gt;0,MONTH(B1551),"False")</f>
        <v>4</v>
      </c>
      <c r="E1551" s="66" t="str">
        <f t="shared" ref="E1551" si="3246">YEAR(B1551) &amp; CHOOSE(D1551,"-Jan","-Feb","-Mar","-Apr","-May","-Jun","-Jul","-Aug","-Sep","-Oct","-Nov","-Dec")</f>
        <v>2015-Apr</v>
      </c>
      <c r="F1551" s="68">
        <f t="shared" ref="F1551" si="3247">IF(C1551&gt;0,MONTH(C1551),"False")</f>
        <v>4</v>
      </c>
      <c r="G1551" s="448" t="s">
        <v>87</v>
      </c>
      <c r="H1551" s="1" t="s">
        <v>166</v>
      </c>
      <c r="J1551" s="1" t="s">
        <v>78</v>
      </c>
      <c r="K1551" s="1" t="s">
        <v>84</v>
      </c>
      <c r="L1551" s="1" t="s">
        <v>83</v>
      </c>
      <c r="M1551" s="1" t="s">
        <v>2441</v>
      </c>
      <c r="N1551" s="1" t="s">
        <v>124</v>
      </c>
      <c r="O1551" s="1" t="s">
        <v>156</v>
      </c>
      <c r="R1551" s="422" t="s">
        <v>2442</v>
      </c>
      <c r="T1551" s="67" t="s">
        <v>110</v>
      </c>
      <c r="Y1551" s="443" t="str">
        <f t="shared" si="3208"/>
        <v>Unknown</v>
      </c>
      <c r="Z1551" s="11" t="str">
        <f t="shared" si="3209"/>
        <v/>
      </c>
      <c r="AA1551" s="443" t="str">
        <f t="shared" si="3210"/>
        <v/>
      </c>
      <c r="AB1551" s="443" t="str">
        <f t="shared" si="3211"/>
        <v/>
      </c>
      <c r="AC1551" s="443"/>
      <c r="AD1551" s="443"/>
      <c r="AE1551" s="443"/>
    </row>
    <row r="1552" spans="2:31" x14ac:dyDescent="0.25">
      <c r="B1552" s="66">
        <v>42107</v>
      </c>
      <c r="C1552" s="66">
        <v>42107</v>
      </c>
      <c r="D1552" s="68">
        <f t="shared" ref="D1552" si="3248">IF(B1552&gt;0,MONTH(B1552),"False")</f>
        <v>4</v>
      </c>
      <c r="E1552" s="66" t="str">
        <f t="shared" ref="E1552" si="3249">YEAR(B1552) &amp; CHOOSE(D1552,"-Jan","-Feb","-Mar","-Apr","-May","-Jun","-Jul","-Aug","-Sep","-Oct","-Nov","-Dec")</f>
        <v>2015-Apr</v>
      </c>
      <c r="F1552" s="68">
        <f t="shared" ref="F1552" si="3250">IF(C1552&gt;0,MONTH(C1552),"False")</f>
        <v>4</v>
      </c>
      <c r="G1552" s="448" t="s">
        <v>87</v>
      </c>
      <c r="H1552" s="448" t="s">
        <v>166</v>
      </c>
      <c r="I1552" s="448"/>
      <c r="J1552" s="448" t="s">
        <v>78</v>
      </c>
      <c r="K1552" s="1" t="s">
        <v>82</v>
      </c>
      <c r="L1552" s="1" t="s">
        <v>83</v>
      </c>
      <c r="M1552" s="1" t="s">
        <v>2443</v>
      </c>
      <c r="N1552" s="1" t="s">
        <v>124</v>
      </c>
      <c r="O1552" s="1" t="s">
        <v>343</v>
      </c>
      <c r="Q1552" s="2" t="s">
        <v>88</v>
      </c>
      <c r="R1552" s="422" t="s">
        <v>2444</v>
      </c>
      <c r="Y1552" s="443" t="str">
        <f t="shared" si="3208"/>
        <v>Obsolete</v>
      </c>
      <c r="Z1552" s="11">
        <f t="shared" si="3209"/>
        <v>42107</v>
      </c>
      <c r="AA1552" s="443" t="str">
        <f t="shared" si="3210"/>
        <v>2015 - 16</v>
      </c>
      <c r="AB1552" s="443">
        <f t="shared" si="3211"/>
        <v>2015</v>
      </c>
      <c r="AC1552" s="443"/>
      <c r="AD1552" s="443"/>
      <c r="AE1552" s="443"/>
    </row>
    <row r="1553" spans="2:31" x14ac:dyDescent="0.25">
      <c r="B1553" s="66">
        <v>42108</v>
      </c>
      <c r="C1553" s="66">
        <v>42108</v>
      </c>
      <c r="D1553" s="68">
        <f t="shared" ref="D1553" si="3251">IF(B1553&gt;0,MONTH(B1553),"False")</f>
        <v>4</v>
      </c>
      <c r="E1553" s="66" t="str">
        <f t="shared" ref="E1553" si="3252">YEAR(B1553) &amp; CHOOSE(D1553,"-Jan","-Feb","-Mar","-Apr","-May","-Jun","-Jul","-Aug","-Sep","-Oct","-Nov","-Dec")</f>
        <v>2015-Apr</v>
      </c>
      <c r="F1553" s="68">
        <f t="shared" ref="F1553" si="3253">IF(C1553&gt;0,MONTH(C1553),"False")</f>
        <v>4</v>
      </c>
      <c r="G1553" s="448" t="s">
        <v>87</v>
      </c>
      <c r="H1553" s="448" t="s">
        <v>166</v>
      </c>
      <c r="I1553" s="448"/>
      <c r="J1553" s="448" t="s">
        <v>78</v>
      </c>
      <c r="K1553" s="1" t="s">
        <v>78</v>
      </c>
      <c r="L1553" s="1" t="s">
        <v>83</v>
      </c>
      <c r="M1553" s="1" t="s">
        <v>2446</v>
      </c>
      <c r="N1553" s="1" t="s">
        <v>124</v>
      </c>
      <c r="O1553" s="1" t="s">
        <v>151</v>
      </c>
      <c r="Q1553" s="2" t="s">
        <v>88</v>
      </c>
      <c r="R1553" s="422" t="s">
        <v>2447</v>
      </c>
      <c r="Y1553" s="443" t="str">
        <f t="shared" si="3208"/>
        <v>Obsolete</v>
      </c>
      <c r="Z1553" s="11">
        <f t="shared" si="3209"/>
        <v>42108</v>
      </c>
      <c r="AA1553" s="443" t="str">
        <f t="shared" si="3210"/>
        <v>2015 - 16</v>
      </c>
      <c r="AB1553" s="443">
        <f t="shared" si="3211"/>
        <v>2015</v>
      </c>
      <c r="AC1553" s="443"/>
      <c r="AD1553" s="443"/>
      <c r="AE1553" s="443"/>
    </row>
    <row r="1554" spans="2:31" x14ac:dyDescent="0.25">
      <c r="B1554" s="66">
        <v>42109</v>
      </c>
      <c r="C1554" s="66">
        <v>42109</v>
      </c>
      <c r="D1554" s="68">
        <f t="shared" ref="D1554:D1555" si="3254">IF(B1554&gt;0,MONTH(B1554),"False")</f>
        <v>4</v>
      </c>
      <c r="E1554" s="66" t="str">
        <f t="shared" ref="E1554:E1555" si="3255">YEAR(B1554) &amp; CHOOSE(D1554,"-Jan","-Feb","-Mar","-Apr","-May","-Jun","-Jul","-Aug","-Sep","-Oct","-Nov","-Dec")</f>
        <v>2015-Apr</v>
      </c>
      <c r="F1554" s="68">
        <f t="shared" ref="F1554:F1555" si="3256">IF(C1554&gt;0,MONTH(C1554),"False")</f>
        <v>4</v>
      </c>
      <c r="G1554" s="449" t="s">
        <v>87</v>
      </c>
      <c r="H1554" s="449" t="s">
        <v>166</v>
      </c>
      <c r="I1554" s="449"/>
      <c r="J1554" s="449" t="s">
        <v>78</v>
      </c>
      <c r="K1554" s="1" t="s">
        <v>82</v>
      </c>
      <c r="L1554" s="1" t="s">
        <v>83</v>
      </c>
      <c r="M1554" s="1" t="s">
        <v>2448</v>
      </c>
      <c r="N1554" s="1" t="s">
        <v>124</v>
      </c>
      <c r="O1554" s="1" t="s">
        <v>343</v>
      </c>
      <c r="R1554" s="422" t="s">
        <v>2444</v>
      </c>
      <c r="T1554" s="67" t="s">
        <v>110</v>
      </c>
      <c r="Y1554" s="443" t="str">
        <f t="shared" si="3208"/>
        <v>Unknown</v>
      </c>
      <c r="Z1554" s="11" t="str">
        <f t="shared" si="3209"/>
        <v/>
      </c>
      <c r="AA1554" s="443" t="str">
        <f t="shared" si="3210"/>
        <v/>
      </c>
      <c r="AB1554" s="443" t="str">
        <f t="shared" si="3211"/>
        <v/>
      </c>
      <c r="AC1554" s="443"/>
      <c r="AD1554" s="443"/>
      <c r="AE1554" s="443"/>
    </row>
    <row r="1555" spans="2:31" x14ac:dyDescent="0.25">
      <c r="B1555" s="65">
        <v>42110</v>
      </c>
      <c r="C1555" s="66">
        <v>42110</v>
      </c>
      <c r="D1555" s="68">
        <f t="shared" si="3254"/>
        <v>4</v>
      </c>
      <c r="E1555" s="66" t="str">
        <f t="shared" si="3255"/>
        <v>2015-Apr</v>
      </c>
      <c r="F1555" s="68">
        <f t="shared" si="3256"/>
        <v>4</v>
      </c>
      <c r="G1555" s="450" t="s">
        <v>121</v>
      </c>
      <c r="H1555" s="1" t="s">
        <v>103</v>
      </c>
      <c r="J1555" s="1" t="s">
        <v>77</v>
      </c>
      <c r="K1555" s="1" t="s">
        <v>82</v>
      </c>
      <c r="L1555" s="1" t="s">
        <v>79</v>
      </c>
      <c r="M1555" s="1" t="s">
        <v>2449</v>
      </c>
      <c r="N1555" s="1" t="s">
        <v>124</v>
      </c>
      <c r="O1555" s="1" t="s">
        <v>507</v>
      </c>
      <c r="P1555" s="422" t="s">
        <v>351</v>
      </c>
      <c r="R1555" s="422" t="s">
        <v>361</v>
      </c>
      <c r="S1555" s="1" t="s">
        <v>104</v>
      </c>
      <c r="X1555" s="1" t="s">
        <v>1474</v>
      </c>
      <c r="Y1555" s="443" t="str">
        <f t="shared" si="3208"/>
        <v>Pass</v>
      </c>
      <c r="Z1555" s="11" t="str">
        <f t="shared" si="3209"/>
        <v/>
      </c>
      <c r="AA1555" s="443" t="str">
        <f t="shared" si="3210"/>
        <v/>
      </c>
      <c r="AB1555" s="443" t="str">
        <f t="shared" si="3211"/>
        <v/>
      </c>
      <c r="AC1555" s="443"/>
      <c r="AD1555" s="443"/>
      <c r="AE1555" s="443"/>
    </row>
    <row r="1556" spans="2:31" x14ac:dyDescent="0.25">
      <c r="B1556" s="65">
        <v>42110</v>
      </c>
      <c r="C1556" s="66">
        <v>42110</v>
      </c>
      <c r="D1556" s="68">
        <f t="shared" ref="D1556" si="3257">IF(B1556&gt;0,MONTH(B1556),"False")</f>
        <v>4</v>
      </c>
      <c r="E1556" s="66" t="str">
        <f t="shared" ref="E1556" si="3258">YEAR(B1556) &amp; CHOOSE(D1556,"-Jan","-Feb","-Mar","-Apr","-May","-Jun","-Jul","-Aug","-Sep","-Oct","-Nov","-Dec")</f>
        <v>2015-Apr</v>
      </c>
      <c r="F1556" s="68">
        <f t="shared" ref="F1556" si="3259">IF(C1556&gt;0,MONTH(C1556),"False")</f>
        <v>4</v>
      </c>
      <c r="G1556" s="450" t="s">
        <v>93</v>
      </c>
      <c r="H1556" s="450" t="s">
        <v>1745</v>
      </c>
      <c r="I1556" s="451" t="s">
        <v>2188</v>
      </c>
      <c r="J1556" s="1" t="s">
        <v>81</v>
      </c>
      <c r="K1556" s="1" t="s">
        <v>82</v>
      </c>
      <c r="L1556" s="1" t="s">
        <v>79</v>
      </c>
      <c r="M1556" s="1" t="s">
        <v>2450</v>
      </c>
      <c r="N1556" s="1" t="s">
        <v>124</v>
      </c>
      <c r="O1556" s="1" t="s">
        <v>2072</v>
      </c>
      <c r="P1556" s="422" t="s">
        <v>1823</v>
      </c>
      <c r="R1556" s="422" t="s">
        <v>1824</v>
      </c>
      <c r="Y1556" s="443" t="str">
        <f t="shared" si="3208"/>
        <v>Unknown</v>
      </c>
      <c r="Z1556" s="11" t="str">
        <f t="shared" si="3209"/>
        <v/>
      </c>
      <c r="AA1556" s="443" t="str">
        <f t="shared" si="3210"/>
        <v/>
      </c>
      <c r="AB1556" s="443" t="str">
        <f t="shared" si="3211"/>
        <v/>
      </c>
      <c r="AC1556" s="443"/>
      <c r="AD1556" s="443"/>
      <c r="AE1556" s="443"/>
    </row>
    <row r="1557" spans="2:31" x14ac:dyDescent="0.25">
      <c r="B1557" s="65">
        <v>42110</v>
      </c>
      <c r="C1557" s="66">
        <v>42110</v>
      </c>
      <c r="D1557" s="68">
        <f t="shared" ref="D1557:D1558" si="3260">IF(B1557&gt;0,MONTH(B1557),"False")</f>
        <v>4</v>
      </c>
      <c r="E1557" s="66" t="str">
        <f t="shared" ref="E1557:E1558" si="3261">YEAR(B1557) &amp; CHOOSE(D1557,"-Jan","-Feb","-Mar","-Apr","-May","-Jun","-Jul","-Aug","-Sep","-Oct","-Nov","-Dec")</f>
        <v>2015-Apr</v>
      </c>
      <c r="F1557" s="68">
        <f t="shared" ref="F1557:F1558" si="3262">IF(C1557&gt;0,MONTH(C1557),"False")</f>
        <v>4</v>
      </c>
      <c r="G1557" s="450" t="s">
        <v>121</v>
      </c>
      <c r="H1557" s="450" t="s">
        <v>1745</v>
      </c>
      <c r="I1557" s="451" t="s">
        <v>2384</v>
      </c>
      <c r="J1557" s="450" t="s">
        <v>81</v>
      </c>
      <c r="K1557" s="450" t="s">
        <v>82</v>
      </c>
      <c r="L1557" s="450" t="s">
        <v>79</v>
      </c>
      <c r="M1557" s="452" t="s">
        <v>2890</v>
      </c>
      <c r="N1557" s="1" t="s">
        <v>124</v>
      </c>
      <c r="O1557" s="1" t="s">
        <v>273</v>
      </c>
      <c r="P1557" s="422" t="s">
        <v>1823</v>
      </c>
      <c r="R1557" s="422" t="s">
        <v>1824</v>
      </c>
      <c r="S1557" s="1" t="s">
        <v>104</v>
      </c>
      <c r="T1557" s="67" t="s">
        <v>110</v>
      </c>
      <c r="X1557" s="1" t="s">
        <v>158</v>
      </c>
      <c r="Y1557" s="443" t="str">
        <f t="shared" si="3208"/>
        <v>Pass</v>
      </c>
      <c r="Z1557" s="11" t="str">
        <f t="shared" si="3209"/>
        <v/>
      </c>
      <c r="AA1557" s="443" t="str">
        <f t="shared" si="3210"/>
        <v/>
      </c>
      <c r="AB1557" s="443" t="str">
        <f t="shared" si="3211"/>
        <v/>
      </c>
      <c r="AC1557" s="443"/>
      <c r="AD1557" s="443"/>
      <c r="AE1557" s="443"/>
    </row>
    <row r="1558" spans="2:31" x14ac:dyDescent="0.25">
      <c r="B1558" s="66">
        <v>42110</v>
      </c>
      <c r="C1558" s="66">
        <v>42110</v>
      </c>
      <c r="D1558" s="68">
        <f t="shared" si="3260"/>
        <v>4</v>
      </c>
      <c r="E1558" s="66" t="str">
        <f t="shared" si="3261"/>
        <v>2015-Apr</v>
      </c>
      <c r="F1558" s="68">
        <f t="shared" si="3262"/>
        <v>4</v>
      </c>
      <c r="G1558" s="450" t="s">
        <v>112</v>
      </c>
      <c r="H1558" s="1" t="s">
        <v>28</v>
      </c>
      <c r="J1558" s="1" t="s">
        <v>78</v>
      </c>
      <c r="K1558" s="1" t="s">
        <v>78</v>
      </c>
      <c r="L1558" s="1" t="s">
        <v>79</v>
      </c>
      <c r="M1558" s="1" t="s">
        <v>2451</v>
      </c>
      <c r="N1558" s="1" t="s">
        <v>124</v>
      </c>
      <c r="O1558" s="1" t="s">
        <v>168</v>
      </c>
      <c r="R1558" s="422" t="s">
        <v>308</v>
      </c>
      <c r="S1558" s="1" t="s">
        <v>104</v>
      </c>
      <c r="X1558" s="1" t="s">
        <v>155</v>
      </c>
      <c r="Y1558" s="443" t="str">
        <f t="shared" si="3208"/>
        <v>Pass</v>
      </c>
      <c r="Z1558" s="11" t="str">
        <f t="shared" si="3209"/>
        <v/>
      </c>
      <c r="AA1558" s="443" t="str">
        <f t="shared" si="3210"/>
        <v/>
      </c>
      <c r="AB1558" s="443" t="str">
        <f t="shared" si="3211"/>
        <v/>
      </c>
      <c r="AC1558" s="443"/>
      <c r="AD1558" s="443"/>
      <c r="AE1558" s="443"/>
    </row>
    <row r="1559" spans="2:31" x14ac:dyDescent="0.25">
      <c r="B1559" s="65">
        <v>42111</v>
      </c>
      <c r="C1559" s="66">
        <v>42111</v>
      </c>
      <c r="D1559" s="68">
        <f t="shared" ref="D1559" si="3263">IF(B1559&gt;0,MONTH(B1559),"False")</f>
        <v>4</v>
      </c>
      <c r="E1559" s="66" t="str">
        <f t="shared" ref="E1559" si="3264">YEAR(B1559) &amp; CHOOSE(D1559,"-Jan","-Feb","-Mar","-Apr","-May","-Jun","-Jul","-Aug","-Sep","-Oct","-Nov","-Dec")</f>
        <v>2015-Apr</v>
      </c>
      <c r="F1559" s="68">
        <f t="shared" ref="F1559" si="3265">IF(C1559&gt;0,MONTH(C1559),"False")</f>
        <v>4</v>
      </c>
      <c r="G1559" s="451" t="s">
        <v>93</v>
      </c>
      <c r="H1559" s="1" t="s">
        <v>136</v>
      </c>
      <c r="J1559" s="1" t="s">
        <v>77</v>
      </c>
      <c r="K1559" s="1" t="s">
        <v>82</v>
      </c>
      <c r="L1559" s="1" t="s">
        <v>79</v>
      </c>
      <c r="M1559" s="1" t="s">
        <v>2452</v>
      </c>
      <c r="N1559" s="1" t="s">
        <v>124</v>
      </c>
      <c r="O1559" s="1" t="s">
        <v>114</v>
      </c>
      <c r="P1559" s="64" t="s">
        <v>750</v>
      </c>
      <c r="Q1559" s="2" t="s">
        <v>88</v>
      </c>
      <c r="R1559" s="422" t="s">
        <v>2117</v>
      </c>
      <c r="Y1559" s="443" t="str">
        <f t="shared" si="3208"/>
        <v>Obsolete</v>
      </c>
      <c r="Z1559" s="11">
        <f t="shared" si="3209"/>
        <v>42111</v>
      </c>
      <c r="AA1559" s="443" t="str">
        <f t="shared" si="3210"/>
        <v>2015 - 16</v>
      </c>
      <c r="AB1559" s="443">
        <f t="shared" si="3211"/>
        <v>2015</v>
      </c>
      <c r="AC1559" s="443"/>
      <c r="AD1559" s="443"/>
      <c r="AE1559" s="443"/>
    </row>
    <row r="1560" spans="2:31" x14ac:dyDescent="0.25">
      <c r="B1560" s="65">
        <v>42111</v>
      </c>
      <c r="C1560" s="66">
        <v>42111</v>
      </c>
      <c r="D1560" s="68">
        <f t="shared" ref="D1560" si="3266">IF(B1560&gt;0,MONTH(B1560),"False")</f>
        <v>4</v>
      </c>
      <c r="E1560" s="66" t="str">
        <f t="shared" ref="E1560" si="3267">YEAR(B1560) &amp; CHOOSE(D1560,"-Jan","-Feb","-Mar","-Apr","-May","-Jun","-Jul","-Aug","-Sep","-Oct","-Nov","-Dec")</f>
        <v>2015-Apr</v>
      </c>
      <c r="F1560" s="68">
        <f t="shared" ref="F1560" si="3268">IF(C1560&gt;0,MONTH(C1560),"False")</f>
        <v>4</v>
      </c>
      <c r="G1560" s="451" t="s">
        <v>121</v>
      </c>
      <c r="H1560" s="1" t="s">
        <v>280</v>
      </c>
      <c r="J1560" s="1" t="s">
        <v>81</v>
      </c>
      <c r="K1560" s="1" t="s">
        <v>82</v>
      </c>
      <c r="L1560" s="1" t="s">
        <v>79</v>
      </c>
      <c r="M1560" s="1" t="s">
        <v>2453</v>
      </c>
      <c r="N1560" s="1" t="s">
        <v>124</v>
      </c>
      <c r="O1560" s="1" t="s">
        <v>286</v>
      </c>
      <c r="P1560" s="422" t="s">
        <v>1559</v>
      </c>
      <c r="R1560" s="422" t="s">
        <v>305</v>
      </c>
      <c r="S1560" s="1" t="s">
        <v>104</v>
      </c>
      <c r="X1560" s="1" t="s">
        <v>2146</v>
      </c>
      <c r="Y1560" s="443" t="str">
        <f t="shared" si="3208"/>
        <v>Pass</v>
      </c>
      <c r="Z1560" s="11" t="str">
        <f t="shared" si="3209"/>
        <v/>
      </c>
      <c r="AA1560" s="443" t="str">
        <f t="shared" si="3210"/>
        <v/>
      </c>
      <c r="AB1560" s="443" t="str">
        <f t="shared" si="3211"/>
        <v/>
      </c>
      <c r="AC1560" s="443"/>
      <c r="AD1560" s="443"/>
      <c r="AE1560" s="443"/>
    </row>
    <row r="1561" spans="2:31" x14ac:dyDescent="0.25">
      <c r="B1561" s="65">
        <v>42111</v>
      </c>
      <c r="C1561" s="66">
        <v>42111</v>
      </c>
      <c r="D1561" s="68">
        <f t="shared" ref="D1561:D1562" si="3269">IF(B1561&gt;0,MONTH(B1561),"False")</f>
        <v>4</v>
      </c>
      <c r="E1561" s="66" t="str">
        <f t="shared" ref="E1561:E1562" si="3270">YEAR(B1561) &amp; CHOOSE(D1561,"-Jan","-Feb","-Mar","-Apr","-May","-Jun","-Jul","-Aug","-Sep","-Oct","-Nov","-Dec")</f>
        <v>2015-Apr</v>
      </c>
      <c r="F1561" s="68">
        <f t="shared" ref="F1561:F1562" si="3271">IF(C1561&gt;0,MONTH(C1561),"False")</f>
        <v>4</v>
      </c>
      <c r="G1561" s="451" t="s">
        <v>93</v>
      </c>
      <c r="H1561" s="451" t="s">
        <v>280</v>
      </c>
      <c r="I1561" s="451"/>
      <c r="J1561" s="451" t="s">
        <v>81</v>
      </c>
      <c r="K1561" s="451" t="s">
        <v>82</v>
      </c>
      <c r="L1561" s="451" t="s">
        <v>79</v>
      </c>
      <c r="M1561" s="1" t="s">
        <v>2454</v>
      </c>
      <c r="N1561" s="451" t="s">
        <v>124</v>
      </c>
      <c r="O1561" s="451" t="s">
        <v>286</v>
      </c>
      <c r="P1561" s="422" t="s">
        <v>1559</v>
      </c>
      <c r="R1561" s="422" t="s">
        <v>305</v>
      </c>
      <c r="Y1561" s="443" t="str">
        <f t="shared" si="3208"/>
        <v>Unknown</v>
      </c>
      <c r="Z1561" s="11" t="str">
        <f t="shared" si="3209"/>
        <v/>
      </c>
      <c r="AA1561" s="443" t="str">
        <f t="shared" si="3210"/>
        <v/>
      </c>
      <c r="AB1561" s="443" t="str">
        <f t="shared" si="3211"/>
        <v/>
      </c>
      <c r="AC1561" s="443"/>
      <c r="AD1561" s="443"/>
      <c r="AE1561" s="443"/>
    </row>
    <row r="1562" spans="2:31" x14ac:dyDescent="0.25">
      <c r="B1562" s="66">
        <v>42111</v>
      </c>
      <c r="C1562" s="66">
        <v>42111</v>
      </c>
      <c r="D1562" s="68">
        <f t="shared" si="3269"/>
        <v>4</v>
      </c>
      <c r="E1562" s="66" t="str">
        <f t="shared" si="3270"/>
        <v>2015-Apr</v>
      </c>
      <c r="F1562" s="68">
        <f t="shared" si="3271"/>
        <v>4</v>
      </c>
      <c r="G1562" s="451" t="s">
        <v>112</v>
      </c>
      <c r="H1562" s="451" t="s">
        <v>28</v>
      </c>
      <c r="J1562" s="1" t="s">
        <v>78</v>
      </c>
      <c r="K1562" s="1" t="s">
        <v>78</v>
      </c>
      <c r="L1562" s="1" t="s">
        <v>79</v>
      </c>
      <c r="M1562" s="1" t="s">
        <v>2455</v>
      </c>
      <c r="N1562" s="1" t="s">
        <v>124</v>
      </c>
      <c r="O1562" s="1" t="s">
        <v>332</v>
      </c>
      <c r="R1562" s="422" t="s">
        <v>475</v>
      </c>
      <c r="S1562" s="1" t="s">
        <v>104</v>
      </c>
      <c r="X1562" s="1" t="s">
        <v>2458</v>
      </c>
      <c r="Y1562" s="443" t="str">
        <f t="shared" si="3208"/>
        <v>Pass</v>
      </c>
      <c r="Z1562" s="11" t="str">
        <f t="shared" si="3209"/>
        <v/>
      </c>
      <c r="AA1562" s="443" t="str">
        <f t="shared" si="3210"/>
        <v/>
      </c>
      <c r="AB1562" s="443" t="str">
        <f t="shared" si="3211"/>
        <v/>
      </c>
      <c r="AC1562" s="443"/>
      <c r="AD1562" s="443"/>
      <c r="AE1562" s="443"/>
    </row>
    <row r="1563" spans="2:31" x14ac:dyDescent="0.25">
      <c r="B1563" s="65">
        <v>42111</v>
      </c>
      <c r="C1563" s="66">
        <v>42111</v>
      </c>
      <c r="D1563" s="68">
        <f t="shared" ref="D1563:D1564" si="3272">IF(B1563&gt;0,MONTH(B1563),"False")</f>
        <v>4</v>
      </c>
      <c r="E1563" s="66" t="str">
        <f t="shared" ref="E1563:E1564" si="3273">YEAR(B1563) &amp; CHOOSE(D1563,"-Jan","-Feb","-Mar","-Apr","-May","-Jun","-Jul","-Aug","-Sep","-Oct","-Nov","-Dec")</f>
        <v>2015-Apr</v>
      </c>
      <c r="F1563" s="68">
        <f t="shared" ref="F1563:F1564" si="3274">IF(C1563&gt;0,MONTH(C1563),"False")</f>
        <v>4</v>
      </c>
      <c r="G1563" s="451" t="s">
        <v>93</v>
      </c>
      <c r="H1563" s="451" t="s">
        <v>1745</v>
      </c>
      <c r="I1563" s="451" t="s">
        <v>2384</v>
      </c>
      <c r="J1563" s="1" t="s">
        <v>81</v>
      </c>
      <c r="K1563" s="1" t="s">
        <v>82</v>
      </c>
      <c r="L1563" s="1" t="s">
        <v>79</v>
      </c>
      <c r="M1563" s="1" t="s">
        <v>2456</v>
      </c>
      <c r="N1563" s="1" t="s">
        <v>124</v>
      </c>
      <c r="O1563" s="1" t="s">
        <v>273</v>
      </c>
      <c r="P1563" s="422" t="s">
        <v>1823</v>
      </c>
      <c r="R1563" s="422" t="s">
        <v>1824</v>
      </c>
      <c r="Y1563" s="443" t="str">
        <f t="shared" si="3208"/>
        <v>Unknown</v>
      </c>
      <c r="Z1563" s="11" t="str">
        <f t="shared" si="3209"/>
        <v/>
      </c>
      <c r="AA1563" s="443" t="str">
        <f t="shared" si="3210"/>
        <v/>
      </c>
      <c r="AB1563" s="443" t="str">
        <f t="shared" si="3211"/>
        <v/>
      </c>
      <c r="AC1563" s="443"/>
      <c r="AD1563" s="443"/>
      <c r="AE1563" s="443"/>
    </row>
    <row r="1564" spans="2:31" x14ac:dyDescent="0.25">
      <c r="B1564" s="66">
        <v>42111</v>
      </c>
      <c r="C1564" s="66">
        <v>42111</v>
      </c>
      <c r="D1564" s="68">
        <f t="shared" si="3272"/>
        <v>4</v>
      </c>
      <c r="E1564" s="66" t="str">
        <f t="shared" si="3273"/>
        <v>2015-Apr</v>
      </c>
      <c r="F1564" s="68">
        <f t="shared" si="3274"/>
        <v>4</v>
      </c>
      <c r="G1564" s="451" t="s">
        <v>87</v>
      </c>
      <c r="H1564" s="1" t="s">
        <v>280</v>
      </c>
      <c r="J1564" s="1" t="s">
        <v>78</v>
      </c>
      <c r="K1564" s="1" t="s">
        <v>78</v>
      </c>
      <c r="L1564" s="1" t="s">
        <v>79</v>
      </c>
      <c r="M1564" s="1" t="s">
        <v>2457</v>
      </c>
      <c r="N1564" s="1" t="s">
        <v>124</v>
      </c>
      <c r="O1564" s="1" t="s">
        <v>167</v>
      </c>
      <c r="R1564" s="64" t="s">
        <v>344</v>
      </c>
      <c r="Y1564" s="443" t="str">
        <f t="shared" si="3208"/>
        <v>Unknown</v>
      </c>
      <c r="Z1564" s="11" t="str">
        <f t="shared" si="3209"/>
        <v/>
      </c>
      <c r="AA1564" s="443" t="str">
        <f t="shared" si="3210"/>
        <v/>
      </c>
      <c r="AB1564" s="443" t="str">
        <f t="shared" si="3211"/>
        <v/>
      </c>
      <c r="AC1564" s="443"/>
      <c r="AD1564" s="443"/>
      <c r="AE1564" s="443"/>
    </row>
    <row r="1565" spans="2:31" x14ac:dyDescent="0.25">
      <c r="B1565" s="66">
        <v>42115</v>
      </c>
      <c r="C1565" s="66">
        <v>42115</v>
      </c>
      <c r="D1565" s="68">
        <f t="shared" ref="D1565" si="3275">IF(B1565&gt;0,MONTH(B1565),"False")</f>
        <v>4</v>
      </c>
      <c r="E1565" s="66" t="str">
        <f t="shared" ref="E1565" si="3276">YEAR(B1565) &amp; CHOOSE(D1565,"-Jan","-Feb","-Mar","-Apr","-May","-Jun","-Jul","-Aug","-Sep","-Oct","-Nov","-Dec")</f>
        <v>2015-Apr</v>
      </c>
      <c r="F1565" s="68">
        <f t="shared" ref="F1565" si="3277">IF(C1565&gt;0,MONTH(C1565),"False")</f>
        <v>4</v>
      </c>
      <c r="G1565" s="453" t="s">
        <v>87</v>
      </c>
      <c r="H1565" s="1" t="s">
        <v>166</v>
      </c>
      <c r="J1565" s="1" t="s">
        <v>333</v>
      </c>
      <c r="K1565" s="1" t="s">
        <v>84</v>
      </c>
      <c r="L1565" s="1" t="s">
        <v>83</v>
      </c>
      <c r="M1565" s="1" t="s">
        <v>2459</v>
      </c>
      <c r="N1565" s="1" t="s">
        <v>124</v>
      </c>
      <c r="O1565" s="1" t="s">
        <v>2410</v>
      </c>
      <c r="R1565" s="422" t="s">
        <v>346</v>
      </c>
      <c r="Y1565" s="443" t="str">
        <f t="shared" si="3208"/>
        <v>Unknown</v>
      </c>
      <c r="Z1565" s="11" t="str">
        <f t="shared" si="3209"/>
        <v/>
      </c>
      <c r="AA1565" s="443" t="str">
        <f t="shared" si="3210"/>
        <v/>
      </c>
      <c r="AB1565" s="443" t="str">
        <f t="shared" si="3211"/>
        <v/>
      </c>
      <c r="AC1565" s="443"/>
      <c r="AD1565" s="443"/>
      <c r="AE1565" s="443"/>
    </row>
    <row r="1566" spans="2:31" x14ac:dyDescent="0.25">
      <c r="B1566" s="66">
        <v>42115</v>
      </c>
      <c r="C1566" s="66">
        <v>42115</v>
      </c>
      <c r="D1566" s="68">
        <f t="shared" ref="D1566" si="3278">IF(B1566&gt;0,MONTH(B1566),"False")</f>
        <v>4</v>
      </c>
      <c r="E1566" s="66" t="str">
        <f t="shared" ref="E1566" si="3279">YEAR(B1566) &amp; CHOOSE(D1566,"-Jan","-Feb","-Mar","-Apr","-May","-Jun","-Jul","-Aug","-Sep","-Oct","-Nov","-Dec")</f>
        <v>2015-Apr</v>
      </c>
      <c r="F1566" s="68">
        <f t="shared" ref="F1566" si="3280">IF(C1566&gt;0,MONTH(C1566),"False")</f>
        <v>4</v>
      </c>
      <c r="G1566" s="453" t="s">
        <v>87</v>
      </c>
      <c r="H1566" s="1" t="s">
        <v>166</v>
      </c>
      <c r="J1566" s="1" t="s">
        <v>77</v>
      </c>
      <c r="K1566" s="1" t="s">
        <v>82</v>
      </c>
      <c r="L1566" s="1" t="s">
        <v>83</v>
      </c>
      <c r="M1566" s="1" t="s">
        <v>2460</v>
      </c>
      <c r="N1566" s="1" t="s">
        <v>124</v>
      </c>
      <c r="O1566" s="1" t="s">
        <v>162</v>
      </c>
      <c r="Q1566" s="2" t="s">
        <v>88</v>
      </c>
      <c r="R1566" s="422" t="s">
        <v>2461</v>
      </c>
      <c r="Y1566" s="443" t="str">
        <f t="shared" si="3208"/>
        <v>Obsolete</v>
      </c>
      <c r="Z1566" s="11">
        <f t="shared" si="3209"/>
        <v>42115</v>
      </c>
      <c r="AA1566" s="443" t="str">
        <f t="shared" si="3210"/>
        <v>2015 - 17</v>
      </c>
      <c r="AB1566" s="443">
        <f t="shared" si="3211"/>
        <v>2015</v>
      </c>
      <c r="AC1566" s="443"/>
      <c r="AD1566" s="443"/>
      <c r="AE1566" s="443"/>
    </row>
    <row r="1567" spans="2:31" x14ac:dyDescent="0.25">
      <c r="B1567" s="66">
        <v>42116</v>
      </c>
      <c r="C1567" s="66">
        <v>42116</v>
      </c>
      <c r="D1567" s="68">
        <f t="shared" ref="D1567" si="3281">IF(B1567&gt;0,MONTH(B1567),"False")</f>
        <v>4</v>
      </c>
      <c r="E1567" s="66" t="str">
        <f t="shared" ref="E1567" si="3282">YEAR(B1567) &amp; CHOOSE(D1567,"-Jan","-Feb","-Mar","-Apr","-May","-Jun","-Jul","-Aug","-Sep","-Oct","-Nov","-Dec")</f>
        <v>2015-Apr</v>
      </c>
      <c r="F1567" s="68">
        <f t="shared" ref="F1567" si="3283">IF(C1567&gt;0,MONTH(C1567),"False")</f>
        <v>4</v>
      </c>
      <c r="G1567" s="454" t="s">
        <v>112</v>
      </c>
      <c r="H1567" s="1" t="s">
        <v>280</v>
      </c>
      <c r="J1567" s="1" t="s">
        <v>333</v>
      </c>
      <c r="K1567" s="1" t="s">
        <v>84</v>
      </c>
      <c r="L1567" s="1" t="s">
        <v>83</v>
      </c>
      <c r="M1567" s="1" t="s">
        <v>2462</v>
      </c>
      <c r="N1567" s="1" t="s">
        <v>124</v>
      </c>
      <c r="O1567" s="1" t="s">
        <v>2410</v>
      </c>
      <c r="R1567" s="422" t="s">
        <v>1517</v>
      </c>
      <c r="S1567" s="1" t="s">
        <v>104</v>
      </c>
      <c r="X1567" s="1" t="s">
        <v>2552</v>
      </c>
      <c r="Y1567" s="443" t="str">
        <f t="shared" si="3208"/>
        <v>Pass</v>
      </c>
      <c r="Z1567" s="11" t="str">
        <f t="shared" si="3209"/>
        <v/>
      </c>
      <c r="AA1567" s="443" t="str">
        <f t="shared" si="3210"/>
        <v/>
      </c>
      <c r="AB1567" s="443" t="str">
        <f t="shared" si="3211"/>
        <v/>
      </c>
      <c r="AC1567" s="443"/>
      <c r="AD1567" s="443"/>
      <c r="AE1567" s="443"/>
    </row>
    <row r="1568" spans="2:31" x14ac:dyDescent="0.25">
      <c r="B1568" s="66">
        <v>42117</v>
      </c>
      <c r="C1568" s="66">
        <v>42117</v>
      </c>
      <c r="D1568" s="68">
        <f t="shared" ref="D1568" si="3284">IF(B1568&gt;0,MONTH(B1568),"False")</f>
        <v>4</v>
      </c>
      <c r="E1568" s="66" t="str">
        <f t="shared" ref="E1568" si="3285">YEAR(B1568) &amp; CHOOSE(D1568,"-Jan","-Feb","-Mar","-Apr","-May","-Jun","-Jul","-Aug","-Sep","-Oct","-Nov","-Dec")</f>
        <v>2015-Apr</v>
      </c>
      <c r="F1568" s="68">
        <f t="shared" ref="F1568" si="3286">IF(C1568&gt;0,MONTH(C1568),"False")</f>
        <v>4</v>
      </c>
      <c r="G1568" s="455" t="s">
        <v>87</v>
      </c>
      <c r="H1568" s="1" t="s">
        <v>166</v>
      </c>
      <c r="J1568" s="1" t="s">
        <v>333</v>
      </c>
      <c r="K1568" s="1" t="s">
        <v>82</v>
      </c>
      <c r="L1568" s="1" t="s">
        <v>83</v>
      </c>
      <c r="M1568" s="1" t="s">
        <v>2463</v>
      </c>
      <c r="N1568" s="1" t="s">
        <v>124</v>
      </c>
      <c r="O1568" s="1" t="s">
        <v>529</v>
      </c>
      <c r="R1568" s="422" t="s">
        <v>2297</v>
      </c>
      <c r="Y1568" s="443" t="str">
        <f t="shared" si="3208"/>
        <v>Unknown</v>
      </c>
      <c r="Z1568" s="11" t="str">
        <f t="shared" si="3209"/>
        <v/>
      </c>
      <c r="AA1568" s="443" t="str">
        <f t="shared" si="3210"/>
        <v/>
      </c>
      <c r="AB1568" s="443" t="str">
        <f t="shared" si="3211"/>
        <v/>
      </c>
      <c r="AC1568" s="443"/>
      <c r="AD1568" s="443"/>
      <c r="AE1568" s="443"/>
    </row>
    <row r="1569" spans="2:31" x14ac:dyDescent="0.25">
      <c r="B1569" s="66">
        <v>42117</v>
      </c>
      <c r="C1569" s="66">
        <v>42117</v>
      </c>
      <c r="D1569" s="68">
        <f t="shared" ref="D1569" si="3287">IF(B1569&gt;0,MONTH(B1569),"False")</f>
        <v>4</v>
      </c>
      <c r="E1569" s="66" t="str">
        <f t="shared" ref="E1569" si="3288">YEAR(B1569) &amp; CHOOSE(D1569,"-Jan","-Feb","-Mar","-Apr","-May","-Jun","-Jul","-Aug","-Sep","-Oct","-Nov","-Dec")</f>
        <v>2015-Apr</v>
      </c>
      <c r="F1569" s="68">
        <f t="shared" ref="F1569" si="3289">IF(C1569&gt;0,MONTH(C1569),"False")</f>
        <v>4</v>
      </c>
      <c r="G1569" s="455" t="s">
        <v>87</v>
      </c>
      <c r="H1569" s="1" t="s">
        <v>280</v>
      </c>
      <c r="J1569" s="1" t="s">
        <v>78</v>
      </c>
      <c r="K1569" s="1" t="s">
        <v>78</v>
      </c>
      <c r="L1569" s="1" t="s">
        <v>79</v>
      </c>
      <c r="M1569" s="1" t="s">
        <v>2464</v>
      </c>
      <c r="N1569" s="1" t="s">
        <v>124</v>
      </c>
      <c r="O1569" s="1" t="s">
        <v>167</v>
      </c>
      <c r="R1569" s="422" t="s">
        <v>344</v>
      </c>
      <c r="Y1569" s="443" t="str">
        <f t="shared" si="3208"/>
        <v>Unknown</v>
      </c>
      <c r="Z1569" s="11" t="str">
        <f t="shared" si="3209"/>
        <v/>
      </c>
      <c r="AA1569" s="443" t="str">
        <f t="shared" si="3210"/>
        <v/>
      </c>
      <c r="AB1569" s="443" t="str">
        <f t="shared" si="3211"/>
        <v/>
      </c>
      <c r="AC1569" s="443"/>
      <c r="AD1569" s="443"/>
      <c r="AE1569" s="443"/>
    </row>
    <row r="1570" spans="2:31" x14ac:dyDescent="0.25">
      <c r="B1570" s="65">
        <v>42117</v>
      </c>
      <c r="C1570" s="66">
        <v>42117</v>
      </c>
      <c r="D1570" s="68">
        <f t="shared" ref="D1570" si="3290">IF(B1570&gt;0,MONTH(B1570),"False")</f>
        <v>4</v>
      </c>
      <c r="E1570" s="66" t="str">
        <f t="shared" ref="E1570" si="3291">YEAR(B1570) &amp; CHOOSE(D1570,"-Jan","-Feb","-Mar","-Apr","-May","-Jun","-Jul","-Aug","-Sep","-Oct","-Nov","-Dec")</f>
        <v>2015-Apr</v>
      </c>
      <c r="F1570" s="68">
        <f t="shared" ref="F1570" si="3292">IF(C1570&gt;0,MONTH(C1570),"False")</f>
        <v>4</v>
      </c>
      <c r="G1570" s="455" t="s">
        <v>121</v>
      </c>
      <c r="H1570" s="1" t="s">
        <v>280</v>
      </c>
      <c r="J1570" s="1" t="s">
        <v>146</v>
      </c>
      <c r="K1570" s="1" t="s">
        <v>82</v>
      </c>
      <c r="L1570" s="1" t="s">
        <v>79</v>
      </c>
      <c r="M1570" s="1" t="s">
        <v>2465</v>
      </c>
      <c r="N1570" s="1" t="s">
        <v>124</v>
      </c>
      <c r="O1570" s="1" t="s">
        <v>286</v>
      </c>
      <c r="P1570" s="422" t="s">
        <v>1559</v>
      </c>
      <c r="R1570" s="422" t="s">
        <v>305</v>
      </c>
      <c r="S1570" s="1" t="s">
        <v>104</v>
      </c>
      <c r="X1570" s="1" t="s">
        <v>2510</v>
      </c>
      <c r="Y1570" s="443" t="str">
        <f t="shared" si="3208"/>
        <v>Pass</v>
      </c>
      <c r="Z1570" s="11" t="str">
        <f t="shared" si="3209"/>
        <v/>
      </c>
      <c r="AA1570" s="443" t="str">
        <f t="shared" si="3210"/>
        <v/>
      </c>
      <c r="AB1570" s="443" t="str">
        <f t="shared" si="3211"/>
        <v/>
      </c>
      <c r="AC1570" s="443"/>
      <c r="AD1570" s="443"/>
      <c r="AE1570" s="443"/>
    </row>
    <row r="1571" spans="2:31" x14ac:dyDescent="0.25">
      <c r="B1571" s="65">
        <v>42117</v>
      </c>
      <c r="C1571" s="66">
        <v>42117</v>
      </c>
      <c r="D1571" s="68">
        <f t="shared" ref="D1571" si="3293">IF(B1571&gt;0,MONTH(B1571),"False")</f>
        <v>4</v>
      </c>
      <c r="E1571" s="66" t="str">
        <f t="shared" ref="E1571" si="3294">YEAR(B1571) &amp; CHOOSE(D1571,"-Jan","-Feb","-Mar","-Apr","-May","-Jun","-Jul","-Aug","-Sep","-Oct","-Nov","-Dec")</f>
        <v>2015-Apr</v>
      </c>
      <c r="F1571" s="68">
        <f t="shared" ref="F1571" si="3295">IF(C1571&gt;0,MONTH(C1571),"False")</f>
        <v>4</v>
      </c>
      <c r="G1571" s="455" t="s">
        <v>93</v>
      </c>
      <c r="H1571" s="455" t="s">
        <v>280</v>
      </c>
      <c r="J1571" s="1" t="s">
        <v>81</v>
      </c>
      <c r="K1571" s="1" t="s">
        <v>82</v>
      </c>
      <c r="L1571" s="1" t="s">
        <v>79</v>
      </c>
      <c r="M1571" s="1" t="s">
        <v>2466</v>
      </c>
      <c r="N1571" s="1" t="s">
        <v>124</v>
      </c>
      <c r="O1571" s="1" t="s">
        <v>286</v>
      </c>
      <c r="P1571" s="422" t="s">
        <v>305</v>
      </c>
      <c r="Q1571" s="2" t="s">
        <v>88</v>
      </c>
      <c r="R1571" s="422" t="s">
        <v>1559</v>
      </c>
      <c r="Y1571" s="443" t="str">
        <f t="shared" si="3208"/>
        <v>Obsolete</v>
      </c>
      <c r="Z1571" s="11">
        <f t="shared" si="3209"/>
        <v>42117</v>
      </c>
      <c r="AA1571" s="443" t="str">
        <f t="shared" si="3210"/>
        <v>2015 - 17</v>
      </c>
      <c r="AB1571" s="443">
        <f t="shared" si="3211"/>
        <v>2015</v>
      </c>
      <c r="AC1571" s="443"/>
      <c r="AD1571" s="443"/>
      <c r="AE1571" s="443"/>
    </row>
    <row r="1572" spans="2:31" x14ac:dyDescent="0.25">
      <c r="B1572" s="66">
        <v>42117</v>
      </c>
      <c r="C1572" s="66">
        <v>42117</v>
      </c>
      <c r="D1572" s="68">
        <f t="shared" ref="D1572:D1573" si="3296">IF(B1572&gt;0,MONTH(B1572),"False")</f>
        <v>4</v>
      </c>
      <c r="E1572" s="66" t="str">
        <f t="shared" ref="E1572:E1573" si="3297">YEAR(B1572) &amp; CHOOSE(D1572,"-Jan","-Feb","-Mar","-Apr","-May","-Jun","-Jul","-Aug","-Sep","-Oct","-Nov","-Dec")</f>
        <v>2015-Apr</v>
      </c>
      <c r="F1572" s="68">
        <f t="shared" ref="F1572:F1573" si="3298">IF(C1572&gt;0,MONTH(C1572),"False")</f>
        <v>4</v>
      </c>
      <c r="G1572" s="455" t="s">
        <v>112</v>
      </c>
      <c r="H1572" s="1" t="s">
        <v>1685</v>
      </c>
      <c r="J1572" s="1" t="s">
        <v>77</v>
      </c>
      <c r="K1572" s="1" t="s">
        <v>82</v>
      </c>
      <c r="L1572" s="1" t="s">
        <v>83</v>
      </c>
      <c r="M1572" s="1" t="s">
        <v>2467</v>
      </c>
      <c r="N1572" s="1" t="s">
        <v>124</v>
      </c>
      <c r="O1572" s="1" t="s">
        <v>353</v>
      </c>
      <c r="R1572" s="422" t="s">
        <v>2004</v>
      </c>
      <c r="S1572" s="1" t="s">
        <v>104</v>
      </c>
      <c r="X1572" s="1" t="s">
        <v>300</v>
      </c>
      <c r="Y1572" s="443" t="str">
        <f t="shared" si="3208"/>
        <v>Pass</v>
      </c>
      <c r="Z1572" s="11" t="str">
        <f t="shared" si="3209"/>
        <v/>
      </c>
      <c r="AA1572" s="443" t="str">
        <f t="shared" si="3210"/>
        <v/>
      </c>
      <c r="AB1572" s="443" t="str">
        <f t="shared" si="3211"/>
        <v/>
      </c>
      <c r="AC1572" s="443"/>
      <c r="AD1572" s="443"/>
      <c r="AE1572" s="443"/>
    </row>
    <row r="1573" spans="2:31" x14ac:dyDescent="0.25">
      <c r="B1573" s="65">
        <v>42117</v>
      </c>
      <c r="C1573" s="66">
        <v>42117</v>
      </c>
      <c r="D1573" s="68">
        <f t="shared" si="3296"/>
        <v>4</v>
      </c>
      <c r="E1573" s="66" t="str">
        <f t="shared" si="3297"/>
        <v>2015-Apr</v>
      </c>
      <c r="F1573" s="68">
        <f t="shared" si="3298"/>
        <v>4</v>
      </c>
      <c r="G1573" s="455" t="s">
        <v>93</v>
      </c>
      <c r="H1573" s="455" t="s">
        <v>1745</v>
      </c>
      <c r="I1573" s="455" t="s">
        <v>2384</v>
      </c>
      <c r="J1573" s="1" t="s">
        <v>81</v>
      </c>
      <c r="K1573" s="1" t="s">
        <v>82</v>
      </c>
      <c r="L1573" s="1" t="s">
        <v>79</v>
      </c>
      <c r="M1573" s="1" t="s">
        <v>2468</v>
      </c>
      <c r="N1573" s="1" t="s">
        <v>124</v>
      </c>
      <c r="O1573" s="1" t="s">
        <v>147</v>
      </c>
      <c r="P1573" s="422" t="s">
        <v>1823</v>
      </c>
      <c r="R1573" s="422" t="s">
        <v>1824</v>
      </c>
      <c r="Y1573" s="443" t="str">
        <f t="shared" si="3208"/>
        <v>Unknown</v>
      </c>
      <c r="Z1573" s="11" t="str">
        <f t="shared" si="3209"/>
        <v/>
      </c>
      <c r="AA1573" s="443" t="str">
        <f t="shared" si="3210"/>
        <v/>
      </c>
      <c r="AB1573" s="443" t="str">
        <f t="shared" si="3211"/>
        <v/>
      </c>
      <c r="AC1573" s="443"/>
      <c r="AD1573" s="443"/>
      <c r="AE1573" s="443"/>
    </row>
    <row r="1574" spans="2:31" x14ac:dyDescent="0.25">
      <c r="B1574" s="65">
        <v>42118</v>
      </c>
      <c r="C1574" s="66">
        <v>42118</v>
      </c>
      <c r="D1574" s="68">
        <f t="shared" ref="D1574" si="3299">IF(B1574&gt;0,MONTH(B1574),"False")</f>
        <v>4</v>
      </c>
      <c r="E1574" s="66" t="str">
        <f t="shared" ref="E1574" si="3300">YEAR(B1574) &amp; CHOOSE(D1574,"-Jan","-Feb","-Mar","-Apr","-May","-Jun","-Jul","-Aug","-Sep","-Oct","-Nov","-Dec")</f>
        <v>2015-Apr</v>
      </c>
      <c r="F1574" s="68">
        <f t="shared" ref="F1574" si="3301">IF(C1574&gt;0,MONTH(C1574),"False")</f>
        <v>4</v>
      </c>
      <c r="G1574" s="456" t="s">
        <v>93</v>
      </c>
      <c r="H1574" s="1" t="s">
        <v>280</v>
      </c>
      <c r="J1574" s="1" t="s">
        <v>146</v>
      </c>
      <c r="K1574" s="1" t="s">
        <v>82</v>
      </c>
      <c r="L1574" s="1" t="s">
        <v>79</v>
      </c>
      <c r="M1574" s="1" t="s">
        <v>2469</v>
      </c>
      <c r="N1574" s="1" t="s">
        <v>124</v>
      </c>
      <c r="O1574" s="1" t="s">
        <v>286</v>
      </c>
      <c r="P1574" s="422" t="s">
        <v>305</v>
      </c>
      <c r="R1574" s="422" t="s">
        <v>1559</v>
      </c>
      <c r="Y1574" s="443" t="str">
        <f t="shared" si="3208"/>
        <v>Unknown</v>
      </c>
      <c r="Z1574" s="11" t="str">
        <f t="shared" si="3209"/>
        <v/>
      </c>
      <c r="AA1574" s="443" t="str">
        <f t="shared" si="3210"/>
        <v/>
      </c>
      <c r="AB1574" s="443" t="str">
        <f t="shared" si="3211"/>
        <v/>
      </c>
      <c r="AC1574" s="443"/>
      <c r="AD1574" s="443"/>
      <c r="AE1574" s="443"/>
    </row>
    <row r="1575" spans="2:31" x14ac:dyDescent="0.25">
      <c r="B1575" s="65">
        <v>42118</v>
      </c>
      <c r="C1575" s="66">
        <v>42118</v>
      </c>
      <c r="D1575" s="68">
        <f t="shared" ref="D1575:D1576" si="3302">IF(B1575&gt;0,MONTH(B1575),"False")</f>
        <v>4</v>
      </c>
      <c r="E1575" s="66" t="str">
        <f t="shared" ref="E1575:E1576" si="3303">YEAR(B1575) &amp; CHOOSE(D1575,"-Jan","-Feb","-Mar","-Apr","-May","-Jun","-Jul","-Aug","-Sep","-Oct","-Nov","-Dec")</f>
        <v>2015-Apr</v>
      </c>
      <c r="F1575" s="68">
        <f t="shared" ref="F1575:F1576" si="3304">IF(C1575&gt;0,MONTH(C1575),"False")</f>
        <v>4</v>
      </c>
      <c r="G1575" s="456" t="s">
        <v>93</v>
      </c>
      <c r="H1575" s="1" t="s">
        <v>280</v>
      </c>
      <c r="J1575" s="1" t="s">
        <v>81</v>
      </c>
      <c r="K1575" s="1" t="s">
        <v>82</v>
      </c>
      <c r="L1575" s="1" t="s">
        <v>79</v>
      </c>
      <c r="M1575" s="1" t="s">
        <v>2470</v>
      </c>
      <c r="N1575" s="1" t="s">
        <v>124</v>
      </c>
      <c r="O1575" s="1" t="s">
        <v>286</v>
      </c>
      <c r="P1575" s="422" t="s">
        <v>1559</v>
      </c>
      <c r="R1575" s="422" t="s">
        <v>305</v>
      </c>
      <c r="Y1575" s="443" t="str">
        <f t="shared" si="3208"/>
        <v>Unknown</v>
      </c>
      <c r="Z1575" s="11" t="str">
        <f t="shared" si="3209"/>
        <v/>
      </c>
      <c r="AA1575" s="443" t="str">
        <f t="shared" si="3210"/>
        <v/>
      </c>
      <c r="AB1575" s="443" t="str">
        <f t="shared" si="3211"/>
        <v/>
      </c>
      <c r="AC1575" s="443"/>
      <c r="AD1575" s="443"/>
      <c r="AE1575" s="443"/>
    </row>
    <row r="1576" spans="2:31" x14ac:dyDescent="0.25">
      <c r="B1576" s="66">
        <v>42118</v>
      </c>
      <c r="C1576" s="66">
        <v>42118</v>
      </c>
      <c r="D1576" s="68">
        <f t="shared" si="3302"/>
        <v>4</v>
      </c>
      <c r="E1576" s="66" t="str">
        <f t="shared" si="3303"/>
        <v>2015-Apr</v>
      </c>
      <c r="F1576" s="68">
        <f t="shared" si="3304"/>
        <v>4</v>
      </c>
      <c r="G1576" s="456" t="s">
        <v>87</v>
      </c>
      <c r="H1576" s="1" t="s">
        <v>280</v>
      </c>
      <c r="J1576" s="1" t="s">
        <v>78</v>
      </c>
      <c r="K1576" s="1" t="s">
        <v>78</v>
      </c>
      <c r="L1576" s="1" t="s">
        <v>79</v>
      </c>
      <c r="M1576" s="1" t="s">
        <v>2471</v>
      </c>
      <c r="N1576" s="1" t="s">
        <v>124</v>
      </c>
      <c r="O1576" s="1" t="s">
        <v>167</v>
      </c>
      <c r="R1576" s="422" t="s">
        <v>344</v>
      </c>
      <c r="Y1576" s="443" t="str">
        <f t="shared" si="3208"/>
        <v>Unknown</v>
      </c>
      <c r="Z1576" s="11" t="str">
        <f t="shared" si="3209"/>
        <v/>
      </c>
      <c r="AA1576" s="443" t="str">
        <f t="shared" si="3210"/>
        <v/>
      </c>
      <c r="AB1576" s="443" t="str">
        <f t="shared" si="3211"/>
        <v/>
      </c>
      <c r="AC1576" s="443"/>
      <c r="AD1576" s="443"/>
      <c r="AE1576" s="443"/>
    </row>
    <row r="1577" spans="2:31" x14ac:dyDescent="0.25">
      <c r="B1577" s="66">
        <v>42118</v>
      </c>
      <c r="C1577" s="66">
        <v>42118</v>
      </c>
      <c r="D1577" s="68">
        <f t="shared" ref="D1577:D1578" si="3305">IF(B1577&gt;0,MONTH(B1577),"False")</f>
        <v>4</v>
      </c>
      <c r="E1577" s="66" t="str">
        <f t="shared" ref="E1577:E1578" si="3306">YEAR(B1577) &amp; CHOOSE(D1577,"-Jan","-Feb","-Mar","-Apr","-May","-Jun","-Jul","-Aug","-Sep","-Oct","-Nov","-Dec")</f>
        <v>2015-Apr</v>
      </c>
      <c r="F1577" s="68">
        <f t="shared" ref="F1577:F1578" si="3307">IF(C1577&gt;0,MONTH(C1577),"False")</f>
        <v>4</v>
      </c>
      <c r="G1577" s="456" t="s">
        <v>87</v>
      </c>
      <c r="H1577" s="1" t="s">
        <v>166</v>
      </c>
      <c r="J1577" s="1" t="s">
        <v>149</v>
      </c>
      <c r="K1577" s="1" t="s">
        <v>84</v>
      </c>
      <c r="L1577" s="1" t="s">
        <v>83</v>
      </c>
      <c r="M1577" s="1" t="s">
        <v>2472</v>
      </c>
      <c r="N1577" s="1" t="s">
        <v>124</v>
      </c>
      <c r="O1577" s="1" t="s">
        <v>264</v>
      </c>
      <c r="Q1577" s="2" t="s">
        <v>88</v>
      </c>
      <c r="R1577" s="422" t="s">
        <v>2473</v>
      </c>
      <c r="Y1577" s="443" t="str">
        <f t="shared" si="3208"/>
        <v>Obsolete</v>
      </c>
      <c r="Z1577" s="11">
        <f t="shared" si="3209"/>
        <v>42118</v>
      </c>
      <c r="AA1577" s="443" t="str">
        <f t="shared" si="3210"/>
        <v>2015 - 17</v>
      </c>
      <c r="AB1577" s="443">
        <f t="shared" si="3211"/>
        <v>2015</v>
      </c>
      <c r="AC1577" s="443"/>
      <c r="AD1577" s="443"/>
      <c r="AE1577" s="443"/>
    </row>
    <row r="1578" spans="2:31" x14ac:dyDescent="0.25">
      <c r="B1578" s="65">
        <v>42118</v>
      </c>
      <c r="C1578" s="66">
        <v>42118</v>
      </c>
      <c r="D1578" s="68">
        <f t="shared" si="3305"/>
        <v>4</v>
      </c>
      <c r="E1578" s="66" t="str">
        <f t="shared" si="3306"/>
        <v>2015-Apr</v>
      </c>
      <c r="F1578" s="68">
        <f t="shared" si="3307"/>
        <v>4</v>
      </c>
      <c r="G1578" s="456" t="s">
        <v>93</v>
      </c>
      <c r="H1578" s="1" t="s">
        <v>280</v>
      </c>
      <c r="J1578" s="1" t="s">
        <v>81</v>
      </c>
      <c r="K1578" s="1" t="s">
        <v>82</v>
      </c>
      <c r="L1578" s="1" t="s">
        <v>79</v>
      </c>
      <c r="M1578" s="1" t="s">
        <v>2474</v>
      </c>
      <c r="N1578" s="1" t="s">
        <v>124</v>
      </c>
      <c r="O1578" s="1" t="s">
        <v>286</v>
      </c>
      <c r="P1578" s="422" t="s">
        <v>305</v>
      </c>
      <c r="R1578" s="422" t="s">
        <v>1559</v>
      </c>
      <c r="Y1578" s="443" t="str">
        <f t="shared" si="3208"/>
        <v>Unknown</v>
      </c>
      <c r="Z1578" s="11" t="str">
        <f t="shared" si="3209"/>
        <v/>
      </c>
      <c r="AA1578" s="443" t="str">
        <f t="shared" si="3210"/>
        <v/>
      </c>
      <c r="AB1578" s="443" t="str">
        <f t="shared" si="3211"/>
        <v/>
      </c>
      <c r="AC1578" s="443"/>
      <c r="AD1578" s="443"/>
      <c r="AE1578" s="443"/>
    </row>
    <row r="1579" spans="2:31" x14ac:dyDescent="0.25">
      <c r="B1579" s="65">
        <v>42118</v>
      </c>
      <c r="C1579" s="66">
        <v>42118</v>
      </c>
      <c r="D1579" s="68">
        <f t="shared" ref="D1579:D1580" si="3308">IF(B1579&gt;0,MONTH(B1579),"False")</f>
        <v>4</v>
      </c>
      <c r="E1579" s="66" t="str">
        <f t="shared" ref="E1579:E1580" si="3309">YEAR(B1579) &amp; CHOOSE(D1579,"-Jan","-Feb","-Mar","-Apr","-May","-Jun","-Jul","-Aug","-Sep","-Oct","-Nov","-Dec")</f>
        <v>2015-Apr</v>
      </c>
      <c r="F1579" s="68">
        <f t="shared" ref="F1579:F1580" si="3310">IF(C1579&gt;0,MONTH(C1579),"False")</f>
        <v>4</v>
      </c>
      <c r="G1579" s="456" t="s">
        <v>93</v>
      </c>
      <c r="H1579" s="456" t="s">
        <v>280</v>
      </c>
      <c r="I1579" s="456"/>
      <c r="J1579" s="456" t="s">
        <v>81</v>
      </c>
      <c r="K1579" s="456" t="s">
        <v>82</v>
      </c>
      <c r="L1579" s="456" t="s">
        <v>79</v>
      </c>
      <c r="M1579" s="1" t="s">
        <v>2475</v>
      </c>
      <c r="N1579" s="456" t="s">
        <v>124</v>
      </c>
      <c r="O1579" s="456" t="s">
        <v>286</v>
      </c>
      <c r="P1579" s="422" t="s">
        <v>305</v>
      </c>
      <c r="R1579" s="422" t="s">
        <v>1559</v>
      </c>
      <c r="Y1579" s="443" t="str">
        <f t="shared" si="3208"/>
        <v>Unknown</v>
      </c>
      <c r="Z1579" s="11" t="str">
        <f t="shared" si="3209"/>
        <v/>
      </c>
      <c r="AA1579" s="443" t="str">
        <f t="shared" si="3210"/>
        <v/>
      </c>
      <c r="AB1579" s="443" t="str">
        <f t="shared" si="3211"/>
        <v/>
      </c>
      <c r="AC1579" s="443"/>
      <c r="AD1579" s="443"/>
      <c r="AE1579" s="443"/>
    </row>
    <row r="1580" spans="2:31" x14ac:dyDescent="0.25">
      <c r="B1580" s="66">
        <v>42118</v>
      </c>
      <c r="C1580" s="66">
        <v>42118</v>
      </c>
      <c r="D1580" s="68">
        <f t="shared" si="3308"/>
        <v>4</v>
      </c>
      <c r="E1580" s="66" t="str">
        <f t="shared" si="3309"/>
        <v>2015-Apr</v>
      </c>
      <c r="F1580" s="68">
        <f t="shared" si="3310"/>
        <v>4</v>
      </c>
      <c r="G1580" s="456" t="s">
        <v>87</v>
      </c>
      <c r="H1580" s="1" t="s">
        <v>2091</v>
      </c>
      <c r="J1580" s="1" t="s">
        <v>77</v>
      </c>
      <c r="K1580" s="1" t="s">
        <v>82</v>
      </c>
      <c r="L1580" s="1" t="s">
        <v>79</v>
      </c>
      <c r="M1580" s="1" t="s">
        <v>2476</v>
      </c>
      <c r="N1580" s="1" t="s">
        <v>124</v>
      </c>
      <c r="O1580" s="1" t="s">
        <v>114</v>
      </c>
      <c r="Q1580" s="2" t="s">
        <v>88</v>
      </c>
      <c r="R1580" s="422" t="s">
        <v>2092</v>
      </c>
      <c r="Y1580" s="443" t="str">
        <f t="shared" si="3208"/>
        <v>Obsolete</v>
      </c>
      <c r="Z1580" s="11">
        <f t="shared" si="3209"/>
        <v>42118</v>
      </c>
      <c r="AA1580" s="443" t="str">
        <f t="shared" si="3210"/>
        <v>2015 - 17</v>
      </c>
      <c r="AB1580" s="443">
        <f t="shared" si="3211"/>
        <v>2015</v>
      </c>
      <c r="AC1580" s="443"/>
      <c r="AD1580" s="443"/>
      <c r="AE1580" s="443"/>
    </row>
    <row r="1581" spans="2:31" x14ac:dyDescent="0.25">
      <c r="B1581" s="66">
        <v>42121</v>
      </c>
      <c r="C1581" s="66">
        <v>42121</v>
      </c>
      <c r="D1581" s="68">
        <f t="shared" ref="D1581:D1582" si="3311">IF(B1581&gt;0,MONTH(B1581),"False")</f>
        <v>4</v>
      </c>
      <c r="E1581" s="66" t="str">
        <f t="shared" ref="E1581:E1582" si="3312">YEAR(B1581) &amp; CHOOSE(D1581,"-Jan","-Feb","-Mar","-Apr","-May","-Jun","-Jul","-Aug","-Sep","-Oct","-Nov","-Dec")</f>
        <v>2015-Apr</v>
      </c>
      <c r="F1581" s="68">
        <f t="shared" ref="F1581:F1582" si="3313">IF(C1581&gt;0,MONTH(C1581),"False")</f>
        <v>4</v>
      </c>
      <c r="G1581" s="457" t="s">
        <v>87</v>
      </c>
      <c r="H1581" s="1" t="s">
        <v>280</v>
      </c>
      <c r="J1581" s="1" t="s">
        <v>78</v>
      </c>
      <c r="K1581" s="1" t="s">
        <v>78</v>
      </c>
      <c r="L1581" s="1" t="s">
        <v>79</v>
      </c>
      <c r="M1581" s="1" t="s">
        <v>2477</v>
      </c>
      <c r="N1581" s="1" t="s">
        <v>124</v>
      </c>
      <c r="O1581" s="1" t="s">
        <v>167</v>
      </c>
      <c r="R1581" s="64" t="s">
        <v>344</v>
      </c>
      <c r="Y1581" s="443" t="str">
        <f t="shared" si="3208"/>
        <v>Unknown</v>
      </c>
      <c r="Z1581" s="11" t="str">
        <f t="shared" si="3209"/>
        <v/>
      </c>
      <c r="AA1581" s="443" t="str">
        <f t="shared" si="3210"/>
        <v/>
      </c>
      <c r="AB1581" s="443" t="str">
        <f t="shared" si="3211"/>
        <v/>
      </c>
      <c r="AC1581" s="443"/>
      <c r="AD1581" s="443"/>
      <c r="AE1581" s="443"/>
    </row>
    <row r="1582" spans="2:31" x14ac:dyDescent="0.25">
      <c r="B1582" s="65">
        <v>42122</v>
      </c>
      <c r="C1582" s="66">
        <v>42122</v>
      </c>
      <c r="D1582" s="68">
        <f t="shared" si="3311"/>
        <v>4</v>
      </c>
      <c r="E1582" s="66" t="str">
        <f t="shared" si="3312"/>
        <v>2015-Apr</v>
      </c>
      <c r="F1582" s="68">
        <f t="shared" si="3313"/>
        <v>4</v>
      </c>
      <c r="G1582" s="1" t="s">
        <v>75</v>
      </c>
      <c r="H1582" s="458" t="s">
        <v>1745</v>
      </c>
      <c r="I1582" s="458" t="s">
        <v>2188</v>
      </c>
      <c r="J1582" s="1" t="s">
        <v>81</v>
      </c>
      <c r="K1582" s="1" t="s">
        <v>82</v>
      </c>
      <c r="L1582" s="1" t="s">
        <v>79</v>
      </c>
      <c r="M1582" s="1" t="s">
        <v>2478</v>
      </c>
      <c r="N1582" s="1" t="s">
        <v>124</v>
      </c>
      <c r="O1582" s="1" t="s">
        <v>147</v>
      </c>
      <c r="P1582" s="422" t="s">
        <v>1823</v>
      </c>
      <c r="Y1582" s="443" t="str">
        <f t="shared" si="3208"/>
        <v>Unknown</v>
      </c>
      <c r="Z1582" s="11" t="str">
        <f t="shared" si="3209"/>
        <v/>
      </c>
      <c r="AA1582" s="443" t="str">
        <f t="shared" si="3210"/>
        <v/>
      </c>
      <c r="AB1582" s="443" t="str">
        <f t="shared" si="3211"/>
        <v/>
      </c>
      <c r="AC1582" s="443"/>
      <c r="AD1582" s="443"/>
      <c r="AE1582" s="443"/>
    </row>
    <row r="1583" spans="2:31" x14ac:dyDescent="0.25">
      <c r="B1583" s="66">
        <v>42122</v>
      </c>
      <c r="C1583" s="66">
        <v>42122</v>
      </c>
      <c r="D1583" s="68">
        <f t="shared" ref="D1583" si="3314">IF(B1583&gt;0,MONTH(B1583),"False")</f>
        <v>4</v>
      </c>
      <c r="E1583" s="66" t="str">
        <f t="shared" ref="E1583" si="3315">YEAR(B1583) &amp; CHOOSE(D1583,"-Jan","-Feb","-Mar","-Apr","-May","-Jun","-Jul","-Aug","-Sep","-Oct","-Nov","-Dec")</f>
        <v>2015-Apr</v>
      </c>
      <c r="F1583" s="68">
        <f t="shared" ref="F1583" si="3316">IF(C1583&gt;0,MONTH(C1583),"False")</f>
        <v>4</v>
      </c>
      <c r="G1583" s="458" t="s">
        <v>87</v>
      </c>
      <c r="H1583" s="1" t="s">
        <v>166</v>
      </c>
      <c r="J1583" s="458" t="s">
        <v>260</v>
      </c>
      <c r="K1583" s="1" t="s">
        <v>84</v>
      </c>
      <c r="L1583" s="1" t="s">
        <v>79</v>
      </c>
      <c r="M1583" s="1" t="s">
        <v>2479</v>
      </c>
      <c r="N1583" s="1" t="s">
        <v>124</v>
      </c>
      <c r="O1583" s="1" t="s">
        <v>148</v>
      </c>
      <c r="R1583" s="422" t="s">
        <v>2114</v>
      </c>
      <c r="Y1583" s="443" t="str">
        <f t="shared" si="3208"/>
        <v>Unknown</v>
      </c>
      <c r="Z1583" s="11" t="str">
        <f t="shared" si="3209"/>
        <v/>
      </c>
      <c r="AA1583" s="443" t="str">
        <f t="shared" si="3210"/>
        <v/>
      </c>
      <c r="AB1583" s="443" t="str">
        <f t="shared" si="3211"/>
        <v/>
      </c>
      <c r="AC1583" s="443"/>
      <c r="AD1583" s="443"/>
      <c r="AE1583" s="443"/>
    </row>
    <row r="1584" spans="2:31" x14ac:dyDescent="0.25">
      <c r="B1584" s="66">
        <v>42123</v>
      </c>
      <c r="C1584" s="66">
        <v>42123</v>
      </c>
      <c r="D1584" s="68">
        <f t="shared" ref="D1584" si="3317">IF(B1584&gt;0,MONTH(B1584),"False")</f>
        <v>4</v>
      </c>
      <c r="E1584" s="66" t="str">
        <f t="shared" ref="E1584" si="3318">YEAR(B1584) &amp; CHOOSE(D1584,"-Jan","-Feb","-Mar","-Apr","-May","-Jun","-Jul","-Aug","-Sep","-Oct","-Nov","-Dec")</f>
        <v>2015-Apr</v>
      </c>
      <c r="F1584" s="68">
        <f t="shared" ref="F1584" si="3319">IF(C1584&gt;0,MONTH(C1584),"False")</f>
        <v>4</v>
      </c>
      <c r="G1584" s="459" t="s">
        <v>87</v>
      </c>
      <c r="H1584" s="1" t="s">
        <v>166</v>
      </c>
      <c r="J1584" s="1" t="s">
        <v>78</v>
      </c>
      <c r="K1584" s="1" t="s">
        <v>78</v>
      </c>
      <c r="L1584" s="1" t="s">
        <v>83</v>
      </c>
      <c r="M1584" s="1" t="s">
        <v>2480</v>
      </c>
      <c r="N1584" s="1" t="s">
        <v>124</v>
      </c>
      <c r="O1584" s="1" t="s">
        <v>151</v>
      </c>
      <c r="R1584" s="422" t="s">
        <v>2447</v>
      </c>
      <c r="T1584" s="67" t="s">
        <v>110</v>
      </c>
      <c r="Y1584" s="443" t="str">
        <f t="shared" si="3208"/>
        <v>Unknown</v>
      </c>
      <c r="Z1584" s="11" t="str">
        <f t="shared" si="3209"/>
        <v/>
      </c>
      <c r="AA1584" s="443" t="str">
        <f t="shared" si="3210"/>
        <v/>
      </c>
      <c r="AB1584" s="443" t="str">
        <f t="shared" si="3211"/>
        <v/>
      </c>
      <c r="AC1584" s="443"/>
      <c r="AD1584" s="443"/>
      <c r="AE1584" s="443"/>
    </row>
    <row r="1585" spans="2:31" x14ac:dyDescent="0.25">
      <c r="B1585" s="66">
        <v>42123</v>
      </c>
      <c r="C1585" s="66">
        <v>42123</v>
      </c>
      <c r="D1585" s="68">
        <f t="shared" ref="D1585" si="3320">IF(B1585&gt;0,MONTH(B1585),"False")</f>
        <v>4</v>
      </c>
      <c r="E1585" s="66" t="str">
        <f t="shared" ref="E1585" si="3321">YEAR(B1585) &amp; CHOOSE(D1585,"-Jan","-Feb","-Mar","-Apr","-May","-Jun","-Jul","-Aug","-Sep","-Oct","-Nov","-Dec")</f>
        <v>2015-Apr</v>
      </c>
      <c r="F1585" s="68">
        <f t="shared" ref="F1585" si="3322">IF(C1585&gt;0,MONTH(C1585),"False")</f>
        <v>4</v>
      </c>
      <c r="G1585" s="459" t="s">
        <v>87</v>
      </c>
      <c r="H1585" s="1" t="s">
        <v>2484</v>
      </c>
      <c r="J1585" s="1" t="s">
        <v>98</v>
      </c>
      <c r="K1585" s="1" t="s">
        <v>84</v>
      </c>
      <c r="L1585" s="1" t="s">
        <v>83</v>
      </c>
      <c r="M1585" s="1" t="s">
        <v>2481</v>
      </c>
      <c r="N1585" s="1" t="s">
        <v>124</v>
      </c>
      <c r="O1585" s="1" t="s">
        <v>2020</v>
      </c>
      <c r="R1585" s="422" t="s">
        <v>2482</v>
      </c>
      <c r="Y1585" s="443" t="str">
        <f t="shared" si="3208"/>
        <v>Unknown</v>
      </c>
      <c r="Z1585" s="11" t="str">
        <f t="shared" si="3209"/>
        <v/>
      </c>
      <c r="AA1585" s="443" t="str">
        <f t="shared" si="3210"/>
        <v/>
      </c>
      <c r="AB1585" s="443" t="str">
        <f t="shared" si="3211"/>
        <v/>
      </c>
      <c r="AC1585" s="443"/>
      <c r="AD1585" s="443"/>
      <c r="AE1585" s="443"/>
    </row>
    <row r="1586" spans="2:31" x14ac:dyDescent="0.25">
      <c r="B1586" s="66">
        <v>42123</v>
      </c>
      <c r="C1586" s="66">
        <v>42123</v>
      </c>
      <c r="D1586" s="68">
        <f t="shared" ref="D1586:D1587" si="3323">IF(B1586&gt;0,MONTH(B1586),"False")</f>
        <v>4</v>
      </c>
      <c r="E1586" s="66" t="str">
        <f t="shared" ref="E1586:E1587" si="3324">YEAR(B1586) &amp; CHOOSE(D1586,"-Jan","-Feb","-Mar","-Apr","-May","-Jun","-Jul","-Aug","-Sep","-Oct","-Nov","-Dec")</f>
        <v>2015-Apr</v>
      </c>
      <c r="F1586" s="68">
        <f t="shared" ref="F1586:F1587" si="3325">IF(C1586&gt;0,MONTH(C1586),"False")</f>
        <v>4</v>
      </c>
      <c r="G1586" s="459" t="s">
        <v>112</v>
      </c>
      <c r="H1586" s="1" t="s">
        <v>1685</v>
      </c>
      <c r="J1586" s="1" t="s">
        <v>260</v>
      </c>
      <c r="K1586" s="1" t="s">
        <v>84</v>
      </c>
      <c r="L1586" s="1" t="s">
        <v>83</v>
      </c>
      <c r="M1586" s="1" t="s">
        <v>2483</v>
      </c>
      <c r="N1586" s="1" t="s">
        <v>124</v>
      </c>
      <c r="O1586" s="1" t="s">
        <v>148</v>
      </c>
      <c r="R1586" s="422" t="s">
        <v>2000</v>
      </c>
      <c r="S1586" s="1" t="s">
        <v>104</v>
      </c>
      <c r="X1586" s="1" t="s">
        <v>300</v>
      </c>
      <c r="Y1586" s="443" t="str">
        <f t="shared" si="3208"/>
        <v>Pass</v>
      </c>
      <c r="Z1586" s="11" t="str">
        <f t="shared" si="3209"/>
        <v/>
      </c>
      <c r="AA1586" s="443" t="str">
        <f t="shared" si="3210"/>
        <v/>
      </c>
      <c r="AB1586" s="443" t="str">
        <f t="shared" si="3211"/>
        <v/>
      </c>
      <c r="AC1586" s="443"/>
      <c r="AD1586" s="443"/>
      <c r="AE1586" s="443"/>
    </row>
    <row r="1587" spans="2:31" x14ac:dyDescent="0.25">
      <c r="B1587" s="65">
        <v>42123</v>
      </c>
      <c r="C1587" s="66">
        <v>42123</v>
      </c>
      <c r="D1587" s="68">
        <f t="shared" si="3323"/>
        <v>4</v>
      </c>
      <c r="E1587" s="66" t="str">
        <f t="shared" si="3324"/>
        <v>2015-Apr</v>
      </c>
      <c r="F1587" s="68">
        <f t="shared" si="3325"/>
        <v>4</v>
      </c>
      <c r="G1587" s="459" t="s">
        <v>121</v>
      </c>
      <c r="H1587" s="459" t="s">
        <v>1745</v>
      </c>
      <c r="I1587" s="459" t="s">
        <v>2188</v>
      </c>
      <c r="J1587" s="1" t="s">
        <v>81</v>
      </c>
      <c r="K1587" s="1" t="s">
        <v>82</v>
      </c>
      <c r="L1587" s="1" t="s">
        <v>79</v>
      </c>
      <c r="M1587" s="1" t="s">
        <v>2485</v>
      </c>
      <c r="N1587" s="1" t="s">
        <v>124</v>
      </c>
      <c r="O1587" s="1" t="s">
        <v>2072</v>
      </c>
      <c r="P1587" s="422" t="s">
        <v>1823</v>
      </c>
      <c r="S1587" s="1" t="s">
        <v>104</v>
      </c>
      <c r="X1587" s="1" t="s">
        <v>2655</v>
      </c>
      <c r="Y1587" s="443" t="str">
        <f t="shared" si="3208"/>
        <v>Pass</v>
      </c>
      <c r="Z1587" s="11" t="str">
        <f t="shared" si="3209"/>
        <v/>
      </c>
      <c r="AA1587" s="443" t="str">
        <f t="shared" si="3210"/>
        <v/>
      </c>
      <c r="AB1587" s="443" t="str">
        <f t="shared" si="3211"/>
        <v/>
      </c>
      <c r="AC1587" s="443"/>
      <c r="AD1587" s="443"/>
      <c r="AE1587" s="443"/>
    </row>
    <row r="1588" spans="2:31" x14ac:dyDescent="0.25">
      <c r="B1588" s="66">
        <v>42124</v>
      </c>
      <c r="C1588" s="66">
        <v>42124</v>
      </c>
      <c r="D1588" s="68">
        <f t="shared" ref="D1588" si="3326">IF(B1588&gt;0,MONTH(B1588),"False")</f>
        <v>4</v>
      </c>
      <c r="E1588" s="66" t="str">
        <f t="shared" ref="E1588" si="3327">YEAR(B1588) &amp; CHOOSE(D1588,"-Jan","-Feb","-Mar","-Apr","-May","-Jun","-Jul","-Aug","-Sep","-Oct","-Nov","-Dec")</f>
        <v>2015-Apr</v>
      </c>
      <c r="F1588" s="68">
        <f t="shared" ref="F1588" si="3328">IF(C1588&gt;0,MONTH(C1588),"False")</f>
        <v>4</v>
      </c>
      <c r="G1588" s="460" t="s">
        <v>87</v>
      </c>
      <c r="H1588" s="460" t="s">
        <v>2484</v>
      </c>
      <c r="J1588" s="1" t="s">
        <v>149</v>
      </c>
      <c r="K1588" s="1" t="s">
        <v>84</v>
      </c>
      <c r="L1588" s="1" t="s">
        <v>83</v>
      </c>
      <c r="M1588" s="1" t="s">
        <v>2486</v>
      </c>
      <c r="N1588" s="1" t="s">
        <v>124</v>
      </c>
      <c r="O1588" s="1" t="s">
        <v>148</v>
      </c>
      <c r="R1588" s="422" t="s">
        <v>2482</v>
      </c>
      <c r="Y1588" s="443" t="str">
        <f t="shared" si="3208"/>
        <v>Unknown</v>
      </c>
      <c r="Z1588" s="11" t="str">
        <f t="shared" si="3209"/>
        <v/>
      </c>
      <c r="AA1588" s="443" t="str">
        <f t="shared" si="3210"/>
        <v/>
      </c>
      <c r="AB1588" s="443" t="str">
        <f t="shared" si="3211"/>
        <v/>
      </c>
      <c r="AC1588" s="443"/>
      <c r="AD1588" s="443"/>
      <c r="AE1588" s="443"/>
    </row>
    <row r="1589" spans="2:31" s="460" customFormat="1" x14ac:dyDescent="0.25">
      <c r="B1589" s="66">
        <v>42124</v>
      </c>
      <c r="C1589" s="66">
        <v>42124</v>
      </c>
      <c r="D1589" s="68">
        <f t="shared" ref="D1589:D1590" si="3329">IF(B1589&gt;0,MONTH(B1589),"False")</f>
        <v>4</v>
      </c>
      <c r="E1589" s="66" t="str">
        <f t="shared" ref="E1589:E1590" si="3330">YEAR(B1589) &amp; CHOOSE(D1589,"-Jan","-Feb","-Mar","-Apr","-May","-Jun","-Jul","-Aug","-Sep","-Oct","-Nov","-Dec")</f>
        <v>2015-Apr</v>
      </c>
      <c r="F1589" s="68">
        <f t="shared" ref="F1589:F1590" si="3331">IF(C1589&gt;0,MONTH(C1589),"False")</f>
        <v>4</v>
      </c>
      <c r="G1589" s="460" t="s">
        <v>87</v>
      </c>
      <c r="H1589" s="460" t="s">
        <v>2484</v>
      </c>
      <c r="J1589" s="460" t="s">
        <v>260</v>
      </c>
      <c r="K1589" s="460" t="s">
        <v>84</v>
      </c>
      <c r="L1589" s="460" t="s">
        <v>83</v>
      </c>
      <c r="M1589" s="460" t="s">
        <v>2487</v>
      </c>
      <c r="N1589" s="460" t="s">
        <v>124</v>
      </c>
      <c r="O1589" s="460" t="s">
        <v>148</v>
      </c>
      <c r="Q1589" s="2"/>
      <c r="R1589" s="422" t="s">
        <v>2482</v>
      </c>
      <c r="T1589" s="67"/>
      <c r="Y1589" s="460" t="str">
        <f t="shared" ref="Y1589:Y1590" si="3332">IF(Q1589&gt;0,"Obsolete",IF(S1589&gt;0,S1589,"Unknown"))</f>
        <v>Unknown</v>
      </c>
      <c r="Z1589" s="11" t="str">
        <f t="shared" ref="Z1589:Z1590" si="3333">IF(Q1589="Obsolete-LQA",C1589,IF(Q1589="Obsolete-IT",B1589,""))</f>
        <v/>
      </c>
      <c r="AA1589" s="460" t="str">
        <f t="shared" ref="AA1589:AA1590" si="3334">IFERROR(YEAR(Z1589)&amp;" - "&amp; IF(LEN( WEEKNUM(Z1589))=1,"0" &amp; WEEKNUM(Z1589),WEEKNUM(Z1589)),"")</f>
        <v/>
      </c>
      <c r="AB1589" s="460" t="str">
        <f t="shared" ref="AB1589:AB1590" si="3335">IFERROR(YEAR(Z1589),"")</f>
        <v/>
      </c>
    </row>
    <row r="1590" spans="2:31" s="460" customFormat="1" x14ac:dyDescent="0.25">
      <c r="B1590" s="66">
        <v>42124</v>
      </c>
      <c r="C1590" s="66">
        <v>42124</v>
      </c>
      <c r="D1590" s="68">
        <f t="shared" si="3329"/>
        <v>4</v>
      </c>
      <c r="E1590" s="66" t="str">
        <f t="shared" si="3330"/>
        <v>2015-Apr</v>
      </c>
      <c r="F1590" s="68">
        <f t="shared" si="3331"/>
        <v>4</v>
      </c>
      <c r="G1590" s="460" t="s">
        <v>87</v>
      </c>
      <c r="H1590" s="460" t="s">
        <v>2484</v>
      </c>
      <c r="J1590" s="460" t="s">
        <v>333</v>
      </c>
      <c r="K1590" s="460" t="s">
        <v>84</v>
      </c>
      <c r="L1590" s="460" t="s">
        <v>83</v>
      </c>
      <c r="M1590" s="460" t="s">
        <v>2488</v>
      </c>
      <c r="N1590" s="460" t="s">
        <v>124</v>
      </c>
      <c r="O1590" s="460" t="s">
        <v>148</v>
      </c>
      <c r="Q1590" s="2"/>
      <c r="R1590" s="422" t="s">
        <v>2482</v>
      </c>
      <c r="T1590" s="67"/>
      <c r="Y1590" s="460" t="str">
        <f t="shared" si="3332"/>
        <v>Unknown</v>
      </c>
      <c r="Z1590" s="11" t="str">
        <f t="shared" si="3333"/>
        <v/>
      </c>
      <c r="AA1590" s="460" t="str">
        <f t="shared" si="3334"/>
        <v/>
      </c>
      <c r="AB1590" s="460" t="str">
        <f t="shared" si="3335"/>
        <v/>
      </c>
    </row>
    <row r="1591" spans="2:31" s="460" customFormat="1" x14ac:dyDescent="0.25">
      <c r="B1591" s="66">
        <v>42124</v>
      </c>
      <c r="C1591" s="66">
        <v>42124</v>
      </c>
      <c r="D1591" s="68">
        <f t="shared" ref="D1591" si="3336">IF(B1591&gt;0,MONTH(B1591),"False")</f>
        <v>4</v>
      </c>
      <c r="E1591" s="66" t="str">
        <f t="shared" ref="E1591" si="3337">YEAR(B1591) &amp; CHOOSE(D1591,"-Jan","-Feb","-Mar","-Apr","-May","-Jun","-Jul","-Aug","-Sep","-Oct","-Nov","-Dec")</f>
        <v>2015-Apr</v>
      </c>
      <c r="F1591" s="68">
        <f t="shared" ref="F1591" si="3338">IF(C1591&gt;0,MONTH(C1591),"False")</f>
        <v>4</v>
      </c>
      <c r="G1591" s="460" t="s">
        <v>87</v>
      </c>
      <c r="H1591" s="460" t="s">
        <v>2484</v>
      </c>
      <c r="J1591" s="460" t="s">
        <v>150</v>
      </c>
      <c r="K1591" s="460" t="s">
        <v>84</v>
      </c>
      <c r="L1591" s="460" t="s">
        <v>83</v>
      </c>
      <c r="M1591" s="460" t="s">
        <v>2489</v>
      </c>
      <c r="N1591" s="460" t="s">
        <v>124</v>
      </c>
      <c r="O1591" s="460" t="s">
        <v>2020</v>
      </c>
      <c r="Q1591" s="2"/>
      <c r="R1591" s="422" t="s">
        <v>2482</v>
      </c>
      <c r="T1591" s="67"/>
      <c r="Y1591" s="460" t="str">
        <f t="shared" ref="Y1591" si="3339">IF(Q1591&gt;0,"Obsolete",IF(S1591&gt;0,S1591,"Unknown"))</f>
        <v>Unknown</v>
      </c>
      <c r="Z1591" s="11" t="str">
        <f t="shared" ref="Z1591" si="3340">IF(Q1591="Obsolete-LQA",C1591,IF(Q1591="Obsolete-IT",B1591,""))</f>
        <v/>
      </c>
      <c r="AA1591" s="460" t="str">
        <f t="shared" ref="AA1591" si="3341">IFERROR(YEAR(Z1591)&amp;" - "&amp; IF(LEN( WEEKNUM(Z1591))=1,"0" &amp; WEEKNUM(Z1591),WEEKNUM(Z1591)),"")</f>
        <v/>
      </c>
      <c r="AB1591" s="460" t="str">
        <f t="shared" ref="AB1591" si="3342">IFERROR(YEAR(Z1591),"")</f>
        <v/>
      </c>
    </row>
    <row r="1592" spans="2:31" s="460" customFormat="1" x14ac:dyDescent="0.25">
      <c r="B1592" s="66">
        <v>42124</v>
      </c>
      <c r="C1592" s="66">
        <v>42124</v>
      </c>
      <c r="D1592" s="68">
        <f t="shared" ref="D1592" si="3343">IF(B1592&gt;0,MONTH(B1592),"False")</f>
        <v>4</v>
      </c>
      <c r="E1592" s="66" t="str">
        <f t="shared" ref="E1592" si="3344">YEAR(B1592) &amp; CHOOSE(D1592,"-Jan","-Feb","-Mar","-Apr","-May","-Jun","-Jul","-Aug","-Sep","-Oct","-Nov","-Dec")</f>
        <v>2015-Apr</v>
      </c>
      <c r="F1592" s="68">
        <f t="shared" ref="F1592" si="3345">IF(C1592&gt;0,MONTH(C1592),"False")</f>
        <v>4</v>
      </c>
      <c r="G1592" s="460" t="s">
        <v>87</v>
      </c>
      <c r="H1592" s="460" t="s">
        <v>2484</v>
      </c>
      <c r="J1592" s="460" t="s">
        <v>149</v>
      </c>
      <c r="K1592" s="460" t="s">
        <v>84</v>
      </c>
      <c r="L1592" s="460" t="s">
        <v>83</v>
      </c>
      <c r="M1592" s="460" t="s">
        <v>2491</v>
      </c>
      <c r="N1592" s="460" t="s">
        <v>124</v>
      </c>
      <c r="O1592" s="460" t="s">
        <v>148</v>
      </c>
      <c r="Q1592" s="2"/>
      <c r="R1592" s="422" t="s">
        <v>2482</v>
      </c>
      <c r="T1592" s="67"/>
      <c r="Y1592" s="460" t="str">
        <f t="shared" ref="Y1592" si="3346">IF(Q1592&gt;0,"Obsolete",IF(S1592&gt;0,S1592,"Unknown"))</f>
        <v>Unknown</v>
      </c>
      <c r="Z1592" s="11" t="str">
        <f t="shared" ref="Z1592" si="3347">IF(Q1592="Obsolete-LQA",C1592,IF(Q1592="Obsolete-IT",B1592,""))</f>
        <v/>
      </c>
      <c r="AA1592" s="460" t="str">
        <f t="shared" ref="AA1592" si="3348">IFERROR(YEAR(Z1592)&amp;" - "&amp; IF(LEN( WEEKNUM(Z1592))=1,"0" &amp; WEEKNUM(Z1592),WEEKNUM(Z1592)),"")</f>
        <v/>
      </c>
      <c r="AB1592" s="460" t="str">
        <f t="shared" ref="AB1592" si="3349">IFERROR(YEAR(Z1592),"")</f>
        <v/>
      </c>
    </row>
    <row r="1593" spans="2:31" x14ac:dyDescent="0.25">
      <c r="B1593" s="66">
        <v>42124</v>
      </c>
      <c r="C1593" s="66">
        <v>42124</v>
      </c>
      <c r="D1593" s="68">
        <f t="shared" ref="D1593:D1594" si="3350">IF(B1593&gt;0,MONTH(B1593),"False")</f>
        <v>4</v>
      </c>
      <c r="E1593" s="66" t="str">
        <f t="shared" ref="E1593:E1594" si="3351">YEAR(B1593) &amp; CHOOSE(D1593,"-Jan","-Feb","-Mar","-Apr","-May","-Jun","-Jul","-Aug","-Sep","-Oct","-Nov","-Dec")</f>
        <v>2015-Apr</v>
      </c>
      <c r="F1593" s="68">
        <f t="shared" ref="F1593:F1594" si="3352">IF(C1593&gt;0,MONTH(C1593),"False")</f>
        <v>4</v>
      </c>
      <c r="G1593" s="460" t="s">
        <v>87</v>
      </c>
      <c r="H1593" s="1" t="s">
        <v>280</v>
      </c>
      <c r="J1593" s="1" t="s">
        <v>78</v>
      </c>
      <c r="K1593" s="1" t="s">
        <v>78</v>
      </c>
      <c r="L1593" s="1" t="s">
        <v>79</v>
      </c>
      <c r="M1593" s="1" t="s">
        <v>2490</v>
      </c>
      <c r="N1593" s="1" t="s">
        <v>124</v>
      </c>
      <c r="O1593" s="1" t="s">
        <v>167</v>
      </c>
      <c r="R1593" s="422" t="s">
        <v>344</v>
      </c>
      <c r="T1593" s="67" t="s">
        <v>110</v>
      </c>
      <c r="Y1593" s="443" t="str">
        <f t="shared" si="3208"/>
        <v>Unknown</v>
      </c>
      <c r="Z1593" s="11" t="str">
        <f t="shared" si="3209"/>
        <v/>
      </c>
      <c r="AA1593" s="443" t="str">
        <f t="shared" si="3210"/>
        <v/>
      </c>
      <c r="AB1593" s="443" t="str">
        <f t="shared" si="3211"/>
        <v/>
      </c>
      <c r="AC1593" s="443"/>
      <c r="AD1593" s="443"/>
      <c r="AE1593" s="443"/>
    </row>
    <row r="1594" spans="2:31" x14ac:dyDescent="0.25">
      <c r="B1594" s="65">
        <v>42125</v>
      </c>
      <c r="C1594" s="66">
        <v>42124</v>
      </c>
      <c r="D1594" s="68">
        <f t="shared" si="3350"/>
        <v>5</v>
      </c>
      <c r="E1594" s="66" t="str">
        <f t="shared" si="3351"/>
        <v>2015-May</v>
      </c>
      <c r="F1594" s="68">
        <f t="shared" si="3352"/>
        <v>4</v>
      </c>
      <c r="G1594" s="461" t="s">
        <v>75</v>
      </c>
      <c r="H1594" s="461" t="s">
        <v>1745</v>
      </c>
      <c r="I1594" s="463" t="s">
        <v>2502</v>
      </c>
      <c r="J1594" s="1" t="s">
        <v>81</v>
      </c>
      <c r="K1594" s="1" t="s">
        <v>82</v>
      </c>
      <c r="L1594" s="1" t="s">
        <v>79</v>
      </c>
      <c r="M1594" s="1" t="s">
        <v>2492</v>
      </c>
      <c r="N1594" s="1" t="s">
        <v>124</v>
      </c>
      <c r="O1594" s="1" t="s">
        <v>265</v>
      </c>
      <c r="P1594" s="422" t="s">
        <v>1823</v>
      </c>
      <c r="Y1594" s="443" t="str">
        <f t="shared" si="3208"/>
        <v>Unknown</v>
      </c>
      <c r="Z1594" s="11" t="str">
        <f t="shared" si="3209"/>
        <v/>
      </c>
      <c r="AA1594" s="443" t="str">
        <f t="shared" si="3210"/>
        <v/>
      </c>
      <c r="AB1594" s="443" t="str">
        <f t="shared" si="3211"/>
        <v/>
      </c>
      <c r="AC1594" s="443"/>
      <c r="AD1594" s="443"/>
      <c r="AE1594" s="443"/>
    </row>
    <row r="1595" spans="2:31" x14ac:dyDescent="0.25">
      <c r="B1595" s="66">
        <v>42125</v>
      </c>
      <c r="C1595" s="66">
        <v>42125</v>
      </c>
      <c r="D1595" s="68">
        <f t="shared" ref="D1595:D1596" si="3353">IF(B1595&gt;0,MONTH(B1595),"False")</f>
        <v>5</v>
      </c>
      <c r="E1595" s="66" t="str">
        <f t="shared" ref="E1595:E1596" si="3354">YEAR(B1595) &amp; CHOOSE(D1595,"-Jan","-Feb","-Mar","-Apr","-May","-Jun","-Jul","-Aug","-Sep","-Oct","-Nov","-Dec")</f>
        <v>2015-May</v>
      </c>
      <c r="F1595" s="68">
        <f t="shared" ref="F1595:F1596" si="3355">IF(C1595&gt;0,MONTH(C1595),"False")</f>
        <v>5</v>
      </c>
      <c r="G1595" s="461" t="s">
        <v>87</v>
      </c>
      <c r="H1595" s="461" t="s">
        <v>2484</v>
      </c>
      <c r="J1595" s="1" t="s">
        <v>78</v>
      </c>
      <c r="K1595" s="1" t="s">
        <v>84</v>
      </c>
      <c r="L1595" s="1" t="s">
        <v>83</v>
      </c>
      <c r="M1595" s="1" t="s">
        <v>2493</v>
      </c>
      <c r="N1595" s="1" t="s">
        <v>124</v>
      </c>
      <c r="O1595" s="1" t="s">
        <v>152</v>
      </c>
      <c r="R1595" s="422" t="s">
        <v>2482</v>
      </c>
      <c r="Y1595" s="443" t="str">
        <f t="shared" ref="Y1595:Y1604" si="3356">IF(Q1595&gt;0,"Obsolete",IF(S1595&gt;0,S1595,"Unknown"))</f>
        <v>Unknown</v>
      </c>
      <c r="Z1595" s="11" t="str">
        <f t="shared" ref="Z1595:Z1604" si="3357">IF(Q1595="Obsolete-LQA",C1595,IF(Q1595="Obsolete-IT",B1595,""))</f>
        <v/>
      </c>
      <c r="AA1595" s="443" t="str">
        <f t="shared" ref="AA1595:AA1604" si="3358">IFERROR(YEAR(Z1595)&amp;" - "&amp; IF(LEN( WEEKNUM(Z1595))=1,"0" &amp; WEEKNUM(Z1595),WEEKNUM(Z1595)),"")</f>
        <v/>
      </c>
      <c r="AB1595" s="443" t="str">
        <f t="shared" ref="AB1595:AB1604" si="3359">IFERROR(YEAR(Z1595),"")</f>
        <v/>
      </c>
      <c r="AC1595" s="443"/>
      <c r="AD1595" s="443"/>
      <c r="AE1595" s="443"/>
    </row>
    <row r="1596" spans="2:31" x14ac:dyDescent="0.25">
      <c r="B1596" s="65">
        <v>42125</v>
      </c>
      <c r="C1596" s="66">
        <v>42125</v>
      </c>
      <c r="D1596" s="68">
        <f t="shared" si="3353"/>
        <v>5</v>
      </c>
      <c r="E1596" s="66" t="str">
        <f t="shared" si="3354"/>
        <v>2015-May</v>
      </c>
      <c r="F1596" s="68">
        <f t="shared" si="3355"/>
        <v>5</v>
      </c>
      <c r="G1596" s="461" t="s">
        <v>121</v>
      </c>
      <c r="H1596" s="1" t="s">
        <v>316</v>
      </c>
      <c r="J1596" s="1" t="s">
        <v>77</v>
      </c>
      <c r="K1596" s="1" t="s">
        <v>82</v>
      </c>
      <c r="L1596" s="1" t="s">
        <v>79</v>
      </c>
      <c r="M1596" s="1" t="s">
        <v>2494</v>
      </c>
      <c r="N1596" s="1" t="s">
        <v>124</v>
      </c>
      <c r="O1596" s="1" t="s">
        <v>353</v>
      </c>
      <c r="P1596" s="422" t="s">
        <v>340</v>
      </c>
      <c r="R1596" s="422" t="s">
        <v>705</v>
      </c>
      <c r="S1596" s="1" t="s">
        <v>104</v>
      </c>
      <c r="X1596" s="1" t="s">
        <v>300</v>
      </c>
      <c r="Y1596" s="443" t="str">
        <f t="shared" si="3356"/>
        <v>Pass</v>
      </c>
      <c r="Z1596" s="11" t="str">
        <f t="shared" si="3357"/>
        <v/>
      </c>
      <c r="AA1596" s="443" t="str">
        <f t="shared" si="3358"/>
        <v/>
      </c>
      <c r="AB1596" s="443" t="str">
        <f t="shared" si="3359"/>
        <v/>
      </c>
      <c r="AC1596" s="443"/>
      <c r="AD1596" s="443"/>
      <c r="AE1596" s="443"/>
    </row>
    <row r="1597" spans="2:31" x14ac:dyDescent="0.25">
      <c r="B1597" s="66">
        <v>42125</v>
      </c>
      <c r="C1597" s="66">
        <v>42125</v>
      </c>
      <c r="D1597" s="68">
        <f t="shared" ref="D1597:D1598" si="3360">IF(B1597&gt;0,MONTH(B1597),"False")</f>
        <v>5</v>
      </c>
      <c r="E1597" s="66" t="str">
        <f t="shared" ref="E1597:E1598" si="3361">YEAR(B1597) &amp; CHOOSE(D1597,"-Jan","-Feb","-Mar","-Apr","-May","-Jun","-Jul","-Aug","-Sep","-Oct","-Nov","-Dec")</f>
        <v>2015-May</v>
      </c>
      <c r="F1597" s="68">
        <f t="shared" ref="F1597:F1598" si="3362">IF(C1597&gt;0,MONTH(C1597),"False")</f>
        <v>5</v>
      </c>
      <c r="G1597" s="461" t="s">
        <v>87</v>
      </c>
      <c r="H1597" s="1" t="s">
        <v>331</v>
      </c>
      <c r="J1597" s="1" t="s">
        <v>78</v>
      </c>
      <c r="K1597" s="1" t="s">
        <v>78</v>
      </c>
      <c r="L1597" s="1" t="s">
        <v>79</v>
      </c>
      <c r="M1597" s="1" t="s">
        <v>2495</v>
      </c>
      <c r="N1597" s="1" t="s">
        <v>124</v>
      </c>
      <c r="O1597" s="1" t="s">
        <v>168</v>
      </c>
      <c r="R1597" s="422" t="s">
        <v>771</v>
      </c>
      <c r="Y1597" s="443" t="str">
        <f t="shared" si="3356"/>
        <v>Unknown</v>
      </c>
      <c r="Z1597" s="11" t="str">
        <f t="shared" si="3357"/>
        <v/>
      </c>
      <c r="AA1597" s="443" t="str">
        <f t="shared" si="3358"/>
        <v/>
      </c>
      <c r="AB1597" s="443" t="str">
        <f t="shared" si="3359"/>
        <v/>
      </c>
      <c r="AC1597" s="443"/>
      <c r="AD1597" s="443"/>
      <c r="AE1597" s="443"/>
    </row>
    <row r="1598" spans="2:31" x14ac:dyDescent="0.25">
      <c r="B1598" s="65">
        <v>42125</v>
      </c>
      <c r="C1598" s="66">
        <v>42125</v>
      </c>
      <c r="D1598" s="68">
        <f t="shared" si="3360"/>
        <v>5</v>
      </c>
      <c r="E1598" s="66" t="str">
        <f t="shared" si="3361"/>
        <v>2015-May</v>
      </c>
      <c r="F1598" s="68">
        <f t="shared" si="3362"/>
        <v>5</v>
      </c>
      <c r="G1598" s="461" t="s">
        <v>93</v>
      </c>
      <c r="H1598" s="1" t="s">
        <v>136</v>
      </c>
      <c r="J1598" s="1" t="s">
        <v>77</v>
      </c>
      <c r="K1598" s="1" t="s">
        <v>82</v>
      </c>
      <c r="L1598" s="1" t="s">
        <v>79</v>
      </c>
      <c r="M1598" s="1" t="s">
        <v>2496</v>
      </c>
      <c r="N1598" s="1" t="s">
        <v>124</v>
      </c>
      <c r="O1598" s="1" t="s">
        <v>91</v>
      </c>
      <c r="P1598" s="64" t="s">
        <v>2117</v>
      </c>
      <c r="R1598" s="422" t="s">
        <v>750</v>
      </c>
      <c r="S1598" s="1" t="s">
        <v>104</v>
      </c>
      <c r="X1598" s="461" t="s">
        <v>159</v>
      </c>
      <c r="Y1598" s="443" t="str">
        <f t="shared" si="3356"/>
        <v>Pass</v>
      </c>
      <c r="Z1598" s="11" t="str">
        <f t="shared" si="3357"/>
        <v/>
      </c>
      <c r="AA1598" s="443" t="str">
        <f t="shared" si="3358"/>
        <v/>
      </c>
      <c r="AB1598" s="443" t="str">
        <f t="shared" si="3359"/>
        <v/>
      </c>
      <c r="AC1598" s="443"/>
      <c r="AD1598" s="443"/>
      <c r="AE1598" s="443"/>
    </row>
    <row r="1599" spans="2:31" x14ac:dyDescent="0.25">
      <c r="B1599" s="65">
        <v>42125</v>
      </c>
      <c r="C1599" s="66">
        <v>42125</v>
      </c>
      <c r="D1599" s="68">
        <f t="shared" ref="D1599:D1601" si="3363">IF(B1599&gt;0,MONTH(B1599),"False")</f>
        <v>5</v>
      </c>
      <c r="E1599" s="66" t="str">
        <f t="shared" ref="E1599:E1601" si="3364">YEAR(B1599) &amp; CHOOSE(D1599,"-Jan","-Feb","-Mar","-Apr","-May","-Jun","-Jul","-Aug","-Sep","-Oct","-Nov","-Dec")</f>
        <v>2015-May</v>
      </c>
      <c r="F1599" s="68">
        <f t="shared" ref="F1599:F1601" si="3365">IF(C1599&gt;0,MONTH(C1599),"False")</f>
        <v>5</v>
      </c>
      <c r="G1599" s="461" t="s">
        <v>93</v>
      </c>
      <c r="H1599" s="461" t="s">
        <v>136</v>
      </c>
      <c r="I1599" s="461"/>
      <c r="J1599" s="461" t="s">
        <v>120</v>
      </c>
      <c r="K1599" s="461" t="s">
        <v>82</v>
      </c>
      <c r="L1599" s="461" t="s">
        <v>79</v>
      </c>
      <c r="M1599" s="461" t="s">
        <v>2497</v>
      </c>
      <c r="N1599" s="461" t="s">
        <v>124</v>
      </c>
      <c r="O1599" s="461" t="s">
        <v>91</v>
      </c>
      <c r="P1599" s="64" t="s">
        <v>2117</v>
      </c>
      <c r="R1599" s="422" t="s">
        <v>750</v>
      </c>
      <c r="S1599" s="1" t="s">
        <v>104</v>
      </c>
      <c r="X1599" s="1" t="s">
        <v>159</v>
      </c>
      <c r="Y1599" s="443" t="str">
        <f t="shared" si="3356"/>
        <v>Pass</v>
      </c>
      <c r="Z1599" s="11" t="str">
        <f t="shared" si="3357"/>
        <v/>
      </c>
      <c r="AA1599" s="443" t="str">
        <f t="shared" si="3358"/>
        <v/>
      </c>
      <c r="AB1599" s="443" t="str">
        <f t="shared" si="3359"/>
        <v/>
      </c>
      <c r="AC1599" s="443"/>
      <c r="AD1599" s="443"/>
      <c r="AE1599" s="443"/>
    </row>
    <row r="1600" spans="2:31" x14ac:dyDescent="0.25">
      <c r="B1600" s="65">
        <v>42125</v>
      </c>
      <c r="C1600" s="66">
        <v>42125</v>
      </c>
      <c r="D1600" s="68">
        <f t="shared" si="3363"/>
        <v>5</v>
      </c>
      <c r="E1600" s="66" t="str">
        <f t="shared" si="3364"/>
        <v>2015-May</v>
      </c>
      <c r="F1600" s="68">
        <f t="shared" si="3365"/>
        <v>5</v>
      </c>
      <c r="G1600" s="461" t="s">
        <v>93</v>
      </c>
      <c r="H1600" s="461" t="s">
        <v>136</v>
      </c>
      <c r="I1600" s="461"/>
      <c r="J1600" s="461" t="s">
        <v>77</v>
      </c>
      <c r="K1600" s="461" t="s">
        <v>82</v>
      </c>
      <c r="L1600" s="461" t="s">
        <v>79</v>
      </c>
      <c r="M1600" s="1" t="s">
        <v>2498</v>
      </c>
      <c r="N1600" s="461" t="s">
        <v>124</v>
      </c>
      <c r="O1600" s="461" t="s">
        <v>507</v>
      </c>
      <c r="P1600" s="64" t="s">
        <v>2117</v>
      </c>
      <c r="R1600" s="422" t="s">
        <v>750</v>
      </c>
      <c r="S1600" s="1" t="s">
        <v>104</v>
      </c>
      <c r="X1600" s="461" t="s">
        <v>159</v>
      </c>
      <c r="Y1600" s="443" t="str">
        <f t="shared" si="3356"/>
        <v>Pass</v>
      </c>
      <c r="Z1600" s="11" t="str">
        <f t="shared" si="3357"/>
        <v/>
      </c>
      <c r="AA1600" s="443" t="str">
        <f t="shared" si="3358"/>
        <v/>
      </c>
      <c r="AB1600" s="443" t="str">
        <f t="shared" si="3359"/>
        <v/>
      </c>
      <c r="AC1600" s="443"/>
      <c r="AD1600" s="443"/>
      <c r="AE1600" s="443"/>
    </row>
    <row r="1601" spans="2:31" x14ac:dyDescent="0.25">
      <c r="B1601" s="66">
        <v>42126</v>
      </c>
      <c r="C1601" s="66">
        <v>42126</v>
      </c>
      <c r="D1601" s="68">
        <f t="shared" si="3363"/>
        <v>5</v>
      </c>
      <c r="E1601" s="66" t="str">
        <f t="shared" si="3364"/>
        <v>2015-May</v>
      </c>
      <c r="F1601" s="68">
        <f t="shared" si="3365"/>
        <v>5</v>
      </c>
      <c r="G1601" s="461" t="s">
        <v>87</v>
      </c>
      <c r="H1601" s="1" t="s">
        <v>28</v>
      </c>
      <c r="J1601" s="1" t="s">
        <v>292</v>
      </c>
      <c r="K1601" s="461" t="s">
        <v>292</v>
      </c>
      <c r="L1601" s="1" t="s">
        <v>83</v>
      </c>
      <c r="M1601" s="1" t="s">
        <v>2499</v>
      </c>
      <c r="N1601" s="1" t="s">
        <v>124</v>
      </c>
      <c r="O1601" s="1" t="s">
        <v>156</v>
      </c>
      <c r="R1601" s="422" t="s">
        <v>489</v>
      </c>
      <c r="Y1601" s="443" t="str">
        <f t="shared" si="3356"/>
        <v>Unknown</v>
      </c>
      <c r="Z1601" s="11" t="str">
        <f t="shared" si="3357"/>
        <v/>
      </c>
      <c r="AA1601" s="443" t="str">
        <f t="shared" si="3358"/>
        <v/>
      </c>
      <c r="AB1601" s="443" t="str">
        <f t="shared" si="3359"/>
        <v/>
      </c>
      <c r="AC1601" s="443"/>
      <c r="AD1601" s="443"/>
      <c r="AE1601" s="443"/>
    </row>
    <row r="1602" spans="2:31" x14ac:dyDescent="0.25">
      <c r="B1602" s="66">
        <v>42127</v>
      </c>
      <c r="C1602" s="66">
        <v>42127</v>
      </c>
      <c r="D1602" s="68">
        <f t="shared" ref="D1602:D1603" si="3366">IF(B1602&gt;0,MONTH(B1602),"False")</f>
        <v>5</v>
      </c>
      <c r="E1602" s="66" t="str">
        <f t="shared" ref="E1602:E1603" si="3367">YEAR(B1602) &amp; CHOOSE(D1602,"-Jan","-Feb","-Mar","-Apr","-May","-Jun","-Jul","-Aug","-Sep","-Oct","-Nov","-Dec")</f>
        <v>2015-May</v>
      </c>
      <c r="F1602" s="68">
        <f t="shared" ref="F1602:F1603" si="3368">IF(C1602&gt;0,MONTH(C1602),"False")</f>
        <v>5</v>
      </c>
      <c r="G1602" s="462" t="s">
        <v>87</v>
      </c>
      <c r="H1602" s="1" t="s">
        <v>280</v>
      </c>
      <c r="J1602" s="1" t="s">
        <v>78</v>
      </c>
      <c r="K1602" s="1" t="s">
        <v>78</v>
      </c>
      <c r="L1602" s="1" t="s">
        <v>79</v>
      </c>
      <c r="M1602" s="1" t="s">
        <v>2500</v>
      </c>
      <c r="N1602" s="1" t="s">
        <v>124</v>
      </c>
      <c r="O1602" s="1" t="s">
        <v>167</v>
      </c>
      <c r="R1602" s="422" t="s">
        <v>344</v>
      </c>
      <c r="Y1602" s="443" t="str">
        <f t="shared" si="3356"/>
        <v>Unknown</v>
      </c>
      <c r="Z1602" s="11" t="str">
        <f t="shared" si="3357"/>
        <v/>
      </c>
      <c r="AA1602" s="443" t="str">
        <f t="shared" si="3358"/>
        <v/>
      </c>
      <c r="AB1602" s="443" t="str">
        <f t="shared" si="3359"/>
        <v/>
      </c>
      <c r="AC1602" s="443"/>
      <c r="AD1602" s="443"/>
      <c r="AE1602" s="443"/>
    </row>
    <row r="1603" spans="2:31" x14ac:dyDescent="0.25">
      <c r="B1603" s="65">
        <v>42130</v>
      </c>
      <c r="C1603" s="66">
        <v>42130</v>
      </c>
      <c r="D1603" s="68">
        <f t="shared" si="3366"/>
        <v>5</v>
      </c>
      <c r="E1603" s="66" t="str">
        <f t="shared" si="3367"/>
        <v>2015-May</v>
      </c>
      <c r="F1603" s="68">
        <f t="shared" si="3368"/>
        <v>5</v>
      </c>
      <c r="G1603" s="463" t="s">
        <v>121</v>
      </c>
      <c r="H1603" s="463" t="s">
        <v>1745</v>
      </c>
      <c r="I1603" s="1" t="s">
        <v>2503</v>
      </c>
      <c r="J1603" s="1" t="s">
        <v>81</v>
      </c>
      <c r="K1603" s="1" t="s">
        <v>82</v>
      </c>
      <c r="L1603" s="1" t="s">
        <v>79</v>
      </c>
      <c r="M1603" s="1" t="s">
        <v>2501</v>
      </c>
      <c r="N1603" s="1" t="s">
        <v>124</v>
      </c>
      <c r="O1603" s="1" t="s">
        <v>147</v>
      </c>
      <c r="P1603" s="422" t="s">
        <v>1823</v>
      </c>
      <c r="R1603" s="422" t="s">
        <v>1824</v>
      </c>
      <c r="S1603" s="1" t="s">
        <v>104</v>
      </c>
      <c r="X1603" s="1" t="s">
        <v>158</v>
      </c>
      <c r="Y1603" s="443" t="str">
        <f t="shared" si="3356"/>
        <v>Pass</v>
      </c>
      <c r="Z1603" s="11" t="str">
        <f t="shared" si="3357"/>
        <v/>
      </c>
      <c r="AA1603" s="443" t="str">
        <f t="shared" si="3358"/>
        <v/>
      </c>
      <c r="AB1603" s="443" t="str">
        <f t="shared" si="3359"/>
        <v/>
      </c>
      <c r="AC1603" s="443"/>
      <c r="AD1603" s="443"/>
      <c r="AE1603" s="443"/>
    </row>
    <row r="1604" spans="2:31" x14ac:dyDescent="0.25">
      <c r="B1604" s="66">
        <v>42130</v>
      </c>
      <c r="C1604" s="66">
        <v>42130</v>
      </c>
      <c r="D1604" s="68">
        <f t="shared" ref="D1604" si="3369">IF(B1604&gt;0,MONTH(B1604),"False")</f>
        <v>5</v>
      </c>
      <c r="E1604" s="66" t="str">
        <f t="shared" ref="E1604" si="3370">YEAR(B1604) &amp; CHOOSE(D1604,"-Jan","-Feb","-Mar","-Apr","-May","-Jun","-Jul","-Aug","-Sep","-Oct","-Nov","-Dec")</f>
        <v>2015-May</v>
      </c>
      <c r="F1604" s="68">
        <f t="shared" ref="F1604" si="3371">IF(C1604&gt;0,MONTH(C1604),"False")</f>
        <v>5</v>
      </c>
      <c r="G1604" s="464" t="s">
        <v>87</v>
      </c>
      <c r="H1604" s="464" t="s">
        <v>2484</v>
      </c>
      <c r="J1604" s="1" t="s">
        <v>78</v>
      </c>
      <c r="K1604" s="1" t="s">
        <v>78</v>
      </c>
      <c r="L1604" s="1" t="s">
        <v>83</v>
      </c>
      <c r="M1604" s="1" t="s">
        <v>2504</v>
      </c>
      <c r="N1604" s="1" t="s">
        <v>124</v>
      </c>
      <c r="O1604" s="1" t="s">
        <v>332</v>
      </c>
      <c r="R1604" s="422" t="s">
        <v>2505</v>
      </c>
      <c r="Y1604" s="443" t="str">
        <f t="shared" si="3356"/>
        <v>Unknown</v>
      </c>
      <c r="Z1604" s="11" t="str">
        <f t="shared" si="3357"/>
        <v/>
      </c>
      <c r="AA1604" s="443" t="str">
        <f t="shared" si="3358"/>
        <v/>
      </c>
      <c r="AB1604" s="443" t="str">
        <f t="shared" si="3359"/>
        <v/>
      </c>
      <c r="AC1604" s="443"/>
      <c r="AD1604" s="443"/>
      <c r="AE1604" s="443"/>
    </row>
    <row r="1605" spans="2:31" x14ac:dyDescent="0.25">
      <c r="B1605" s="66">
        <v>42130</v>
      </c>
      <c r="C1605" s="66">
        <v>42130</v>
      </c>
      <c r="D1605" s="68">
        <f t="shared" ref="D1605" si="3372">IF(B1605&gt;0,MONTH(B1605),"False")</f>
        <v>5</v>
      </c>
      <c r="E1605" s="66" t="str">
        <f t="shared" ref="E1605" si="3373">YEAR(B1605) &amp; CHOOSE(D1605,"-Jan","-Feb","-Mar","-Apr","-May","-Jun","-Jul","-Aug","-Sep","-Oct","-Nov","-Dec")</f>
        <v>2015-May</v>
      </c>
      <c r="F1605" s="68">
        <f t="shared" ref="F1605" si="3374">IF(C1605&gt;0,MONTH(C1605),"False")</f>
        <v>5</v>
      </c>
      <c r="G1605" s="464" t="s">
        <v>87</v>
      </c>
      <c r="H1605" s="1" t="s">
        <v>166</v>
      </c>
      <c r="J1605" s="1" t="s">
        <v>333</v>
      </c>
      <c r="K1605" s="1" t="s">
        <v>82</v>
      </c>
      <c r="L1605" s="1" t="s">
        <v>83</v>
      </c>
      <c r="M1605" s="1" t="s">
        <v>2506</v>
      </c>
      <c r="N1605" s="1" t="s">
        <v>124</v>
      </c>
      <c r="O1605" s="1" t="s">
        <v>302</v>
      </c>
      <c r="R1605" s="422" t="s">
        <v>2297</v>
      </c>
      <c r="Y1605" s="466" t="str">
        <f t="shared" ref="Y1605:Y1620" si="3375">IF(Q1605&gt;0,"Obsolete",IF(S1605&gt;0,S1605,"Unknown"))</f>
        <v>Unknown</v>
      </c>
      <c r="Z1605" s="11" t="str">
        <f t="shared" ref="Z1605:Z1620" si="3376">IF(Q1605="Obsolete-LQA",C1605,IF(Q1605="Obsolete-IT",B1605,""))</f>
        <v/>
      </c>
      <c r="AA1605" s="466" t="str">
        <f t="shared" ref="AA1605:AA1620" si="3377">IFERROR(YEAR(Z1605)&amp;" - "&amp; IF(LEN( WEEKNUM(Z1605))=1,"0" &amp; WEEKNUM(Z1605),WEEKNUM(Z1605)),"")</f>
        <v/>
      </c>
      <c r="AB1605" s="466" t="str">
        <f t="shared" ref="AB1605:AB1620" si="3378">IFERROR(YEAR(Z1605),"")</f>
        <v/>
      </c>
    </row>
    <row r="1606" spans="2:31" x14ac:dyDescent="0.25">
      <c r="B1606" s="66">
        <v>42130</v>
      </c>
      <c r="C1606" s="66">
        <v>42130</v>
      </c>
      <c r="D1606" s="68">
        <f t="shared" ref="D1606:D1607" si="3379">IF(B1606&gt;0,MONTH(B1606),"False")</f>
        <v>5</v>
      </c>
      <c r="E1606" s="66" t="str">
        <f t="shared" ref="E1606:E1607" si="3380">YEAR(B1606) &amp; CHOOSE(D1606,"-Jan","-Feb","-Mar","-Apr","-May","-Jun","-Jul","-Aug","-Sep","-Oct","-Nov","-Dec")</f>
        <v>2015-May</v>
      </c>
      <c r="F1606" s="68">
        <f t="shared" ref="F1606:F1607" si="3381">IF(C1606&gt;0,MONTH(C1606),"False")</f>
        <v>5</v>
      </c>
      <c r="G1606" s="464" t="s">
        <v>87</v>
      </c>
      <c r="H1606" s="464" t="s">
        <v>166</v>
      </c>
      <c r="I1606" s="464"/>
      <c r="J1606" s="464" t="s">
        <v>333</v>
      </c>
      <c r="K1606" s="464" t="s">
        <v>84</v>
      </c>
      <c r="L1606" s="464" t="s">
        <v>83</v>
      </c>
      <c r="M1606" s="1" t="s">
        <v>2507</v>
      </c>
      <c r="N1606" s="1" t="s">
        <v>124</v>
      </c>
      <c r="O1606" s="1" t="s">
        <v>2410</v>
      </c>
      <c r="R1606" s="422" t="s">
        <v>2508</v>
      </c>
      <c r="Y1606" s="466" t="str">
        <f t="shared" si="3375"/>
        <v>Unknown</v>
      </c>
      <c r="Z1606" s="11" t="str">
        <f t="shared" si="3376"/>
        <v/>
      </c>
      <c r="AA1606" s="466" t="str">
        <f t="shared" si="3377"/>
        <v/>
      </c>
      <c r="AB1606" s="466" t="str">
        <f t="shared" si="3378"/>
        <v/>
      </c>
    </row>
    <row r="1607" spans="2:31" x14ac:dyDescent="0.25">
      <c r="B1607" s="65">
        <v>42131</v>
      </c>
      <c r="C1607" s="66">
        <v>42131</v>
      </c>
      <c r="D1607" s="68">
        <f t="shared" si="3379"/>
        <v>5</v>
      </c>
      <c r="E1607" s="66" t="str">
        <f t="shared" si="3380"/>
        <v>2015-May</v>
      </c>
      <c r="F1607" s="68">
        <f t="shared" si="3381"/>
        <v>5</v>
      </c>
      <c r="G1607" s="465" t="s">
        <v>121</v>
      </c>
      <c r="H1607" s="1" t="s">
        <v>103</v>
      </c>
      <c r="J1607" s="1" t="s">
        <v>77</v>
      </c>
      <c r="K1607" s="1" t="s">
        <v>82</v>
      </c>
      <c r="L1607" s="1" t="s">
        <v>79</v>
      </c>
      <c r="M1607" s="1" t="s">
        <v>2509</v>
      </c>
      <c r="N1607" s="1" t="s">
        <v>124</v>
      </c>
      <c r="O1607" s="1" t="s">
        <v>507</v>
      </c>
      <c r="P1607" s="422" t="s">
        <v>361</v>
      </c>
      <c r="R1607" s="422" t="s">
        <v>351</v>
      </c>
      <c r="S1607" s="1" t="s">
        <v>104</v>
      </c>
      <c r="X1607" s="1" t="s">
        <v>1758</v>
      </c>
      <c r="Y1607" s="466" t="str">
        <f t="shared" si="3375"/>
        <v>Pass</v>
      </c>
      <c r="Z1607" s="11" t="str">
        <f t="shared" si="3376"/>
        <v/>
      </c>
      <c r="AA1607" s="466" t="str">
        <f t="shared" si="3377"/>
        <v/>
      </c>
      <c r="AB1607" s="466" t="str">
        <f t="shared" si="3378"/>
        <v/>
      </c>
    </row>
    <row r="1608" spans="2:31" x14ac:dyDescent="0.25">
      <c r="B1608" s="66">
        <v>42135</v>
      </c>
      <c r="C1608" s="66">
        <v>42135</v>
      </c>
      <c r="D1608" s="68">
        <f t="shared" ref="D1608" si="3382">IF(B1608&gt;0,MONTH(B1608),"False")</f>
        <v>5</v>
      </c>
      <c r="E1608" s="66" t="str">
        <f t="shared" ref="E1608" si="3383">YEAR(B1608) &amp; CHOOSE(D1608,"-Jan","-Feb","-Mar","-Apr","-May","-Jun","-Jul","-Aug","-Sep","-Oct","-Nov","-Dec")</f>
        <v>2015-May</v>
      </c>
      <c r="F1608" s="68">
        <f t="shared" ref="F1608" si="3384">IF(C1608&gt;0,MONTH(C1608),"False")</f>
        <v>5</v>
      </c>
      <c r="G1608" s="466" t="s">
        <v>112</v>
      </c>
      <c r="H1608" s="1" t="s">
        <v>76</v>
      </c>
      <c r="J1608" s="1" t="s">
        <v>77</v>
      </c>
      <c r="K1608" s="1" t="s">
        <v>78</v>
      </c>
      <c r="L1608" s="1" t="s">
        <v>83</v>
      </c>
      <c r="M1608" s="1" t="s">
        <v>2511</v>
      </c>
      <c r="N1608" s="1" t="s">
        <v>124</v>
      </c>
      <c r="O1608" s="1" t="s">
        <v>287</v>
      </c>
      <c r="R1608" s="422" t="s">
        <v>1038</v>
      </c>
      <c r="S1608" s="1" t="s">
        <v>104</v>
      </c>
      <c r="X1608" s="1" t="s">
        <v>1474</v>
      </c>
      <c r="Y1608" s="466" t="str">
        <f t="shared" si="3375"/>
        <v>Pass</v>
      </c>
      <c r="Z1608" s="11" t="str">
        <f t="shared" si="3376"/>
        <v/>
      </c>
      <c r="AA1608" s="466" t="str">
        <f t="shared" si="3377"/>
        <v/>
      </c>
      <c r="AB1608" s="466" t="str">
        <f t="shared" si="3378"/>
        <v/>
      </c>
    </row>
    <row r="1609" spans="2:31" x14ac:dyDescent="0.25">
      <c r="B1609" s="66">
        <v>42135</v>
      </c>
      <c r="C1609" s="66">
        <v>42135</v>
      </c>
      <c r="D1609" s="68">
        <f t="shared" ref="D1609:D1610" si="3385">IF(B1609&gt;0,MONTH(B1609),"False")</f>
        <v>5</v>
      </c>
      <c r="E1609" s="66" t="str">
        <f t="shared" ref="E1609:E1610" si="3386">YEAR(B1609) &amp; CHOOSE(D1609,"-Jan","-Feb","-Mar","-Apr","-May","-Jun","-Jul","-Aug","-Sep","-Oct","-Nov","-Dec")</f>
        <v>2015-May</v>
      </c>
      <c r="F1609" s="68">
        <f t="shared" ref="F1609:F1610" si="3387">IF(C1609&gt;0,MONTH(C1609),"False")</f>
        <v>5</v>
      </c>
      <c r="G1609" s="466" t="s">
        <v>112</v>
      </c>
      <c r="H1609" s="1" t="s">
        <v>136</v>
      </c>
      <c r="J1609" s="1" t="s">
        <v>149</v>
      </c>
      <c r="K1609" s="1" t="s">
        <v>84</v>
      </c>
      <c r="L1609" s="1" t="s">
        <v>79</v>
      </c>
      <c r="M1609" s="1" t="s">
        <v>2512</v>
      </c>
      <c r="N1609" s="1" t="s">
        <v>124</v>
      </c>
      <c r="O1609" s="1" t="s">
        <v>264</v>
      </c>
      <c r="R1609" s="422" t="s">
        <v>2109</v>
      </c>
      <c r="S1609" s="1" t="s">
        <v>104</v>
      </c>
      <c r="T1609" s="67" t="s">
        <v>110</v>
      </c>
      <c r="X1609" s="1" t="s">
        <v>1758</v>
      </c>
      <c r="Y1609" s="466" t="str">
        <f t="shared" si="3375"/>
        <v>Pass</v>
      </c>
      <c r="Z1609" s="11" t="str">
        <f t="shared" si="3376"/>
        <v/>
      </c>
      <c r="AA1609" s="466" t="str">
        <f t="shared" si="3377"/>
        <v/>
      </c>
      <c r="AB1609" s="466" t="str">
        <f t="shared" si="3378"/>
        <v/>
      </c>
    </row>
    <row r="1610" spans="2:31" x14ac:dyDescent="0.25">
      <c r="B1610" s="65">
        <v>42135</v>
      </c>
      <c r="C1610" s="66">
        <v>42135</v>
      </c>
      <c r="D1610" s="68">
        <f t="shared" si="3385"/>
        <v>5</v>
      </c>
      <c r="E1610" s="66" t="str">
        <f t="shared" si="3386"/>
        <v>2015-May</v>
      </c>
      <c r="F1610" s="68">
        <f t="shared" si="3387"/>
        <v>5</v>
      </c>
      <c r="G1610" s="466" t="s">
        <v>121</v>
      </c>
      <c r="H1610" s="1" t="s">
        <v>76</v>
      </c>
      <c r="J1610" s="1" t="s">
        <v>77</v>
      </c>
      <c r="K1610" s="1" t="s">
        <v>82</v>
      </c>
      <c r="L1610" s="1" t="s">
        <v>79</v>
      </c>
      <c r="M1610" s="1" t="s">
        <v>2513</v>
      </c>
      <c r="N1610" s="1" t="s">
        <v>124</v>
      </c>
      <c r="O1610" s="1" t="s">
        <v>353</v>
      </c>
      <c r="P1610" s="422" t="s">
        <v>1740</v>
      </c>
      <c r="R1610" s="422" t="s">
        <v>1741</v>
      </c>
      <c r="S1610" s="1" t="s">
        <v>104</v>
      </c>
      <c r="X1610" s="472" t="s">
        <v>154</v>
      </c>
      <c r="Y1610" s="466" t="str">
        <f t="shared" si="3375"/>
        <v>Pass</v>
      </c>
      <c r="Z1610" s="11" t="str">
        <f t="shared" si="3376"/>
        <v/>
      </c>
      <c r="AA1610" s="466" t="str">
        <f t="shared" si="3377"/>
        <v/>
      </c>
      <c r="AB1610" s="466" t="str">
        <f t="shared" si="3378"/>
        <v/>
      </c>
    </row>
    <row r="1611" spans="2:31" x14ac:dyDescent="0.25">
      <c r="B1611" s="65">
        <v>42135</v>
      </c>
      <c r="C1611" s="66">
        <v>42135</v>
      </c>
      <c r="D1611" s="68">
        <f t="shared" ref="D1611:D1612" si="3388">IF(B1611&gt;0,MONTH(B1611),"False")</f>
        <v>5</v>
      </c>
      <c r="E1611" s="66" t="str">
        <f t="shared" ref="E1611:E1612" si="3389">YEAR(B1611) &amp; CHOOSE(D1611,"-Jan","-Feb","-Mar","-Apr","-May","-Jun","-Jul","-Aug","-Sep","-Oct","-Nov","-Dec")</f>
        <v>2015-May</v>
      </c>
      <c r="F1611" s="68">
        <f t="shared" ref="F1611:F1612" si="3390">IF(C1611&gt;0,MONTH(C1611),"False")</f>
        <v>5</v>
      </c>
      <c r="G1611" s="466" t="s">
        <v>121</v>
      </c>
      <c r="H1611" s="1" t="s">
        <v>76</v>
      </c>
      <c r="J1611" s="1" t="s">
        <v>81</v>
      </c>
      <c r="K1611" s="1" t="s">
        <v>82</v>
      </c>
      <c r="L1611" s="1" t="s">
        <v>83</v>
      </c>
      <c r="M1611" s="1" t="s">
        <v>2514</v>
      </c>
      <c r="N1611" s="1" t="s">
        <v>124</v>
      </c>
      <c r="O1611" s="1" t="s">
        <v>353</v>
      </c>
      <c r="P1611" s="422" t="s">
        <v>1740</v>
      </c>
      <c r="R1611" s="422" t="s">
        <v>1741</v>
      </c>
      <c r="S1611" s="1" t="s">
        <v>104</v>
      </c>
      <c r="X1611" s="1" t="s">
        <v>154</v>
      </c>
      <c r="Y1611" s="466" t="str">
        <f t="shared" si="3375"/>
        <v>Pass</v>
      </c>
      <c r="Z1611" s="11" t="str">
        <f t="shared" si="3376"/>
        <v/>
      </c>
      <c r="AA1611" s="466" t="str">
        <f t="shared" si="3377"/>
        <v/>
      </c>
      <c r="AB1611" s="466" t="str">
        <f t="shared" si="3378"/>
        <v/>
      </c>
    </row>
    <row r="1612" spans="2:31" x14ac:dyDescent="0.25">
      <c r="B1612" s="66">
        <v>42136</v>
      </c>
      <c r="C1612" s="66">
        <v>42136</v>
      </c>
      <c r="D1612" s="68">
        <f t="shared" si="3388"/>
        <v>5</v>
      </c>
      <c r="E1612" s="66" t="str">
        <f t="shared" si="3389"/>
        <v>2015-May</v>
      </c>
      <c r="F1612" s="68">
        <f t="shared" si="3390"/>
        <v>5</v>
      </c>
      <c r="G1612" s="467" t="s">
        <v>87</v>
      </c>
      <c r="H1612" s="1" t="s">
        <v>166</v>
      </c>
      <c r="J1612" s="1" t="s">
        <v>150</v>
      </c>
      <c r="K1612" s="1" t="s">
        <v>84</v>
      </c>
      <c r="L1612" s="1" t="s">
        <v>83</v>
      </c>
      <c r="M1612" s="1" t="s">
        <v>2515</v>
      </c>
      <c r="N1612" s="1" t="s">
        <v>124</v>
      </c>
      <c r="O1612" s="1" t="s">
        <v>264</v>
      </c>
      <c r="Q1612" s="2" t="s">
        <v>88</v>
      </c>
      <c r="R1612" s="422" t="s">
        <v>2516</v>
      </c>
      <c r="Y1612" s="466" t="str">
        <f t="shared" si="3375"/>
        <v>Obsolete</v>
      </c>
      <c r="Z1612" s="11">
        <f t="shared" si="3376"/>
        <v>42136</v>
      </c>
      <c r="AA1612" s="466" t="str">
        <f t="shared" si="3377"/>
        <v>2015 - 20</v>
      </c>
      <c r="AB1612" s="466">
        <f t="shared" si="3378"/>
        <v>2015</v>
      </c>
    </row>
    <row r="1613" spans="2:31" x14ac:dyDescent="0.25">
      <c r="B1613" s="66">
        <v>42137</v>
      </c>
      <c r="C1613" s="66">
        <v>42137</v>
      </c>
      <c r="D1613" s="68">
        <f t="shared" ref="D1613:D1614" si="3391">IF(B1613&gt;0,MONTH(B1613),"False")</f>
        <v>5</v>
      </c>
      <c r="E1613" s="66" t="str">
        <f t="shared" ref="E1613:E1614" si="3392">YEAR(B1613) &amp; CHOOSE(D1613,"-Jan","-Feb","-Mar","-Apr","-May","-Jun","-Jul","-Aug","-Sep","-Oct","-Nov","-Dec")</f>
        <v>2015-May</v>
      </c>
      <c r="F1613" s="68">
        <f t="shared" ref="F1613:F1614" si="3393">IF(C1613&gt;0,MONTH(C1613),"False")</f>
        <v>5</v>
      </c>
      <c r="G1613" s="468" t="s">
        <v>87</v>
      </c>
      <c r="H1613" s="468" t="s">
        <v>166</v>
      </c>
      <c r="J1613" s="1" t="s">
        <v>78</v>
      </c>
      <c r="K1613" s="1" t="s">
        <v>78</v>
      </c>
      <c r="L1613" s="1" t="s">
        <v>79</v>
      </c>
      <c r="M1613" s="1" t="s">
        <v>2517</v>
      </c>
      <c r="N1613" s="1" t="s">
        <v>124</v>
      </c>
      <c r="O1613" s="1" t="s">
        <v>151</v>
      </c>
      <c r="R1613" s="422" t="s">
        <v>2447</v>
      </c>
      <c r="Y1613" s="466" t="str">
        <f t="shared" si="3375"/>
        <v>Unknown</v>
      </c>
      <c r="Z1613" s="11" t="str">
        <f t="shared" si="3376"/>
        <v/>
      </c>
      <c r="AA1613" s="466" t="str">
        <f t="shared" si="3377"/>
        <v/>
      </c>
      <c r="AB1613" s="466" t="str">
        <f t="shared" si="3378"/>
        <v/>
      </c>
    </row>
    <row r="1614" spans="2:31" x14ac:dyDescent="0.25">
      <c r="B1614" s="65">
        <v>42137</v>
      </c>
      <c r="C1614" s="66">
        <v>42137</v>
      </c>
      <c r="D1614" s="68">
        <f t="shared" si="3391"/>
        <v>5</v>
      </c>
      <c r="E1614" s="66" t="str">
        <f t="shared" si="3392"/>
        <v>2015-May</v>
      </c>
      <c r="F1614" s="68">
        <f t="shared" si="3393"/>
        <v>5</v>
      </c>
      <c r="G1614" s="468" t="s">
        <v>121</v>
      </c>
      <c r="H1614" s="468" t="s">
        <v>1685</v>
      </c>
      <c r="J1614" s="1" t="s">
        <v>81</v>
      </c>
      <c r="K1614" s="1" t="s">
        <v>82</v>
      </c>
      <c r="L1614" s="1" t="s">
        <v>79</v>
      </c>
      <c r="M1614" s="1" t="s">
        <v>2518</v>
      </c>
      <c r="N1614" s="1" t="s">
        <v>124</v>
      </c>
      <c r="O1614" s="1" t="s">
        <v>353</v>
      </c>
      <c r="P1614" s="422" t="s">
        <v>2009</v>
      </c>
      <c r="R1614" s="422" t="s">
        <v>2398</v>
      </c>
      <c r="S1614" s="1" t="s">
        <v>104</v>
      </c>
      <c r="X1614" s="1" t="s">
        <v>300</v>
      </c>
      <c r="Y1614" s="466" t="str">
        <f t="shared" si="3375"/>
        <v>Pass</v>
      </c>
      <c r="Z1614" s="11" t="str">
        <f t="shared" si="3376"/>
        <v/>
      </c>
      <c r="AA1614" s="466" t="str">
        <f t="shared" si="3377"/>
        <v/>
      </c>
      <c r="AB1614" s="466" t="str">
        <f t="shared" si="3378"/>
        <v/>
      </c>
    </row>
    <row r="1615" spans="2:31" x14ac:dyDescent="0.25">
      <c r="B1615" s="66">
        <v>42137</v>
      </c>
      <c r="C1615" s="66">
        <v>42137</v>
      </c>
      <c r="D1615" s="68">
        <f t="shared" ref="D1615:D1616" si="3394">IF(B1615&gt;0,MONTH(B1615),"False")</f>
        <v>5</v>
      </c>
      <c r="E1615" s="66" t="str">
        <f t="shared" ref="E1615:E1616" si="3395">YEAR(B1615) &amp; CHOOSE(D1615,"-Jan","-Feb","-Mar","-Apr","-May","-Jun","-Jul","-Aug","-Sep","-Oct","-Nov","-Dec")</f>
        <v>2015-May</v>
      </c>
      <c r="F1615" s="68">
        <f t="shared" ref="F1615:F1616" si="3396">IF(C1615&gt;0,MONTH(C1615),"False")</f>
        <v>5</v>
      </c>
      <c r="G1615" s="468" t="s">
        <v>112</v>
      </c>
      <c r="H1615" s="1" t="s">
        <v>2091</v>
      </c>
      <c r="J1615" s="1" t="s">
        <v>77</v>
      </c>
      <c r="K1615" s="1" t="s">
        <v>82</v>
      </c>
      <c r="L1615" s="1" t="s">
        <v>83</v>
      </c>
      <c r="M1615" s="1" t="s">
        <v>2519</v>
      </c>
      <c r="N1615" s="1" t="s">
        <v>124</v>
      </c>
      <c r="O1615" s="1" t="s">
        <v>114</v>
      </c>
      <c r="R1615" s="422" t="s">
        <v>2092</v>
      </c>
      <c r="S1615" s="1" t="s">
        <v>104</v>
      </c>
      <c r="X1615" s="1" t="s">
        <v>1312</v>
      </c>
      <c r="Y1615" s="466" t="str">
        <f t="shared" si="3375"/>
        <v>Pass</v>
      </c>
      <c r="Z1615" s="11" t="str">
        <f t="shared" si="3376"/>
        <v/>
      </c>
      <c r="AA1615" s="466" t="str">
        <f t="shared" si="3377"/>
        <v/>
      </c>
      <c r="AB1615" s="466" t="str">
        <f t="shared" si="3378"/>
        <v/>
      </c>
    </row>
    <row r="1616" spans="2:31" x14ac:dyDescent="0.25">
      <c r="B1616" s="65">
        <v>42138</v>
      </c>
      <c r="C1616" s="66">
        <v>42138</v>
      </c>
      <c r="D1616" s="68">
        <f t="shared" si="3394"/>
        <v>5</v>
      </c>
      <c r="E1616" s="66" t="str">
        <f t="shared" si="3395"/>
        <v>2015-May</v>
      </c>
      <c r="F1616" s="68">
        <f t="shared" si="3396"/>
        <v>5</v>
      </c>
      <c r="G1616" s="469" t="s">
        <v>121</v>
      </c>
      <c r="H1616" s="1" t="s">
        <v>136</v>
      </c>
      <c r="J1616" s="1" t="s">
        <v>77</v>
      </c>
      <c r="K1616" s="1" t="s">
        <v>82</v>
      </c>
      <c r="L1616" s="1" t="s">
        <v>79</v>
      </c>
      <c r="M1616" s="1" t="s">
        <v>2520</v>
      </c>
      <c r="N1616" s="1" t="s">
        <v>124</v>
      </c>
      <c r="O1616" s="1" t="s">
        <v>507</v>
      </c>
      <c r="P1616" s="422" t="s">
        <v>750</v>
      </c>
      <c r="R1616" s="422" t="s">
        <v>2117</v>
      </c>
      <c r="S1616" s="1" t="s">
        <v>104</v>
      </c>
      <c r="X1616" s="1" t="s">
        <v>1758</v>
      </c>
      <c r="Y1616" s="466" t="str">
        <f t="shared" si="3375"/>
        <v>Pass</v>
      </c>
      <c r="Z1616" s="11" t="str">
        <f t="shared" si="3376"/>
        <v/>
      </c>
      <c r="AA1616" s="466" t="str">
        <f t="shared" si="3377"/>
        <v/>
      </c>
      <c r="AB1616" s="466" t="str">
        <f t="shared" si="3378"/>
        <v/>
      </c>
    </row>
    <row r="1617" spans="2:28" x14ac:dyDescent="0.25">
      <c r="B1617" s="66">
        <v>42138</v>
      </c>
      <c r="C1617" s="66">
        <v>42138</v>
      </c>
      <c r="D1617" s="68">
        <f t="shared" ref="D1617" si="3397">IF(B1617&gt;0,MONTH(B1617),"False")</f>
        <v>5</v>
      </c>
      <c r="E1617" s="66" t="str">
        <f t="shared" ref="E1617" si="3398">YEAR(B1617) &amp; CHOOSE(D1617,"-Jan","-Feb","-Mar","-Apr","-May","-Jun","-Jul","-Aug","-Sep","-Oct","-Nov","-Dec")</f>
        <v>2015-May</v>
      </c>
      <c r="F1617" s="68">
        <f t="shared" ref="F1617" si="3399">IF(C1617&gt;0,MONTH(C1617),"False")</f>
        <v>5</v>
      </c>
      <c r="G1617" s="469" t="s">
        <v>87</v>
      </c>
      <c r="H1617" s="469" t="s">
        <v>1745</v>
      </c>
      <c r="J1617" s="1" t="s">
        <v>333</v>
      </c>
      <c r="K1617" s="1" t="s">
        <v>82</v>
      </c>
      <c r="L1617" s="1" t="s">
        <v>79</v>
      </c>
      <c r="M1617" s="1" t="s">
        <v>2521</v>
      </c>
      <c r="N1617" s="1" t="s">
        <v>124</v>
      </c>
      <c r="O1617" s="1" t="s">
        <v>302</v>
      </c>
      <c r="R1617" s="422" t="s">
        <v>1824</v>
      </c>
      <c r="Y1617" s="466" t="str">
        <f t="shared" si="3375"/>
        <v>Unknown</v>
      </c>
      <c r="Z1617" s="11" t="str">
        <f t="shared" si="3376"/>
        <v/>
      </c>
      <c r="AA1617" s="466" t="str">
        <f t="shared" si="3377"/>
        <v/>
      </c>
      <c r="AB1617" s="466" t="str">
        <f t="shared" si="3378"/>
        <v/>
      </c>
    </row>
    <row r="1618" spans="2:28" x14ac:dyDescent="0.25">
      <c r="B1618" s="66">
        <v>42142</v>
      </c>
      <c r="C1618" s="66">
        <v>42142</v>
      </c>
      <c r="D1618" s="68">
        <f t="shared" ref="D1618" si="3400">IF(B1618&gt;0,MONTH(B1618),"False")</f>
        <v>5</v>
      </c>
      <c r="E1618" s="66" t="str">
        <f t="shared" ref="E1618" si="3401">YEAR(B1618) &amp; CHOOSE(D1618,"-Jan","-Feb","-Mar","-Apr","-May","-Jun","-Jul","-Aug","-Sep","-Oct","-Nov","-Dec")</f>
        <v>2015-May</v>
      </c>
      <c r="F1618" s="68">
        <f t="shared" ref="F1618" si="3402">IF(C1618&gt;0,MONTH(C1618),"False")</f>
        <v>5</v>
      </c>
      <c r="G1618" s="470" t="s">
        <v>112</v>
      </c>
      <c r="H1618" s="1" t="s">
        <v>103</v>
      </c>
      <c r="J1618" s="1" t="s">
        <v>78</v>
      </c>
      <c r="K1618" s="1" t="s">
        <v>78</v>
      </c>
      <c r="L1618" s="1" t="s">
        <v>79</v>
      </c>
      <c r="M1618" s="1" t="s">
        <v>2522</v>
      </c>
      <c r="N1618" s="1" t="s">
        <v>124</v>
      </c>
      <c r="O1618" s="1" t="s">
        <v>332</v>
      </c>
      <c r="R1618" s="422" t="s">
        <v>475</v>
      </c>
      <c r="S1618" s="1" t="s">
        <v>104</v>
      </c>
      <c r="X1618" s="472" t="s">
        <v>2527</v>
      </c>
      <c r="Y1618" s="466" t="str">
        <f t="shared" si="3375"/>
        <v>Pass</v>
      </c>
      <c r="Z1618" s="11" t="str">
        <f t="shared" si="3376"/>
        <v/>
      </c>
      <c r="AA1618" s="466" t="str">
        <f t="shared" si="3377"/>
        <v/>
      </c>
      <c r="AB1618" s="466" t="str">
        <f t="shared" si="3378"/>
        <v/>
      </c>
    </row>
    <row r="1619" spans="2:28" x14ac:dyDescent="0.25">
      <c r="B1619" s="66">
        <v>42144</v>
      </c>
      <c r="C1619" s="66">
        <v>42144</v>
      </c>
      <c r="D1619" s="68">
        <f t="shared" ref="D1619:D1620" si="3403">IF(B1619&gt;0,MONTH(B1619),"False")</f>
        <v>5</v>
      </c>
      <c r="E1619" s="66" t="str">
        <f t="shared" ref="E1619:E1620" si="3404">YEAR(B1619) &amp; CHOOSE(D1619,"-Jan","-Feb","-Mar","-Apr","-May","-Jun","-Jul","-Aug","-Sep","-Oct","-Nov","-Dec")</f>
        <v>2015-May</v>
      </c>
      <c r="F1619" s="68">
        <f t="shared" ref="F1619:F1620" si="3405">IF(C1619&gt;0,MONTH(C1619),"False")</f>
        <v>5</v>
      </c>
      <c r="G1619" s="471" t="s">
        <v>112</v>
      </c>
      <c r="H1619" s="1" t="s">
        <v>1685</v>
      </c>
      <c r="J1619" s="1" t="s">
        <v>77</v>
      </c>
      <c r="K1619" s="1" t="s">
        <v>82</v>
      </c>
      <c r="L1619" s="1" t="s">
        <v>79</v>
      </c>
      <c r="M1619" s="1" t="s">
        <v>2523</v>
      </c>
      <c r="N1619" s="1" t="s">
        <v>124</v>
      </c>
      <c r="O1619" s="1" t="s">
        <v>353</v>
      </c>
      <c r="R1619" s="422" t="s">
        <v>2398</v>
      </c>
      <c r="S1619" s="1" t="s">
        <v>104</v>
      </c>
      <c r="X1619" s="1" t="s">
        <v>300</v>
      </c>
      <c r="Y1619" s="466" t="str">
        <f t="shared" si="3375"/>
        <v>Pass</v>
      </c>
      <c r="Z1619" s="11" t="str">
        <f t="shared" si="3376"/>
        <v/>
      </c>
      <c r="AA1619" s="466" t="str">
        <f t="shared" si="3377"/>
        <v/>
      </c>
      <c r="AB1619" s="466" t="str">
        <f t="shared" si="3378"/>
        <v/>
      </c>
    </row>
    <row r="1620" spans="2:28" x14ac:dyDescent="0.25">
      <c r="B1620" s="65">
        <v>42144</v>
      </c>
      <c r="C1620" s="66">
        <v>42144</v>
      </c>
      <c r="D1620" s="68">
        <f t="shared" si="3403"/>
        <v>5</v>
      </c>
      <c r="E1620" s="66" t="str">
        <f t="shared" si="3404"/>
        <v>2015-May</v>
      </c>
      <c r="F1620" s="68">
        <f t="shared" si="3405"/>
        <v>5</v>
      </c>
      <c r="G1620" s="471" t="s">
        <v>121</v>
      </c>
      <c r="H1620" s="1" t="s">
        <v>76</v>
      </c>
      <c r="J1620" s="1" t="s">
        <v>77</v>
      </c>
      <c r="K1620" s="1" t="s">
        <v>82</v>
      </c>
      <c r="L1620" s="1" t="s">
        <v>79</v>
      </c>
      <c r="M1620" s="1" t="s">
        <v>2524</v>
      </c>
      <c r="N1620" s="1" t="s">
        <v>124</v>
      </c>
      <c r="O1620" s="471" t="s">
        <v>353</v>
      </c>
      <c r="P1620" s="422" t="s">
        <v>1740</v>
      </c>
      <c r="R1620" s="422" t="s">
        <v>1741</v>
      </c>
      <c r="S1620" s="1" t="s">
        <v>104</v>
      </c>
      <c r="X1620" s="1" t="s">
        <v>154</v>
      </c>
      <c r="Y1620" s="466" t="str">
        <f t="shared" si="3375"/>
        <v>Pass</v>
      </c>
      <c r="Z1620" s="11" t="str">
        <f t="shared" si="3376"/>
        <v/>
      </c>
      <c r="AA1620" s="466" t="str">
        <f t="shared" si="3377"/>
        <v/>
      </c>
      <c r="AB1620" s="466" t="str">
        <f t="shared" si="3378"/>
        <v/>
      </c>
    </row>
    <row r="1621" spans="2:28" x14ac:dyDescent="0.25">
      <c r="B1621" s="66">
        <v>42144</v>
      </c>
      <c r="C1621" s="66">
        <v>42144</v>
      </c>
      <c r="D1621" s="68">
        <f t="shared" ref="D1621" si="3406">IF(B1621&gt;0,MONTH(B1621),"False")</f>
        <v>5</v>
      </c>
      <c r="E1621" s="66" t="str">
        <f t="shared" ref="E1621" si="3407">YEAR(B1621) &amp; CHOOSE(D1621,"-Jan","-Feb","-Mar","-Apr","-May","-Jun","-Jul","-Aug","-Sep","-Oct","-Nov","-Dec")</f>
        <v>2015-May</v>
      </c>
      <c r="F1621" s="68">
        <f t="shared" ref="F1621" si="3408">IF(C1621&gt;0,MONTH(C1621),"False")</f>
        <v>5</v>
      </c>
      <c r="G1621" s="471" t="s">
        <v>112</v>
      </c>
      <c r="H1621" s="1" t="s">
        <v>136</v>
      </c>
      <c r="J1621" s="1" t="s">
        <v>98</v>
      </c>
      <c r="K1621" s="1" t="s">
        <v>84</v>
      </c>
      <c r="L1621" s="1" t="s">
        <v>79</v>
      </c>
      <c r="M1621" s="1" t="s">
        <v>2525</v>
      </c>
      <c r="N1621" s="1" t="s">
        <v>124</v>
      </c>
      <c r="O1621" s="1" t="s">
        <v>152</v>
      </c>
      <c r="R1621" s="422" t="s">
        <v>2526</v>
      </c>
      <c r="S1621" s="1" t="s">
        <v>104</v>
      </c>
      <c r="T1621" s="67" t="s">
        <v>110</v>
      </c>
      <c r="X1621" s="1" t="s">
        <v>159</v>
      </c>
      <c r="Y1621" s="474" t="str">
        <f t="shared" ref="Y1621:Y1659" si="3409">IF(Q1621&gt;0,"Obsolete",IF(S1621&gt;0,S1621,"Unknown"))</f>
        <v>Pass</v>
      </c>
      <c r="Z1621" s="11" t="str">
        <f t="shared" ref="Z1621:Z1659" si="3410">IF(Q1621="Obsolete-LQA",C1621,IF(Q1621="Obsolete-IT",B1621,""))</f>
        <v/>
      </c>
      <c r="AA1621" s="474" t="str">
        <f t="shared" ref="AA1621:AA1659" si="3411">IFERROR(YEAR(Z1621)&amp;" - "&amp; IF(LEN( WEEKNUM(Z1621))=1,"0" &amp; WEEKNUM(Z1621),WEEKNUM(Z1621)),"")</f>
        <v/>
      </c>
      <c r="AB1621" s="474" t="str">
        <f t="shared" ref="AB1621:AB1659" si="3412">IFERROR(YEAR(Z1621),"")</f>
        <v/>
      </c>
    </row>
    <row r="1622" spans="2:28" x14ac:dyDescent="0.25">
      <c r="B1622" s="66">
        <v>42146</v>
      </c>
      <c r="C1622" s="66">
        <v>42146</v>
      </c>
      <c r="D1622" s="68">
        <f t="shared" ref="D1622" si="3413">IF(B1622&gt;0,MONTH(B1622),"False")</f>
        <v>5</v>
      </c>
      <c r="E1622" s="66" t="str">
        <f t="shared" ref="E1622" si="3414">YEAR(B1622) &amp; CHOOSE(D1622,"-Jan","-Feb","-Mar","-Apr","-May","-Jun","-Jul","-Aug","-Sep","-Oct","-Nov","-Dec")</f>
        <v>2015-May</v>
      </c>
      <c r="F1622" s="68">
        <f t="shared" ref="F1622" si="3415">IF(C1622&gt;0,MONTH(C1622),"False")</f>
        <v>5</v>
      </c>
      <c r="G1622" s="473" t="s">
        <v>87</v>
      </c>
      <c r="H1622" s="1" t="s">
        <v>166</v>
      </c>
      <c r="J1622" s="1" t="s">
        <v>77</v>
      </c>
      <c r="K1622" s="1" t="s">
        <v>82</v>
      </c>
      <c r="L1622" s="1" t="s">
        <v>83</v>
      </c>
      <c r="M1622" s="1" t="s">
        <v>2528</v>
      </c>
      <c r="N1622" s="1" t="s">
        <v>124</v>
      </c>
      <c r="O1622" s="1" t="s">
        <v>162</v>
      </c>
      <c r="Q1622" s="2" t="s">
        <v>88</v>
      </c>
      <c r="R1622" s="422" t="s">
        <v>2461</v>
      </c>
      <c r="Y1622" s="474" t="str">
        <f t="shared" si="3409"/>
        <v>Obsolete</v>
      </c>
      <c r="Z1622" s="11">
        <f t="shared" si="3410"/>
        <v>42146</v>
      </c>
      <c r="AA1622" s="474" t="str">
        <f t="shared" si="3411"/>
        <v>2015 - 21</v>
      </c>
      <c r="AB1622" s="474">
        <f t="shared" si="3412"/>
        <v>2015</v>
      </c>
    </row>
    <row r="1623" spans="2:28" x14ac:dyDescent="0.25">
      <c r="B1623" s="66">
        <v>42146</v>
      </c>
      <c r="C1623" s="66">
        <v>42146</v>
      </c>
      <c r="D1623" s="68">
        <f t="shared" ref="D1623:D1624" si="3416">IF(B1623&gt;0,MONTH(B1623),"False")</f>
        <v>5</v>
      </c>
      <c r="E1623" s="66" t="str">
        <f t="shared" ref="E1623:E1624" si="3417">YEAR(B1623) &amp; CHOOSE(D1623,"-Jan","-Feb","-Mar","-Apr","-May","-Jun","-Jul","-Aug","-Sep","-Oct","-Nov","-Dec")</f>
        <v>2015-May</v>
      </c>
      <c r="F1623" s="68">
        <f t="shared" ref="F1623:F1624" si="3418">IF(C1623&gt;0,MONTH(C1623),"False")</f>
        <v>5</v>
      </c>
      <c r="G1623" s="473" t="s">
        <v>87</v>
      </c>
      <c r="H1623" s="1" t="s">
        <v>166</v>
      </c>
      <c r="J1623" s="1" t="s">
        <v>149</v>
      </c>
      <c r="K1623" s="1" t="s">
        <v>84</v>
      </c>
      <c r="L1623" s="1" t="s">
        <v>83</v>
      </c>
      <c r="M1623" s="1" t="s">
        <v>2529</v>
      </c>
      <c r="N1623" s="1" t="s">
        <v>124</v>
      </c>
      <c r="O1623" s="1" t="s">
        <v>264</v>
      </c>
      <c r="Q1623" s="2" t="s">
        <v>88</v>
      </c>
      <c r="R1623" s="422" t="s">
        <v>2473</v>
      </c>
      <c r="T1623" s="67" t="s">
        <v>110</v>
      </c>
      <c r="Y1623" s="474" t="str">
        <f t="shared" si="3409"/>
        <v>Obsolete</v>
      </c>
      <c r="Z1623" s="11">
        <f t="shared" si="3410"/>
        <v>42146</v>
      </c>
      <c r="AA1623" s="474" t="str">
        <f t="shared" si="3411"/>
        <v>2015 - 21</v>
      </c>
      <c r="AB1623" s="474">
        <f t="shared" si="3412"/>
        <v>2015</v>
      </c>
    </row>
    <row r="1624" spans="2:28" x14ac:dyDescent="0.25">
      <c r="B1624" s="65">
        <v>42146</v>
      </c>
      <c r="C1624" s="66">
        <v>42146</v>
      </c>
      <c r="D1624" s="68">
        <f t="shared" si="3416"/>
        <v>5</v>
      </c>
      <c r="E1624" s="66" t="str">
        <f t="shared" si="3417"/>
        <v>2015-May</v>
      </c>
      <c r="F1624" s="68">
        <f t="shared" si="3418"/>
        <v>5</v>
      </c>
      <c r="G1624" s="473" t="s">
        <v>121</v>
      </c>
      <c r="H1624" s="1" t="s">
        <v>86</v>
      </c>
      <c r="J1624" s="1" t="s">
        <v>77</v>
      </c>
      <c r="K1624" s="1" t="s">
        <v>82</v>
      </c>
      <c r="L1624" s="1" t="s">
        <v>79</v>
      </c>
      <c r="M1624" s="1" t="s">
        <v>2530</v>
      </c>
      <c r="N1624" s="1" t="s">
        <v>124</v>
      </c>
      <c r="O1624" s="1" t="s">
        <v>507</v>
      </c>
      <c r="P1624" s="64" t="s">
        <v>2531</v>
      </c>
      <c r="R1624" s="422" t="s">
        <v>2532</v>
      </c>
      <c r="S1624" s="1" t="s">
        <v>104</v>
      </c>
      <c r="X1624" s="1" t="s">
        <v>1312</v>
      </c>
      <c r="Y1624" s="474" t="str">
        <f t="shared" si="3409"/>
        <v>Pass</v>
      </c>
      <c r="Z1624" s="11" t="str">
        <f t="shared" si="3410"/>
        <v/>
      </c>
      <c r="AA1624" s="474" t="str">
        <f t="shared" si="3411"/>
        <v/>
      </c>
      <c r="AB1624" s="474" t="str">
        <f t="shared" si="3412"/>
        <v/>
      </c>
    </row>
    <row r="1625" spans="2:28" x14ac:dyDescent="0.25">
      <c r="B1625" s="66">
        <v>42146</v>
      </c>
      <c r="C1625" s="66">
        <v>42146</v>
      </c>
      <c r="D1625" s="68">
        <f t="shared" ref="D1625" si="3419">IF(B1625&gt;0,MONTH(B1625),"False")</f>
        <v>5</v>
      </c>
      <c r="E1625" s="66" t="str">
        <f t="shared" ref="E1625" si="3420">YEAR(B1625) &amp; CHOOSE(D1625,"-Jan","-Feb","-Mar","-Apr","-May","-Jun","-Jul","-Aug","-Sep","-Oct","-Nov","-Dec")</f>
        <v>2015-May</v>
      </c>
      <c r="F1625" s="68">
        <f t="shared" ref="F1625" si="3421">IF(C1625&gt;0,MONTH(C1625),"False")</f>
        <v>5</v>
      </c>
      <c r="G1625" s="473" t="s">
        <v>112</v>
      </c>
      <c r="H1625" s="1" t="s">
        <v>166</v>
      </c>
      <c r="J1625" s="1" t="s">
        <v>120</v>
      </c>
      <c r="K1625" s="1" t="s">
        <v>82</v>
      </c>
      <c r="L1625" s="1" t="s">
        <v>83</v>
      </c>
      <c r="M1625" s="1" t="s">
        <v>2533</v>
      </c>
      <c r="N1625" s="1" t="s">
        <v>124</v>
      </c>
      <c r="O1625" s="1" t="s">
        <v>1368</v>
      </c>
      <c r="Q1625" s="2" t="s">
        <v>88</v>
      </c>
      <c r="R1625" s="422" t="s">
        <v>2429</v>
      </c>
      <c r="S1625" s="1" t="s">
        <v>104</v>
      </c>
      <c r="T1625" s="67" t="s">
        <v>110</v>
      </c>
      <c r="X1625" s="1" t="s">
        <v>2655</v>
      </c>
      <c r="Y1625" s="474" t="str">
        <f t="shared" si="3409"/>
        <v>Obsolete</v>
      </c>
      <c r="Z1625" s="11">
        <f t="shared" si="3410"/>
        <v>42146</v>
      </c>
      <c r="AA1625" s="474" t="str">
        <f t="shared" si="3411"/>
        <v>2015 - 21</v>
      </c>
      <c r="AB1625" s="474">
        <f t="shared" si="3412"/>
        <v>2015</v>
      </c>
    </row>
    <row r="1626" spans="2:28" x14ac:dyDescent="0.25">
      <c r="B1626" s="65">
        <v>42149</v>
      </c>
      <c r="C1626" s="66">
        <v>42149</v>
      </c>
      <c r="D1626" s="68">
        <f t="shared" ref="D1626:D1627" si="3422">IF(B1626&gt;0,MONTH(B1626),"False")</f>
        <v>5</v>
      </c>
      <c r="E1626" s="66" t="str">
        <f t="shared" ref="E1626:E1627" si="3423">YEAR(B1626) &amp; CHOOSE(D1626,"-Jan","-Feb","-Mar","-Apr","-May","-Jun","-Jul","-Aug","-Sep","-Oct","-Nov","-Dec")</f>
        <v>2015-May</v>
      </c>
      <c r="F1626" s="68">
        <f t="shared" ref="F1626:F1627" si="3424">IF(C1626&gt;0,MONTH(C1626),"False")</f>
        <v>5</v>
      </c>
      <c r="G1626" s="474" t="s">
        <v>121</v>
      </c>
      <c r="H1626" s="1" t="s">
        <v>28</v>
      </c>
      <c r="J1626" s="1" t="s">
        <v>77</v>
      </c>
      <c r="K1626" s="474" t="s">
        <v>82</v>
      </c>
      <c r="L1626" s="1" t="s">
        <v>79</v>
      </c>
      <c r="M1626" s="1" t="s">
        <v>2534</v>
      </c>
      <c r="N1626" s="474" t="s">
        <v>124</v>
      </c>
      <c r="O1626" s="1" t="s">
        <v>162</v>
      </c>
      <c r="P1626" s="422" t="s">
        <v>334</v>
      </c>
      <c r="R1626" s="422" t="s">
        <v>335</v>
      </c>
      <c r="S1626" s="1" t="s">
        <v>104</v>
      </c>
      <c r="X1626" s="1" t="s">
        <v>2784</v>
      </c>
      <c r="Y1626" s="474" t="str">
        <f t="shared" si="3409"/>
        <v>Pass</v>
      </c>
      <c r="Z1626" s="11" t="str">
        <f t="shared" si="3410"/>
        <v/>
      </c>
      <c r="AA1626" s="474" t="str">
        <f t="shared" si="3411"/>
        <v/>
      </c>
      <c r="AB1626" s="474" t="str">
        <f t="shared" si="3412"/>
        <v/>
      </c>
    </row>
    <row r="1627" spans="2:28" x14ac:dyDescent="0.25">
      <c r="B1627" s="66">
        <v>42149</v>
      </c>
      <c r="C1627" s="66">
        <v>42149</v>
      </c>
      <c r="D1627" s="68">
        <f t="shared" si="3422"/>
        <v>5</v>
      </c>
      <c r="E1627" s="66" t="str">
        <f t="shared" si="3423"/>
        <v>2015-May</v>
      </c>
      <c r="F1627" s="68">
        <f t="shared" si="3424"/>
        <v>5</v>
      </c>
      <c r="G1627" s="474" t="s">
        <v>112</v>
      </c>
      <c r="H1627" s="2" t="s">
        <v>28</v>
      </c>
      <c r="J1627" s="474" t="s">
        <v>78</v>
      </c>
      <c r="K1627" s="474" t="s">
        <v>78</v>
      </c>
      <c r="L1627" s="1" t="s">
        <v>79</v>
      </c>
      <c r="M1627" s="1" t="s">
        <v>2535</v>
      </c>
      <c r="N1627" s="474" t="s">
        <v>124</v>
      </c>
      <c r="O1627" s="1" t="s">
        <v>168</v>
      </c>
      <c r="R1627" s="422" t="s">
        <v>308</v>
      </c>
      <c r="S1627" s="1" t="s">
        <v>104</v>
      </c>
      <c r="T1627" s="67" t="s">
        <v>110</v>
      </c>
      <c r="X1627" s="1" t="s">
        <v>2784</v>
      </c>
      <c r="Y1627" s="474" t="str">
        <f t="shared" si="3409"/>
        <v>Pass</v>
      </c>
      <c r="Z1627" s="11" t="str">
        <f t="shared" si="3410"/>
        <v/>
      </c>
      <c r="AA1627" s="474" t="str">
        <f t="shared" si="3411"/>
        <v/>
      </c>
      <c r="AB1627" s="474" t="str">
        <f t="shared" si="3412"/>
        <v/>
      </c>
    </row>
    <row r="1628" spans="2:28" x14ac:dyDescent="0.25">
      <c r="B1628" s="66">
        <v>42149</v>
      </c>
      <c r="C1628" s="66">
        <v>42149</v>
      </c>
      <c r="D1628" s="68">
        <f t="shared" ref="D1628" si="3425">IF(B1628&gt;0,MONTH(B1628),"False")</f>
        <v>5</v>
      </c>
      <c r="E1628" s="66" t="str">
        <f t="shared" ref="E1628" si="3426">YEAR(B1628) &amp; CHOOSE(D1628,"-Jan","-Feb","-Mar","-Apr","-May","-Jun","-Jul","-Aug","-Sep","-Oct","-Nov","-Dec")</f>
        <v>2015-May</v>
      </c>
      <c r="F1628" s="68">
        <f t="shared" ref="F1628" si="3427">IF(C1628&gt;0,MONTH(C1628),"False")</f>
        <v>5</v>
      </c>
      <c r="G1628" s="474" t="s">
        <v>87</v>
      </c>
      <c r="H1628" s="474" t="s">
        <v>166</v>
      </c>
      <c r="J1628" s="474" t="s">
        <v>78</v>
      </c>
      <c r="K1628" s="474" t="s">
        <v>78</v>
      </c>
      <c r="L1628" s="474" t="s">
        <v>79</v>
      </c>
      <c r="M1628" s="1" t="s">
        <v>2536</v>
      </c>
      <c r="N1628" s="474" t="s">
        <v>124</v>
      </c>
      <c r="O1628" s="1" t="s">
        <v>287</v>
      </c>
      <c r="R1628" s="422" t="s">
        <v>488</v>
      </c>
      <c r="Y1628" s="474" t="str">
        <f t="shared" si="3409"/>
        <v>Unknown</v>
      </c>
      <c r="Z1628" s="11" t="str">
        <f t="shared" si="3410"/>
        <v/>
      </c>
      <c r="AA1628" s="474" t="str">
        <f t="shared" si="3411"/>
        <v/>
      </c>
      <c r="AB1628" s="474" t="str">
        <f t="shared" si="3412"/>
        <v/>
      </c>
    </row>
    <row r="1629" spans="2:28" x14ac:dyDescent="0.25">
      <c r="B1629" s="66">
        <v>42149</v>
      </c>
      <c r="C1629" s="66">
        <v>42149</v>
      </c>
      <c r="D1629" s="68">
        <f t="shared" ref="D1629" si="3428">IF(B1629&gt;0,MONTH(B1629),"False")</f>
        <v>5</v>
      </c>
      <c r="E1629" s="66" t="str">
        <f t="shared" ref="E1629" si="3429">YEAR(B1629) &amp; CHOOSE(D1629,"-Jan","-Feb","-Mar","-Apr","-May","-Jun","-Jul","-Aug","-Sep","-Oct","-Nov","-Dec")</f>
        <v>2015-May</v>
      </c>
      <c r="F1629" s="68">
        <f t="shared" ref="F1629" si="3430">IF(C1629&gt;0,MONTH(C1629),"False")</f>
        <v>5</v>
      </c>
      <c r="G1629" s="474" t="s">
        <v>87</v>
      </c>
      <c r="H1629" s="474" t="s">
        <v>166</v>
      </c>
      <c r="J1629" s="1" t="s">
        <v>333</v>
      </c>
      <c r="K1629" s="1" t="s">
        <v>84</v>
      </c>
      <c r="L1629" s="1" t="s">
        <v>83</v>
      </c>
      <c r="M1629" s="1" t="s">
        <v>2537</v>
      </c>
      <c r="N1629" s="474" t="s">
        <v>124</v>
      </c>
      <c r="O1629" s="1" t="s">
        <v>148</v>
      </c>
      <c r="R1629" s="422" t="s">
        <v>2508</v>
      </c>
      <c r="Y1629" s="474" t="str">
        <f t="shared" si="3409"/>
        <v>Unknown</v>
      </c>
      <c r="Z1629" s="11" t="str">
        <f t="shared" si="3410"/>
        <v/>
      </c>
      <c r="AA1629" s="474" t="str">
        <f t="shared" si="3411"/>
        <v/>
      </c>
      <c r="AB1629" s="474" t="str">
        <f t="shared" si="3412"/>
        <v/>
      </c>
    </row>
    <row r="1630" spans="2:28" x14ac:dyDescent="0.25">
      <c r="B1630" s="66">
        <v>42149</v>
      </c>
      <c r="C1630" s="66">
        <v>42149</v>
      </c>
      <c r="D1630" s="68">
        <f t="shared" ref="D1630" si="3431">IF(B1630&gt;0,MONTH(B1630),"False")</f>
        <v>5</v>
      </c>
      <c r="E1630" s="66" t="str">
        <f t="shared" ref="E1630" si="3432">YEAR(B1630) &amp; CHOOSE(D1630,"-Jan","-Feb","-Mar","-Apr","-May","-Jun","-Jul","-Aug","-Sep","-Oct","-Nov","-Dec")</f>
        <v>2015-May</v>
      </c>
      <c r="F1630" s="68">
        <f t="shared" ref="F1630" si="3433">IF(C1630&gt;0,MONTH(C1630),"False")</f>
        <v>5</v>
      </c>
      <c r="G1630" s="474" t="s">
        <v>87</v>
      </c>
      <c r="H1630" s="474" t="s">
        <v>166</v>
      </c>
      <c r="J1630" s="474" t="s">
        <v>333</v>
      </c>
      <c r="K1630" s="474" t="s">
        <v>82</v>
      </c>
      <c r="L1630" s="1" t="s">
        <v>83</v>
      </c>
      <c r="M1630" s="1" t="s">
        <v>2538</v>
      </c>
      <c r="N1630" s="474" t="s">
        <v>124</v>
      </c>
      <c r="O1630" s="1" t="s">
        <v>2360</v>
      </c>
      <c r="R1630" s="422" t="s">
        <v>2539</v>
      </c>
      <c r="T1630" s="67" t="s">
        <v>110</v>
      </c>
      <c r="Y1630" s="474" t="str">
        <f t="shared" si="3409"/>
        <v>Unknown</v>
      </c>
      <c r="Z1630" s="11" t="str">
        <f t="shared" si="3410"/>
        <v/>
      </c>
      <c r="AA1630" s="474" t="str">
        <f t="shared" si="3411"/>
        <v/>
      </c>
      <c r="AB1630" s="474" t="str">
        <f t="shared" si="3412"/>
        <v/>
      </c>
    </row>
    <row r="1631" spans="2:28" x14ac:dyDescent="0.25">
      <c r="B1631" s="65">
        <v>42150</v>
      </c>
      <c r="C1631" s="66">
        <v>42150</v>
      </c>
      <c r="D1631" s="68">
        <f t="shared" ref="D1631:D1632" si="3434">IF(B1631&gt;0,MONTH(B1631),"False")</f>
        <v>5</v>
      </c>
      <c r="E1631" s="66" t="str">
        <f t="shared" ref="E1631:E1632" si="3435">YEAR(B1631) &amp; CHOOSE(D1631,"-Jan","-Feb","-Mar","-Apr","-May","-Jun","-Jul","-Aug","-Sep","-Oct","-Nov","-Dec")</f>
        <v>2015-May</v>
      </c>
      <c r="F1631" s="68">
        <f t="shared" ref="F1631:F1632" si="3436">IF(C1631&gt;0,MONTH(C1631),"False")</f>
        <v>5</v>
      </c>
      <c r="G1631" s="1" t="s">
        <v>121</v>
      </c>
      <c r="H1631" s="1" t="s">
        <v>1745</v>
      </c>
      <c r="I1631" s="1" t="s">
        <v>2541</v>
      </c>
      <c r="J1631" s="1" t="s">
        <v>81</v>
      </c>
      <c r="K1631" s="475" t="s">
        <v>82</v>
      </c>
      <c r="L1631" s="1" t="s">
        <v>79</v>
      </c>
      <c r="M1631" s="1" t="s">
        <v>2540</v>
      </c>
      <c r="N1631" s="475" t="s">
        <v>124</v>
      </c>
      <c r="O1631" s="1" t="s">
        <v>147</v>
      </c>
      <c r="P1631" s="422" t="s">
        <v>1823</v>
      </c>
      <c r="R1631" s="422" t="s">
        <v>1824</v>
      </c>
      <c r="S1631" s="1" t="s">
        <v>104</v>
      </c>
      <c r="X1631" s="1" t="s">
        <v>158</v>
      </c>
      <c r="Y1631" s="474" t="str">
        <f t="shared" si="3409"/>
        <v>Pass</v>
      </c>
      <c r="Z1631" s="11" t="str">
        <f t="shared" si="3410"/>
        <v/>
      </c>
      <c r="AA1631" s="474" t="str">
        <f t="shared" si="3411"/>
        <v/>
      </c>
      <c r="AB1631" s="474" t="str">
        <f t="shared" si="3412"/>
        <v/>
      </c>
    </row>
    <row r="1632" spans="2:28" x14ac:dyDescent="0.25">
      <c r="B1632" s="66">
        <v>42150</v>
      </c>
      <c r="C1632" s="66">
        <v>42150</v>
      </c>
      <c r="D1632" s="68">
        <f t="shared" si="3434"/>
        <v>5</v>
      </c>
      <c r="E1632" s="66" t="str">
        <f t="shared" si="3435"/>
        <v>2015-May</v>
      </c>
      <c r="F1632" s="68">
        <f t="shared" si="3436"/>
        <v>5</v>
      </c>
      <c r="G1632" s="484" t="s">
        <v>112</v>
      </c>
      <c r="H1632" s="1" t="s">
        <v>2091</v>
      </c>
      <c r="J1632" s="475" t="s">
        <v>149</v>
      </c>
      <c r="K1632" s="475" t="s">
        <v>84</v>
      </c>
      <c r="L1632" s="1" t="s">
        <v>79</v>
      </c>
      <c r="M1632" s="475" t="s">
        <v>2542</v>
      </c>
      <c r="N1632" s="475" t="s">
        <v>124</v>
      </c>
      <c r="O1632" s="1" t="s">
        <v>264</v>
      </c>
      <c r="R1632" s="422" t="s">
        <v>2100</v>
      </c>
      <c r="S1632" s="1" t="s">
        <v>104</v>
      </c>
      <c r="X1632" s="1" t="s">
        <v>2570</v>
      </c>
      <c r="Y1632" s="474" t="str">
        <f t="shared" si="3409"/>
        <v>Pass</v>
      </c>
      <c r="Z1632" s="11" t="str">
        <f t="shared" si="3410"/>
        <v/>
      </c>
      <c r="AA1632" s="474" t="str">
        <f t="shared" si="3411"/>
        <v/>
      </c>
      <c r="AB1632" s="474" t="str">
        <f t="shared" si="3412"/>
        <v/>
      </c>
    </row>
    <row r="1633" spans="2:28" x14ac:dyDescent="0.25">
      <c r="B1633" s="66">
        <v>42151</v>
      </c>
      <c r="C1633" s="66">
        <v>42151</v>
      </c>
      <c r="D1633" s="68">
        <f t="shared" ref="D1633" si="3437">IF(B1633&gt;0,MONTH(B1633),"False")</f>
        <v>5</v>
      </c>
      <c r="E1633" s="66" t="str">
        <f t="shared" ref="E1633" si="3438">YEAR(B1633) &amp; CHOOSE(D1633,"-Jan","-Feb","-Mar","-Apr","-May","-Jun","-Jul","-Aug","-Sep","-Oct","-Nov","-Dec")</f>
        <v>2015-May</v>
      </c>
      <c r="F1633" s="68">
        <f t="shared" ref="F1633" si="3439">IF(C1633&gt;0,MONTH(C1633),"False")</f>
        <v>5</v>
      </c>
      <c r="G1633" s="476" t="s">
        <v>87</v>
      </c>
      <c r="H1633" s="476" t="s">
        <v>166</v>
      </c>
      <c r="J1633" s="1" t="s">
        <v>292</v>
      </c>
      <c r="K1633" s="476" t="s">
        <v>292</v>
      </c>
      <c r="L1633" s="1" t="s">
        <v>83</v>
      </c>
      <c r="M1633" s="476" t="s">
        <v>2543</v>
      </c>
      <c r="N1633" s="476" t="s">
        <v>124</v>
      </c>
      <c r="O1633" s="1" t="s">
        <v>156</v>
      </c>
      <c r="R1633" s="422" t="s">
        <v>2544</v>
      </c>
      <c r="Y1633" s="474" t="str">
        <f t="shared" si="3409"/>
        <v>Unknown</v>
      </c>
      <c r="Z1633" s="11" t="str">
        <f t="shared" si="3410"/>
        <v/>
      </c>
      <c r="AA1633" s="474" t="str">
        <f t="shared" si="3411"/>
        <v/>
      </c>
      <c r="AB1633" s="474" t="str">
        <f t="shared" si="3412"/>
        <v/>
      </c>
    </row>
    <row r="1634" spans="2:28" x14ac:dyDescent="0.25">
      <c r="B1634" s="66">
        <v>42152</v>
      </c>
      <c r="C1634" s="66">
        <v>42152</v>
      </c>
      <c r="D1634" s="68">
        <f t="shared" ref="D1634" si="3440">IF(B1634&gt;0,MONTH(B1634),"False")</f>
        <v>5</v>
      </c>
      <c r="E1634" s="66" t="str">
        <f t="shared" ref="E1634" si="3441">YEAR(B1634) &amp; CHOOSE(D1634,"-Jan","-Feb","-Mar","-Apr","-May","-Jun","-Jul","-Aug","-Sep","-Oct","-Nov","-Dec")</f>
        <v>2015-May</v>
      </c>
      <c r="F1634" s="68">
        <f t="shared" ref="F1634" si="3442">IF(C1634&gt;0,MONTH(C1634),"False")</f>
        <v>5</v>
      </c>
      <c r="G1634" s="477" t="s">
        <v>112</v>
      </c>
      <c r="H1634" s="63" t="s">
        <v>280</v>
      </c>
      <c r="I1634" s="63"/>
      <c r="J1634" s="63" t="s">
        <v>78</v>
      </c>
      <c r="K1634" s="63" t="s">
        <v>78</v>
      </c>
      <c r="L1634" s="63" t="s">
        <v>79</v>
      </c>
      <c r="M1634" s="1" t="s">
        <v>2545</v>
      </c>
      <c r="N1634" s="477" t="s">
        <v>124</v>
      </c>
      <c r="O1634" s="1" t="s">
        <v>167</v>
      </c>
      <c r="R1634" s="422" t="s">
        <v>344</v>
      </c>
      <c r="S1634" s="1" t="s">
        <v>104</v>
      </c>
      <c r="X1634" s="1" t="s">
        <v>2552</v>
      </c>
      <c r="Y1634" s="474" t="str">
        <f t="shared" si="3409"/>
        <v>Pass</v>
      </c>
      <c r="Z1634" s="11" t="str">
        <f t="shared" si="3410"/>
        <v/>
      </c>
      <c r="AA1634" s="474" t="str">
        <f t="shared" si="3411"/>
        <v/>
      </c>
      <c r="AB1634" s="474" t="str">
        <f t="shared" si="3412"/>
        <v/>
      </c>
    </row>
    <row r="1635" spans="2:28" x14ac:dyDescent="0.25">
      <c r="B1635" s="65">
        <v>42152</v>
      </c>
      <c r="C1635" s="66">
        <v>42152</v>
      </c>
      <c r="D1635" s="68">
        <f t="shared" ref="D1635:D1637" si="3443">IF(B1635&gt;0,MONTH(B1635),"False")</f>
        <v>5</v>
      </c>
      <c r="E1635" s="66" t="str">
        <f t="shared" ref="E1635:E1637" si="3444">YEAR(B1635) &amp; CHOOSE(D1635,"-Jan","-Feb","-Mar","-Apr","-May","-Jun","-Jul","-Aug","-Sep","-Oct","-Nov","-Dec")</f>
        <v>2015-May</v>
      </c>
      <c r="F1635" s="68">
        <f t="shared" ref="F1635:F1637" si="3445">IF(C1635&gt;0,MONTH(C1635),"False")</f>
        <v>5</v>
      </c>
      <c r="G1635" s="1" t="s">
        <v>121</v>
      </c>
      <c r="H1635" s="1" t="s">
        <v>1685</v>
      </c>
      <c r="J1635" s="1" t="s">
        <v>81</v>
      </c>
      <c r="K1635" s="1" t="s">
        <v>82</v>
      </c>
      <c r="L1635" s="477" t="s">
        <v>79</v>
      </c>
      <c r="M1635" s="477" t="s">
        <v>2547</v>
      </c>
      <c r="N1635" s="477" t="s">
        <v>124</v>
      </c>
      <c r="O1635" s="1" t="s">
        <v>353</v>
      </c>
      <c r="P1635" s="422" t="s">
        <v>2009</v>
      </c>
      <c r="R1635" s="422" t="s">
        <v>2398</v>
      </c>
      <c r="S1635" s="1" t="s">
        <v>104</v>
      </c>
      <c r="X1635" s="1" t="s">
        <v>300</v>
      </c>
      <c r="Y1635" s="474" t="str">
        <f t="shared" si="3409"/>
        <v>Pass</v>
      </c>
      <c r="Z1635" s="11" t="str">
        <f t="shared" si="3410"/>
        <v/>
      </c>
      <c r="AA1635" s="474" t="str">
        <f t="shared" si="3411"/>
        <v/>
      </c>
      <c r="AB1635" s="474" t="str">
        <f t="shared" si="3412"/>
        <v/>
      </c>
    </row>
    <row r="1636" spans="2:28" x14ac:dyDescent="0.25">
      <c r="B1636" s="65">
        <v>42152</v>
      </c>
      <c r="C1636" s="66">
        <v>42152</v>
      </c>
      <c r="D1636" s="68">
        <f t="shared" si="3443"/>
        <v>5</v>
      </c>
      <c r="E1636" s="66" t="str">
        <f t="shared" si="3444"/>
        <v>2015-May</v>
      </c>
      <c r="F1636" s="68">
        <f t="shared" si="3445"/>
        <v>5</v>
      </c>
      <c r="G1636" s="1" t="s">
        <v>93</v>
      </c>
      <c r="H1636" s="1" t="s">
        <v>103</v>
      </c>
      <c r="J1636" s="1" t="s">
        <v>77</v>
      </c>
      <c r="K1636" s="1" t="s">
        <v>82</v>
      </c>
      <c r="L1636" s="477" t="s">
        <v>79</v>
      </c>
      <c r="M1636" s="1" t="s">
        <v>2546</v>
      </c>
      <c r="N1636" s="477" t="s">
        <v>124</v>
      </c>
      <c r="O1636" s="1" t="s">
        <v>507</v>
      </c>
      <c r="P1636" s="422" t="s">
        <v>351</v>
      </c>
      <c r="Q1636" s="2" t="s">
        <v>88</v>
      </c>
      <c r="R1636" s="422" t="s">
        <v>361</v>
      </c>
      <c r="Y1636" s="474" t="str">
        <f t="shared" si="3409"/>
        <v>Obsolete</v>
      </c>
      <c r="Z1636" s="11">
        <f t="shared" si="3410"/>
        <v>42152</v>
      </c>
      <c r="AA1636" s="474" t="str">
        <f t="shared" si="3411"/>
        <v>2015 - 22</v>
      </c>
      <c r="AB1636" s="474">
        <f t="shared" si="3412"/>
        <v>2015</v>
      </c>
    </row>
    <row r="1637" spans="2:28" x14ac:dyDescent="0.25">
      <c r="B1637" s="66">
        <v>42153</v>
      </c>
      <c r="C1637" s="66">
        <v>42153</v>
      </c>
      <c r="D1637" s="68">
        <f t="shared" si="3443"/>
        <v>5</v>
      </c>
      <c r="E1637" s="66" t="str">
        <f t="shared" si="3444"/>
        <v>2015-May</v>
      </c>
      <c r="F1637" s="68">
        <f t="shared" si="3445"/>
        <v>5</v>
      </c>
      <c r="G1637" s="1" t="s">
        <v>112</v>
      </c>
      <c r="H1637" s="478" t="s">
        <v>1685</v>
      </c>
      <c r="J1637" s="1" t="s">
        <v>146</v>
      </c>
      <c r="K1637" s="478" t="s">
        <v>82</v>
      </c>
      <c r="L1637" s="1" t="s">
        <v>83</v>
      </c>
      <c r="M1637" s="478" t="s">
        <v>2548</v>
      </c>
      <c r="N1637" s="1" t="s">
        <v>124</v>
      </c>
      <c r="O1637" s="1" t="s">
        <v>353</v>
      </c>
      <c r="R1637" s="422" t="s">
        <v>2398</v>
      </c>
      <c r="S1637" s="1" t="s">
        <v>104</v>
      </c>
      <c r="X1637" s="1" t="s">
        <v>154</v>
      </c>
      <c r="Y1637" s="474" t="str">
        <f t="shared" si="3409"/>
        <v>Pass</v>
      </c>
      <c r="Z1637" s="11" t="str">
        <f t="shared" si="3410"/>
        <v/>
      </c>
      <c r="AA1637" s="474" t="str">
        <f t="shared" si="3411"/>
        <v/>
      </c>
      <c r="AB1637" s="474" t="str">
        <f t="shared" si="3412"/>
        <v/>
      </c>
    </row>
    <row r="1638" spans="2:28" x14ac:dyDescent="0.25">
      <c r="B1638" s="66">
        <v>42153</v>
      </c>
      <c r="C1638" s="66">
        <v>42153</v>
      </c>
      <c r="D1638" s="68">
        <f t="shared" ref="D1638" si="3446">IF(B1638&gt;0,MONTH(B1638),"False")</f>
        <v>5</v>
      </c>
      <c r="E1638" s="66" t="str">
        <f t="shared" ref="E1638" si="3447">YEAR(B1638) &amp; CHOOSE(D1638,"-Jan","-Feb","-Mar","-Apr","-May","-Jun","-Jul","-Aug","-Sep","-Oct","-Nov","-Dec")</f>
        <v>2015-May</v>
      </c>
      <c r="F1638" s="68">
        <f t="shared" ref="F1638" si="3448">IF(C1638&gt;0,MONTH(C1638),"False")</f>
        <v>5</v>
      </c>
      <c r="G1638" s="478" t="s">
        <v>87</v>
      </c>
      <c r="H1638" s="478" t="s">
        <v>166</v>
      </c>
      <c r="J1638" s="1" t="s">
        <v>78</v>
      </c>
      <c r="K1638" s="478" t="s">
        <v>84</v>
      </c>
      <c r="L1638" s="478" t="s">
        <v>83</v>
      </c>
      <c r="M1638" s="478" t="s">
        <v>2553</v>
      </c>
      <c r="N1638" s="1" t="s">
        <v>124</v>
      </c>
      <c r="O1638" s="1" t="s">
        <v>152</v>
      </c>
      <c r="R1638" s="422" t="s">
        <v>2442</v>
      </c>
      <c r="Y1638" s="474" t="str">
        <f t="shared" si="3409"/>
        <v>Unknown</v>
      </c>
      <c r="Z1638" s="11" t="str">
        <f t="shared" si="3410"/>
        <v/>
      </c>
      <c r="AA1638" s="474" t="str">
        <f t="shared" si="3411"/>
        <v/>
      </c>
      <c r="AB1638" s="474" t="str">
        <f t="shared" si="3412"/>
        <v/>
      </c>
    </row>
    <row r="1639" spans="2:28" x14ac:dyDescent="0.25">
      <c r="B1639" s="66">
        <v>42153</v>
      </c>
      <c r="C1639" s="66">
        <v>42153</v>
      </c>
      <c r="D1639" s="68">
        <f t="shared" ref="D1639" si="3449">IF(B1639&gt;0,MONTH(B1639),"False")</f>
        <v>5</v>
      </c>
      <c r="E1639" s="66" t="str">
        <f t="shared" ref="E1639" si="3450">YEAR(B1639) &amp; CHOOSE(D1639,"-Jan","-Feb","-Mar","-Apr","-May","-Jun","-Jul","-Aug","-Sep","-Oct","-Nov","-Dec")</f>
        <v>2015-May</v>
      </c>
      <c r="F1639" s="68">
        <f t="shared" ref="F1639" si="3451">IF(C1639&gt;0,MONTH(C1639),"False")</f>
        <v>5</v>
      </c>
      <c r="G1639" s="478" t="s">
        <v>112</v>
      </c>
      <c r="H1639" s="478" t="s">
        <v>1685</v>
      </c>
      <c r="J1639" s="1" t="s">
        <v>78</v>
      </c>
      <c r="K1639" s="478" t="s">
        <v>78</v>
      </c>
      <c r="L1639" s="1" t="s">
        <v>79</v>
      </c>
      <c r="M1639" s="478" t="s">
        <v>2549</v>
      </c>
      <c r="N1639" s="1" t="s">
        <v>124</v>
      </c>
      <c r="O1639" s="1" t="s">
        <v>287</v>
      </c>
      <c r="R1639" s="422" t="s">
        <v>2550</v>
      </c>
      <c r="S1639" s="1" t="s">
        <v>104</v>
      </c>
      <c r="X1639" s="1" t="s">
        <v>154</v>
      </c>
      <c r="Y1639" s="474" t="str">
        <f t="shared" si="3409"/>
        <v>Pass</v>
      </c>
      <c r="Z1639" s="11" t="str">
        <f t="shared" si="3410"/>
        <v/>
      </c>
      <c r="AA1639" s="474" t="str">
        <f t="shared" si="3411"/>
        <v/>
      </c>
      <c r="AB1639" s="474" t="str">
        <f t="shared" si="3412"/>
        <v/>
      </c>
    </row>
    <row r="1640" spans="2:28" x14ac:dyDescent="0.25">
      <c r="B1640" s="66">
        <v>42153</v>
      </c>
      <c r="C1640" s="66">
        <v>42153</v>
      </c>
      <c r="D1640" s="68">
        <f t="shared" ref="D1640" si="3452">IF(B1640&gt;0,MONTH(B1640),"False")</f>
        <v>5</v>
      </c>
      <c r="E1640" s="66" t="str">
        <f t="shared" ref="E1640" si="3453">YEAR(B1640) &amp; CHOOSE(D1640,"-Jan","-Feb","-Mar","-Apr","-May","-Jun","-Jul","-Aug","-Sep","-Oct","-Nov","-Dec")</f>
        <v>2015-May</v>
      </c>
      <c r="F1640" s="68">
        <f t="shared" ref="F1640" si="3454">IF(C1640&gt;0,MONTH(C1640),"False")</f>
        <v>5</v>
      </c>
      <c r="G1640" s="478" t="s">
        <v>87</v>
      </c>
      <c r="H1640" s="478" t="s">
        <v>166</v>
      </c>
      <c r="J1640" s="1" t="s">
        <v>78</v>
      </c>
      <c r="K1640" s="1" t="s">
        <v>82</v>
      </c>
      <c r="L1640" s="1" t="s">
        <v>83</v>
      </c>
      <c r="M1640" s="478" t="s">
        <v>2551</v>
      </c>
      <c r="N1640" s="478" t="s">
        <v>124</v>
      </c>
      <c r="O1640" s="1" t="s">
        <v>343</v>
      </c>
      <c r="R1640" s="422" t="s">
        <v>2444</v>
      </c>
      <c r="Y1640" s="474" t="str">
        <f t="shared" si="3409"/>
        <v>Unknown</v>
      </c>
      <c r="Z1640" s="11" t="str">
        <f t="shared" si="3410"/>
        <v/>
      </c>
      <c r="AA1640" s="474" t="str">
        <f t="shared" si="3411"/>
        <v/>
      </c>
      <c r="AB1640" s="474" t="str">
        <f t="shared" si="3412"/>
        <v/>
      </c>
    </row>
    <row r="1641" spans="2:28" x14ac:dyDescent="0.25">
      <c r="B1641" s="66">
        <v>42156</v>
      </c>
      <c r="C1641" s="66">
        <v>42156</v>
      </c>
      <c r="D1641" s="68">
        <f t="shared" ref="D1641" si="3455">IF(B1641&gt;0,MONTH(B1641),"False")</f>
        <v>6</v>
      </c>
      <c r="E1641" s="66" t="str">
        <f t="shared" ref="E1641" si="3456">YEAR(B1641) &amp; CHOOSE(D1641,"-Jan","-Feb","-Mar","-Apr","-May","-Jun","-Jul","-Aug","-Sep","-Oct","-Nov","-Dec")</f>
        <v>2015-Jun</v>
      </c>
      <c r="F1641" s="68">
        <f t="shared" ref="F1641" si="3457">IF(C1641&gt;0,MONTH(C1641),"False")</f>
        <v>6</v>
      </c>
      <c r="G1641" s="479" t="s">
        <v>87</v>
      </c>
      <c r="H1641" s="1" t="s">
        <v>28</v>
      </c>
      <c r="J1641" s="479" t="s">
        <v>78</v>
      </c>
      <c r="K1641" s="479" t="s">
        <v>78</v>
      </c>
      <c r="L1641" s="1" t="s">
        <v>79</v>
      </c>
      <c r="M1641" s="479" t="s">
        <v>2554</v>
      </c>
      <c r="N1641" s="479" t="s">
        <v>124</v>
      </c>
      <c r="O1641" s="1" t="s">
        <v>168</v>
      </c>
      <c r="Q1641" s="2" t="s">
        <v>88</v>
      </c>
      <c r="R1641" s="422" t="s">
        <v>308</v>
      </c>
      <c r="Y1641" s="479" t="str">
        <f t="shared" ref="Y1641:Y1655" si="3458">IF(Q1641&gt;0,"Obsolete",IF(S1641&gt;0,S1641,"Unknown"))</f>
        <v>Obsolete</v>
      </c>
      <c r="Z1641" s="11">
        <f t="shared" ref="Z1641:Z1655" si="3459">IF(Q1641="Obsolete-LQA",C1641,IF(Q1641="Obsolete-IT",B1641,""))</f>
        <v>42156</v>
      </c>
      <c r="AA1641" s="479" t="str">
        <f t="shared" ref="AA1641:AA1655" si="3460">IFERROR(YEAR(Z1641)&amp;" - "&amp; IF(LEN( WEEKNUM(Z1641))=1,"0" &amp; WEEKNUM(Z1641),WEEKNUM(Z1641)),"")</f>
        <v>2015 - 23</v>
      </c>
      <c r="AB1641" s="479">
        <f t="shared" ref="AB1641:AB1655" si="3461">IFERROR(YEAR(Z1641),"")</f>
        <v>2015</v>
      </c>
    </row>
    <row r="1642" spans="2:28" x14ac:dyDescent="0.25">
      <c r="B1642" s="66">
        <v>42156</v>
      </c>
      <c r="C1642" s="66">
        <v>42156</v>
      </c>
      <c r="D1642" s="68">
        <f t="shared" ref="D1642" si="3462">IF(B1642&gt;0,MONTH(B1642),"False")</f>
        <v>6</v>
      </c>
      <c r="E1642" s="66" t="str">
        <f t="shared" ref="E1642" si="3463">YEAR(B1642) &amp; CHOOSE(D1642,"-Jan","-Feb","-Mar","-Apr","-May","-Jun","-Jul","-Aug","-Sep","-Oct","-Nov","-Dec")</f>
        <v>2015-Jun</v>
      </c>
      <c r="F1642" s="68">
        <f t="shared" ref="F1642" si="3464">IF(C1642&gt;0,MONTH(C1642),"False")</f>
        <v>6</v>
      </c>
      <c r="G1642" s="479" t="s">
        <v>112</v>
      </c>
      <c r="H1642" s="479" t="s">
        <v>28</v>
      </c>
      <c r="J1642" s="479" t="s">
        <v>78</v>
      </c>
      <c r="K1642" s="479" t="s">
        <v>78</v>
      </c>
      <c r="L1642" s="479" t="s">
        <v>79</v>
      </c>
      <c r="M1642" s="479" t="s">
        <v>2555</v>
      </c>
      <c r="N1642" s="479" t="s">
        <v>124</v>
      </c>
      <c r="O1642" s="479" t="s">
        <v>168</v>
      </c>
      <c r="R1642" s="422" t="s">
        <v>308</v>
      </c>
      <c r="S1642" s="1" t="s">
        <v>104</v>
      </c>
      <c r="X1642" s="1" t="s">
        <v>2784</v>
      </c>
      <c r="Y1642" s="479" t="str">
        <f t="shared" si="3458"/>
        <v>Pass</v>
      </c>
      <c r="Z1642" s="11" t="str">
        <f t="shared" si="3459"/>
        <v/>
      </c>
      <c r="AA1642" s="479" t="str">
        <f t="shared" si="3460"/>
        <v/>
      </c>
      <c r="AB1642" s="479" t="str">
        <f t="shared" si="3461"/>
        <v/>
      </c>
    </row>
    <row r="1643" spans="2:28" x14ac:dyDescent="0.25">
      <c r="B1643" s="65">
        <v>42156</v>
      </c>
      <c r="C1643" s="66">
        <v>42156</v>
      </c>
      <c r="D1643" s="68">
        <f t="shared" ref="D1643:D1646" si="3465">IF(B1643&gt;0,MONTH(B1643),"False")</f>
        <v>6</v>
      </c>
      <c r="E1643" s="66" t="str">
        <f t="shared" ref="E1643:E1646" si="3466">YEAR(B1643) &amp; CHOOSE(D1643,"-Jan","-Feb","-Mar","-Apr","-May","-Jun","-Jul","-Aug","-Sep","-Oct","-Nov","-Dec")</f>
        <v>2015-Jun</v>
      </c>
      <c r="F1643" s="68">
        <f t="shared" ref="F1643:F1646" si="3467">IF(C1643&gt;0,MONTH(C1643),"False")</f>
        <v>6</v>
      </c>
      <c r="G1643" s="479" t="s">
        <v>121</v>
      </c>
      <c r="H1643" s="479" t="s">
        <v>28</v>
      </c>
      <c r="J1643" s="479" t="s">
        <v>82</v>
      </c>
      <c r="K1643" s="479" t="s">
        <v>82</v>
      </c>
      <c r="L1643" s="479" t="s">
        <v>79</v>
      </c>
      <c r="M1643" s="479" t="s">
        <v>2556</v>
      </c>
      <c r="N1643" s="479" t="s">
        <v>124</v>
      </c>
      <c r="O1643" s="1" t="s">
        <v>162</v>
      </c>
      <c r="P1643" s="422" t="s">
        <v>334</v>
      </c>
      <c r="R1643" s="422" t="s">
        <v>335</v>
      </c>
      <c r="S1643" s="1" t="s">
        <v>104</v>
      </c>
      <c r="X1643" s="1" t="s">
        <v>155</v>
      </c>
      <c r="Y1643" s="479" t="str">
        <f t="shared" si="3458"/>
        <v>Pass</v>
      </c>
      <c r="Z1643" s="11" t="str">
        <f t="shared" si="3459"/>
        <v/>
      </c>
      <c r="AA1643" s="479" t="str">
        <f t="shared" si="3460"/>
        <v/>
      </c>
      <c r="AB1643" s="479" t="str">
        <f t="shared" si="3461"/>
        <v/>
      </c>
    </row>
    <row r="1644" spans="2:28" x14ac:dyDescent="0.25">
      <c r="B1644" s="65">
        <v>42157</v>
      </c>
      <c r="C1644" s="66">
        <v>42157</v>
      </c>
      <c r="D1644" s="68">
        <f t="shared" si="3465"/>
        <v>6</v>
      </c>
      <c r="E1644" s="66" t="str">
        <f t="shared" si="3466"/>
        <v>2015-Jun</v>
      </c>
      <c r="F1644" s="68">
        <f t="shared" si="3467"/>
        <v>6</v>
      </c>
      <c r="G1644" s="480" t="s">
        <v>121</v>
      </c>
      <c r="H1644" s="1" t="s">
        <v>280</v>
      </c>
      <c r="J1644" s="1" t="s">
        <v>81</v>
      </c>
      <c r="K1644" s="480" t="s">
        <v>82</v>
      </c>
      <c r="L1644" s="480" t="s">
        <v>79</v>
      </c>
      <c r="M1644" s="480" t="s">
        <v>2558</v>
      </c>
      <c r="N1644" s="1" t="s">
        <v>124</v>
      </c>
      <c r="O1644" s="1" t="s">
        <v>286</v>
      </c>
      <c r="P1644" s="422" t="s">
        <v>305</v>
      </c>
      <c r="R1644" s="422" t="s">
        <v>1559</v>
      </c>
      <c r="S1644" s="1" t="s">
        <v>104</v>
      </c>
      <c r="X1644" s="1" t="s">
        <v>2146</v>
      </c>
      <c r="Y1644" s="479" t="str">
        <f t="shared" si="3458"/>
        <v>Pass</v>
      </c>
      <c r="Z1644" s="11" t="str">
        <f t="shared" si="3459"/>
        <v/>
      </c>
      <c r="AA1644" s="479" t="str">
        <f t="shared" si="3460"/>
        <v/>
      </c>
      <c r="AB1644" s="479" t="str">
        <f t="shared" si="3461"/>
        <v/>
      </c>
    </row>
    <row r="1645" spans="2:28" x14ac:dyDescent="0.25">
      <c r="B1645" s="65">
        <v>42157</v>
      </c>
      <c r="C1645" s="66">
        <v>42157</v>
      </c>
      <c r="D1645" s="68">
        <f t="shared" si="3465"/>
        <v>6</v>
      </c>
      <c r="E1645" s="66" t="str">
        <f t="shared" si="3466"/>
        <v>2015-Jun</v>
      </c>
      <c r="F1645" s="68">
        <f t="shared" si="3467"/>
        <v>6</v>
      </c>
      <c r="G1645" s="480" t="s">
        <v>121</v>
      </c>
      <c r="H1645" s="480" t="s">
        <v>280</v>
      </c>
      <c r="J1645" s="480" t="s">
        <v>146</v>
      </c>
      <c r="K1645" s="480" t="s">
        <v>82</v>
      </c>
      <c r="L1645" s="480" t="s">
        <v>79</v>
      </c>
      <c r="M1645" s="480" t="s">
        <v>2559</v>
      </c>
      <c r="N1645" s="480" t="s">
        <v>124</v>
      </c>
      <c r="O1645" s="480" t="s">
        <v>286</v>
      </c>
      <c r="P1645" s="422" t="s">
        <v>305</v>
      </c>
      <c r="R1645" s="422" t="s">
        <v>1559</v>
      </c>
      <c r="S1645" s="1" t="s">
        <v>104</v>
      </c>
      <c r="X1645" s="1" t="s">
        <v>2146</v>
      </c>
      <c r="Y1645" s="479" t="str">
        <f t="shared" si="3458"/>
        <v>Pass</v>
      </c>
      <c r="Z1645" s="11" t="str">
        <f t="shared" si="3459"/>
        <v/>
      </c>
      <c r="AA1645" s="479" t="str">
        <f t="shared" si="3460"/>
        <v/>
      </c>
      <c r="AB1645" s="479" t="str">
        <f t="shared" si="3461"/>
        <v/>
      </c>
    </row>
    <row r="1646" spans="2:28" x14ac:dyDescent="0.25">
      <c r="B1646" s="66">
        <v>42157</v>
      </c>
      <c r="C1646" s="66">
        <v>42157</v>
      </c>
      <c r="D1646" s="68">
        <f t="shared" si="3465"/>
        <v>6</v>
      </c>
      <c r="E1646" s="66" t="str">
        <f t="shared" si="3466"/>
        <v>2015-Jun</v>
      </c>
      <c r="F1646" s="68">
        <f t="shared" si="3467"/>
        <v>6</v>
      </c>
      <c r="G1646" s="480" t="s">
        <v>112</v>
      </c>
      <c r="H1646" s="1" t="s">
        <v>1685</v>
      </c>
      <c r="J1646" s="1" t="s">
        <v>77</v>
      </c>
      <c r="K1646" s="480" t="s">
        <v>82</v>
      </c>
      <c r="L1646" s="1" t="s">
        <v>83</v>
      </c>
      <c r="M1646" s="480" t="s">
        <v>2560</v>
      </c>
      <c r="N1646" s="1" t="s">
        <v>124</v>
      </c>
      <c r="O1646" s="1" t="s">
        <v>353</v>
      </c>
      <c r="R1646" s="422" t="s">
        <v>2398</v>
      </c>
      <c r="S1646" s="1" t="s">
        <v>104</v>
      </c>
      <c r="X1646" s="1" t="s">
        <v>300</v>
      </c>
      <c r="Y1646" s="479" t="str">
        <f t="shared" si="3458"/>
        <v>Pass</v>
      </c>
      <c r="Z1646" s="11" t="str">
        <f t="shared" si="3459"/>
        <v/>
      </c>
      <c r="AA1646" s="479" t="str">
        <f t="shared" si="3460"/>
        <v/>
      </c>
      <c r="AB1646" s="479" t="str">
        <f t="shared" si="3461"/>
        <v/>
      </c>
    </row>
    <row r="1647" spans="2:28" x14ac:dyDescent="0.25">
      <c r="B1647" s="66">
        <v>42157</v>
      </c>
      <c r="C1647" s="66">
        <v>42157</v>
      </c>
      <c r="D1647" s="68">
        <f t="shared" ref="D1647:D1648" si="3468">IF(B1647&gt;0,MONTH(B1647),"False")</f>
        <v>6</v>
      </c>
      <c r="E1647" s="66" t="str">
        <f t="shared" ref="E1647:E1648" si="3469">YEAR(B1647) &amp; CHOOSE(D1647,"-Jan","-Feb","-Mar","-Apr","-May","-Jun","-Jul","-Aug","-Sep","-Oct","-Nov","-Dec")</f>
        <v>2015-Jun</v>
      </c>
      <c r="F1647" s="68">
        <f t="shared" ref="F1647:F1648" si="3470">IF(C1647&gt;0,MONTH(C1647),"False")</f>
        <v>6</v>
      </c>
      <c r="G1647" s="480" t="s">
        <v>112</v>
      </c>
      <c r="H1647" s="1" t="s">
        <v>28</v>
      </c>
      <c r="J1647" s="1" t="s">
        <v>78</v>
      </c>
      <c r="K1647" s="1" t="s">
        <v>78</v>
      </c>
      <c r="L1647" s="1" t="s">
        <v>79</v>
      </c>
      <c r="M1647" s="480" t="s">
        <v>2561</v>
      </c>
      <c r="N1647" s="1" t="s">
        <v>124</v>
      </c>
      <c r="O1647" s="1" t="s">
        <v>168</v>
      </c>
      <c r="R1647" s="422" t="s">
        <v>308</v>
      </c>
      <c r="S1647" s="1" t="s">
        <v>104</v>
      </c>
      <c r="T1647" s="67" t="s">
        <v>110</v>
      </c>
      <c r="X1647" s="1" t="s">
        <v>155</v>
      </c>
      <c r="Y1647" s="479" t="str">
        <f t="shared" si="3458"/>
        <v>Pass</v>
      </c>
      <c r="Z1647" s="11" t="str">
        <f t="shared" si="3459"/>
        <v/>
      </c>
      <c r="AA1647" s="479" t="str">
        <f t="shared" si="3460"/>
        <v/>
      </c>
      <c r="AB1647" s="479" t="str">
        <f t="shared" si="3461"/>
        <v/>
      </c>
    </row>
    <row r="1648" spans="2:28" x14ac:dyDescent="0.25">
      <c r="B1648" s="65">
        <v>42158</v>
      </c>
      <c r="C1648" s="66">
        <v>42158</v>
      </c>
      <c r="D1648" s="68">
        <f t="shared" si="3468"/>
        <v>6</v>
      </c>
      <c r="E1648" s="66" t="str">
        <f t="shared" si="3469"/>
        <v>2015-Jun</v>
      </c>
      <c r="F1648" s="68">
        <f t="shared" si="3470"/>
        <v>6</v>
      </c>
      <c r="G1648" s="481" t="s">
        <v>93</v>
      </c>
      <c r="H1648" s="1" t="s">
        <v>280</v>
      </c>
      <c r="J1648" s="1" t="s">
        <v>146</v>
      </c>
      <c r="K1648" s="1" t="s">
        <v>82</v>
      </c>
      <c r="L1648" s="1" t="s">
        <v>79</v>
      </c>
      <c r="M1648" s="1" t="s">
        <v>2562</v>
      </c>
      <c r="N1648" s="1" t="s">
        <v>124</v>
      </c>
      <c r="O1648" s="1" t="s">
        <v>286</v>
      </c>
      <c r="P1648" s="422" t="s">
        <v>305</v>
      </c>
      <c r="Q1648" s="2" t="s">
        <v>88</v>
      </c>
      <c r="R1648" s="422" t="s">
        <v>1559</v>
      </c>
      <c r="Y1648" s="479" t="str">
        <f t="shared" si="3458"/>
        <v>Obsolete</v>
      </c>
      <c r="Z1648" s="11">
        <f t="shared" si="3459"/>
        <v>42158</v>
      </c>
      <c r="AA1648" s="479" t="str">
        <f t="shared" si="3460"/>
        <v>2015 - 23</v>
      </c>
      <c r="AB1648" s="479">
        <f t="shared" si="3461"/>
        <v>2015</v>
      </c>
    </row>
    <row r="1649" spans="2:28" x14ac:dyDescent="0.25">
      <c r="B1649" s="65">
        <v>42158</v>
      </c>
      <c r="C1649" s="66">
        <v>42158</v>
      </c>
      <c r="D1649" s="68">
        <f t="shared" ref="D1649:D1651" si="3471">IF(B1649&gt;0,MONTH(B1649),"False")</f>
        <v>6</v>
      </c>
      <c r="E1649" s="66" t="str">
        <f t="shared" ref="E1649:E1651" si="3472">YEAR(B1649) &amp; CHOOSE(D1649,"-Jan","-Feb","-Mar","-Apr","-May","-Jun","-Jul","-Aug","-Sep","-Oct","-Nov","-Dec")</f>
        <v>2015-Jun</v>
      </c>
      <c r="F1649" s="68">
        <f t="shared" ref="F1649:F1651" si="3473">IF(C1649&gt;0,MONTH(C1649),"False")</f>
        <v>6</v>
      </c>
      <c r="G1649" s="481" t="s">
        <v>93</v>
      </c>
      <c r="H1649" s="481" t="s">
        <v>280</v>
      </c>
      <c r="I1649" s="481"/>
      <c r="J1649" s="481" t="s">
        <v>81</v>
      </c>
      <c r="K1649" s="481" t="s">
        <v>82</v>
      </c>
      <c r="L1649" s="481" t="s">
        <v>79</v>
      </c>
      <c r="M1649" s="1" t="s">
        <v>2563</v>
      </c>
      <c r="N1649" s="481" t="s">
        <v>124</v>
      </c>
      <c r="O1649" s="481" t="s">
        <v>286</v>
      </c>
      <c r="P1649" s="422" t="s">
        <v>305</v>
      </c>
      <c r="Q1649" s="2" t="s">
        <v>88</v>
      </c>
      <c r="R1649" s="422" t="s">
        <v>1559</v>
      </c>
      <c r="Y1649" s="479" t="str">
        <f t="shared" si="3458"/>
        <v>Obsolete</v>
      </c>
      <c r="Z1649" s="11">
        <f t="shared" si="3459"/>
        <v>42158</v>
      </c>
      <c r="AA1649" s="479" t="str">
        <f t="shared" si="3460"/>
        <v>2015 - 23</v>
      </c>
      <c r="AB1649" s="479">
        <f t="shared" si="3461"/>
        <v>2015</v>
      </c>
    </row>
    <row r="1650" spans="2:28" x14ac:dyDescent="0.25">
      <c r="B1650" s="66">
        <v>42158</v>
      </c>
      <c r="C1650" s="66">
        <v>42158</v>
      </c>
      <c r="D1650" s="68">
        <f t="shared" si="3471"/>
        <v>6</v>
      </c>
      <c r="E1650" s="66" t="str">
        <f t="shared" si="3472"/>
        <v>2015-Jun</v>
      </c>
      <c r="F1650" s="68">
        <f t="shared" si="3473"/>
        <v>6</v>
      </c>
      <c r="G1650" s="481" t="s">
        <v>112</v>
      </c>
      <c r="H1650" s="1" t="s">
        <v>280</v>
      </c>
      <c r="J1650" s="1" t="s">
        <v>78</v>
      </c>
      <c r="K1650" s="1" t="s">
        <v>78</v>
      </c>
      <c r="L1650" s="1" t="s">
        <v>79</v>
      </c>
      <c r="M1650" s="1" t="s">
        <v>2564</v>
      </c>
      <c r="N1650" s="1" t="s">
        <v>124</v>
      </c>
      <c r="O1650" s="1" t="s">
        <v>167</v>
      </c>
      <c r="R1650" s="422" t="s">
        <v>344</v>
      </c>
      <c r="S1650" s="1" t="s">
        <v>104</v>
      </c>
      <c r="X1650" s="1" t="s">
        <v>2552</v>
      </c>
      <c r="Y1650" s="479" t="str">
        <f t="shared" si="3458"/>
        <v>Pass</v>
      </c>
      <c r="Z1650" s="11" t="str">
        <f t="shared" si="3459"/>
        <v/>
      </c>
      <c r="AA1650" s="479" t="str">
        <f t="shared" si="3460"/>
        <v/>
      </c>
      <c r="AB1650" s="479" t="str">
        <f t="shared" si="3461"/>
        <v/>
      </c>
    </row>
    <row r="1651" spans="2:28" s="481" customFormat="1" x14ac:dyDescent="0.25">
      <c r="B1651" s="65">
        <v>42158</v>
      </c>
      <c r="C1651" s="66">
        <v>42158</v>
      </c>
      <c r="D1651" s="68">
        <f t="shared" si="3471"/>
        <v>6</v>
      </c>
      <c r="E1651" s="66" t="str">
        <f t="shared" si="3472"/>
        <v>2015-Jun</v>
      </c>
      <c r="F1651" s="68">
        <f t="shared" si="3473"/>
        <v>6</v>
      </c>
      <c r="G1651" s="481" t="s">
        <v>121</v>
      </c>
      <c r="H1651" s="481" t="s">
        <v>280</v>
      </c>
      <c r="J1651" s="481" t="s">
        <v>146</v>
      </c>
      <c r="K1651" s="481" t="s">
        <v>82</v>
      </c>
      <c r="L1651" s="481" t="s">
        <v>79</v>
      </c>
      <c r="M1651" s="481" t="s">
        <v>2565</v>
      </c>
      <c r="N1651" s="481" t="s">
        <v>124</v>
      </c>
      <c r="O1651" s="481" t="s">
        <v>286</v>
      </c>
      <c r="P1651" s="422" t="s">
        <v>305</v>
      </c>
      <c r="Q1651" s="2"/>
      <c r="R1651" s="422" t="s">
        <v>1559</v>
      </c>
      <c r="S1651" s="481" t="s">
        <v>104</v>
      </c>
      <c r="T1651" s="67" t="s">
        <v>110</v>
      </c>
      <c r="X1651" s="482" t="s">
        <v>2552</v>
      </c>
      <c r="Y1651" s="481" t="str">
        <f t="shared" ref="Y1651:Y1652" si="3474">IF(Q1651&gt;0,"Obsolete",IF(S1651&gt;0,S1651,"Unknown"))</f>
        <v>Pass</v>
      </c>
      <c r="Z1651" s="11" t="str">
        <f t="shared" ref="Z1651:Z1652" si="3475">IF(Q1651="Obsolete-LQA",C1651,IF(Q1651="Obsolete-IT",B1651,""))</f>
        <v/>
      </c>
      <c r="AA1651" s="481" t="str">
        <f t="shared" ref="AA1651:AA1652" si="3476">IFERROR(YEAR(Z1651)&amp;" - "&amp; IF(LEN( WEEKNUM(Z1651))=1,"0" &amp; WEEKNUM(Z1651),WEEKNUM(Z1651)),"")</f>
        <v/>
      </c>
      <c r="AB1651" s="481" t="str">
        <f t="shared" ref="AB1651:AB1652" si="3477">IFERROR(YEAR(Z1651),"")</f>
        <v/>
      </c>
    </row>
    <row r="1652" spans="2:28" s="481" customFormat="1" x14ac:dyDescent="0.25">
      <c r="B1652" s="65">
        <v>42158</v>
      </c>
      <c r="C1652" s="66">
        <v>42158</v>
      </c>
      <c r="D1652" s="68">
        <f t="shared" ref="D1652:D1654" si="3478">IF(B1652&gt;0,MONTH(B1652),"False")</f>
        <v>6</v>
      </c>
      <c r="E1652" s="66" t="str">
        <f t="shared" ref="E1652:E1654" si="3479">YEAR(B1652) &amp; CHOOSE(D1652,"-Jan","-Feb","-Mar","-Apr","-May","-Jun","-Jul","-Aug","-Sep","-Oct","-Nov","-Dec")</f>
        <v>2015-Jun</v>
      </c>
      <c r="F1652" s="68">
        <f t="shared" ref="F1652:F1654" si="3480">IF(C1652&gt;0,MONTH(C1652),"False")</f>
        <v>6</v>
      </c>
      <c r="G1652" s="483" t="s">
        <v>121</v>
      </c>
      <c r="H1652" s="481" t="s">
        <v>280</v>
      </c>
      <c r="J1652" s="481" t="s">
        <v>81</v>
      </c>
      <c r="K1652" s="481" t="s">
        <v>82</v>
      </c>
      <c r="L1652" s="481" t="s">
        <v>79</v>
      </c>
      <c r="M1652" s="481" t="s">
        <v>2566</v>
      </c>
      <c r="N1652" s="481" t="s">
        <v>124</v>
      </c>
      <c r="O1652" s="481" t="s">
        <v>286</v>
      </c>
      <c r="P1652" s="422" t="s">
        <v>305</v>
      </c>
      <c r="Q1652" s="2"/>
      <c r="R1652" s="422" t="s">
        <v>1559</v>
      </c>
      <c r="S1652" s="481" t="s">
        <v>104</v>
      </c>
      <c r="T1652" s="67" t="s">
        <v>110</v>
      </c>
      <c r="X1652" s="482" t="s">
        <v>2552</v>
      </c>
      <c r="Y1652" s="481" t="str">
        <f t="shared" si="3474"/>
        <v>Pass</v>
      </c>
      <c r="Z1652" s="11" t="str">
        <f t="shared" si="3475"/>
        <v/>
      </c>
      <c r="AA1652" s="481" t="str">
        <f t="shared" si="3476"/>
        <v/>
      </c>
      <c r="AB1652" s="481" t="str">
        <f t="shared" si="3477"/>
        <v/>
      </c>
    </row>
    <row r="1653" spans="2:28" x14ac:dyDescent="0.25">
      <c r="B1653" s="65">
        <v>42158</v>
      </c>
      <c r="C1653" s="66">
        <v>42158</v>
      </c>
      <c r="D1653" s="68">
        <f t="shared" si="3478"/>
        <v>6</v>
      </c>
      <c r="E1653" s="66" t="str">
        <f t="shared" si="3479"/>
        <v>2015-Jun</v>
      </c>
      <c r="F1653" s="68">
        <f t="shared" si="3480"/>
        <v>6</v>
      </c>
      <c r="G1653" s="481" t="s">
        <v>121</v>
      </c>
      <c r="H1653" s="1" t="s">
        <v>1685</v>
      </c>
      <c r="J1653" s="1" t="s">
        <v>81</v>
      </c>
      <c r="K1653" s="1" t="s">
        <v>82</v>
      </c>
      <c r="L1653" s="1" t="s">
        <v>79</v>
      </c>
      <c r="M1653" s="1" t="s">
        <v>2567</v>
      </c>
      <c r="N1653" s="1" t="s">
        <v>124</v>
      </c>
      <c r="O1653" s="1" t="s">
        <v>353</v>
      </c>
      <c r="P1653" s="422" t="s">
        <v>2009</v>
      </c>
      <c r="R1653" s="422" t="s">
        <v>2398</v>
      </c>
      <c r="S1653" s="1" t="s">
        <v>104</v>
      </c>
      <c r="X1653" s="1" t="s">
        <v>300</v>
      </c>
      <c r="Y1653" s="479" t="str">
        <f t="shared" si="3458"/>
        <v>Pass</v>
      </c>
      <c r="Z1653" s="11" t="str">
        <f t="shared" si="3459"/>
        <v/>
      </c>
      <c r="AA1653" s="479" t="str">
        <f t="shared" si="3460"/>
        <v/>
      </c>
      <c r="AB1653" s="479" t="str">
        <f t="shared" si="3461"/>
        <v/>
      </c>
    </row>
    <row r="1654" spans="2:28" x14ac:dyDescent="0.25">
      <c r="B1654" s="66">
        <v>42158</v>
      </c>
      <c r="C1654" s="66">
        <v>42158</v>
      </c>
      <c r="D1654" s="68">
        <f t="shared" si="3478"/>
        <v>6</v>
      </c>
      <c r="E1654" s="66" t="str">
        <f t="shared" si="3479"/>
        <v>2015-Jun</v>
      </c>
      <c r="F1654" s="68">
        <f t="shared" si="3480"/>
        <v>6</v>
      </c>
      <c r="G1654" s="481" t="s">
        <v>87</v>
      </c>
      <c r="H1654" s="1" t="s">
        <v>103</v>
      </c>
      <c r="J1654" s="1" t="s">
        <v>78</v>
      </c>
      <c r="K1654" s="1" t="s">
        <v>78</v>
      </c>
      <c r="L1654" s="1" t="s">
        <v>79</v>
      </c>
      <c r="M1654" s="1" t="s">
        <v>2568</v>
      </c>
      <c r="N1654" s="1" t="s">
        <v>124</v>
      </c>
      <c r="O1654" s="1" t="s">
        <v>332</v>
      </c>
      <c r="R1654" s="422" t="s">
        <v>475</v>
      </c>
      <c r="Y1654" s="479" t="str">
        <f t="shared" si="3458"/>
        <v>Unknown</v>
      </c>
      <c r="Z1654" s="11" t="str">
        <f t="shared" si="3459"/>
        <v/>
      </c>
      <c r="AA1654" s="479" t="str">
        <f t="shared" si="3460"/>
        <v/>
      </c>
      <c r="AB1654" s="479" t="str">
        <f t="shared" si="3461"/>
        <v/>
      </c>
    </row>
    <row r="1655" spans="2:28" x14ac:dyDescent="0.25">
      <c r="B1655" s="66">
        <v>42159</v>
      </c>
      <c r="C1655" s="66">
        <v>42159</v>
      </c>
      <c r="D1655" s="68">
        <f t="shared" ref="D1655" si="3481">IF(B1655&gt;0,MONTH(B1655),"False")</f>
        <v>6</v>
      </c>
      <c r="E1655" s="66" t="str">
        <f t="shared" ref="E1655" si="3482">YEAR(B1655) &amp; CHOOSE(D1655,"-Jan","-Feb","-Mar","-Apr","-May","-Jun","-Jul","-Aug","-Sep","-Oct","-Nov","-Dec")</f>
        <v>2015-Jun</v>
      </c>
      <c r="F1655" s="68">
        <f t="shared" ref="F1655" si="3483">IF(C1655&gt;0,MONTH(C1655),"False")</f>
        <v>6</v>
      </c>
      <c r="G1655" s="482" t="s">
        <v>87</v>
      </c>
      <c r="H1655" s="1" t="s">
        <v>280</v>
      </c>
      <c r="J1655" s="482" t="s">
        <v>78</v>
      </c>
      <c r="K1655" s="482" t="s">
        <v>78</v>
      </c>
      <c r="L1655" s="482" t="s">
        <v>79</v>
      </c>
      <c r="M1655" s="482" t="s">
        <v>2569</v>
      </c>
      <c r="N1655" s="1" t="s">
        <v>124</v>
      </c>
      <c r="O1655" s="1" t="s">
        <v>167</v>
      </c>
      <c r="Q1655" s="2" t="s">
        <v>88</v>
      </c>
      <c r="R1655" s="422" t="s">
        <v>344</v>
      </c>
      <c r="Y1655" s="479" t="str">
        <f t="shared" si="3458"/>
        <v>Obsolete</v>
      </c>
      <c r="Z1655" s="11">
        <f t="shared" si="3459"/>
        <v>42159</v>
      </c>
      <c r="AA1655" s="479" t="str">
        <f t="shared" si="3460"/>
        <v>2015 - 23</v>
      </c>
      <c r="AB1655" s="479">
        <f t="shared" si="3461"/>
        <v>2015</v>
      </c>
    </row>
    <row r="1656" spans="2:28" x14ac:dyDescent="0.25">
      <c r="B1656" s="65">
        <v>42160</v>
      </c>
      <c r="C1656" s="66">
        <v>42160</v>
      </c>
      <c r="D1656" s="68">
        <f t="shared" ref="D1656:D1657" si="3484">IF(B1656&gt;0,MONTH(B1656),"False")</f>
        <v>6</v>
      </c>
      <c r="E1656" s="66" t="str">
        <f t="shared" ref="E1656:E1657" si="3485">YEAR(B1656) &amp; CHOOSE(D1656,"-Jan","-Feb","-Mar","-Apr","-May","-Jun","-Jul","-Aug","-Sep","-Oct","-Nov","-Dec")</f>
        <v>2015-Jun</v>
      </c>
      <c r="F1656" s="68">
        <f t="shared" ref="F1656:F1657" si="3486">IF(C1656&gt;0,MONTH(C1656),"False")</f>
        <v>6</v>
      </c>
      <c r="G1656" s="486" t="s">
        <v>121</v>
      </c>
      <c r="H1656" s="1" t="s">
        <v>103</v>
      </c>
      <c r="J1656" s="484" t="s">
        <v>77</v>
      </c>
      <c r="K1656" s="484" t="s">
        <v>82</v>
      </c>
      <c r="L1656" s="484" t="s">
        <v>79</v>
      </c>
      <c r="M1656" s="484" t="s">
        <v>2571</v>
      </c>
      <c r="N1656" s="484" t="s">
        <v>124</v>
      </c>
      <c r="O1656" s="1" t="s">
        <v>507</v>
      </c>
      <c r="P1656" s="422" t="s">
        <v>351</v>
      </c>
      <c r="R1656" s="422" t="s">
        <v>361</v>
      </c>
      <c r="S1656" s="1" t="s">
        <v>104</v>
      </c>
      <c r="X1656" s="1" t="s">
        <v>1312</v>
      </c>
      <c r="Y1656" s="474" t="str">
        <f t="shared" si="3409"/>
        <v>Pass</v>
      </c>
      <c r="Z1656" s="11" t="str">
        <f t="shared" si="3410"/>
        <v/>
      </c>
      <c r="AA1656" s="474" t="str">
        <f t="shared" si="3411"/>
        <v/>
      </c>
      <c r="AB1656" s="474" t="str">
        <f t="shared" si="3412"/>
        <v/>
      </c>
    </row>
    <row r="1657" spans="2:28" x14ac:dyDescent="0.25">
      <c r="B1657" s="66">
        <v>42160</v>
      </c>
      <c r="C1657" s="66">
        <v>42160</v>
      </c>
      <c r="D1657" s="68">
        <f t="shared" si="3484"/>
        <v>6</v>
      </c>
      <c r="E1657" s="66" t="str">
        <f t="shared" si="3485"/>
        <v>2015-Jun</v>
      </c>
      <c r="F1657" s="68">
        <f t="shared" si="3486"/>
        <v>6</v>
      </c>
      <c r="G1657" s="484" t="s">
        <v>112</v>
      </c>
      <c r="H1657" s="1" t="s">
        <v>115</v>
      </c>
      <c r="J1657" s="484" t="s">
        <v>77</v>
      </c>
      <c r="K1657" s="484" t="s">
        <v>82</v>
      </c>
      <c r="L1657" s="1" t="s">
        <v>83</v>
      </c>
      <c r="M1657" s="484" t="s">
        <v>2572</v>
      </c>
      <c r="N1657" s="485" t="s">
        <v>124</v>
      </c>
      <c r="O1657" s="1" t="s">
        <v>353</v>
      </c>
      <c r="R1657" s="422" t="s">
        <v>2573</v>
      </c>
      <c r="S1657" s="1" t="s">
        <v>104</v>
      </c>
      <c r="T1657" s="67" t="s">
        <v>110</v>
      </c>
      <c r="X1657" s="1" t="s">
        <v>2803</v>
      </c>
      <c r="Y1657" s="474" t="str">
        <f t="shared" si="3409"/>
        <v>Pass</v>
      </c>
      <c r="Z1657" s="11" t="str">
        <f t="shared" si="3410"/>
        <v/>
      </c>
      <c r="AA1657" s="474" t="str">
        <f t="shared" si="3411"/>
        <v/>
      </c>
      <c r="AB1657" s="474" t="str">
        <f t="shared" si="3412"/>
        <v/>
      </c>
    </row>
    <row r="1658" spans="2:28" x14ac:dyDescent="0.25">
      <c r="B1658" s="65">
        <v>42163</v>
      </c>
      <c r="C1658" s="66">
        <v>42163</v>
      </c>
      <c r="D1658" s="68">
        <f t="shared" ref="D1658:D1659" si="3487">IF(B1658&gt;0,MONTH(B1658),"False")</f>
        <v>6</v>
      </c>
      <c r="E1658" s="66" t="str">
        <f t="shared" ref="E1658:E1659" si="3488">YEAR(B1658) &amp; CHOOSE(D1658,"-Jan","-Feb","-Mar","-Apr","-May","-Jun","-Jul","-Aug","-Sep","-Oct","-Nov","-Dec")</f>
        <v>2015-Jun</v>
      </c>
      <c r="F1658" s="68">
        <f t="shared" ref="F1658:F1659" si="3489">IF(C1658&gt;0,MONTH(C1658),"False")</f>
        <v>6</v>
      </c>
      <c r="G1658" s="485" t="s">
        <v>93</v>
      </c>
      <c r="H1658" s="1" t="s">
        <v>136</v>
      </c>
      <c r="J1658" s="485" t="s">
        <v>77</v>
      </c>
      <c r="K1658" s="485" t="s">
        <v>82</v>
      </c>
      <c r="L1658" s="1" t="s">
        <v>79</v>
      </c>
      <c r="M1658" s="485" t="s">
        <v>2582</v>
      </c>
      <c r="N1658" s="485" t="s">
        <v>124</v>
      </c>
      <c r="O1658" s="1" t="s">
        <v>114</v>
      </c>
      <c r="P1658" s="422" t="s">
        <v>750</v>
      </c>
      <c r="Q1658" s="2" t="s">
        <v>88</v>
      </c>
      <c r="R1658" s="422" t="s">
        <v>2117</v>
      </c>
      <c r="Y1658" s="474" t="str">
        <f t="shared" si="3409"/>
        <v>Obsolete</v>
      </c>
      <c r="Z1658" s="11">
        <f t="shared" si="3410"/>
        <v>42163</v>
      </c>
      <c r="AA1658" s="474" t="str">
        <f t="shared" si="3411"/>
        <v>2015 - 24</v>
      </c>
      <c r="AB1658" s="474">
        <f t="shared" si="3412"/>
        <v>2015</v>
      </c>
    </row>
    <row r="1659" spans="2:28" x14ac:dyDescent="0.25">
      <c r="B1659" s="66">
        <v>42163</v>
      </c>
      <c r="C1659" s="66">
        <v>42163</v>
      </c>
      <c r="D1659" s="68">
        <f t="shared" si="3487"/>
        <v>6</v>
      </c>
      <c r="E1659" s="66" t="str">
        <f t="shared" si="3488"/>
        <v>2015-Jun</v>
      </c>
      <c r="F1659" s="68">
        <f t="shared" si="3489"/>
        <v>6</v>
      </c>
      <c r="G1659" s="1" t="s">
        <v>87</v>
      </c>
      <c r="H1659" s="1" t="s">
        <v>166</v>
      </c>
      <c r="J1659" s="1" t="s">
        <v>333</v>
      </c>
      <c r="K1659" s="485" t="s">
        <v>82</v>
      </c>
      <c r="L1659" s="1" t="s">
        <v>83</v>
      </c>
      <c r="M1659" s="486" t="s">
        <v>2576</v>
      </c>
      <c r="N1659" s="485" t="s">
        <v>124</v>
      </c>
      <c r="O1659" s="1" t="s">
        <v>2360</v>
      </c>
      <c r="R1659" s="422" t="s">
        <v>2539</v>
      </c>
      <c r="T1659" s="67" t="s">
        <v>110</v>
      </c>
      <c r="Y1659" s="474" t="str">
        <f t="shared" si="3409"/>
        <v>Unknown</v>
      </c>
      <c r="Z1659" s="11" t="str">
        <f t="shared" si="3410"/>
        <v/>
      </c>
      <c r="AA1659" s="474" t="str">
        <f t="shared" si="3411"/>
        <v/>
      </c>
      <c r="AB1659" s="474" t="str">
        <f t="shared" si="3412"/>
        <v/>
      </c>
    </row>
    <row r="1660" spans="2:28" x14ac:dyDescent="0.25">
      <c r="B1660" s="66">
        <v>42163</v>
      </c>
      <c r="C1660" s="66">
        <v>42163</v>
      </c>
      <c r="D1660" s="68">
        <f t="shared" ref="D1660" si="3490">IF(B1660&gt;0,MONTH(B1660),"False")</f>
        <v>6</v>
      </c>
      <c r="E1660" s="66" t="str">
        <f t="shared" ref="E1660" si="3491">YEAR(B1660) &amp; CHOOSE(D1660,"-Jan","-Feb","-Mar","-Apr","-May","-Jun","-Jul","-Aug","-Sep","-Oct","-Nov","-Dec")</f>
        <v>2015-Jun</v>
      </c>
      <c r="F1660" s="68">
        <f t="shared" ref="F1660" si="3492">IF(C1660&gt;0,MONTH(C1660),"False")</f>
        <v>6</v>
      </c>
      <c r="G1660" s="485" t="s">
        <v>87</v>
      </c>
      <c r="H1660" s="485" t="s">
        <v>166</v>
      </c>
      <c r="J1660" s="485" t="s">
        <v>78</v>
      </c>
      <c r="K1660" s="485" t="s">
        <v>78</v>
      </c>
      <c r="L1660" s="1" t="s">
        <v>83</v>
      </c>
      <c r="M1660" s="485" t="s">
        <v>2574</v>
      </c>
      <c r="N1660" s="485" t="s">
        <v>124</v>
      </c>
      <c r="O1660" s="1" t="s">
        <v>151</v>
      </c>
      <c r="Q1660" s="2" t="s">
        <v>88</v>
      </c>
      <c r="R1660" s="422" t="s">
        <v>2575</v>
      </c>
      <c r="Y1660" s="491" t="str">
        <f t="shared" ref="Y1660:Y1723" si="3493">IF(Q1660&gt;0,"Obsolete",IF(S1660&gt;0,S1660,"Unknown"))</f>
        <v>Obsolete</v>
      </c>
      <c r="Z1660" s="11">
        <f t="shared" ref="Z1660:Z1723" si="3494">IF(Q1660="Obsolete-LQA",C1660,IF(Q1660="Obsolete-IT",B1660,""))</f>
        <v>42163</v>
      </c>
      <c r="AA1660" s="491" t="str">
        <f t="shared" ref="AA1660:AA1723" si="3495">IFERROR(YEAR(Z1660)&amp;" - "&amp; IF(LEN( WEEKNUM(Z1660))=1,"0" &amp; WEEKNUM(Z1660),WEEKNUM(Z1660)),"")</f>
        <v>2015 - 24</v>
      </c>
      <c r="AB1660" s="491">
        <f t="shared" ref="AB1660:AB1723" si="3496">IFERROR(YEAR(Z1660),"")</f>
        <v>2015</v>
      </c>
    </row>
    <row r="1661" spans="2:28" x14ac:dyDescent="0.25">
      <c r="B1661" s="66">
        <v>42164</v>
      </c>
      <c r="C1661" s="66">
        <v>42164</v>
      </c>
      <c r="D1661" s="68">
        <f t="shared" ref="D1661" si="3497">IF(B1661&gt;0,MONTH(B1661),"False")</f>
        <v>6</v>
      </c>
      <c r="E1661" s="66" t="str">
        <f t="shared" ref="E1661" si="3498">YEAR(B1661) &amp; CHOOSE(D1661,"-Jan","-Feb","-Mar","-Apr","-May","-Jun","-Jul","-Aug","-Sep","-Oct","-Nov","-Dec")</f>
        <v>2015-Jun</v>
      </c>
      <c r="F1661" s="68">
        <f t="shared" ref="F1661" si="3499">IF(C1661&gt;0,MONTH(C1661),"False")</f>
        <v>6</v>
      </c>
      <c r="G1661" s="487" t="s">
        <v>87</v>
      </c>
      <c r="H1661" s="487" t="s">
        <v>166</v>
      </c>
      <c r="J1661" s="1" t="s">
        <v>2578</v>
      </c>
      <c r="K1661" s="487" t="s">
        <v>2578</v>
      </c>
      <c r="L1661" s="1" t="s">
        <v>83</v>
      </c>
      <c r="M1661" s="487" t="s">
        <v>2577</v>
      </c>
      <c r="N1661" s="487" t="s">
        <v>124</v>
      </c>
      <c r="O1661" s="1" t="s">
        <v>156</v>
      </c>
      <c r="R1661" s="422" t="s">
        <v>473</v>
      </c>
      <c r="Y1661" s="491" t="str">
        <f t="shared" si="3493"/>
        <v>Unknown</v>
      </c>
      <c r="Z1661" s="11" t="str">
        <f t="shared" si="3494"/>
        <v/>
      </c>
      <c r="AA1661" s="491" t="str">
        <f t="shared" si="3495"/>
        <v/>
      </c>
      <c r="AB1661" s="491" t="str">
        <f t="shared" si="3496"/>
        <v/>
      </c>
    </row>
    <row r="1662" spans="2:28" x14ac:dyDescent="0.25">
      <c r="B1662" s="66">
        <v>42164</v>
      </c>
      <c r="C1662" s="66">
        <v>42164</v>
      </c>
      <c r="D1662" s="68">
        <f t="shared" ref="D1662" si="3500">IF(B1662&gt;0,MONTH(B1662),"False")</f>
        <v>6</v>
      </c>
      <c r="E1662" s="66" t="str">
        <f t="shared" ref="E1662" si="3501">YEAR(B1662) &amp; CHOOSE(D1662,"-Jan","-Feb","-Mar","-Apr","-May","-Jun","-Jul","-Aug","-Sep","-Oct","-Nov","-Dec")</f>
        <v>2015-Jun</v>
      </c>
      <c r="F1662" s="68">
        <f t="shared" ref="F1662" si="3502">IF(C1662&gt;0,MONTH(C1662),"False")</f>
        <v>6</v>
      </c>
      <c r="G1662" s="487" t="s">
        <v>87</v>
      </c>
      <c r="H1662" s="487" t="s">
        <v>166</v>
      </c>
      <c r="J1662" s="1" t="s">
        <v>150</v>
      </c>
      <c r="K1662" s="1" t="s">
        <v>84</v>
      </c>
      <c r="L1662" s="1" t="s">
        <v>83</v>
      </c>
      <c r="M1662" s="487" t="s">
        <v>2579</v>
      </c>
      <c r="N1662" s="1" t="s">
        <v>124</v>
      </c>
      <c r="O1662" s="1" t="s">
        <v>264</v>
      </c>
      <c r="Q1662" s="2" t="s">
        <v>88</v>
      </c>
      <c r="R1662" s="422" t="s">
        <v>2516</v>
      </c>
      <c r="Y1662" s="491" t="str">
        <f t="shared" si="3493"/>
        <v>Obsolete</v>
      </c>
      <c r="Z1662" s="11">
        <f t="shared" si="3494"/>
        <v>42164</v>
      </c>
      <c r="AA1662" s="491" t="str">
        <f t="shared" si="3495"/>
        <v>2015 - 24</v>
      </c>
      <c r="AB1662" s="491">
        <f t="shared" si="3496"/>
        <v>2015</v>
      </c>
    </row>
    <row r="1663" spans="2:28" x14ac:dyDescent="0.25">
      <c r="B1663" s="66">
        <v>42164</v>
      </c>
      <c r="C1663" s="66">
        <v>42164</v>
      </c>
      <c r="D1663" s="68">
        <f t="shared" ref="D1663" si="3503">IF(B1663&gt;0,MONTH(B1663),"False")</f>
        <v>6</v>
      </c>
      <c r="E1663" s="66" t="str">
        <f t="shared" ref="E1663" si="3504">YEAR(B1663) &amp; CHOOSE(D1663,"-Jan","-Feb","-Mar","-Apr","-May","-Jun","-Jul","-Aug","-Sep","-Oct","-Nov","-Dec")</f>
        <v>2015-Jun</v>
      </c>
      <c r="F1663" s="68">
        <f t="shared" ref="F1663" si="3505">IF(C1663&gt;0,MONTH(C1663),"False")</f>
        <v>6</v>
      </c>
      <c r="G1663" s="487" t="s">
        <v>112</v>
      </c>
      <c r="H1663" s="1" t="s">
        <v>28</v>
      </c>
      <c r="J1663" s="487" t="s">
        <v>78</v>
      </c>
      <c r="K1663" s="487" t="s">
        <v>78</v>
      </c>
      <c r="L1663" s="1" t="s">
        <v>79</v>
      </c>
      <c r="M1663" s="487" t="s">
        <v>2580</v>
      </c>
      <c r="N1663" s="487" t="s">
        <v>124</v>
      </c>
      <c r="O1663" s="1" t="s">
        <v>168</v>
      </c>
      <c r="R1663" s="422" t="s">
        <v>308</v>
      </c>
      <c r="S1663" s="1" t="s">
        <v>104</v>
      </c>
      <c r="X1663" s="492" t="s">
        <v>879</v>
      </c>
      <c r="Y1663" s="491" t="str">
        <f t="shared" si="3493"/>
        <v>Pass</v>
      </c>
      <c r="Z1663" s="11" t="str">
        <f t="shared" si="3494"/>
        <v/>
      </c>
      <c r="AA1663" s="491" t="str">
        <f t="shared" si="3495"/>
        <v/>
      </c>
      <c r="AB1663" s="491" t="str">
        <f t="shared" si="3496"/>
        <v/>
      </c>
    </row>
    <row r="1664" spans="2:28" x14ac:dyDescent="0.25">
      <c r="B1664" s="66">
        <v>42164</v>
      </c>
      <c r="C1664" s="66">
        <v>42164</v>
      </c>
      <c r="D1664" s="68">
        <f t="shared" ref="D1664" si="3506">IF(B1664&gt;0,MONTH(B1664),"False")</f>
        <v>6</v>
      </c>
      <c r="E1664" s="66" t="str">
        <f t="shared" ref="E1664" si="3507">YEAR(B1664) &amp; CHOOSE(D1664,"-Jan","-Feb","-Mar","-Apr","-May","-Jun","-Jul","-Aug","-Sep","-Oct","-Nov","-Dec")</f>
        <v>2015-Jun</v>
      </c>
      <c r="F1664" s="68">
        <f t="shared" ref="F1664" si="3508">IF(C1664&gt;0,MONTH(C1664),"False")</f>
        <v>6</v>
      </c>
      <c r="G1664" s="487" t="s">
        <v>112</v>
      </c>
      <c r="H1664" s="487" t="s">
        <v>166</v>
      </c>
      <c r="J1664" s="487" t="s">
        <v>78</v>
      </c>
      <c r="K1664" s="487" t="s">
        <v>78</v>
      </c>
      <c r="L1664" s="487" t="s">
        <v>83</v>
      </c>
      <c r="M1664" s="487" t="s">
        <v>2581</v>
      </c>
      <c r="N1664" s="487" t="s">
        <v>124</v>
      </c>
      <c r="O1664" s="1" t="s">
        <v>138</v>
      </c>
      <c r="R1664" s="422" t="s">
        <v>2575</v>
      </c>
      <c r="S1664" s="1" t="s">
        <v>104</v>
      </c>
      <c r="T1664" s="9" t="s">
        <v>110</v>
      </c>
      <c r="X1664" s="1" t="s">
        <v>154</v>
      </c>
      <c r="Y1664" s="491" t="str">
        <f t="shared" si="3493"/>
        <v>Pass</v>
      </c>
      <c r="Z1664" s="11" t="str">
        <f t="shared" si="3494"/>
        <v/>
      </c>
      <c r="AA1664" s="491" t="str">
        <f t="shared" si="3495"/>
        <v/>
      </c>
      <c r="AB1664" s="491" t="str">
        <f t="shared" si="3496"/>
        <v/>
      </c>
    </row>
    <row r="1665" spans="2:28" x14ac:dyDescent="0.25">
      <c r="B1665" s="65">
        <v>42165</v>
      </c>
      <c r="C1665" s="66">
        <v>42165</v>
      </c>
      <c r="D1665" s="68">
        <f t="shared" ref="D1665:D1666" si="3509">IF(B1665&gt;0,MONTH(B1665),"False")</f>
        <v>6</v>
      </c>
      <c r="E1665" s="66" t="str">
        <f t="shared" ref="E1665:E1666" si="3510">YEAR(B1665) &amp; CHOOSE(D1665,"-Jan","-Feb","-Mar","-Apr","-May","-Jun","-Jul","-Aug","-Sep","-Oct","-Nov","-Dec")</f>
        <v>2015-Jun</v>
      </c>
      <c r="F1665" s="68">
        <f t="shared" ref="F1665:F1666" si="3511">IF(C1665&gt;0,MONTH(C1665),"False")</f>
        <v>6</v>
      </c>
      <c r="G1665" s="1" t="s">
        <v>121</v>
      </c>
      <c r="H1665" s="1" t="s">
        <v>136</v>
      </c>
      <c r="J1665" s="488" t="s">
        <v>77</v>
      </c>
      <c r="K1665" s="488" t="s">
        <v>82</v>
      </c>
      <c r="L1665" s="488" t="s">
        <v>79</v>
      </c>
      <c r="M1665" s="488" t="s">
        <v>2583</v>
      </c>
      <c r="N1665" s="488" t="s">
        <v>124</v>
      </c>
      <c r="O1665" s="1" t="s">
        <v>114</v>
      </c>
      <c r="P1665" s="422" t="s">
        <v>750</v>
      </c>
      <c r="R1665" s="422" t="s">
        <v>2117</v>
      </c>
      <c r="S1665" s="1" t="s">
        <v>104</v>
      </c>
      <c r="X1665" s="1" t="s">
        <v>159</v>
      </c>
      <c r="Y1665" s="491" t="str">
        <f t="shared" si="3493"/>
        <v>Pass</v>
      </c>
      <c r="Z1665" s="11" t="str">
        <f t="shared" si="3494"/>
        <v/>
      </c>
      <c r="AA1665" s="491" t="str">
        <f t="shared" si="3495"/>
        <v/>
      </c>
      <c r="AB1665" s="491" t="str">
        <f t="shared" si="3496"/>
        <v/>
      </c>
    </row>
    <row r="1666" spans="2:28" x14ac:dyDescent="0.25">
      <c r="B1666" s="66">
        <v>42166</v>
      </c>
      <c r="C1666" s="66">
        <v>42166</v>
      </c>
      <c r="D1666" s="68">
        <f t="shared" si="3509"/>
        <v>6</v>
      </c>
      <c r="E1666" s="66" t="str">
        <f t="shared" si="3510"/>
        <v>2015-Jun</v>
      </c>
      <c r="F1666" s="68">
        <f t="shared" si="3511"/>
        <v>6</v>
      </c>
      <c r="G1666" s="489" t="s">
        <v>87</v>
      </c>
      <c r="H1666" s="489" t="s">
        <v>166</v>
      </c>
      <c r="J1666" s="489" t="s">
        <v>150</v>
      </c>
      <c r="K1666" s="489" t="s">
        <v>84</v>
      </c>
      <c r="L1666" s="1" t="s">
        <v>83</v>
      </c>
      <c r="M1666" s="489" t="s">
        <v>2584</v>
      </c>
      <c r="N1666" s="1" t="s">
        <v>124</v>
      </c>
      <c r="O1666" s="1" t="s">
        <v>2585</v>
      </c>
      <c r="R1666" s="422" t="s">
        <v>2473</v>
      </c>
      <c r="T1666" s="67" t="s">
        <v>110</v>
      </c>
      <c r="Y1666" s="491" t="str">
        <f t="shared" si="3493"/>
        <v>Unknown</v>
      </c>
      <c r="Z1666" s="11" t="str">
        <f t="shared" si="3494"/>
        <v/>
      </c>
      <c r="AA1666" s="491" t="str">
        <f t="shared" si="3495"/>
        <v/>
      </c>
      <c r="AB1666" s="491" t="str">
        <f t="shared" si="3496"/>
        <v/>
      </c>
    </row>
    <row r="1667" spans="2:28" x14ac:dyDescent="0.25">
      <c r="B1667" s="65">
        <v>42166</v>
      </c>
      <c r="C1667" s="66">
        <v>42166</v>
      </c>
      <c r="D1667" s="68">
        <f t="shared" ref="D1667:D1668" si="3512">IF(B1667&gt;0,MONTH(B1667),"False")</f>
        <v>6</v>
      </c>
      <c r="E1667" s="66" t="str">
        <f t="shared" ref="E1667:E1668" si="3513">YEAR(B1667) &amp; CHOOSE(D1667,"-Jan","-Feb","-Mar","-Apr","-May","-Jun","-Jul","-Aug","-Sep","-Oct","-Nov","-Dec")</f>
        <v>2015-Jun</v>
      </c>
      <c r="F1667" s="68">
        <f t="shared" ref="F1667:F1668" si="3514">IF(C1667&gt;0,MONTH(C1667),"False")</f>
        <v>6</v>
      </c>
      <c r="G1667" s="489" t="s">
        <v>93</v>
      </c>
      <c r="H1667" s="1" t="s">
        <v>28</v>
      </c>
      <c r="J1667" s="489" t="s">
        <v>77</v>
      </c>
      <c r="K1667" s="489" t="s">
        <v>82</v>
      </c>
      <c r="L1667" s="1" t="s">
        <v>79</v>
      </c>
      <c r="M1667" s="489" t="s">
        <v>2586</v>
      </c>
      <c r="N1667" s="489" t="s">
        <v>124</v>
      </c>
      <c r="O1667" s="1" t="s">
        <v>162</v>
      </c>
      <c r="P1667" s="422" t="s">
        <v>334</v>
      </c>
      <c r="Q1667" s="2" t="s">
        <v>88</v>
      </c>
      <c r="R1667" s="422" t="s">
        <v>335</v>
      </c>
      <c r="Y1667" s="491" t="str">
        <f t="shared" si="3493"/>
        <v>Obsolete</v>
      </c>
      <c r="Z1667" s="11">
        <f t="shared" si="3494"/>
        <v>42166</v>
      </c>
      <c r="AA1667" s="491" t="str">
        <f t="shared" si="3495"/>
        <v>2015 - 24</v>
      </c>
      <c r="AB1667" s="491">
        <f t="shared" si="3496"/>
        <v>2015</v>
      </c>
    </row>
    <row r="1668" spans="2:28" x14ac:dyDescent="0.25">
      <c r="B1668" s="66">
        <v>42166</v>
      </c>
      <c r="C1668" s="66">
        <v>42166</v>
      </c>
      <c r="D1668" s="68">
        <f t="shared" si="3512"/>
        <v>6</v>
      </c>
      <c r="E1668" s="66" t="str">
        <f t="shared" si="3513"/>
        <v>2015-Jun</v>
      </c>
      <c r="F1668" s="68">
        <f t="shared" si="3514"/>
        <v>6</v>
      </c>
      <c r="G1668" s="489" t="s">
        <v>87</v>
      </c>
      <c r="H1668" s="489" t="s">
        <v>166</v>
      </c>
      <c r="J1668" s="489" t="s">
        <v>77</v>
      </c>
      <c r="K1668" s="489" t="s">
        <v>82</v>
      </c>
      <c r="L1668" s="1" t="s">
        <v>83</v>
      </c>
      <c r="M1668" s="489" t="s">
        <v>2587</v>
      </c>
      <c r="N1668" s="489" t="s">
        <v>124</v>
      </c>
      <c r="O1668" s="1" t="s">
        <v>1606</v>
      </c>
      <c r="Q1668" s="2" t="s">
        <v>88</v>
      </c>
      <c r="R1668" s="422" t="s">
        <v>2461</v>
      </c>
      <c r="T1668" s="67" t="s">
        <v>110</v>
      </c>
      <c r="Y1668" s="491" t="str">
        <f t="shared" si="3493"/>
        <v>Obsolete</v>
      </c>
      <c r="Z1668" s="11">
        <f t="shared" si="3494"/>
        <v>42166</v>
      </c>
      <c r="AA1668" s="491" t="str">
        <f t="shared" si="3495"/>
        <v>2015 - 24</v>
      </c>
      <c r="AB1668" s="491">
        <f t="shared" si="3496"/>
        <v>2015</v>
      </c>
    </row>
    <row r="1669" spans="2:28" x14ac:dyDescent="0.25">
      <c r="B1669" s="65">
        <v>42166</v>
      </c>
      <c r="C1669" s="66">
        <v>42166</v>
      </c>
      <c r="D1669" s="68">
        <f t="shared" ref="D1669:D1670" si="3515">IF(B1669&gt;0,MONTH(B1669),"False")</f>
        <v>6</v>
      </c>
      <c r="E1669" s="66" t="str">
        <f t="shared" ref="E1669:E1670" si="3516">YEAR(B1669) &amp; CHOOSE(D1669,"-Jan","-Feb","-Mar","-Apr","-May","-Jun","-Jul","-Aug","-Sep","-Oct","-Nov","-Dec")</f>
        <v>2015-Jun</v>
      </c>
      <c r="F1669" s="68">
        <f t="shared" ref="F1669:F1670" si="3517">IF(C1669&gt;0,MONTH(C1669),"False")</f>
        <v>6</v>
      </c>
      <c r="G1669" s="1" t="s">
        <v>93</v>
      </c>
      <c r="H1669" s="1" t="s">
        <v>103</v>
      </c>
      <c r="J1669" s="489" t="s">
        <v>77</v>
      </c>
      <c r="K1669" s="489" t="s">
        <v>82</v>
      </c>
      <c r="L1669" s="1" t="s">
        <v>79</v>
      </c>
      <c r="M1669" s="489" t="s">
        <v>2588</v>
      </c>
      <c r="N1669" s="1" t="s">
        <v>124</v>
      </c>
      <c r="O1669" s="1" t="s">
        <v>507</v>
      </c>
      <c r="P1669" s="422" t="s">
        <v>351</v>
      </c>
      <c r="Q1669" s="2" t="s">
        <v>88</v>
      </c>
      <c r="R1669" s="422" t="s">
        <v>361</v>
      </c>
      <c r="Y1669" s="491" t="str">
        <f t="shared" si="3493"/>
        <v>Obsolete</v>
      </c>
      <c r="Z1669" s="11">
        <f t="shared" si="3494"/>
        <v>42166</v>
      </c>
      <c r="AA1669" s="491" t="str">
        <f t="shared" si="3495"/>
        <v>2015 - 24</v>
      </c>
      <c r="AB1669" s="491">
        <f t="shared" si="3496"/>
        <v>2015</v>
      </c>
    </row>
    <row r="1670" spans="2:28" x14ac:dyDescent="0.25">
      <c r="B1670" s="66">
        <v>42166</v>
      </c>
      <c r="C1670" s="66">
        <v>42166</v>
      </c>
      <c r="D1670" s="68">
        <f t="shared" si="3515"/>
        <v>6</v>
      </c>
      <c r="E1670" s="66" t="str">
        <f t="shared" si="3516"/>
        <v>2015-Jun</v>
      </c>
      <c r="F1670" s="68">
        <f t="shared" si="3517"/>
        <v>6</v>
      </c>
      <c r="G1670" s="489" t="s">
        <v>87</v>
      </c>
      <c r="H1670" s="489" t="s">
        <v>166</v>
      </c>
      <c r="J1670" s="1" t="s">
        <v>2252</v>
      </c>
      <c r="K1670" s="489" t="s">
        <v>82</v>
      </c>
      <c r="L1670" s="1" t="s">
        <v>83</v>
      </c>
      <c r="M1670" s="489" t="s">
        <v>2589</v>
      </c>
      <c r="N1670" s="1" t="s">
        <v>124</v>
      </c>
      <c r="O1670" s="1" t="s">
        <v>1368</v>
      </c>
      <c r="Q1670" s="2" t="s">
        <v>88</v>
      </c>
      <c r="R1670" s="422" t="s">
        <v>2256</v>
      </c>
      <c r="S1670" s="1" t="s">
        <v>2084</v>
      </c>
      <c r="Y1670" s="491" t="str">
        <f t="shared" si="3493"/>
        <v>Obsolete</v>
      </c>
      <c r="Z1670" s="11">
        <f t="shared" si="3494"/>
        <v>42166</v>
      </c>
      <c r="AA1670" s="491" t="str">
        <f t="shared" si="3495"/>
        <v>2015 - 24</v>
      </c>
      <c r="AB1670" s="491">
        <f t="shared" si="3496"/>
        <v>2015</v>
      </c>
    </row>
    <row r="1671" spans="2:28" x14ac:dyDescent="0.25">
      <c r="B1671" s="66">
        <v>42167</v>
      </c>
      <c r="C1671" s="66">
        <v>42167</v>
      </c>
      <c r="D1671" s="68">
        <f t="shared" ref="D1671" si="3518">IF(B1671&gt;0,MONTH(B1671),"False")</f>
        <v>6</v>
      </c>
      <c r="E1671" s="66" t="str">
        <f t="shared" ref="E1671" si="3519">YEAR(B1671) &amp; CHOOSE(D1671,"-Jan","-Feb","-Mar","-Apr","-May","-Jun","-Jul","-Aug","-Sep","-Oct","-Nov","-Dec")</f>
        <v>2015-Jun</v>
      </c>
      <c r="F1671" s="68">
        <f t="shared" ref="F1671" si="3520">IF(C1671&gt;0,MONTH(C1671),"False")</f>
        <v>6</v>
      </c>
      <c r="G1671" s="490" t="s">
        <v>87</v>
      </c>
      <c r="H1671" s="490" t="s">
        <v>166</v>
      </c>
      <c r="J1671" s="490" t="s">
        <v>2252</v>
      </c>
      <c r="K1671" s="490" t="s">
        <v>84</v>
      </c>
      <c r="L1671" s="1" t="s">
        <v>83</v>
      </c>
      <c r="M1671" s="490" t="s">
        <v>2590</v>
      </c>
      <c r="N1671" s="1" t="s">
        <v>124</v>
      </c>
      <c r="O1671" s="1" t="s">
        <v>2253</v>
      </c>
      <c r="R1671" s="422" t="s">
        <v>2591</v>
      </c>
      <c r="S1671" s="1" t="s">
        <v>2084</v>
      </c>
      <c r="Y1671" s="491" t="str">
        <f t="shared" si="3493"/>
        <v>Fail</v>
      </c>
      <c r="Z1671" s="11" t="str">
        <f t="shared" si="3494"/>
        <v/>
      </c>
      <c r="AA1671" s="491" t="str">
        <f t="shared" si="3495"/>
        <v/>
      </c>
      <c r="AB1671" s="491" t="str">
        <f t="shared" si="3496"/>
        <v/>
      </c>
    </row>
    <row r="1672" spans="2:28" x14ac:dyDescent="0.25">
      <c r="B1672" s="65">
        <v>42167</v>
      </c>
      <c r="C1672" s="66">
        <v>42167</v>
      </c>
      <c r="D1672" s="68">
        <f t="shared" ref="D1672" si="3521">IF(B1672&gt;0,MONTH(B1672),"False")</f>
        <v>6</v>
      </c>
      <c r="E1672" s="66" t="str">
        <f t="shared" ref="E1672" si="3522">YEAR(B1672) &amp; CHOOSE(D1672,"-Jan","-Feb","-Mar","-Apr","-May","-Jun","-Jul","-Aug","-Sep","-Oct","-Nov","-Dec")</f>
        <v>2015-Jun</v>
      </c>
      <c r="F1672" s="68">
        <f t="shared" ref="F1672" si="3523">IF(C1672&gt;0,MONTH(C1672),"False")</f>
        <v>6</v>
      </c>
      <c r="G1672" s="490" t="s">
        <v>93</v>
      </c>
      <c r="H1672" s="490" t="s">
        <v>166</v>
      </c>
      <c r="I1672" s="1" t="s">
        <v>2617</v>
      </c>
      <c r="J1672" s="1" t="s">
        <v>81</v>
      </c>
      <c r="K1672" s="1" t="s">
        <v>82</v>
      </c>
      <c r="L1672" s="1" t="s">
        <v>79</v>
      </c>
      <c r="M1672" s="490" t="s">
        <v>2592</v>
      </c>
      <c r="N1672" s="1" t="s">
        <v>124</v>
      </c>
      <c r="O1672" s="1" t="s">
        <v>302</v>
      </c>
      <c r="P1672" s="422" t="s">
        <v>289</v>
      </c>
      <c r="R1672" s="422" t="s">
        <v>290</v>
      </c>
      <c r="S1672" s="1" t="s">
        <v>104</v>
      </c>
      <c r="Y1672" s="491" t="str">
        <f t="shared" si="3493"/>
        <v>Pass</v>
      </c>
      <c r="Z1672" s="11" t="str">
        <f t="shared" si="3494"/>
        <v/>
      </c>
      <c r="AA1672" s="491" t="str">
        <f t="shared" si="3495"/>
        <v/>
      </c>
      <c r="AB1672" s="491" t="str">
        <f t="shared" si="3496"/>
        <v/>
      </c>
    </row>
    <row r="1673" spans="2:28" x14ac:dyDescent="0.25">
      <c r="B1673" s="66">
        <v>42170</v>
      </c>
      <c r="C1673" s="66">
        <v>42170</v>
      </c>
      <c r="D1673" s="68">
        <f t="shared" ref="D1673" si="3524">IF(B1673&gt;0,MONTH(B1673),"False")</f>
        <v>6</v>
      </c>
      <c r="E1673" s="66" t="str">
        <f t="shared" ref="E1673" si="3525">YEAR(B1673) &amp; CHOOSE(D1673,"-Jan","-Feb","-Mar","-Apr","-May","-Jun","-Jul","-Aug","-Sep","-Oct","-Nov","-Dec")</f>
        <v>2015-Jun</v>
      </c>
      <c r="F1673" s="68">
        <f t="shared" ref="F1673" si="3526">IF(C1673&gt;0,MONTH(C1673),"False")</f>
        <v>6</v>
      </c>
      <c r="G1673" s="491" t="s">
        <v>112</v>
      </c>
      <c r="H1673" s="1" t="s">
        <v>280</v>
      </c>
      <c r="J1673" s="1" t="s">
        <v>78</v>
      </c>
      <c r="K1673" s="1" t="s">
        <v>78</v>
      </c>
      <c r="L1673" s="1" t="s">
        <v>79</v>
      </c>
      <c r="M1673" s="1" t="s">
        <v>2593</v>
      </c>
      <c r="N1673" s="1" t="s">
        <v>124</v>
      </c>
      <c r="O1673" s="1" t="s">
        <v>167</v>
      </c>
      <c r="R1673" s="422" t="s">
        <v>344</v>
      </c>
      <c r="S1673" s="1" t="s">
        <v>104</v>
      </c>
      <c r="T1673" s="67" t="s">
        <v>110</v>
      </c>
      <c r="X1673" s="491" t="s">
        <v>2552</v>
      </c>
      <c r="Y1673" s="491" t="str">
        <f t="shared" si="3493"/>
        <v>Pass</v>
      </c>
      <c r="Z1673" s="11" t="str">
        <f t="shared" si="3494"/>
        <v/>
      </c>
      <c r="AA1673" s="491" t="str">
        <f t="shared" si="3495"/>
        <v/>
      </c>
      <c r="AB1673" s="491" t="str">
        <f t="shared" si="3496"/>
        <v/>
      </c>
    </row>
    <row r="1674" spans="2:28" x14ac:dyDescent="0.25">
      <c r="B1674" s="65">
        <v>42173</v>
      </c>
      <c r="C1674" s="66">
        <v>42173</v>
      </c>
      <c r="D1674" s="68">
        <f t="shared" ref="D1674:D1675" si="3527">IF(B1674&gt;0,MONTH(B1674),"False")</f>
        <v>6</v>
      </c>
      <c r="E1674" s="66" t="str">
        <f t="shared" ref="E1674:E1675" si="3528">YEAR(B1674) &amp; CHOOSE(D1674,"-Jan","-Feb","-Mar","-Apr","-May","-Jun","-Jul","-Aug","-Sep","-Oct","-Nov","-Dec")</f>
        <v>2015-Jun</v>
      </c>
      <c r="F1674" s="68">
        <f t="shared" ref="F1674:F1675" si="3529">IF(C1674&gt;0,MONTH(C1674),"False")</f>
        <v>6</v>
      </c>
      <c r="G1674" s="1" t="s">
        <v>121</v>
      </c>
      <c r="H1674" s="1" t="s">
        <v>28</v>
      </c>
      <c r="J1674" s="1" t="s">
        <v>77</v>
      </c>
      <c r="K1674" s="1" t="s">
        <v>82</v>
      </c>
      <c r="L1674" s="1" t="s">
        <v>79</v>
      </c>
      <c r="M1674" s="493" t="s">
        <v>2594</v>
      </c>
      <c r="N1674" s="1" t="s">
        <v>124</v>
      </c>
      <c r="O1674" s="1" t="s">
        <v>162</v>
      </c>
      <c r="P1674" s="422" t="s">
        <v>334</v>
      </c>
      <c r="R1674" s="422" t="s">
        <v>335</v>
      </c>
      <c r="S1674" s="1" t="s">
        <v>104</v>
      </c>
      <c r="X1674" s="1" t="s">
        <v>155</v>
      </c>
      <c r="Y1674" s="491" t="str">
        <f t="shared" si="3493"/>
        <v>Pass</v>
      </c>
      <c r="Z1674" s="11" t="str">
        <f t="shared" si="3494"/>
        <v/>
      </c>
      <c r="AA1674" s="491" t="str">
        <f t="shared" si="3495"/>
        <v/>
      </c>
      <c r="AB1674" s="491" t="str">
        <f t="shared" si="3496"/>
        <v/>
      </c>
    </row>
    <row r="1675" spans="2:28" x14ac:dyDescent="0.25">
      <c r="B1675" s="66">
        <v>42173</v>
      </c>
      <c r="C1675" s="66">
        <v>42173</v>
      </c>
      <c r="D1675" s="68">
        <f t="shared" si="3527"/>
        <v>6</v>
      </c>
      <c r="E1675" s="66" t="str">
        <f t="shared" si="3528"/>
        <v>2015-Jun</v>
      </c>
      <c r="F1675" s="68">
        <f t="shared" si="3529"/>
        <v>6</v>
      </c>
      <c r="G1675" s="1" t="s">
        <v>87</v>
      </c>
      <c r="H1675" s="1" t="s">
        <v>166</v>
      </c>
      <c r="J1675" s="1" t="s">
        <v>333</v>
      </c>
      <c r="K1675" s="493" t="s">
        <v>82</v>
      </c>
      <c r="L1675" s="1" t="s">
        <v>83</v>
      </c>
      <c r="M1675" s="493" t="s">
        <v>2595</v>
      </c>
      <c r="N1675" s="1" t="s">
        <v>124</v>
      </c>
      <c r="O1675" s="1" t="s">
        <v>2360</v>
      </c>
      <c r="R1675" s="422" t="s">
        <v>2539</v>
      </c>
      <c r="S1675" s="1" t="s">
        <v>104</v>
      </c>
      <c r="Y1675" s="491" t="str">
        <f t="shared" si="3493"/>
        <v>Pass</v>
      </c>
      <c r="Z1675" s="11" t="str">
        <f t="shared" si="3494"/>
        <v/>
      </c>
      <c r="AA1675" s="491" t="str">
        <f t="shared" si="3495"/>
        <v/>
      </c>
      <c r="AB1675" s="491" t="str">
        <f t="shared" si="3496"/>
        <v/>
      </c>
    </row>
    <row r="1676" spans="2:28" x14ac:dyDescent="0.25">
      <c r="B1676" s="66">
        <v>42173</v>
      </c>
      <c r="C1676" s="66">
        <v>42173</v>
      </c>
      <c r="D1676" s="68">
        <f t="shared" ref="D1676:D1677" si="3530">IF(B1676&gt;0,MONTH(B1676),"False")</f>
        <v>6</v>
      </c>
      <c r="E1676" s="66" t="str">
        <f t="shared" ref="E1676:E1677" si="3531">YEAR(B1676) &amp; CHOOSE(D1676,"-Jan","-Feb","-Mar","-Apr","-May","-Jun","-Jul","-Aug","-Sep","-Oct","-Nov","-Dec")</f>
        <v>2015-Jun</v>
      </c>
      <c r="F1676" s="68">
        <f t="shared" ref="F1676:F1677" si="3532">IF(C1676&gt;0,MONTH(C1676),"False")</f>
        <v>6</v>
      </c>
      <c r="G1676" s="493" t="s">
        <v>112</v>
      </c>
      <c r="H1676" s="1" t="s">
        <v>115</v>
      </c>
      <c r="J1676" s="493" t="s">
        <v>77</v>
      </c>
      <c r="K1676" s="493" t="s">
        <v>82</v>
      </c>
      <c r="L1676" s="1" t="s">
        <v>83</v>
      </c>
      <c r="M1676" s="493" t="s">
        <v>2596</v>
      </c>
      <c r="N1676" s="1" t="s">
        <v>124</v>
      </c>
      <c r="O1676" s="1" t="s">
        <v>507</v>
      </c>
      <c r="R1676" s="422" t="s">
        <v>2573</v>
      </c>
      <c r="S1676" s="1" t="s">
        <v>104</v>
      </c>
      <c r="X1676" s="1" t="s">
        <v>1312</v>
      </c>
      <c r="Y1676" s="491" t="str">
        <f t="shared" si="3493"/>
        <v>Pass</v>
      </c>
      <c r="Z1676" s="11" t="str">
        <f t="shared" si="3494"/>
        <v/>
      </c>
      <c r="AA1676" s="491" t="str">
        <f t="shared" si="3495"/>
        <v/>
      </c>
      <c r="AB1676" s="491" t="str">
        <f t="shared" si="3496"/>
        <v/>
      </c>
    </row>
    <row r="1677" spans="2:28" x14ac:dyDescent="0.25">
      <c r="B1677" s="65">
        <v>42174</v>
      </c>
      <c r="C1677" s="66">
        <v>42174</v>
      </c>
      <c r="D1677" s="68">
        <f t="shared" si="3530"/>
        <v>6</v>
      </c>
      <c r="E1677" s="66" t="str">
        <f t="shared" si="3531"/>
        <v>2015-Jun</v>
      </c>
      <c r="F1677" s="68">
        <f t="shared" si="3532"/>
        <v>6</v>
      </c>
      <c r="G1677" s="1" t="s">
        <v>121</v>
      </c>
      <c r="H1677" s="1" t="s">
        <v>280</v>
      </c>
      <c r="J1677" s="494" t="s">
        <v>81</v>
      </c>
      <c r="K1677" s="494" t="s">
        <v>82</v>
      </c>
      <c r="L1677" s="1" t="s">
        <v>79</v>
      </c>
      <c r="M1677" s="494" t="s">
        <v>2597</v>
      </c>
      <c r="N1677" s="1" t="s">
        <v>124</v>
      </c>
      <c r="O1677" s="1" t="s">
        <v>2598</v>
      </c>
      <c r="P1677" s="422" t="s">
        <v>305</v>
      </c>
      <c r="R1677" s="422" t="s">
        <v>1559</v>
      </c>
      <c r="S1677" s="1" t="s">
        <v>104</v>
      </c>
      <c r="X1677" s="1" t="s">
        <v>2146</v>
      </c>
      <c r="Y1677" s="491" t="str">
        <f t="shared" si="3493"/>
        <v>Pass</v>
      </c>
      <c r="Z1677" s="11" t="str">
        <f t="shared" si="3494"/>
        <v/>
      </c>
      <c r="AA1677" s="491" t="str">
        <f t="shared" si="3495"/>
        <v/>
      </c>
      <c r="AB1677" s="491" t="str">
        <f t="shared" si="3496"/>
        <v/>
      </c>
    </row>
    <row r="1678" spans="2:28" x14ac:dyDescent="0.25">
      <c r="B1678" s="66">
        <v>42177</v>
      </c>
      <c r="C1678" s="66">
        <v>42177</v>
      </c>
      <c r="D1678" s="68">
        <f t="shared" ref="D1678" si="3533">IF(B1678&gt;0,MONTH(B1678),"False")</f>
        <v>6</v>
      </c>
      <c r="E1678" s="66" t="str">
        <f t="shared" ref="E1678" si="3534">YEAR(B1678) &amp; CHOOSE(D1678,"-Jan","-Feb","-Mar","-Apr","-May","-Jun","-Jul","-Aug","-Sep","-Oct","-Nov","-Dec")</f>
        <v>2015-Jun</v>
      </c>
      <c r="F1678" s="68">
        <f t="shared" ref="F1678" si="3535">IF(C1678&gt;0,MONTH(C1678),"False")</f>
        <v>6</v>
      </c>
      <c r="G1678" s="495" t="s">
        <v>112</v>
      </c>
      <c r="H1678" s="1" t="s">
        <v>166</v>
      </c>
      <c r="J1678" s="495" t="s">
        <v>78</v>
      </c>
      <c r="K1678" s="495" t="s">
        <v>78</v>
      </c>
      <c r="L1678" s="1" t="s">
        <v>79</v>
      </c>
      <c r="M1678" s="495" t="s">
        <v>2599</v>
      </c>
      <c r="N1678" s="1" t="s">
        <v>124</v>
      </c>
      <c r="O1678" s="1" t="s">
        <v>2600</v>
      </c>
      <c r="R1678" s="422" t="s">
        <v>2575</v>
      </c>
      <c r="S1678" s="1" t="s">
        <v>104</v>
      </c>
      <c r="T1678" s="9" t="s">
        <v>110</v>
      </c>
      <c r="X1678" s="1" t="s">
        <v>154</v>
      </c>
      <c r="Y1678" s="491" t="str">
        <f t="shared" si="3493"/>
        <v>Pass</v>
      </c>
      <c r="Z1678" s="11" t="str">
        <f t="shared" si="3494"/>
        <v/>
      </c>
      <c r="AA1678" s="491" t="str">
        <f t="shared" si="3495"/>
        <v/>
      </c>
      <c r="AB1678" s="491" t="str">
        <f t="shared" si="3496"/>
        <v/>
      </c>
    </row>
    <row r="1679" spans="2:28" x14ac:dyDescent="0.25">
      <c r="B1679" s="66">
        <v>42177</v>
      </c>
      <c r="C1679" s="66">
        <v>42177</v>
      </c>
      <c r="D1679" s="68">
        <f t="shared" ref="D1679" si="3536">IF(B1679&gt;0,MONTH(B1679),"False")</f>
        <v>6</v>
      </c>
      <c r="E1679" s="66" t="str">
        <f t="shared" ref="E1679" si="3537">YEAR(B1679) &amp; CHOOSE(D1679,"-Jan","-Feb","-Mar","-Apr","-May","-Jun","-Jul","-Aug","-Sep","-Oct","-Nov","-Dec")</f>
        <v>2015-Jun</v>
      </c>
      <c r="F1679" s="68">
        <f t="shared" ref="F1679" si="3538">IF(C1679&gt;0,MONTH(C1679),"False")</f>
        <v>6</v>
      </c>
      <c r="G1679" s="495" t="s">
        <v>112</v>
      </c>
      <c r="H1679" s="495" t="s">
        <v>166</v>
      </c>
      <c r="J1679" s="495" t="s">
        <v>150</v>
      </c>
      <c r="K1679" s="495" t="s">
        <v>84</v>
      </c>
      <c r="L1679" s="1" t="s">
        <v>83</v>
      </c>
      <c r="M1679" s="495" t="s">
        <v>2602</v>
      </c>
      <c r="N1679" s="1" t="s">
        <v>124</v>
      </c>
      <c r="O1679" s="1" t="s">
        <v>2601</v>
      </c>
      <c r="R1679" s="422" t="s">
        <v>2516</v>
      </c>
      <c r="S1679" s="1" t="s">
        <v>104</v>
      </c>
      <c r="X1679" s="1" t="s">
        <v>2146</v>
      </c>
      <c r="Y1679" s="491" t="str">
        <f t="shared" si="3493"/>
        <v>Pass</v>
      </c>
      <c r="Z1679" s="11" t="str">
        <f t="shared" si="3494"/>
        <v/>
      </c>
      <c r="AA1679" s="491" t="str">
        <f t="shared" si="3495"/>
        <v/>
      </c>
      <c r="AB1679" s="491" t="str">
        <f t="shared" si="3496"/>
        <v/>
      </c>
    </row>
    <row r="1680" spans="2:28" x14ac:dyDescent="0.25">
      <c r="B1680" s="65">
        <v>42177</v>
      </c>
      <c r="C1680" s="66">
        <v>42177</v>
      </c>
      <c r="D1680" s="68">
        <f t="shared" ref="D1680" si="3539">IF(B1680&gt;0,MONTH(B1680),"False")</f>
        <v>6</v>
      </c>
      <c r="E1680" s="66" t="str">
        <f t="shared" ref="E1680" si="3540">YEAR(B1680) &amp; CHOOSE(D1680,"-Jan","-Feb","-Mar","-Apr","-May","-Jun","-Jul","-Aug","-Sep","-Oct","-Nov","-Dec")</f>
        <v>2015-Jun</v>
      </c>
      <c r="F1680" s="68">
        <f t="shared" ref="F1680" si="3541">IF(C1680&gt;0,MONTH(C1680),"False")</f>
        <v>6</v>
      </c>
      <c r="G1680" s="497" t="s">
        <v>121</v>
      </c>
      <c r="H1680" s="1" t="s">
        <v>103</v>
      </c>
      <c r="J1680" s="495" t="s">
        <v>77</v>
      </c>
      <c r="K1680" s="495" t="s">
        <v>82</v>
      </c>
      <c r="L1680" s="1" t="s">
        <v>79</v>
      </c>
      <c r="M1680" s="1" t="s">
        <v>2603</v>
      </c>
      <c r="N1680" s="1" t="s">
        <v>124</v>
      </c>
      <c r="O1680" s="1" t="s">
        <v>507</v>
      </c>
      <c r="P1680" s="422" t="s">
        <v>351</v>
      </c>
      <c r="R1680" s="422" t="s">
        <v>361</v>
      </c>
      <c r="S1680" s="1" t="s">
        <v>104</v>
      </c>
      <c r="X1680" s="1" t="s">
        <v>2615</v>
      </c>
      <c r="Y1680" s="491" t="str">
        <f t="shared" si="3493"/>
        <v>Pass</v>
      </c>
      <c r="Z1680" s="11" t="str">
        <f t="shared" si="3494"/>
        <v/>
      </c>
      <c r="AA1680" s="491" t="str">
        <f t="shared" si="3495"/>
        <v/>
      </c>
      <c r="AB1680" s="491" t="str">
        <f t="shared" si="3496"/>
        <v/>
      </c>
    </row>
    <row r="1681" spans="2:28" x14ac:dyDescent="0.25">
      <c r="B1681" s="65">
        <v>42177</v>
      </c>
      <c r="C1681" s="66">
        <v>42177</v>
      </c>
      <c r="D1681" s="68">
        <f t="shared" ref="D1681" si="3542">IF(B1681&gt;0,MONTH(B1681),"False")</f>
        <v>6</v>
      </c>
      <c r="E1681" s="66" t="str">
        <f t="shared" ref="E1681" si="3543">YEAR(B1681) &amp; CHOOSE(D1681,"-Jan","-Feb","-Mar","-Apr","-May","-Jun","-Jul","-Aug","-Sep","-Oct","-Nov","-Dec")</f>
        <v>2015-Jun</v>
      </c>
      <c r="F1681" s="68">
        <f t="shared" ref="F1681" si="3544">IF(C1681&gt;0,MONTH(C1681),"False")</f>
        <v>6</v>
      </c>
      <c r="G1681" s="1" t="s">
        <v>121</v>
      </c>
      <c r="H1681" s="1" t="s">
        <v>280</v>
      </c>
      <c r="J1681" s="495" t="s">
        <v>81</v>
      </c>
      <c r="K1681" s="495" t="s">
        <v>82</v>
      </c>
      <c r="L1681" s="495" t="s">
        <v>79</v>
      </c>
      <c r="M1681" s="495" t="s">
        <v>2604</v>
      </c>
      <c r="N1681" s="1" t="s">
        <v>124</v>
      </c>
      <c r="O1681" s="1" t="s">
        <v>2598</v>
      </c>
      <c r="P1681" s="64" t="s">
        <v>305</v>
      </c>
      <c r="R1681" s="422" t="s">
        <v>1559</v>
      </c>
      <c r="S1681" s="1" t="s">
        <v>104</v>
      </c>
      <c r="X1681" s="1" t="s">
        <v>2146</v>
      </c>
      <c r="Y1681" s="491" t="str">
        <f t="shared" si="3493"/>
        <v>Pass</v>
      </c>
      <c r="Z1681" s="11" t="str">
        <f t="shared" si="3494"/>
        <v/>
      </c>
      <c r="AA1681" s="491" t="str">
        <f t="shared" si="3495"/>
        <v/>
      </c>
      <c r="AB1681" s="491" t="str">
        <f t="shared" si="3496"/>
        <v/>
      </c>
    </row>
    <row r="1682" spans="2:28" x14ac:dyDescent="0.25">
      <c r="B1682" s="66">
        <v>42178</v>
      </c>
      <c r="C1682" s="66">
        <v>42178</v>
      </c>
      <c r="D1682" s="68">
        <f t="shared" ref="D1682" si="3545">IF(B1682&gt;0,MONTH(B1682),"False")</f>
        <v>6</v>
      </c>
      <c r="E1682" s="66" t="str">
        <f t="shared" ref="E1682" si="3546">YEAR(B1682) &amp; CHOOSE(D1682,"-Jan","-Feb","-Mar","-Apr","-May","-Jun","-Jul","-Aug","-Sep","-Oct","-Nov","-Dec")</f>
        <v>2015-Jun</v>
      </c>
      <c r="F1682" s="68">
        <f t="shared" ref="F1682" si="3547">IF(C1682&gt;0,MONTH(C1682),"False")</f>
        <v>6</v>
      </c>
      <c r="G1682" s="1" t="s">
        <v>87</v>
      </c>
      <c r="H1682" s="1" t="s">
        <v>166</v>
      </c>
      <c r="I1682" s="1" t="s">
        <v>2618</v>
      </c>
      <c r="J1682" s="1" t="s">
        <v>292</v>
      </c>
      <c r="K1682" s="496" t="s">
        <v>292</v>
      </c>
      <c r="L1682" s="1" t="s">
        <v>83</v>
      </c>
      <c r="M1682" s="496" t="s">
        <v>2605</v>
      </c>
      <c r="N1682" s="1" t="s">
        <v>124</v>
      </c>
      <c r="O1682" s="1" t="s">
        <v>156</v>
      </c>
      <c r="R1682" s="422" t="s">
        <v>2606</v>
      </c>
      <c r="Y1682" s="491" t="str">
        <f t="shared" si="3493"/>
        <v>Unknown</v>
      </c>
      <c r="Z1682" s="11" t="str">
        <f t="shared" si="3494"/>
        <v/>
      </c>
      <c r="AA1682" s="491" t="str">
        <f t="shared" si="3495"/>
        <v/>
      </c>
      <c r="AB1682" s="491" t="str">
        <f t="shared" si="3496"/>
        <v/>
      </c>
    </row>
    <row r="1683" spans="2:28" x14ac:dyDescent="0.25">
      <c r="B1683" s="66">
        <v>42178</v>
      </c>
      <c r="C1683" s="66">
        <v>42178</v>
      </c>
      <c r="D1683" s="68">
        <f t="shared" ref="D1683" si="3548">IF(B1683&gt;0,MONTH(B1683),"False")</f>
        <v>6</v>
      </c>
      <c r="E1683" s="66" t="str">
        <f t="shared" ref="E1683" si="3549">YEAR(B1683) &amp; CHOOSE(D1683,"-Jan","-Feb","-Mar","-Apr","-May","-Jun","-Jul","-Aug","-Sep","-Oct","-Nov","-Dec")</f>
        <v>2015-Jun</v>
      </c>
      <c r="F1683" s="68">
        <f t="shared" ref="F1683" si="3550">IF(C1683&gt;0,MONTH(C1683),"False")</f>
        <v>6</v>
      </c>
      <c r="G1683" s="496" t="s">
        <v>87</v>
      </c>
      <c r="H1683" s="496" t="s">
        <v>280</v>
      </c>
      <c r="J1683" s="496" t="s">
        <v>78</v>
      </c>
      <c r="K1683" s="496" t="s">
        <v>78</v>
      </c>
      <c r="L1683" s="1" t="s">
        <v>79</v>
      </c>
      <c r="M1683" s="496" t="s">
        <v>2607</v>
      </c>
      <c r="N1683" s="1" t="s">
        <v>124</v>
      </c>
      <c r="O1683" s="1" t="s">
        <v>167</v>
      </c>
      <c r="Q1683" s="2" t="s">
        <v>88</v>
      </c>
      <c r="R1683" s="422" t="s">
        <v>344</v>
      </c>
      <c r="Y1683" s="491" t="str">
        <f t="shared" si="3493"/>
        <v>Obsolete</v>
      </c>
      <c r="Z1683" s="11">
        <f t="shared" si="3494"/>
        <v>42178</v>
      </c>
      <c r="AA1683" s="491" t="str">
        <f t="shared" si="3495"/>
        <v>2015 - 26</v>
      </c>
      <c r="AB1683" s="491">
        <f t="shared" si="3496"/>
        <v>2015</v>
      </c>
    </row>
    <row r="1684" spans="2:28" x14ac:dyDescent="0.25">
      <c r="B1684" s="66">
        <v>42178</v>
      </c>
      <c r="C1684" s="66">
        <v>42178</v>
      </c>
      <c r="D1684" s="68">
        <f t="shared" ref="D1684" si="3551">IF(B1684&gt;0,MONTH(B1684),"False")</f>
        <v>6</v>
      </c>
      <c r="E1684" s="66" t="str">
        <f t="shared" ref="E1684" si="3552">YEAR(B1684) &amp; CHOOSE(D1684,"-Jan","-Feb","-Mar","-Apr","-May","-Jun","-Jul","-Aug","-Sep","-Oct","-Nov","-Dec")</f>
        <v>2015-Jun</v>
      </c>
      <c r="F1684" s="68">
        <f t="shared" ref="F1684" si="3553">IF(C1684&gt;0,MONTH(C1684),"False")</f>
        <v>6</v>
      </c>
      <c r="G1684" s="496" t="s">
        <v>112</v>
      </c>
      <c r="H1684" s="1" t="s">
        <v>166</v>
      </c>
      <c r="J1684" s="496" t="s">
        <v>333</v>
      </c>
      <c r="K1684" s="1" t="s">
        <v>84</v>
      </c>
      <c r="L1684" s="1" t="s">
        <v>83</v>
      </c>
      <c r="M1684" s="496" t="s">
        <v>2608</v>
      </c>
      <c r="N1684" s="1" t="s">
        <v>124</v>
      </c>
      <c r="O1684" s="1" t="s">
        <v>148</v>
      </c>
      <c r="R1684" s="422" t="s">
        <v>2508</v>
      </c>
      <c r="S1684" s="1" t="s">
        <v>104</v>
      </c>
      <c r="X1684" s="1" t="s">
        <v>2656</v>
      </c>
      <c r="Y1684" s="491" t="str">
        <f t="shared" si="3493"/>
        <v>Pass</v>
      </c>
      <c r="Z1684" s="11" t="str">
        <f t="shared" si="3494"/>
        <v/>
      </c>
      <c r="AA1684" s="491" t="str">
        <f t="shared" si="3495"/>
        <v/>
      </c>
      <c r="AB1684" s="491" t="str">
        <f t="shared" si="3496"/>
        <v/>
      </c>
    </row>
    <row r="1685" spans="2:28" x14ac:dyDescent="0.25">
      <c r="B1685" s="66">
        <v>42178</v>
      </c>
      <c r="C1685" s="66">
        <v>42178</v>
      </c>
      <c r="D1685" s="68">
        <f t="shared" ref="D1685" si="3554">IF(B1685&gt;0,MONTH(B1685),"False")</f>
        <v>6</v>
      </c>
      <c r="E1685" s="66" t="str">
        <f t="shared" ref="E1685" si="3555">YEAR(B1685) &amp; CHOOSE(D1685,"-Jan","-Feb","-Mar","-Apr","-May","-Jun","-Jul","-Aug","-Sep","-Oct","-Nov","-Dec")</f>
        <v>2015-Jun</v>
      </c>
      <c r="F1685" s="68">
        <f t="shared" ref="F1685" si="3556">IF(C1685&gt;0,MONTH(C1685),"False")</f>
        <v>6</v>
      </c>
      <c r="G1685" s="496" t="s">
        <v>112</v>
      </c>
      <c r="H1685" s="496" t="s">
        <v>280</v>
      </c>
      <c r="J1685" s="496" t="s">
        <v>78</v>
      </c>
      <c r="K1685" s="496" t="s">
        <v>78</v>
      </c>
      <c r="L1685" s="1" t="s">
        <v>79</v>
      </c>
      <c r="M1685" s="1" t="s">
        <v>2609</v>
      </c>
      <c r="N1685" s="1" t="s">
        <v>124</v>
      </c>
      <c r="O1685" s="1" t="s">
        <v>167</v>
      </c>
      <c r="R1685" s="422" t="s">
        <v>344</v>
      </c>
      <c r="S1685" s="1" t="s">
        <v>104</v>
      </c>
      <c r="X1685" s="1" t="s">
        <v>2552</v>
      </c>
      <c r="Y1685" s="491" t="str">
        <f t="shared" si="3493"/>
        <v>Pass</v>
      </c>
      <c r="Z1685" s="11" t="str">
        <f t="shared" si="3494"/>
        <v/>
      </c>
      <c r="AA1685" s="491" t="str">
        <f t="shared" si="3495"/>
        <v/>
      </c>
      <c r="AB1685" s="491" t="str">
        <f t="shared" si="3496"/>
        <v/>
      </c>
    </row>
    <row r="1686" spans="2:28" x14ac:dyDescent="0.25">
      <c r="B1686" s="66">
        <v>42179</v>
      </c>
      <c r="C1686" s="66">
        <v>42179</v>
      </c>
      <c r="D1686" s="68">
        <f t="shared" ref="D1686" si="3557">IF(B1686&gt;0,MONTH(B1686),"False")</f>
        <v>6</v>
      </c>
      <c r="E1686" s="66" t="str">
        <f t="shared" ref="E1686" si="3558">YEAR(B1686) &amp; CHOOSE(D1686,"-Jan","-Feb","-Mar","-Apr","-May","-Jun","-Jul","-Aug","-Sep","-Oct","-Nov","-Dec")</f>
        <v>2015-Jun</v>
      </c>
      <c r="F1686" s="68">
        <f t="shared" ref="F1686" si="3559">IF(C1686&gt;0,MONTH(C1686),"False")</f>
        <v>6</v>
      </c>
      <c r="G1686" s="497" t="s">
        <v>112</v>
      </c>
      <c r="H1686" s="497" t="s">
        <v>166</v>
      </c>
      <c r="J1686" s="497" t="s">
        <v>150</v>
      </c>
      <c r="K1686" s="497" t="s">
        <v>84</v>
      </c>
      <c r="L1686" s="1" t="s">
        <v>83</v>
      </c>
      <c r="M1686" s="497" t="s">
        <v>2610</v>
      </c>
      <c r="N1686" s="1" t="s">
        <v>124</v>
      </c>
      <c r="O1686" s="1" t="s">
        <v>264</v>
      </c>
      <c r="R1686" s="422" t="s">
        <v>2473</v>
      </c>
      <c r="S1686" s="1" t="s">
        <v>104</v>
      </c>
      <c r="X1686" s="1" t="s">
        <v>2146</v>
      </c>
      <c r="Y1686" s="491" t="str">
        <f t="shared" si="3493"/>
        <v>Pass</v>
      </c>
      <c r="Z1686" s="11" t="str">
        <f t="shared" si="3494"/>
        <v/>
      </c>
      <c r="AA1686" s="491" t="str">
        <f t="shared" si="3495"/>
        <v/>
      </c>
      <c r="AB1686" s="491" t="str">
        <f t="shared" si="3496"/>
        <v/>
      </c>
    </row>
    <row r="1687" spans="2:28" x14ac:dyDescent="0.25">
      <c r="B1687" s="66">
        <v>42179</v>
      </c>
      <c r="C1687" s="66">
        <v>42179</v>
      </c>
      <c r="D1687" s="68">
        <f t="shared" ref="D1687" si="3560">IF(B1687&gt;0,MONTH(B1687),"False")</f>
        <v>6</v>
      </c>
      <c r="E1687" s="66" t="str">
        <f t="shared" ref="E1687" si="3561">YEAR(B1687) &amp; CHOOSE(D1687,"-Jan","-Feb","-Mar","-Apr","-May","-Jun","-Jul","-Aug","-Sep","-Oct","-Nov","-Dec")</f>
        <v>2015-Jun</v>
      </c>
      <c r="F1687" s="68">
        <f t="shared" ref="F1687" si="3562">IF(C1687&gt;0,MONTH(C1687),"False")</f>
        <v>6</v>
      </c>
      <c r="G1687" s="497" t="s">
        <v>112</v>
      </c>
      <c r="H1687" s="497" t="s">
        <v>166</v>
      </c>
      <c r="J1687" s="497" t="s">
        <v>77</v>
      </c>
      <c r="K1687" s="497" t="s">
        <v>82</v>
      </c>
      <c r="L1687" s="1" t="s">
        <v>83</v>
      </c>
      <c r="M1687" s="497" t="s">
        <v>2611</v>
      </c>
      <c r="N1687" s="1" t="s">
        <v>124</v>
      </c>
      <c r="O1687" s="1" t="s">
        <v>162</v>
      </c>
      <c r="R1687" s="422" t="s">
        <v>2461</v>
      </c>
      <c r="S1687" s="1" t="s">
        <v>104</v>
      </c>
      <c r="X1687" s="1" t="s">
        <v>2146</v>
      </c>
      <c r="Y1687" s="491" t="str">
        <f t="shared" si="3493"/>
        <v>Pass</v>
      </c>
      <c r="Z1687" s="11" t="str">
        <f t="shared" si="3494"/>
        <v/>
      </c>
      <c r="AA1687" s="491" t="str">
        <f t="shared" si="3495"/>
        <v/>
      </c>
      <c r="AB1687" s="491" t="str">
        <f t="shared" si="3496"/>
        <v/>
      </c>
    </row>
    <row r="1688" spans="2:28" x14ac:dyDescent="0.25">
      <c r="B1688" s="66">
        <v>42179</v>
      </c>
      <c r="C1688" s="66">
        <v>42179</v>
      </c>
      <c r="D1688" s="68">
        <f t="shared" ref="D1688:D1689" si="3563">IF(B1688&gt;0,MONTH(B1688),"False")</f>
        <v>6</v>
      </c>
      <c r="E1688" s="66" t="str">
        <f t="shared" ref="E1688:E1689" si="3564">YEAR(B1688) &amp; CHOOSE(D1688,"-Jan","-Feb","-Mar","-Apr","-May","-Jun","-Jul","-Aug","-Sep","-Oct","-Nov","-Dec")</f>
        <v>2015-Jun</v>
      </c>
      <c r="F1688" s="68">
        <f t="shared" ref="F1688:F1689" si="3565">IF(C1688&gt;0,MONTH(C1688),"False")</f>
        <v>6</v>
      </c>
      <c r="G1688" s="497" t="s">
        <v>112</v>
      </c>
      <c r="H1688" s="497" t="s">
        <v>280</v>
      </c>
      <c r="J1688" s="497" t="s">
        <v>78</v>
      </c>
      <c r="K1688" s="497" t="s">
        <v>78</v>
      </c>
      <c r="L1688" s="1" t="s">
        <v>79</v>
      </c>
      <c r="M1688" s="497" t="s">
        <v>2612</v>
      </c>
      <c r="N1688" s="1" t="s">
        <v>124</v>
      </c>
      <c r="O1688" s="1" t="s">
        <v>167</v>
      </c>
      <c r="R1688" s="422" t="s">
        <v>344</v>
      </c>
      <c r="S1688" s="1" t="s">
        <v>104</v>
      </c>
      <c r="X1688" s="1" t="s">
        <v>2552</v>
      </c>
      <c r="Y1688" s="491" t="str">
        <f t="shared" si="3493"/>
        <v>Pass</v>
      </c>
      <c r="Z1688" s="11" t="str">
        <f t="shared" si="3494"/>
        <v/>
      </c>
      <c r="AA1688" s="491" t="str">
        <f t="shared" si="3495"/>
        <v/>
      </c>
      <c r="AB1688" s="491" t="str">
        <f t="shared" si="3496"/>
        <v/>
      </c>
    </row>
    <row r="1689" spans="2:28" x14ac:dyDescent="0.25">
      <c r="B1689" s="65">
        <v>42179</v>
      </c>
      <c r="C1689" s="66">
        <v>42179</v>
      </c>
      <c r="D1689" s="68">
        <f t="shared" si="3563"/>
        <v>6</v>
      </c>
      <c r="E1689" s="66" t="str">
        <f t="shared" si="3564"/>
        <v>2015-Jun</v>
      </c>
      <c r="F1689" s="68">
        <f t="shared" si="3565"/>
        <v>6</v>
      </c>
      <c r="G1689" s="497" t="s">
        <v>121</v>
      </c>
      <c r="H1689" s="497" t="s">
        <v>280</v>
      </c>
      <c r="J1689" s="497" t="s">
        <v>81</v>
      </c>
      <c r="K1689" s="497" t="s">
        <v>82</v>
      </c>
      <c r="L1689" s="1" t="s">
        <v>79</v>
      </c>
      <c r="M1689" s="497" t="s">
        <v>2613</v>
      </c>
      <c r="N1689" s="1" t="s">
        <v>124</v>
      </c>
      <c r="O1689" s="1" t="s">
        <v>2598</v>
      </c>
      <c r="P1689" s="422" t="s">
        <v>305</v>
      </c>
      <c r="R1689" s="422" t="s">
        <v>1559</v>
      </c>
      <c r="S1689" s="1" t="s">
        <v>104</v>
      </c>
      <c r="X1689" s="1" t="s">
        <v>2552</v>
      </c>
      <c r="Y1689" s="491" t="str">
        <f t="shared" si="3493"/>
        <v>Pass</v>
      </c>
      <c r="Z1689" s="11" t="str">
        <f t="shared" si="3494"/>
        <v/>
      </c>
      <c r="AA1689" s="491" t="str">
        <f t="shared" si="3495"/>
        <v/>
      </c>
      <c r="AB1689" s="491" t="str">
        <f t="shared" si="3496"/>
        <v/>
      </c>
    </row>
    <row r="1690" spans="2:28" x14ac:dyDescent="0.25">
      <c r="B1690" s="66">
        <v>42179</v>
      </c>
      <c r="C1690" s="66">
        <v>42179</v>
      </c>
      <c r="D1690" s="68">
        <f t="shared" ref="D1690" si="3566">IF(B1690&gt;0,MONTH(B1690),"False")</f>
        <v>6</v>
      </c>
      <c r="E1690" s="66" t="str">
        <f t="shared" ref="E1690" si="3567">YEAR(B1690) &amp; CHOOSE(D1690,"-Jan","-Feb","-Mar","-Apr","-May","-Jun","-Jul","-Aug","-Sep","-Oct","-Nov","-Dec")</f>
        <v>2015-Jun</v>
      </c>
      <c r="F1690" s="68">
        <f t="shared" ref="F1690" si="3568">IF(C1690&gt;0,MONTH(C1690),"False")</f>
        <v>6</v>
      </c>
      <c r="G1690" s="497" t="s">
        <v>87</v>
      </c>
      <c r="H1690" s="1" t="s">
        <v>280</v>
      </c>
      <c r="J1690" s="497" t="s">
        <v>78</v>
      </c>
      <c r="K1690" s="497" t="s">
        <v>78</v>
      </c>
      <c r="L1690" s="1" t="s">
        <v>79</v>
      </c>
      <c r="M1690" s="497" t="s">
        <v>2614</v>
      </c>
      <c r="N1690" s="1" t="s">
        <v>124</v>
      </c>
      <c r="O1690" s="1" t="s">
        <v>167</v>
      </c>
      <c r="R1690" s="422" t="s">
        <v>344</v>
      </c>
      <c r="Y1690" s="491" t="str">
        <f t="shared" si="3493"/>
        <v>Unknown</v>
      </c>
      <c r="Z1690" s="11" t="str">
        <f t="shared" si="3494"/>
        <v/>
      </c>
      <c r="AA1690" s="491" t="str">
        <f t="shared" si="3495"/>
        <v/>
      </c>
      <c r="AB1690" s="491" t="str">
        <f t="shared" si="3496"/>
        <v/>
      </c>
    </row>
    <row r="1691" spans="2:28" x14ac:dyDescent="0.25">
      <c r="B1691" s="66">
        <v>42180</v>
      </c>
      <c r="C1691" s="66">
        <v>42180</v>
      </c>
      <c r="D1691" s="68">
        <f t="shared" ref="D1691" si="3569">IF(B1691&gt;0,MONTH(B1691),"False")</f>
        <v>6</v>
      </c>
      <c r="E1691" s="66" t="str">
        <f t="shared" ref="E1691" si="3570">YEAR(B1691) &amp; CHOOSE(D1691,"-Jan","-Feb","-Mar","-Apr","-May","-Jun","-Jul","-Aug","-Sep","-Oct","-Nov","-Dec")</f>
        <v>2015-Jun</v>
      </c>
      <c r="F1691" s="68">
        <f t="shared" ref="F1691" si="3571">IF(C1691&gt;0,MONTH(C1691),"False")</f>
        <v>6</v>
      </c>
      <c r="G1691" s="498" t="s">
        <v>112</v>
      </c>
      <c r="H1691" s="1" t="s">
        <v>115</v>
      </c>
      <c r="J1691" s="498" t="s">
        <v>77</v>
      </c>
      <c r="K1691" s="498" t="s">
        <v>82</v>
      </c>
      <c r="L1691" s="1" t="s">
        <v>83</v>
      </c>
      <c r="M1691" s="498" t="s">
        <v>2616</v>
      </c>
      <c r="N1691" s="1" t="s">
        <v>124</v>
      </c>
      <c r="O1691" s="1" t="s">
        <v>507</v>
      </c>
      <c r="R1691" s="422" t="s">
        <v>2573</v>
      </c>
      <c r="S1691" s="1" t="s">
        <v>104</v>
      </c>
      <c r="X1691" s="1" t="s">
        <v>1312</v>
      </c>
      <c r="Y1691" s="491" t="str">
        <f t="shared" si="3493"/>
        <v>Pass</v>
      </c>
      <c r="Z1691" s="11" t="str">
        <f t="shared" si="3494"/>
        <v/>
      </c>
      <c r="AA1691" s="491" t="str">
        <f t="shared" si="3495"/>
        <v/>
      </c>
      <c r="AB1691" s="491" t="str">
        <f t="shared" si="3496"/>
        <v/>
      </c>
    </row>
    <row r="1692" spans="2:28" x14ac:dyDescent="0.25">
      <c r="B1692" s="66">
        <v>42180</v>
      </c>
      <c r="C1692" s="66">
        <v>42180</v>
      </c>
      <c r="D1692" s="68">
        <f t="shared" ref="D1692" si="3572">IF(B1692&gt;0,MONTH(B1692),"False")</f>
        <v>6</v>
      </c>
      <c r="E1692" s="66" t="str">
        <f t="shared" ref="E1692" si="3573">YEAR(B1692) &amp; CHOOSE(D1692,"-Jan","-Feb","-Mar","-Apr","-May","-Jun","-Jul","-Aug","-Sep","-Oct","-Nov","-Dec")</f>
        <v>2015-Jun</v>
      </c>
      <c r="F1692" s="68">
        <f t="shared" ref="F1692" si="3574">IF(C1692&gt;0,MONTH(C1692),"False")</f>
        <v>6</v>
      </c>
      <c r="G1692" s="499" t="s">
        <v>112</v>
      </c>
      <c r="H1692" s="1" t="s">
        <v>1685</v>
      </c>
      <c r="J1692" s="499" t="s">
        <v>78</v>
      </c>
      <c r="K1692" s="499" t="s">
        <v>78</v>
      </c>
      <c r="L1692" s="1" t="s">
        <v>79</v>
      </c>
      <c r="M1692" s="499" t="s">
        <v>2619</v>
      </c>
      <c r="N1692" s="1" t="s">
        <v>124</v>
      </c>
      <c r="O1692" s="1" t="s">
        <v>287</v>
      </c>
      <c r="R1692" s="422" t="s">
        <v>2550</v>
      </c>
      <c r="S1692" s="1" t="s">
        <v>104</v>
      </c>
      <c r="X1692" s="1" t="s">
        <v>300</v>
      </c>
      <c r="Y1692" s="491" t="str">
        <f t="shared" si="3493"/>
        <v>Pass</v>
      </c>
      <c r="Z1692" s="11" t="str">
        <f t="shared" si="3494"/>
        <v/>
      </c>
      <c r="AA1692" s="491" t="str">
        <f t="shared" si="3495"/>
        <v/>
      </c>
      <c r="AB1692" s="491" t="str">
        <f t="shared" si="3496"/>
        <v/>
      </c>
    </row>
    <row r="1693" spans="2:28" x14ac:dyDescent="0.25">
      <c r="B1693" s="66">
        <v>42184</v>
      </c>
      <c r="C1693" s="66">
        <v>42184</v>
      </c>
      <c r="D1693" s="68">
        <f t="shared" ref="D1693" si="3575">IF(B1693&gt;0,MONTH(B1693),"False")</f>
        <v>6</v>
      </c>
      <c r="E1693" s="66" t="str">
        <f t="shared" ref="E1693" si="3576">YEAR(B1693) &amp; CHOOSE(D1693,"-Jan","-Feb","-Mar","-Apr","-May","-Jun","-Jul","-Aug","-Sep","-Oct","-Nov","-Dec")</f>
        <v>2015-Jun</v>
      </c>
      <c r="F1693" s="68">
        <f t="shared" ref="F1693" si="3577">IF(C1693&gt;0,MONTH(C1693),"False")</f>
        <v>6</v>
      </c>
      <c r="G1693" s="1" t="s">
        <v>87</v>
      </c>
      <c r="H1693" s="1" t="s">
        <v>136</v>
      </c>
      <c r="J1693" s="500" t="s">
        <v>150</v>
      </c>
      <c r="K1693" s="500" t="s">
        <v>84</v>
      </c>
      <c r="L1693" s="1" t="s">
        <v>83</v>
      </c>
      <c r="M1693" s="500" t="s">
        <v>2620</v>
      </c>
      <c r="N1693" s="1" t="s">
        <v>124</v>
      </c>
      <c r="O1693" s="1" t="s">
        <v>264</v>
      </c>
      <c r="R1693" s="422" t="s">
        <v>2621</v>
      </c>
      <c r="Y1693" s="491" t="str">
        <f t="shared" si="3493"/>
        <v>Unknown</v>
      </c>
      <c r="Z1693" s="11" t="str">
        <f t="shared" si="3494"/>
        <v/>
      </c>
      <c r="AA1693" s="491" t="str">
        <f t="shared" si="3495"/>
        <v/>
      </c>
      <c r="AB1693" s="491" t="str">
        <f t="shared" si="3496"/>
        <v/>
      </c>
    </row>
    <row r="1694" spans="2:28" x14ac:dyDescent="0.25">
      <c r="B1694" s="65">
        <v>42184</v>
      </c>
      <c r="C1694" s="66">
        <v>42184</v>
      </c>
      <c r="D1694" s="68">
        <f t="shared" ref="D1694" si="3578">IF(B1694&gt;0,MONTH(B1694),"False")</f>
        <v>6</v>
      </c>
      <c r="E1694" s="66" t="str">
        <f t="shared" ref="E1694" si="3579">YEAR(B1694) &amp; CHOOSE(D1694,"-Jan","-Feb","-Mar","-Apr","-May","-Jun","-Jul","-Aug","-Sep","-Oct","-Nov","-Dec")</f>
        <v>2015-Jun</v>
      </c>
      <c r="F1694" s="68">
        <f t="shared" ref="F1694" si="3580">IF(C1694&gt;0,MONTH(C1694),"False")</f>
        <v>6</v>
      </c>
      <c r="G1694" s="500" t="s">
        <v>121</v>
      </c>
      <c r="H1694" s="1" t="s">
        <v>280</v>
      </c>
      <c r="J1694" s="1" t="s">
        <v>146</v>
      </c>
      <c r="K1694" s="1" t="s">
        <v>82</v>
      </c>
      <c r="L1694" s="1" t="s">
        <v>79</v>
      </c>
      <c r="M1694" s="500" t="s">
        <v>2622</v>
      </c>
      <c r="N1694" s="1" t="s">
        <v>124</v>
      </c>
      <c r="O1694" s="1" t="s">
        <v>2598</v>
      </c>
      <c r="P1694" s="422" t="s">
        <v>305</v>
      </c>
      <c r="R1694" s="422" t="s">
        <v>1559</v>
      </c>
      <c r="S1694" s="1" t="s">
        <v>104</v>
      </c>
      <c r="X1694" s="1" t="s">
        <v>2552</v>
      </c>
      <c r="Y1694" s="491" t="str">
        <f t="shared" si="3493"/>
        <v>Pass</v>
      </c>
      <c r="Z1694" s="11" t="str">
        <f t="shared" si="3494"/>
        <v/>
      </c>
      <c r="AA1694" s="491" t="str">
        <f t="shared" si="3495"/>
        <v/>
      </c>
      <c r="AB1694" s="491" t="str">
        <f t="shared" si="3496"/>
        <v/>
      </c>
    </row>
    <row r="1695" spans="2:28" x14ac:dyDescent="0.25">
      <c r="B1695" s="65">
        <v>42184</v>
      </c>
      <c r="C1695" s="66">
        <v>42184</v>
      </c>
      <c r="D1695" s="68">
        <f t="shared" ref="D1695" si="3581">IF(B1695&gt;0,MONTH(B1695),"False")</f>
        <v>6</v>
      </c>
      <c r="E1695" s="66" t="str">
        <f t="shared" ref="E1695" si="3582">YEAR(B1695) &amp; CHOOSE(D1695,"-Jan","-Feb","-Mar","-Apr","-May","-Jun","-Jul","-Aug","-Sep","-Oct","-Nov","-Dec")</f>
        <v>2015-Jun</v>
      </c>
      <c r="F1695" s="68">
        <f t="shared" ref="F1695" si="3583">IF(C1695&gt;0,MONTH(C1695),"False")</f>
        <v>6</v>
      </c>
      <c r="G1695" s="500" t="s">
        <v>121</v>
      </c>
      <c r="H1695" s="500" t="s">
        <v>280</v>
      </c>
      <c r="J1695" s="1" t="s">
        <v>81</v>
      </c>
      <c r="K1695" s="500" t="s">
        <v>82</v>
      </c>
      <c r="L1695" s="500" t="s">
        <v>79</v>
      </c>
      <c r="M1695" s="500" t="s">
        <v>2628</v>
      </c>
      <c r="N1695" s="1" t="s">
        <v>124</v>
      </c>
      <c r="O1695" s="1" t="s">
        <v>2598</v>
      </c>
      <c r="P1695" s="422" t="s">
        <v>305</v>
      </c>
      <c r="R1695" s="422" t="s">
        <v>1559</v>
      </c>
      <c r="S1695" s="1" t="s">
        <v>104</v>
      </c>
      <c r="X1695" s="1" t="s">
        <v>2552</v>
      </c>
      <c r="Y1695" s="491" t="str">
        <f t="shared" si="3493"/>
        <v>Pass</v>
      </c>
      <c r="Z1695" s="11" t="str">
        <f t="shared" si="3494"/>
        <v/>
      </c>
      <c r="AA1695" s="491" t="str">
        <f t="shared" si="3495"/>
        <v/>
      </c>
      <c r="AB1695" s="491" t="str">
        <f t="shared" si="3496"/>
        <v/>
      </c>
    </row>
    <row r="1696" spans="2:28" x14ac:dyDescent="0.25">
      <c r="B1696" s="65">
        <v>42184</v>
      </c>
      <c r="C1696" s="66">
        <v>42184</v>
      </c>
      <c r="D1696" s="68">
        <f t="shared" ref="D1696:D1697" si="3584">IF(B1696&gt;0,MONTH(B1696),"False")</f>
        <v>6</v>
      </c>
      <c r="E1696" s="66" t="str">
        <f t="shared" ref="E1696:E1697" si="3585">YEAR(B1696) &amp; CHOOSE(D1696,"-Jan","-Feb","-Mar","-Apr","-May","-Jun","-Jul","-Aug","-Sep","-Oct","-Nov","-Dec")</f>
        <v>2015-Jun</v>
      </c>
      <c r="F1696" s="68">
        <f t="shared" ref="F1696:F1697" si="3586">IF(C1696&gt;0,MONTH(C1696),"False")</f>
        <v>6</v>
      </c>
      <c r="G1696" s="500" t="s">
        <v>121</v>
      </c>
      <c r="H1696" s="500" t="s">
        <v>280</v>
      </c>
      <c r="J1696" s="500" t="s">
        <v>146</v>
      </c>
      <c r="K1696" s="500" t="s">
        <v>82</v>
      </c>
      <c r="L1696" s="500" t="s">
        <v>79</v>
      </c>
      <c r="M1696" s="500" t="s">
        <v>2623</v>
      </c>
      <c r="N1696" s="1" t="s">
        <v>124</v>
      </c>
      <c r="O1696" s="1" t="s">
        <v>2598</v>
      </c>
      <c r="P1696" s="422" t="s">
        <v>305</v>
      </c>
      <c r="R1696" s="422" t="s">
        <v>1559</v>
      </c>
      <c r="S1696" s="1" t="s">
        <v>104</v>
      </c>
      <c r="X1696" s="1" t="s">
        <v>2552</v>
      </c>
      <c r="Y1696" s="491" t="str">
        <f t="shared" si="3493"/>
        <v>Pass</v>
      </c>
      <c r="Z1696" s="11" t="str">
        <f t="shared" si="3494"/>
        <v/>
      </c>
      <c r="AA1696" s="491" t="str">
        <f t="shared" si="3495"/>
        <v/>
      </c>
      <c r="AB1696" s="491" t="str">
        <f t="shared" si="3496"/>
        <v/>
      </c>
    </row>
    <row r="1697" spans="2:28" x14ac:dyDescent="0.25">
      <c r="B1697" s="66">
        <v>42184</v>
      </c>
      <c r="C1697" s="66">
        <v>42184</v>
      </c>
      <c r="D1697" s="68">
        <f t="shared" si="3584"/>
        <v>6</v>
      </c>
      <c r="E1697" s="66" t="str">
        <f t="shared" si="3585"/>
        <v>2015-Jun</v>
      </c>
      <c r="F1697" s="68">
        <f t="shared" si="3586"/>
        <v>6</v>
      </c>
      <c r="G1697" s="1" t="s">
        <v>87</v>
      </c>
      <c r="H1697" s="1" t="s">
        <v>136</v>
      </c>
      <c r="J1697" s="500" t="s">
        <v>149</v>
      </c>
      <c r="K1697" s="500" t="s">
        <v>84</v>
      </c>
      <c r="L1697" s="1" t="s">
        <v>83</v>
      </c>
      <c r="M1697" s="500" t="s">
        <v>2624</v>
      </c>
      <c r="N1697" s="1" t="s">
        <v>124</v>
      </c>
      <c r="O1697" s="501" t="s">
        <v>264</v>
      </c>
      <c r="Q1697" s="2" t="s">
        <v>88</v>
      </c>
      <c r="R1697" s="422" t="s">
        <v>2621</v>
      </c>
      <c r="Y1697" s="491" t="str">
        <f t="shared" si="3493"/>
        <v>Obsolete</v>
      </c>
      <c r="Z1697" s="11">
        <f t="shared" si="3494"/>
        <v>42184</v>
      </c>
      <c r="AA1697" s="491" t="str">
        <f t="shared" si="3495"/>
        <v>2015 - 27</v>
      </c>
      <c r="AB1697" s="491">
        <f t="shared" si="3496"/>
        <v>2015</v>
      </c>
    </row>
    <row r="1698" spans="2:28" x14ac:dyDescent="0.25">
      <c r="B1698" s="65">
        <v>42185</v>
      </c>
      <c r="C1698" s="66">
        <v>42185</v>
      </c>
      <c r="D1698" s="68">
        <f t="shared" ref="D1698:D1699" si="3587">IF(B1698&gt;0,MONTH(B1698),"False")</f>
        <v>6</v>
      </c>
      <c r="E1698" s="66" t="str">
        <f t="shared" ref="E1698:E1699" si="3588">YEAR(B1698) &amp; CHOOSE(D1698,"-Jan","-Feb","-Mar","-Apr","-May","-Jun","-Jul","-Aug","-Sep","-Oct","-Nov","-Dec")</f>
        <v>2015-Jun</v>
      </c>
      <c r="F1698" s="68">
        <f t="shared" ref="F1698:F1699" si="3589">IF(C1698&gt;0,MONTH(C1698),"False")</f>
        <v>6</v>
      </c>
      <c r="G1698" s="501" t="s">
        <v>121</v>
      </c>
      <c r="H1698" s="1" t="s">
        <v>280</v>
      </c>
      <c r="J1698" s="501" t="s">
        <v>81</v>
      </c>
      <c r="K1698" s="501" t="s">
        <v>82</v>
      </c>
      <c r="L1698" s="501" t="s">
        <v>79</v>
      </c>
      <c r="M1698" s="501" t="s">
        <v>2625</v>
      </c>
      <c r="N1698" s="1" t="s">
        <v>124</v>
      </c>
      <c r="O1698" s="501" t="s">
        <v>2598</v>
      </c>
      <c r="P1698" s="422" t="s">
        <v>305</v>
      </c>
      <c r="R1698" s="422" t="s">
        <v>1559</v>
      </c>
      <c r="S1698" s="1" t="s">
        <v>104</v>
      </c>
      <c r="X1698" s="1" t="s">
        <v>2552</v>
      </c>
      <c r="Y1698" s="491" t="str">
        <f t="shared" si="3493"/>
        <v>Pass</v>
      </c>
      <c r="Z1698" s="11" t="str">
        <f t="shared" si="3494"/>
        <v/>
      </c>
      <c r="AA1698" s="491" t="str">
        <f t="shared" si="3495"/>
        <v/>
      </c>
      <c r="AB1698" s="491" t="str">
        <f t="shared" si="3496"/>
        <v/>
      </c>
    </row>
    <row r="1699" spans="2:28" x14ac:dyDescent="0.25">
      <c r="B1699" s="66">
        <v>42185</v>
      </c>
      <c r="C1699" s="66">
        <v>42185</v>
      </c>
      <c r="D1699" s="68">
        <f t="shared" si="3587"/>
        <v>6</v>
      </c>
      <c r="E1699" s="66" t="str">
        <f t="shared" si="3588"/>
        <v>2015-Jun</v>
      </c>
      <c r="F1699" s="68">
        <f t="shared" si="3589"/>
        <v>6</v>
      </c>
      <c r="G1699" s="501" t="s">
        <v>112</v>
      </c>
      <c r="H1699" s="501" t="s">
        <v>136</v>
      </c>
      <c r="J1699" s="1" t="s">
        <v>77</v>
      </c>
      <c r="K1699" s="1" t="s">
        <v>82</v>
      </c>
      <c r="L1699" s="1" t="s">
        <v>79</v>
      </c>
      <c r="M1699" s="501" t="s">
        <v>2626</v>
      </c>
      <c r="N1699" s="1" t="s">
        <v>124</v>
      </c>
      <c r="O1699" s="1" t="s">
        <v>114</v>
      </c>
      <c r="R1699" s="422" t="s">
        <v>2627</v>
      </c>
      <c r="S1699" s="1" t="s">
        <v>104</v>
      </c>
      <c r="X1699" s="1" t="s">
        <v>159</v>
      </c>
      <c r="Y1699" s="491" t="str">
        <f t="shared" si="3493"/>
        <v>Pass</v>
      </c>
      <c r="Z1699" s="11" t="str">
        <f t="shared" si="3494"/>
        <v/>
      </c>
      <c r="AA1699" s="491" t="str">
        <f t="shared" si="3495"/>
        <v/>
      </c>
      <c r="AB1699" s="491" t="str">
        <f t="shared" si="3496"/>
        <v/>
      </c>
    </row>
    <row r="1700" spans="2:28" x14ac:dyDescent="0.25">
      <c r="B1700" s="66">
        <v>42186</v>
      </c>
      <c r="C1700" s="66">
        <v>42186</v>
      </c>
      <c r="D1700" s="68">
        <f t="shared" ref="D1700" si="3590">IF(B1700&gt;0,MONTH(B1700),"False")</f>
        <v>7</v>
      </c>
      <c r="E1700" s="66" t="str">
        <f t="shared" ref="E1700" si="3591">YEAR(B1700) &amp; CHOOSE(D1700,"-Jan","-Feb","-Mar","-Apr","-May","-Jun","-Jul","-Aug","-Sep","-Oct","-Nov","-Dec")</f>
        <v>2015-Jul</v>
      </c>
      <c r="F1700" s="68">
        <f t="shared" ref="F1700" si="3592">IF(C1700&gt;0,MONTH(C1700),"False")</f>
        <v>7</v>
      </c>
      <c r="G1700" s="1" t="s">
        <v>87</v>
      </c>
      <c r="H1700" s="1" t="s">
        <v>280</v>
      </c>
      <c r="J1700" s="502" t="s">
        <v>78</v>
      </c>
      <c r="K1700" s="502" t="s">
        <v>78</v>
      </c>
      <c r="L1700" s="502" t="s">
        <v>79</v>
      </c>
      <c r="M1700" s="502" t="s">
        <v>2629</v>
      </c>
      <c r="N1700" s="1" t="s">
        <v>124</v>
      </c>
      <c r="O1700" s="1" t="s">
        <v>167</v>
      </c>
      <c r="Q1700" s="2" t="s">
        <v>88</v>
      </c>
      <c r="R1700" s="422" t="s">
        <v>344</v>
      </c>
      <c r="S1700" s="1" t="s">
        <v>2084</v>
      </c>
      <c r="Y1700" s="491" t="str">
        <f t="shared" si="3493"/>
        <v>Obsolete</v>
      </c>
      <c r="Z1700" s="11">
        <f t="shared" si="3494"/>
        <v>42186</v>
      </c>
      <c r="AA1700" s="491" t="str">
        <f t="shared" si="3495"/>
        <v>2015 - 27</v>
      </c>
      <c r="AB1700" s="491">
        <f t="shared" si="3496"/>
        <v>2015</v>
      </c>
    </row>
    <row r="1701" spans="2:28" x14ac:dyDescent="0.25">
      <c r="B1701" s="66">
        <v>42186</v>
      </c>
      <c r="C1701" s="66">
        <v>42186</v>
      </c>
      <c r="D1701" s="68">
        <f t="shared" ref="D1701" si="3593">IF(B1701&gt;0,MONTH(B1701),"False")</f>
        <v>7</v>
      </c>
      <c r="E1701" s="66" t="str">
        <f t="shared" ref="E1701" si="3594">YEAR(B1701) &amp; CHOOSE(D1701,"-Jan","-Feb","-Mar","-Apr","-May","-Jun","-Jul","-Aug","-Sep","-Oct","-Nov","-Dec")</f>
        <v>2015-Jul</v>
      </c>
      <c r="F1701" s="68">
        <f t="shared" ref="F1701" si="3595">IF(C1701&gt;0,MONTH(C1701),"False")</f>
        <v>7</v>
      </c>
      <c r="G1701" s="502" t="s">
        <v>112</v>
      </c>
      <c r="H1701" s="1" t="s">
        <v>28</v>
      </c>
      <c r="J1701" s="502" t="s">
        <v>78</v>
      </c>
      <c r="K1701" s="502" t="s">
        <v>78</v>
      </c>
      <c r="L1701" s="1" t="s">
        <v>79</v>
      </c>
      <c r="M1701" s="502" t="s">
        <v>2630</v>
      </c>
      <c r="N1701" s="1" t="s">
        <v>124</v>
      </c>
      <c r="O1701" s="1" t="s">
        <v>168</v>
      </c>
      <c r="R1701" s="422" t="s">
        <v>308</v>
      </c>
      <c r="S1701" s="1" t="s">
        <v>104</v>
      </c>
      <c r="X1701" s="1" t="s">
        <v>2784</v>
      </c>
      <c r="Y1701" s="491" t="str">
        <f t="shared" si="3493"/>
        <v>Pass</v>
      </c>
      <c r="Z1701" s="11" t="str">
        <f t="shared" si="3494"/>
        <v/>
      </c>
      <c r="AA1701" s="491" t="str">
        <f t="shared" si="3495"/>
        <v/>
      </c>
      <c r="AB1701" s="491" t="str">
        <f t="shared" si="3496"/>
        <v/>
      </c>
    </row>
    <row r="1702" spans="2:28" x14ac:dyDescent="0.25">
      <c r="B1702" s="66">
        <v>42186</v>
      </c>
      <c r="C1702" s="66">
        <v>42186</v>
      </c>
      <c r="D1702" s="68">
        <f t="shared" ref="D1702:D1703" si="3596">IF(B1702&gt;0,MONTH(B1702),"False")</f>
        <v>7</v>
      </c>
      <c r="E1702" s="66" t="str">
        <f t="shared" ref="E1702:E1703" si="3597">YEAR(B1702) &amp; CHOOSE(D1702,"-Jan","-Feb","-Mar","-Apr","-May","-Jun","-Jul","-Aug","-Sep","-Oct","-Nov","-Dec")</f>
        <v>2015-Jul</v>
      </c>
      <c r="F1702" s="68">
        <f t="shared" ref="F1702:F1703" si="3598">IF(C1702&gt;0,MONTH(C1702),"False")</f>
        <v>7</v>
      </c>
      <c r="G1702" s="502" t="s">
        <v>112</v>
      </c>
      <c r="H1702" s="1" t="s">
        <v>316</v>
      </c>
      <c r="J1702" s="502" t="s">
        <v>78</v>
      </c>
      <c r="K1702" s="502" t="s">
        <v>78</v>
      </c>
      <c r="L1702" s="1" t="s">
        <v>79</v>
      </c>
      <c r="M1702" s="502" t="s">
        <v>2631</v>
      </c>
      <c r="N1702" s="1" t="s">
        <v>124</v>
      </c>
      <c r="O1702" s="1" t="s">
        <v>287</v>
      </c>
      <c r="R1702" s="422" t="s">
        <v>1140</v>
      </c>
      <c r="S1702" s="1" t="s">
        <v>104</v>
      </c>
      <c r="X1702" s="1" t="s">
        <v>2742</v>
      </c>
      <c r="Y1702" s="491" t="str">
        <f t="shared" si="3493"/>
        <v>Pass</v>
      </c>
      <c r="Z1702" s="11" t="str">
        <f t="shared" si="3494"/>
        <v/>
      </c>
      <c r="AA1702" s="491" t="str">
        <f t="shared" si="3495"/>
        <v/>
      </c>
      <c r="AB1702" s="491" t="str">
        <f t="shared" si="3496"/>
        <v/>
      </c>
    </row>
    <row r="1703" spans="2:28" x14ac:dyDescent="0.25">
      <c r="B1703" s="65">
        <v>42186</v>
      </c>
      <c r="C1703" s="66">
        <v>42186</v>
      </c>
      <c r="D1703" s="68">
        <f t="shared" si="3596"/>
        <v>7</v>
      </c>
      <c r="E1703" s="66" t="str">
        <f t="shared" si="3597"/>
        <v>2015-Jul</v>
      </c>
      <c r="F1703" s="68">
        <f t="shared" si="3598"/>
        <v>7</v>
      </c>
      <c r="G1703" s="1" t="s">
        <v>93</v>
      </c>
      <c r="H1703" s="1" t="s">
        <v>166</v>
      </c>
      <c r="J1703" s="1" t="s">
        <v>98</v>
      </c>
      <c r="K1703" s="1" t="s">
        <v>82</v>
      </c>
      <c r="L1703" s="1" t="s">
        <v>79</v>
      </c>
      <c r="M1703" s="503" t="s">
        <v>2640</v>
      </c>
      <c r="N1703" s="1" t="s">
        <v>124</v>
      </c>
      <c r="O1703" s="1" t="s">
        <v>2072</v>
      </c>
      <c r="P1703" s="422" t="s">
        <v>336</v>
      </c>
      <c r="Q1703" s="2" t="s">
        <v>88</v>
      </c>
      <c r="R1703" s="422" t="s">
        <v>1311</v>
      </c>
      <c r="Y1703" s="491" t="str">
        <f t="shared" si="3493"/>
        <v>Obsolete</v>
      </c>
      <c r="Z1703" s="11">
        <f t="shared" si="3494"/>
        <v>42186</v>
      </c>
      <c r="AA1703" s="491" t="str">
        <f t="shared" si="3495"/>
        <v>2015 - 27</v>
      </c>
      <c r="AB1703" s="491">
        <f t="shared" si="3496"/>
        <v>2015</v>
      </c>
    </row>
    <row r="1704" spans="2:28" x14ac:dyDescent="0.25">
      <c r="B1704" s="66">
        <v>42187</v>
      </c>
      <c r="C1704" s="66">
        <v>42187</v>
      </c>
      <c r="D1704" s="68">
        <f t="shared" ref="D1704" si="3599">IF(B1704&gt;0,MONTH(B1704),"False")</f>
        <v>7</v>
      </c>
      <c r="E1704" s="66" t="str">
        <f t="shared" ref="E1704" si="3600">YEAR(B1704) &amp; CHOOSE(D1704,"-Jan","-Feb","-Mar","-Apr","-May","-Jun","-Jul","-Aug","-Sep","-Oct","-Nov","-Dec")</f>
        <v>2015-Jul</v>
      </c>
      <c r="F1704" s="68">
        <f t="shared" ref="F1704" si="3601">IF(C1704&gt;0,MONTH(C1704),"False")</f>
        <v>7</v>
      </c>
      <c r="G1704" s="1" t="s">
        <v>87</v>
      </c>
      <c r="H1704" s="502" t="s">
        <v>28</v>
      </c>
      <c r="J1704" s="502" t="s">
        <v>78</v>
      </c>
      <c r="K1704" s="502" t="s">
        <v>78</v>
      </c>
      <c r="L1704" s="1" t="s">
        <v>79</v>
      </c>
      <c r="M1704" s="502" t="s">
        <v>2632</v>
      </c>
      <c r="N1704" s="1" t="s">
        <v>124</v>
      </c>
      <c r="O1704" s="1" t="s">
        <v>168</v>
      </c>
      <c r="R1704" s="422" t="s">
        <v>308</v>
      </c>
      <c r="T1704" s="67" t="s">
        <v>110</v>
      </c>
      <c r="Y1704" s="491" t="str">
        <f t="shared" si="3493"/>
        <v>Unknown</v>
      </c>
      <c r="Z1704" s="11" t="str">
        <f t="shared" si="3494"/>
        <v/>
      </c>
      <c r="AA1704" s="491" t="str">
        <f t="shared" si="3495"/>
        <v/>
      </c>
      <c r="AB1704" s="491" t="str">
        <f t="shared" si="3496"/>
        <v/>
      </c>
    </row>
    <row r="1705" spans="2:28" x14ac:dyDescent="0.25">
      <c r="B1705" s="65">
        <v>42188</v>
      </c>
      <c r="C1705" s="66">
        <v>42188</v>
      </c>
      <c r="D1705" s="68">
        <f t="shared" ref="D1705" si="3602">IF(B1705&gt;0,MONTH(B1705),"False")</f>
        <v>7</v>
      </c>
      <c r="E1705" s="66" t="str">
        <f t="shared" ref="E1705" si="3603">YEAR(B1705) &amp; CHOOSE(D1705,"-Jan","-Feb","-Mar","-Apr","-May","-Jun","-Jul","-Aug","-Sep","-Oct","-Nov","-Dec")</f>
        <v>2015-Jul</v>
      </c>
      <c r="F1705" s="68">
        <f t="shared" ref="F1705" si="3604">IF(C1705&gt;0,MONTH(C1705),"False")</f>
        <v>7</v>
      </c>
      <c r="G1705" s="502" t="s">
        <v>121</v>
      </c>
      <c r="H1705" s="1" t="s">
        <v>280</v>
      </c>
      <c r="J1705" s="1" t="s">
        <v>146</v>
      </c>
      <c r="K1705" s="502" t="s">
        <v>82</v>
      </c>
      <c r="L1705" s="1" t="s">
        <v>79</v>
      </c>
      <c r="M1705" s="502" t="s">
        <v>2633</v>
      </c>
      <c r="N1705" s="1" t="s">
        <v>124</v>
      </c>
      <c r="O1705" s="1" t="s">
        <v>2598</v>
      </c>
      <c r="P1705" s="422" t="s">
        <v>305</v>
      </c>
      <c r="R1705" s="422" t="s">
        <v>1559</v>
      </c>
      <c r="S1705" s="1" t="s">
        <v>104</v>
      </c>
      <c r="X1705" s="1" t="s">
        <v>2552</v>
      </c>
      <c r="Y1705" s="491" t="str">
        <f t="shared" si="3493"/>
        <v>Pass</v>
      </c>
      <c r="Z1705" s="11" t="str">
        <f t="shared" si="3494"/>
        <v/>
      </c>
      <c r="AA1705" s="491" t="str">
        <f t="shared" si="3495"/>
        <v/>
      </c>
      <c r="AB1705" s="491" t="str">
        <f t="shared" si="3496"/>
        <v/>
      </c>
    </row>
    <row r="1706" spans="2:28" x14ac:dyDescent="0.25">
      <c r="B1706" s="65">
        <v>42188</v>
      </c>
      <c r="C1706" s="66">
        <v>42188</v>
      </c>
      <c r="D1706" s="68">
        <f t="shared" ref="D1706" si="3605">IF(B1706&gt;0,MONTH(B1706),"False")</f>
        <v>7</v>
      </c>
      <c r="E1706" s="66" t="str">
        <f t="shared" ref="E1706" si="3606">YEAR(B1706) &amp; CHOOSE(D1706,"-Jan","-Feb","-Mar","-Apr","-May","-Jun","-Jul","-Aug","-Sep","-Oct","-Nov","-Dec")</f>
        <v>2015-Jul</v>
      </c>
      <c r="F1706" s="68">
        <f t="shared" ref="F1706" si="3607">IF(C1706&gt;0,MONTH(C1706),"False")</f>
        <v>7</v>
      </c>
      <c r="G1706" s="502" t="s">
        <v>121</v>
      </c>
      <c r="H1706" s="1" t="s">
        <v>280</v>
      </c>
      <c r="J1706" s="1" t="s">
        <v>81</v>
      </c>
      <c r="K1706" s="1" t="s">
        <v>82</v>
      </c>
      <c r="L1706" s="1" t="s">
        <v>79</v>
      </c>
      <c r="M1706" s="502" t="s">
        <v>2634</v>
      </c>
      <c r="N1706" s="1" t="s">
        <v>124</v>
      </c>
      <c r="O1706" s="1" t="s">
        <v>2598</v>
      </c>
      <c r="P1706" s="422" t="s">
        <v>305</v>
      </c>
      <c r="R1706" s="422" t="s">
        <v>1559</v>
      </c>
      <c r="S1706" s="1" t="s">
        <v>104</v>
      </c>
      <c r="X1706" s="1" t="s">
        <v>2552</v>
      </c>
      <c r="Y1706" s="491" t="str">
        <f t="shared" si="3493"/>
        <v>Pass</v>
      </c>
      <c r="Z1706" s="11" t="str">
        <f t="shared" si="3494"/>
        <v/>
      </c>
      <c r="AA1706" s="491" t="str">
        <f t="shared" si="3495"/>
        <v/>
      </c>
      <c r="AB1706" s="491" t="str">
        <f t="shared" si="3496"/>
        <v/>
      </c>
    </row>
    <row r="1707" spans="2:28" x14ac:dyDescent="0.25">
      <c r="B1707" s="66">
        <v>42188</v>
      </c>
      <c r="C1707" s="66">
        <v>42188</v>
      </c>
      <c r="D1707" s="68">
        <f t="shared" ref="D1707" si="3608">IF(B1707&gt;0,MONTH(B1707),"False")</f>
        <v>7</v>
      </c>
      <c r="E1707" s="66" t="str">
        <f t="shared" ref="E1707" si="3609">YEAR(B1707) &amp; CHOOSE(D1707,"-Jan","-Feb","-Mar","-Apr","-May","-Jun","-Jul","-Aug","-Sep","-Oct","-Nov","-Dec")</f>
        <v>2015-Jul</v>
      </c>
      <c r="F1707" s="68">
        <f t="shared" ref="F1707" si="3610">IF(C1707&gt;0,MONTH(C1707),"False")</f>
        <v>7</v>
      </c>
      <c r="G1707" s="1" t="s">
        <v>112</v>
      </c>
      <c r="H1707" s="1" t="s">
        <v>166</v>
      </c>
      <c r="J1707" s="1" t="s">
        <v>292</v>
      </c>
      <c r="K1707" s="502" t="s">
        <v>292</v>
      </c>
      <c r="L1707" s="1" t="s">
        <v>83</v>
      </c>
      <c r="M1707" s="502" t="s">
        <v>2635</v>
      </c>
      <c r="N1707" s="1" t="s">
        <v>124</v>
      </c>
      <c r="O1707" s="1" t="s">
        <v>156</v>
      </c>
      <c r="R1707" s="422" t="s">
        <v>2636</v>
      </c>
      <c r="S1707" s="1" t="s">
        <v>104</v>
      </c>
      <c r="X1707" s="1" t="s">
        <v>2458</v>
      </c>
      <c r="Y1707" s="491" t="str">
        <f t="shared" si="3493"/>
        <v>Pass</v>
      </c>
      <c r="Z1707" s="11" t="str">
        <f t="shared" si="3494"/>
        <v/>
      </c>
      <c r="AA1707" s="491" t="str">
        <f t="shared" si="3495"/>
        <v/>
      </c>
      <c r="AB1707" s="491" t="str">
        <f t="shared" si="3496"/>
        <v/>
      </c>
    </row>
    <row r="1708" spans="2:28" x14ac:dyDescent="0.25">
      <c r="B1708" s="66">
        <v>42191</v>
      </c>
      <c r="C1708" s="66">
        <v>42191</v>
      </c>
      <c r="D1708" s="68">
        <f t="shared" ref="D1708" si="3611">IF(B1708&gt;0,MONTH(B1708),"False")</f>
        <v>7</v>
      </c>
      <c r="E1708" s="66" t="str">
        <f t="shared" ref="E1708" si="3612">YEAR(B1708) &amp; CHOOSE(D1708,"-Jan","-Feb","-Mar","-Apr","-May","-Jun","-Jul","-Aug","-Sep","-Oct","-Nov","-Dec")</f>
        <v>2015-Jul</v>
      </c>
      <c r="F1708" s="68">
        <f t="shared" ref="F1708" si="3613">IF(C1708&gt;0,MONTH(C1708),"False")</f>
        <v>7</v>
      </c>
      <c r="G1708" s="502" t="s">
        <v>112</v>
      </c>
      <c r="H1708" s="1" t="s">
        <v>115</v>
      </c>
      <c r="J1708" s="1" t="s">
        <v>292</v>
      </c>
      <c r="K1708" s="502" t="s">
        <v>292</v>
      </c>
      <c r="L1708" s="1" t="s">
        <v>83</v>
      </c>
      <c r="M1708" s="502" t="s">
        <v>2637</v>
      </c>
      <c r="N1708" s="1" t="s">
        <v>124</v>
      </c>
      <c r="O1708" s="1" t="s">
        <v>156</v>
      </c>
      <c r="R1708" s="422" t="s">
        <v>2638</v>
      </c>
      <c r="S1708" s="1" t="s">
        <v>104</v>
      </c>
      <c r="X1708" s="1" t="s">
        <v>1312</v>
      </c>
      <c r="Y1708" s="491" t="str">
        <f t="shared" si="3493"/>
        <v>Pass</v>
      </c>
      <c r="Z1708" s="11" t="str">
        <f t="shared" si="3494"/>
        <v/>
      </c>
      <c r="AA1708" s="491" t="str">
        <f t="shared" si="3495"/>
        <v/>
      </c>
      <c r="AB1708" s="491" t="str">
        <f t="shared" si="3496"/>
        <v/>
      </c>
    </row>
    <row r="1709" spans="2:28" x14ac:dyDescent="0.25">
      <c r="B1709" s="66">
        <v>42191</v>
      </c>
      <c r="C1709" s="66">
        <v>42191</v>
      </c>
      <c r="D1709" s="68">
        <f t="shared" ref="D1709:D1710" si="3614">IF(B1709&gt;0,MONTH(B1709),"False")</f>
        <v>7</v>
      </c>
      <c r="E1709" s="66" t="str">
        <f t="shared" ref="E1709:E1710" si="3615">YEAR(B1709) &amp; CHOOSE(D1709,"-Jan","-Feb","-Mar","-Apr","-May","-Jun","-Jul","-Aug","-Sep","-Oct","-Nov","-Dec")</f>
        <v>2015-Jul</v>
      </c>
      <c r="F1709" s="68">
        <f t="shared" ref="F1709:F1710" si="3616">IF(C1709&gt;0,MONTH(C1709),"False")</f>
        <v>7</v>
      </c>
      <c r="G1709" s="502" t="s">
        <v>87</v>
      </c>
      <c r="H1709" s="1" t="s">
        <v>280</v>
      </c>
      <c r="J1709" s="502" t="s">
        <v>78</v>
      </c>
      <c r="K1709" s="502" t="s">
        <v>78</v>
      </c>
      <c r="L1709" s="502" t="s">
        <v>79</v>
      </c>
      <c r="M1709" s="502" t="s">
        <v>2639</v>
      </c>
      <c r="N1709" s="1" t="s">
        <v>124</v>
      </c>
      <c r="O1709" s="1" t="s">
        <v>167</v>
      </c>
      <c r="Q1709" s="2" t="s">
        <v>88</v>
      </c>
      <c r="R1709" s="422" t="s">
        <v>344</v>
      </c>
      <c r="S1709" s="1" t="s">
        <v>2084</v>
      </c>
      <c r="Y1709" s="491" t="str">
        <f t="shared" si="3493"/>
        <v>Obsolete</v>
      </c>
      <c r="Z1709" s="11">
        <f t="shared" si="3494"/>
        <v>42191</v>
      </c>
      <c r="AA1709" s="491" t="str">
        <f t="shared" si="3495"/>
        <v>2015 - 28</v>
      </c>
      <c r="AB1709" s="491">
        <f t="shared" si="3496"/>
        <v>2015</v>
      </c>
    </row>
    <row r="1710" spans="2:28" x14ac:dyDescent="0.25">
      <c r="B1710" s="65">
        <v>42192</v>
      </c>
      <c r="C1710" s="66">
        <v>42192</v>
      </c>
      <c r="D1710" s="68">
        <f t="shared" si="3614"/>
        <v>7</v>
      </c>
      <c r="E1710" s="66" t="str">
        <f t="shared" si="3615"/>
        <v>2015-Jul</v>
      </c>
      <c r="F1710" s="68">
        <f t="shared" si="3616"/>
        <v>7</v>
      </c>
      <c r="G1710" s="503" t="s">
        <v>75</v>
      </c>
      <c r="H1710" s="503" t="s">
        <v>166</v>
      </c>
      <c r="J1710" s="503" t="s">
        <v>98</v>
      </c>
      <c r="K1710" s="503" t="s">
        <v>82</v>
      </c>
      <c r="L1710" s="503" t="s">
        <v>79</v>
      </c>
      <c r="M1710" s="503" t="s">
        <v>2641</v>
      </c>
      <c r="N1710" s="1" t="s">
        <v>124</v>
      </c>
      <c r="O1710" s="1" t="s">
        <v>2072</v>
      </c>
      <c r="P1710" s="422" t="s">
        <v>336</v>
      </c>
      <c r="T1710" s="67" t="s">
        <v>110</v>
      </c>
      <c r="Y1710" s="491" t="str">
        <f t="shared" si="3493"/>
        <v>Unknown</v>
      </c>
      <c r="Z1710" s="11" t="str">
        <f t="shared" si="3494"/>
        <v/>
      </c>
      <c r="AA1710" s="491" t="str">
        <f t="shared" si="3495"/>
        <v/>
      </c>
      <c r="AB1710" s="491" t="str">
        <f t="shared" si="3496"/>
        <v/>
      </c>
    </row>
    <row r="1711" spans="2:28" x14ac:dyDescent="0.25">
      <c r="B1711" s="65">
        <v>42192</v>
      </c>
      <c r="C1711" s="66">
        <v>42192</v>
      </c>
      <c r="D1711" s="68">
        <f t="shared" ref="D1711:D1712" si="3617">IF(B1711&gt;0,MONTH(B1711),"False")</f>
        <v>7</v>
      </c>
      <c r="E1711" s="66" t="str">
        <f t="shared" ref="E1711:E1712" si="3618">YEAR(B1711) &amp; CHOOSE(D1711,"-Jan","-Feb","-Mar","-Apr","-May","-Jun","-Jul","-Aug","-Sep","-Oct","-Nov","-Dec")</f>
        <v>2015-Jul</v>
      </c>
      <c r="F1711" s="68">
        <f t="shared" ref="F1711:F1712" si="3619">IF(C1711&gt;0,MONTH(C1711),"False")</f>
        <v>7</v>
      </c>
      <c r="G1711" s="503" t="s">
        <v>75</v>
      </c>
      <c r="H1711" s="503" t="s">
        <v>166</v>
      </c>
      <c r="J1711" s="503" t="s">
        <v>98</v>
      </c>
      <c r="K1711" s="503" t="s">
        <v>82</v>
      </c>
      <c r="L1711" s="503" t="s">
        <v>83</v>
      </c>
      <c r="M1711" s="503" t="s">
        <v>2642</v>
      </c>
      <c r="N1711" s="1" t="s">
        <v>124</v>
      </c>
      <c r="O1711" s="1" t="s">
        <v>2072</v>
      </c>
      <c r="P1711" s="422" t="s">
        <v>2643</v>
      </c>
      <c r="Y1711" s="491" t="str">
        <f t="shared" si="3493"/>
        <v>Unknown</v>
      </c>
      <c r="Z1711" s="11" t="str">
        <f t="shared" si="3494"/>
        <v/>
      </c>
      <c r="AA1711" s="491" t="str">
        <f t="shared" si="3495"/>
        <v/>
      </c>
      <c r="AB1711" s="491" t="str">
        <f t="shared" si="3496"/>
        <v/>
      </c>
    </row>
    <row r="1712" spans="2:28" x14ac:dyDescent="0.25">
      <c r="B1712" s="66">
        <v>42193</v>
      </c>
      <c r="C1712" s="66">
        <v>42193</v>
      </c>
      <c r="D1712" s="68">
        <f t="shared" si="3617"/>
        <v>7</v>
      </c>
      <c r="E1712" s="66" t="str">
        <f t="shared" si="3618"/>
        <v>2015-Jul</v>
      </c>
      <c r="F1712" s="68">
        <f t="shared" si="3619"/>
        <v>7</v>
      </c>
      <c r="G1712" s="504" t="s">
        <v>87</v>
      </c>
      <c r="H1712" s="504" t="s">
        <v>166</v>
      </c>
      <c r="J1712" s="1" t="s">
        <v>119</v>
      </c>
      <c r="K1712" s="1" t="s">
        <v>119</v>
      </c>
      <c r="L1712" s="1" t="s">
        <v>83</v>
      </c>
      <c r="M1712" s="504" t="s">
        <v>2653</v>
      </c>
      <c r="N1712" s="1" t="s">
        <v>124</v>
      </c>
      <c r="O1712" s="1" t="s">
        <v>589</v>
      </c>
      <c r="Q1712" s="2" t="s">
        <v>88</v>
      </c>
      <c r="R1712" s="422" t="s">
        <v>2654</v>
      </c>
      <c r="Y1712" s="491" t="str">
        <f t="shared" si="3493"/>
        <v>Obsolete</v>
      </c>
      <c r="Z1712" s="11">
        <f t="shared" si="3494"/>
        <v>42193</v>
      </c>
      <c r="AA1712" s="491" t="str">
        <f t="shared" si="3495"/>
        <v>2015 - 28</v>
      </c>
      <c r="AB1712" s="491">
        <f t="shared" si="3496"/>
        <v>2015</v>
      </c>
    </row>
    <row r="1713" spans="2:28" x14ac:dyDescent="0.25">
      <c r="B1713" s="66">
        <v>42194</v>
      </c>
      <c r="C1713" s="66">
        <v>42194</v>
      </c>
      <c r="D1713" s="68">
        <f t="shared" ref="D1713" si="3620">IF(B1713&gt;0,MONTH(B1713),"False")</f>
        <v>7</v>
      </c>
      <c r="E1713" s="66" t="str">
        <f t="shared" ref="E1713" si="3621">YEAR(B1713) &amp; CHOOSE(D1713,"-Jan","-Feb","-Mar","-Apr","-May","-Jun","-Jul","-Aug","-Sep","-Oct","-Nov","-Dec")</f>
        <v>2015-Jul</v>
      </c>
      <c r="F1713" s="68">
        <f t="shared" ref="F1713" si="3622">IF(C1713&gt;0,MONTH(C1713),"False")</f>
        <v>7</v>
      </c>
      <c r="G1713" s="504" t="s">
        <v>112</v>
      </c>
      <c r="H1713" s="504" t="s">
        <v>166</v>
      </c>
      <c r="J1713" s="504" t="s">
        <v>149</v>
      </c>
      <c r="K1713" s="504" t="s">
        <v>84</v>
      </c>
      <c r="L1713" s="1" t="s">
        <v>79</v>
      </c>
      <c r="M1713" s="506" t="s">
        <v>2662</v>
      </c>
      <c r="N1713" s="1" t="s">
        <v>124</v>
      </c>
      <c r="O1713" s="1" t="s">
        <v>264</v>
      </c>
      <c r="R1713" s="422" t="s">
        <v>2516</v>
      </c>
      <c r="S1713" s="1" t="s">
        <v>104</v>
      </c>
      <c r="Y1713" s="491" t="str">
        <f t="shared" si="3493"/>
        <v>Pass</v>
      </c>
      <c r="Z1713" s="11" t="str">
        <f t="shared" si="3494"/>
        <v/>
      </c>
      <c r="AA1713" s="491" t="str">
        <f t="shared" si="3495"/>
        <v/>
      </c>
      <c r="AB1713" s="491" t="str">
        <f t="shared" si="3496"/>
        <v/>
      </c>
    </row>
    <row r="1714" spans="2:28" x14ac:dyDescent="0.25">
      <c r="B1714" s="66">
        <v>42194</v>
      </c>
      <c r="C1714" s="66">
        <v>42194</v>
      </c>
      <c r="D1714" s="68">
        <f t="shared" ref="D1714" si="3623">IF(B1714&gt;0,MONTH(B1714),"False")</f>
        <v>7</v>
      </c>
      <c r="E1714" s="66" t="str">
        <f t="shared" ref="E1714" si="3624">YEAR(B1714) &amp; CHOOSE(D1714,"-Jan","-Feb","-Mar","-Apr","-May","-Jun","-Jul","-Aug","-Sep","-Oct","-Nov","-Dec")</f>
        <v>2015-Jul</v>
      </c>
      <c r="F1714" s="68">
        <f t="shared" ref="F1714" si="3625">IF(C1714&gt;0,MONTH(C1714),"False")</f>
        <v>7</v>
      </c>
      <c r="G1714" s="504" t="s">
        <v>87</v>
      </c>
      <c r="H1714" s="504" t="s">
        <v>166</v>
      </c>
      <c r="J1714" s="504" t="s">
        <v>98</v>
      </c>
      <c r="K1714" s="504" t="s">
        <v>82</v>
      </c>
      <c r="L1714" s="1" t="s">
        <v>79</v>
      </c>
      <c r="M1714" s="504" t="s">
        <v>2657</v>
      </c>
      <c r="N1714" s="504" t="s">
        <v>124</v>
      </c>
      <c r="O1714" s="1" t="s">
        <v>2072</v>
      </c>
      <c r="R1714" s="422" t="s">
        <v>1311</v>
      </c>
      <c r="S1714" s="1" t="s">
        <v>2084</v>
      </c>
      <c r="Y1714" s="491" t="str">
        <f t="shared" si="3493"/>
        <v>Fail</v>
      </c>
      <c r="Z1714" s="11" t="str">
        <f t="shared" si="3494"/>
        <v/>
      </c>
      <c r="AA1714" s="491" t="str">
        <f t="shared" si="3495"/>
        <v/>
      </c>
      <c r="AB1714" s="491" t="str">
        <f t="shared" si="3496"/>
        <v/>
      </c>
    </row>
    <row r="1715" spans="2:28" x14ac:dyDescent="0.25">
      <c r="B1715" s="66">
        <v>42194</v>
      </c>
      <c r="C1715" s="66">
        <v>42194</v>
      </c>
      <c r="D1715" s="68">
        <f t="shared" ref="D1715" si="3626">IF(B1715&gt;0,MONTH(B1715),"False")</f>
        <v>7</v>
      </c>
      <c r="E1715" s="66" t="str">
        <f t="shared" ref="E1715" si="3627">YEAR(B1715) &amp; CHOOSE(D1715,"-Jan","-Feb","-Mar","-Apr","-May","-Jun","-Jul","-Aug","-Sep","-Oct","-Nov","-Dec")</f>
        <v>2015-Jul</v>
      </c>
      <c r="F1715" s="68">
        <f t="shared" ref="F1715" si="3628">IF(C1715&gt;0,MONTH(C1715),"False")</f>
        <v>7</v>
      </c>
      <c r="G1715" s="504" t="s">
        <v>112</v>
      </c>
      <c r="H1715" s="1" t="s">
        <v>136</v>
      </c>
      <c r="J1715" s="504" t="s">
        <v>77</v>
      </c>
      <c r="K1715" s="504" t="s">
        <v>82</v>
      </c>
      <c r="L1715" s="504" t="s">
        <v>79</v>
      </c>
      <c r="M1715" s="504" t="s">
        <v>2658</v>
      </c>
      <c r="N1715" s="1" t="s">
        <v>124</v>
      </c>
      <c r="O1715" s="1" t="s">
        <v>91</v>
      </c>
      <c r="R1715" s="64" t="s">
        <v>2627</v>
      </c>
      <c r="S1715" s="1" t="s">
        <v>104</v>
      </c>
      <c r="X1715" s="1" t="s">
        <v>159</v>
      </c>
      <c r="Y1715" s="491" t="str">
        <f t="shared" si="3493"/>
        <v>Pass</v>
      </c>
      <c r="Z1715" s="11" t="str">
        <f t="shared" si="3494"/>
        <v/>
      </c>
      <c r="AA1715" s="491" t="str">
        <f t="shared" si="3495"/>
        <v/>
      </c>
      <c r="AB1715" s="491" t="str">
        <f t="shared" si="3496"/>
        <v/>
      </c>
    </row>
    <row r="1716" spans="2:28" x14ac:dyDescent="0.25">
      <c r="B1716" s="66">
        <v>42194</v>
      </c>
      <c r="C1716" s="66">
        <v>42194</v>
      </c>
      <c r="D1716" s="68">
        <f t="shared" ref="D1716" si="3629">IF(B1716&gt;0,MONTH(B1716),"False")</f>
        <v>7</v>
      </c>
      <c r="E1716" s="66" t="str">
        <f t="shared" ref="E1716" si="3630">YEAR(B1716) &amp; CHOOSE(D1716,"-Jan","-Feb","-Mar","-Apr","-May","-Jun","-Jul","-Aug","-Sep","-Oct","-Nov","-Dec")</f>
        <v>2015-Jul</v>
      </c>
      <c r="F1716" s="68">
        <f t="shared" ref="F1716" si="3631">IF(C1716&gt;0,MONTH(C1716),"False")</f>
        <v>7</v>
      </c>
      <c r="G1716" s="504" t="s">
        <v>87</v>
      </c>
      <c r="H1716" s="504" t="s">
        <v>166</v>
      </c>
      <c r="J1716" s="504" t="s">
        <v>119</v>
      </c>
      <c r="K1716" s="504" t="s">
        <v>119</v>
      </c>
      <c r="L1716" s="504" t="s">
        <v>83</v>
      </c>
      <c r="M1716" s="504" t="s">
        <v>2659</v>
      </c>
      <c r="N1716" s="1" t="s">
        <v>124</v>
      </c>
      <c r="O1716" s="1" t="s">
        <v>589</v>
      </c>
      <c r="R1716" s="422" t="s">
        <v>2654</v>
      </c>
      <c r="Y1716" s="491" t="str">
        <f t="shared" si="3493"/>
        <v>Unknown</v>
      </c>
      <c r="Z1716" s="11" t="str">
        <f t="shared" si="3494"/>
        <v/>
      </c>
      <c r="AA1716" s="491" t="str">
        <f t="shared" si="3495"/>
        <v/>
      </c>
      <c r="AB1716" s="491" t="str">
        <f t="shared" si="3496"/>
        <v/>
      </c>
    </row>
    <row r="1717" spans="2:28" x14ac:dyDescent="0.25">
      <c r="B1717" s="66">
        <v>42194</v>
      </c>
      <c r="C1717" s="66">
        <v>42194</v>
      </c>
      <c r="D1717" s="68">
        <f t="shared" ref="D1717" si="3632">IF(B1717&gt;0,MONTH(B1717),"False")</f>
        <v>7</v>
      </c>
      <c r="E1717" s="66" t="str">
        <f t="shared" ref="E1717" si="3633">YEAR(B1717) &amp; CHOOSE(D1717,"-Jan","-Feb","-Mar","-Apr","-May","-Jun","-Jul","-Aug","-Sep","-Oct","-Nov","-Dec")</f>
        <v>2015-Jul</v>
      </c>
      <c r="F1717" s="68">
        <f t="shared" ref="F1717" si="3634">IF(C1717&gt;0,MONTH(C1717),"False")</f>
        <v>7</v>
      </c>
      <c r="G1717" s="504" t="s">
        <v>87</v>
      </c>
      <c r="H1717" s="504" t="s">
        <v>166</v>
      </c>
      <c r="J1717" s="1" t="s">
        <v>98</v>
      </c>
      <c r="K1717" s="504" t="s">
        <v>84</v>
      </c>
      <c r="L1717" s="1" t="s">
        <v>83</v>
      </c>
      <c r="M1717" s="504" t="s">
        <v>2660</v>
      </c>
      <c r="N1717" s="1" t="s">
        <v>124</v>
      </c>
      <c r="O1717" s="1" t="s">
        <v>2661</v>
      </c>
      <c r="R1717" s="64" t="s">
        <v>1254</v>
      </c>
      <c r="S1717" s="1" t="s">
        <v>2084</v>
      </c>
      <c r="Y1717" s="491" t="str">
        <f t="shared" si="3493"/>
        <v>Fail</v>
      </c>
      <c r="Z1717" s="11" t="str">
        <f t="shared" si="3494"/>
        <v/>
      </c>
      <c r="AA1717" s="491" t="str">
        <f t="shared" si="3495"/>
        <v/>
      </c>
      <c r="AB1717" s="491" t="str">
        <f t="shared" si="3496"/>
        <v/>
      </c>
    </row>
    <row r="1718" spans="2:28" x14ac:dyDescent="0.25">
      <c r="B1718" s="66">
        <v>42195</v>
      </c>
      <c r="C1718" s="66">
        <v>42195</v>
      </c>
      <c r="D1718" s="68">
        <f t="shared" ref="D1718" si="3635">IF(B1718&gt;0,MONTH(B1718),"False")</f>
        <v>7</v>
      </c>
      <c r="E1718" s="66" t="str">
        <f t="shared" ref="E1718" si="3636">YEAR(B1718) &amp; CHOOSE(D1718,"-Jan","-Feb","-Mar","-Apr","-May","-Jun","-Jul","-Aug","-Sep","-Oct","-Nov","-Dec")</f>
        <v>2015-Jul</v>
      </c>
      <c r="F1718" s="68">
        <f t="shared" ref="F1718" si="3637">IF(C1718&gt;0,MONTH(C1718),"False")</f>
        <v>7</v>
      </c>
      <c r="G1718" s="506" t="s">
        <v>112</v>
      </c>
      <c r="H1718" s="1" t="s">
        <v>136</v>
      </c>
      <c r="J1718" s="506" t="s">
        <v>150</v>
      </c>
      <c r="K1718" s="506" t="s">
        <v>84</v>
      </c>
      <c r="L1718" s="1" t="s">
        <v>83</v>
      </c>
      <c r="M1718" s="506" t="s">
        <v>2663</v>
      </c>
      <c r="N1718" s="1" t="s">
        <v>124</v>
      </c>
      <c r="O1718" s="1" t="s">
        <v>264</v>
      </c>
      <c r="R1718" s="422" t="s">
        <v>2667</v>
      </c>
      <c r="S1718" s="1" t="s">
        <v>104</v>
      </c>
      <c r="X1718" s="1" t="s">
        <v>159</v>
      </c>
      <c r="Y1718" s="491" t="str">
        <f t="shared" si="3493"/>
        <v>Pass</v>
      </c>
      <c r="Z1718" s="11" t="str">
        <f t="shared" si="3494"/>
        <v/>
      </c>
      <c r="AA1718" s="491" t="str">
        <f t="shared" si="3495"/>
        <v/>
      </c>
      <c r="AB1718" s="491" t="str">
        <f t="shared" si="3496"/>
        <v/>
      </c>
    </row>
    <row r="1719" spans="2:28" x14ac:dyDescent="0.25">
      <c r="B1719" s="66">
        <v>42198</v>
      </c>
      <c r="C1719" s="66">
        <v>42198</v>
      </c>
      <c r="D1719" s="68">
        <f t="shared" ref="D1719" si="3638">IF(B1719&gt;0,MONTH(B1719),"False")</f>
        <v>7</v>
      </c>
      <c r="E1719" s="66" t="str">
        <f t="shared" ref="E1719" si="3639">YEAR(B1719) &amp; CHOOSE(D1719,"-Jan","-Feb","-Mar","-Apr","-May","-Jun","-Jul","-Aug","-Sep","-Oct","-Nov","-Dec")</f>
        <v>2015-Jul</v>
      </c>
      <c r="F1719" s="68">
        <f t="shared" ref="F1719" si="3640">IF(C1719&gt;0,MONTH(C1719),"False")</f>
        <v>7</v>
      </c>
      <c r="G1719" s="507" t="s">
        <v>87</v>
      </c>
      <c r="H1719" s="507" t="s">
        <v>166</v>
      </c>
      <c r="J1719" s="507" t="s">
        <v>78</v>
      </c>
      <c r="K1719" s="507" t="s">
        <v>84</v>
      </c>
      <c r="L1719" s="1" t="s">
        <v>83</v>
      </c>
      <c r="M1719" s="507" t="s">
        <v>2666</v>
      </c>
      <c r="N1719" s="1" t="s">
        <v>124</v>
      </c>
      <c r="O1719" s="1" t="s">
        <v>152</v>
      </c>
      <c r="R1719" s="422" t="s">
        <v>2181</v>
      </c>
      <c r="T1719" s="67" t="s">
        <v>110</v>
      </c>
      <c r="Y1719" s="491" t="str">
        <f t="shared" si="3493"/>
        <v>Unknown</v>
      </c>
      <c r="Z1719" s="11" t="str">
        <f t="shared" si="3494"/>
        <v/>
      </c>
      <c r="AA1719" s="491" t="str">
        <f t="shared" si="3495"/>
        <v/>
      </c>
      <c r="AB1719" s="491" t="str">
        <f t="shared" si="3496"/>
        <v/>
      </c>
    </row>
    <row r="1720" spans="2:28" x14ac:dyDescent="0.25">
      <c r="B1720" s="66">
        <v>42198</v>
      </c>
      <c r="C1720" s="66">
        <v>42198</v>
      </c>
      <c r="D1720" s="68">
        <f t="shared" ref="D1720" si="3641">IF(B1720&gt;0,MONTH(B1720),"False")</f>
        <v>7</v>
      </c>
      <c r="E1720" s="66" t="str">
        <f t="shared" ref="E1720" si="3642">YEAR(B1720) &amp; CHOOSE(D1720,"-Jan","-Feb","-Mar","-Apr","-May","-Jun","-Jul","-Aug","-Sep","-Oct","-Nov","-Dec")</f>
        <v>2015-Jul</v>
      </c>
      <c r="F1720" s="68">
        <f t="shared" ref="F1720" si="3643">IF(C1720&gt;0,MONTH(C1720),"False")</f>
        <v>7</v>
      </c>
      <c r="G1720" s="507" t="s">
        <v>112</v>
      </c>
      <c r="H1720" s="1" t="s">
        <v>1685</v>
      </c>
      <c r="J1720" s="507" t="s">
        <v>78</v>
      </c>
      <c r="K1720" s="507" t="s">
        <v>78</v>
      </c>
      <c r="L1720" s="1" t="s">
        <v>79</v>
      </c>
      <c r="M1720" s="507" t="s">
        <v>2668</v>
      </c>
      <c r="N1720" s="1" t="s">
        <v>124</v>
      </c>
      <c r="O1720" s="1" t="s">
        <v>287</v>
      </c>
      <c r="R1720" s="422" t="s">
        <v>2550</v>
      </c>
      <c r="S1720" s="1" t="s">
        <v>104</v>
      </c>
      <c r="T1720" s="67" t="s">
        <v>110</v>
      </c>
      <c r="X1720" s="1" t="s">
        <v>300</v>
      </c>
      <c r="Y1720" s="491" t="str">
        <f t="shared" si="3493"/>
        <v>Pass</v>
      </c>
      <c r="Z1720" s="11" t="str">
        <f t="shared" si="3494"/>
        <v/>
      </c>
      <c r="AA1720" s="491" t="str">
        <f t="shared" si="3495"/>
        <v/>
      </c>
      <c r="AB1720" s="491" t="str">
        <f t="shared" si="3496"/>
        <v/>
      </c>
    </row>
    <row r="1721" spans="2:28" x14ac:dyDescent="0.25">
      <c r="B1721" s="66">
        <v>42198</v>
      </c>
      <c r="C1721" s="66">
        <v>42198</v>
      </c>
      <c r="D1721" s="68">
        <f t="shared" ref="D1721" si="3644">IF(B1721&gt;0,MONTH(B1721),"False")</f>
        <v>7</v>
      </c>
      <c r="E1721" s="66" t="str">
        <f t="shared" ref="E1721" si="3645">YEAR(B1721) &amp; CHOOSE(D1721,"-Jan","-Feb","-Mar","-Apr","-May","-Jun","-Jul","-Aug","-Sep","-Oct","-Nov","-Dec")</f>
        <v>2015-Jul</v>
      </c>
      <c r="F1721" s="68">
        <f t="shared" ref="F1721" si="3646">IF(C1721&gt;0,MONTH(C1721),"False")</f>
        <v>7</v>
      </c>
      <c r="G1721" s="507" t="s">
        <v>112</v>
      </c>
      <c r="H1721" s="507" t="s">
        <v>166</v>
      </c>
      <c r="J1721" s="1" t="s">
        <v>333</v>
      </c>
      <c r="K1721" s="1" t="s">
        <v>84</v>
      </c>
      <c r="L1721" s="1" t="s">
        <v>83</v>
      </c>
      <c r="M1721" s="507" t="s">
        <v>2669</v>
      </c>
      <c r="N1721" s="1" t="s">
        <v>124</v>
      </c>
      <c r="O1721" s="1" t="s">
        <v>148</v>
      </c>
      <c r="R1721" s="422" t="s">
        <v>2670</v>
      </c>
      <c r="S1721" s="1" t="s">
        <v>104</v>
      </c>
      <c r="X1721" s="1" t="s">
        <v>2680</v>
      </c>
      <c r="Y1721" s="491" t="str">
        <f t="shared" si="3493"/>
        <v>Pass</v>
      </c>
      <c r="Z1721" s="11" t="str">
        <f t="shared" si="3494"/>
        <v/>
      </c>
      <c r="AA1721" s="491" t="str">
        <f t="shared" si="3495"/>
        <v/>
      </c>
      <c r="AB1721" s="491" t="str">
        <f t="shared" si="3496"/>
        <v/>
      </c>
    </row>
    <row r="1722" spans="2:28" x14ac:dyDescent="0.25">
      <c r="B1722" s="66">
        <v>42198</v>
      </c>
      <c r="C1722" s="66">
        <v>42198</v>
      </c>
      <c r="D1722" s="68">
        <f t="shared" ref="D1722" si="3647">IF(B1722&gt;0,MONTH(B1722),"False")</f>
        <v>7</v>
      </c>
      <c r="E1722" s="66" t="str">
        <f t="shared" ref="E1722" si="3648">YEAR(B1722) &amp; CHOOSE(D1722,"-Jan","-Feb","-Mar","-Apr","-May","-Jun","-Jul","-Aug","-Sep","-Oct","-Nov","-Dec")</f>
        <v>2015-Jul</v>
      </c>
      <c r="F1722" s="68">
        <f t="shared" ref="F1722" si="3649">IF(C1722&gt;0,MONTH(C1722),"False")</f>
        <v>7</v>
      </c>
      <c r="G1722" s="507" t="s">
        <v>112</v>
      </c>
      <c r="H1722" s="507" t="s">
        <v>1685</v>
      </c>
      <c r="J1722" s="1" t="s">
        <v>77</v>
      </c>
      <c r="K1722" s="1" t="s">
        <v>82</v>
      </c>
      <c r="L1722" s="1" t="s">
        <v>83</v>
      </c>
      <c r="M1722" s="507" t="s">
        <v>2671</v>
      </c>
      <c r="N1722" s="1" t="s">
        <v>124</v>
      </c>
      <c r="O1722" s="1" t="s">
        <v>91</v>
      </c>
      <c r="R1722" s="422" t="s">
        <v>2398</v>
      </c>
      <c r="S1722" s="1" t="s">
        <v>104</v>
      </c>
      <c r="T1722" s="67" t="s">
        <v>110</v>
      </c>
      <c r="X1722" s="1" t="s">
        <v>2782</v>
      </c>
      <c r="Y1722" s="491" t="str">
        <f t="shared" si="3493"/>
        <v>Pass</v>
      </c>
      <c r="Z1722" s="11" t="str">
        <f t="shared" si="3494"/>
        <v/>
      </c>
      <c r="AA1722" s="491" t="str">
        <f t="shared" si="3495"/>
        <v/>
      </c>
      <c r="AB1722" s="491" t="str">
        <f t="shared" si="3496"/>
        <v/>
      </c>
    </row>
    <row r="1723" spans="2:28" x14ac:dyDescent="0.25">
      <c r="B1723" s="66">
        <v>42198</v>
      </c>
      <c r="C1723" s="66">
        <v>42198</v>
      </c>
      <c r="D1723" s="68">
        <f t="shared" ref="D1723" si="3650">IF(B1723&gt;0,MONTH(B1723),"False")</f>
        <v>7</v>
      </c>
      <c r="E1723" s="66" t="str">
        <f t="shared" ref="E1723" si="3651">YEAR(B1723) &amp; CHOOSE(D1723,"-Jan","-Feb","-Mar","-Apr","-May","-Jun","-Jul","-Aug","-Sep","-Oct","-Nov","-Dec")</f>
        <v>2015-Jul</v>
      </c>
      <c r="F1723" s="68">
        <f t="shared" ref="F1723" si="3652">IF(C1723&gt;0,MONTH(C1723),"False")</f>
        <v>7</v>
      </c>
      <c r="G1723" s="507" t="s">
        <v>112</v>
      </c>
      <c r="H1723" s="1" t="s">
        <v>136</v>
      </c>
      <c r="J1723" s="507" t="s">
        <v>149</v>
      </c>
      <c r="K1723" s="507" t="s">
        <v>84</v>
      </c>
      <c r="L1723" s="1" t="s">
        <v>83</v>
      </c>
      <c r="M1723" s="507" t="s">
        <v>2672</v>
      </c>
      <c r="N1723" s="1" t="s">
        <v>124</v>
      </c>
      <c r="O1723" s="1" t="s">
        <v>2410</v>
      </c>
      <c r="R1723" s="422" t="s">
        <v>2673</v>
      </c>
      <c r="S1723" s="1" t="s">
        <v>104</v>
      </c>
      <c r="T1723" s="67" t="s">
        <v>110</v>
      </c>
      <c r="X1723" s="1" t="s">
        <v>159</v>
      </c>
      <c r="Y1723" s="491" t="str">
        <f t="shared" si="3493"/>
        <v>Pass</v>
      </c>
      <c r="Z1723" s="11" t="str">
        <f t="shared" si="3494"/>
        <v/>
      </c>
      <c r="AA1723" s="491" t="str">
        <f t="shared" si="3495"/>
        <v/>
      </c>
      <c r="AB1723" s="491" t="str">
        <f t="shared" si="3496"/>
        <v/>
      </c>
    </row>
    <row r="1724" spans="2:28" x14ac:dyDescent="0.25">
      <c r="B1724" s="66">
        <v>42199</v>
      </c>
      <c r="C1724" s="66">
        <v>42199</v>
      </c>
      <c r="D1724" s="68">
        <f t="shared" ref="D1724" si="3653">IF(B1724&gt;0,MONTH(B1724),"False")</f>
        <v>7</v>
      </c>
      <c r="E1724" s="66" t="str">
        <f t="shared" ref="E1724" si="3654">YEAR(B1724) &amp; CHOOSE(D1724,"-Jan","-Feb","-Mar","-Apr","-May","-Jun","-Jul","-Aug","-Sep","-Oct","-Nov","-Dec")</f>
        <v>2015-Jul</v>
      </c>
      <c r="F1724" s="68">
        <f t="shared" ref="F1724" si="3655">IF(C1724&gt;0,MONTH(C1724),"False")</f>
        <v>7</v>
      </c>
      <c r="G1724" s="508" t="s">
        <v>87</v>
      </c>
      <c r="H1724" s="508" t="s">
        <v>166</v>
      </c>
      <c r="J1724" s="508" t="s">
        <v>150</v>
      </c>
      <c r="K1724" s="508" t="s">
        <v>84</v>
      </c>
      <c r="L1724" s="1" t="s">
        <v>83</v>
      </c>
      <c r="M1724" s="508" t="s">
        <v>2674</v>
      </c>
      <c r="N1724" s="1" t="s">
        <v>124</v>
      </c>
      <c r="O1724" s="1" t="s">
        <v>2675</v>
      </c>
      <c r="Q1724" s="2" t="s">
        <v>88</v>
      </c>
      <c r="R1724" s="422" t="s">
        <v>2676</v>
      </c>
      <c r="S1724" s="1" t="s">
        <v>2084</v>
      </c>
      <c r="Y1724" s="491" t="str">
        <f t="shared" ref="Y1724:Y1787" si="3656">IF(Q1724&gt;0,"Obsolete",IF(S1724&gt;0,S1724,"Unknown"))</f>
        <v>Obsolete</v>
      </c>
      <c r="Z1724" s="11">
        <f t="shared" ref="Z1724:Z1787" si="3657">IF(Q1724="Obsolete-LQA",C1724,IF(Q1724="Obsolete-IT",B1724,""))</f>
        <v>42199</v>
      </c>
      <c r="AA1724" s="491" t="str">
        <f t="shared" ref="AA1724:AA1787" si="3658">IFERROR(YEAR(Z1724)&amp;" - "&amp; IF(LEN( WEEKNUM(Z1724))=1,"0" &amp; WEEKNUM(Z1724),WEEKNUM(Z1724)),"")</f>
        <v>2015 - 29</v>
      </c>
      <c r="AB1724" s="491">
        <f t="shared" ref="AB1724:AB1787" si="3659">IFERROR(YEAR(Z1724),"")</f>
        <v>2015</v>
      </c>
    </row>
    <row r="1725" spans="2:28" x14ac:dyDescent="0.25">
      <c r="B1725" s="66">
        <v>42200</v>
      </c>
      <c r="C1725" s="66">
        <v>42200</v>
      </c>
      <c r="D1725" s="68">
        <f t="shared" ref="D1725" si="3660">IF(B1725&gt;0,MONTH(B1725),"False")</f>
        <v>7</v>
      </c>
      <c r="E1725" s="66" t="str">
        <f t="shared" ref="E1725" si="3661">YEAR(B1725) &amp; CHOOSE(D1725,"-Jan","-Feb","-Mar","-Apr","-May","-Jun","-Jul","-Aug","-Sep","-Oct","-Nov","-Dec")</f>
        <v>2015-Jul</v>
      </c>
      <c r="F1725" s="68">
        <f t="shared" ref="F1725" si="3662">IF(C1725&gt;0,MONTH(C1725),"False")</f>
        <v>7</v>
      </c>
      <c r="G1725" s="509" t="s">
        <v>112</v>
      </c>
      <c r="H1725" s="1" t="s">
        <v>76</v>
      </c>
      <c r="J1725" s="1" t="s">
        <v>77</v>
      </c>
      <c r="K1725" s="509" t="s">
        <v>78</v>
      </c>
      <c r="L1725" s="1" t="s">
        <v>79</v>
      </c>
      <c r="M1725" s="1" t="s">
        <v>2677</v>
      </c>
      <c r="N1725" s="1" t="s">
        <v>124</v>
      </c>
      <c r="O1725" s="1" t="s">
        <v>287</v>
      </c>
      <c r="R1725" s="422" t="s">
        <v>1038</v>
      </c>
      <c r="S1725" s="1" t="s">
        <v>104</v>
      </c>
      <c r="X1725" s="1" t="s">
        <v>300</v>
      </c>
      <c r="Y1725" s="491" t="str">
        <f t="shared" si="3656"/>
        <v>Pass</v>
      </c>
      <c r="Z1725" s="11" t="str">
        <f t="shared" si="3657"/>
        <v/>
      </c>
      <c r="AA1725" s="491" t="str">
        <f t="shared" si="3658"/>
        <v/>
      </c>
      <c r="AB1725" s="491" t="str">
        <f t="shared" si="3659"/>
        <v/>
      </c>
    </row>
    <row r="1726" spans="2:28" x14ac:dyDescent="0.25">
      <c r="B1726" s="66">
        <v>42200</v>
      </c>
      <c r="C1726" s="66">
        <v>42200</v>
      </c>
      <c r="D1726" s="68">
        <f t="shared" ref="D1726" si="3663">IF(B1726&gt;0,MONTH(B1726),"False")</f>
        <v>7</v>
      </c>
      <c r="E1726" s="66" t="str">
        <f t="shared" ref="E1726" si="3664">YEAR(B1726) &amp; CHOOSE(D1726,"-Jan","-Feb","-Mar","-Apr","-May","-Jun","-Jul","-Aug","-Sep","-Oct","-Nov","-Dec")</f>
        <v>2015-Jul</v>
      </c>
      <c r="F1726" s="68">
        <f t="shared" ref="F1726" si="3665">IF(C1726&gt;0,MONTH(C1726),"False")</f>
        <v>7</v>
      </c>
      <c r="G1726" s="509" t="s">
        <v>87</v>
      </c>
      <c r="H1726" s="509" t="s">
        <v>166</v>
      </c>
      <c r="J1726" s="509" t="s">
        <v>149</v>
      </c>
      <c r="K1726" s="509" t="s">
        <v>84</v>
      </c>
      <c r="L1726" s="1" t="s">
        <v>83</v>
      </c>
      <c r="M1726" s="509" t="s">
        <v>2678</v>
      </c>
      <c r="N1726" s="1" t="s">
        <v>124</v>
      </c>
      <c r="O1726" s="1" t="s">
        <v>2675</v>
      </c>
      <c r="Q1726" s="2" t="s">
        <v>88</v>
      </c>
      <c r="R1726" s="422" t="s">
        <v>2679</v>
      </c>
      <c r="S1726" s="1" t="s">
        <v>2084</v>
      </c>
      <c r="Y1726" s="491" t="str">
        <f t="shared" si="3656"/>
        <v>Obsolete</v>
      </c>
      <c r="Z1726" s="11">
        <f t="shared" si="3657"/>
        <v>42200</v>
      </c>
      <c r="AA1726" s="491" t="str">
        <f t="shared" si="3658"/>
        <v>2015 - 29</v>
      </c>
      <c r="AB1726" s="491">
        <f t="shared" si="3659"/>
        <v>2015</v>
      </c>
    </row>
    <row r="1727" spans="2:28" x14ac:dyDescent="0.25">
      <c r="B1727" s="66">
        <v>42200</v>
      </c>
      <c r="C1727" s="66">
        <v>42200</v>
      </c>
      <c r="D1727" s="68">
        <f t="shared" ref="D1727" si="3666">IF(B1727&gt;0,MONTH(B1727),"False")</f>
        <v>7</v>
      </c>
      <c r="E1727" s="66" t="str">
        <f t="shared" ref="E1727" si="3667">YEAR(B1727) &amp; CHOOSE(D1727,"-Jan","-Feb","-Mar","-Apr","-May","-Jun","-Jul","-Aug","-Sep","-Oct","-Nov","-Dec")</f>
        <v>2015-Jul</v>
      </c>
      <c r="F1727" s="68">
        <f t="shared" ref="F1727" si="3668">IF(C1727&gt;0,MONTH(C1727),"False")</f>
        <v>7</v>
      </c>
      <c r="G1727" s="509" t="s">
        <v>87</v>
      </c>
      <c r="H1727" s="509" t="s">
        <v>166</v>
      </c>
      <c r="I1727" s="1" t="s">
        <v>2682</v>
      </c>
      <c r="J1727" s="509" t="s">
        <v>149</v>
      </c>
      <c r="K1727" s="509" t="s">
        <v>84</v>
      </c>
      <c r="L1727" s="1" t="s">
        <v>79</v>
      </c>
      <c r="M1727" s="509" t="s">
        <v>2681</v>
      </c>
      <c r="N1727" s="1" t="s">
        <v>124</v>
      </c>
      <c r="O1727" s="1" t="s">
        <v>148</v>
      </c>
      <c r="R1727" s="422" t="s">
        <v>1041</v>
      </c>
      <c r="T1727" s="67" t="s">
        <v>110</v>
      </c>
      <c r="Y1727" s="491" t="str">
        <f t="shared" si="3656"/>
        <v>Unknown</v>
      </c>
      <c r="Z1727" s="11" t="str">
        <f t="shared" si="3657"/>
        <v/>
      </c>
      <c r="AA1727" s="491" t="str">
        <f t="shared" si="3658"/>
        <v/>
      </c>
      <c r="AB1727" s="491" t="str">
        <f t="shared" si="3659"/>
        <v/>
      </c>
    </row>
    <row r="1728" spans="2:28" x14ac:dyDescent="0.25">
      <c r="B1728" s="66">
        <v>42200</v>
      </c>
      <c r="C1728" s="66">
        <v>42200</v>
      </c>
      <c r="D1728" s="68">
        <f t="shared" ref="D1728" si="3669">IF(B1728&gt;0,MONTH(B1728),"False")</f>
        <v>7</v>
      </c>
      <c r="E1728" s="66" t="str">
        <f t="shared" ref="E1728" si="3670">YEAR(B1728) &amp; CHOOSE(D1728,"-Jan","-Feb","-Mar","-Apr","-May","-Jun","-Jul","-Aug","-Sep","-Oct","-Nov","-Dec")</f>
        <v>2015-Jul</v>
      </c>
      <c r="F1728" s="68">
        <f t="shared" ref="F1728" si="3671">IF(C1728&gt;0,MONTH(C1728),"False")</f>
        <v>7</v>
      </c>
      <c r="G1728" s="509" t="s">
        <v>87</v>
      </c>
      <c r="H1728" s="509" t="s">
        <v>166</v>
      </c>
      <c r="I1728" s="509" t="s">
        <v>2682</v>
      </c>
      <c r="J1728" s="509" t="s">
        <v>150</v>
      </c>
      <c r="K1728" s="509" t="s">
        <v>84</v>
      </c>
      <c r="L1728" s="1" t="s">
        <v>83</v>
      </c>
      <c r="M1728" s="509" t="s">
        <v>2683</v>
      </c>
      <c r="N1728" s="1" t="s">
        <v>124</v>
      </c>
      <c r="O1728" s="1" t="s">
        <v>148</v>
      </c>
      <c r="R1728" s="422" t="s">
        <v>2684</v>
      </c>
      <c r="T1728" s="67" t="s">
        <v>110</v>
      </c>
      <c r="Y1728" s="491" t="str">
        <f t="shared" si="3656"/>
        <v>Unknown</v>
      </c>
      <c r="Z1728" s="11" t="str">
        <f t="shared" si="3657"/>
        <v/>
      </c>
      <c r="AA1728" s="491" t="str">
        <f t="shared" si="3658"/>
        <v/>
      </c>
      <c r="AB1728" s="491" t="str">
        <f t="shared" si="3659"/>
        <v/>
      </c>
    </row>
    <row r="1729" spans="2:28" x14ac:dyDescent="0.25">
      <c r="B1729" s="66">
        <v>42201</v>
      </c>
      <c r="C1729" s="66">
        <v>42201</v>
      </c>
      <c r="D1729" s="68">
        <f t="shared" ref="D1729" si="3672">IF(B1729&gt;0,MONTH(B1729),"False")</f>
        <v>7</v>
      </c>
      <c r="E1729" s="66" t="str">
        <f t="shared" ref="E1729" si="3673">YEAR(B1729) &amp; CHOOSE(D1729,"-Jan","-Feb","-Mar","-Apr","-May","-Jun","-Jul","-Aug","-Sep","-Oct","-Nov","-Dec")</f>
        <v>2015-Jul</v>
      </c>
      <c r="F1729" s="68">
        <f t="shared" ref="F1729" si="3674">IF(C1729&gt;0,MONTH(C1729),"False")</f>
        <v>7</v>
      </c>
      <c r="G1729" s="511" t="s">
        <v>87</v>
      </c>
      <c r="H1729" s="511" t="s">
        <v>166</v>
      </c>
      <c r="J1729" s="1" t="s">
        <v>2252</v>
      </c>
      <c r="K1729" s="1" t="s">
        <v>82</v>
      </c>
      <c r="L1729" s="1" t="s">
        <v>83</v>
      </c>
      <c r="M1729" s="511" t="s">
        <v>2710</v>
      </c>
      <c r="N1729" s="1" t="s">
        <v>124</v>
      </c>
      <c r="O1729" s="1" t="s">
        <v>1368</v>
      </c>
      <c r="Q1729" s="2" t="s">
        <v>88</v>
      </c>
      <c r="R1729" s="422" t="s">
        <v>2711</v>
      </c>
      <c r="S1729" s="1" t="s">
        <v>2084</v>
      </c>
      <c r="Y1729" s="491" t="str">
        <f t="shared" si="3656"/>
        <v>Obsolete</v>
      </c>
      <c r="Z1729" s="11">
        <f t="shared" si="3657"/>
        <v>42201</v>
      </c>
      <c r="AA1729" s="491" t="str">
        <f t="shared" si="3658"/>
        <v>2015 - 29</v>
      </c>
      <c r="AB1729" s="491">
        <f t="shared" si="3659"/>
        <v>2015</v>
      </c>
    </row>
    <row r="1730" spans="2:28" x14ac:dyDescent="0.25">
      <c r="B1730" s="65">
        <v>42201</v>
      </c>
      <c r="C1730" s="66">
        <v>42201</v>
      </c>
      <c r="D1730" s="68">
        <f t="shared" ref="D1730:D1731" si="3675">IF(B1730&gt;0,MONTH(B1730),"False")</f>
        <v>7</v>
      </c>
      <c r="E1730" s="66" t="str">
        <f t="shared" ref="E1730:E1731" si="3676">YEAR(B1730) &amp; CHOOSE(D1730,"-Jan","-Feb","-Mar","-Apr","-May","-Jun","-Jul","-Aug","-Sep","-Oct","-Nov","-Dec")</f>
        <v>2015-Jul</v>
      </c>
      <c r="F1730" s="68">
        <f t="shared" ref="F1730:F1731" si="3677">IF(C1730&gt;0,MONTH(C1730),"False")</f>
        <v>7</v>
      </c>
      <c r="G1730" s="1" t="s">
        <v>93</v>
      </c>
      <c r="H1730" s="1" t="s">
        <v>139</v>
      </c>
      <c r="J1730" s="1" t="s">
        <v>77</v>
      </c>
      <c r="K1730" s="1" t="s">
        <v>82</v>
      </c>
      <c r="L1730" s="1" t="s">
        <v>79</v>
      </c>
      <c r="M1730" s="518" t="s">
        <v>2712</v>
      </c>
      <c r="N1730" s="1" t="s">
        <v>124</v>
      </c>
      <c r="O1730" s="1" t="s">
        <v>91</v>
      </c>
      <c r="P1730" s="422" t="s">
        <v>359</v>
      </c>
      <c r="R1730" s="422" t="s">
        <v>360</v>
      </c>
      <c r="S1730" s="1" t="s">
        <v>104</v>
      </c>
      <c r="X1730" s="1" t="s">
        <v>2458</v>
      </c>
      <c r="Y1730" s="491" t="str">
        <f t="shared" si="3656"/>
        <v>Pass</v>
      </c>
      <c r="Z1730" s="11" t="str">
        <f t="shared" si="3657"/>
        <v/>
      </c>
      <c r="AA1730" s="491" t="str">
        <f t="shared" si="3658"/>
        <v/>
      </c>
      <c r="AB1730" s="491" t="str">
        <f t="shared" si="3659"/>
        <v/>
      </c>
    </row>
    <row r="1731" spans="2:28" x14ac:dyDescent="0.25">
      <c r="B1731" s="66">
        <v>42201</v>
      </c>
      <c r="C1731" s="66">
        <v>42201</v>
      </c>
      <c r="D1731" s="68">
        <f t="shared" si="3675"/>
        <v>7</v>
      </c>
      <c r="E1731" s="66" t="str">
        <f t="shared" si="3676"/>
        <v>2015-Jul</v>
      </c>
      <c r="F1731" s="68">
        <f t="shared" si="3677"/>
        <v>7</v>
      </c>
      <c r="G1731" s="511" t="s">
        <v>87</v>
      </c>
      <c r="H1731" s="511" t="s">
        <v>166</v>
      </c>
      <c r="J1731" s="511" t="s">
        <v>2252</v>
      </c>
      <c r="K1731" s="511" t="s">
        <v>84</v>
      </c>
      <c r="L1731" s="1" t="s">
        <v>83</v>
      </c>
      <c r="M1731" s="511" t="s">
        <v>2713</v>
      </c>
      <c r="N1731" s="1" t="s">
        <v>124</v>
      </c>
      <c r="O1731" s="1" t="s">
        <v>2253</v>
      </c>
      <c r="Q1731" s="2" t="s">
        <v>88</v>
      </c>
      <c r="R1731" s="422" t="s">
        <v>2714</v>
      </c>
      <c r="S1731" s="1" t="s">
        <v>2084</v>
      </c>
      <c r="Y1731" s="491" t="str">
        <f t="shared" si="3656"/>
        <v>Obsolete</v>
      </c>
      <c r="Z1731" s="11">
        <f t="shared" si="3657"/>
        <v>42201</v>
      </c>
      <c r="AA1731" s="491" t="str">
        <f t="shared" si="3658"/>
        <v>2015 - 29</v>
      </c>
      <c r="AB1731" s="491">
        <f t="shared" si="3659"/>
        <v>2015</v>
      </c>
    </row>
    <row r="1732" spans="2:28" x14ac:dyDescent="0.25">
      <c r="B1732" s="65">
        <v>42202</v>
      </c>
      <c r="C1732" s="66">
        <v>42202</v>
      </c>
      <c r="D1732" s="68">
        <f t="shared" ref="D1732:D1733" si="3678">IF(B1732&gt;0,MONTH(B1732),"False")</f>
        <v>7</v>
      </c>
      <c r="E1732" s="66" t="str">
        <f t="shared" ref="E1732:E1733" si="3679">YEAR(B1732) &amp; CHOOSE(D1732,"-Jan","-Feb","-Mar","-Apr","-May","-Jun","-Jul","-Aug","-Sep","-Oct","-Nov","-Dec")</f>
        <v>2015-Jul</v>
      </c>
      <c r="F1732" s="68">
        <f t="shared" ref="F1732:F1733" si="3680">IF(C1732&gt;0,MONTH(C1732),"False")</f>
        <v>7</v>
      </c>
      <c r="G1732" s="517" t="s">
        <v>121</v>
      </c>
      <c r="H1732" s="1" t="s">
        <v>1685</v>
      </c>
      <c r="J1732" s="1" t="s">
        <v>81</v>
      </c>
      <c r="K1732" s="1" t="s">
        <v>82</v>
      </c>
      <c r="L1732" s="1" t="s">
        <v>79</v>
      </c>
      <c r="M1732" s="517" t="s">
        <v>2715</v>
      </c>
      <c r="N1732" s="1" t="s">
        <v>124</v>
      </c>
      <c r="O1732" s="1" t="s">
        <v>91</v>
      </c>
      <c r="P1732" s="422" t="s">
        <v>2009</v>
      </c>
      <c r="R1732" s="422" t="s">
        <v>2398</v>
      </c>
      <c r="S1732" s="1" t="s">
        <v>104</v>
      </c>
      <c r="X1732" s="1" t="s">
        <v>154</v>
      </c>
      <c r="Y1732" s="491" t="str">
        <f t="shared" si="3656"/>
        <v>Pass</v>
      </c>
      <c r="Z1732" s="11" t="str">
        <f t="shared" si="3657"/>
        <v/>
      </c>
      <c r="AA1732" s="491" t="str">
        <f t="shared" si="3658"/>
        <v/>
      </c>
      <c r="AB1732" s="491" t="str">
        <f t="shared" si="3659"/>
        <v/>
      </c>
    </row>
    <row r="1733" spans="2:28" x14ac:dyDescent="0.25">
      <c r="B1733" s="66">
        <v>42202</v>
      </c>
      <c r="C1733" s="66">
        <v>42202</v>
      </c>
      <c r="D1733" s="68">
        <f t="shared" si="3678"/>
        <v>7</v>
      </c>
      <c r="E1733" s="66" t="str">
        <f t="shared" si="3679"/>
        <v>2015-Jul</v>
      </c>
      <c r="F1733" s="68">
        <f t="shared" si="3680"/>
        <v>7</v>
      </c>
      <c r="G1733" s="517" t="s">
        <v>112</v>
      </c>
      <c r="H1733" s="1" t="s">
        <v>115</v>
      </c>
      <c r="J1733" s="517" t="s">
        <v>77</v>
      </c>
      <c r="K1733" s="517" t="s">
        <v>82</v>
      </c>
      <c r="L1733" s="1" t="s">
        <v>83</v>
      </c>
      <c r="M1733" s="517" t="s">
        <v>2716</v>
      </c>
      <c r="N1733" s="1" t="s">
        <v>124</v>
      </c>
      <c r="O1733" s="1" t="s">
        <v>353</v>
      </c>
      <c r="R1733" s="422" t="s">
        <v>2717</v>
      </c>
      <c r="S1733" s="1" t="s">
        <v>104</v>
      </c>
      <c r="X1733" s="1" t="s">
        <v>2802</v>
      </c>
      <c r="Y1733" s="491" t="str">
        <f t="shared" si="3656"/>
        <v>Pass</v>
      </c>
      <c r="Z1733" s="11" t="str">
        <f t="shared" si="3657"/>
        <v/>
      </c>
      <c r="AA1733" s="491" t="str">
        <f t="shared" si="3658"/>
        <v/>
      </c>
      <c r="AB1733" s="491" t="str">
        <f t="shared" si="3659"/>
        <v/>
      </c>
    </row>
    <row r="1734" spans="2:28" x14ac:dyDescent="0.25">
      <c r="B1734" s="66">
        <v>42202</v>
      </c>
      <c r="C1734" s="66">
        <v>42202</v>
      </c>
      <c r="D1734" s="68">
        <f t="shared" ref="D1734" si="3681">IF(B1734&gt;0,MONTH(B1734),"False")</f>
        <v>7</v>
      </c>
      <c r="E1734" s="66" t="str">
        <f t="shared" ref="E1734" si="3682">YEAR(B1734) &amp; CHOOSE(D1734,"-Jan","-Feb","-Mar","-Apr","-May","-Jun","-Jul","-Aug","-Sep","-Oct","-Nov","-Dec")</f>
        <v>2015-Jul</v>
      </c>
      <c r="F1734" s="68">
        <f t="shared" ref="F1734" si="3683">IF(C1734&gt;0,MONTH(C1734),"False")</f>
        <v>7</v>
      </c>
      <c r="G1734" s="517" t="s">
        <v>112</v>
      </c>
      <c r="H1734" s="517" t="s">
        <v>115</v>
      </c>
      <c r="J1734" s="517" t="s">
        <v>149</v>
      </c>
      <c r="K1734" s="517" t="s">
        <v>84</v>
      </c>
      <c r="L1734" s="1" t="s">
        <v>83</v>
      </c>
      <c r="M1734" s="517" t="s">
        <v>2718</v>
      </c>
      <c r="N1734" s="1" t="s">
        <v>124</v>
      </c>
      <c r="O1734" s="1" t="s">
        <v>2719</v>
      </c>
      <c r="R1734" s="422" t="s">
        <v>2720</v>
      </c>
      <c r="S1734" s="1" t="s">
        <v>104</v>
      </c>
      <c r="X1734" s="1" t="s">
        <v>2801</v>
      </c>
      <c r="Y1734" s="491" t="str">
        <f t="shared" si="3656"/>
        <v>Pass</v>
      </c>
      <c r="Z1734" s="11" t="str">
        <f t="shared" si="3657"/>
        <v/>
      </c>
      <c r="AA1734" s="491" t="str">
        <f t="shared" si="3658"/>
        <v/>
      </c>
      <c r="AB1734" s="491" t="str">
        <f t="shared" si="3659"/>
        <v/>
      </c>
    </row>
    <row r="1735" spans="2:28" x14ac:dyDescent="0.25">
      <c r="B1735" s="66">
        <v>42202</v>
      </c>
      <c r="C1735" s="66">
        <v>42202</v>
      </c>
      <c r="D1735" s="68">
        <f t="shared" ref="D1735:D1736" si="3684">IF(B1735&gt;0,MONTH(B1735),"False")</f>
        <v>7</v>
      </c>
      <c r="E1735" s="66" t="str">
        <f t="shared" ref="E1735:E1736" si="3685">YEAR(B1735) &amp; CHOOSE(D1735,"-Jan","-Feb","-Mar","-Apr","-May","-Jun","-Jul","-Aug","-Sep","-Oct","-Nov","-Dec")</f>
        <v>2015-Jul</v>
      </c>
      <c r="F1735" s="68">
        <f t="shared" ref="F1735:F1736" si="3686">IF(C1735&gt;0,MONTH(C1735),"False")</f>
        <v>7</v>
      </c>
      <c r="G1735" s="517" t="s">
        <v>112</v>
      </c>
      <c r="H1735" s="517" t="s">
        <v>115</v>
      </c>
      <c r="J1735" s="517" t="s">
        <v>150</v>
      </c>
      <c r="K1735" s="517" t="s">
        <v>84</v>
      </c>
      <c r="L1735" s="517" t="s">
        <v>83</v>
      </c>
      <c r="M1735" s="517" t="s">
        <v>2721</v>
      </c>
      <c r="N1735" s="1" t="s">
        <v>124</v>
      </c>
      <c r="O1735" s="1" t="s">
        <v>2601</v>
      </c>
      <c r="R1735" s="422" t="s">
        <v>2720</v>
      </c>
      <c r="S1735" s="1" t="s">
        <v>104</v>
      </c>
      <c r="X1735" s="1" t="s">
        <v>2801</v>
      </c>
      <c r="Y1735" s="491" t="str">
        <f t="shared" si="3656"/>
        <v>Pass</v>
      </c>
      <c r="Z1735" s="11" t="str">
        <f t="shared" si="3657"/>
        <v/>
      </c>
      <c r="AA1735" s="491" t="str">
        <f t="shared" si="3658"/>
        <v/>
      </c>
      <c r="AB1735" s="491" t="str">
        <f t="shared" si="3659"/>
        <v/>
      </c>
    </row>
    <row r="1736" spans="2:28" x14ac:dyDescent="0.25">
      <c r="B1736" s="65">
        <v>42206</v>
      </c>
      <c r="C1736" s="66">
        <v>42206</v>
      </c>
      <c r="D1736" s="68">
        <f t="shared" si="3684"/>
        <v>7</v>
      </c>
      <c r="E1736" s="66" t="str">
        <f t="shared" si="3685"/>
        <v>2015-Jul</v>
      </c>
      <c r="F1736" s="68">
        <f t="shared" si="3686"/>
        <v>7</v>
      </c>
      <c r="G1736" s="528" t="s">
        <v>121</v>
      </c>
      <c r="H1736" s="1" t="s">
        <v>348</v>
      </c>
      <c r="J1736" s="1" t="s">
        <v>77</v>
      </c>
      <c r="K1736" s="1" t="s">
        <v>82</v>
      </c>
      <c r="L1736" s="1" t="s">
        <v>79</v>
      </c>
      <c r="M1736" s="528" t="s">
        <v>2727</v>
      </c>
      <c r="N1736" s="1" t="s">
        <v>124</v>
      </c>
      <c r="O1736" s="1" t="s">
        <v>91</v>
      </c>
      <c r="P1736" s="422" t="s">
        <v>352</v>
      </c>
      <c r="R1736" s="422" t="s">
        <v>2062</v>
      </c>
      <c r="S1736" s="1" t="s">
        <v>104</v>
      </c>
      <c r="T1736" s="67"/>
      <c r="X1736" s="1" t="s">
        <v>300</v>
      </c>
      <c r="Y1736" s="491" t="str">
        <f t="shared" si="3656"/>
        <v>Pass</v>
      </c>
      <c r="Z1736" s="11" t="str">
        <f t="shared" si="3657"/>
        <v/>
      </c>
      <c r="AA1736" s="491" t="str">
        <f t="shared" si="3658"/>
        <v/>
      </c>
      <c r="AB1736" s="491" t="str">
        <f t="shared" si="3659"/>
        <v/>
      </c>
    </row>
    <row r="1737" spans="2:28" x14ac:dyDescent="0.25">
      <c r="B1737" s="66">
        <v>42207</v>
      </c>
      <c r="C1737" s="66">
        <v>42207</v>
      </c>
      <c r="D1737" s="68">
        <f t="shared" ref="D1737" si="3687">IF(B1737&gt;0,MONTH(B1737),"False")</f>
        <v>7</v>
      </c>
      <c r="E1737" s="66" t="str">
        <f t="shared" ref="E1737" si="3688">YEAR(B1737) &amp; CHOOSE(D1737,"-Jan","-Feb","-Mar","-Apr","-May","-Jun","-Jul","-Aug","-Sep","-Oct","-Nov","-Dec")</f>
        <v>2015-Jul</v>
      </c>
      <c r="F1737" s="68">
        <f t="shared" ref="F1737" si="3689">IF(C1737&gt;0,MONTH(C1737),"False")</f>
        <v>7</v>
      </c>
      <c r="G1737" s="529" t="s">
        <v>112</v>
      </c>
      <c r="H1737" s="1" t="s">
        <v>280</v>
      </c>
      <c r="J1737" s="529" t="s">
        <v>78</v>
      </c>
      <c r="K1737" s="529" t="s">
        <v>78</v>
      </c>
      <c r="L1737" s="1" t="s">
        <v>79</v>
      </c>
      <c r="M1737" s="529" t="s">
        <v>2728</v>
      </c>
      <c r="N1737" s="1" t="s">
        <v>124</v>
      </c>
      <c r="O1737" s="1" t="s">
        <v>2600</v>
      </c>
      <c r="R1737" s="422" t="s">
        <v>344</v>
      </c>
      <c r="S1737" s="1" t="s">
        <v>104</v>
      </c>
      <c r="X1737" s="1" t="s">
        <v>2552</v>
      </c>
      <c r="Y1737" s="491" t="str">
        <f t="shared" si="3656"/>
        <v>Pass</v>
      </c>
      <c r="Z1737" s="11" t="str">
        <f t="shared" si="3657"/>
        <v/>
      </c>
      <c r="AA1737" s="491" t="str">
        <f t="shared" si="3658"/>
        <v/>
      </c>
      <c r="AB1737" s="491" t="str">
        <f t="shared" si="3659"/>
        <v/>
      </c>
    </row>
    <row r="1738" spans="2:28" x14ac:dyDescent="0.25">
      <c r="B1738" s="66">
        <v>42208</v>
      </c>
      <c r="C1738" s="66">
        <v>42208</v>
      </c>
      <c r="D1738" s="68">
        <f t="shared" ref="D1738" si="3690">IF(B1738&gt;0,MONTH(B1738),"False")</f>
        <v>7</v>
      </c>
      <c r="E1738" s="66" t="str">
        <f t="shared" ref="E1738" si="3691">YEAR(B1738) &amp; CHOOSE(D1738,"-Jan","-Feb","-Mar","-Apr","-May","-Jun","-Jul","-Aug","-Sep","-Oct","-Nov","-Dec")</f>
        <v>2015-Jul</v>
      </c>
      <c r="F1738" s="68">
        <f t="shared" ref="F1738" si="3692">IF(C1738&gt;0,MONTH(C1738),"False")</f>
        <v>7</v>
      </c>
      <c r="G1738" s="530" t="s">
        <v>112</v>
      </c>
      <c r="H1738" s="1" t="s">
        <v>103</v>
      </c>
      <c r="J1738" s="530" t="s">
        <v>78</v>
      </c>
      <c r="K1738" s="530" t="s">
        <v>78</v>
      </c>
      <c r="L1738" s="1" t="s">
        <v>79</v>
      </c>
      <c r="M1738" s="530" t="s">
        <v>2729</v>
      </c>
      <c r="N1738" s="1" t="s">
        <v>124</v>
      </c>
      <c r="O1738" s="1" t="s">
        <v>332</v>
      </c>
      <c r="R1738" s="422" t="s">
        <v>475</v>
      </c>
      <c r="S1738" s="1" t="s">
        <v>104</v>
      </c>
      <c r="X1738" s="1" t="s">
        <v>2615</v>
      </c>
      <c r="Y1738" s="491" t="str">
        <f t="shared" si="3656"/>
        <v>Pass</v>
      </c>
      <c r="Z1738" s="11" t="str">
        <f t="shared" si="3657"/>
        <v/>
      </c>
      <c r="AA1738" s="491" t="str">
        <f t="shared" si="3658"/>
        <v/>
      </c>
      <c r="AB1738" s="491" t="str">
        <f t="shared" si="3659"/>
        <v/>
      </c>
    </row>
    <row r="1739" spans="2:28" x14ac:dyDescent="0.25">
      <c r="B1739" s="66">
        <v>42208</v>
      </c>
      <c r="C1739" s="66">
        <v>42208</v>
      </c>
      <c r="D1739" s="68">
        <f t="shared" ref="D1739:D1740" si="3693">IF(B1739&gt;0,MONTH(B1739),"False")</f>
        <v>7</v>
      </c>
      <c r="E1739" s="66" t="str">
        <f t="shared" ref="E1739:E1740" si="3694">YEAR(B1739) &amp; CHOOSE(D1739,"-Jan","-Feb","-Mar","-Apr","-May","-Jun","-Jul","-Aug","-Sep","-Oct","-Nov","-Dec")</f>
        <v>2015-Jul</v>
      </c>
      <c r="F1739" s="68">
        <f t="shared" ref="F1739:F1740" si="3695">IF(C1739&gt;0,MONTH(C1739),"False")</f>
        <v>7</v>
      </c>
      <c r="G1739" s="530" t="s">
        <v>87</v>
      </c>
      <c r="H1739" s="1" t="s">
        <v>28</v>
      </c>
      <c r="J1739" s="530" t="s">
        <v>78</v>
      </c>
      <c r="K1739" s="530" t="s">
        <v>78</v>
      </c>
      <c r="L1739" s="530" t="s">
        <v>79</v>
      </c>
      <c r="M1739" s="530" t="s">
        <v>2730</v>
      </c>
      <c r="N1739" s="1" t="s">
        <v>124</v>
      </c>
      <c r="O1739" s="1" t="s">
        <v>168</v>
      </c>
      <c r="R1739" s="422" t="s">
        <v>308</v>
      </c>
      <c r="Y1739" s="491" t="str">
        <f t="shared" si="3656"/>
        <v>Unknown</v>
      </c>
      <c r="Z1739" s="11" t="str">
        <f t="shared" si="3657"/>
        <v/>
      </c>
      <c r="AA1739" s="491" t="str">
        <f t="shared" si="3658"/>
        <v/>
      </c>
      <c r="AB1739" s="491" t="str">
        <f t="shared" si="3659"/>
        <v/>
      </c>
    </row>
    <row r="1740" spans="2:28" x14ac:dyDescent="0.25">
      <c r="B1740" s="65">
        <v>42208</v>
      </c>
      <c r="C1740" s="66">
        <v>42208</v>
      </c>
      <c r="D1740" s="68">
        <f t="shared" si="3693"/>
        <v>7</v>
      </c>
      <c r="E1740" s="66" t="str">
        <f t="shared" si="3694"/>
        <v>2015-Jul</v>
      </c>
      <c r="F1740" s="68">
        <f t="shared" si="3695"/>
        <v>7</v>
      </c>
      <c r="G1740" s="530" t="s">
        <v>121</v>
      </c>
      <c r="H1740" s="1" t="s">
        <v>103</v>
      </c>
      <c r="J1740" s="530" t="s">
        <v>77</v>
      </c>
      <c r="K1740" s="530" t="s">
        <v>82</v>
      </c>
      <c r="L1740" s="530" t="s">
        <v>79</v>
      </c>
      <c r="M1740" s="530" t="s">
        <v>2731</v>
      </c>
      <c r="N1740" s="1" t="s">
        <v>124</v>
      </c>
      <c r="O1740" s="1" t="s">
        <v>507</v>
      </c>
      <c r="P1740" s="422" t="s">
        <v>351</v>
      </c>
      <c r="R1740" s="422" t="s">
        <v>361</v>
      </c>
      <c r="S1740" s="1" t="s">
        <v>104</v>
      </c>
      <c r="X1740" s="1" t="s">
        <v>2615</v>
      </c>
      <c r="Y1740" s="491" t="str">
        <f t="shared" si="3656"/>
        <v>Pass</v>
      </c>
      <c r="Z1740" s="11" t="str">
        <f t="shared" si="3657"/>
        <v/>
      </c>
      <c r="AA1740" s="491" t="str">
        <f t="shared" si="3658"/>
        <v/>
      </c>
      <c r="AB1740" s="491" t="str">
        <f t="shared" si="3659"/>
        <v/>
      </c>
    </row>
    <row r="1741" spans="2:28" x14ac:dyDescent="0.25">
      <c r="B1741" s="65">
        <v>42209</v>
      </c>
      <c r="C1741" s="66">
        <v>42209</v>
      </c>
      <c r="D1741" s="68">
        <f t="shared" ref="D1741:D1742" si="3696">IF(B1741&gt;0,MONTH(B1741),"False")</f>
        <v>7</v>
      </c>
      <c r="E1741" s="66" t="str">
        <f t="shared" ref="E1741:E1742" si="3697">YEAR(B1741) &amp; CHOOSE(D1741,"-Jan","-Feb","-Mar","-Apr","-May","-Jun","-Jul","-Aug","-Sep","-Oct","-Nov","-Dec")</f>
        <v>2015-Jul</v>
      </c>
      <c r="F1741" s="68">
        <f t="shared" ref="F1741:F1742" si="3698">IF(C1741&gt;0,MONTH(C1741),"False")</f>
        <v>7</v>
      </c>
      <c r="G1741" s="531" t="s">
        <v>121</v>
      </c>
      <c r="H1741" s="531" t="s">
        <v>166</v>
      </c>
      <c r="J1741" s="531" t="s">
        <v>98</v>
      </c>
      <c r="K1741" s="531" t="s">
        <v>82</v>
      </c>
      <c r="L1741" s="531" t="s">
        <v>79</v>
      </c>
      <c r="M1741" s="535" t="s">
        <v>2773</v>
      </c>
      <c r="N1741" s="1" t="s">
        <v>124</v>
      </c>
      <c r="O1741" s="1" t="s">
        <v>2072</v>
      </c>
      <c r="P1741" s="422" t="s">
        <v>336</v>
      </c>
      <c r="R1741" s="422" t="s">
        <v>1311</v>
      </c>
      <c r="S1741" s="1" t="s">
        <v>104</v>
      </c>
      <c r="X1741" s="1" t="s">
        <v>2772</v>
      </c>
      <c r="Y1741" s="491" t="str">
        <f t="shared" si="3656"/>
        <v>Pass</v>
      </c>
      <c r="Z1741" s="11" t="str">
        <f t="shared" si="3657"/>
        <v/>
      </c>
      <c r="AA1741" s="491" t="str">
        <f t="shared" si="3658"/>
        <v/>
      </c>
      <c r="AB1741" s="491" t="str">
        <f t="shared" si="3659"/>
        <v/>
      </c>
    </row>
    <row r="1742" spans="2:28" x14ac:dyDescent="0.25">
      <c r="B1742" s="66">
        <v>42209</v>
      </c>
      <c r="C1742" s="66">
        <v>42209</v>
      </c>
      <c r="D1742" s="68">
        <f t="shared" si="3696"/>
        <v>7</v>
      </c>
      <c r="E1742" s="66" t="str">
        <f t="shared" si="3697"/>
        <v>2015-Jul</v>
      </c>
      <c r="F1742" s="68">
        <f t="shared" si="3698"/>
        <v>7</v>
      </c>
      <c r="G1742" s="531" t="s">
        <v>112</v>
      </c>
      <c r="H1742" s="531" t="s">
        <v>166</v>
      </c>
      <c r="J1742" s="531" t="s">
        <v>150</v>
      </c>
      <c r="K1742" s="531" t="s">
        <v>84</v>
      </c>
      <c r="L1742" s="1" t="s">
        <v>83</v>
      </c>
      <c r="M1742" s="531" t="s">
        <v>2732</v>
      </c>
      <c r="N1742" s="1" t="s">
        <v>124</v>
      </c>
      <c r="O1742" s="1" t="s">
        <v>148</v>
      </c>
      <c r="R1742" s="422" t="s">
        <v>2733</v>
      </c>
      <c r="S1742" s="1" t="s">
        <v>104</v>
      </c>
      <c r="T1742" s="67" t="s">
        <v>110</v>
      </c>
      <c r="X1742" s="1" t="s">
        <v>349</v>
      </c>
      <c r="Y1742" s="491" t="str">
        <f t="shared" si="3656"/>
        <v>Pass</v>
      </c>
      <c r="Z1742" s="11" t="str">
        <f t="shared" si="3657"/>
        <v/>
      </c>
      <c r="AA1742" s="491" t="str">
        <f t="shared" si="3658"/>
        <v/>
      </c>
      <c r="AB1742" s="491" t="str">
        <f t="shared" si="3659"/>
        <v/>
      </c>
    </row>
    <row r="1743" spans="2:28" x14ac:dyDescent="0.25">
      <c r="B1743" s="66">
        <v>42209</v>
      </c>
      <c r="C1743" s="66">
        <v>42209</v>
      </c>
      <c r="D1743" s="68">
        <f t="shared" ref="D1743" si="3699">IF(B1743&gt;0,MONTH(B1743),"False")</f>
        <v>7</v>
      </c>
      <c r="E1743" s="66" t="str">
        <f t="shared" ref="E1743" si="3700">YEAR(B1743) &amp; CHOOSE(D1743,"-Jan","-Feb","-Mar","-Apr","-May","-Jun","-Jul","-Aug","-Sep","-Oct","-Nov","-Dec")</f>
        <v>2015-Jul</v>
      </c>
      <c r="F1743" s="68">
        <f t="shared" ref="F1743" si="3701">IF(C1743&gt;0,MONTH(C1743),"False")</f>
        <v>7</v>
      </c>
      <c r="G1743" s="531" t="s">
        <v>112</v>
      </c>
      <c r="H1743" s="1" t="s">
        <v>136</v>
      </c>
      <c r="J1743" s="531" t="s">
        <v>149</v>
      </c>
      <c r="K1743" s="531" t="s">
        <v>84</v>
      </c>
      <c r="L1743" s="1" t="s">
        <v>83</v>
      </c>
      <c r="M1743" s="531" t="s">
        <v>2734</v>
      </c>
      <c r="N1743" s="1" t="s">
        <v>124</v>
      </c>
      <c r="O1743" s="1" t="s">
        <v>2601</v>
      </c>
      <c r="R1743" s="422" t="s">
        <v>2673</v>
      </c>
      <c r="S1743" s="1" t="s">
        <v>104</v>
      </c>
      <c r="X1743" s="1" t="s">
        <v>159</v>
      </c>
      <c r="Y1743" s="491" t="str">
        <f t="shared" si="3656"/>
        <v>Pass</v>
      </c>
      <c r="Z1743" s="11" t="str">
        <f t="shared" si="3657"/>
        <v/>
      </c>
      <c r="AA1743" s="491" t="str">
        <f t="shared" si="3658"/>
        <v/>
      </c>
      <c r="AB1743" s="491" t="str">
        <f t="shared" si="3659"/>
        <v/>
      </c>
    </row>
    <row r="1744" spans="2:28" x14ac:dyDescent="0.25">
      <c r="B1744" s="66">
        <v>42209</v>
      </c>
      <c r="C1744" s="66">
        <v>42209</v>
      </c>
      <c r="D1744" s="68">
        <f t="shared" ref="D1744" si="3702">IF(B1744&gt;0,MONTH(B1744),"False")</f>
        <v>7</v>
      </c>
      <c r="E1744" s="66" t="str">
        <f t="shared" ref="E1744" si="3703">YEAR(B1744) &amp; CHOOSE(D1744,"-Jan","-Feb","-Mar","-Apr","-May","-Jun","-Jul","-Aug","-Sep","-Oct","-Nov","-Dec")</f>
        <v>2015-Jul</v>
      </c>
      <c r="F1744" s="68">
        <f t="shared" ref="F1744" si="3704">IF(C1744&gt;0,MONTH(C1744),"False")</f>
        <v>7</v>
      </c>
      <c r="G1744" s="531" t="s">
        <v>112</v>
      </c>
      <c r="H1744" s="531" t="s">
        <v>166</v>
      </c>
      <c r="J1744" s="531" t="s">
        <v>149</v>
      </c>
      <c r="K1744" s="531" t="s">
        <v>84</v>
      </c>
      <c r="L1744" s="531" t="s">
        <v>79</v>
      </c>
      <c r="M1744" s="531" t="s">
        <v>2735</v>
      </c>
      <c r="N1744" s="1" t="s">
        <v>124</v>
      </c>
      <c r="O1744" s="1" t="s">
        <v>148</v>
      </c>
      <c r="R1744" s="422" t="s">
        <v>1041</v>
      </c>
      <c r="S1744" s="1" t="s">
        <v>104</v>
      </c>
      <c r="X1744" s="1" t="s">
        <v>349</v>
      </c>
      <c r="Y1744" s="491" t="str">
        <f t="shared" si="3656"/>
        <v>Pass</v>
      </c>
      <c r="Z1744" s="11" t="str">
        <f t="shared" si="3657"/>
        <v/>
      </c>
      <c r="AA1744" s="491" t="str">
        <f t="shared" si="3658"/>
        <v/>
      </c>
      <c r="AB1744" s="491" t="str">
        <f t="shared" si="3659"/>
        <v/>
      </c>
    </row>
    <row r="1745" spans="2:28" x14ac:dyDescent="0.25">
      <c r="B1745" s="66">
        <v>42212</v>
      </c>
      <c r="C1745" s="66">
        <v>42212</v>
      </c>
      <c r="D1745" s="68">
        <f t="shared" ref="D1745" si="3705">IF(B1745&gt;0,MONTH(B1745),"False")</f>
        <v>7</v>
      </c>
      <c r="E1745" s="66" t="str">
        <f t="shared" ref="E1745" si="3706">YEAR(B1745) &amp; CHOOSE(D1745,"-Jan","-Feb","-Mar","-Apr","-May","-Jun","-Jul","-Aug","-Sep","-Oct","-Nov","-Dec")</f>
        <v>2015-Jul</v>
      </c>
      <c r="F1745" s="68">
        <f t="shared" ref="F1745" si="3707">IF(C1745&gt;0,MONTH(C1745),"False")</f>
        <v>7</v>
      </c>
      <c r="G1745" s="532" t="s">
        <v>112</v>
      </c>
      <c r="H1745" s="532" t="s">
        <v>166</v>
      </c>
      <c r="J1745" s="532" t="s">
        <v>149</v>
      </c>
      <c r="K1745" s="532" t="s">
        <v>84</v>
      </c>
      <c r="L1745" s="532" t="s">
        <v>83</v>
      </c>
      <c r="M1745" s="532" t="s">
        <v>2736</v>
      </c>
      <c r="N1745" s="1" t="s">
        <v>124</v>
      </c>
      <c r="O1745" s="1" t="s">
        <v>2675</v>
      </c>
      <c r="R1745" s="422" t="s">
        <v>2679</v>
      </c>
      <c r="S1745" s="1" t="s">
        <v>104</v>
      </c>
      <c r="X1745" s="1" t="s">
        <v>298</v>
      </c>
      <c r="Y1745" s="491" t="str">
        <f t="shared" si="3656"/>
        <v>Pass</v>
      </c>
      <c r="Z1745" s="11" t="str">
        <f t="shared" si="3657"/>
        <v/>
      </c>
      <c r="AA1745" s="491" t="str">
        <f t="shared" si="3658"/>
        <v/>
      </c>
      <c r="AB1745" s="491" t="str">
        <f t="shared" si="3659"/>
        <v/>
      </c>
    </row>
    <row r="1746" spans="2:28" x14ac:dyDescent="0.25">
      <c r="B1746" s="66">
        <v>42212</v>
      </c>
      <c r="C1746" s="66">
        <v>42212</v>
      </c>
      <c r="D1746" s="68">
        <f t="shared" ref="D1746" si="3708">IF(B1746&gt;0,MONTH(B1746),"False")</f>
        <v>7</v>
      </c>
      <c r="E1746" s="66" t="str">
        <f t="shared" ref="E1746" si="3709">YEAR(B1746) &amp; CHOOSE(D1746,"-Jan","-Feb","-Mar","-Apr","-May","-Jun","-Jul","-Aug","-Sep","-Oct","-Nov","-Dec")</f>
        <v>2015-Jul</v>
      </c>
      <c r="F1746" s="68">
        <f t="shared" ref="F1746" si="3710">IF(C1746&gt;0,MONTH(C1746),"False")</f>
        <v>7</v>
      </c>
      <c r="G1746" s="532" t="s">
        <v>112</v>
      </c>
      <c r="H1746" s="532" t="s">
        <v>166</v>
      </c>
      <c r="J1746" s="532" t="s">
        <v>98</v>
      </c>
      <c r="K1746" s="532" t="s">
        <v>84</v>
      </c>
      <c r="L1746" s="1" t="s">
        <v>83</v>
      </c>
      <c r="M1746" s="532" t="s">
        <v>2737</v>
      </c>
      <c r="N1746" s="1" t="s">
        <v>124</v>
      </c>
      <c r="O1746" s="1" t="s">
        <v>2020</v>
      </c>
      <c r="Q1746" s="2" t="s">
        <v>88</v>
      </c>
      <c r="R1746" s="422" t="s">
        <v>1353</v>
      </c>
      <c r="S1746" s="1" t="s">
        <v>2084</v>
      </c>
      <c r="T1746" s="67" t="s">
        <v>110</v>
      </c>
      <c r="Y1746" s="491" t="str">
        <f t="shared" si="3656"/>
        <v>Obsolete</v>
      </c>
      <c r="Z1746" s="11">
        <f t="shared" si="3657"/>
        <v>42212</v>
      </c>
      <c r="AA1746" s="491" t="str">
        <f t="shared" si="3658"/>
        <v>2015 - 31</v>
      </c>
      <c r="AB1746" s="491">
        <f t="shared" si="3659"/>
        <v>2015</v>
      </c>
    </row>
    <row r="1747" spans="2:28" x14ac:dyDescent="0.25">
      <c r="B1747" s="66">
        <v>42212</v>
      </c>
      <c r="C1747" s="66">
        <v>42212</v>
      </c>
      <c r="D1747" s="68">
        <f t="shared" ref="D1747" si="3711">IF(B1747&gt;0,MONTH(B1747),"False")</f>
        <v>7</v>
      </c>
      <c r="E1747" s="66" t="str">
        <f t="shared" ref="E1747" si="3712">YEAR(B1747) &amp; CHOOSE(D1747,"-Jan","-Feb","-Mar","-Apr","-May","-Jun","-Jul","-Aug","-Sep","-Oct","-Nov","-Dec")</f>
        <v>2015-Jul</v>
      </c>
      <c r="F1747" s="68">
        <f t="shared" ref="F1747" si="3713">IF(C1747&gt;0,MONTH(C1747),"False")</f>
        <v>7</v>
      </c>
      <c r="G1747" s="532" t="s">
        <v>112</v>
      </c>
      <c r="H1747" s="532" t="s">
        <v>136</v>
      </c>
      <c r="J1747" s="532" t="s">
        <v>77</v>
      </c>
      <c r="K1747" s="532" t="s">
        <v>82</v>
      </c>
      <c r="L1747" s="532" t="s">
        <v>79</v>
      </c>
      <c r="M1747" s="532" t="s">
        <v>2738</v>
      </c>
      <c r="N1747" s="1" t="s">
        <v>124</v>
      </c>
      <c r="O1747" s="1" t="s">
        <v>114</v>
      </c>
      <c r="R1747" s="422" t="s">
        <v>2739</v>
      </c>
      <c r="S1747" s="1" t="s">
        <v>104</v>
      </c>
      <c r="X1747" s="1" t="s">
        <v>159</v>
      </c>
      <c r="Y1747" s="491" t="str">
        <f t="shared" si="3656"/>
        <v>Pass</v>
      </c>
      <c r="Z1747" s="11" t="str">
        <f t="shared" si="3657"/>
        <v/>
      </c>
      <c r="AA1747" s="491" t="str">
        <f t="shared" si="3658"/>
        <v/>
      </c>
      <c r="AB1747" s="491" t="str">
        <f t="shared" si="3659"/>
        <v/>
      </c>
    </row>
    <row r="1748" spans="2:28" x14ac:dyDescent="0.25">
      <c r="B1748" s="66">
        <v>42212</v>
      </c>
      <c r="C1748" s="66">
        <v>42212</v>
      </c>
      <c r="D1748" s="68">
        <f t="shared" ref="D1748" si="3714">IF(B1748&gt;0,MONTH(B1748),"False")</f>
        <v>7</v>
      </c>
      <c r="E1748" s="66" t="str">
        <f t="shared" ref="E1748" si="3715">YEAR(B1748) &amp; CHOOSE(D1748,"-Jan","-Feb","-Mar","-Apr","-May","-Jun","-Jul","-Aug","-Sep","-Oct","-Nov","-Dec")</f>
        <v>2015-Jul</v>
      </c>
      <c r="F1748" s="68">
        <f t="shared" ref="F1748" si="3716">IF(C1748&gt;0,MONTH(C1748),"False")</f>
        <v>7</v>
      </c>
      <c r="G1748" s="532" t="s">
        <v>112</v>
      </c>
      <c r="H1748" s="1" t="s">
        <v>316</v>
      </c>
      <c r="J1748" s="532" t="s">
        <v>78</v>
      </c>
      <c r="K1748" s="532" t="s">
        <v>78</v>
      </c>
      <c r="L1748" s="1" t="s">
        <v>79</v>
      </c>
      <c r="M1748" s="532" t="s">
        <v>2740</v>
      </c>
      <c r="N1748" s="1" t="s">
        <v>124</v>
      </c>
      <c r="O1748" s="1" t="s">
        <v>287</v>
      </c>
      <c r="R1748" s="422" t="s">
        <v>1140</v>
      </c>
      <c r="S1748" s="1" t="s">
        <v>104</v>
      </c>
      <c r="Y1748" s="491" t="str">
        <f t="shared" si="3656"/>
        <v>Pass</v>
      </c>
      <c r="Z1748" s="11" t="str">
        <f t="shared" si="3657"/>
        <v/>
      </c>
      <c r="AA1748" s="491" t="str">
        <f t="shared" si="3658"/>
        <v/>
      </c>
      <c r="AB1748" s="491" t="str">
        <f t="shared" si="3659"/>
        <v/>
      </c>
    </row>
    <row r="1749" spans="2:28" x14ac:dyDescent="0.25">
      <c r="B1749" s="66">
        <v>42212</v>
      </c>
      <c r="C1749" s="66">
        <v>42212</v>
      </c>
      <c r="D1749" s="68">
        <f t="shared" ref="D1749" si="3717">IF(B1749&gt;0,MONTH(B1749),"False")</f>
        <v>7</v>
      </c>
      <c r="E1749" s="66" t="str">
        <f t="shared" ref="E1749" si="3718">YEAR(B1749) &amp; CHOOSE(D1749,"-Jan","-Feb","-Mar","-Apr","-May","-Jun","-Jul","-Aug","-Sep","-Oct","-Nov","-Dec")</f>
        <v>2015-Jul</v>
      </c>
      <c r="F1749" s="68">
        <f t="shared" ref="F1749" si="3719">IF(C1749&gt;0,MONTH(C1749),"False")</f>
        <v>7</v>
      </c>
      <c r="G1749" s="532" t="s">
        <v>112</v>
      </c>
      <c r="H1749" s="532" t="s">
        <v>166</v>
      </c>
      <c r="J1749" s="532" t="s">
        <v>150</v>
      </c>
      <c r="K1749" s="532" t="s">
        <v>84</v>
      </c>
      <c r="L1749" s="1" t="s">
        <v>83</v>
      </c>
      <c r="M1749" s="532" t="s">
        <v>2741</v>
      </c>
      <c r="N1749" s="1" t="s">
        <v>124</v>
      </c>
      <c r="O1749" s="1" t="s">
        <v>2601</v>
      </c>
      <c r="R1749" s="422" t="s">
        <v>2676</v>
      </c>
      <c r="S1749" s="1" t="s">
        <v>104</v>
      </c>
      <c r="X1749" s="1" t="s">
        <v>298</v>
      </c>
      <c r="Y1749" s="491" t="str">
        <f t="shared" si="3656"/>
        <v>Pass</v>
      </c>
      <c r="Z1749" s="11" t="str">
        <f t="shared" si="3657"/>
        <v/>
      </c>
      <c r="AA1749" s="491" t="str">
        <f t="shared" si="3658"/>
        <v/>
      </c>
      <c r="AB1749" s="491" t="str">
        <f t="shared" si="3659"/>
        <v/>
      </c>
    </row>
    <row r="1750" spans="2:28" x14ac:dyDescent="0.25">
      <c r="B1750" s="66">
        <v>42215</v>
      </c>
      <c r="C1750" s="66">
        <v>42215</v>
      </c>
      <c r="D1750" s="68">
        <f t="shared" ref="D1750" si="3720">IF(B1750&gt;0,MONTH(B1750),"False")</f>
        <v>7</v>
      </c>
      <c r="E1750" s="66" t="str">
        <f t="shared" ref="E1750" si="3721">YEAR(B1750) &amp; CHOOSE(D1750,"-Jan","-Feb","-Mar","-Apr","-May","-Jun","-Jul","-Aug","-Sep","-Oct","-Nov","-Dec")</f>
        <v>2015-Jul</v>
      </c>
      <c r="F1750" s="68">
        <f t="shared" ref="F1750" si="3722">IF(C1750&gt;0,MONTH(C1750),"False")</f>
        <v>7</v>
      </c>
      <c r="G1750" s="533" t="s">
        <v>112</v>
      </c>
      <c r="H1750" s="1" t="s">
        <v>115</v>
      </c>
      <c r="J1750" s="533" t="s">
        <v>149</v>
      </c>
      <c r="K1750" s="533" t="s">
        <v>84</v>
      </c>
      <c r="L1750" s="1" t="s">
        <v>79</v>
      </c>
      <c r="M1750" s="533" t="s">
        <v>2743</v>
      </c>
      <c r="N1750" s="1" t="s">
        <v>124</v>
      </c>
      <c r="O1750" s="1" t="s">
        <v>2601</v>
      </c>
      <c r="R1750" s="422" t="s">
        <v>2720</v>
      </c>
      <c r="S1750" s="1" t="s">
        <v>104</v>
      </c>
      <c r="X1750" s="1" t="s">
        <v>2801</v>
      </c>
      <c r="Y1750" s="491" t="str">
        <f t="shared" si="3656"/>
        <v>Pass</v>
      </c>
      <c r="Z1750" s="11" t="str">
        <f t="shared" si="3657"/>
        <v/>
      </c>
      <c r="AA1750" s="491" t="str">
        <f t="shared" si="3658"/>
        <v/>
      </c>
      <c r="AB1750" s="491" t="str">
        <f t="shared" si="3659"/>
        <v/>
      </c>
    </row>
    <row r="1751" spans="2:28" x14ac:dyDescent="0.25">
      <c r="B1751" s="66">
        <v>42215</v>
      </c>
      <c r="C1751" s="66">
        <v>42215</v>
      </c>
      <c r="D1751" s="68">
        <f t="shared" ref="D1751" si="3723">IF(B1751&gt;0,MONTH(B1751),"False")</f>
        <v>7</v>
      </c>
      <c r="E1751" s="66" t="str">
        <f t="shared" ref="E1751" si="3724">YEAR(B1751) &amp; CHOOSE(D1751,"-Jan","-Feb","-Mar","-Apr","-May","-Jun","-Jul","-Aug","-Sep","-Oct","-Nov","-Dec")</f>
        <v>2015-Jul</v>
      </c>
      <c r="F1751" s="68">
        <f t="shared" ref="F1751" si="3725">IF(C1751&gt;0,MONTH(C1751),"False")</f>
        <v>7</v>
      </c>
      <c r="G1751" s="533" t="s">
        <v>112</v>
      </c>
      <c r="H1751" s="1" t="s">
        <v>115</v>
      </c>
      <c r="J1751" s="533" t="s">
        <v>77</v>
      </c>
      <c r="K1751" s="533" t="s">
        <v>82</v>
      </c>
      <c r="L1751" s="1" t="s">
        <v>83</v>
      </c>
      <c r="M1751" s="533" t="s">
        <v>2744</v>
      </c>
      <c r="N1751" s="1" t="s">
        <v>124</v>
      </c>
      <c r="O1751" s="1" t="s">
        <v>353</v>
      </c>
      <c r="R1751" s="422" t="s">
        <v>2717</v>
      </c>
      <c r="S1751" s="1" t="s">
        <v>104</v>
      </c>
      <c r="T1751" s="67" t="s">
        <v>110</v>
      </c>
      <c r="X1751" s="1" t="s">
        <v>2801</v>
      </c>
      <c r="Y1751" s="491" t="str">
        <f t="shared" si="3656"/>
        <v>Pass</v>
      </c>
      <c r="Z1751" s="11" t="str">
        <f t="shared" si="3657"/>
        <v/>
      </c>
      <c r="AA1751" s="491" t="str">
        <f t="shared" si="3658"/>
        <v/>
      </c>
      <c r="AB1751" s="491" t="str">
        <f t="shared" si="3659"/>
        <v/>
      </c>
    </row>
    <row r="1752" spans="2:28" x14ac:dyDescent="0.25">
      <c r="B1752" s="66">
        <v>42215</v>
      </c>
      <c r="C1752" s="66">
        <v>42215</v>
      </c>
      <c r="D1752" s="68">
        <f t="shared" ref="D1752:D1753" si="3726">IF(B1752&gt;0,MONTH(B1752),"False")</f>
        <v>7</v>
      </c>
      <c r="E1752" s="66" t="str">
        <f t="shared" ref="E1752:E1753" si="3727">YEAR(B1752) &amp; CHOOSE(D1752,"-Jan","-Feb","-Mar","-Apr","-May","-Jun","-Jul","-Aug","-Sep","-Oct","-Nov","-Dec")</f>
        <v>2015-Jul</v>
      </c>
      <c r="F1752" s="68">
        <f t="shared" ref="F1752:F1753" si="3728">IF(C1752&gt;0,MONTH(C1752),"False")</f>
        <v>7</v>
      </c>
      <c r="G1752" s="533" t="s">
        <v>112</v>
      </c>
      <c r="H1752" s="533" t="s">
        <v>166</v>
      </c>
      <c r="J1752" s="533" t="s">
        <v>98</v>
      </c>
      <c r="K1752" s="533" t="s">
        <v>84</v>
      </c>
      <c r="L1752" s="1" t="s">
        <v>79</v>
      </c>
      <c r="M1752" s="533" t="s">
        <v>2745</v>
      </c>
      <c r="N1752" s="1" t="s">
        <v>124</v>
      </c>
      <c r="O1752" s="1" t="s">
        <v>2020</v>
      </c>
      <c r="R1752" s="422" t="s">
        <v>1353</v>
      </c>
      <c r="S1752" s="1" t="s">
        <v>104</v>
      </c>
      <c r="X1752" s="1" t="s">
        <v>2772</v>
      </c>
      <c r="Y1752" s="491" t="str">
        <f t="shared" si="3656"/>
        <v>Pass</v>
      </c>
      <c r="Z1752" s="11" t="str">
        <f t="shared" si="3657"/>
        <v/>
      </c>
      <c r="AA1752" s="491" t="str">
        <f t="shared" si="3658"/>
        <v/>
      </c>
      <c r="AB1752" s="491" t="str">
        <f t="shared" si="3659"/>
        <v/>
      </c>
    </row>
    <row r="1753" spans="2:28" x14ac:dyDescent="0.25">
      <c r="B1753" s="65">
        <v>42216</v>
      </c>
      <c r="C1753" s="66">
        <v>42216</v>
      </c>
      <c r="D1753" s="68">
        <f t="shared" si="3726"/>
        <v>7</v>
      </c>
      <c r="E1753" s="66" t="str">
        <f t="shared" si="3727"/>
        <v>2015-Jul</v>
      </c>
      <c r="F1753" s="68">
        <f t="shared" si="3728"/>
        <v>7</v>
      </c>
      <c r="G1753" s="1" t="s">
        <v>121</v>
      </c>
      <c r="H1753" s="534" t="s">
        <v>280</v>
      </c>
      <c r="J1753" s="1" t="s">
        <v>146</v>
      </c>
      <c r="K1753" s="534" t="s">
        <v>82</v>
      </c>
      <c r="L1753" s="1" t="s">
        <v>79</v>
      </c>
      <c r="M1753" s="534" t="s">
        <v>2746</v>
      </c>
      <c r="N1753" s="534" t="s">
        <v>124</v>
      </c>
      <c r="O1753" s="1" t="s">
        <v>2598</v>
      </c>
      <c r="P1753" s="422" t="s">
        <v>305</v>
      </c>
      <c r="R1753" s="422" t="s">
        <v>1559</v>
      </c>
      <c r="S1753" s="1" t="s">
        <v>104</v>
      </c>
      <c r="X1753" s="1" t="s">
        <v>2146</v>
      </c>
      <c r="Y1753" s="491" t="str">
        <f t="shared" si="3656"/>
        <v>Pass</v>
      </c>
      <c r="Z1753" s="11" t="str">
        <f t="shared" si="3657"/>
        <v/>
      </c>
      <c r="AA1753" s="491" t="str">
        <f t="shared" si="3658"/>
        <v/>
      </c>
      <c r="AB1753" s="491" t="str">
        <f t="shared" si="3659"/>
        <v/>
      </c>
    </row>
    <row r="1754" spans="2:28" x14ac:dyDescent="0.25">
      <c r="B1754" s="65">
        <v>42216</v>
      </c>
      <c r="C1754" s="66">
        <v>42216</v>
      </c>
      <c r="D1754" s="68">
        <f t="shared" ref="D1754:D1755" si="3729">IF(B1754&gt;0,MONTH(B1754),"False")</f>
        <v>7</v>
      </c>
      <c r="E1754" s="66" t="str">
        <f t="shared" ref="E1754:E1755" si="3730">YEAR(B1754) &amp; CHOOSE(D1754,"-Jan","-Feb","-Mar","-Apr","-May","-Jun","-Jul","-Aug","-Sep","-Oct","-Nov","-Dec")</f>
        <v>2015-Jul</v>
      </c>
      <c r="F1754" s="68">
        <f t="shared" ref="F1754:F1755" si="3731">IF(C1754&gt;0,MONTH(C1754),"False")</f>
        <v>7</v>
      </c>
      <c r="G1754" s="534" t="s">
        <v>121</v>
      </c>
      <c r="H1754" s="534" t="s">
        <v>280</v>
      </c>
      <c r="J1754" s="534" t="s">
        <v>81</v>
      </c>
      <c r="K1754" s="534" t="s">
        <v>82</v>
      </c>
      <c r="L1754" s="1" t="s">
        <v>79</v>
      </c>
      <c r="M1754" s="534" t="s">
        <v>2747</v>
      </c>
      <c r="N1754" s="1" t="s">
        <v>124</v>
      </c>
      <c r="O1754" s="1" t="s">
        <v>2598</v>
      </c>
      <c r="P1754" s="422" t="s">
        <v>305</v>
      </c>
      <c r="R1754" s="422" t="s">
        <v>1559</v>
      </c>
      <c r="S1754" s="1" t="s">
        <v>104</v>
      </c>
      <c r="X1754" s="1" t="s">
        <v>2146</v>
      </c>
      <c r="Y1754" s="491" t="str">
        <f t="shared" si="3656"/>
        <v>Pass</v>
      </c>
      <c r="Z1754" s="11" t="str">
        <f t="shared" si="3657"/>
        <v/>
      </c>
      <c r="AA1754" s="491" t="str">
        <f t="shared" si="3658"/>
        <v/>
      </c>
      <c r="AB1754" s="491" t="str">
        <f t="shared" si="3659"/>
        <v/>
      </c>
    </row>
    <row r="1755" spans="2:28" x14ac:dyDescent="0.25">
      <c r="B1755" s="66">
        <v>42220</v>
      </c>
      <c r="C1755" s="66">
        <v>42220</v>
      </c>
      <c r="D1755" s="68">
        <f t="shared" si="3729"/>
        <v>8</v>
      </c>
      <c r="E1755" s="66" t="str">
        <f t="shared" si="3730"/>
        <v>2015-Aug</v>
      </c>
      <c r="F1755" s="68">
        <f t="shared" si="3731"/>
        <v>8</v>
      </c>
      <c r="G1755" s="535" t="s">
        <v>87</v>
      </c>
      <c r="H1755" s="1" t="s">
        <v>280</v>
      </c>
      <c r="J1755" s="535" t="s">
        <v>98</v>
      </c>
      <c r="K1755" s="535" t="s">
        <v>84</v>
      </c>
      <c r="L1755" s="1" t="s">
        <v>83</v>
      </c>
      <c r="M1755" s="518" t="s">
        <v>2775</v>
      </c>
      <c r="N1755" s="1" t="s">
        <v>124</v>
      </c>
      <c r="O1755" s="1" t="s">
        <v>2020</v>
      </c>
      <c r="R1755" s="422" t="s">
        <v>2774</v>
      </c>
      <c r="T1755" s="67" t="s">
        <v>110</v>
      </c>
      <c r="Y1755" s="491" t="str">
        <f t="shared" si="3656"/>
        <v>Unknown</v>
      </c>
      <c r="Z1755" s="11" t="str">
        <f t="shared" si="3657"/>
        <v/>
      </c>
      <c r="AA1755" s="491" t="str">
        <f t="shared" si="3658"/>
        <v/>
      </c>
      <c r="AB1755" s="491" t="str">
        <f t="shared" si="3659"/>
        <v/>
      </c>
    </row>
    <row r="1756" spans="2:28" x14ac:dyDescent="0.25">
      <c r="B1756" s="66">
        <v>42220</v>
      </c>
      <c r="C1756" s="66">
        <v>42220</v>
      </c>
      <c r="D1756" s="68">
        <f t="shared" ref="D1756" si="3732">IF(B1756&gt;0,MONTH(B1756),"False")</f>
        <v>8</v>
      </c>
      <c r="E1756" s="66" t="str">
        <f t="shared" ref="E1756" si="3733">YEAR(B1756) &amp; CHOOSE(D1756,"-Jan","-Feb","-Mar","-Apr","-May","-Jun","-Jul","-Aug","-Sep","-Oct","-Nov","-Dec")</f>
        <v>2015-Aug</v>
      </c>
      <c r="F1756" s="68">
        <f t="shared" ref="F1756" si="3734">IF(C1756&gt;0,MONTH(C1756),"False")</f>
        <v>8</v>
      </c>
      <c r="G1756" s="535" t="s">
        <v>112</v>
      </c>
      <c r="H1756" s="535" t="s">
        <v>280</v>
      </c>
      <c r="J1756" s="535" t="s">
        <v>78</v>
      </c>
      <c r="K1756" s="535" t="s">
        <v>78</v>
      </c>
      <c r="L1756" s="535" t="s">
        <v>79</v>
      </c>
      <c r="M1756" s="518" t="s">
        <v>2776</v>
      </c>
      <c r="N1756" s="1" t="s">
        <v>124</v>
      </c>
      <c r="O1756" s="1" t="s">
        <v>138</v>
      </c>
      <c r="R1756" s="422" t="s">
        <v>344</v>
      </c>
      <c r="S1756" s="1" t="s">
        <v>104</v>
      </c>
      <c r="X1756" s="1" t="s">
        <v>2552</v>
      </c>
      <c r="Y1756" s="491" t="str">
        <f t="shared" si="3656"/>
        <v>Pass</v>
      </c>
      <c r="Z1756" s="11" t="str">
        <f t="shared" si="3657"/>
        <v/>
      </c>
      <c r="AA1756" s="491" t="str">
        <f t="shared" si="3658"/>
        <v/>
      </c>
      <c r="AB1756" s="491" t="str">
        <f t="shared" si="3659"/>
        <v/>
      </c>
    </row>
    <row r="1757" spans="2:28" x14ac:dyDescent="0.25">
      <c r="B1757" s="66">
        <v>42221</v>
      </c>
      <c r="C1757" s="66">
        <v>42221</v>
      </c>
      <c r="D1757" s="68">
        <f t="shared" ref="D1757" si="3735">IF(B1757&gt;0,MONTH(B1757),"False")</f>
        <v>8</v>
      </c>
      <c r="E1757" s="66" t="str">
        <f t="shared" ref="E1757" si="3736">YEAR(B1757) &amp; CHOOSE(D1757,"-Jan","-Feb","-Mar","-Apr","-May","-Jun","-Jul","-Aug","-Sep","-Oct","-Nov","-Dec")</f>
        <v>2015-Aug</v>
      </c>
      <c r="F1757" s="68">
        <f t="shared" ref="F1757" si="3737">IF(C1757&gt;0,MONTH(C1757),"False")</f>
        <v>8</v>
      </c>
      <c r="G1757" s="537" t="s">
        <v>87</v>
      </c>
      <c r="H1757" s="537" t="s">
        <v>166</v>
      </c>
      <c r="J1757" s="537" t="s">
        <v>78</v>
      </c>
      <c r="K1757" s="537" t="s">
        <v>78</v>
      </c>
      <c r="L1757" s="1" t="s">
        <v>79</v>
      </c>
      <c r="M1757" s="518" t="s">
        <v>2781</v>
      </c>
      <c r="N1757" s="537" t="s">
        <v>124</v>
      </c>
      <c r="O1757" s="1" t="s">
        <v>287</v>
      </c>
      <c r="R1757" s="422" t="s">
        <v>488</v>
      </c>
      <c r="Y1757" s="491" t="str">
        <f t="shared" si="3656"/>
        <v>Unknown</v>
      </c>
      <c r="Z1757" s="11" t="str">
        <f t="shared" si="3657"/>
        <v/>
      </c>
      <c r="AA1757" s="491" t="str">
        <f t="shared" si="3658"/>
        <v/>
      </c>
      <c r="AB1757" s="491" t="str">
        <f t="shared" si="3659"/>
        <v/>
      </c>
    </row>
    <row r="1758" spans="2:28" x14ac:dyDescent="0.25">
      <c r="B1758" s="66">
        <v>42222</v>
      </c>
      <c r="C1758" s="66">
        <v>42222</v>
      </c>
      <c r="D1758" s="68">
        <f t="shared" ref="D1758" si="3738">IF(B1758&gt;0,MONTH(B1758),"False")</f>
        <v>8</v>
      </c>
      <c r="E1758" s="66" t="str">
        <f t="shared" ref="E1758" si="3739">YEAR(B1758) &amp; CHOOSE(D1758,"-Jan","-Feb","-Mar","-Apr","-May","-Jun","-Jul","-Aug","-Sep","-Oct","-Nov","-Dec")</f>
        <v>2015-Aug</v>
      </c>
      <c r="F1758" s="68">
        <f t="shared" ref="F1758" si="3740">IF(C1758&gt;0,MONTH(C1758),"False")</f>
        <v>8</v>
      </c>
      <c r="G1758" s="537" t="s">
        <v>112</v>
      </c>
      <c r="H1758" s="537" t="s">
        <v>1685</v>
      </c>
      <c r="J1758" s="537" t="s">
        <v>78</v>
      </c>
      <c r="K1758" s="537" t="s">
        <v>78</v>
      </c>
      <c r="L1758" s="1" t="s">
        <v>79</v>
      </c>
      <c r="M1758" s="518" t="s">
        <v>2783</v>
      </c>
      <c r="N1758" s="537" t="s">
        <v>124</v>
      </c>
      <c r="O1758" s="1" t="s">
        <v>287</v>
      </c>
      <c r="R1758" s="422" t="s">
        <v>2550</v>
      </c>
      <c r="S1758" s="1" t="s">
        <v>104</v>
      </c>
      <c r="T1758" s="67" t="s">
        <v>110</v>
      </c>
      <c r="X1758" s="1" t="s">
        <v>154</v>
      </c>
      <c r="Y1758" s="491" t="str">
        <f t="shared" si="3656"/>
        <v>Pass</v>
      </c>
      <c r="Z1758" s="11" t="str">
        <f t="shared" si="3657"/>
        <v/>
      </c>
      <c r="AA1758" s="491" t="str">
        <f t="shared" si="3658"/>
        <v/>
      </c>
      <c r="AB1758" s="491" t="str">
        <f t="shared" si="3659"/>
        <v/>
      </c>
    </row>
    <row r="1759" spans="2:28" x14ac:dyDescent="0.25">
      <c r="B1759" s="66">
        <v>42222</v>
      </c>
      <c r="C1759" s="66">
        <v>42222</v>
      </c>
      <c r="D1759" s="68">
        <f t="shared" ref="D1759:D1760" si="3741">IF(B1759&gt;0,MONTH(B1759),"False")</f>
        <v>8</v>
      </c>
      <c r="E1759" s="66" t="str">
        <f t="shared" ref="E1759:E1760" si="3742">YEAR(B1759) &amp; CHOOSE(D1759,"-Jan","-Feb","-Mar","-Apr","-May","-Jun","-Jul","-Aug","-Sep","-Oct","-Nov","-Dec")</f>
        <v>2015-Aug</v>
      </c>
      <c r="F1759" s="68">
        <f t="shared" ref="F1759:F1760" si="3743">IF(C1759&gt;0,MONTH(C1759),"False")</f>
        <v>8</v>
      </c>
      <c r="G1759" s="537" t="s">
        <v>112</v>
      </c>
      <c r="H1759" s="1" t="s">
        <v>136</v>
      </c>
      <c r="J1759" s="537" t="s">
        <v>77</v>
      </c>
      <c r="K1759" s="537" t="s">
        <v>82</v>
      </c>
      <c r="L1759" s="1" t="s">
        <v>79</v>
      </c>
      <c r="M1759" s="1" t="s">
        <v>2785</v>
      </c>
      <c r="N1759" s="1" t="s">
        <v>124</v>
      </c>
      <c r="O1759" s="1" t="s">
        <v>114</v>
      </c>
      <c r="R1759" s="422" t="s">
        <v>2739</v>
      </c>
      <c r="S1759" s="1" t="s">
        <v>104</v>
      </c>
      <c r="X1759" s="1" t="s">
        <v>159</v>
      </c>
      <c r="Y1759" s="491" t="str">
        <f t="shared" si="3656"/>
        <v>Pass</v>
      </c>
      <c r="Z1759" s="11" t="str">
        <f t="shared" si="3657"/>
        <v/>
      </c>
      <c r="AA1759" s="491" t="str">
        <f t="shared" si="3658"/>
        <v/>
      </c>
      <c r="AB1759" s="491" t="str">
        <f t="shared" si="3659"/>
        <v/>
      </c>
    </row>
    <row r="1760" spans="2:28" x14ac:dyDescent="0.25">
      <c r="B1760" s="65">
        <v>42222</v>
      </c>
      <c r="C1760" s="66">
        <v>42222</v>
      </c>
      <c r="D1760" s="68">
        <f t="shared" si="3741"/>
        <v>8</v>
      </c>
      <c r="E1760" s="66" t="str">
        <f t="shared" si="3742"/>
        <v>2015-Aug</v>
      </c>
      <c r="F1760" s="68">
        <f t="shared" si="3743"/>
        <v>8</v>
      </c>
      <c r="G1760" s="537" t="s">
        <v>121</v>
      </c>
      <c r="H1760" s="537" t="s">
        <v>1685</v>
      </c>
      <c r="J1760" s="537" t="s">
        <v>81</v>
      </c>
      <c r="K1760" s="537" t="s">
        <v>82</v>
      </c>
      <c r="L1760" s="1" t="s">
        <v>79</v>
      </c>
      <c r="M1760" s="537" t="s">
        <v>2786</v>
      </c>
      <c r="N1760" s="537" t="s">
        <v>124</v>
      </c>
      <c r="O1760" s="1" t="s">
        <v>353</v>
      </c>
      <c r="P1760" s="422" t="s">
        <v>2009</v>
      </c>
      <c r="R1760" s="422" t="s">
        <v>2398</v>
      </c>
      <c r="S1760" s="1" t="s">
        <v>104</v>
      </c>
      <c r="X1760" s="1" t="s">
        <v>154</v>
      </c>
      <c r="Y1760" s="491" t="str">
        <f t="shared" si="3656"/>
        <v>Pass</v>
      </c>
      <c r="Z1760" s="11" t="str">
        <f t="shared" si="3657"/>
        <v/>
      </c>
      <c r="AA1760" s="491" t="str">
        <f t="shared" si="3658"/>
        <v/>
      </c>
      <c r="AB1760" s="491" t="str">
        <f t="shared" si="3659"/>
        <v/>
      </c>
    </row>
    <row r="1761" spans="2:28" x14ac:dyDescent="0.25">
      <c r="B1761" s="66">
        <v>42222</v>
      </c>
      <c r="C1761" s="66">
        <v>42222</v>
      </c>
      <c r="D1761" s="68">
        <f t="shared" ref="D1761" si="3744">IF(B1761&gt;0,MONTH(B1761),"False")</f>
        <v>8</v>
      </c>
      <c r="E1761" s="66" t="str">
        <f t="shared" ref="E1761" si="3745">YEAR(B1761) &amp; CHOOSE(D1761,"-Jan","-Feb","-Mar","-Apr","-May","-Jun","-Jul","-Aug","-Sep","-Oct","-Nov","-Dec")</f>
        <v>2015-Aug</v>
      </c>
      <c r="F1761" s="68">
        <f t="shared" ref="F1761" si="3746">IF(C1761&gt;0,MONTH(C1761),"False")</f>
        <v>8</v>
      </c>
      <c r="G1761" s="537" t="s">
        <v>112</v>
      </c>
      <c r="H1761" s="1" t="s">
        <v>115</v>
      </c>
      <c r="J1761" s="537" t="s">
        <v>78</v>
      </c>
      <c r="K1761" s="537" t="s">
        <v>78</v>
      </c>
      <c r="L1761" s="1" t="s">
        <v>79</v>
      </c>
      <c r="M1761" s="537" t="s">
        <v>2787</v>
      </c>
      <c r="N1761" s="1" t="s">
        <v>124</v>
      </c>
      <c r="O1761" s="1" t="s">
        <v>332</v>
      </c>
      <c r="R1761" s="422" t="s">
        <v>2788</v>
      </c>
      <c r="S1761" s="1" t="s">
        <v>104</v>
      </c>
      <c r="X1761" s="1" t="s">
        <v>159</v>
      </c>
      <c r="Y1761" s="491" t="str">
        <f t="shared" si="3656"/>
        <v>Pass</v>
      </c>
      <c r="Z1761" s="11" t="str">
        <f t="shared" si="3657"/>
        <v/>
      </c>
      <c r="AA1761" s="491" t="str">
        <f t="shared" si="3658"/>
        <v/>
      </c>
      <c r="AB1761" s="491" t="str">
        <f t="shared" si="3659"/>
        <v/>
      </c>
    </row>
    <row r="1762" spans="2:28" x14ac:dyDescent="0.25">
      <c r="B1762" s="66">
        <v>42222</v>
      </c>
      <c r="C1762" s="66">
        <v>42222</v>
      </c>
      <c r="D1762" s="68">
        <f t="shared" ref="D1762" si="3747">IF(B1762&gt;0,MONTH(B1762),"False")</f>
        <v>8</v>
      </c>
      <c r="E1762" s="66" t="str">
        <f t="shared" ref="E1762" si="3748">YEAR(B1762) &amp; CHOOSE(D1762,"-Jan","-Feb","-Mar","-Apr","-May","-Jun","-Jul","-Aug","-Sep","-Oct","-Nov","-Dec")</f>
        <v>2015-Aug</v>
      </c>
      <c r="F1762" s="68">
        <f t="shared" ref="F1762" si="3749">IF(C1762&gt;0,MONTH(C1762),"False")</f>
        <v>8</v>
      </c>
      <c r="G1762" s="537" t="s">
        <v>112</v>
      </c>
      <c r="H1762" s="537" t="s">
        <v>1685</v>
      </c>
      <c r="J1762" s="1" t="s">
        <v>146</v>
      </c>
      <c r="K1762" s="537" t="s">
        <v>82</v>
      </c>
      <c r="L1762" s="1" t="s">
        <v>83</v>
      </c>
      <c r="M1762" s="537" t="s">
        <v>2789</v>
      </c>
      <c r="N1762" s="1" t="s">
        <v>124</v>
      </c>
      <c r="O1762" s="1" t="s">
        <v>353</v>
      </c>
      <c r="R1762" s="422" t="s">
        <v>2398</v>
      </c>
      <c r="S1762" s="1" t="s">
        <v>104</v>
      </c>
      <c r="X1762" s="1" t="s">
        <v>154</v>
      </c>
      <c r="Y1762" s="491" t="str">
        <f t="shared" si="3656"/>
        <v>Pass</v>
      </c>
      <c r="Z1762" s="11" t="str">
        <f t="shared" si="3657"/>
        <v/>
      </c>
      <c r="AA1762" s="491" t="str">
        <f t="shared" si="3658"/>
        <v/>
      </c>
      <c r="AB1762" s="491" t="str">
        <f t="shared" si="3659"/>
        <v/>
      </c>
    </row>
    <row r="1763" spans="2:28" x14ac:dyDescent="0.25">
      <c r="B1763" s="66">
        <v>42223</v>
      </c>
      <c r="C1763" s="66">
        <v>42223</v>
      </c>
      <c r="D1763" s="68">
        <f t="shared" ref="D1763" si="3750">IF(B1763&gt;0,MONTH(B1763),"False")</f>
        <v>8</v>
      </c>
      <c r="E1763" s="66" t="str">
        <f t="shared" ref="E1763" si="3751">YEAR(B1763) &amp; CHOOSE(D1763,"-Jan","-Feb","-Mar","-Apr","-May","-Jun","-Jul","-Aug","-Sep","-Oct","-Nov","-Dec")</f>
        <v>2015-Aug</v>
      </c>
      <c r="F1763" s="68">
        <f t="shared" ref="F1763" si="3752">IF(C1763&gt;0,MONTH(C1763),"False")</f>
        <v>8</v>
      </c>
      <c r="G1763" s="537" t="s">
        <v>112</v>
      </c>
      <c r="H1763" s="537" t="s">
        <v>166</v>
      </c>
      <c r="J1763" s="537" t="s">
        <v>78</v>
      </c>
      <c r="K1763" s="537" t="s">
        <v>84</v>
      </c>
      <c r="L1763" s="1" t="s">
        <v>79</v>
      </c>
      <c r="M1763" s="537" t="s">
        <v>2790</v>
      </c>
      <c r="N1763" s="1" t="s">
        <v>124</v>
      </c>
      <c r="O1763" s="1" t="s">
        <v>152</v>
      </c>
      <c r="R1763" s="422" t="s">
        <v>2442</v>
      </c>
      <c r="S1763" s="1" t="s">
        <v>104</v>
      </c>
      <c r="X1763" s="1" t="s">
        <v>154</v>
      </c>
      <c r="Y1763" s="491" t="str">
        <f t="shared" si="3656"/>
        <v>Pass</v>
      </c>
      <c r="Z1763" s="11" t="str">
        <f t="shared" si="3657"/>
        <v/>
      </c>
      <c r="AA1763" s="491" t="str">
        <f t="shared" si="3658"/>
        <v/>
      </c>
      <c r="AB1763" s="491" t="str">
        <f t="shared" si="3659"/>
        <v/>
      </c>
    </row>
    <row r="1764" spans="2:28" x14ac:dyDescent="0.25">
      <c r="B1764" s="66">
        <v>42226</v>
      </c>
      <c r="C1764" s="66">
        <v>42226</v>
      </c>
      <c r="D1764" s="68">
        <f t="shared" ref="D1764:D1765" si="3753">IF(B1764&gt;0,MONTH(B1764),"False")</f>
        <v>8</v>
      </c>
      <c r="E1764" s="66" t="str">
        <f t="shared" ref="E1764:E1765" si="3754">YEAR(B1764) &amp; CHOOSE(D1764,"-Jan","-Feb","-Mar","-Apr","-May","-Jun","-Jul","-Aug","-Sep","-Oct","-Nov","-Dec")</f>
        <v>2015-Aug</v>
      </c>
      <c r="F1764" s="68">
        <f t="shared" ref="F1764:F1765" si="3755">IF(C1764&gt;0,MONTH(C1764),"False")</f>
        <v>8</v>
      </c>
      <c r="G1764" s="540" t="s">
        <v>112</v>
      </c>
      <c r="H1764" s="1" t="s">
        <v>115</v>
      </c>
      <c r="J1764" s="540" t="s">
        <v>149</v>
      </c>
      <c r="K1764" s="540" t="s">
        <v>84</v>
      </c>
      <c r="L1764" s="1" t="s">
        <v>79</v>
      </c>
      <c r="M1764" s="540" t="s">
        <v>2794</v>
      </c>
      <c r="N1764" s="1" t="s">
        <v>124</v>
      </c>
      <c r="O1764" s="1" t="s">
        <v>264</v>
      </c>
      <c r="R1764" s="422" t="s">
        <v>2720</v>
      </c>
      <c r="S1764" s="1" t="s">
        <v>104</v>
      </c>
      <c r="X1764" s="1" t="s">
        <v>2802</v>
      </c>
      <c r="Y1764" s="491" t="str">
        <f t="shared" si="3656"/>
        <v>Pass</v>
      </c>
      <c r="Z1764" s="11" t="str">
        <f t="shared" si="3657"/>
        <v/>
      </c>
      <c r="AA1764" s="491" t="str">
        <f t="shared" si="3658"/>
        <v/>
      </c>
      <c r="AB1764" s="491" t="str">
        <f t="shared" si="3659"/>
        <v/>
      </c>
    </row>
    <row r="1765" spans="2:28" x14ac:dyDescent="0.25">
      <c r="B1765" s="65">
        <v>42226</v>
      </c>
      <c r="C1765" s="66">
        <v>42226</v>
      </c>
      <c r="D1765" s="68">
        <f t="shared" si="3753"/>
        <v>8</v>
      </c>
      <c r="E1765" s="66" t="str">
        <f t="shared" si="3754"/>
        <v>2015-Aug</v>
      </c>
      <c r="F1765" s="68">
        <f t="shared" si="3755"/>
        <v>8</v>
      </c>
      <c r="G1765" s="540" t="s">
        <v>121</v>
      </c>
      <c r="H1765" s="1" t="s">
        <v>348</v>
      </c>
      <c r="J1765" s="540" t="s">
        <v>77</v>
      </c>
      <c r="K1765" s="540" t="s">
        <v>82</v>
      </c>
      <c r="L1765" s="1" t="s">
        <v>79</v>
      </c>
      <c r="M1765" s="540" t="s">
        <v>2795</v>
      </c>
      <c r="N1765" s="1" t="s">
        <v>124</v>
      </c>
      <c r="O1765" s="1" t="s">
        <v>91</v>
      </c>
      <c r="P1765" s="422" t="s">
        <v>352</v>
      </c>
      <c r="R1765" s="422" t="s">
        <v>2062</v>
      </c>
      <c r="S1765" s="1" t="s">
        <v>104</v>
      </c>
      <c r="X1765" s="1" t="s">
        <v>300</v>
      </c>
      <c r="Y1765" s="491" t="str">
        <f t="shared" si="3656"/>
        <v>Pass</v>
      </c>
      <c r="Z1765" s="11" t="str">
        <f t="shared" si="3657"/>
        <v/>
      </c>
      <c r="AA1765" s="491" t="str">
        <f t="shared" si="3658"/>
        <v/>
      </c>
      <c r="AB1765" s="491" t="str">
        <f t="shared" si="3659"/>
        <v/>
      </c>
    </row>
    <row r="1766" spans="2:28" x14ac:dyDescent="0.25">
      <c r="B1766" s="65">
        <v>42226</v>
      </c>
      <c r="C1766" s="66">
        <v>42226</v>
      </c>
      <c r="D1766" s="68">
        <f t="shared" ref="D1766:D1767" si="3756">IF(B1766&gt;0,MONTH(B1766),"False")</f>
        <v>8</v>
      </c>
      <c r="E1766" s="66" t="str">
        <f t="shared" ref="E1766:E1767" si="3757">YEAR(B1766) &amp; CHOOSE(D1766,"-Jan","-Feb","-Mar","-Apr","-May","-Jun","-Jul","-Aug","-Sep","-Oct","-Nov","-Dec")</f>
        <v>2015-Aug</v>
      </c>
      <c r="F1766" s="68">
        <f t="shared" ref="F1766:F1767" si="3758">IF(C1766&gt;0,MONTH(C1766),"False")</f>
        <v>8</v>
      </c>
      <c r="G1766" s="540" t="s">
        <v>121</v>
      </c>
      <c r="H1766" s="1" t="s">
        <v>280</v>
      </c>
      <c r="J1766" s="540" t="s">
        <v>81</v>
      </c>
      <c r="K1766" s="540" t="s">
        <v>82</v>
      </c>
      <c r="L1766" s="540" t="s">
        <v>79</v>
      </c>
      <c r="M1766" s="540" t="s">
        <v>2796</v>
      </c>
      <c r="N1766" s="1" t="s">
        <v>124</v>
      </c>
      <c r="O1766" s="1" t="s">
        <v>286</v>
      </c>
      <c r="P1766" s="422" t="s">
        <v>305</v>
      </c>
      <c r="R1766" s="422" t="s">
        <v>2797</v>
      </c>
      <c r="S1766" s="1" t="s">
        <v>104</v>
      </c>
      <c r="X1766" s="1" t="s">
        <v>2146</v>
      </c>
      <c r="Y1766" s="491" t="str">
        <f t="shared" si="3656"/>
        <v>Pass</v>
      </c>
      <c r="Z1766" s="11" t="str">
        <f t="shared" si="3657"/>
        <v/>
      </c>
      <c r="AA1766" s="491" t="str">
        <f t="shared" si="3658"/>
        <v/>
      </c>
      <c r="AB1766" s="491" t="str">
        <f t="shared" si="3659"/>
        <v/>
      </c>
    </row>
    <row r="1767" spans="2:28" x14ac:dyDescent="0.25">
      <c r="B1767" s="66">
        <v>42228</v>
      </c>
      <c r="C1767" s="66">
        <v>42228</v>
      </c>
      <c r="D1767" s="68">
        <f t="shared" si="3756"/>
        <v>8</v>
      </c>
      <c r="E1767" s="66" t="str">
        <f t="shared" si="3757"/>
        <v>2015-Aug</v>
      </c>
      <c r="F1767" s="68">
        <f t="shared" si="3758"/>
        <v>8</v>
      </c>
      <c r="G1767" s="542" t="s">
        <v>112</v>
      </c>
      <c r="H1767" s="1" t="s">
        <v>316</v>
      </c>
      <c r="J1767" s="542" t="s">
        <v>78</v>
      </c>
      <c r="K1767" s="542" t="s">
        <v>78</v>
      </c>
      <c r="L1767" s="1" t="s">
        <v>79</v>
      </c>
      <c r="M1767" s="1" t="s">
        <v>2800</v>
      </c>
      <c r="N1767" s="542" t="s">
        <v>124</v>
      </c>
      <c r="O1767" s="1" t="s">
        <v>287</v>
      </c>
      <c r="R1767" s="422" t="s">
        <v>1140</v>
      </c>
      <c r="S1767" s="1" t="s">
        <v>104</v>
      </c>
      <c r="X1767" s="1" t="s">
        <v>300</v>
      </c>
      <c r="Y1767" s="491" t="str">
        <f t="shared" si="3656"/>
        <v>Pass</v>
      </c>
      <c r="Z1767" s="11" t="str">
        <f t="shared" si="3657"/>
        <v/>
      </c>
      <c r="AA1767" s="491" t="str">
        <f t="shared" si="3658"/>
        <v/>
      </c>
      <c r="AB1767" s="491" t="str">
        <f t="shared" si="3659"/>
        <v/>
      </c>
    </row>
    <row r="1768" spans="2:28" x14ac:dyDescent="0.25">
      <c r="B1768" s="66">
        <v>42229</v>
      </c>
      <c r="C1768" s="66">
        <v>42229</v>
      </c>
      <c r="D1768" s="68">
        <f t="shared" ref="D1768:D1769" si="3759">IF(B1768&gt;0,MONTH(B1768),"False")</f>
        <v>8</v>
      </c>
      <c r="E1768" s="66" t="str">
        <f t="shared" ref="E1768:E1769" si="3760">YEAR(B1768) &amp; CHOOSE(D1768,"-Jan","-Feb","-Mar","-Apr","-May","-Jun","-Jul","-Aug","-Sep","-Oct","-Nov","-Dec")</f>
        <v>2015-Aug</v>
      </c>
      <c r="F1768" s="68">
        <f t="shared" ref="F1768:F1769" si="3761">IF(C1768&gt;0,MONTH(C1768),"False")</f>
        <v>8</v>
      </c>
      <c r="G1768" s="542" t="s">
        <v>87</v>
      </c>
      <c r="H1768" s="542" t="s">
        <v>280</v>
      </c>
      <c r="J1768" s="542" t="s">
        <v>78</v>
      </c>
      <c r="K1768" s="542" t="s">
        <v>78</v>
      </c>
      <c r="L1768" s="1" t="s">
        <v>79</v>
      </c>
      <c r="M1768" s="542" t="s">
        <v>2804</v>
      </c>
      <c r="N1768" s="1" t="s">
        <v>124</v>
      </c>
      <c r="O1768" s="1" t="s">
        <v>167</v>
      </c>
      <c r="R1768" s="422" t="s">
        <v>344</v>
      </c>
      <c r="Y1768" s="491" t="str">
        <f t="shared" si="3656"/>
        <v>Unknown</v>
      </c>
      <c r="Z1768" s="11" t="str">
        <f t="shared" si="3657"/>
        <v/>
      </c>
      <c r="AA1768" s="491" t="str">
        <f t="shared" si="3658"/>
        <v/>
      </c>
      <c r="AB1768" s="491" t="str">
        <f t="shared" si="3659"/>
        <v/>
      </c>
    </row>
    <row r="1769" spans="2:28" x14ac:dyDescent="0.25">
      <c r="B1769" s="66">
        <v>42230</v>
      </c>
      <c r="C1769" s="66">
        <v>42230</v>
      </c>
      <c r="D1769" s="68">
        <f t="shared" si="3759"/>
        <v>8</v>
      </c>
      <c r="E1769" s="66" t="str">
        <f t="shared" si="3760"/>
        <v>2015-Aug</v>
      </c>
      <c r="F1769" s="68">
        <f t="shared" si="3761"/>
        <v>8</v>
      </c>
      <c r="G1769" s="542" t="s">
        <v>87</v>
      </c>
      <c r="H1769" s="542" t="s">
        <v>280</v>
      </c>
      <c r="I1769" s="542" t="s">
        <v>146</v>
      </c>
      <c r="J1769" s="542" t="s">
        <v>146</v>
      </c>
      <c r="K1769" s="1" t="s">
        <v>260</v>
      </c>
      <c r="L1769" s="1" t="s">
        <v>83</v>
      </c>
      <c r="M1769" s="542" t="s">
        <v>2805</v>
      </c>
      <c r="N1769" s="1" t="s">
        <v>124</v>
      </c>
      <c r="O1769" s="1" t="s">
        <v>148</v>
      </c>
      <c r="R1769" s="422" t="s">
        <v>2809</v>
      </c>
      <c r="Y1769" s="491" t="str">
        <f t="shared" si="3656"/>
        <v>Unknown</v>
      </c>
      <c r="Z1769" s="11" t="str">
        <f t="shared" si="3657"/>
        <v/>
      </c>
      <c r="AA1769" s="491" t="str">
        <f t="shared" si="3658"/>
        <v/>
      </c>
      <c r="AB1769" s="491" t="str">
        <f t="shared" si="3659"/>
        <v/>
      </c>
    </row>
    <row r="1770" spans="2:28" x14ac:dyDescent="0.25">
      <c r="B1770" s="66">
        <v>42230</v>
      </c>
      <c r="C1770" s="66">
        <v>42230</v>
      </c>
      <c r="D1770" s="68">
        <f t="shared" ref="D1770" si="3762">IF(B1770&gt;0,MONTH(B1770),"False")</f>
        <v>8</v>
      </c>
      <c r="E1770" s="66" t="str">
        <f t="shared" ref="E1770" si="3763">YEAR(B1770) &amp; CHOOSE(D1770,"-Jan","-Feb","-Mar","-Apr","-May","-Jun","-Jul","-Aug","-Sep","-Oct","-Nov","-Dec")</f>
        <v>2015-Aug</v>
      </c>
      <c r="F1770" s="68">
        <f t="shared" ref="F1770" si="3764">IF(C1770&gt;0,MONTH(C1770),"False")</f>
        <v>8</v>
      </c>
      <c r="G1770" s="542" t="s">
        <v>87</v>
      </c>
      <c r="H1770" s="542" t="s">
        <v>280</v>
      </c>
      <c r="I1770" s="542" t="s">
        <v>146</v>
      </c>
      <c r="J1770" s="542" t="s">
        <v>149</v>
      </c>
      <c r="K1770" s="542" t="s">
        <v>84</v>
      </c>
      <c r="L1770" s="542" t="s">
        <v>83</v>
      </c>
      <c r="M1770" s="542" t="s">
        <v>2806</v>
      </c>
      <c r="N1770" s="1" t="s">
        <v>124</v>
      </c>
      <c r="O1770" s="1" t="s">
        <v>148</v>
      </c>
      <c r="R1770" s="64" t="s">
        <v>2809</v>
      </c>
      <c r="T1770" s="67" t="s">
        <v>110</v>
      </c>
      <c r="Y1770" s="491" t="str">
        <f t="shared" si="3656"/>
        <v>Unknown</v>
      </c>
      <c r="Z1770" s="11" t="str">
        <f t="shared" si="3657"/>
        <v/>
      </c>
      <c r="AA1770" s="491" t="str">
        <f t="shared" si="3658"/>
        <v/>
      </c>
      <c r="AB1770" s="491" t="str">
        <f t="shared" si="3659"/>
        <v/>
      </c>
    </row>
    <row r="1771" spans="2:28" x14ac:dyDescent="0.25">
      <c r="B1771" s="65">
        <v>42230</v>
      </c>
      <c r="C1771" s="66">
        <v>42230</v>
      </c>
      <c r="D1771" s="68">
        <f t="shared" ref="D1771:D1772" si="3765">IF(B1771&gt;0,MONTH(B1771),"False")</f>
        <v>8</v>
      </c>
      <c r="E1771" s="66" t="str">
        <f t="shared" ref="E1771:E1772" si="3766">YEAR(B1771) &amp; CHOOSE(D1771,"-Jan","-Feb","-Mar","-Apr","-May","-Jun","-Jul","-Aug","-Sep","-Oct","-Nov","-Dec")</f>
        <v>2015-Aug</v>
      </c>
      <c r="F1771" s="68">
        <f t="shared" ref="F1771:F1772" si="3767">IF(C1771&gt;0,MONTH(C1771),"False")</f>
        <v>8</v>
      </c>
      <c r="G1771" s="549" t="s">
        <v>121</v>
      </c>
      <c r="H1771" s="542" t="s">
        <v>280</v>
      </c>
      <c r="J1771" s="542" t="s">
        <v>81</v>
      </c>
      <c r="K1771" s="542" t="s">
        <v>82</v>
      </c>
      <c r="L1771" s="1" t="s">
        <v>79</v>
      </c>
      <c r="M1771" s="542" t="s">
        <v>2807</v>
      </c>
      <c r="N1771" s="1" t="s">
        <v>124</v>
      </c>
      <c r="O1771" s="1" t="s">
        <v>286</v>
      </c>
      <c r="P1771" s="422" t="s">
        <v>305</v>
      </c>
      <c r="R1771" s="422" t="s">
        <v>2808</v>
      </c>
      <c r="S1771" s="1" t="s">
        <v>104</v>
      </c>
      <c r="X1771" s="1" t="s">
        <v>2146</v>
      </c>
      <c r="Y1771" s="491" t="str">
        <f t="shared" si="3656"/>
        <v>Pass</v>
      </c>
      <c r="Z1771" s="11" t="str">
        <f t="shared" si="3657"/>
        <v/>
      </c>
      <c r="AA1771" s="491" t="str">
        <f t="shared" si="3658"/>
        <v/>
      </c>
      <c r="AB1771" s="491" t="str">
        <f t="shared" si="3659"/>
        <v/>
      </c>
    </row>
    <row r="1772" spans="2:28" x14ac:dyDescent="0.25">
      <c r="B1772" s="66">
        <v>42233</v>
      </c>
      <c r="C1772" s="66">
        <v>42233</v>
      </c>
      <c r="D1772" s="68">
        <f t="shared" si="3765"/>
        <v>8</v>
      </c>
      <c r="E1772" s="66" t="str">
        <f t="shared" si="3766"/>
        <v>2015-Aug</v>
      </c>
      <c r="F1772" s="68">
        <f t="shared" si="3767"/>
        <v>8</v>
      </c>
      <c r="G1772" s="549" t="s">
        <v>87</v>
      </c>
      <c r="H1772" s="549" t="s">
        <v>166</v>
      </c>
      <c r="J1772" s="549" t="s">
        <v>150</v>
      </c>
      <c r="K1772" s="549" t="s">
        <v>84</v>
      </c>
      <c r="L1772" s="1" t="s">
        <v>83</v>
      </c>
      <c r="M1772" s="549" t="s">
        <v>2810</v>
      </c>
      <c r="N1772" s="1" t="s">
        <v>124</v>
      </c>
      <c r="O1772" s="1" t="s">
        <v>264</v>
      </c>
      <c r="Q1772" s="2" t="s">
        <v>88</v>
      </c>
      <c r="R1772" s="422" t="s">
        <v>2811</v>
      </c>
      <c r="T1772" s="67" t="s">
        <v>110</v>
      </c>
      <c r="Y1772" s="491" t="str">
        <f t="shared" si="3656"/>
        <v>Obsolete</v>
      </c>
      <c r="Z1772" s="11">
        <f t="shared" si="3657"/>
        <v>42233</v>
      </c>
      <c r="AA1772" s="491" t="str">
        <f t="shared" si="3658"/>
        <v>2015 - 34</v>
      </c>
      <c r="AB1772" s="491">
        <f t="shared" si="3659"/>
        <v>2015</v>
      </c>
    </row>
    <row r="1773" spans="2:28" x14ac:dyDescent="0.25">
      <c r="B1773" s="66">
        <v>42233</v>
      </c>
      <c r="C1773" s="66">
        <v>42233</v>
      </c>
      <c r="D1773" s="68">
        <f t="shared" ref="D1773:D1774" si="3768">IF(B1773&gt;0,MONTH(B1773),"False")</f>
        <v>8</v>
      </c>
      <c r="E1773" s="66" t="str">
        <f t="shared" ref="E1773:E1774" si="3769">YEAR(B1773) &amp; CHOOSE(D1773,"-Jan","-Feb","-Mar","-Apr","-May","-Jun","-Jul","-Aug","-Sep","-Oct","-Nov","-Dec")</f>
        <v>2015-Aug</v>
      </c>
      <c r="F1773" s="68">
        <f t="shared" ref="F1773:F1774" si="3770">IF(C1773&gt;0,MONTH(C1773),"False")</f>
        <v>8</v>
      </c>
      <c r="G1773" s="549" t="s">
        <v>87</v>
      </c>
      <c r="H1773" s="63" t="s">
        <v>2814</v>
      </c>
      <c r="J1773" s="549" t="s">
        <v>78</v>
      </c>
      <c r="K1773" s="549" t="s">
        <v>78</v>
      </c>
      <c r="L1773" s="1" t="s">
        <v>83</v>
      </c>
      <c r="M1773" s="549" t="s">
        <v>2812</v>
      </c>
      <c r="N1773" s="1" t="s">
        <v>124</v>
      </c>
      <c r="O1773" s="1" t="s">
        <v>287</v>
      </c>
      <c r="R1773" s="422" t="s">
        <v>2813</v>
      </c>
      <c r="Y1773" s="491" t="str">
        <f t="shared" si="3656"/>
        <v>Unknown</v>
      </c>
      <c r="Z1773" s="11" t="str">
        <f t="shared" si="3657"/>
        <v/>
      </c>
      <c r="AA1773" s="491" t="str">
        <f t="shared" si="3658"/>
        <v/>
      </c>
      <c r="AB1773" s="491" t="str">
        <f t="shared" si="3659"/>
        <v/>
      </c>
    </row>
    <row r="1774" spans="2:28" x14ac:dyDescent="0.25">
      <c r="B1774" s="65">
        <v>42234</v>
      </c>
      <c r="C1774" s="66">
        <v>42234</v>
      </c>
      <c r="D1774" s="68">
        <f t="shared" si="3768"/>
        <v>8</v>
      </c>
      <c r="E1774" s="66" t="str">
        <f t="shared" si="3769"/>
        <v>2015-Aug</v>
      </c>
      <c r="F1774" s="68">
        <f t="shared" si="3770"/>
        <v>8</v>
      </c>
      <c r="G1774" s="549" t="s">
        <v>121</v>
      </c>
      <c r="H1774" s="549" t="s">
        <v>280</v>
      </c>
      <c r="I1774" s="1" t="s">
        <v>146</v>
      </c>
      <c r="J1774" s="1" t="s">
        <v>146</v>
      </c>
      <c r="K1774" s="549" t="s">
        <v>82</v>
      </c>
      <c r="L1774" s="1" t="s">
        <v>79</v>
      </c>
      <c r="M1774" s="549" t="s">
        <v>2815</v>
      </c>
      <c r="N1774" s="1" t="s">
        <v>124</v>
      </c>
      <c r="O1774" s="1" t="s">
        <v>2598</v>
      </c>
      <c r="P1774" s="422" t="s">
        <v>305</v>
      </c>
      <c r="R1774" s="422" t="s">
        <v>2808</v>
      </c>
      <c r="S1774" s="1" t="s">
        <v>104</v>
      </c>
      <c r="X1774" s="1" t="s">
        <v>2146</v>
      </c>
      <c r="Y1774" s="491" t="str">
        <f t="shared" si="3656"/>
        <v>Pass</v>
      </c>
      <c r="Z1774" s="11" t="str">
        <f t="shared" si="3657"/>
        <v/>
      </c>
      <c r="AA1774" s="491" t="str">
        <f t="shared" si="3658"/>
        <v/>
      </c>
      <c r="AB1774" s="491" t="str">
        <f t="shared" si="3659"/>
        <v/>
      </c>
    </row>
    <row r="1775" spans="2:28" x14ac:dyDescent="0.25">
      <c r="B1775" s="65">
        <v>42234</v>
      </c>
      <c r="C1775" s="66">
        <v>42234</v>
      </c>
      <c r="D1775" s="68">
        <f t="shared" ref="D1775:D1777" si="3771">IF(B1775&gt;0,MONTH(B1775),"False")</f>
        <v>8</v>
      </c>
      <c r="E1775" s="66" t="str">
        <f t="shared" ref="E1775:E1777" si="3772">YEAR(B1775) &amp; CHOOSE(D1775,"-Jan","-Feb","-Mar","-Apr","-May","-Jun","-Jul","-Aug","-Sep","-Oct","-Nov","-Dec")</f>
        <v>2015-Aug</v>
      </c>
      <c r="F1775" s="68">
        <f t="shared" ref="F1775:F1777" si="3773">IF(C1775&gt;0,MONTH(C1775),"False")</f>
        <v>8</v>
      </c>
      <c r="G1775" s="549" t="s">
        <v>121</v>
      </c>
      <c r="H1775" s="1" t="s">
        <v>28</v>
      </c>
      <c r="J1775" s="549" t="s">
        <v>81</v>
      </c>
      <c r="K1775" s="549" t="s">
        <v>82</v>
      </c>
      <c r="L1775" s="549" t="s">
        <v>79</v>
      </c>
      <c r="M1775" s="549" t="s">
        <v>2816</v>
      </c>
      <c r="N1775" s="1" t="s">
        <v>124</v>
      </c>
      <c r="O1775" s="1" t="s">
        <v>147</v>
      </c>
      <c r="P1775" s="422" t="s">
        <v>1823</v>
      </c>
      <c r="R1775" s="422" t="s">
        <v>1824</v>
      </c>
      <c r="S1775" s="1" t="s">
        <v>104</v>
      </c>
      <c r="T1775" s="67" t="s">
        <v>110</v>
      </c>
      <c r="X1775" s="1" t="s">
        <v>2841</v>
      </c>
      <c r="Y1775" s="491" t="str">
        <f t="shared" si="3656"/>
        <v>Pass</v>
      </c>
      <c r="Z1775" s="11" t="str">
        <f t="shared" si="3657"/>
        <v/>
      </c>
      <c r="AA1775" s="491" t="str">
        <f t="shared" si="3658"/>
        <v/>
      </c>
      <c r="AB1775" s="491" t="str">
        <f t="shared" si="3659"/>
        <v/>
      </c>
    </row>
    <row r="1776" spans="2:28" x14ac:dyDescent="0.25">
      <c r="B1776" s="66">
        <v>42234</v>
      </c>
      <c r="C1776" s="66">
        <v>42234</v>
      </c>
      <c r="D1776" s="68">
        <f t="shared" si="3771"/>
        <v>8</v>
      </c>
      <c r="E1776" s="66" t="str">
        <f t="shared" si="3772"/>
        <v>2015-Aug</v>
      </c>
      <c r="F1776" s="68">
        <f t="shared" si="3773"/>
        <v>8</v>
      </c>
      <c r="G1776" s="549" t="s">
        <v>112</v>
      </c>
      <c r="H1776" s="549" t="s">
        <v>1685</v>
      </c>
      <c r="J1776" s="549" t="s">
        <v>78</v>
      </c>
      <c r="K1776" s="549" t="s">
        <v>78</v>
      </c>
      <c r="L1776" s="549" t="s">
        <v>79</v>
      </c>
      <c r="M1776" s="549" t="s">
        <v>2817</v>
      </c>
      <c r="N1776" s="1" t="s">
        <v>124</v>
      </c>
      <c r="O1776" s="1" t="s">
        <v>287</v>
      </c>
      <c r="R1776" s="422" t="s">
        <v>2550</v>
      </c>
      <c r="S1776" s="1" t="s">
        <v>104</v>
      </c>
      <c r="T1776" s="67" t="s">
        <v>110</v>
      </c>
      <c r="X1776" s="1" t="s">
        <v>154</v>
      </c>
      <c r="Y1776" s="491" t="str">
        <f t="shared" si="3656"/>
        <v>Pass</v>
      </c>
      <c r="Z1776" s="11" t="str">
        <f t="shared" si="3657"/>
        <v/>
      </c>
      <c r="AA1776" s="491" t="str">
        <f t="shared" si="3658"/>
        <v/>
      </c>
      <c r="AB1776" s="491" t="str">
        <f t="shared" si="3659"/>
        <v/>
      </c>
    </row>
    <row r="1777" spans="2:28" x14ac:dyDescent="0.25">
      <c r="B1777" s="65">
        <v>42235</v>
      </c>
      <c r="C1777" s="66">
        <v>42235</v>
      </c>
      <c r="D1777" s="68">
        <f t="shared" si="3771"/>
        <v>8</v>
      </c>
      <c r="E1777" s="66" t="str">
        <f t="shared" si="3772"/>
        <v>2015-Aug</v>
      </c>
      <c r="F1777" s="68">
        <f t="shared" si="3773"/>
        <v>8</v>
      </c>
      <c r="G1777" s="549" t="s">
        <v>93</v>
      </c>
      <c r="H1777" s="549" t="s">
        <v>280</v>
      </c>
      <c r="J1777" s="549" t="s">
        <v>81</v>
      </c>
      <c r="K1777" s="549" t="s">
        <v>82</v>
      </c>
      <c r="L1777" s="549" t="s">
        <v>79</v>
      </c>
      <c r="M1777" s="549" t="s">
        <v>2818</v>
      </c>
      <c r="N1777" s="1" t="s">
        <v>124</v>
      </c>
      <c r="O1777" s="1" t="s">
        <v>2598</v>
      </c>
      <c r="P1777" s="422" t="s">
        <v>305</v>
      </c>
      <c r="R1777" s="422" t="s">
        <v>2808</v>
      </c>
      <c r="Y1777" s="491" t="str">
        <f t="shared" si="3656"/>
        <v>Unknown</v>
      </c>
      <c r="Z1777" s="11" t="str">
        <f t="shared" si="3657"/>
        <v/>
      </c>
      <c r="AA1777" s="491" t="str">
        <f t="shared" si="3658"/>
        <v/>
      </c>
      <c r="AB1777" s="491" t="str">
        <f t="shared" si="3659"/>
        <v/>
      </c>
    </row>
    <row r="1778" spans="2:28" x14ac:dyDescent="0.25">
      <c r="B1778" s="65">
        <v>42235</v>
      </c>
      <c r="C1778" s="66">
        <v>42235</v>
      </c>
      <c r="D1778" s="68">
        <f t="shared" ref="D1778:D1779" si="3774">IF(B1778&gt;0,MONTH(B1778),"False")</f>
        <v>8</v>
      </c>
      <c r="E1778" s="66" t="str">
        <f t="shared" ref="E1778:E1779" si="3775">YEAR(B1778) &amp; CHOOSE(D1778,"-Jan","-Feb","-Mar","-Apr","-May","-Jun","-Jul","-Aug","-Sep","-Oct","-Nov","-Dec")</f>
        <v>2015-Aug</v>
      </c>
      <c r="F1778" s="68">
        <f t="shared" ref="F1778:F1779" si="3776">IF(C1778&gt;0,MONTH(C1778),"False")</f>
        <v>8</v>
      </c>
      <c r="G1778" s="549" t="s">
        <v>93</v>
      </c>
      <c r="H1778" s="549" t="s">
        <v>1685</v>
      </c>
      <c r="J1778" s="549" t="s">
        <v>81</v>
      </c>
      <c r="K1778" s="549" t="s">
        <v>82</v>
      </c>
      <c r="L1778" s="549" t="s">
        <v>79</v>
      </c>
      <c r="M1778" s="549" t="s">
        <v>2819</v>
      </c>
      <c r="N1778" s="1" t="s">
        <v>124</v>
      </c>
      <c r="O1778" s="1" t="s">
        <v>353</v>
      </c>
      <c r="P1778" s="64" t="s">
        <v>2009</v>
      </c>
      <c r="R1778" s="422" t="s">
        <v>2398</v>
      </c>
      <c r="S1778" s="1" t="s">
        <v>104</v>
      </c>
      <c r="X1778" s="1" t="s">
        <v>154</v>
      </c>
      <c r="Y1778" s="491" t="str">
        <f t="shared" si="3656"/>
        <v>Pass</v>
      </c>
      <c r="Z1778" s="11" t="str">
        <f t="shared" si="3657"/>
        <v/>
      </c>
      <c r="AA1778" s="491" t="str">
        <f t="shared" si="3658"/>
        <v/>
      </c>
      <c r="AB1778" s="491" t="str">
        <f t="shared" si="3659"/>
        <v/>
      </c>
    </row>
    <row r="1779" spans="2:28" x14ac:dyDescent="0.25">
      <c r="B1779" s="66">
        <v>42235</v>
      </c>
      <c r="C1779" s="66">
        <v>42235</v>
      </c>
      <c r="D1779" s="68">
        <f t="shared" si="3774"/>
        <v>8</v>
      </c>
      <c r="E1779" s="66" t="str">
        <f t="shared" si="3775"/>
        <v>2015-Aug</v>
      </c>
      <c r="F1779" s="68">
        <f t="shared" si="3776"/>
        <v>8</v>
      </c>
      <c r="G1779" s="549" t="s">
        <v>112</v>
      </c>
      <c r="H1779" s="549" t="s">
        <v>1685</v>
      </c>
      <c r="J1779" s="549" t="s">
        <v>77</v>
      </c>
      <c r="K1779" s="549" t="s">
        <v>82</v>
      </c>
      <c r="L1779" s="549" t="s">
        <v>83</v>
      </c>
      <c r="M1779" s="549" t="s">
        <v>2820</v>
      </c>
      <c r="N1779" s="1" t="s">
        <v>124</v>
      </c>
      <c r="O1779" s="1" t="s">
        <v>353</v>
      </c>
      <c r="R1779" s="422" t="s">
        <v>2398</v>
      </c>
      <c r="S1779" s="1" t="s">
        <v>104</v>
      </c>
      <c r="X1779" s="1" t="s">
        <v>154</v>
      </c>
      <c r="Y1779" s="491" t="str">
        <f t="shared" si="3656"/>
        <v>Pass</v>
      </c>
      <c r="Z1779" s="11" t="str">
        <f t="shared" si="3657"/>
        <v/>
      </c>
      <c r="AA1779" s="491" t="str">
        <f t="shared" si="3658"/>
        <v/>
      </c>
      <c r="AB1779" s="491" t="str">
        <f t="shared" si="3659"/>
        <v/>
      </c>
    </row>
    <row r="1780" spans="2:28" x14ac:dyDescent="0.25">
      <c r="B1780" s="66">
        <v>42235</v>
      </c>
      <c r="C1780" s="66">
        <v>42235</v>
      </c>
      <c r="D1780" s="68">
        <f t="shared" ref="D1780" si="3777">IF(B1780&gt;0,MONTH(B1780),"False")</f>
        <v>8</v>
      </c>
      <c r="E1780" s="66" t="str">
        <f t="shared" ref="E1780" si="3778">YEAR(B1780) &amp; CHOOSE(D1780,"-Jan","-Feb","-Mar","-Apr","-May","-Jun","-Jul","-Aug","-Sep","-Oct","-Nov","-Dec")</f>
        <v>2015-Aug</v>
      </c>
      <c r="F1780" s="68">
        <f t="shared" ref="F1780" si="3779">IF(C1780&gt;0,MONTH(C1780),"False")</f>
        <v>8</v>
      </c>
      <c r="G1780" s="549" t="s">
        <v>112</v>
      </c>
      <c r="H1780" s="1" t="s">
        <v>331</v>
      </c>
      <c r="J1780" s="549" t="s">
        <v>78</v>
      </c>
      <c r="K1780" s="549" t="s">
        <v>78</v>
      </c>
      <c r="L1780" s="1" t="s">
        <v>79</v>
      </c>
      <c r="M1780" s="549" t="s">
        <v>2821</v>
      </c>
      <c r="N1780" s="1" t="s">
        <v>124</v>
      </c>
      <c r="O1780" s="1" t="s">
        <v>332</v>
      </c>
      <c r="R1780" s="422" t="s">
        <v>771</v>
      </c>
      <c r="S1780" s="1" t="s">
        <v>104</v>
      </c>
      <c r="X1780" s="1" t="s">
        <v>298</v>
      </c>
      <c r="Y1780" s="491" t="str">
        <f t="shared" si="3656"/>
        <v>Pass</v>
      </c>
      <c r="Z1780" s="11" t="str">
        <f t="shared" si="3657"/>
        <v/>
      </c>
      <c r="AA1780" s="491" t="str">
        <f t="shared" si="3658"/>
        <v/>
      </c>
      <c r="AB1780" s="491" t="str">
        <f t="shared" si="3659"/>
        <v/>
      </c>
    </row>
    <row r="1781" spans="2:28" x14ac:dyDescent="0.25">
      <c r="B1781" s="66">
        <v>42236</v>
      </c>
      <c r="C1781" s="66">
        <v>42236</v>
      </c>
      <c r="D1781" s="68">
        <f t="shared" ref="D1781" si="3780">IF(B1781&gt;0,MONTH(B1781),"False")</f>
        <v>8</v>
      </c>
      <c r="E1781" s="66" t="str">
        <f t="shared" ref="E1781" si="3781">YEAR(B1781) &amp; CHOOSE(D1781,"-Jan","-Feb","-Mar","-Apr","-May","-Jun","-Jul","-Aug","-Sep","-Oct","-Nov","-Dec")</f>
        <v>2015-Aug</v>
      </c>
      <c r="F1781" s="68">
        <f t="shared" ref="F1781" si="3782">IF(C1781&gt;0,MONTH(C1781),"False")</f>
        <v>8</v>
      </c>
      <c r="G1781" s="550" t="s">
        <v>112</v>
      </c>
      <c r="H1781" s="550" t="s">
        <v>115</v>
      </c>
      <c r="J1781" s="550" t="s">
        <v>77</v>
      </c>
      <c r="K1781" s="550" t="s">
        <v>82</v>
      </c>
      <c r="L1781" s="1" t="s">
        <v>83</v>
      </c>
      <c r="M1781" s="550" t="s">
        <v>2822</v>
      </c>
      <c r="N1781" s="1" t="s">
        <v>124</v>
      </c>
      <c r="O1781" s="1" t="s">
        <v>353</v>
      </c>
      <c r="R1781" s="422" t="s">
        <v>2717</v>
      </c>
      <c r="S1781" s="1" t="s">
        <v>104</v>
      </c>
      <c r="X1781" s="1" t="s">
        <v>2828</v>
      </c>
      <c r="Y1781" s="491" t="str">
        <f t="shared" si="3656"/>
        <v>Pass</v>
      </c>
      <c r="Z1781" s="11" t="str">
        <f t="shared" si="3657"/>
        <v/>
      </c>
      <c r="AA1781" s="491" t="str">
        <f t="shared" si="3658"/>
        <v/>
      </c>
      <c r="AB1781" s="491" t="str">
        <f t="shared" si="3659"/>
        <v/>
      </c>
    </row>
    <row r="1782" spans="2:28" x14ac:dyDescent="0.25">
      <c r="B1782" s="66">
        <v>42236</v>
      </c>
      <c r="C1782" s="66">
        <v>42236</v>
      </c>
      <c r="D1782" s="68">
        <f t="shared" ref="D1782" si="3783">IF(B1782&gt;0,MONTH(B1782),"False")</f>
        <v>8</v>
      </c>
      <c r="E1782" s="66" t="str">
        <f t="shared" ref="E1782" si="3784">YEAR(B1782) &amp; CHOOSE(D1782,"-Jan","-Feb","-Mar","-Apr","-May","-Jun","-Jul","-Aug","-Sep","-Oct","-Nov","-Dec")</f>
        <v>2015-Aug</v>
      </c>
      <c r="F1782" s="68">
        <f t="shared" ref="F1782" si="3785">IF(C1782&gt;0,MONTH(C1782),"False")</f>
        <v>8</v>
      </c>
      <c r="G1782" s="550" t="s">
        <v>112</v>
      </c>
      <c r="H1782" s="1" t="s">
        <v>103</v>
      </c>
      <c r="J1782" s="550" t="s">
        <v>78</v>
      </c>
      <c r="K1782" s="550" t="s">
        <v>78</v>
      </c>
      <c r="L1782" s="550" t="s">
        <v>79</v>
      </c>
      <c r="M1782" s="550" t="s">
        <v>2823</v>
      </c>
      <c r="N1782" s="1" t="s">
        <v>124</v>
      </c>
      <c r="O1782" s="1" t="s">
        <v>332</v>
      </c>
      <c r="R1782" s="422" t="s">
        <v>475</v>
      </c>
      <c r="S1782" s="1" t="s">
        <v>104</v>
      </c>
      <c r="X1782" s="1" t="s">
        <v>2527</v>
      </c>
      <c r="Y1782" s="491" t="str">
        <f t="shared" si="3656"/>
        <v>Pass</v>
      </c>
      <c r="Z1782" s="11" t="str">
        <f t="shared" si="3657"/>
        <v/>
      </c>
      <c r="AA1782" s="491" t="str">
        <f t="shared" si="3658"/>
        <v/>
      </c>
      <c r="AB1782" s="491" t="str">
        <f t="shared" si="3659"/>
        <v/>
      </c>
    </row>
    <row r="1783" spans="2:28" x14ac:dyDescent="0.25">
      <c r="B1783" s="65">
        <v>42237</v>
      </c>
      <c r="C1783" s="66">
        <v>42237</v>
      </c>
      <c r="D1783" s="68">
        <f t="shared" ref="D1783" si="3786">IF(B1783&gt;0,MONTH(B1783),"False")</f>
        <v>8</v>
      </c>
      <c r="E1783" s="66" t="str">
        <f t="shared" ref="E1783" si="3787">YEAR(B1783) &amp; CHOOSE(D1783,"-Jan","-Feb","-Mar","-Apr","-May","-Jun","-Jul","-Aug","-Sep","-Oct","-Nov","-Dec")</f>
        <v>2015-Aug</v>
      </c>
      <c r="F1783" s="68">
        <f t="shared" ref="F1783" si="3788">IF(C1783&gt;0,MONTH(C1783),"False")</f>
        <v>8</v>
      </c>
      <c r="G1783" s="551" t="s">
        <v>93</v>
      </c>
      <c r="H1783" s="550" t="s">
        <v>103</v>
      </c>
      <c r="J1783" s="550" t="s">
        <v>77</v>
      </c>
      <c r="K1783" s="550" t="s">
        <v>82</v>
      </c>
      <c r="L1783" s="1" t="s">
        <v>79</v>
      </c>
      <c r="M1783" s="550" t="s">
        <v>2824</v>
      </c>
      <c r="N1783" s="1" t="s">
        <v>124</v>
      </c>
      <c r="O1783" s="1" t="s">
        <v>507</v>
      </c>
      <c r="R1783" s="422" t="s">
        <v>361</v>
      </c>
      <c r="Y1783" s="491" t="str">
        <f t="shared" si="3656"/>
        <v>Unknown</v>
      </c>
      <c r="Z1783" s="11" t="str">
        <f t="shared" si="3657"/>
        <v/>
      </c>
      <c r="AA1783" s="491" t="str">
        <f t="shared" si="3658"/>
        <v/>
      </c>
      <c r="AB1783" s="491" t="str">
        <f t="shared" si="3659"/>
        <v/>
      </c>
    </row>
    <row r="1784" spans="2:28" x14ac:dyDescent="0.25">
      <c r="B1784" s="65">
        <v>42240</v>
      </c>
      <c r="C1784" s="66">
        <v>42240</v>
      </c>
      <c r="D1784" s="68">
        <f t="shared" ref="D1784:D1785" si="3789">IF(B1784&gt;0,MONTH(B1784),"False")</f>
        <v>8</v>
      </c>
      <c r="E1784" s="66" t="str">
        <f t="shared" ref="E1784:E1785" si="3790">YEAR(B1784) &amp; CHOOSE(D1784,"-Jan","-Feb","-Mar","-Apr","-May","-Jun","-Jul","-Aug","-Sep","-Oct","-Nov","-Dec")</f>
        <v>2015-Aug</v>
      </c>
      <c r="F1784" s="68">
        <f t="shared" ref="F1784:F1785" si="3791">IF(C1784&gt;0,MONTH(C1784),"False")</f>
        <v>8</v>
      </c>
      <c r="G1784" s="551" t="s">
        <v>93</v>
      </c>
      <c r="H1784" s="551" t="s">
        <v>103</v>
      </c>
      <c r="J1784" s="551" t="s">
        <v>77</v>
      </c>
      <c r="K1784" s="551" t="s">
        <v>82</v>
      </c>
      <c r="L1784" s="551" t="s">
        <v>79</v>
      </c>
      <c r="M1784" s="551" t="s">
        <v>2825</v>
      </c>
      <c r="N1784" s="1" t="s">
        <v>124</v>
      </c>
      <c r="O1784" s="551" t="s">
        <v>507</v>
      </c>
      <c r="P1784" s="422" t="s">
        <v>351</v>
      </c>
      <c r="R1784" s="422" t="s">
        <v>361</v>
      </c>
      <c r="Y1784" s="491" t="str">
        <f t="shared" si="3656"/>
        <v>Unknown</v>
      </c>
      <c r="Z1784" s="11" t="str">
        <f t="shared" si="3657"/>
        <v/>
      </c>
      <c r="AA1784" s="491" t="str">
        <f t="shared" si="3658"/>
        <v/>
      </c>
      <c r="AB1784" s="491" t="str">
        <f t="shared" si="3659"/>
        <v/>
      </c>
    </row>
    <row r="1785" spans="2:28" x14ac:dyDescent="0.25">
      <c r="B1785" s="66">
        <v>42240</v>
      </c>
      <c r="C1785" s="66">
        <v>42240</v>
      </c>
      <c r="D1785" s="68">
        <f t="shared" si="3789"/>
        <v>8</v>
      </c>
      <c r="E1785" s="66" t="str">
        <f t="shared" si="3790"/>
        <v>2015-Aug</v>
      </c>
      <c r="F1785" s="68">
        <f t="shared" si="3791"/>
        <v>8</v>
      </c>
      <c r="G1785" s="551" t="s">
        <v>87</v>
      </c>
      <c r="H1785" s="551" t="s">
        <v>136</v>
      </c>
      <c r="J1785" s="551" t="s">
        <v>77</v>
      </c>
      <c r="K1785" s="551" t="s">
        <v>82</v>
      </c>
      <c r="L1785" s="551" t="s">
        <v>79</v>
      </c>
      <c r="M1785" s="551" t="s">
        <v>2826</v>
      </c>
      <c r="N1785" s="1" t="s">
        <v>124</v>
      </c>
      <c r="O1785" s="1" t="s">
        <v>114</v>
      </c>
      <c r="R1785" s="422" t="s">
        <v>2739</v>
      </c>
      <c r="Y1785" s="491" t="str">
        <f t="shared" si="3656"/>
        <v>Unknown</v>
      </c>
      <c r="Z1785" s="11" t="str">
        <f t="shared" si="3657"/>
        <v/>
      </c>
      <c r="AA1785" s="491" t="str">
        <f t="shared" si="3658"/>
        <v/>
      </c>
      <c r="AB1785" s="491" t="str">
        <f t="shared" si="3659"/>
        <v/>
      </c>
    </row>
    <row r="1786" spans="2:28" x14ac:dyDescent="0.25">
      <c r="B1786" s="66">
        <v>42241</v>
      </c>
      <c r="C1786" s="66">
        <v>42241</v>
      </c>
      <c r="D1786" s="68">
        <f t="shared" ref="D1786" si="3792">IF(B1786&gt;0,MONTH(B1786),"False")</f>
        <v>8</v>
      </c>
      <c r="E1786" s="66" t="str">
        <f t="shared" ref="E1786" si="3793">YEAR(B1786) &amp; CHOOSE(D1786,"-Jan","-Feb","-Mar","-Apr","-May","-Jun","-Jul","-Aug","-Sep","-Oct","-Nov","-Dec")</f>
        <v>2015-Aug</v>
      </c>
      <c r="F1786" s="68">
        <f t="shared" ref="F1786" si="3794">IF(C1786&gt;0,MONTH(C1786),"False")</f>
        <v>8</v>
      </c>
      <c r="G1786" s="551" t="s">
        <v>112</v>
      </c>
      <c r="H1786" s="551" t="s">
        <v>280</v>
      </c>
      <c r="J1786" s="551" t="s">
        <v>78</v>
      </c>
      <c r="K1786" s="551" t="s">
        <v>78</v>
      </c>
      <c r="L1786" s="551" t="s">
        <v>79</v>
      </c>
      <c r="M1786" s="551" t="s">
        <v>2827</v>
      </c>
      <c r="N1786" s="1" t="s">
        <v>124</v>
      </c>
      <c r="O1786" s="1" t="s">
        <v>167</v>
      </c>
      <c r="R1786" s="422" t="s">
        <v>344</v>
      </c>
      <c r="S1786" s="1" t="s">
        <v>104</v>
      </c>
      <c r="X1786" s="1" t="s">
        <v>2552</v>
      </c>
      <c r="Y1786" s="491" t="str">
        <f t="shared" si="3656"/>
        <v>Pass</v>
      </c>
      <c r="Z1786" s="11" t="str">
        <f t="shared" si="3657"/>
        <v/>
      </c>
      <c r="AA1786" s="491" t="str">
        <f t="shared" si="3658"/>
        <v/>
      </c>
      <c r="AB1786" s="491" t="str">
        <f t="shared" si="3659"/>
        <v/>
      </c>
    </row>
    <row r="1787" spans="2:28" x14ac:dyDescent="0.25">
      <c r="B1787" s="66">
        <v>42243</v>
      </c>
      <c r="C1787" s="66">
        <v>42243</v>
      </c>
      <c r="D1787" s="68">
        <f t="shared" ref="D1787" si="3795">IF(B1787&gt;0,MONTH(B1787),"False")</f>
        <v>8</v>
      </c>
      <c r="E1787" s="66" t="str">
        <f t="shared" ref="E1787" si="3796">YEAR(B1787) &amp; CHOOSE(D1787,"-Jan","-Feb","-Mar","-Apr","-May","-Jun","-Jul","-Aug","-Sep","-Oct","-Nov","-Dec")</f>
        <v>2015-Aug</v>
      </c>
      <c r="F1787" s="68">
        <f t="shared" ref="F1787" si="3797">IF(C1787&gt;0,MONTH(C1787),"False")</f>
        <v>8</v>
      </c>
      <c r="G1787" s="552" t="s">
        <v>87</v>
      </c>
      <c r="H1787" s="1" t="s">
        <v>166</v>
      </c>
      <c r="J1787" s="1" t="s">
        <v>292</v>
      </c>
      <c r="K1787" s="552" t="s">
        <v>292</v>
      </c>
      <c r="L1787" s="1" t="s">
        <v>83</v>
      </c>
      <c r="M1787" s="552" t="s">
        <v>2829</v>
      </c>
      <c r="N1787" s="1" t="s">
        <v>124</v>
      </c>
      <c r="O1787" s="1" t="s">
        <v>156</v>
      </c>
      <c r="R1787" s="422" t="s">
        <v>2830</v>
      </c>
      <c r="Y1787" s="491" t="str">
        <f t="shared" si="3656"/>
        <v>Unknown</v>
      </c>
      <c r="Z1787" s="11" t="str">
        <f t="shared" si="3657"/>
        <v/>
      </c>
      <c r="AA1787" s="491" t="str">
        <f t="shared" si="3658"/>
        <v/>
      </c>
      <c r="AB1787" s="491" t="str">
        <f t="shared" si="3659"/>
        <v/>
      </c>
    </row>
    <row r="1788" spans="2:28" x14ac:dyDescent="0.25">
      <c r="B1788" s="66">
        <v>42243</v>
      </c>
      <c r="C1788" s="66">
        <v>42243</v>
      </c>
      <c r="D1788" s="68">
        <f t="shared" ref="D1788" si="3798">IF(B1788&gt;0,MONTH(B1788),"False")</f>
        <v>8</v>
      </c>
      <c r="E1788" s="66" t="str">
        <f t="shared" ref="E1788" si="3799">YEAR(B1788) &amp; CHOOSE(D1788,"-Jan","-Feb","-Mar","-Apr","-May","-Jun","-Jul","-Aug","-Sep","-Oct","-Nov","-Dec")</f>
        <v>2015-Aug</v>
      </c>
      <c r="F1788" s="68">
        <f t="shared" ref="F1788" si="3800">IF(C1788&gt;0,MONTH(C1788),"False")</f>
        <v>8</v>
      </c>
      <c r="G1788" s="552" t="s">
        <v>87</v>
      </c>
      <c r="H1788" s="552" t="s">
        <v>280</v>
      </c>
      <c r="J1788" s="1" t="s">
        <v>78</v>
      </c>
      <c r="K1788" s="1" t="s">
        <v>78</v>
      </c>
      <c r="L1788" s="1" t="s">
        <v>79</v>
      </c>
      <c r="M1788" s="552" t="s">
        <v>2831</v>
      </c>
      <c r="N1788" s="1" t="s">
        <v>124</v>
      </c>
      <c r="O1788" s="1" t="s">
        <v>167</v>
      </c>
      <c r="R1788" s="422" t="s">
        <v>344</v>
      </c>
      <c r="Y1788" s="491" t="str">
        <f t="shared" ref="Y1788:Y1851" si="3801">IF(Q1788&gt;0,"Obsolete",IF(S1788&gt;0,S1788,"Unknown"))</f>
        <v>Unknown</v>
      </c>
      <c r="Z1788" s="11" t="str">
        <f t="shared" ref="Z1788:Z1851" si="3802">IF(Q1788="Obsolete-LQA",C1788,IF(Q1788="Obsolete-IT",B1788,""))</f>
        <v/>
      </c>
      <c r="AA1788" s="491" t="str">
        <f t="shared" ref="AA1788:AA1851" si="3803">IFERROR(YEAR(Z1788)&amp;" - "&amp; IF(LEN( WEEKNUM(Z1788))=1,"0" &amp; WEEKNUM(Z1788),WEEKNUM(Z1788)),"")</f>
        <v/>
      </c>
      <c r="AB1788" s="491" t="str">
        <f t="shared" ref="AB1788:AB1851" si="3804">IFERROR(YEAR(Z1788),"")</f>
        <v/>
      </c>
    </row>
    <row r="1789" spans="2:28" x14ac:dyDescent="0.25">
      <c r="B1789" s="66">
        <v>42244</v>
      </c>
      <c r="C1789" s="66">
        <v>42244</v>
      </c>
      <c r="D1789" s="68">
        <f t="shared" ref="D1789" si="3805">IF(B1789&gt;0,MONTH(B1789),"False")</f>
        <v>8</v>
      </c>
      <c r="E1789" s="66" t="str">
        <f t="shared" ref="E1789" si="3806">YEAR(B1789) &amp; CHOOSE(D1789,"-Jan","-Feb","-Mar","-Apr","-May","-Jun","-Jul","-Aug","-Sep","-Oct","-Nov","-Dec")</f>
        <v>2015-Aug</v>
      </c>
      <c r="F1789" s="68">
        <f t="shared" ref="F1789" si="3807">IF(C1789&gt;0,MONTH(C1789),"False")</f>
        <v>8</v>
      </c>
      <c r="G1789" s="552" t="s">
        <v>87</v>
      </c>
      <c r="H1789" s="552" t="s">
        <v>166</v>
      </c>
      <c r="J1789" s="552" t="s">
        <v>149</v>
      </c>
      <c r="K1789" s="552" t="s">
        <v>84</v>
      </c>
      <c r="L1789" s="1" t="s">
        <v>83</v>
      </c>
      <c r="M1789" s="552" t="s">
        <v>2832</v>
      </c>
      <c r="N1789" s="1" t="s">
        <v>124</v>
      </c>
      <c r="O1789" s="1" t="s">
        <v>2601</v>
      </c>
      <c r="Q1789" s="2" t="s">
        <v>88</v>
      </c>
      <c r="R1789" s="422" t="s">
        <v>2833</v>
      </c>
      <c r="T1789" s="67" t="s">
        <v>110</v>
      </c>
      <c r="Y1789" s="491" t="str">
        <f t="shared" si="3801"/>
        <v>Obsolete</v>
      </c>
      <c r="Z1789" s="11">
        <f t="shared" si="3802"/>
        <v>42244</v>
      </c>
      <c r="AA1789" s="491" t="str">
        <f t="shared" si="3803"/>
        <v>2015 - 35</v>
      </c>
      <c r="AB1789" s="491">
        <f t="shared" si="3804"/>
        <v>2015</v>
      </c>
    </row>
    <row r="1790" spans="2:28" x14ac:dyDescent="0.25">
      <c r="B1790" s="65">
        <v>42248</v>
      </c>
      <c r="C1790" s="66">
        <v>42248</v>
      </c>
      <c r="D1790" s="68">
        <f t="shared" ref="D1790" si="3808">IF(B1790&gt;0,MONTH(B1790),"False")</f>
        <v>9</v>
      </c>
      <c r="E1790" s="66" t="str">
        <f t="shared" ref="E1790" si="3809">YEAR(B1790) &amp; CHOOSE(D1790,"-Jan","-Feb","-Mar","-Apr","-May","-Jun","-Jul","-Aug","-Sep","-Oct","-Nov","-Dec")</f>
        <v>2015-Sep</v>
      </c>
      <c r="F1790" s="68">
        <f t="shared" ref="F1790" si="3810">IF(C1790&gt;0,MONTH(C1790),"False")</f>
        <v>9</v>
      </c>
      <c r="G1790" s="553" t="s">
        <v>93</v>
      </c>
      <c r="H1790" s="1" t="s">
        <v>348</v>
      </c>
      <c r="J1790" s="1" t="s">
        <v>77</v>
      </c>
      <c r="K1790" s="1" t="s">
        <v>82</v>
      </c>
      <c r="L1790" s="1" t="s">
        <v>79</v>
      </c>
      <c r="M1790" s="553" t="s">
        <v>2834</v>
      </c>
      <c r="N1790" s="1" t="s">
        <v>124</v>
      </c>
      <c r="O1790" s="1" t="s">
        <v>91</v>
      </c>
      <c r="P1790" s="422" t="s">
        <v>352</v>
      </c>
      <c r="Q1790" s="2" t="s">
        <v>88</v>
      </c>
      <c r="R1790" s="422" t="s">
        <v>2062</v>
      </c>
      <c r="Y1790" s="491" t="str">
        <f t="shared" si="3801"/>
        <v>Obsolete</v>
      </c>
      <c r="Z1790" s="11">
        <f t="shared" si="3802"/>
        <v>42248</v>
      </c>
      <c r="AA1790" s="491" t="str">
        <f t="shared" si="3803"/>
        <v>2015 - 36</v>
      </c>
      <c r="AB1790" s="491">
        <f t="shared" si="3804"/>
        <v>2015</v>
      </c>
    </row>
    <row r="1791" spans="2:28" x14ac:dyDescent="0.25">
      <c r="B1791" s="66">
        <v>42248</v>
      </c>
      <c r="C1791" s="66">
        <v>42248</v>
      </c>
      <c r="D1791" s="68">
        <f t="shared" ref="D1791" si="3811">IF(B1791&gt;0,MONTH(B1791),"False")</f>
        <v>9</v>
      </c>
      <c r="E1791" s="66" t="str">
        <f t="shared" ref="E1791" si="3812">YEAR(B1791) &amp; CHOOSE(D1791,"-Jan","-Feb","-Mar","-Apr","-May","-Jun","-Jul","-Aug","-Sep","-Oct","-Nov","-Dec")</f>
        <v>2015-Sep</v>
      </c>
      <c r="F1791" s="68">
        <f t="shared" ref="F1791" si="3813">IF(C1791&gt;0,MONTH(C1791),"False")</f>
        <v>9</v>
      </c>
      <c r="G1791" s="553" t="s">
        <v>87</v>
      </c>
      <c r="H1791" s="1" t="s">
        <v>280</v>
      </c>
      <c r="J1791" s="1" t="s">
        <v>78</v>
      </c>
      <c r="K1791" s="1" t="s">
        <v>78</v>
      </c>
      <c r="L1791" s="1" t="s">
        <v>79</v>
      </c>
      <c r="M1791" s="553" t="s">
        <v>2835</v>
      </c>
      <c r="N1791" s="1" t="s">
        <v>124</v>
      </c>
      <c r="O1791" s="1" t="s">
        <v>167</v>
      </c>
      <c r="R1791" s="422" t="s">
        <v>344</v>
      </c>
      <c r="Y1791" s="491" t="str">
        <f t="shared" si="3801"/>
        <v>Unknown</v>
      </c>
      <c r="Z1791" s="11" t="str">
        <f t="shared" si="3802"/>
        <v/>
      </c>
      <c r="AA1791" s="491" t="str">
        <f t="shared" si="3803"/>
        <v/>
      </c>
      <c r="AB1791" s="491" t="str">
        <f t="shared" si="3804"/>
        <v/>
      </c>
    </row>
    <row r="1792" spans="2:28" x14ac:dyDescent="0.25">
      <c r="B1792" s="66">
        <v>42248</v>
      </c>
      <c r="C1792" s="66">
        <v>42248</v>
      </c>
      <c r="D1792" s="68">
        <f t="shared" ref="D1792:D1794" si="3814">IF(B1792&gt;0,MONTH(B1792),"False")</f>
        <v>9</v>
      </c>
      <c r="E1792" s="66" t="str">
        <f t="shared" ref="E1792:E1794" si="3815">YEAR(B1792) &amp; CHOOSE(D1792,"-Jan","-Feb","-Mar","-Apr","-May","-Jun","-Jul","-Aug","-Sep","-Oct","-Nov","-Dec")</f>
        <v>2015-Sep</v>
      </c>
      <c r="F1792" s="68">
        <f t="shared" ref="F1792:F1794" si="3816">IF(C1792&gt;0,MONTH(C1792),"False")</f>
        <v>9</v>
      </c>
      <c r="G1792" s="553" t="s">
        <v>87</v>
      </c>
      <c r="H1792" s="553" t="s">
        <v>280</v>
      </c>
      <c r="J1792" s="1" t="s">
        <v>119</v>
      </c>
      <c r="K1792" s="1" t="s">
        <v>119</v>
      </c>
      <c r="L1792" s="553" t="s">
        <v>79</v>
      </c>
      <c r="M1792" s="553" t="s">
        <v>2836</v>
      </c>
      <c r="N1792" s="1" t="s">
        <v>124</v>
      </c>
      <c r="O1792" s="1" t="s">
        <v>167</v>
      </c>
      <c r="R1792" s="422" t="s">
        <v>362</v>
      </c>
      <c r="Y1792" s="491" t="str">
        <f t="shared" si="3801"/>
        <v>Unknown</v>
      </c>
      <c r="Z1792" s="11" t="str">
        <f t="shared" si="3802"/>
        <v/>
      </c>
      <c r="AA1792" s="491" t="str">
        <f t="shared" si="3803"/>
        <v/>
      </c>
      <c r="AB1792" s="491" t="str">
        <f t="shared" si="3804"/>
        <v/>
      </c>
    </row>
    <row r="1793" spans="2:28" x14ac:dyDescent="0.25">
      <c r="B1793" s="66">
        <v>42248</v>
      </c>
      <c r="C1793" s="66">
        <v>42248</v>
      </c>
      <c r="D1793" s="68">
        <f t="shared" si="3814"/>
        <v>9</v>
      </c>
      <c r="E1793" s="66" t="str">
        <f t="shared" si="3815"/>
        <v>2015-Sep</v>
      </c>
      <c r="F1793" s="68">
        <f t="shared" si="3816"/>
        <v>9</v>
      </c>
      <c r="G1793" s="553" t="s">
        <v>87</v>
      </c>
      <c r="H1793" s="553" t="s">
        <v>280</v>
      </c>
      <c r="J1793" s="553" t="s">
        <v>119</v>
      </c>
      <c r="K1793" s="553" t="s">
        <v>119</v>
      </c>
      <c r="L1793" s="553" t="s">
        <v>79</v>
      </c>
      <c r="M1793" s="553" t="s">
        <v>2837</v>
      </c>
      <c r="N1793" s="1" t="s">
        <v>124</v>
      </c>
      <c r="O1793" s="1" t="s">
        <v>167</v>
      </c>
      <c r="R1793" s="422" t="s">
        <v>362</v>
      </c>
      <c r="Y1793" s="491" t="str">
        <f t="shared" si="3801"/>
        <v>Unknown</v>
      </c>
      <c r="Z1793" s="11" t="str">
        <f t="shared" si="3802"/>
        <v/>
      </c>
      <c r="AA1793" s="491" t="str">
        <f t="shared" si="3803"/>
        <v/>
      </c>
      <c r="AB1793" s="491" t="str">
        <f t="shared" si="3804"/>
        <v/>
      </c>
    </row>
    <row r="1794" spans="2:28" x14ac:dyDescent="0.25">
      <c r="B1794" s="65">
        <v>42250</v>
      </c>
      <c r="C1794" s="66">
        <v>42248</v>
      </c>
      <c r="D1794" s="68">
        <f t="shared" si="3814"/>
        <v>9</v>
      </c>
      <c r="E1794" s="66" t="str">
        <f t="shared" si="3815"/>
        <v>2015-Sep</v>
      </c>
      <c r="F1794" s="68">
        <f t="shared" si="3816"/>
        <v>9</v>
      </c>
      <c r="G1794" s="553" t="s">
        <v>93</v>
      </c>
      <c r="H1794" s="553" t="s">
        <v>348</v>
      </c>
      <c r="J1794" s="553" t="s">
        <v>77</v>
      </c>
      <c r="K1794" s="553" t="s">
        <v>82</v>
      </c>
      <c r="L1794" s="553" t="s">
        <v>79</v>
      </c>
      <c r="M1794" s="553" t="s">
        <v>2838</v>
      </c>
      <c r="N1794" s="1" t="s">
        <v>124</v>
      </c>
      <c r="O1794" s="1" t="s">
        <v>91</v>
      </c>
      <c r="P1794" s="422" t="s">
        <v>352</v>
      </c>
      <c r="R1794" s="422" t="s">
        <v>2062</v>
      </c>
      <c r="S1794" s="1" t="s">
        <v>104</v>
      </c>
      <c r="X1794" s="1" t="s">
        <v>300</v>
      </c>
      <c r="Y1794" s="491" t="str">
        <f t="shared" si="3801"/>
        <v>Pass</v>
      </c>
      <c r="Z1794" s="11" t="str">
        <f t="shared" si="3802"/>
        <v/>
      </c>
      <c r="AA1794" s="491" t="str">
        <f t="shared" si="3803"/>
        <v/>
      </c>
      <c r="AB1794" s="491" t="str">
        <f t="shared" si="3804"/>
        <v/>
      </c>
    </row>
    <row r="1795" spans="2:28" x14ac:dyDescent="0.25">
      <c r="B1795" s="66">
        <v>42251</v>
      </c>
      <c r="C1795" s="66">
        <v>42248</v>
      </c>
      <c r="D1795" s="68">
        <f t="shared" ref="D1795" si="3817">IF(B1795&gt;0,MONTH(B1795),"False")</f>
        <v>9</v>
      </c>
      <c r="E1795" s="66" t="str">
        <f t="shared" ref="E1795" si="3818">YEAR(B1795) &amp; CHOOSE(D1795,"-Jan","-Feb","-Mar","-Apr","-May","-Jun","-Jul","-Aug","-Sep","-Oct","-Nov","-Dec")</f>
        <v>2015-Sep</v>
      </c>
      <c r="F1795" s="68">
        <f t="shared" ref="F1795" si="3819">IF(C1795&gt;0,MONTH(C1795),"False")</f>
        <v>9</v>
      </c>
      <c r="G1795" s="553" t="s">
        <v>87</v>
      </c>
      <c r="H1795" s="553" t="s">
        <v>76</v>
      </c>
      <c r="J1795" s="1" t="s">
        <v>120</v>
      </c>
      <c r="K1795" s="1" t="s">
        <v>173</v>
      </c>
      <c r="L1795" s="1" t="s">
        <v>83</v>
      </c>
      <c r="M1795" s="553" t="s">
        <v>2839</v>
      </c>
      <c r="N1795" s="1" t="s">
        <v>124</v>
      </c>
      <c r="O1795" s="1" t="s">
        <v>2601</v>
      </c>
      <c r="R1795" s="422" t="s">
        <v>2840</v>
      </c>
      <c r="S1795" s="1" t="s">
        <v>104</v>
      </c>
      <c r="T1795" s="67" t="s">
        <v>110</v>
      </c>
      <c r="X1795" s="1" t="s">
        <v>2841</v>
      </c>
      <c r="Y1795" s="491" t="str">
        <f t="shared" si="3801"/>
        <v>Pass</v>
      </c>
      <c r="Z1795" s="11" t="str">
        <f t="shared" si="3802"/>
        <v/>
      </c>
      <c r="AA1795" s="491" t="str">
        <f t="shared" si="3803"/>
        <v/>
      </c>
      <c r="AB1795" s="491" t="str">
        <f t="shared" si="3804"/>
        <v/>
      </c>
    </row>
    <row r="1796" spans="2:28" x14ac:dyDescent="0.25">
      <c r="B1796" s="66">
        <v>42256</v>
      </c>
      <c r="C1796" s="66">
        <v>42256</v>
      </c>
      <c r="D1796" s="68">
        <f t="shared" ref="D1796:D1797" si="3820">IF(B1796&gt;0,MONTH(B1796),"False")</f>
        <v>9</v>
      </c>
      <c r="E1796" s="66" t="str">
        <f t="shared" ref="E1796:E1797" si="3821">YEAR(B1796) &amp; CHOOSE(D1796,"-Jan","-Feb","-Mar","-Apr","-May","-Jun","-Jul","-Aug","-Sep","-Oct","-Nov","-Dec")</f>
        <v>2015-Sep</v>
      </c>
      <c r="F1796" s="68">
        <f t="shared" ref="F1796:F1797" si="3822">IF(C1796&gt;0,MONTH(C1796),"False")</f>
        <v>9</v>
      </c>
      <c r="G1796" s="554" t="s">
        <v>87</v>
      </c>
      <c r="H1796" s="1" t="s">
        <v>28</v>
      </c>
      <c r="J1796" s="554" t="s">
        <v>78</v>
      </c>
      <c r="K1796" s="554" t="s">
        <v>78</v>
      </c>
      <c r="L1796" s="1" t="s">
        <v>79</v>
      </c>
      <c r="M1796" s="554" t="s">
        <v>2842</v>
      </c>
      <c r="N1796" s="1" t="s">
        <v>124</v>
      </c>
      <c r="O1796" s="1" t="s">
        <v>168</v>
      </c>
      <c r="R1796" s="422" t="s">
        <v>308</v>
      </c>
      <c r="S1796" s="1" t="s">
        <v>104</v>
      </c>
      <c r="X1796" s="1" t="s">
        <v>155</v>
      </c>
      <c r="Y1796" s="491" t="str">
        <f t="shared" si="3801"/>
        <v>Pass</v>
      </c>
      <c r="Z1796" s="11" t="str">
        <f t="shared" si="3802"/>
        <v/>
      </c>
      <c r="AA1796" s="491" t="str">
        <f t="shared" si="3803"/>
        <v/>
      </c>
      <c r="AB1796" s="491" t="str">
        <f t="shared" si="3804"/>
        <v/>
      </c>
    </row>
    <row r="1797" spans="2:28" x14ac:dyDescent="0.25">
      <c r="B1797" s="65">
        <v>42257</v>
      </c>
      <c r="C1797" s="66">
        <v>42257</v>
      </c>
      <c r="D1797" s="68">
        <f t="shared" si="3820"/>
        <v>9</v>
      </c>
      <c r="E1797" s="66" t="str">
        <f t="shared" si="3821"/>
        <v>2015-Sep</v>
      </c>
      <c r="F1797" s="68">
        <f t="shared" si="3822"/>
        <v>9</v>
      </c>
      <c r="G1797" s="554" t="s">
        <v>93</v>
      </c>
      <c r="H1797" s="554" t="s">
        <v>316</v>
      </c>
      <c r="J1797" s="554" t="s">
        <v>77</v>
      </c>
      <c r="K1797" s="554" t="s">
        <v>82</v>
      </c>
      <c r="L1797" s="554" t="s">
        <v>79</v>
      </c>
      <c r="M1797" s="554" t="s">
        <v>2843</v>
      </c>
      <c r="N1797" s="1" t="s">
        <v>124</v>
      </c>
      <c r="O1797" s="1" t="s">
        <v>162</v>
      </c>
      <c r="P1797" s="422" t="s">
        <v>2844</v>
      </c>
      <c r="R1797" s="422" t="s">
        <v>705</v>
      </c>
      <c r="Y1797" s="491" t="str">
        <f t="shared" si="3801"/>
        <v>Unknown</v>
      </c>
      <c r="Z1797" s="11" t="str">
        <f t="shared" si="3802"/>
        <v/>
      </c>
      <c r="AA1797" s="491" t="str">
        <f t="shared" si="3803"/>
        <v/>
      </c>
      <c r="AB1797" s="491" t="str">
        <f t="shared" si="3804"/>
        <v/>
      </c>
    </row>
    <row r="1798" spans="2:28" x14ac:dyDescent="0.25">
      <c r="B1798" s="65">
        <v>42257</v>
      </c>
      <c r="C1798" s="66">
        <v>42257</v>
      </c>
      <c r="D1798" s="68">
        <f t="shared" ref="D1798:D1799" si="3823">IF(B1798&gt;0,MONTH(B1798),"False")</f>
        <v>9</v>
      </c>
      <c r="E1798" s="66" t="str">
        <f t="shared" ref="E1798:E1799" si="3824">YEAR(B1798) &amp; CHOOSE(D1798,"-Jan","-Feb","-Mar","-Apr","-May","-Jun","-Jul","-Aug","-Sep","-Oct","-Nov","-Dec")</f>
        <v>2015-Sep</v>
      </c>
      <c r="F1798" s="68">
        <f t="shared" ref="F1798:F1799" si="3825">IF(C1798&gt;0,MONTH(C1798),"False")</f>
        <v>9</v>
      </c>
      <c r="G1798" s="554" t="s">
        <v>93</v>
      </c>
      <c r="H1798" s="1" t="s">
        <v>103</v>
      </c>
      <c r="J1798" s="554" t="s">
        <v>77</v>
      </c>
      <c r="K1798" s="554" t="s">
        <v>82</v>
      </c>
      <c r="L1798" s="554" t="s">
        <v>79</v>
      </c>
      <c r="M1798" s="554" t="s">
        <v>2845</v>
      </c>
      <c r="N1798" s="1" t="s">
        <v>124</v>
      </c>
      <c r="O1798" s="1" t="s">
        <v>507</v>
      </c>
      <c r="P1798" s="422" t="s">
        <v>351</v>
      </c>
      <c r="R1798" s="422" t="s">
        <v>361</v>
      </c>
      <c r="Y1798" s="491" t="str">
        <f t="shared" si="3801"/>
        <v>Unknown</v>
      </c>
      <c r="Z1798" s="11" t="str">
        <f t="shared" si="3802"/>
        <v/>
      </c>
      <c r="AA1798" s="491" t="str">
        <f t="shared" si="3803"/>
        <v/>
      </c>
      <c r="AB1798" s="491" t="str">
        <f t="shared" si="3804"/>
        <v/>
      </c>
    </row>
    <row r="1799" spans="2:28" x14ac:dyDescent="0.25">
      <c r="B1799" s="66">
        <v>42258</v>
      </c>
      <c r="C1799" s="66">
        <v>42258</v>
      </c>
      <c r="D1799" s="68">
        <f t="shared" si="3823"/>
        <v>9</v>
      </c>
      <c r="E1799" s="66" t="str">
        <f t="shared" si="3824"/>
        <v>2015-Sep</v>
      </c>
      <c r="F1799" s="68">
        <f t="shared" si="3825"/>
        <v>9</v>
      </c>
      <c r="G1799" s="554" t="s">
        <v>87</v>
      </c>
      <c r="H1799" s="1" t="s">
        <v>166</v>
      </c>
      <c r="J1799" s="554" t="s">
        <v>120</v>
      </c>
      <c r="K1799" s="554" t="s">
        <v>82</v>
      </c>
      <c r="L1799" s="1" t="s">
        <v>83</v>
      </c>
      <c r="M1799" s="554" t="s">
        <v>2846</v>
      </c>
      <c r="N1799" s="1" t="s">
        <v>124</v>
      </c>
      <c r="O1799" s="1" t="s">
        <v>343</v>
      </c>
      <c r="Q1799" s="2" t="s">
        <v>88</v>
      </c>
      <c r="R1799" s="422" t="s">
        <v>2847</v>
      </c>
      <c r="Y1799" s="491" t="str">
        <f t="shared" si="3801"/>
        <v>Obsolete</v>
      </c>
      <c r="Z1799" s="11">
        <f t="shared" si="3802"/>
        <v>42258</v>
      </c>
      <c r="AA1799" s="491" t="str">
        <f t="shared" si="3803"/>
        <v>2015 - 37</v>
      </c>
      <c r="AB1799" s="491">
        <f t="shared" si="3804"/>
        <v>2015</v>
      </c>
    </row>
    <row r="1800" spans="2:28" x14ac:dyDescent="0.25">
      <c r="B1800" s="66">
        <v>42258</v>
      </c>
      <c r="C1800" s="66">
        <v>42258</v>
      </c>
      <c r="D1800" s="68">
        <f t="shared" ref="D1800" si="3826">IF(B1800&gt;0,MONTH(B1800),"False")</f>
        <v>9</v>
      </c>
      <c r="E1800" s="66" t="str">
        <f t="shared" ref="E1800" si="3827">YEAR(B1800) &amp; CHOOSE(D1800,"-Jan","-Feb","-Mar","-Apr","-May","-Jun","-Jul","-Aug","-Sep","-Oct","-Nov","-Dec")</f>
        <v>2015-Sep</v>
      </c>
      <c r="F1800" s="68">
        <f t="shared" ref="F1800" si="3828">IF(C1800&gt;0,MONTH(C1800),"False")</f>
        <v>9</v>
      </c>
      <c r="G1800" s="554" t="s">
        <v>87</v>
      </c>
      <c r="H1800" s="554" t="s">
        <v>166</v>
      </c>
      <c r="J1800" s="554" t="s">
        <v>77</v>
      </c>
      <c r="K1800" s="554" t="s">
        <v>82</v>
      </c>
      <c r="L1800" s="554" t="s">
        <v>79</v>
      </c>
      <c r="M1800" s="554" t="s">
        <v>2848</v>
      </c>
      <c r="N1800" s="1" t="s">
        <v>124</v>
      </c>
      <c r="O1800" s="1" t="s">
        <v>343</v>
      </c>
      <c r="Q1800" s="2" t="s">
        <v>88</v>
      </c>
      <c r="R1800" s="422" t="s">
        <v>2849</v>
      </c>
      <c r="Y1800" s="491" t="str">
        <f t="shared" si="3801"/>
        <v>Obsolete</v>
      </c>
      <c r="Z1800" s="11">
        <f t="shared" si="3802"/>
        <v>42258</v>
      </c>
      <c r="AA1800" s="491" t="str">
        <f t="shared" si="3803"/>
        <v>2015 - 37</v>
      </c>
      <c r="AB1800" s="491">
        <f t="shared" si="3804"/>
        <v>2015</v>
      </c>
    </row>
    <row r="1801" spans="2:28" x14ac:dyDescent="0.25">
      <c r="B1801" s="66">
        <v>42261</v>
      </c>
      <c r="C1801" s="66">
        <v>42261</v>
      </c>
      <c r="D1801" s="68">
        <f t="shared" ref="D1801" si="3829">IF(B1801&gt;0,MONTH(B1801),"False")</f>
        <v>9</v>
      </c>
      <c r="E1801" s="66" t="str">
        <f t="shared" ref="E1801" si="3830">YEAR(B1801) &amp; CHOOSE(D1801,"-Jan","-Feb","-Mar","-Apr","-May","-Jun","-Jul","-Aug","-Sep","-Oct","-Nov","-Dec")</f>
        <v>2015-Sep</v>
      </c>
      <c r="F1801" s="68">
        <f t="shared" ref="F1801" si="3831">IF(C1801&gt;0,MONTH(C1801),"False")</f>
        <v>9</v>
      </c>
      <c r="G1801" s="554" t="s">
        <v>87</v>
      </c>
      <c r="H1801" s="1" t="s">
        <v>1685</v>
      </c>
      <c r="J1801" s="554" t="s">
        <v>78</v>
      </c>
      <c r="K1801" s="554" t="s">
        <v>78</v>
      </c>
      <c r="L1801" s="1" t="s">
        <v>79</v>
      </c>
      <c r="M1801" s="554" t="s">
        <v>2850</v>
      </c>
      <c r="N1801" s="1" t="s">
        <v>124</v>
      </c>
      <c r="O1801" s="1" t="s">
        <v>287</v>
      </c>
      <c r="R1801" s="422" t="s">
        <v>2550</v>
      </c>
      <c r="Y1801" s="491" t="str">
        <f t="shared" si="3801"/>
        <v>Unknown</v>
      </c>
      <c r="Z1801" s="11" t="str">
        <f t="shared" si="3802"/>
        <v/>
      </c>
      <c r="AA1801" s="491" t="str">
        <f t="shared" si="3803"/>
        <v/>
      </c>
      <c r="AB1801" s="491" t="str">
        <f t="shared" si="3804"/>
        <v/>
      </c>
    </row>
    <row r="1802" spans="2:28" x14ac:dyDescent="0.25">
      <c r="B1802" s="66">
        <v>42262</v>
      </c>
      <c r="C1802" s="66">
        <v>42262</v>
      </c>
      <c r="D1802" s="68">
        <f t="shared" ref="D1802:D1803" si="3832">IF(B1802&gt;0,MONTH(B1802),"False")</f>
        <v>9</v>
      </c>
      <c r="E1802" s="66" t="str">
        <f t="shared" ref="E1802:E1803" si="3833">YEAR(B1802) &amp; CHOOSE(D1802,"-Jan","-Feb","-Mar","-Apr","-May","-Jun","-Jul","-Aug","-Sep","-Oct","-Nov","-Dec")</f>
        <v>2015-Sep</v>
      </c>
      <c r="F1802" s="68">
        <f t="shared" ref="F1802:F1803" si="3834">IF(C1802&gt;0,MONTH(C1802),"False")</f>
        <v>9</v>
      </c>
      <c r="G1802" s="555" t="s">
        <v>87</v>
      </c>
      <c r="H1802" s="1" t="s">
        <v>28</v>
      </c>
      <c r="J1802" s="555" t="s">
        <v>292</v>
      </c>
      <c r="K1802" s="555" t="s">
        <v>292</v>
      </c>
      <c r="L1802" s="1" t="s">
        <v>83</v>
      </c>
      <c r="M1802" s="555" t="s">
        <v>2858</v>
      </c>
      <c r="N1802" s="1" t="s">
        <v>124</v>
      </c>
      <c r="O1802" s="1" t="s">
        <v>156</v>
      </c>
      <c r="R1802" s="422" t="s">
        <v>2859</v>
      </c>
      <c r="T1802" s="67" t="s">
        <v>110</v>
      </c>
      <c r="Y1802" s="491" t="str">
        <f t="shared" si="3801"/>
        <v>Unknown</v>
      </c>
      <c r="Z1802" s="11" t="str">
        <f t="shared" si="3802"/>
        <v/>
      </c>
      <c r="AA1802" s="491" t="str">
        <f t="shared" si="3803"/>
        <v/>
      </c>
      <c r="AB1802" s="491" t="str">
        <f t="shared" si="3804"/>
        <v/>
      </c>
    </row>
    <row r="1803" spans="2:28" x14ac:dyDescent="0.25">
      <c r="B1803" s="65">
        <v>42262</v>
      </c>
      <c r="C1803" s="66">
        <v>42262</v>
      </c>
      <c r="D1803" s="68">
        <f t="shared" si="3832"/>
        <v>9</v>
      </c>
      <c r="E1803" s="66" t="str">
        <f t="shared" si="3833"/>
        <v>2015-Sep</v>
      </c>
      <c r="F1803" s="68">
        <f t="shared" si="3834"/>
        <v>9</v>
      </c>
      <c r="G1803" s="555" t="s">
        <v>121</v>
      </c>
      <c r="H1803" s="1" t="s">
        <v>76</v>
      </c>
      <c r="J1803" s="1" t="s">
        <v>120</v>
      </c>
      <c r="K1803" s="1" t="s">
        <v>82</v>
      </c>
      <c r="L1803" s="1" t="s">
        <v>79</v>
      </c>
      <c r="M1803" s="555" t="s">
        <v>2860</v>
      </c>
      <c r="N1803" s="1" t="s">
        <v>124</v>
      </c>
      <c r="O1803" s="1" t="s">
        <v>353</v>
      </c>
      <c r="P1803" s="422" t="s">
        <v>1740</v>
      </c>
      <c r="R1803" s="422" t="s">
        <v>1741</v>
      </c>
      <c r="S1803" s="1" t="s">
        <v>104</v>
      </c>
      <c r="X1803" s="1" t="s">
        <v>2841</v>
      </c>
      <c r="Y1803" s="491" t="str">
        <f t="shared" si="3801"/>
        <v>Pass</v>
      </c>
      <c r="Z1803" s="11" t="str">
        <f t="shared" si="3802"/>
        <v/>
      </c>
      <c r="AA1803" s="491" t="str">
        <f t="shared" si="3803"/>
        <v/>
      </c>
      <c r="AB1803" s="491" t="str">
        <f t="shared" si="3804"/>
        <v/>
      </c>
    </row>
    <row r="1804" spans="2:28" x14ac:dyDescent="0.25">
      <c r="B1804" s="66">
        <v>42265</v>
      </c>
      <c r="C1804" s="66">
        <v>42265</v>
      </c>
      <c r="D1804" s="68">
        <f t="shared" ref="D1804" si="3835">IF(B1804&gt;0,MONTH(B1804),"False")</f>
        <v>9</v>
      </c>
      <c r="E1804" s="66" t="str">
        <f t="shared" ref="E1804" si="3836">YEAR(B1804) &amp; CHOOSE(D1804,"-Jan","-Feb","-Mar","-Apr","-May","-Jun","-Jul","-Aug","-Sep","-Oct","-Nov","-Dec")</f>
        <v>2015-Sep</v>
      </c>
      <c r="F1804" s="68">
        <f t="shared" ref="F1804" si="3837">IF(C1804&gt;0,MONTH(C1804),"False")</f>
        <v>9</v>
      </c>
      <c r="G1804" s="555" t="s">
        <v>87</v>
      </c>
      <c r="H1804" s="1" t="s">
        <v>166</v>
      </c>
      <c r="J1804" s="1" t="s">
        <v>2578</v>
      </c>
      <c r="K1804" s="555" t="s">
        <v>2578</v>
      </c>
      <c r="L1804" s="1" t="s">
        <v>83</v>
      </c>
      <c r="M1804" s="555" t="s">
        <v>2861</v>
      </c>
      <c r="N1804" s="1" t="s">
        <v>124</v>
      </c>
      <c r="O1804" s="553" t="s">
        <v>156</v>
      </c>
      <c r="R1804" s="422" t="s">
        <v>2862</v>
      </c>
      <c r="Y1804" s="491" t="str">
        <f t="shared" si="3801"/>
        <v>Unknown</v>
      </c>
      <c r="Z1804" s="11" t="str">
        <f t="shared" si="3802"/>
        <v/>
      </c>
      <c r="AA1804" s="491" t="str">
        <f t="shared" si="3803"/>
        <v/>
      </c>
      <c r="AB1804" s="491" t="str">
        <f t="shared" si="3804"/>
        <v/>
      </c>
    </row>
    <row r="1805" spans="2:28" x14ac:dyDescent="0.25">
      <c r="B1805" s="66">
        <v>42268</v>
      </c>
      <c r="C1805" s="66">
        <v>42268</v>
      </c>
      <c r="D1805" s="68">
        <f t="shared" ref="D1805:D1806" si="3838">IF(B1805&gt;0,MONTH(B1805),"False")</f>
        <v>9</v>
      </c>
      <c r="E1805" s="66" t="str">
        <f t="shared" ref="E1805:E1806" si="3839">YEAR(B1805) &amp; CHOOSE(D1805,"-Jan","-Feb","-Mar","-Apr","-May","-Jun","-Jul","-Aug","-Sep","-Oct","-Nov","-Dec")</f>
        <v>2015-Sep</v>
      </c>
      <c r="F1805" s="68">
        <f t="shared" ref="F1805:F1806" si="3840">IF(C1805&gt;0,MONTH(C1805),"False")</f>
        <v>9</v>
      </c>
      <c r="G1805" s="555" t="s">
        <v>87</v>
      </c>
      <c r="H1805" s="1" t="s">
        <v>166</v>
      </c>
      <c r="J1805" s="555" t="s">
        <v>149</v>
      </c>
      <c r="K1805" s="555" t="s">
        <v>84</v>
      </c>
      <c r="L1805" s="1" t="s">
        <v>83</v>
      </c>
      <c r="M1805" s="555" t="s">
        <v>2863</v>
      </c>
      <c r="N1805" s="1" t="s">
        <v>124</v>
      </c>
      <c r="O1805" s="1" t="s">
        <v>264</v>
      </c>
      <c r="Q1805" s="2" t="s">
        <v>88</v>
      </c>
      <c r="R1805" s="422" t="s">
        <v>2833</v>
      </c>
      <c r="Y1805" s="491" t="str">
        <f t="shared" si="3801"/>
        <v>Obsolete</v>
      </c>
      <c r="Z1805" s="11">
        <f t="shared" si="3802"/>
        <v>42268</v>
      </c>
      <c r="AA1805" s="491" t="str">
        <f t="shared" si="3803"/>
        <v>2015 - 39</v>
      </c>
      <c r="AB1805" s="491">
        <f t="shared" si="3804"/>
        <v>2015</v>
      </c>
    </row>
    <row r="1806" spans="2:28" x14ac:dyDescent="0.25">
      <c r="B1806" s="65">
        <v>42268</v>
      </c>
      <c r="C1806" s="66">
        <v>42268</v>
      </c>
      <c r="D1806" s="68">
        <f t="shared" si="3838"/>
        <v>9</v>
      </c>
      <c r="E1806" s="66" t="str">
        <f t="shared" si="3839"/>
        <v>2015-Sep</v>
      </c>
      <c r="F1806" s="68">
        <f t="shared" si="3840"/>
        <v>9</v>
      </c>
      <c r="G1806" s="555" t="s">
        <v>121</v>
      </c>
      <c r="H1806" s="1" t="s">
        <v>280</v>
      </c>
      <c r="J1806" s="555" t="s">
        <v>81</v>
      </c>
      <c r="K1806" s="555" t="s">
        <v>82</v>
      </c>
      <c r="L1806" s="1" t="s">
        <v>79</v>
      </c>
      <c r="M1806" s="555" t="s">
        <v>2864</v>
      </c>
      <c r="N1806" s="1" t="s">
        <v>124</v>
      </c>
      <c r="O1806" s="1" t="s">
        <v>2598</v>
      </c>
      <c r="P1806" s="422" t="s">
        <v>305</v>
      </c>
      <c r="R1806" s="422" t="s">
        <v>2808</v>
      </c>
      <c r="S1806" s="1" t="s">
        <v>104</v>
      </c>
      <c r="X1806" s="1" t="s">
        <v>2146</v>
      </c>
      <c r="Y1806" s="491" t="str">
        <f t="shared" si="3801"/>
        <v>Pass</v>
      </c>
      <c r="Z1806" s="11" t="str">
        <f t="shared" si="3802"/>
        <v/>
      </c>
      <c r="AA1806" s="491" t="str">
        <f t="shared" si="3803"/>
        <v/>
      </c>
      <c r="AB1806" s="491" t="str">
        <f t="shared" si="3804"/>
        <v/>
      </c>
    </row>
    <row r="1807" spans="2:28" x14ac:dyDescent="0.25">
      <c r="B1807" s="65">
        <v>42268</v>
      </c>
      <c r="C1807" s="66">
        <v>42268</v>
      </c>
      <c r="D1807" s="68">
        <f t="shared" ref="D1807:D1808" si="3841">IF(B1807&gt;0,MONTH(B1807),"False")</f>
        <v>9</v>
      </c>
      <c r="E1807" s="66" t="str">
        <f t="shared" ref="E1807:E1808" si="3842">YEAR(B1807) &amp; CHOOSE(D1807,"-Jan","-Feb","-Mar","-Apr","-May","-Jun","-Jul","-Aug","-Sep","-Oct","-Nov","-Dec")</f>
        <v>2015-Sep</v>
      </c>
      <c r="F1807" s="68">
        <f t="shared" ref="F1807:F1808" si="3843">IF(C1807&gt;0,MONTH(C1807),"False")</f>
        <v>9</v>
      </c>
      <c r="G1807" s="555" t="s">
        <v>121</v>
      </c>
      <c r="H1807" s="555" t="s">
        <v>280</v>
      </c>
      <c r="I1807" s="555"/>
      <c r="J1807" s="555" t="s">
        <v>146</v>
      </c>
      <c r="K1807" s="555" t="s">
        <v>82</v>
      </c>
      <c r="L1807" s="555" t="s">
        <v>79</v>
      </c>
      <c r="M1807" s="555" t="s">
        <v>2865</v>
      </c>
      <c r="N1807" s="1" t="s">
        <v>124</v>
      </c>
      <c r="O1807" s="1" t="s">
        <v>2598</v>
      </c>
      <c r="P1807" s="422" t="s">
        <v>305</v>
      </c>
      <c r="R1807" s="422" t="s">
        <v>2808</v>
      </c>
      <c r="S1807" s="1" t="s">
        <v>104</v>
      </c>
      <c r="X1807" s="1" t="s">
        <v>2146</v>
      </c>
      <c r="Y1807" s="491" t="str">
        <f t="shared" si="3801"/>
        <v>Pass</v>
      </c>
      <c r="Z1807" s="11" t="str">
        <f t="shared" si="3802"/>
        <v/>
      </c>
      <c r="AA1807" s="491" t="str">
        <f t="shared" si="3803"/>
        <v/>
      </c>
      <c r="AB1807" s="491" t="str">
        <f t="shared" si="3804"/>
        <v/>
      </c>
    </row>
    <row r="1808" spans="2:28" x14ac:dyDescent="0.25">
      <c r="B1808" s="66">
        <v>42268</v>
      </c>
      <c r="C1808" s="66">
        <v>42268</v>
      </c>
      <c r="D1808" s="68">
        <f t="shared" si="3841"/>
        <v>9</v>
      </c>
      <c r="E1808" s="66" t="str">
        <f t="shared" si="3842"/>
        <v>2015-Sep</v>
      </c>
      <c r="F1808" s="68">
        <f t="shared" si="3843"/>
        <v>9</v>
      </c>
      <c r="G1808" s="555" t="s">
        <v>87</v>
      </c>
      <c r="H1808" s="555" t="s">
        <v>166</v>
      </c>
      <c r="J1808" s="1" t="s">
        <v>2252</v>
      </c>
      <c r="K1808" s="555" t="s">
        <v>82</v>
      </c>
      <c r="L1808" s="1" t="s">
        <v>83</v>
      </c>
      <c r="M1808" s="555" t="s">
        <v>2866</v>
      </c>
      <c r="N1808" s="1" t="s">
        <v>124</v>
      </c>
      <c r="O1808" s="1" t="s">
        <v>1368</v>
      </c>
      <c r="R1808" s="422" t="s">
        <v>2711</v>
      </c>
      <c r="T1808" s="67" t="s">
        <v>110</v>
      </c>
      <c r="Y1808" s="491" t="str">
        <f t="shared" si="3801"/>
        <v>Unknown</v>
      </c>
      <c r="Z1808" s="11" t="str">
        <f t="shared" si="3802"/>
        <v/>
      </c>
      <c r="AA1808" s="491" t="str">
        <f t="shared" si="3803"/>
        <v/>
      </c>
      <c r="AB1808" s="491" t="str">
        <f t="shared" si="3804"/>
        <v/>
      </c>
    </row>
    <row r="1809" spans="2:28" x14ac:dyDescent="0.25">
      <c r="B1809" s="65">
        <v>42268</v>
      </c>
      <c r="C1809" s="66">
        <v>42268</v>
      </c>
      <c r="D1809" s="68">
        <f t="shared" ref="D1809:D1810" si="3844">IF(B1809&gt;0,MONTH(B1809),"False")</f>
        <v>9</v>
      </c>
      <c r="E1809" s="66" t="str">
        <f t="shared" ref="E1809:E1810" si="3845">YEAR(B1809) &amp; CHOOSE(D1809,"-Jan","-Feb","-Mar","-Apr","-May","-Jun","-Jul","-Aug","-Sep","-Oct","-Nov","-Dec")</f>
        <v>2015-Sep</v>
      </c>
      <c r="F1809" s="68">
        <f t="shared" ref="F1809:F1810" si="3846">IF(C1809&gt;0,MONTH(C1809),"False")</f>
        <v>9</v>
      </c>
      <c r="G1809" s="555" t="s">
        <v>121</v>
      </c>
      <c r="H1809" s="1" t="s">
        <v>1685</v>
      </c>
      <c r="J1809" s="1" t="s">
        <v>81</v>
      </c>
      <c r="K1809" s="555" t="s">
        <v>82</v>
      </c>
      <c r="L1809" s="1" t="s">
        <v>79</v>
      </c>
      <c r="M1809" s="555" t="s">
        <v>2867</v>
      </c>
      <c r="N1809" s="1" t="s">
        <v>124</v>
      </c>
      <c r="O1809" s="1" t="s">
        <v>353</v>
      </c>
      <c r="P1809" s="422" t="s">
        <v>2009</v>
      </c>
      <c r="R1809" s="422" t="s">
        <v>2398</v>
      </c>
      <c r="S1809" s="1" t="s">
        <v>104</v>
      </c>
      <c r="X1809" s="1" t="s">
        <v>300</v>
      </c>
      <c r="Y1809" s="491" t="str">
        <f t="shared" si="3801"/>
        <v>Pass</v>
      </c>
      <c r="Z1809" s="11" t="str">
        <f t="shared" si="3802"/>
        <v/>
      </c>
      <c r="AA1809" s="491" t="str">
        <f t="shared" si="3803"/>
        <v/>
      </c>
      <c r="AB1809" s="491" t="str">
        <f t="shared" si="3804"/>
        <v/>
      </c>
    </row>
    <row r="1810" spans="2:28" x14ac:dyDescent="0.25">
      <c r="B1810" s="66">
        <v>42269</v>
      </c>
      <c r="C1810" s="66">
        <v>42269</v>
      </c>
      <c r="D1810" s="68">
        <f t="shared" si="3844"/>
        <v>9</v>
      </c>
      <c r="E1810" s="66" t="str">
        <f t="shared" si="3845"/>
        <v>2015-Sep</v>
      </c>
      <c r="F1810" s="68">
        <f t="shared" si="3846"/>
        <v>9</v>
      </c>
      <c r="G1810" s="558" t="s">
        <v>87</v>
      </c>
      <c r="H1810" s="1" t="s">
        <v>166</v>
      </c>
      <c r="J1810" s="558" t="s">
        <v>2252</v>
      </c>
      <c r="K1810" s="558" t="s">
        <v>84</v>
      </c>
      <c r="L1810" s="558" t="s">
        <v>83</v>
      </c>
      <c r="M1810" s="558" t="s">
        <v>2868</v>
      </c>
      <c r="N1810" s="1" t="s">
        <v>124</v>
      </c>
      <c r="O1810" s="1" t="s">
        <v>2253</v>
      </c>
      <c r="R1810" s="422" t="s">
        <v>2714</v>
      </c>
      <c r="T1810" s="67" t="s">
        <v>110</v>
      </c>
      <c r="Y1810" s="491" t="str">
        <f t="shared" si="3801"/>
        <v>Unknown</v>
      </c>
      <c r="Z1810" s="11" t="str">
        <f t="shared" si="3802"/>
        <v/>
      </c>
      <c r="AA1810" s="491" t="str">
        <f t="shared" si="3803"/>
        <v/>
      </c>
      <c r="AB1810" s="491" t="str">
        <f t="shared" si="3804"/>
        <v/>
      </c>
    </row>
    <row r="1811" spans="2:28" x14ac:dyDescent="0.25">
      <c r="B1811" s="66">
        <v>42269</v>
      </c>
      <c r="C1811" s="66">
        <v>42269</v>
      </c>
      <c r="D1811" s="68">
        <f t="shared" ref="D1811" si="3847">IF(B1811&gt;0,MONTH(B1811),"False")</f>
        <v>9</v>
      </c>
      <c r="E1811" s="66" t="str">
        <f t="shared" ref="E1811" si="3848">YEAR(B1811) &amp; CHOOSE(D1811,"-Jan","-Feb","-Mar","-Apr","-May","-Jun","-Jul","-Aug","-Sep","-Oct","-Nov","-Dec")</f>
        <v>2015-Sep</v>
      </c>
      <c r="F1811" s="68">
        <f t="shared" ref="F1811" si="3849">IF(C1811&gt;0,MONTH(C1811),"False")</f>
        <v>9</v>
      </c>
      <c r="G1811" s="558" t="s">
        <v>112</v>
      </c>
      <c r="H1811" s="1" t="s">
        <v>1685</v>
      </c>
      <c r="J1811" s="1" t="s">
        <v>77</v>
      </c>
      <c r="K1811" s="1" t="s">
        <v>82</v>
      </c>
      <c r="L1811" s="1" t="s">
        <v>83</v>
      </c>
      <c r="M1811" s="558" t="s">
        <v>2869</v>
      </c>
      <c r="N1811" s="1" t="s">
        <v>124</v>
      </c>
      <c r="O1811" s="1" t="s">
        <v>353</v>
      </c>
      <c r="R1811" s="422" t="s">
        <v>2398</v>
      </c>
      <c r="S1811" s="1" t="s">
        <v>104</v>
      </c>
      <c r="X1811" s="1" t="s">
        <v>300</v>
      </c>
      <c r="Y1811" s="491" t="str">
        <f t="shared" si="3801"/>
        <v>Pass</v>
      </c>
      <c r="Z1811" s="11" t="str">
        <f t="shared" si="3802"/>
        <v/>
      </c>
      <c r="AA1811" s="491" t="str">
        <f t="shared" si="3803"/>
        <v/>
      </c>
      <c r="AB1811" s="491" t="str">
        <f t="shared" si="3804"/>
        <v/>
      </c>
    </row>
    <row r="1812" spans="2:28" x14ac:dyDescent="0.25">
      <c r="B1812" s="66">
        <v>42271</v>
      </c>
      <c r="C1812" s="66">
        <v>42271</v>
      </c>
      <c r="D1812" s="68">
        <f t="shared" ref="D1812:D1813" si="3850">IF(B1812&gt;0,MONTH(B1812),"False")</f>
        <v>9</v>
      </c>
      <c r="E1812" s="66" t="str">
        <f t="shared" ref="E1812:E1813" si="3851">YEAR(B1812) &amp; CHOOSE(D1812,"-Jan","-Feb","-Mar","-Apr","-May","-Jun","-Jul","-Aug","-Sep","-Oct","-Nov","-Dec")</f>
        <v>2015-Sep</v>
      </c>
      <c r="F1812" s="68">
        <f t="shared" ref="F1812:F1813" si="3852">IF(C1812&gt;0,MONTH(C1812),"False")</f>
        <v>9</v>
      </c>
      <c r="G1812" s="559" t="s">
        <v>112</v>
      </c>
      <c r="H1812" s="1" t="s">
        <v>115</v>
      </c>
      <c r="J1812" s="559" t="s">
        <v>78</v>
      </c>
      <c r="K1812" s="559" t="s">
        <v>78</v>
      </c>
      <c r="L1812" s="1" t="s">
        <v>79</v>
      </c>
      <c r="M1812" s="559" t="s">
        <v>2870</v>
      </c>
      <c r="N1812" s="1" t="s">
        <v>124</v>
      </c>
      <c r="O1812" s="1" t="s">
        <v>332</v>
      </c>
      <c r="R1812" s="422" t="s">
        <v>2788</v>
      </c>
      <c r="S1812" s="1" t="s">
        <v>104</v>
      </c>
      <c r="X1812" s="1" t="s">
        <v>2615</v>
      </c>
      <c r="Y1812" s="491" t="str">
        <f t="shared" si="3801"/>
        <v>Pass</v>
      </c>
      <c r="Z1812" s="11" t="str">
        <f t="shared" si="3802"/>
        <v/>
      </c>
      <c r="AA1812" s="491" t="str">
        <f t="shared" si="3803"/>
        <v/>
      </c>
      <c r="AB1812" s="491" t="str">
        <f t="shared" si="3804"/>
        <v/>
      </c>
    </row>
    <row r="1813" spans="2:28" x14ac:dyDescent="0.25">
      <c r="B1813" s="65">
        <v>42271</v>
      </c>
      <c r="C1813" s="66">
        <v>42271</v>
      </c>
      <c r="D1813" s="68">
        <f t="shared" si="3850"/>
        <v>9</v>
      </c>
      <c r="E1813" s="66" t="str">
        <f t="shared" si="3851"/>
        <v>2015-Sep</v>
      </c>
      <c r="F1813" s="68">
        <f t="shared" si="3852"/>
        <v>9</v>
      </c>
      <c r="G1813" s="559" t="s">
        <v>93</v>
      </c>
      <c r="H1813" s="1" t="s">
        <v>316</v>
      </c>
      <c r="J1813" s="559" t="s">
        <v>77</v>
      </c>
      <c r="K1813" s="559" t="s">
        <v>82</v>
      </c>
      <c r="L1813" s="559" t="s">
        <v>79</v>
      </c>
      <c r="M1813" s="559" t="s">
        <v>2871</v>
      </c>
      <c r="N1813" s="1" t="s">
        <v>124</v>
      </c>
      <c r="O1813" s="1" t="s">
        <v>162</v>
      </c>
      <c r="P1813" s="422" t="s">
        <v>2844</v>
      </c>
      <c r="Q1813" s="2" t="s">
        <v>88</v>
      </c>
      <c r="R1813" s="422" t="s">
        <v>705</v>
      </c>
      <c r="S1813" s="1" t="s">
        <v>2084</v>
      </c>
      <c r="Y1813" s="491" t="str">
        <f t="shared" si="3801"/>
        <v>Obsolete</v>
      </c>
      <c r="Z1813" s="11">
        <f t="shared" si="3802"/>
        <v>42271</v>
      </c>
      <c r="AA1813" s="491" t="str">
        <f t="shared" si="3803"/>
        <v>2015 - 39</v>
      </c>
      <c r="AB1813" s="491">
        <f t="shared" si="3804"/>
        <v>2015</v>
      </c>
    </row>
    <row r="1814" spans="2:28" x14ac:dyDescent="0.25">
      <c r="B1814" s="66">
        <v>42275</v>
      </c>
      <c r="C1814" s="66">
        <v>42275</v>
      </c>
      <c r="D1814" s="68">
        <f t="shared" ref="D1814" si="3853">IF(B1814&gt;0,MONTH(B1814),"False")</f>
        <v>9</v>
      </c>
      <c r="E1814" s="66" t="str">
        <f t="shared" ref="E1814" si="3854">YEAR(B1814) &amp; CHOOSE(D1814,"-Jan","-Feb","-Mar","-Apr","-May","-Jun","-Jul","-Aug","-Sep","-Oct","-Nov","-Dec")</f>
        <v>2015-Sep</v>
      </c>
      <c r="F1814" s="68">
        <f t="shared" ref="F1814" si="3855">IF(C1814&gt;0,MONTH(C1814),"False")</f>
        <v>9</v>
      </c>
      <c r="G1814" s="559" t="s">
        <v>87</v>
      </c>
      <c r="H1814" s="1" t="s">
        <v>2814</v>
      </c>
      <c r="J1814" s="559" t="s">
        <v>78</v>
      </c>
      <c r="K1814" s="559" t="s">
        <v>78</v>
      </c>
      <c r="L1814" s="1" t="s">
        <v>79</v>
      </c>
      <c r="M1814" s="559" t="s">
        <v>2872</v>
      </c>
      <c r="N1814" s="1" t="s">
        <v>124</v>
      </c>
      <c r="O1814" s="1" t="s">
        <v>287</v>
      </c>
      <c r="R1814" s="422" t="s">
        <v>2813</v>
      </c>
      <c r="Y1814" s="491" t="str">
        <f t="shared" si="3801"/>
        <v>Unknown</v>
      </c>
      <c r="Z1814" s="11" t="str">
        <f t="shared" si="3802"/>
        <v/>
      </c>
      <c r="AA1814" s="491" t="str">
        <f t="shared" si="3803"/>
        <v/>
      </c>
      <c r="AB1814" s="491" t="str">
        <f t="shared" si="3804"/>
        <v/>
      </c>
    </row>
    <row r="1815" spans="2:28" x14ac:dyDescent="0.25">
      <c r="B1815" s="66">
        <v>42277</v>
      </c>
      <c r="C1815" s="66">
        <v>42277</v>
      </c>
      <c r="D1815" s="68">
        <f t="shared" ref="D1815" si="3856">IF(B1815&gt;0,MONTH(B1815),"False")</f>
        <v>9</v>
      </c>
      <c r="E1815" s="66" t="str">
        <f t="shared" ref="E1815" si="3857">YEAR(B1815) &amp; CHOOSE(D1815,"-Jan","-Feb","-Mar","-Apr","-May","-Jun","-Jul","-Aug","-Sep","-Oct","-Nov","-Dec")</f>
        <v>2015-Sep</v>
      </c>
      <c r="F1815" s="68">
        <f t="shared" ref="F1815" si="3858">IF(C1815&gt;0,MONTH(C1815),"False")</f>
        <v>9</v>
      </c>
      <c r="G1815" s="560" t="s">
        <v>112</v>
      </c>
      <c r="H1815" s="560" t="s">
        <v>1685</v>
      </c>
      <c r="J1815" s="560" t="s">
        <v>150</v>
      </c>
      <c r="K1815" s="560" t="s">
        <v>84</v>
      </c>
      <c r="L1815" s="1" t="s">
        <v>83</v>
      </c>
      <c r="M1815" s="560" t="s">
        <v>2873</v>
      </c>
      <c r="N1815" s="1" t="s">
        <v>124</v>
      </c>
      <c r="O1815" s="1" t="s">
        <v>148</v>
      </c>
      <c r="R1815" s="422" t="s">
        <v>2874</v>
      </c>
      <c r="S1815" s="1" t="s">
        <v>104</v>
      </c>
      <c r="X1815" s="1" t="s">
        <v>2510</v>
      </c>
      <c r="Y1815" s="491" t="str">
        <f t="shared" si="3801"/>
        <v>Pass</v>
      </c>
      <c r="Z1815" s="11" t="str">
        <f t="shared" si="3802"/>
        <v/>
      </c>
      <c r="AA1815" s="491" t="str">
        <f t="shared" si="3803"/>
        <v/>
      </c>
      <c r="AB1815" s="491" t="str">
        <f t="shared" si="3804"/>
        <v/>
      </c>
    </row>
    <row r="1816" spans="2:28" x14ac:dyDescent="0.25">
      <c r="B1816" s="66">
        <v>42277</v>
      </c>
      <c r="C1816" s="66">
        <v>42277</v>
      </c>
      <c r="D1816" s="68">
        <f t="shared" ref="D1816" si="3859">IF(B1816&gt;0,MONTH(B1816),"False")</f>
        <v>9</v>
      </c>
      <c r="E1816" s="66" t="str">
        <f t="shared" ref="E1816:E1817" si="3860">YEAR(B1816) &amp; CHOOSE(D1816,"-Jan","-Feb","-Mar","-Apr","-May","-Jun","-Jul","-Aug","-Sep","-Oct","-Nov","-Dec")</f>
        <v>2015-Sep</v>
      </c>
      <c r="F1816" s="68">
        <f t="shared" ref="F1816:F1817" si="3861">IF(C1816&gt;0,MONTH(C1816),"False")</f>
        <v>9</v>
      </c>
      <c r="G1816" s="560" t="s">
        <v>112</v>
      </c>
      <c r="H1816" s="560" t="s">
        <v>1685</v>
      </c>
      <c r="J1816" s="560" t="s">
        <v>149</v>
      </c>
      <c r="K1816" s="560" t="s">
        <v>84</v>
      </c>
      <c r="L1816" s="560" t="s">
        <v>83</v>
      </c>
      <c r="M1816" s="560" t="s">
        <v>2875</v>
      </c>
      <c r="N1816" s="560" t="s">
        <v>124</v>
      </c>
      <c r="O1816" s="560" t="s">
        <v>148</v>
      </c>
      <c r="R1816" s="64" t="s">
        <v>2874</v>
      </c>
      <c r="S1816" s="1" t="s">
        <v>104</v>
      </c>
      <c r="X1816" s="1" t="s">
        <v>2510</v>
      </c>
      <c r="Y1816" s="491" t="str">
        <f t="shared" si="3801"/>
        <v>Pass</v>
      </c>
      <c r="Z1816" s="11" t="str">
        <f t="shared" si="3802"/>
        <v/>
      </c>
      <c r="AA1816" s="491" t="str">
        <f t="shared" si="3803"/>
        <v/>
      </c>
      <c r="AB1816" s="491" t="str">
        <f t="shared" si="3804"/>
        <v/>
      </c>
    </row>
    <row r="1817" spans="2:28" x14ac:dyDescent="0.25">
      <c r="B1817" s="65">
        <v>42278</v>
      </c>
      <c r="C1817" s="66">
        <v>42278</v>
      </c>
      <c r="D1817" s="68">
        <f t="shared" ref="D1817" si="3862">IF(B1817&gt;0,MONTH(B1817),"False")</f>
        <v>10</v>
      </c>
      <c r="E1817" s="66" t="str">
        <f t="shared" si="3860"/>
        <v>2015-Oct</v>
      </c>
      <c r="F1817" s="68">
        <f t="shared" si="3861"/>
        <v>10</v>
      </c>
      <c r="G1817" s="561" t="s">
        <v>93</v>
      </c>
      <c r="H1817" s="1" t="s">
        <v>28</v>
      </c>
      <c r="J1817" s="561" t="s">
        <v>81</v>
      </c>
      <c r="K1817" s="561" t="s">
        <v>82</v>
      </c>
      <c r="L1817" s="1" t="s">
        <v>79</v>
      </c>
      <c r="M1817" s="561" t="s">
        <v>2876</v>
      </c>
      <c r="N1817" s="1" t="s">
        <v>124</v>
      </c>
      <c r="O1817" s="1" t="s">
        <v>147</v>
      </c>
      <c r="P1817" s="422" t="s">
        <v>1823</v>
      </c>
      <c r="Q1817" s="2" t="s">
        <v>88</v>
      </c>
      <c r="R1817" s="422" t="s">
        <v>1824</v>
      </c>
      <c r="Y1817" s="491" t="str">
        <f t="shared" si="3801"/>
        <v>Obsolete</v>
      </c>
      <c r="Z1817" s="11">
        <f t="shared" si="3802"/>
        <v>42278</v>
      </c>
      <c r="AA1817" s="491" t="str">
        <f t="shared" si="3803"/>
        <v>2015 - 40</v>
      </c>
      <c r="AB1817" s="491">
        <f t="shared" si="3804"/>
        <v>2015</v>
      </c>
    </row>
    <row r="1818" spans="2:28" x14ac:dyDescent="0.25">
      <c r="B1818" s="66">
        <v>42278</v>
      </c>
      <c r="C1818" s="66">
        <v>42278</v>
      </c>
      <c r="D1818" s="68">
        <f t="shared" ref="D1818" si="3863">IF(B1818&gt;0,MONTH(B1818),"False")</f>
        <v>10</v>
      </c>
      <c r="E1818" s="66" t="str">
        <f t="shared" ref="E1818" si="3864">YEAR(B1818) &amp; CHOOSE(D1818,"-Jan","-Feb","-Mar","-Apr","-May","-Jun","-Jul","-Aug","-Sep","-Oct","-Nov","-Dec")</f>
        <v>2015-Oct</v>
      </c>
      <c r="F1818" s="68">
        <f t="shared" ref="F1818" si="3865">IF(C1818&gt;0,MONTH(C1818),"False")</f>
        <v>10</v>
      </c>
      <c r="G1818" s="1" t="s">
        <v>112</v>
      </c>
      <c r="H1818" s="1" t="s">
        <v>115</v>
      </c>
      <c r="J1818" s="561" t="s">
        <v>78</v>
      </c>
      <c r="K1818" s="561" t="s">
        <v>78</v>
      </c>
      <c r="L1818" s="1" t="s">
        <v>79</v>
      </c>
      <c r="M1818" s="561" t="s">
        <v>2877</v>
      </c>
      <c r="N1818" s="1" t="s">
        <v>124</v>
      </c>
      <c r="O1818" s="1" t="s">
        <v>97</v>
      </c>
      <c r="R1818" s="422" t="s">
        <v>2788</v>
      </c>
      <c r="S1818" s="1" t="s">
        <v>104</v>
      </c>
      <c r="X1818" s="1" t="s">
        <v>2615</v>
      </c>
      <c r="Y1818" s="491" t="str">
        <f t="shared" si="3801"/>
        <v>Pass</v>
      </c>
      <c r="Z1818" s="11" t="str">
        <f t="shared" si="3802"/>
        <v/>
      </c>
      <c r="AA1818" s="491" t="str">
        <f t="shared" si="3803"/>
        <v/>
      </c>
      <c r="AB1818" s="491" t="str">
        <f t="shared" si="3804"/>
        <v/>
      </c>
    </row>
    <row r="1819" spans="2:28" x14ac:dyDescent="0.25">
      <c r="B1819" s="66">
        <v>42284</v>
      </c>
      <c r="C1819" s="66">
        <v>42284</v>
      </c>
      <c r="D1819" s="68">
        <f t="shared" ref="D1819:D1820" si="3866">IF(B1819&gt;0,MONTH(B1819),"False")</f>
        <v>10</v>
      </c>
      <c r="E1819" s="66" t="str">
        <f t="shared" ref="E1819:E1820" si="3867">YEAR(B1819) &amp; CHOOSE(D1819,"-Jan","-Feb","-Mar","-Apr","-May","-Jun","-Jul","-Aug","-Sep","-Oct","-Nov","-Dec")</f>
        <v>2015-Oct</v>
      </c>
      <c r="F1819" s="68">
        <f t="shared" ref="F1819:F1820" si="3868">IF(C1819&gt;0,MONTH(C1819),"False")</f>
        <v>10</v>
      </c>
      <c r="G1819" s="561" t="s">
        <v>87</v>
      </c>
      <c r="H1819" s="1" t="s">
        <v>103</v>
      </c>
      <c r="J1819" s="561" t="s">
        <v>78</v>
      </c>
      <c r="K1819" s="561" t="s">
        <v>78</v>
      </c>
      <c r="L1819" s="1" t="s">
        <v>79</v>
      </c>
      <c r="M1819" s="561" t="s">
        <v>2878</v>
      </c>
      <c r="N1819" s="1" t="s">
        <v>124</v>
      </c>
      <c r="O1819" s="1" t="s">
        <v>332</v>
      </c>
      <c r="R1819" s="422" t="s">
        <v>475</v>
      </c>
      <c r="Y1819" s="491" t="str">
        <f t="shared" si="3801"/>
        <v>Unknown</v>
      </c>
      <c r="Z1819" s="11" t="str">
        <f t="shared" si="3802"/>
        <v/>
      </c>
      <c r="AA1819" s="491" t="str">
        <f t="shared" si="3803"/>
        <v/>
      </c>
      <c r="AB1819" s="491" t="str">
        <f t="shared" si="3804"/>
        <v/>
      </c>
    </row>
    <row r="1820" spans="2:28" x14ac:dyDescent="0.25">
      <c r="B1820" s="65">
        <v>42285</v>
      </c>
      <c r="C1820" s="66">
        <v>42285</v>
      </c>
      <c r="D1820" s="68">
        <f t="shared" si="3866"/>
        <v>10</v>
      </c>
      <c r="E1820" s="66" t="str">
        <f t="shared" si="3867"/>
        <v>2015-Oct</v>
      </c>
      <c r="F1820" s="68">
        <f t="shared" si="3868"/>
        <v>10</v>
      </c>
      <c r="G1820" s="562" t="s">
        <v>93</v>
      </c>
      <c r="H1820" s="562" t="s">
        <v>280</v>
      </c>
      <c r="J1820" s="562" t="s">
        <v>81</v>
      </c>
      <c r="K1820" s="562" t="s">
        <v>82</v>
      </c>
      <c r="L1820" s="562" t="s">
        <v>79</v>
      </c>
      <c r="M1820" s="562" t="s">
        <v>2879</v>
      </c>
      <c r="N1820" s="1" t="s">
        <v>124</v>
      </c>
      <c r="O1820" s="1" t="s">
        <v>286</v>
      </c>
      <c r="P1820" s="422" t="s">
        <v>305</v>
      </c>
      <c r="R1820" s="422" t="s">
        <v>2808</v>
      </c>
      <c r="Y1820" s="491" t="str">
        <f t="shared" si="3801"/>
        <v>Unknown</v>
      </c>
      <c r="Z1820" s="11" t="str">
        <f t="shared" si="3802"/>
        <v/>
      </c>
      <c r="AA1820" s="491" t="str">
        <f t="shared" si="3803"/>
        <v/>
      </c>
      <c r="AB1820" s="491" t="str">
        <f t="shared" si="3804"/>
        <v/>
      </c>
    </row>
    <row r="1821" spans="2:28" x14ac:dyDescent="0.25">
      <c r="B1821" s="65">
        <v>42285</v>
      </c>
      <c r="C1821" s="66">
        <v>42285</v>
      </c>
      <c r="D1821" s="68">
        <f t="shared" ref="D1821" si="3869">IF(B1821&gt;0,MONTH(B1821),"False")</f>
        <v>10</v>
      </c>
      <c r="E1821" s="66" t="str">
        <f t="shared" ref="E1821" si="3870">YEAR(B1821) &amp; CHOOSE(D1821,"-Jan","-Feb","-Mar","-Apr","-May","-Jun","-Jul","-Aug","-Sep","-Oct","-Nov","-Dec")</f>
        <v>2015-Oct</v>
      </c>
      <c r="F1821" s="68">
        <f t="shared" ref="F1821" si="3871">IF(C1821&gt;0,MONTH(C1821),"False")</f>
        <v>10</v>
      </c>
      <c r="G1821" s="562" t="s">
        <v>93</v>
      </c>
      <c r="H1821" s="562" t="s">
        <v>280</v>
      </c>
      <c r="I1821" s="562"/>
      <c r="J1821" s="562" t="s">
        <v>81</v>
      </c>
      <c r="K1821" s="562" t="s">
        <v>82</v>
      </c>
      <c r="L1821" s="562" t="s">
        <v>79</v>
      </c>
      <c r="M1821" s="562" t="s">
        <v>2880</v>
      </c>
      <c r="N1821" s="1" t="s">
        <v>124</v>
      </c>
      <c r="O1821" s="562" t="s">
        <v>286</v>
      </c>
      <c r="P1821" s="422" t="s">
        <v>305</v>
      </c>
      <c r="R1821" s="422" t="s">
        <v>2808</v>
      </c>
      <c r="T1821" s="67" t="s">
        <v>110</v>
      </c>
      <c r="Y1821" s="491" t="str">
        <f t="shared" si="3801"/>
        <v>Unknown</v>
      </c>
      <c r="Z1821" s="11" t="str">
        <f t="shared" si="3802"/>
        <v/>
      </c>
      <c r="AA1821" s="491" t="str">
        <f t="shared" si="3803"/>
        <v/>
      </c>
      <c r="AB1821" s="491" t="str">
        <f t="shared" si="3804"/>
        <v/>
      </c>
    </row>
    <row r="1822" spans="2:28" x14ac:dyDescent="0.25">
      <c r="B1822" s="65">
        <v>42286</v>
      </c>
      <c r="C1822" s="66">
        <v>42286</v>
      </c>
      <c r="D1822" s="68">
        <f t="shared" ref="D1822:D1823" si="3872">IF(B1822&gt;0,MONTH(B1822),"False")</f>
        <v>10</v>
      </c>
      <c r="E1822" s="66" t="str">
        <f t="shared" ref="E1822:E1823" si="3873">YEAR(B1822) &amp; CHOOSE(D1822,"-Jan","-Feb","-Mar","-Apr","-May","-Jun","-Jul","-Aug","-Sep","-Oct","-Nov","-Dec")</f>
        <v>2015-Oct</v>
      </c>
      <c r="F1822" s="68">
        <f t="shared" ref="F1822:F1823" si="3874">IF(C1822&gt;0,MONTH(C1822),"False")</f>
        <v>10</v>
      </c>
      <c r="G1822" s="562" t="s">
        <v>93</v>
      </c>
      <c r="H1822" s="562" t="s">
        <v>280</v>
      </c>
      <c r="J1822" s="1" t="s">
        <v>146</v>
      </c>
      <c r="K1822" s="562" t="s">
        <v>82</v>
      </c>
      <c r="L1822" s="562" t="s">
        <v>79</v>
      </c>
      <c r="M1822" s="562" t="s">
        <v>2881</v>
      </c>
      <c r="N1822" s="1" t="s">
        <v>124</v>
      </c>
      <c r="O1822" s="1" t="s">
        <v>2598</v>
      </c>
      <c r="P1822" s="422" t="s">
        <v>305</v>
      </c>
      <c r="R1822" s="422" t="s">
        <v>2808</v>
      </c>
      <c r="Y1822" s="491" t="str">
        <f t="shared" si="3801"/>
        <v>Unknown</v>
      </c>
      <c r="Z1822" s="11" t="str">
        <f t="shared" si="3802"/>
        <v/>
      </c>
      <c r="AA1822" s="491" t="str">
        <f t="shared" si="3803"/>
        <v/>
      </c>
      <c r="AB1822" s="491" t="str">
        <f t="shared" si="3804"/>
        <v/>
      </c>
    </row>
    <row r="1823" spans="2:28" x14ac:dyDescent="0.25">
      <c r="B1823" s="66">
        <v>42286</v>
      </c>
      <c r="C1823" s="66">
        <v>42286</v>
      </c>
      <c r="D1823" s="68">
        <f t="shared" si="3872"/>
        <v>10</v>
      </c>
      <c r="E1823" s="66" t="str">
        <f t="shared" si="3873"/>
        <v>2015-Oct</v>
      </c>
      <c r="F1823" s="68">
        <f t="shared" si="3874"/>
        <v>10</v>
      </c>
      <c r="G1823" s="563" t="s">
        <v>87</v>
      </c>
      <c r="H1823" s="563" t="s">
        <v>166</v>
      </c>
      <c r="J1823" s="563" t="s">
        <v>150</v>
      </c>
      <c r="K1823" s="563" t="s">
        <v>84</v>
      </c>
      <c r="L1823" s="1" t="s">
        <v>83</v>
      </c>
      <c r="M1823" s="563" t="s">
        <v>2882</v>
      </c>
      <c r="N1823" s="1" t="s">
        <v>124</v>
      </c>
      <c r="O1823" s="1" t="s">
        <v>264</v>
      </c>
      <c r="R1823" s="422" t="s">
        <v>2811</v>
      </c>
      <c r="Y1823" s="491" t="str">
        <f t="shared" si="3801"/>
        <v>Unknown</v>
      </c>
      <c r="Z1823" s="11" t="str">
        <f t="shared" si="3802"/>
        <v/>
      </c>
      <c r="AA1823" s="491" t="str">
        <f t="shared" si="3803"/>
        <v/>
      </c>
      <c r="AB1823" s="491" t="str">
        <f t="shared" si="3804"/>
        <v/>
      </c>
    </row>
    <row r="1824" spans="2:28" x14ac:dyDescent="0.25">
      <c r="B1824" s="66">
        <v>42286</v>
      </c>
      <c r="C1824" s="66">
        <v>42286</v>
      </c>
      <c r="D1824" s="68">
        <f t="shared" ref="D1824" si="3875">IF(B1824&gt;0,MONTH(B1824),"False")</f>
        <v>10</v>
      </c>
      <c r="E1824" s="66" t="str">
        <f t="shared" ref="E1824" si="3876">YEAR(B1824) &amp; CHOOSE(D1824,"-Jan","-Feb","-Mar","-Apr","-May","-Jun","-Jul","-Aug","-Sep","-Oct","-Nov","-Dec")</f>
        <v>2015-Oct</v>
      </c>
      <c r="F1824" s="68">
        <f t="shared" ref="F1824" si="3877">IF(C1824&gt;0,MONTH(C1824),"False")</f>
        <v>10</v>
      </c>
      <c r="G1824" s="563" t="s">
        <v>112</v>
      </c>
      <c r="H1824" s="563" t="s">
        <v>166</v>
      </c>
      <c r="J1824" s="563" t="s">
        <v>120</v>
      </c>
      <c r="K1824" s="563" t="s">
        <v>82</v>
      </c>
      <c r="L1824" s="1" t="s">
        <v>79</v>
      </c>
      <c r="M1824" s="563" t="s">
        <v>2883</v>
      </c>
      <c r="N1824" s="1" t="s">
        <v>124</v>
      </c>
      <c r="O1824" s="1" t="s">
        <v>343</v>
      </c>
      <c r="R1824" s="422" t="s">
        <v>2847</v>
      </c>
      <c r="S1824" s="1" t="s">
        <v>104</v>
      </c>
      <c r="X1824" s="1" t="s">
        <v>2615</v>
      </c>
      <c r="Y1824" s="491" t="str">
        <f t="shared" si="3801"/>
        <v>Pass</v>
      </c>
      <c r="Z1824" s="11" t="str">
        <f t="shared" si="3802"/>
        <v/>
      </c>
      <c r="AA1824" s="491" t="str">
        <f t="shared" si="3803"/>
        <v/>
      </c>
      <c r="AB1824" s="491" t="str">
        <f t="shared" si="3804"/>
        <v/>
      </c>
    </row>
    <row r="1825" spans="2:28" x14ac:dyDescent="0.25">
      <c r="B1825" s="66">
        <v>42289</v>
      </c>
      <c r="C1825" s="66">
        <v>42289</v>
      </c>
      <c r="D1825" s="68">
        <f t="shared" ref="D1825" si="3878">IF(B1825&gt;0,MONTH(B1825),"False")</f>
        <v>10</v>
      </c>
      <c r="E1825" s="66" t="str">
        <f t="shared" ref="E1825" si="3879">YEAR(B1825) &amp; CHOOSE(D1825,"-Jan","-Feb","-Mar","-Apr","-May","-Jun","-Jul","-Aug","-Sep","-Oct","-Nov","-Dec")</f>
        <v>2015-Oct</v>
      </c>
      <c r="F1825" s="68">
        <f t="shared" ref="F1825" si="3880">IF(C1825&gt;0,MONTH(C1825),"False")</f>
        <v>10</v>
      </c>
      <c r="G1825" s="563" t="s">
        <v>93</v>
      </c>
      <c r="H1825" s="1" t="s">
        <v>1745</v>
      </c>
      <c r="J1825" s="563" t="s">
        <v>81</v>
      </c>
      <c r="K1825" s="563" t="s">
        <v>82</v>
      </c>
      <c r="L1825" s="563" t="s">
        <v>79</v>
      </c>
      <c r="M1825" s="563" t="s">
        <v>2884</v>
      </c>
      <c r="N1825" s="1" t="s">
        <v>124</v>
      </c>
      <c r="O1825" s="1" t="s">
        <v>147</v>
      </c>
      <c r="P1825" s="422" t="s">
        <v>1823</v>
      </c>
      <c r="Q1825" s="2" t="s">
        <v>88</v>
      </c>
      <c r="R1825" s="422" t="s">
        <v>1824</v>
      </c>
      <c r="Y1825" s="491" t="str">
        <f t="shared" si="3801"/>
        <v>Obsolete</v>
      </c>
      <c r="Z1825" s="11">
        <f t="shared" si="3802"/>
        <v>42289</v>
      </c>
      <c r="AA1825" s="491" t="str">
        <f t="shared" si="3803"/>
        <v>2015 - 42</v>
      </c>
      <c r="AB1825" s="491">
        <f t="shared" si="3804"/>
        <v>2015</v>
      </c>
    </row>
    <row r="1826" spans="2:28" x14ac:dyDescent="0.25">
      <c r="B1826" s="66">
        <v>42289</v>
      </c>
      <c r="C1826" s="66">
        <v>42289</v>
      </c>
      <c r="D1826" s="68">
        <f t="shared" ref="D1826:D1827" si="3881">IF(B1826&gt;0,MONTH(B1826),"False")</f>
        <v>10</v>
      </c>
      <c r="E1826" s="66" t="str">
        <f t="shared" ref="E1826:E1827" si="3882">YEAR(B1826) &amp; CHOOSE(D1826,"-Jan","-Feb","-Mar","-Apr","-May","-Jun","-Jul","-Aug","-Sep","-Oct","-Nov","-Dec")</f>
        <v>2015-Oct</v>
      </c>
      <c r="F1826" s="68">
        <f t="shared" ref="F1826:F1827" si="3883">IF(C1826&gt;0,MONTH(C1826),"False")</f>
        <v>10</v>
      </c>
      <c r="G1826" s="563" t="s">
        <v>87</v>
      </c>
      <c r="H1826" s="1" t="s">
        <v>103</v>
      </c>
      <c r="J1826" s="563" t="s">
        <v>78</v>
      </c>
      <c r="K1826" s="563" t="s">
        <v>78</v>
      </c>
      <c r="L1826" s="1" t="s">
        <v>79</v>
      </c>
      <c r="M1826" s="563" t="s">
        <v>2885</v>
      </c>
      <c r="N1826" s="1" t="s">
        <v>124</v>
      </c>
      <c r="O1826" s="1" t="s">
        <v>332</v>
      </c>
      <c r="R1826" s="422" t="s">
        <v>475</v>
      </c>
      <c r="Y1826" s="491" t="str">
        <f t="shared" si="3801"/>
        <v>Unknown</v>
      </c>
      <c r="Z1826" s="11" t="str">
        <f t="shared" si="3802"/>
        <v/>
      </c>
      <c r="AA1826" s="491" t="str">
        <f t="shared" si="3803"/>
        <v/>
      </c>
      <c r="AB1826" s="491" t="str">
        <f t="shared" si="3804"/>
        <v/>
      </c>
    </row>
    <row r="1827" spans="2:28" x14ac:dyDescent="0.25">
      <c r="B1827" s="65">
        <v>42291</v>
      </c>
      <c r="C1827" s="66">
        <v>42291</v>
      </c>
      <c r="D1827" s="68">
        <f t="shared" si="3881"/>
        <v>10</v>
      </c>
      <c r="E1827" s="66" t="str">
        <f t="shared" si="3882"/>
        <v>2015-Oct</v>
      </c>
      <c r="F1827" s="68">
        <f t="shared" si="3883"/>
        <v>10</v>
      </c>
      <c r="G1827" s="564" t="s">
        <v>93</v>
      </c>
      <c r="H1827" s="1" t="s">
        <v>103</v>
      </c>
      <c r="J1827" s="564" t="s">
        <v>77</v>
      </c>
      <c r="K1827" s="564" t="s">
        <v>82</v>
      </c>
      <c r="L1827" s="564" t="s">
        <v>79</v>
      </c>
      <c r="M1827" s="564" t="s">
        <v>2886</v>
      </c>
      <c r="N1827" s="1" t="s">
        <v>124</v>
      </c>
      <c r="O1827" s="1" t="s">
        <v>507</v>
      </c>
      <c r="P1827" s="422" t="s">
        <v>351</v>
      </c>
      <c r="R1827" s="422" t="s">
        <v>361</v>
      </c>
      <c r="Y1827" s="491" t="str">
        <f t="shared" si="3801"/>
        <v>Unknown</v>
      </c>
      <c r="Z1827" s="11" t="str">
        <f t="shared" si="3802"/>
        <v/>
      </c>
      <c r="AA1827" s="491" t="str">
        <f t="shared" si="3803"/>
        <v/>
      </c>
      <c r="AB1827" s="491" t="str">
        <f t="shared" si="3804"/>
        <v/>
      </c>
    </row>
    <row r="1828" spans="2:28" x14ac:dyDescent="0.25">
      <c r="B1828" s="65">
        <v>42292</v>
      </c>
      <c r="C1828" s="66">
        <v>42292</v>
      </c>
      <c r="D1828" s="68">
        <f t="shared" ref="D1828:D1829" si="3884">IF(B1828&gt;0,MONTH(B1828),"False")</f>
        <v>10</v>
      </c>
      <c r="E1828" s="66" t="str">
        <f t="shared" ref="E1828:E1829" si="3885">YEAR(B1828) &amp; CHOOSE(D1828,"-Jan","-Feb","-Mar","-Apr","-May","-Jun","-Jul","-Aug","-Sep","-Oct","-Nov","-Dec")</f>
        <v>2015-Oct</v>
      </c>
      <c r="F1828" s="68">
        <f t="shared" ref="F1828:F1829" si="3886">IF(C1828&gt;0,MONTH(C1828),"False")</f>
        <v>10</v>
      </c>
      <c r="G1828" s="564" t="s">
        <v>121</v>
      </c>
      <c r="H1828" s="564" t="s">
        <v>1745</v>
      </c>
      <c r="I1828" s="563"/>
      <c r="J1828" s="564" t="s">
        <v>81</v>
      </c>
      <c r="K1828" s="564" t="s">
        <v>82</v>
      </c>
      <c r="L1828" s="564" t="s">
        <v>79</v>
      </c>
      <c r="M1828" s="564" t="s">
        <v>2887</v>
      </c>
      <c r="N1828" s="1" t="s">
        <v>124</v>
      </c>
      <c r="O1828" s="1" t="s">
        <v>147</v>
      </c>
      <c r="P1828" s="422" t="s">
        <v>1823</v>
      </c>
      <c r="R1828" s="422" t="s">
        <v>1824</v>
      </c>
      <c r="S1828" s="1" t="s">
        <v>104</v>
      </c>
      <c r="T1828" s="67" t="s">
        <v>110</v>
      </c>
      <c r="X1828" s="1" t="s">
        <v>2841</v>
      </c>
      <c r="Y1828" s="491" t="str">
        <f t="shared" si="3801"/>
        <v>Pass</v>
      </c>
      <c r="Z1828" s="11" t="str">
        <f t="shared" si="3802"/>
        <v/>
      </c>
      <c r="AA1828" s="491" t="str">
        <f t="shared" si="3803"/>
        <v/>
      </c>
      <c r="AB1828" s="491" t="str">
        <f t="shared" si="3804"/>
        <v/>
      </c>
    </row>
    <row r="1829" spans="2:28" x14ac:dyDescent="0.25">
      <c r="B1829" s="66">
        <v>42292</v>
      </c>
      <c r="C1829" s="66">
        <v>42292</v>
      </c>
      <c r="D1829" s="68">
        <f t="shared" si="3884"/>
        <v>10</v>
      </c>
      <c r="E1829" s="66" t="str">
        <f t="shared" si="3885"/>
        <v>2015-Oct</v>
      </c>
      <c r="F1829" s="68">
        <f t="shared" si="3886"/>
        <v>10</v>
      </c>
      <c r="G1829" s="564" t="s">
        <v>112</v>
      </c>
      <c r="H1829" s="1" t="s">
        <v>115</v>
      </c>
      <c r="J1829" s="564" t="s">
        <v>78</v>
      </c>
      <c r="K1829" s="564" t="s">
        <v>78</v>
      </c>
      <c r="L1829" s="564" t="s">
        <v>79</v>
      </c>
      <c r="M1829" s="564" t="s">
        <v>2888</v>
      </c>
      <c r="N1829" s="1" t="s">
        <v>124</v>
      </c>
      <c r="O1829" s="1" t="s">
        <v>332</v>
      </c>
      <c r="R1829" s="422" t="s">
        <v>2788</v>
      </c>
      <c r="S1829" s="1" t="s">
        <v>104</v>
      </c>
      <c r="X1829" s="1" t="s">
        <v>2527</v>
      </c>
      <c r="Y1829" s="491" t="str">
        <f t="shared" si="3801"/>
        <v>Pass</v>
      </c>
      <c r="Z1829" s="11" t="str">
        <f t="shared" si="3802"/>
        <v/>
      </c>
      <c r="AA1829" s="491" t="str">
        <f t="shared" si="3803"/>
        <v/>
      </c>
      <c r="AB1829" s="491" t="str">
        <f t="shared" si="3804"/>
        <v/>
      </c>
    </row>
    <row r="1830" spans="2:28" x14ac:dyDescent="0.25">
      <c r="B1830" s="65">
        <v>42292</v>
      </c>
      <c r="C1830" s="66">
        <v>42292</v>
      </c>
      <c r="D1830" s="68">
        <f t="shared" ref="D1830:D1831" si="3887">IF(B1830&gt;0,MONTH(B1830),"False")</f>
        <v>10</v>
      </c>
      <c r="E1830" s="66" t="str">
        <f t="shared" ref="E1830:E1831" si="3888">YEAR(B1830) &amp; CHOOSE(D1830,"-Jan","-Feb","-Mar","-Apr","-May","-Jun","-Jul","-Aug","-Sep","-Oct","-Nov","-Dec")</f>
        <v>2015-Oct</v>
      </c>
      <c r="F1830" s="68">
        <f t="shared" ref="F1830:F1831" si="3889">IF(C1830&gt;0,MONTH(C1830),"False")</f>
        <v>10</v>
      </c>
      <c r="G1830" s="564" t="s">
        <v>93</v>
      </c>
      <c r="H1830" s="1" t="s">
        <v>280</v>
      </c>
      <c r="J1830" s="564" t="s">
        <v>146</v>
      </c>
      <c r="K1830" s="564" t="s">
        <v>82</v>
      </c>
      <c r="L1830" s="564" t="s">
        <v>79</v>
      </c>
      <c r="M1830" s="564" t="s">
        <v>2889</v>
      </c>
      <c r="N1830" s="1" t="s">
        <v>124</v>
      </c>
      <c r="O1830" s="1" t="s">
        <v>2598</v>
      </c>
      <c r="P1830" s="422" t="s">
        <v>305</v>
      </c>
      <c r="R1830" s="422" t="s">
        <v>2808</v>
      </c>
      <c r="Y1830" s="491" t="str">
        <f t="shared" si="3801"/>
        <v>Unknown</v>
      </c>
      <c r="Z1830" s="11" t="str">
        <f t="shared" si="3802"/>
        <v/>
      </c>
      <c r="AA1830" s="491" t="str">
        <f t="shared" si="3803"/>
        <v/>
      </c>
      <c r="AB1830" s="491" t="str">
        <f t="shared" si="3804"/>
        <v/>
      </c>
    </row>
    <row r="1831" spans="2:28" x14ac:dyDescent="0.25">
      <c r="B1831" s="66">
        <v>42293</v>
      </c>
      <c r="C1831" s="66">
        <v>42293</v>
      </c>
      <c r="D1831" s="68">
        <f t="shared" si="3887"/>
        <v>10</v>
      </c>
      <c r="E1831" s="66" t="str">
        <f t="shared" si="3888"/>
        <v>2015-Oct</v>
      </c>
      <c r="F1831" s="68">
        <f t="shared" si="3889"/>
        <v>10</v>
      </c>
      <c r="G1831" s="564" t="s">
        <v>87</v>
      </c>
      <c r="H1831" s="564" t="s">
        <v>1745</v>
      </c>
      <c r="J1831" s="564" t="s">
        <v>81</v>
      </c>
      <c r="K1831" s="564" t="s">
        <v>82</v>
      </c>
      <c r="L1831" s="564" t="s">
        <v>79</v>
      </c>
      <c r="M1831" s="564" t="s">
        <v>2485</v>
      </c>
      <c r="N1831" s="1" t="s">
        <v>124</v>
      </c>
      <c r="O1831" s="1" t="s">
        <v>2072</v>
      </c>
      <c r="R1831" s="422" t="s">
        <v>1824</v>
      </c>
      <c r="Y1831" s="491" t="str">
        <f t="shared" si="3801"/>
        <v>Unknown</v>
      </c>
      <c r="Z1831" s="11" t="str">
        <f t="shared" si="3802"/>
        <v/>
      </c>
      <c r="AA1831" s="491" t="str">
        <f t="shared" si="3803"/>
        <v/>
      </c>
      <c r="AB1831" s="491" t="str">
        <f t="shared" si="3804"/>
        <v/>
      </c>
    </row>
    <row r="1832" spans="2:28" x14ac:dyDescent="0.25">
      <c r="B1832" s="66">
        <v>42293</v>
      </c>
      <c r="C1832" s="66">
        <v>42293</v>
      </c>
      <c r="D1832" s="68">
        <f t="shared" ref="D1832" si="3890">IF(B1832&gt;0,MONTH(B1832),"False")</f>
        <v>10</v>
      </c>
      <c r="E1832" s="66" t="str">
        <f t="shared" ref="E1832" si="3891">YEAR(B1832) &amp; CHOOSE(D1832,"-Jan","-Feb","-Mar","-Apr","-May","-Jun","-Jul","-Aug","-Sep","-Oct","-Nov","-Dec")</f>
        <v>2015-Oct</v>
      </c>
      <c r="F1832" s="68">
        <f t="shared" ref="F1832" si="3892">IF(C1832&gt;0,MONTH(C1832),"False")</f>
        <v>10</v>
      </c>
      <c r="G1832" s="564" t="s">
        <v>87</v>
      </c>
      <c r="H1832" s="1" t="s">
        <v>28</v>
      </c>
      <c r="J1832" s="564" t="s">
        <v>78</v>
      </c>
      <c r="K1832" s="564" t="s">
        <v>78</v>
      </c>
      <c r="L1832" s="564" t="s">
        <v>79</v>
      </c>
      <c r="M1832" s="564" t="s">
        <v>2891</v>
      </c>
      <c r="N1832" s="1" t="s">
        <v>124</v>
      </c>
      <c r="O1832" s="1" t="s">
        <v>168</v>
      </c>
      <c r="R1832" s="422" t="s">
        <v>308</v>
      </c>
      <c r="T1832" s="9" t="s">
        <v>110</v>
      </c>
      <c r="Y1832" s="491" t="str">
        <f t="shared" si="3801"/>
        <v>Unknown</v>
      </c>
      <c r="Z1832" s="11" t="str">
        <f t="shared" si="3802"/>
        <v/>
      </c>
      <c r="AA1832" s="491" t="str">
        <f t="shared" si="3803"/>
        <v/>
      </c>
      <c r="AB1832" s="491" t="str">
        <f t="shared" si="3804"/>
        <v/>
      </c>
    </row>
    <row r="1833" spans="2:28" x14ac:dyDescent="0.25">
      <c r="B1833" s="66">
        <v>42293</v>
      </c>
      <c r="C1833" s="66">
        <v>42293</v>
      </c>
      <c r="D1833" s="68">
        <f t="shared" ref="D1833" si="3893">IF(B1833&gt;0,MONTH(B1833),"False")</f>
        <v>10</v>
      </c>
      <c r="E1833" s="66" t="str">
        <f t="shared" ref="E1833" si="3894">YEAR(B1833) &amp; CHOOSE(D1833,"-Jan","-Feb","-Mar","-Apr","-May","-Jun","-Jul","-Aug","-Sep","-Oct","-Nov","-Dec")</f>
        <v>2015-Oct</v>
      </c>
      <c r="F1833" s="68">
        <f t="shared" ref="F1833" si="3895">IF(C1833&gt;0,MONTH(C1833),"False")</f>
        <v>10</v>
      </c>
      <c r="G1833" s="564" t="s">
        <v>112</v>
      </c>
      <c r="H1833" s="564" t="s">
        <v>166</v>
      </c>
      <c r="J1833" s="564" t="s">
        <v>77</v>
      </c>
      <c r="K1833" s="564" t="s">
        <v>82</v>
      </c>
      <c r="L1833" s="564" t="s">
        <v>79</v>
      </c>
      <c r="M1833" s="564" t="s">
        <v>2892</v>
      </c>
      <c r="N1833" s="1" t="s">
        <v>124</v>
      </c>
      <c r="O1833" s="1" t="s">
        <v>343</v>
      </c>
      <c r="R1833" s="422" t="s">
        <v>2849</v>
      </c>
      <c r="S1833" s="1" t="s">
        <v>104</v>
      </c>
      <c r="X1833" s="1" t="s">
        <v>2897</v>
      </c>
      <c r="Y1833" s="491" t="str">
        <f t="shared" si="3801"/>
        <v>Pass</v>
      </c>
      <c r="Z1833" s="11" t="str">
        <f t="shared" si="3802"/>
        <v/>
      </c>
      <c r="AA1833" s="491" t="str">
        <f t="shared" si="3803"/>
        <v/>
      </c>
      <c r="AB1833" s="491" t="str">
        <f t="shared" si="3804"/>
        <v/>
      </c>
    </row>
    <row r="1834" spans="2:28" x14ac:dyDescent="0.25">
      <c r="B1834" s="66">
        <v>42293</v>
      </c>
      <c r="C1834" s="66">
        <v>42293</v>
      </c>
      <c r="D1834" s="68">
        <f t="shared" ref="D1834" si="3896">IF(B1834&gt;0,MONTH(B1834),"False")</f>
        <v>10</v>
      </c>
      <c r="E1834" s="66" t="str">
        <f t="shared" ref="E1834" si="3897">YEAR(B1834) &amp; CHOOSE(D1834,"-Jan","-Feb","-Mar","-Apr","-May","-Jun","-Jul","-Aug","-Sep","-Oct","-Nov","-Dec")</f>
        <v>2015-Oct</v>
      </c>
      <c r="F1834" s="68">
        <f t="shared" ref="F1834" si="3898">IF(C1834&gt;0,MONTH(C1834),"False")</f>
        <v>10</v>
      </c>
      <c r="G1834" s="564" t="s">
        <v>87</v>
      </c>
      <c r="H1834" s="564" t="s">
        <v>166</v>
      </c>
      <c r="J1834" s="564" t="s">
        <v>292</v>
      </c>
      <c r="K1834" s="564" t="s">
        <v>292</v>
      </c>
      <c r="L1834" s="564" t="s">
        <v>83</v>
      </c>
      <c r="M1834" s="564" t="s">
        <v>2893</v>
      </c>
      <c r="N1834" s="1" t="s">
        <v>124</v>
      </c>
      <c r="O1834" s="1" t="s">
        <v>156</v>
      </c>
      <c r="R1834" s="422" t="s">
        <v>2859</v>
      </c>
      <c r="Y1834" s="491" t="str">
        <f t="shared" si="3801"/>
        <v>Unknown</v>
      </c>
      <c r="Z1834" s="11" t="str">
        <f t="shared" si="3802"/>
        <v/>
      </c>
      <c r="AA1834" s="491" t="str">
        <f t="shared" si="3803"/>
        <v/>
      </c>
      <c r="AB1834" s="491" t="str">
        <f t="shared" si="3804"/>
        <v/>
      </c>
    </row>
    <row r="1835" spans="2:28" x14ac:dyDescent="0.25">
      <c r="B1835" s="66">
        <v>42296</v>
      </c>
      <c r="C1835" s="66">
        <v>42296</v>
      </c>
      <c r="D1835" s="68">
        <f t="shared" ref="D1835" si="3899">IF(B1835&gt;0,MONTH(B1835),"False")</f>
        <v>10</v>
      </c>
      <c r="E1835" s="66" t="str">
        <f t="shared" ref="E1835" si="3900">YEAR(B1835) &amp; CHOOSE(D1835,"-Jan","-Feb","-Mar","-Apr","-May","-Jun","-Jul","-Aug","-Sep","-Oct","-Nov","-Dec")</f>
        <v>2015-Oct</v>
      </c>
      <c r="F1835" s="68">
        <f t="shared" ref="F1835" si="3901">IF(C1835&gt;0,MONTH(C1835),"False")</f>
        <v>10</v>
      </c>
      <c r="G1835" s="564" t="s">
        <v>87</v>
      </c>
      <c r="H1835" s="1" t="s">
        <v>103</v>
      </c>
      <c r="J1835" s="564" t="s">
        <v>78</v>
      </c>
      <c r="K1835" s="564" t="s">
        <v>78</v>
      </c>
      <c r="L1835" s="564" t="s">
        <v>79</v>
      </c>
      <c r="M1835" s="564" t="s">
        <v>2894</v>
      </c>
      <c r="N1835" s="1" t="s">
        <v>124</v>
      </c>
      <c r="O1835" s="1" t="s">
        <v>332</v>
      </c>
      <c r="R1835" s="422" t="s">
        <v>475</v>
      </c>
      <c r="Y1835" s="491" t="str">
        <f t="shared" si="3801"/>
        <v>Unknown</v>
      </c>
      <c r="Z1835" s="11" t="str">
        <f t="shared" si="3802"/>
        <v/>
      </c>
      <c r="AA1835" s="491" t="str">
        <f t="shared" si="3803"/>
        <v/>
      </c>
      <c r="AB1835" s="491" t="str">
        <f t="shared" si="3804"/>
        <v/>
      </c>
    </row>
    <row r="1836" spans="2:28" x14ac:dyDescent="0.25">
      <c r="B1836" s="66">
        <v>42296</v>
      </c>
      <c r="C1836" s="66">
        <v>42296</v>
      </c>
      <c r="D1836" s="68">
        <f t="shared" ref="D1836" si="3902">IF(B1836&gt;0,MONTH(B1836),"False")</f>
        <v>10</v>
      </c>
      <c r="E1836" s="66" t="str">
        <f t="shared" ref="E1836" si="3903">YEAR(B1836) &amp; CHOOSE(D1836,"-Jan","-Feb","-Mar","-Apr","-May","-Jun","-Jul","-Aug","-Sep","-Oct","-Nov","-Dec")</f>
        <v>2015-Oct</v>
      </c>
      <c r="F1836" s="68">
        <f t="shared" ref="F1836" si="3904">IF(C1836&gt;0,MONTH(C1836),"False")</f>
        <v>10</v>
      </c>
      <c r="G1836" s="564" t="s">
        <v>87</v>
      </c>
      <c r="H1836" s="564" t="s">
        <v>166</v>
      </c>
      <c r="J1836" s="564" t="s">
        <v>150</v>
      </c>
      <c r="K1836" s="564" t="s">
        <v>84</v>
      </c>
      <c r="L1836" s="564" t="s">
        <v>83</v>
      </c>
      <c r="M1836" s="564" t="s">
        <v>2896</v>
      </c>
      <c r="N1836" s="1" t="s">
        <v>124</v>
      </c>
      <c r="O1836" s="1" t="s">
        <v>264</v>
      </c>
      <c r="R1836" s="422" t="s">
        <v>2833</v>
      </c>
      <c r="T1836" s="67" t="s">
        <v>110</v>
      </c>
      <c r="Y1836" s="491" t="str">
        <f t="shared" si="3801"/>
        <v>Unknown</v>
      </c>
      <c r="Z1836" s="11" t="str">
        <f t="shared" si="3802"/>
        <v/>
      </c>
      <c r="AA1836" s="491" t="str">
        <f t="shared" si="3803"/>
        <v/>
      </c>
      <c r="AB1836" s="491" t="str">
        <f t="shared" si="3804"/>
        <v/>
      </c>
    </row>
    <row r="1837" spans="2:28" x14ac:dyDescent="0.25">
      <c r="B1837" s="65">
        <v>42298</v>
      </c>
      <c r="C1837" s="66">
        <v>42298</v>
      </c>
      <c r="D1837" s="68">
        <f t="shared" ref="D1837" si="3905">IF(B1837&gt;0,MONTH(B1837),"False")</f>
        <v>10</v>
      </c>
      <c r="E1837" s="66" t="str">
        <f t="shared" ref="E1837" si="3906">YEAR(B1837) &amp; CHOOSE(D1837,"-Jan","-Feb","-Mar","-Apr","-May","-Jun","-Jul","-Aug","-Sep","-Oct","-Nov","-Dec")</f>
        <v>2015-Oct</v>
      </c>
      <c r="F1837" s="68">
        <f t="shared" ref="F1837" si="3907">IF(C1837&gt;0,MONTH(C1837),"False")</f>
        <v>10</v>
      </c>
      <c r="G1837" s="565" t="s">
        <v>93</v>
      </c>
      <c r="H1837" s="1" t="s">
        <v>28</v>
      </c>
      <c r="J1837" s="565" t="s">
        <v>77</v>
      </c>
      <c r="K1837" s="565" t="s">
        <v>82</v>
      </c>
      <c r="L1837" s="565" t="s">
        <v>79</v>
      </c>
      <c r="M1837" s="565" t="s">
        <v>2898</v>
      </c>
      <c r="N1837" s="1" t="s">
        <v>124</v>
      </c>
      <c r="O1837" s="1" t="s">
        <v>162</v>
      </c>
      <c r="P1837" s="422" t="s">
        <v>334</v>
      </c>
      <c r="Y1837" s="491" t="str">
        <f t="shared" si="3801"/>
        <v>Unknown</v>
      </c>
      <c r="Z1837" s="11" t="str">
        <f t="shared" si="3802"/>
        <v/>
      </c>
      <c r="AA1837" s="491" t="str">
        <f t="shared" si="3803"/>
        <v/>
      </c>
      <c r="AB1837" s="491" t="str">
        <f t="shared" si="3804"/>
        <v/>
      </c>
    </row>
    <row r="1838" spans="2:28" x14ac:dyDescent="0.25">
      <c r="B1838" s="66">
        <v>42298</v>
      </c>
      <c r="C1838" s="66">
        <v>42298</v>
      </c>
      <c r="D1838" s="68">
        <f t="shared" ref="D1838" si="3908">IF(B1838&gt;0,MONTH(B1838),"False")</f>
        <v>10</v>
      </c>
      <c r="E1838" s="66" t="str">
        <f t="shared" ref="E1838" si="3909">YEAR(B1838) &amp; CHOOSE(D1838,"-Jan","-Feb","-Mar","-Apr","-May","-Jun","-Jul","-Aug","-Sep","-Oct","-Nov","-Dec")</f>
        <v>2015-Oct</v>
      </c>
      <c r="F1838" s="68">
        <f t="shared" ref="F1838" si="3910">IF(C1838&gt;0,MONTH(C1838),"False")</f>
        <v>10</v>
      </c>
      <c r="G1838" s="565" t="s">
        <v>87</v>
      </c>
      <c r="H1838" s="565" t="s">
        <v>280</v>
      </c>
      <c r="J1838" s="565" t="s">
        <v>78</v>
      </c>
      <c r="K1838" s="565" t="s">
        <v>78</v>
      </c>
      <c r="L1838" s="565" t="s">
        <v>79</v>
      </c>
      <c r="M1838" s="565" t="s">
        <v>2899</v>
      </c>
      <c r="N1838" s="1" t="s">
        <v>124</v>
      </c>
      <c r="O1838" s="1" t="s">
        <v>138</v>
      </c>
      <c r="R1838" s="422" t="s">
        <v>344</v>
      </c>
      <c r="Y1838" s="491" t="str">
        <f t="shared" si="3801"/>
        <v>Unknown</v>
      </c>
      <c r="Z1838" s="11" t="str">
        <f t="shared" si="3802"/>
        <v/>
      </c>
      <c r="AA1838" s="491" t="str">
        <f t="shared" si="3803"/>
        <v/>
      </c>
      <c r="AB1838" s="491" t="str">
        <f t="shared" si="3804"/>
        <v/>
      </c>
    </row>
    <row r="1839" spans="2:28" x14ac:dyDescent="0.25">
      <c r="B1839" s="65">
        <v>42300</v>
      </c>
      <c r="C1839" s="66">
        <v>42300</v>
      </c>
      <c r="D1839" s="68">
        <f t="shared" ref="D1839:D1840" si="3911">IF(B1839&gt;0,MONTH(B1839),"False")</f>
        <v>10</v>
      </c>
      <c r="E1839" s="66" t="str">
        <f t="shared" ref="E1839:E1840" si="3912">YEAR(B1839) &amp; CHOOSE(D1839,"-Jan","-Feb","-Mar","-Apr","-May","-Jun","-Jul","-Aug","-Sep","-Oct","-Nov","-Dec")</f>
        <v>2015-Oct</v>
      </c>
      <c r="F1839" s="68">
        <f t="shared" ref="F1839:F1840" si="3913">IF(C1839&gt;0,MONTH(C1839),"False")</f>
        <v>10</v>
      </c>
      <c r="G1839" s="565" t="s">
        <v>93</v>
      </c>
      <c r="H1839" s="565" t="s">
        <v>280</v>
      </c>
      <c r="J1839" s="565" t="s">
        <v>81</v>
      </c>
      <c r="K1839" s="565" t="s">
        <v>82</v>
      </c>
      <c r="L1839" s="565" t="s">
        <v>79</v>
      </c>
      <c r="M1839" s="565" t="s">
        <v>2900</v>
      </c>
      <c r="N1839" s="1" t="s">
        <v>124</v>
      </c>
      <c r="O1839" s="1" t="s">
        <v>2598</v>
      </c>
      <c r="P1839" s="422" t="s">
        <v>305</v>
      </c>
      <c r="R1839" s="422" t="s">
        <v>2808</v>
      </c>
      <c r="Y1839" s="491" t="str">
        <f t="shared" si="3801"/>
        <v>Unknown</v>
      </c>
      <c r="Z1839" s="11" t="str">
        <f t="shared" si="3802"/>
        <v/>
      </c>
      <c r="AA1839" s="491" t="str">
        <f t="shared" si="3803"/>
        <v/>
      </c>
      <c r="AB1839" s="491" t="str">
        <f t="shared" si="3804"/>
        <v/>
      </c>
    </row>
    <row r="1840" spans="2:28" x14ac:dyDescent="0.25">
      <c r="B1840" s="66">
        <v>42300</v>
      </c>
      <c r="C1840" s="66">
        <v>42300</v>
      </c>
      <c r="D1840" s="68">
        <f t="shared" si="3911"/>
        <v>10</v>
      </c>
      <c r="E1840" s="66" t="str">
        <f t="shared" si="3912"/>
        <v>2015-Oct</v>
      </c>
      <c r="F1840" s="68">
        <f t="shared" si="3913"/>
        <v>10</v>
      </c>
      <c r="G1840" s="565" t="s">
        <v>87</v>
      </c>
      <c r="H1840" s="1" t="s">
        <v>28</v>
      </c>
      <c r="J1840" s="565" t="s">
        <v>78</v>
      </c>
      <c r="K1840" s="565" t="s">
        <v>78</v>
      </c>
      <c r="L1840" s="565" t="s">
        <v>79</v>
      </c>
      <c r="M1840" s="565" t="s">
        <v>2901</v>
      </c>
      <c r="N1840" s="1" t="s">
        <v>124</v>
      </c>
      <c r="O1840" s="1" t="s">
        <v>168</v>
      </c>
      <c r="R1840" s="422" t="s">
        <v>308</v>
      </c>
      <c r="Y1840" s="491" t="str">
        <f t="shared" si="3801"/>
        <v>Unknown</v>
      </c>
      <c r="Z1840" s="11" t="str">
        <f t="shared" si="3802"/>
        <v/>
      </c>
      <c r="AA1840" s="491" t="str">
        <f t="shared" si="3803"/>
        <v/>
      </c>
      <c r="AB1840" s="491" t="str">
        <f t="shared" si="3804"/>
        <v/>
      </c>
    </row>
    <row r="1841" spans="25:28" x14ac:dyDescent="0.25">
      <c r="Y1841" s="491" t="str">
        <f t="shared" si="3801"/>
        <v>Unknown</v>
      </c>
      <c r="Z1841" s="11" t="str">
        <f t="shared" si="3802"/>
        <v/>
      </c>
      <c r="AA1841" s="491" t="str">
        <f t="shared" si="3803"/>
        <v/>
      </c>
      <c r="AB1841" s="491" t="str">
        <f t="shared" si="3804"/>
        <v/>
      </c>
    </row>
    <row r="1842" spans="25:28" x14ac:dyDescent="0.25">
      <c r="Y1842" s="491" t="str">
        <f t="shared" si="3801"/>
        <v>Unknown</v>
      </c>
      <c r="Z1842" s="11" t="str">
        <f t="shared" si="3802"/>
        <v/>
      </c>
      <c r="AA1842" s="491" t="str">
        <f t="shared" si="3803"/>
        <v/>
      </c>
      <c r="AB1842" s="491" t="str">
        <f t="shared" si="3804"/>
        <v/>
      </c>
    </row>
    <row r="1843" spans="25:28" x14ac:dyDescent="0.25">
      <c r="Y1843" s="491" t="str">
        <f t="shared" si="3801"/>
        <v>Unknown</v>
      </c>
      <c r="Z1843" s="11" t="str">
        <f t="shared" si="3802"/>
        <v/>
      </c>
      <c r="AA1843" s="491" t="str">
        <f t="shared" si="3803"/>
        <v/>
      </c>
      <c r="AB1843" s="491" t="str">
        <f t="shared" si="3804"/>
        <v/>
      </c>
    </row>
    <row r="1844" spans="25:28" x14ac:dyDescent="0.25">
      <c r="Y1844" s="491" t="str">
        <f t="shared" si="3801"/>
        <v>Unknown</v>
      </c>
      <c r="Z1844" s="11" t="str">
        <f t="shared" si="3802"/>
        <v/>
      </c>
      <c r="AA1844" s="491" t="str">
        <f t="shared" si="3803"/>
        <v/>
      </c>
      <c r="AB1844" s="491" t="str">
        <f t="shared" si="3804"/>
        <v/>
      </c>
    </row>
    <row r="1845" spans="25:28" x14ac:dyDescent="0.25">
      <c r="Y1845" s="491" t="str">
        <f t="shared" si="3801"/>
        <v>Unknown</v>
      </c>
      <c r="Z1845" s="11" t="str">
        <f t="shared" si="3802"/>
        <v/>
      </c>
      <c r="AA1845" s="491" t="str">
        <f t="shared" si="3803"/>
        <v/>
      </c>
      <c r="AB1845" s="491" t="str">
        <f t="shared" si="3804"/>
        <v/>
      </c>
    </row>
    <row r="1846" spans="25:28" x14ac:dyDescent="0.25">
      <c r="Y1846" s="491" t="str">
        <f t="shared" si="3801"/>
        <v>Unknown</v>
      </c>
      <c r="Z1846" s="11" t="str">
        <f t="shared" si="3802"/>
        <v/>
      </c>
      <c r="AA1846" s="491" t="str">
        <f t="shared" si="3803"/>
        <v/>
      </c>
      <c r="AB1846" s="491" t="str">
        <f t="shared" si="3804"/>
        <v/>
      </c>
    </row>
    <row r="1847" spans="25:28" x14ac:dyDescent="0.25">
      <c r="Y1847" s="491" t="str">
        <f t="shared" si="3801"/>
        <v>Unknown</v>
      </c>
      <c r="Z1847" s="11" t="str">
        <f t="shared" si="3802"/>
        <v/>
      </c>
      <c r="AA1847" s="491" t="str">
        <f t="shared" si="3803"/>
        <v/>
      </c>
      <c r="AB1847" s="491" t="str">
        <f t="shared" si="3804"/>
        <v/>
      </c>
    </row>
    <row r="1848" spans="25:28" x14ac:dyDescent="0.25">
      <c r="Y1848" s="491" t="str">
        <f t="shared" si="3801"/>
        <v>Unknown</v>
      </c>
      <c r="Z1848" s="11" t="str">
        <f t="shared" si="3802"/>
        <v/>
      </c>
      <c r="AA1848" s="491" t="str">
        <f t="shared" si="3803"/>
        <v/>
      </c>
      <c r="AB1848" s="491" t="str">
        <f t="shared" si="3804"/>
        <v/>
      </c>
    </row>
    <row r="1849" spans="25:28" x14ac:dyDescent="0.25">
      <c r="Y1849" s="491" t="str">
        <f t="shared" si="3801"/>
        <v>Unknown</v>
      </c>
      <c r="Z1849" s="11" t="str">
        <f t="shared" si="3802"/>
        <v/>
      </c>
      <c r="AA1849" s="491" t="str">
        <f t="shared" si="3803"/>
        <v/>
      </c>
      <c r="AB1849" s="491" t="str">
        <f t="shared" si="3804"/>
        <v/>
      </c>
    </row>
    <row r="1850" spans="25:28" x14ac:dyDescent="0.25">
      <c r="Y1850" s="491" t="str">
        <f t="shared" si="3801"/>
        <v>Unknown</v>
      </c>
      <c r="Z1850" s="11" t="str">
        <f t="shared" si="3802"/>
        <v/>
      </c>
      <c r="AA1850" s="491" t="str">
        <f t="shared" si="3803"/>
        <v/>
      </c>
      <c r="AB1850" s="491" t="str">
        <f t="shared" si="3804"/>
        <v/>
      </c>
    </row>
    <row r="1851" spans="25:28" x14ac:dyDescent="0.25">
      <c r="Y1851" s="491" t="str">
        <f t="shared" si="3801"/>
        <v>Unknown</v>
      </c>
      <c r="Z1851" s="11" t="str">
        <f t="shared" si="3802"/>
        <v/>
      </c>
      <c r="AA1851" s="491" t="str">
        <f t="shared" si="3803"/>
        <v/>
      </c>
      <c r="AB1851" s="491" t="str">
        <f t="shared" si="3804"/>
        <v/>
      </c>
    </row>
    <row r="1852" spans="25:28" x14ac:dyDescent="0.25">
      <c r="Y1852" s="491" t="str">
        <f t="shared" ref="Y1852:Y1871" si="3914">IF(Q1852&gt;0,"Obsolete",IF(S1852&gt;0,S1852,"Unknown"))</f>
        <v>Unknown</v>
      </c>
      <c r="Z1852" s="11" t="str">
        <f t="shared" ref="Z1852:Z1871" si="3915">IF(Q1852="Obsolete-LQA",C1852,IF(Q1852="Obsolete-IT",B1852,""))</f>
        <v/>
      </c>
      <c r="AA1852" s="491" t="str">
        <f t="shared" ref="AA1852:AA1871" si="3916">IFERROR(YEAR(Z1852)&amp;" - "&amp; IF(LEN( WEEKNUM(Z1852))=1,"0" &amp; WEEKNUM(Z1852),WEEKNUM(Z1852)),"")</f>
        <v/>
      </c>
      <c r="AB1852" s="491" t="str">
        <f t="shared" ref="AB1852:AB1871" si="3917">IFERROR(YEAR(Z1852),"")</f>
        <v/>
      </c>
    </row>
    <row r="1853" spans="25:28" x14ac:dyDescent="0.25">
      <c r="Y1853" s="491" t="str">
        <f t="shared" si="3914"/>
        <v>Unknown</v>
      </c>
      <c r="Z1853" s="11" t="str">
        <f t="shared" si="3915"/>
        <v/>
      </c>
      <c r="AA1853" s="491" t="str">
        <f t="shared" si="3916"/>
        <v/>
      </c>
      <c r="AB1853" s="491" t="str">
        <f t="shared" si="3917"/>
        <v/>
      </c>
    </row>
    <row r="1854" spans="25:28" x14ac:dyDescent="0.25">
      <c r="Y1854" s="491" t="str">
        <f t="shared" si="3914"/>
        <v>Unknown</v>
      </c>
      <c r="Z1854" s="11" t="str">
        <f t="shared" si="3915"/>
        <v/>
      </c>
      <c r="AA1854" s="491" t="str">
        <f t="shared" si="3916"/>
        <v/>
      </c>
      <c r="AB1854" s="491" t="str">
        <f t="shared" si="3917"/>
        <v/>
      </c>
    </row>
    <row r="1855" spans="25:28" x14ac:dyDescent="0.25">
      <c r="Y1855" s="491" t="str">
        <f t="shared" si="3914"/>
        <v>Unknown</v>
      </c>
      <c r="Z1855" s="11" t="str">
        <f t="shared" si="3915"/>
        <v/>
      </c>
      <c r="AA1855" s="491" t="str">
        <f t="shared" si="3916"/>
        <v/>
      </c>
      <c r="AB1855" s="491" t="str">
        <f t="shared" si="3917"/>
        <v/>
      </c>
    </row>
    <row r="1856" spans="25:28" x14ac:dyDescent="0.25">
      <c r="Y1856" s="491" t="str">
        <f t="shared" si="3914"/>
        <v>Unknown</v>
      </c>
      <c r="Z1856" s="11" t="str">
        <f t="shared" si="3915"/>
        <v/>
      </c>
      <c r="AA1856" s="491" t="str">
        <f t="shared" si="3916"/>
        <v/>
      </c>
      <c r="AB1856" s="491" t="str">
        <f t="shared" si="3917"/>
        <v/>
      </c>
    </row>
    <row r="1857" spans="25:28" x14ac:dyDescent="0.25">
      <c r="Y1857" s="491" t="str">
        <f t="shared" si="3914"/>
        <v>Unknown</v>
      </c>
      <c r="Z1857" s="11" t="str">
        <f t="shared" si="3915"/>
        <v/>
      </c>
      <c r="AA1857" s="491" t="str">
        <f t="shared" si="3916"/>
        <v/>
      </c>
      <c r="AB1857" s="491" t="str">
        <f t="shared" si="3917"/>
        <v/>
      </c>
    </row>
    <row r="1858" spans="25:28" x14ac:dyDescent="0.25">
      <c r="Y1858" s="491" t="str">
        <f t="shared" si="3914"/>
        <v>Unknown</v>
      </c>
      <c r="Z1858" s="11" t="str">
        <f t="shared" si="3915"/>
        <v/>
      </c>
      <c r="AA1858" s="491" t="str">
        <f t="shared" si="3916"/>
        <v/>
      </c>
      <c r="AB1858" s="491" t="str">
        <f t="shared" si="3917"/>
        <v/>
      </c>
    </row>
    <row r="1859" spans="25:28" x14ac:dyDescent="0.25">
      <c r="Y1859" s="491" t="str">
        <f t="shared" si="3914"/>
        <v>Unknown</v>
      </c>
      <c r="Z1859" s="11" t="str">
        <f t="shared" si="3915"/>
        <v/>
      </c>
      <c r="AA1859" s="491" t="str">
        <f t="shared" si="3916"/>
        <v/>
      </c>
      <c r="AB1859" s="491" t="str">
        <f t="shared" si="3917"/>
        <v/>
      </c>
    </row>
    <row r="1860" spans="25:28" x14ac:dyDescent="0.25">
      <c r="Y1860" s="491" t="str">
        <f t="shared" si="3914"/>
        <v>Unknown</v>
      </c>
      <c r="Z1860" s="11" t="str">
        <f t="shared" si="3915"/>
        <v/>
      </c>
      <c r="AA1860" s="491" t="str">
        <f t="shared" si="3916"/>
        <v/>
      </c>
      <c r="AB1860" s="491" t="str">
        <f t="shared" si="3917"/>
        <v/>
      </c>
    </row>
    <row r="1861" spans="25:28" x14ac:dyDescent="0.25">
      <c r="Y1861" s="491" t="str">
        <f t="shared" si="3914"/>
        <v>Unknown</v>
      </c>
      <c r="Z1861" s="11" t="str">
        <f t="shared" si="3915"/>
        <v/>
      </c>
      <c r="AA1861" s="491" t="str">
        <f t="shared" si="3916"/>
        <v/>
      </c>
      <c r="AB1861" s="491" t="str">
        <f t="shared" si="3917"/>
        <v/>
      </c>
    </row>
    <row r="1862" spans="25:28" x14ac:dyDescent="0.25">
      <c r="Y1862" s="491" t="str">
        <f t="shared" si="3914"/>
        <v>Unknown</v>
      </c>
      <c r="Z1862" s="11" t="str">
        <f t="shared" si="3915"/>
        <v/>
      </c>
      <c r="AA1862" s="491" t="str">
        <f t="shared" si="3916"/>
        <v/>
      </c>
      <c r="AB1862" s="491" t="str">
        <f t="shared" si="3917"/>
        <v/>
      </c>
    </row>
    <row r="1863" spans="25:28" x14ac:dyDescent="0.25">
      <c r="Y1863" s="491" t="str">
        <f t="shared" si="3914"/>
        <v>Unknown</v>
      </c>
      <c r="Z1863" s="11" t="str">
        <f t="shared" si="3915"/>
        <v/>
      </c>
      <c r="AA1863" s="491" t="str">
        <f t="shared" si="3916"/>
        <v/>
      </c>
      <c r="AB1863" s="491" t="str">
        <f t="shared" si="3917"/>
        <v/>
      </c>
    </row>
    <row r="1864" spans="25:28" x14ac:dyDescent="0.25">
      <c r="Y1864" s="491" t="str">
        <f t="shared" si="3914"/>
        <v>Unknown</v>
      </c>
      <c r="Z1864" s="11" t="str">
        <f t="shared" si="3915"/>
        <v/>
      </c>
      <c r="AA1864" s="491" t="str">
        <f t="shared" si="3916"/>
        <v/>
      </c>
      <c r="AB1864" s="491" t="str">
        <f t="shared" si="3917"/>
        <v/>
      </c>
    </row>
    <row r="1865" spans="25:28" x14ac:dyDescent="0.25">
      <c r="Y1865" s="491" t="str">
        <f t="shared" si="3914"/>
        <v>Unknown</v>
      </c>
      <c r="Z1865" s="11" t="str">
        <f t="shared" si="3915"/>
        <v/>
      </c>
      <c r="AA1865" s="491" t="str">
        <f t="shared" si="3916"/>
        <v/>
      </c>
      <c r="AB1865" s="491" t="str">
        <f t="shared" si="3917"/>
        <v/>
      </c>
    </row>
    <row r="1866" spans="25:28" x14ac:dyDescent="0.25">
      <c r="Y1866" s="491" t="str">
        <f t="shared" si="3914"/>
        <v>Unknown</v>
      </c>
      <c r="Z1866" s="11" t="str">
        <f t="shared" si="3915"/>
        <v/>
      </c>
      <c r="AA1866" s="491" t="str">
        <f t="shared" si="3916"/>
        <v/>
      </c>
      <c r="AB1866" s="491" t="str">
        <f t="shared" si="3917"/>
        <v/>
      </c>
    </row>
    <row r="1867" spans="25:28" x14ac:dyDescent="0.25">
      <c r="Y1867" s="491" t="str">
        <f t="shared" si="3914"/>
        <v>Unknown</v>
      </c>
      <c r="Z1867" s="11" t="str">
        <f t="shared" si="3915"/>
        <v/>
      </c>
      <c r="AA1867" s="491" t="str">
        <f t="shared" si="3916"/>
        <v/>
      </c>
      <c r="AB1867" s="491" t="str">
        <f t="shared" si="3917"/>
        <v/>
      </c>
    </row>
    <row r="1868" spans="25:28" x14ac:dyDescent="0.25">
      <c r="Y1868" s="491" t="str">
        <f t="shared" si="3914"/>
        <v>Unknown</v>
      </c>
      <c r="Z1868" s="11" t="str">
        <f t="shared" si="3915"/>
        <v/>
      </c>
      <c r="AA1868" s="491" t="str">
        <f t="shared" si="3916"/>
        <v/>
      </c>
      <c r="AB1868" s="491" t="str">
        <f t="shared" si="3917"/>
        <v/>
      </c>
    </row>
    <row r="1869" spans="25:28" x14ac:dyDescent="0.25">
      <c r="Y1869" s="491" t="str">
        <f t="shared" si="3914"/>
        <v>Unknown</v>
      </c>
      <c r="Z1869" s="11" t="str">
        <f t="shared" si="3915"/>
        <v/>
      </c>
      <c r="AA1869" s="491" t="str">
        <f t="shared" si="3916"/>
        <v/>
      </c>
      <c r="AB1869" s="491" t="str">
        <f t="shared" si="3917"/>
        <v/>
      </c>
    </row>
    <row r="1870" spans="25:28" x14ac:dyDescent="0.25">
      <c r="Y1870" s="491" t="str">
        <f t="shared" si="3914"/>
        <v>Unknown</v>
      </c>
      <c r="Z1870" s="11" t="str">
        <f t="shared" si="3915"/>
        <v/>
      </c>
      <c r="AA1870" s="491" t="str">
        <f t="shared" si="3916"/>
        <v/>
      </c>
      <c r="AB1870" s="491" t="str">
        <f t="shared" si="3917"/>
        <v/>
      </c>
    </row>
    <row r="1871" spans="25:28" x14ac:dyDescent="0.25">
      <c r="Y1871" s="491" t="str">
        <f t="shared" si="3914"/>
        <v>Unknown</v>
      </c>
      <c r="Z1871" s="11" t="str">
        <f t="shared" si="3915"/>
        <v/>
      </c>
      <c r="AA1871" s="491" t="str">
        <f t="shared" si="3916"/>
        <v/>
      </c>
      <c r="AB1871" s="491" t="str">
        <f t="shared" si="3917"/>
        <v/>
      </c>
    </row>
  </sheetData>
  <autoFilter ref="B5:AB1871"/>
  <conditionalFormatting sqref="G1582 G1631 G1635:G1637 G1643 G1659 G1665 G1667 G1669 G1672 G1674:G1675 G1677 G1681:G1682 G1693 G1697 G1700 G1703:G1704 G1707 G1730 G1753 G1818 G1841:G1048576 G1:G1449">
    <cfRule type="cellIs" dxfId="1900" priority="8956" operator="equal">
      <formula>"LQA"</formula>
    </cfRule>
    <cfRule type="cellIs" dxfId="1899" priority="8957" operator="equal">
      <formula>"IT"</formula>
    </cfRule>
  </conditionalFormatting>
  <conditionalFormatting sqref="I85:I108 I110:I188 I190:I248 I250:I259 I261:I335 I337:I579 I581:I917 I919:I959 I961:I967 J1208 J949 J917 H128:I128 H131:I132 H142:I142 H144:I146 H148:I150 H153:I156 H164:I164 H172:I172 H178:I180 H183:I183 H201:I202 H209:I209 H217:I218 H225:I225 H230:I234 H240:I242 H246:I246 H264:I264 H269:I270 H272:I275 H277:I277 H283:I284 H301:I302 H304:I305 H309:I310 H313:I313 H315:I315 H317:I320 H322:I322 H324:I324 H327:I327 H336:I336 H338:I343 H354:I354 H363:I363 H365:I365 H367:I367 H370:I371 H374:I374 H383:I384 H387:I387 H400:I403 H407:I407 H427:I428 H431:I431 H435:I435 H437:I437 H443:I443 H446:I446 H450:I450 H509:I509 H516:I517 H532:I532 H536:I536 H542:I542 H554:I554 H587:I587 H589:I589 H592:I594 H596:I596 H602:I602 H608:I608 H616:I616 H626:I628 H633:I633 H640:I640 H646:I646 H649:I649 H651:I651 H666:I666 H1:I5 I1:I83 H684:I684 H713:I714 H716:I716 H724:I724 H730:I730 H744:I744 H761:I761 H767:I768 H771:I771 H775:I776 H778:I779 H793:I793 H795:I795 H799:I799 H802:I802 H810:I811 H815:I818 H832:I832 H837:I838 H840:I840 H846:I846 H869:I869 H873:I873 H890:I891 H895:I895 H900:I900 H905:I909 H912:I914 H920:I921 H930:I931 H940:I942 H955:I955 H959:I959 H945:I950 H962:I963 H967:I968 H972:I976 H978:I978 H982:I982 H986:I986 H989:I990 H994:I995 H1004:I1004 H1006:I1007 H1011:I1011 H1013:I1013 H1015:I1015 H1021:I1021 H1024:I1029 H1034:I1034 H1036:I1039 H1048:I1048 H1053:I1058 H1064:I1066 H1068:I1068 H1073:I1075 H1079:I1080 H1090:I1090 H1092:I1096 H1098:I1098 H1101:I1101 H1106:I1106 H1111:I1111 H1113:I1113 H1120:I1120 H1122:I1122 H1128:I1128 H1143:I1143 H1150:I1150 H1153:I1153 H1157:I1157 H1159:I1159 H1168:I1169 H1161:I1163 H1178:I1178 H1182:I1182 H1197:I1197 H1199:I1199 H1201:I1201 I1210:I1228 I1290:I1291 I1356:I1368 I1370:I1394 I1396:I1435 I1437:I1445 I1447:I1450 J1369 J1298 J1229 H1233:I1234 J1249 I969:I1207 H1349:I1349 J1348:J1349 I1230:I1281 I1283:I1288 I1299:I1337 I1339:I1354 H1366:I1366 H1374:I1374 H1393:I1394 J1395:J1396 H1406:I1406 H1412:I1412 H1418:I1419 H1431:I1431 H1187:I1188 H1444:I1444 H1441:I1442 H1452:I1454 H1461:I1461 I1460 H1462:H1464 Z1467:Z1471 H1467:I1469 H1471:I1471 H1470 H1473:I1474 H1476:I1479 H1475 H1484:I1491 I1481 H1483 H1495:I1498 I1492 H1493 I1494 H1504:I1505 H1456:I1459 H1464:I1464 I1499:I1503 I1506 H1507:I1513 H1518:I1520 H1515:I1516 Z1473:Z1526 H1522:I1523 I1521 H1525:I1525 I1524 I1526 Z1528:Z1588 H1528:I1547 H1549:I1551 H1555:I1555 H1558:I1560 H1564:I1570 I1562 I1556 H1574:I1578 I1571 H1572 H1581:I1581 H1580 H1583:I1584 H1585:H1586 H1588:I1588 H1593:I1593 H1596:I1598 I1595 H1601:I1602 H1605:I1605 I1603:I1604 H1607:I1612 I1613 H1614:I1614 H1616:I1616 H1615 H1618:I1618 I1617 H1619 H1620:I1631 H1633:I1634 H1632:H1633 I1635 H1637:I1641 H1635:H1640 I1642:I1643 Z1593:Z1650 H1655 H1644:I1648 H1650:I1650 H1654:I1654 H1653 J1661 H1656:I1663 H1664 H1676 J1670 H1665:I1675 Z1653:Z1871 H1677:I1695 H1697:I1697 I1696 H1698:H1699 H1699:I1709 H1715:I1715 I1710:I1714 H1718:I1718 I1716:I1717 H1723:I1723 I1719:I1722 H1725:I1725 I1724 H1730:I1730 I1726:I1727 I1293:I1297 Z6:Z1464 I1729 H1740:I1740 H1739 H1733:I1733 I1731:I1732 H1736:I1738 I1734:I1735 H1743:I1743 I1741:I1742 I1744:I1746 H1747:I1748 H1750:I1751 I1749 I1752 H1753:I1753 H1755:I1755 I1754 H1759:I1759 I1756:I1758 H1761:I1761 I1760 I1762:I1763 D6:D1446 F6:F1446 H6:H1450 H1764:I1768 H1771:I1771 H1770 H1773:I1773 I1772 H1775:I1775 I1774 H1780:I1780 I1776:I1779 H1782:I1782 I1781 H1787:I1787 I1783:I1786 I1788 H1789:I1791 H1796:I1796 I1792:I1795 H1798:I1799 I1797 I1800:I1801 H1802:I1803 H1804 H1801 H1805:I1806 H1817:I1819 H1814 J1804 H1810:I1810 I1808:I1809 H1812:I1813 I1811 I1815:I1816 I1820 H1826:I1827 I1822:I1825 H1829:I1830 I1828 H1832:I1832 I1831 H1835:I1835 I1833:I1834 H1837:I1837 I1836 H1840:I1048576 I1838:I1839">
    <cfRule type="cellIs" dxfId="1898" priority="8955" operator="equal">
      <formula>"AGILIS"</formula>
    </cfRule>
  </conditionalFormatting>
  <conditionalFormatting sqref="F1447 D1447">
    <cfRule type="cellIs" dxfId="1897" priority="1336" operator="equal">
      <formula>"AGILIS"</formula>
    </cfRule>
  </conditionalFormatting>
  <conditionalFormatting sqref="F1448 D1448">
    <cfRule type="cellIs" dxfId="1896" priority="1335" operator="equal">
      <formula>"AGILIS"</formula>
    </cfRule>
  </conditionalFormatting>
  <conditionalFormatting sqref="F1449 D1449">
    <cfRule type="cellIs" dxfId="1895" priority="1334" operator="equal">
      <formula>"AGILIS"</formula>
    </cfRule>
  </conditionalFormatting>
  <conditionalFormatting sqref="G1450">
    <cfRule type="cellIs" dxfId="1894" priority="1332" operator="equal">
      <formula>"LQA"</formula>
    </cfRule>
    <cfRule type="cellIs" dxfId="1893" priority="1333" operator="equal">
      <formula>"IT"</formula>
    </cfRule>
  </conditionalFormatting>
  <conditionalFormatting sqref="F1450 D1450">
    <cfRule type="cellIs" dxfId="1892" priority="1331" operator="equal">
      <formula>"AGILIS"</formula>
    </cfRule>
  </conditionalFormatting>
  <conditionalFormatting sqref="H1451:I1451">
    <cfRule type="cellIs" dxfId="1891" priority="1330" operator="equal">
      <formula>"AGILIS"</formula>
    </cfRule>
  </conditionalFormatting>
  <conditionalFormatting sqref="G1451">
    <cfRule type="cellIs" dxfId="1890" priority="1328" operator="equal">
      <formula>"LQA"</formula>
    </cfRule>
    <cfRule type="cellIs" dxfId="1889" priority="1329" operator="equal">
      <formula>"IT"</formula>
    </cfRule>
  </conditionalFormatting>
  <conditionalFormatting sqref="F1451 D1451">
    <cfRule type="cellIs" dxfId="1888" priority="1327" operator="equal">
      <formula>"AGILIS"</formula>
    </cfRule>
  </conditionalFormatting>
  <conditionalFormatting sqref="G1452">
    <cfRule type="cellIs" dxfId="1887" priority="1325" operator="equal">
      <formula>"LQA"</formula>
    </cfRule>
    <cfRule type="cellIs" dxfId="1886" priority="1326" operator="equal">
      <formula>"IT"</formula>
    </cfRule>
  </conditionalFormatting>
  <conditionalFormatting sqref="F1452 D1452">
    <cfRule type="cellIs" dxfId="1885" priority="1324" operator="equal">
      <formula>"AGILIS"</formula>
    </cfRule>
  </conditionalFormatting>
  <conditionalFormatting sqref="G1453">
    <cfRule type="cellIs" dxfId="1884" priority="1322" operator="equal">
      <formula>"LQA"</formula>
    </cfRule>
    <cfRule type="cellIs" dxfId="1883" priority="1323" operator="equal">
      <formula>"IT"</formula>
    </cfRule>
  </conditionalFormatting>
  <conditionalFormatting sqref="F1453 D1453">
    <cfRule type="cellIs" dxfId="1882" priority="1321" operator="equal">
      <formula>"AGILIS"</formula>
    </cfRule>
  </conditionalFormatting>
  <conditionalFormatting sqref="G1454">
    <cfRule type="cellIs" dxfId="1881" priority="1319" operator="equal">
      <formula>"LQA"</formula>
    </cfRule>
    <cfRule type="cellIs" dxfId="1880" priority="1320" operator="equal">
      <formula>"IT"</formula>
    </cfRule>
  </conditionalFormatting>
  <conditionalFormatting sqref="F1454 D1454">
    <cfRule type="cellIs" dxfId="1879" priority="1318" operator="equal">
      <formula>"AGILIS"</formula>
    </cfRule>
  </conditionalFormatting>
  <conditionalFormatting sqref="G1455">
    <cfRule type="cellIs" dxfId="1878" priority="1316" operator="equal">
      <formula>"LQA"</formula>
    </cfRule>
    <cfRule type="cellIs" dxfId="1877" priority="1317" operator="equal">
      <formula>"IT"</formula>
    </cfRule>
  </conditionalFormatting>
  <conditionalFormatting sqref="F1455 D1455">
    <cfRule type="cellIs" dxfId="1876" priority="1315" operator="equal">
      <formula>"AGILIS"</formula>
    </cfRule>
  </conditionalFormatting>
  <conditionalFormatting sqref="H1455:I1455">
    <cfRule type="cellIs" dxfId="1875" priority="1314" operator="equal">
      <formula>"AGILIS"</formula>
    </cfRule>
  </conditionalFormatting>
  <conditionalFormatting sqref="G1456">
    <cfRule type="cellIs" dxfId="1874" priority="1312" operator="equal">
      <formula>"LQA"</formula>
    </cfRule>
    <cfRule type="cellIs" dxfId="1873" priority="1313" operator="equal">
      <formula>"IT"</formula>
    </cfRule>
  </conditionalFormatting>
  <conditionalFormatting sqref="F1456 D1456">
    <cfRule type="cellIs" dxfId="1872" priority="1311" operator="equal">
      <formula>"AGILIS"</formula>
    </cfRule>
  </conditionalFormatting>
  <conditionalFormatting sqref="G1457">
    <cfRule type="cellIs" dxfId="1871" priority="1309" operator="equal">
      <formula>"LQA"</formula>
    </cfRule>
    <cfRule type="cellIs" dxfId="1870" priority="1310" operator="equal">
      <formula>"IT"</formula>
    </cfRule>
  </conditionalFormatting>
  <conditionalFormatting sqref="F1457 D1457">
    <cfRule type="cellIs" dxfId="1869" priority="1308" operator="equal">
      <formula>"AGILIS"</formula>
    </cfRule>
  </conditionalFormatting>
  <conditionalFormatting sqref="G1458">
    <cfRule type="cellIs" dxfId="1868" priority="1306" operator="equal">
      <formula>"LQA"</formula>
    </cfRule>
    <cfRule type="cellIs" dxfId="1867" priority="1307" operator="equal">
      <formula>"IT"</formula>
    </cfRule>
  </conditionalFormatting>
  <conditionalFormatting sqref="F1458 D1458">
    <cfRule type="cellIs" dxfId="1866" priority="1305" operator="equal">
      <formula>"AGILIS"</formula>
    </cfRule>
  </conditionalFormatting>
  <conditionalFormatting sqref="G1459">
    <cfRule type="cellIs" dxfId="1865" priority="1303" operator="equal">
      <formula>"LQA"</formula>
    </cfRule>
    <cfRule type="cellIs" dxfId="1864" priority="1304" operator="equal">
      <formula>"IT"</formula>
    </cfRule>
  </conditionalFormatting>
  <conditionalFormatting sqref="F1459 D1459">
    <cfRule type="cellIs" dxfId="1863" priority="1302" operator="equal">
      <formula>"AGILIS"</formula>
    </cfRule>
  </conditionalFormatting>
  <conditionalFormatting sqref="H1460">
    <cfRule type="cellIs" dxfId="1862" priority="1301" operator="equal">
      <formula>"AGILIS"</formula>
    </cfRule>
  </conditionalFormatting>
  <conditionalFormatting sqref="G1460">
    <cfRule type="cellIs" dxfId="1861" priority="1299" operator="equal">
      <formula>"LQA"</formula>
    </cfRule>
    <cfRule type="cellIs" dxfId="1860" priority="1300" operator="equal">
      <formula>"IT"</formula>
    </cfRule>
  </conditionalFormatting>
  <conditionalFormatting sqref="F1460 D1460">
    <cfRule type="cellIs" dxfId="1859" priority="1298" operator="equal">
      <formula>"AGILIS"</formula>
    </cfRule>
  </conditionalFormatting>
  <conditionalFormatting sqref="G1461">
    <cfRule type="cellIs" dxfId="1858" priority="1296" operator="equal">
      <formula>"LQA"</formula>
    </cfRule>
    <cfRule type="cellIs" dxfId="1857" priority="1297" operator="equal">
      <formula>"IT"</formula>
    </cfRule>
  </conditionalFormatting>
  <conditionalFormatting sqref="F1461 D1461">
    <cfRule type="cellIs" dxfId="1856" priority="1295" operator="equal">
      <formula>"AGILIS"</formula>
    </cfRule>
  </conditionalFormatting>
  <conditionalFormatting sqref="G1462">
    <cfRule type="cellIs" dxfId="1855" priority="1293" operator="equal">
      <formula>"LQA"</formula>
    </cfRule>
    <cfRule type="cellIs" dxfId="1854" priority="1294" operator="equal">
      <formula>"IT"</formula>
    </cfRule>
  </conditionalFormatting>
  <conditionalFormatting sqref="F1462 D1462">
    <cfRule type="cellIs" dxfId="1853" priority="1292" operator="equal">
      <formula>"AGILIS"</formula>
    </cfRule>
  </conditionalFormatting>
  <conditionalFormatting sqref="G1463">
    <cfRule type="cellIs" dxfId="1852" priority="1290" operator="equal">
      <formula>"LQA"</formula>
    </cfRule>
    <cfRule type="cellIs" dxfId="1851" priority="1291" operator="equal">
      <formula>"IT"</formula>
    </cfRule>
  </conditionalFormatting>
  <conditionalFormatting sqref="F1463 D1463">
    <cfRule type="cellIs" dxfId="1850" priority="1289" operator="equal">
      <formula>"AGILIS"</formula>
    </cfRule>
  </conditionalFormatting>
  <conditionalFormatting sqref="G1464">
    <cfRule type="cellIs" dxfId="1849" priority="1287" operator="equal">
      <formula>"LQA"</formula>
    </cfRule>
    <cfRule type="cellIs" dxfId="1848" priority="1288" operator="equal">
      <formula>"IT"</formula>
    </cfRule>
  </conditionalFormatting>
  <conditionalFormatting sqref="F1464 D1464">
    <cfRule type="cellIs" dxfId="1847" priority="1286" operator="equal">
      <formula>"AGILIS"</formula>
    </cfRule>
  </conditionalFormatting>
  <conditionalFormatting sqref="Z1465 H1465">
    <cfRule type="cellIs" dxfId="1846" priority="1285" operator="equal">
      <formula>"AGILIS"</formula>
    </cfRule>
  </conditionalFormatting>
  <conditionalFormatting sqref="G1465">
    <cfRule type="cellIs" dxfId="1845" priority="1283" operator="equal">
      <formula>"LQA"</formula>
    </cfRule>
    <cfRule type="cellIs" dxfId="1844" priority="1284" operator="equal">
      <formula>"IT"</formula>
    </cfRule>
  </conditionalFormatting>
  <conditionalFormatting sqref="F1465 D1465">
    <cfRule type="cellIs" dxfId="1843" priority="1282" operator="equal">
      <formula>"AGILIS"</formula>
    </cfRule>
  </conditionalFormatting>
  <conditionalFormatting sqref="Z1466 H1466">
    <cfRule type="cellIs" dxfId="1842" priority="1281" operator="equal">
      <formula>"AGILIS"</formula>
    </cfRule>
  </conditionalFormatting>
  <conditionalFormatting sqref="G1466">
    <cfRule type="cellIs" dxfId="1841" priority="1279" operator="equal">
      <formula>"LQA"</formula>
    </cfRule>
    <cfRule type="cellIs" dxfId="1840" priority="1280" operator="equal">
      <formula>"IT"</formula>
    </cfRule>
  </conditionalFormatting>
  <conditionalFormatting sqref="F1466 D1466">
    <cfRule type="cellIs" dxfId="1839" priority="1278" operator="equal">
      <formula>"AGILIS"</formula>
    </cfRule>
  </conditionalFormatting>
  <conditionalFormatting sqref="G1467">
    <cfRule type="cellIs" dxfId="1838" priority="1275" operator="equal">
      <formula>"LQA"</formula>
    </cfRule>
    <cfRule type="cellIs" dxfId="1837" priority="1276" operator="equal">
      <formula>"IT"</formula>
    </cfRule>
  </conditionalFormatting>
  <conditionalFormatting sqref="F1467 D1467">
    <cfRule type="cellIs" dxfId="1836" priority="1274" operator="equal">
      <formula>"AGILIS"</formula>
    </cfRule>
  </conditionalFormatting>
  <conditionalFormatting sqref="G1468">
    <cfRule type="cellIs" dxfId="1835" priority="1272" operator="equal">
      <formula>"LQA"</formula>
    </cfRule>
    <cfRule type="cellIs" dxfId="1834" priority="1273" operator="equal">
      <formula>"IT"</formula>
    </cfRule>
  </conditionalFormatting>
  <conditionalFormatting sqref="F1468 D1468">
    <cfRule type="cellIs" dxfId="1833" priority="1271" operator="equal">
      <formula>"AGILIS"</formula>
    </cfRule>
  </conditionalFormatting>
  <conditionalFormatting sqref="G1469">
    <cfRule type="cellIs" dxfId="1832" priority="1269" operator="equal">
      <formula>"LQA"</formula>
    </cfRule>
    <cfRule type="cellIs" dxfId="1831" priority="1270" operator="equal">
      <formula>"IT"</formula>
    </cfRule>
  </conditionalFormatting>
  <conditionalFormatting sqref="F1469 D1469">
    <cfRule type="cellIs" dxfId="1830" priority="1268" operator="equal">
      <formula>"AGILIS"</formula>
    </cfRule>
  </conditionalFormatting>
  <conditionalFormatting sqref="G1470">
    <cfRule type="cellIs" dxfId="1829" priority="1266" operator="equal">
      <formula>"LQA"</formula>
    </cfRule>
    <cfRule type="cellIs" dxfId="1828" priority="1267" operator="equal">
      <formula>"IT"</formula>
    </cfRule>
  </conditionalFormatting>
  <conditionalFormatting sqref="F1470 D1470">
    <cfRule type="cellIs" dxfId="1827" priority="1265" operator="equal">
      <formula>"AGILIS"</formula>
    </cfRule>
  </conditionalFormatting>
  <conditionalFormatting sqref="G1471">
    <cfRule type="cellIs" dxfId="1826" priority="1263" operator="equal">
      <formula>"LQA"</formula>
    </cfRule>
    <cfRule type="cellIs" dxfId="1825" priority="1264" operator="equal">
      <formula>"IT"</formula>
    </cfRule>
  </conditionalFormatting>
  <conditionalFormatting sqref="F1471 D1471">
    <cfRule type="cellIs" dxfId="1824" priority="1262" operator="equal">
      <formula>"AGILIS"</formula>
    </cfRule>
  </conditionalFormatting>
  <conditionalFormatting sqref="Z1472 H1472:I1472">
    <cfRule type="cellIs" dxfId="1823" priority="1261" operator="equal">
      <formula>"AGILIS"</formula>
    </cfRule>
  </conditionalFormatting>
  <conditionalFormatting sqref="G1472">
    <cfRule type="cellIs" dxfId="1822" priority="1259" operator="equal">
      <formula>"LQA"</formula>
    </cfRule>
    <cfRule type="cellIs" dxfId="1821" priority="1260" operator="equal">
      <formula>"IT"</formula>
    </cfRule>
  </conditionalFormatting>
  <conditionalFormatting sqref="F1472 D1472">
    <cfRule type="cellIs" dxfId="1820" priority="1258" operator="equal">
      <formula>"AGILIS"</formula>
    </cfRule>
  </conditionalFormatting>
  <conditionalFormatting sqref="G1473">
    <cfRule type="cellIs" dxfId="1819" priority="1256" operator="equal">
      <formula>"LQA"</formula>
    </cfRule>
    <cfRule type="cellIs" dxfId="1818" priority="1257" operator="equal">
      <formula>"IT"</formula>
    </cfRule>
  </conditionalFormatting>
  <conditionalFormatting sqref="F1473 D1473">
    <cfRule type="cellIs" dxfId="1817" priority="1255" operator="equal">
      <formula>"AGILIS"</formula>
    </cfRule>
  </conditionalFormatting>
  <conditionalFormatting sqref="G1474">
    <cfRule type="cellIs" dxfId="1816" priority="1253" operator="equal">
      <formula>"LQA"</formula>
    </cfRule>
    <cfRule type="cellIs" dxfId="1815" priority="1254" operator="equal">
      <formula>"IT"</formula>
    </cfRule>
  </conditionalFormatting>
  <conditionalFormatting sqref="F1474 D1474">
    <cfRule type="cellIs" dxfId="1814" priority="1252" operator="equal">
      <formula>"AGILIS"</formula>
    </cfRule>
  </conditionalFormatting>
  <conditionalFormatting sqref="G1475">
    <cfRule type="cellIs" dxfId="1813" priority="1250" operator="equal">
      <formula>"LQA"</formula>
    </cfRule>
    <cfRule type="cellIs" dxfId="1812" priority="1251" operator="equal">
      <formula>"IT"</formula>
    </cfRule>
  </conditionalFormatting>
  <conditionalFormatting sqref="F1475 D1475">
    <cfRule type="cellIs" dxfId="1811" priority="1249" operator="equal">
      <formula>"AGILIS"</formula>
    </cfRule>
  </conditionalFormatting>
  <conditionalFormatting sqref="G1476">
    <cfRule type="cellIs" dxfId="1810" priority="1247" operator="equal">
      <formula>"LQA"</formula>
    </cfRule>
    <cfRule type="cellIs" dxfId="1809" priority="1248" operator="equal">
      <formula>"IT"</formula>
    </cfRule>
  </conditionalFormatting>
  <conditionalFormatting sqref="F1476 D1476">
    <cfRule type="cellIs" dxfId="1808" priority="1246" operator="equal">
      <formula>"AGILIS"</formula>
    </cfRule>
  </conditionalFormatting>
  <conditionalFormatting sqref="G1477">
    <cfRule type="cellIs" dxfId="1807" priority="1244" operator="equal">
      <formula>"LQA"</formula>
    </cfRule>
    <cfRule type="cellIs" dxfId="1806" priority="1245" operator="equal">
      <formula>"IT"</formula>
    </cfRule>
  </conditionalFormatting>
  <conditionalFormatting sqref="F1477 D1477">
    <cfRule type="cellIs" dxfId="1805" priority="1243" operator="equal">
      <formula>"AGILIS"</formula>
    </cfRule>
  </conditionalFormatting>
  <conditionalFormatting sqref="G1478">
    <cfRule type="cellIs" dxfId="1804" priority="1241" operator="equal">
      <formula>"LQA"</formula>
    </cfRule>
    <cfRule type="cellIs" dxfId="1803" priority="1242" operator="equal">
      <formula>"IT"</formula>
    </cfRule>
  </conditionalFormatting>
  <conditionalFormatting sqref="F1478 D1478">
    <cfRule type="cellIs" dxfId="1802" priority="1240" operator="equal">
      <formula>"AGILIS"</formula>
    </cfRule>
  </conditionalFormatting>
  <conditionalFormatting sqref="G1479">
    <cfRule type="cellIs" dxfId="1801" priority="1238" operator="equal">
      <formula>"LQA"</formula>
    </cfRule>
    <cfRule type="cellIs" dxfId="1800" priority="1239" operator="equal">
      <formula>"IT"</formula>
    </cfRule>
  </conditionalFormatting>
  <conditionalFormatting sqref="F1479 D1479">
    <cfRule type="cellIs" dxfId="1799" priority="1237" operator="equal">
      <formula>"AGILIS"</formula>
    </cfRule>
  </conditionalFormatting>
  <conditionalFormatting sqref="G1480">
    <cfRule type="cellIs" dxfId="1798" priority="1235" operator="equal">
      <formula>"LQA"</formula>
    </cfRule>
    <cfRule type="cellIs" dxfId="1797" priority="1236" operator="equal">
      <formula>"IT"</formula>
    </cfRule>
  </conditionalFormatting>
  <conditionalFormatting sqref="F1480 D1480">
    <cfRule type="cellIs" dxfId="1796" priority="1234" operator="equal">
      <formula>"AGILIS"</formula>
    </cfRule>
  </conditionalFormatting>
  <conditionalFormatting sqref="H1480">
    <cfRule type="cellIs" dxfId="1795" priority="1233" operator="equal">
      <formula>"AGILIS"</formula>
    </cfRule>
  </conditionalFormatting>
  <conditionalFormatting sqref="H1481">
    <cfRule type="cellIs" dxfId="1794" priority="1231" operator="equal">
      <formula>"AGILIS"</formula>
    </cfRule>
  </conditionalFormatting>
  <conditionalFormatting sqref="G1481">
    <cfRule type="cellIs" dxfId="1793" priority="1229" operator="equal">
      <formula>"LQA"</formula>
    </cfRule>
    <cfRule type="cellIs" dxfId="1792" priority="1230" operator="equal">
      <formula>"IT"</formula>
    </cfRule>
  </conditionalFormatting>
  <conditionalFormatting sqref="F1481 D1481">
    <cfRule type="cellIs" dxfId="1791" priority="1228" operator="equal">
      <formula>"AGILIS"</formula>
    </cfRule>
  </conditionalFormatting>
  <conditionalFormatting sqref="I1482">
    <cfRule type="cellIs" dxfId="1790" priority="1227" operator="equal">
      <formula>"AGILIS"</formula>
    </cfRule>
  </conditionalFormatting>
  <conditionalFormatting sqref="H1482">
    <cfRule type="cellIs" dxfId="1789" priority="1226" operator="equal">
      <formula>"AGILIS"</formula>
    </cfRule>
  </conditionalFormatting>
  <conditionalFormatting sqref="G1482">
    <cfRule type="cellIs" dxfId="1788" priority="1224" operator="equal">
      <formula>"LQA"</formula>
    </cfRule>
    <cfRule type="cellIs" dxfId="1787" priority="1225" operator="equal">
      <formula>"IT"</formula>
    </cfRule>
  </conditionalFormatting>
  <conditionalFormatting sqref="F1482 D1482">
    <cfRule type="cellIs" dxfId="1786" priority="1223" operator="equal">
      <formula>"AGILIS"</formula>
    </cfRule>
  </conditionalFormatting>
  <conditionalFormatting sqref="G1483">
    <cfRule type="cellIs" dxfId="1785" priority="1221" operator="equal">
      <formula>"LQA"</formula>
    </cfRule>
    <cfRule type="cellIs" dxfId="1784" priority="1222" operator="equal">
      <formula>"IT"</formula>
    </cfRule>
  </conditionalFormatting>
  <conditionalFormatting sqref="F1483 D1483">
    <cfRule type="cellIs" dxfId="1783" priority="1220" operator="equal">
      <formula>"AGILIS"</formula>
    </cfRule>
  </conditionalFormatting>
  <conditionalFormatting sqref="G1484">
    <cfRule type="cellIs" dxfId="1782" priority="1218" operator="equal">
      <formula>"LQA"</formula>
    </cfRule>
    <cfRule type="cellIs" dxfId="1781" priority="1219" operator="equal">
      <formula>"IT"</formula>
    </cfRule>
  </conditionalFormatting>
  <conditionalFormatting sqref="F1484 D1484">
    <cfRule type="cellIs" dxfId="1780" priority="1217" operator="equal">
      <formula>"AGILIS"</formula>
    </cfRule>
  </conditionalFormatting>
  <conditionalFormatting sqref="G1485">
    <cfRule type="cellIs" dxfId="1779" priority="1215" operator="equal">
      <formula>"LQA"</formula>
    </cfRule>
    <cfRule type="cellIs" dxfId="1778" priority="1216" operator="equal">
      <formula>"IT"</formula>
    </cfRule>
  </conditionalFormatting>
  <conditionalFormatting sqref="F1485 D1485">
    <cfRule type="cellIs" dxfId="1777" priority="1214" operator="equal">
      <formula>"AGILIS"</formula>
    </cfRule>
  </conditionalFormatting>
  <conditionalFormatting sqref="G1486">
    <cfRule type="cellIs" dxfId="1776" priority="1212" operator="equal">
      <formula>"LQA"</formula>
    </cfRule>
    <cfRule type="cellIs" dxfId="1775" priority="1213" operator="equal">
      <formula>"IT"</formula>
    </cfRule>
  </conditionalFormatting>
  <conditionalFormatting sqref="F1486 D1486">
    <cfRule type="cellIs" dxfId="1774" priority="1211" operator="equal">
      <formula>"AGILIS"</formula>
    </cfRule>
  </conditionalFormatting>
  <conditionalFormatting sqref="G1487">
    <cfRule type="cellIs" dxfId="1773" priority="1209" operator="equal">
      <formula>"LQA"</formula>
    </cfRule>
    <cfRule type="cellIs" dxfId="1772" priority="1210" operator="equal">
      <formula>"IT"</formula>
    </cfRule>
  </conditionalFormatting>
  <conditionalFormatting sqref="F1487 D1487">
    <cfRule type="cellIs" dxfId="1771" priority="1208" operator="equal">
      <formula>"AGILIS"</formula>
    </cfRule>
  </conditionalFormatting>
  <conditionalFormatting sqref="G1488">
    <cfRule type="cellIs" dxfId="1770" priority="1203" operator="equal">
      <formula>"LQA"</formula>
    </cfRule>
    <cfRule type="cellIs" dxfId="1769" priority="1204" operator="equal">
      <formula>"IT"</formula>
    </cfRule>
  </conditionalFormatting>
  <conditionalFormatting sqref="F1488 D1488">
    <cfRule type="cellIs" dxfId="1768" priority="1202" operator="equal">
      <formula>"AGILIS"</formula>
    </cfRule>
  </conditionalFormatting>
  <conditionalFormatting sqref="G1489">
    <cfRule type="cellIs" dxfId="1767" priority="1200" operator="equal">
      <formula>"LQA"</formula>
    </cfRule>
    <cfRule type="cellIs" dxfId="1766" priority="1201" operator="equal">
      <formula>"IT"</formula>
    </cfRule>
  </conditionalFormatting>
  <conditionalFormatting sqref="F1489 D1489">
    <cfRule type="cellIs" dxfId="1765" priority="1199" operator="equal">
      <formula>"AGILIS"</formula>
    </cfRule>
  </conditionalFormatting>
  <conditionalFormatting sqref="G1490">
    <cfRule type="cellIs" dxfId="1764" priority="1197" operator="equal">
      <formula>"LQA"</formula>
    </cfRule>
    <cfRule type="cellIs" dxfId="1763" priority="1198" operator="equal">
      <formula>"IT"</formula>
    </cfRule>
  </conditionalFormatting>
  <conditionalFormatting sqref="F1490 D1490">
    <cfRule type="cellIs" dxfId="1762" priority="1196" operator="equal">
      <formula>"AGILIS"</formula>
    </cfRule>
  </conditionalFormatting>
  <conditionalFormatting sqref="G1491">
    <cfRule type="cellIs" dxfId="1761" priority="1194" operator="equal">
      <formula>"LQA"</formula>
    </cfRule>
    <cfRule type="cellIs" dxfId="1760" priority="1195" operator="equal">
      <formula>"IT"</formula>
    </cfRule>
  </conditionalFormatting>
  <conditionalFormatting sqref="F1491 D1491">
    <cfRule type="cellIs" dxfId="1759" priority="1193" operator="equal">
      <formula>"AGILIS"</formula>
    </cfRule>
  </conditionalFormatting>
  <conditionalFormatting sqref="H1492">
    <cfRule type="cellIs" dxfId="1758" priority="1192" operator="equal">
      <formula>"AGILIS"</formula>
    </cfRule>
  </conditionalFormatting>
  <conditionalFormatting sqref="G1492">
    <cfRule type="cellIs" dxfId="1757" priority="1190" operator="equal">
      <formula>"LQA"</formula>
    </cfRule>
    <cfRule type="cellIs" dxfId="1756" priority="1191" operator="equal">
      <formula>"IT"</formula>
    </cfRule>
  </conditionalFormatting>
  <conditionalFormatting sqref="F1492 D1492">
    <cfRule type="cellIs" dxfId="1755" priority="1189" operator="equal">
      <formula>"AGILIS"</formula>
    </cfRule>
  </conditionalFormatting>
  <conditionalFormatting sqref="G1493">
    <cfRule type="cellIs" dxfId="1754" priority="1187" operator="equal">
      <formula>"LQA"</formula>
    </cfRule>
    <cfRule type="cellIs" dxfId="1753" priority="1188" operator="equal">
      <formula>"IT"</formula>
    </cfRule>
  </conditionalFormatting>
  <conditionalFormatting sqref="F1493 D1493">
    <cfRule type="cellIs" dxfId="1752" priority="1186" operator="equal">
      <formula>"AGILIS"</formula>
    </cfRule>
  </conditionalFormatting>
  <conditionalFormatting sqref="G1494">
    <cfRule type="cellIs" dxfId="1751" priority="1184" operator="equal">
      <formula>"LQA"</formula>
    </cfRule>
    <cfRule type="cellIs" dxfId="1750" priority="1185" operator="equal">
      <formula>"IT"</formula>
    </cfRule>
  </conditionalFormatting>
  <conditionalFormatting sqref="F1494 D1494">
    <cfRule type="cellIs" dxfId="1749" priority="1183" operator="equal">
      <formula>"AGILIS"</formula>
    </cfRule>
  </conditionalFormatting>
  <conditionalFormatting sqref="H1494">
    <cfRule type="cellIs" dxfId="1748" priority="1182" operator="equal">
      <formula>"AGILIS"</formula>
    </cfRule>
  </conditionalFormatting>
  <conditionalFormatting sqref="G1495">
    <cfRule type="cellIs" dxfId="1747" priority="1180" operator="equal">
      <formula>"LQA"</formula>
    </cfRule>
    <cfRule type="cellIs" dxfId="1746" priority="1181" operator="equal">
      <formula>"IT"</formula>
    </cfRule>
  </conditionalFormatting>
  <conditionalFormatting sqref="F1495 D1495">
    <cfRule type="cellIs" dxfId="1745" priority="1179" operator="equal">
      <formula>"AGILIS"</formula>
    </cfRule>
  </conditionalFormatting>
  <conditionalFormatting sqref="G1496">
    <cfRule type="cellIs" dxfId="1744" priority="1177" operator="equal">
      <formula>"LQA"</formula>
    </cfRule>
    <cfRule type="cellIs" dxfId="1743" priority="1178" operator="equal">
      <formula>"IT"</formula>
    </cfRule>
  </conditionalFormatting>
  <conditionalFormatting sqref="F1496 D1496">
    <cfRule type="cellIs" dxfId="1742" priority="1176" operator="equal">
      <formula>"AGILIS"</formula>
    </cfRule>
  </conditionalFormatting>
  <conditionalFormatting sqref="G1497">
    <cfRule type="cellIs" dxfId="1741" priority="1174" operator="equal">
      <formula>"LQA"</formula>
    </cfRule>
    <cfRule type="cellIs" dxfId="1740" priority="1175" operator="equal">
      <formula>"IT"</formula>
    </cfRule>
  </conditionalFormatting>
  <conditionalFormatting sqref="F1497 D1497">
    <cfRule type="cellIs" dxfId="1739" priority="1173" operator="equal">
      <formula>"AGILIS"</formula>
    </cfRule>
  </conditionalFormatting>
  <conditionalFormatting sqref="G1498">
    <cfRule type="cellIs" dxfId="1738" priority="1171" operator="equal">
      <formula>"LQA"</formula>
    </cfRule>
    <cfRule type="cellIs" dxfId="1737" priority="1172" operator="equal">
      <formula>"IT"</formula>
    </cfRule>
  </conditionalFormatting>
  <conditionalFormatting sqref="F1498 D1498">
    <cfRule type="cellIs" dxfId="1736" priority="1170" operator="equal">
      <formula>"AGILIS"</formula>
    </cfRule>
  </conditionalFormatting>
  <conditionalFormatting sqref="H1499">
    <cfRule type="cellIs" dxfId="1735" priority="1169" operator="equal">
      <formula>"AGILIS"</formula>
    </cfRule>
  </conditionalFormatting>
  <conditionalFormatting sqref="G1499">
    <cfRule type="cellIs" dxfId="1734" priority="1167" operator="equal">
      <formula>"LQA"</formula>
    </cfRule>
    <cfRule type="cellIs" dxfId="1733" priority="1168" operator="equal">
      <formula>"IT"</formula>
    </cfRule>
  </conditionalFormatting>
  <conditionalFormatting sqref="F1499 D1499">
    <cfRule type="cellIs" dxfId="1732" priority="1166" operator="equal">
      <formula>"AGILIS"</formula>
    </cfRule>
  </conditionalFormatting>
  <conditionalFormatting sqref="H1500">
    <cfRule type="cellIs" dxfId="1731" priority="1165" operator="equal">
      <formula>"AGILIS"</formula>
    </cfRule>
  </conditionalFormatting>
  <conditionalFormatting sqref="G1500">
    <cfRule type="cellIs" dxfId="1730" priority="1163" operator="equal">
      <formula>"LQA"</formula>
    </cfRule>
    <cfRule type="cellIs" dxfId="1729" priority="1164" operator="equal">
      <formula>"IT"</formula>
    </cfRule>
  </conditionalFormatting>
  <conditionalFormatting sqref="F1500 D1500">
    <cfRule type="cellIs" dxfId="1728" priority="1162" operator="equal">
      <formula>"AGILIS"</formula>
    </cfRule>
  </conditionalFormatting>
  <conditionalFormatting sqref="H1501">
    <cfRule type="cellIs" dxfId="1727" priority="1161" operator="equal">
      <formula>"AGILIS"</formula>
    </cfRule>
  </conditionalFormatting>
  <conditionalFormatting sqref="G1501">
    <cfRule type="cellIs" dxfId="1726" priority="1159" operator="equal">
      <formula>"LQA"</formula>
    </cfRule>
    <cfRule type="cellIs" dxfId="1725" priority="1160" operator="equal">
      <formula>"IT"</formula>
    </cfRule>
  </conditionalFormatting>
  <conditionalFormatting sqref="F1501 D1501">
    <cfRule type="cellIs" dxfId="1724" priority="1158" operator="equal">
      <formula>"AGILIS"</formula>
    </cfRule>
  </conditionalFormatting>
  <conditionalFormatting sqref="H1502">
    <cfRule type="cellIs" dxfId="1723" priority="1157" operator="equal">
      <formula>"AGILIS"</formula>
    </cfRule>
  </conditionalFormatting>
  <conditionalFormatting sqref="G1502">
    <cfRule type="cellIs" dxfId="1722" priority="1155" operator="equal">
      <formula>"LQA"</formula>
    </cfRule>
    <cfRule type="cellIs" dxfId="1721" priority="1156" operator="equal">
      <formula>"IT"</formula>
    </cfRule>
  </conditionalFormatting>
  <conditionalFormatting sqref="F1502 D1502">
    <cfRule type="cellIs" dxfId="1720" priority="1154" operator="equal">
      <formula>"AGILIS"</formula>
    </cfRule>
  </conditionalFormatting>
  <conditionalFormatting sqref="G1503">
    <cfRule type="cellIs" dxfId="1719" priority="1152" operator="equal">
      <formula>"LQA"</formula>
    </cfRule>
    <cfRule type="cellIs" dxfId="1718" priority="1153" operator="equal">
      <formula>"IT"</formula>
    </cfRule>
  </conditionalFormatting>
  <conditionalFormatting sqref="F1503 D1503">
    <cfRule type="cellIs" dxfId="1717" priority="1151" operator="equal">
      <formula>"AGILIS"</formula>
    </cfRule>
  </conditionalFormatting>
  <conditionalFormatting sqref="H1503">
    <cfRule type="cellIs" dxfId="1716" priority="1150" operator="equal">
      <formula>"AGILIS"</formula>
    </cfRule>
  </conditionalFormatting>
  <conditionalFormatting sqref="I1465">
    <cfRule type="cellIs" dxfId="1715" priority="1149" operator="equal">
      <formula>"AGILIS"</formula>
    </cfRule>
  </conditionalFormatting>
  <conditionalFormatting sqref="G1504">
    <cfRule type="cellIs" dxfId="1714" priority="1147" operator="equal">
      <formula>"LQA"</formula>
    </cfRule>
    <cfRule type="cellIs" dxfId="1713" priority="1148" operator="equal">
      <formula>"IT"</formula>
    </cfRule>
  </conditionalFormatting>
  <conditionalFormatting sqref="F1504 D1504">
    <cfRule type="cellIs" dxfId="1712" priority="1146" operator="equal">
      <formula>"AGILIS"</formula>
    </cfRule>
  </conditionalFormatting>
  <conditionalFormatting sqref="G1505">
    <cfRule type="cellIs" dxfId="1711" priority="1144" operator="equal">
      <formula>"LQA"</formula>
    </cfRule>
    <cfRule type="cellIs" dxfId="1710" priority="1145" operator="equal">
      <formula>"IT"</formula>
    </cfRule>
  </conditionalFormatting>
  <conditionalFormatting sqref="F1505 D1505">
    <cfRule type="cellIs" dxfId="1709" priority="1143" operator="equal">
      <formula>"AGILIS"</formula>
    </cfRule>
  </conditionalFormatting>
  <conditionalFormatting sqref="G1506">
    <cfRule type="cellIs" dxfId="1708" priority="1141" operator="equal">
      <formula>"LQA"</formula>
    </cfRule>
    <cfRule type="cellIs" dxfId="1707" priority="1142" operator="equal">
      <formula>"IT"</formula>
    </cfRule>
  </conditionalFormatting>
  <conditionalFormatting sqref="F1506 D1506">
    <cfRule type="cellIs" dxfId="1706" priority="1140" operator="equal">
      <formula>"AGILIS"</formula>
    </cfRule>
  </conditionalFormatting>
  <conditionalFormatting sqref="H1506">
    <cfRule type="cellIs" dxfId="1705" priority="1139" operator="equal">
      <formula>"AGILIS"</formula>
    </cfRule>
  </conditionalFormatting>
  <conditionalFormatting sqref="I1466">
    <cfRule type="cellIs" dxfId="1704" priority="1138" operator="equal">
      <formula>"AGILIS"</formula>
    </cfRule>
  </conditionalFormatting>
  <conditionalFormatting sqref="I1480">
    <cfRule type="cellIs" dxfId="1703" priority="1137" operator="equal">
      <formula>"AGILIS"</formula>
    </cfRule>
  </conditionalFormatting>
  <conditionalFormatting sqref="G1507">
    <cfRule type="cellIs" dxfId="1702" priority="1135" operator="equal">
      <formula>"LQA"</formula>
    </cfRule>
    <cfRule type="cellIs" dxfId="1701" priority="1136" operator="equal">
      <formula>"IT"</formula>
    </cfRule>
  </conditionalFormatting>
  <conditionalFormatting sqref="F1507 D1507">
    <cfRule type="cellIs" dxfId="1700" priority="1134" operator="equal">
      <formula>"AGILIS"</formula>
    </cfRule>
  </conditionalFormatting>
  <conditionalFormatting sqref="G1508">
    <cfRule type="cellIs" dxfId="1699" priority="1132" operator="equal">
      <formula>"LQA"</formula>
    </cfRule>
    <cfRule type="cellIs" dxfId="1698" priority="1133" operator="equal">
      <formula>"IT"</formula>
    </cfRule>
  </conditionalFormatting>
  <conditionalFormatting sqref="F1508 D1508">
    <cfRule type="cellIs" dxfId="1697" priority="1131" operator="equal">
      <formula>"AGILIS"</formula>
    </cfRule>
  </conditionalFormatting>
  <conditionalFormatting sqref="G1509">
    <cfRule type="cellIs" dxfId="1696" priority="1129" operator="equal">
      <formula>"LQA"</formula>
    </cfRule>
    <cfRule type="cellIs" dxfId="1695" priority="1130" operator="equal">
      <formula>"IT"</formula>
    </cfRule>
  </conditionalFormatting>
  <conditionalFormatting sqref="F1509 D1509">
    <cfRule type="cellIs" dxfId="1694" priority="1128" operator="equal">
      <formula>"AGILIS"</formula>
    </cfRule>
  </conditionalFormatting>
  <conditionalFormatting sqref="G1510">
    <cfRule type="cellIs" dxfId="1693" priority="1126" operator="equal">
      <formula>"LQA"</formula>
    </cfRule>
    <cfRule type="cellIs" dxfId="1692" priority="1127" operator="equal">
      <formula>"IT"</formula>
    </cfRule>
  </conditionalFormatting>
  <conditionalFormatting sqref="F1510 D1510">
    <cfRule type="cellIs" dxfId="1691" priority="1125" operator="equal">
      <formula>"AGILIS"</formula>
    </cfRule>
  </conditionalFormatting>
  <conditionalFormatting sqref="G1511">
    <cfRule type="cellIs" dxfId="1690" priority="1123" operator="equal">
      <formula>"LQA"</formula>
    </cfRule>
    <cfRule type="cellIs" dxfId="1689" priority="1124" operator="equal">
      <formula>"IT"</formula>
    </cfRule>
  </conditionalFormatting>
  <conditionalFormatting sqref="F1511 D1511">
    <cfRule type="cellIs" dxfId="1688" priority="1122" operator="equal">
      <formula>"AGILIS"</formula>
    </cfRule>
  </conditionalFormatting>
  <conditionalFormatting sqref="G1512">
    <cfRule type="cellIs" dxfId="1687" priority="1120" operator="equal">
      <formula>"LQA"</formula>
    </cfRule>
    <cfRule type="cellIs" dxfId="1686" priority="1121" operator="equal">
      <formula>"IT"</formula>
    </cfRule>
  </conditionalFormatting>
  <conditionalFormatting sqref="F1512 D1512">
    <cfRule type="cellIs" dxfId="1685" priority="1119" operator="equal">
      <formula>"AGILIS"</formula>
    </cfRule>
  </conditionalFormatting>
  <conditionalFormatting sqref="G1513">
    <cfRule type="cellIs" dxfId="1684" priority="1117" operator="equal">
      <formula>"LQA"</formula>
    </cfRule>
    <cfRule type="cellIs" dxfId="1683" priority="1118" operator="equal">
      <formula>"IT"</formula>
    </cfRule>
  </conditionalFormatting>
  <conditionalFormatting sqref="F1513 D1513">
    <cfRule type="cellIs" dxfId="1682" priority="1116" operator="equal">
      <formula>"AGILIS"</formula>
    </cfRule>
  </conditionalFormatting>
  <conditionalFormatting sqref="G1515">
    <cfRule type="cellIs" dxfId="1681" priority="1114" operator="equal">
      <formula>"LQA"</formula>
    </cfRule>
    <cfRule type="cellIs" dxfId="1680" priority="1115" operator="equal">
      <formula>"IT"</formula>
    </cfRule>
  </conditionalFormatting>
  <conditionalFormatting sqref="F1515 D1515">
    <cfRule type="cellIs" dxfId="1679" priority="1113" operator="equal">
      <formula>"AGILIS"</formula>
    </cfRule>
  </conditionalFormatting>
  <conditionalFormatting sqref="G1516">
    <cfRule type="cellIs" dxfId="1678" priority="1111" operator="equal">
      <formula>"LQA"</formula>
    </cfRule>
    <cfRule type="cellIs" dxfId="1677" priority="1112" operator="equal">
      <formula>"IT"</formula>
    </cfRule>
  </conditionalFormatting>
  <conditionalFormatting sqref="F1516 D1516">
    <cfRule type="cellIs" dxfId="1676" priority="1110" operator="equal">
      <formula>"AGILIS"</formula>
    </cfRule>
  </conditionalFormatting>
  <conditionalFormatting sqref="H1517:I1517">
    <cfRule type="cellIs" dxfId="1675" priority="1109" operator="equal">
      <formula>"AGILIS"</formula>
    </cfRule>
  </conditionalFormatting>
  <conditionalFormatting sqref="G1517">
    <cfRule type="cellIs" dxfId="1674" priority="1107" operator="equal">
      <formula>"LQA"</formula>
    </cfRule>
    <cfRule type="cellIs" dxfId="1673" priority="1108" operator="equal">
      <formula>"IT"</formula>
    </cfRule>
  </conditionalFormatting>
  <conditionalFormatting sqref="F1517 D1517">
    <cfRule type="cellIs" dxfId="1672" priority="1106" operator="equal">
      <formula>"AGILIS"</formula>
    </cfRule>
  </conditionalFormatting>
  <conditionalFormatting sqref="G1518">
    <cfRule type="cellIs" dxfId="1671" priority="1104" operator="equal">
      <formula>"LQA"</formula>
    </cfRule>
    <cfRule type="cellIs" dxfId="1670" priority="1105" operator="equal">
      <formula>"IT"</formula>
    </cfRule>
  </conditionalFormatting>
  <conditionalFormatting sqref="F1518 D1518">
    <cfRule type="cellIs" dxfId="1669" priority="1103" operator="equal">
      <formula>"AGILIS"</formula>
    </cfRule>
  </conditionalFormatting>
  <conditionalFormatting sqref="G1519">
    <cfRule type="cellIs" dxfId="1668" priority="1101" operator="equal">
      <formula>"LQA"</formula>
    </cfRule>
    <cfRule type="cellIs" dxfId="1667" priority="1102" operator="equal">
      <formula>"IT"</formula>
    </cfRule>
  </conditionalFormatting>
  <conditionalFormatting sqref="F1519 D1519">
    <cfRule type="cellIs" dxfId="1666" priority="1100" operator="equal">
      <formula>"AGILIS"</formula>
    </cfRule>
  </conditionalFormatting>
  <conditionalFormatting sqref="G1520">
    <cfRule type="cellIs" dxfId="1665" priority="1098" operator="equal">
      <formula>"LQA"</formula>
    </cfRule>
    <cfRule type="cellIs" dxfId="1664" priority="1099" operator="equal">
      <formula>"IT"</formula>
    </cfRule>
  </conditionalFormatting>
  <conditionalFormatting sqref="F1520 D1520">
    <cfRule type="cellIs" dxfId="1663" priority="1097" operator="equal">
      <formula>"AGILIS"</formula>
    </cfRule>
  </conditionalFormatting>
  <conditionalFormatting sqref="H1514:I1514">
    <cfRule type="cellIs" dxfId="1662" priority="1096" operator="equal">
      <formula>"AGILIS"</formula>
    </cfRule>
  </conditionalFormatting>
  <conditionalFormatting sqref="G1514">
    <cfRule type="cellIs" dxfId="1661" priority="1094" operator="equal">
      <formula>"LQA"</formula>
    </cfRule>
    <cfRule type="cellIs" dxfId="1660" priority="1095" operator="equal">
      <formula>"IT"</formula>
    </cfRule>
  </conditionalFormatting>
  <conditionalFormatting sqref="F1514 D1514">
    <cfRule type="cellIs" dxfId="1659" priority="1093" operator="equal">
      <formula>"AGILIS"</formula>
    </cfRule>
  </conditionalFormatting>
  <conditionalFormatting sqref="H1521">
    <cfRule type="cellIs" dxfId="1658" priority="1092" operator="equal">
      <formula>"AGILIS"</formula>
    </cfRule>
  </conditionalFormatting>
  <conditionalFormatting sqref="G1521">
    <cfRule type="cellIs" dxfId="1657" priority="1090" operator="equal">
      <formula>"LQA"</formula>
    </cfRule>
    <cfRule type="cellIs" dxfId="1656" priority="1091" operator="equal">
      <formula>"IT"</formula>
    </cfRule>
  </conditionalFormatting>
  <conditionalFormatting sqref="F1521 D1521">
    <cfRule type="cellIs" dxfId="1655" priority="1089" operator="equal">
      <formula>"AGILIS"</formula>
    </cfRule>
  </conditionalFormatting>
  <conditionalFormatting sqref="G1522">
    <cfRule type="cellIs" dxfId="1654" priority="1087" operator="equal">
      <formula>"LQA"</formula>
    </cfRule>
    <cfRule type="cellIs" dxfId="1653" priority="1088" operator="equal">
      <formula>"IT"</formula>
    </cfRule>
  </conditionalFormatting>
  <conditionalFormatting sqref="F1522 D1522">
    <cfRule type="cellIs" dxfId="1652" priority="1086" operator="equal">
      <formula>"AGILIS"</formula>
    </cfRule>
  </conditionalFormatting>
  <conditionalFormatting sqref="G1523">
    <cfRule type="cellIs" dxfId="1651" priority="1084" operator="equal">
      <formula>"LQA"</formula>
    </cfRule>
    <cfRule type="cellIs" dxfId="1650" priority="1085" operator="equal">
      <formula>"IT"</formula>
    </cfRule>
  </conditionalFormatting>
  <conditionalFormatting sqref="F1523 D1523">
    <cfRule type="cellIs" dxfId="1649" priority="1083" operator="equal">
      <formula>"AGILIS"</formula>
    </cfRule>
  </conditionalFormatting>
  <conditionalFormatting sqref="G1524">
    <cfRule type="cellIs" dxfId="1648" priority="1081" operator="equal">
      <formula>"LQA"</formula>
    </cfRule>
    <cfRule type="cellIs" dxfId="1647" priority="1082" operator="equal">
      <formula>"IT"</formula>
    </cfRule>
  </conditionalFormatting>
  <conditionalFormatting sqref="F1524 D1524">
    <cfRule type="cellIs" dxfId="1646" priority="1080" operator="equal">
      <formula>"AGILIS"</formula>
    </cfRule>
  </conditionalFormatting>
  <conditionalFormatting sqref="H1524">
    <cfRule type="cellIs" dxfId="1645" priority="1079" operator="equal">
      <formula>"AGILIS"</formula>
    </cfRule>
  </conditionalFormatting>
  <conditionalFormatting sqref="G1525">
    <cfRule type="cellIs" dxfId="1644" priority="1077" operator="equal">
      <formula>"LQA"</formula>
    </cfRule>
    <cfRule type="cellIs" dxfId="1643" priority="1078" operator="equal">
      <formula>"IT"</formula>
    </cfRule>
  </conditionalFormatting>
  <conditionalFormatting sqref="F1525 D1525">
    <cfRule type="cellIs" dxfId="1642" priority="1076" operator="equal">
      <formula>"AGILIS"</formula>
    </cfRule>
  </conditionalFormatting>
  <conditionalFormatting sqref="G1526">
    <cfRule type="cellIs" dxfId="1641" priority="1074" operator="equal">
      <formula>"LQA"</formula>
    </cfRule>
    <cfRule type="cellIs" dxfId="1640" priority="1075" operator="equal">
      <formula>"IT"</formula>
    </cfRule>
  </conditionalFormatting>
  <conditionalFormatting sqref="F1526 D1526">
    <cfRule type="cellIs" dxfId="1639" priority="1073" operator="equal">
      <formula>"AGILIS"</formula>
    </cfRule>
  </conditionalFormatting>
  <conditionalFormatting sqref="H1526">
    <cfRule type="cellIs" dxfId="1638" priority="1072" operator="equal">
      <formula>"AGILIS"</formula>
    </cfRule>
  </conditionalFormatting>
  <conditionalFormatting sqref="Z1527">
    <cfRule type="cellIs" dxfId="1637" priority="1071" operator="equal">
      <formula>"AGILIS"</formula>
    </cfRule>
  </conditionalFormatting>
  <conditionalFormatting sqref="G1527">
    <cfRule type="cellIs" dxfId="1636" priority="1069" operator="equal">
      <formula>"LQA"</formula>
    </cfRule>
    <cfRule type="cellIs" dxfId="1635" priority="1070" operator="equal">
      <formula>"IT"</formula>
    </cfRule>
  </conditionalFormatting>
  <conditionalFormatting sqref="F1527 D1527">
    <cfRule type="cellIs" dxfId="1634" priority="1068" operator="equal">
      <formula>"AGILIS"</formula>
    </cfRule>
  </conditionalFormatting>
  <conditionalFormatting sqref="H1527">
    <cfRule type="cellIs" dxfId="1633" priority="1067" operator="equal">
      <formula>"AGILIS"</formula>
    </cfRule>
  </conditionalFormatting>
  <conditionalFormatting sqref="I1527">
    <cfRule type="cellIs" dxfId="1632" priority="1066" operator="equal">
      <formula>"AGILIS"</formula>
    </cfRule>
  </conditionalFormatting>
  <conditionalFormatting sqref="G1528">
    <cfRule type="cellIs" dxfId="1631" priority="1064" operator="equal">
      <formula>"LQA"</formula>
    </cfRule>
    <cfRule type="cellIs" dxfId="1630" priority="1065" operator="equal">
      <formula>"IT"</formula>
    </cfRule>
  </conditionalFormatting>
  <conditionalFormatting sqref="F1528 D1528">
    <cfRule type="cellIs" dxfId="1629" priority="1063" operator="equal">
      <formula>"AGILIS"</formula>
    </cfRule>
  </conditionalFormatting>
  <conditionalFormatting sqref="G1529">
    <cfRule type="cellIs" dxfId="1628" priority="1061" operator="equal">
      <formula>"LQA"</formula>
    </cfRule>
    <cfRule type="cellIs" dxfId="1627" priority="1062" operator="equal">
      <formula>"IT"</formula>
    </cfRule>
  </conditionalFormatting>
  <conditionalFormatting sqref="F1529 D1529">
    <cfRule type="cellIs" dxfId="1626" priority="1060" operator="equal">
      <formula>"AGILIS"</formula>
    </cfRule>
  </conditionalFormatting>
  <conditionalFormatting sqref="G1530">
    <cfRule type="cellIs" dxfId="1625" priority="1058" operator="equal">
      <formula>"LQA"</formula>
    </cfRule>
    <cfRule type="cellIs" dxfId="1624" priority="1059" operator="equal">
      <formula>"IT"</formula>
    </cfRule>
  </conditionalFormatting>
  <conditionalFormatting sqref="F1530 D1530">
    <cfRule type="cellIs" dxfId="1623" priority="1057" operator="equal">
      <formula>"AGILIS"</formula>
    </cfRule>
  </conditionalFormatting>
  <conditionalFormatting sqref="G1531">
    <cfRule type="cellIs" dxfId="1622" priority="1055" operator="equal">
      <formula>"LQA"</formula>
    </cfRule>
    <cfRule type="cellIs" dxfId="1621" priority="1056" operator="equal">
      <formula>"IT"</formula>
    </cfRule>
  </conditionalFormatting>
  <conditionalFormatting sqref="F1531 D1531">
    <cfRule type="cellIs" dxfId="1620" priority="1054" operator="equal">
      <formula>"AGILIS"</formula>
    </cfRule>
  </conditionalFormatting>
  <conditionalFormatting sqref="G1532">
    <cfRule type="cellIs" dxfId="1619" priority="1052" operator="equal">
      <formula>"LQA"</formula>
    </cfRule>
    <cfRule type="cellIs" dxfId="1618" priority="1053" operator="equal">
      <formula>"IT"</formula>
    </cfRule>
  </conditionalFormatting>
  <conditionalFormatting sqref="F1532 D1532">
    <cfRule type="cellIs" dxfId="1617" priority="1051" operator="equal">
      <formula>"AGILIS"</formula>
    </cfRule>
  </conditionalFormatting>
  <conditionalFormatting sqref="G1533">
    <cfRule type="cellIs" dxfId="1616" priority="1049" operator="equal">
      <formula>"LQA"</formula>
    </cfRule>
    <cfRule type="cellIs" dxfId="1615" priority="1050" operator="equal">
      <formula>"IT"</formula>
    </cfRule>
  </conditionalFormatting>
  <conditionalFormatting sqref="F1533 D1533">
    <cfRule type="cellIs" dxfId="1614" priority="1048" operator="equal">
      <formula>"AGILIS"</formula>
    </cfRule>
  </conditionalFormatting>
  <conditionalFormatting sqref="F1534 D1534">
    <cfRule type="cellIs" dxfId="1613" priority="1047" operator="equal">
      <formula>"AGILIS"</formula>
    </cfRule>
  </conditionalFormatting>
  <conditionalFormatting sqref="G1534">
    <cfRule type="cellIs" dxfId="1612" priority="1045" operator="equal">
      <formula>"LQA"</formula>
    </cfRule>
    <cfRule type="cellIs" dxfId="1611" priority="1046" operator="equal">
      <formula>"IT"</formula>
    </cfRule>
  </conditionalFormatting>
  <conditionalFormatting sqref="G1535">
    <cfRule type="cellIs" dxfId="1610" priority="1043" operator="equal">
      <formula>"LQA"</formula>
    </cfRule>
    <cfRule type="cellIs" dxfId="1609" priority="1044" operator="equal">
      <formula>"IT"</formula>
    </cfRule>
  </conditionalFormatting>
  <conditionalFormatting sqref="F1535 D1535">
    <cfRule type="cellIs" dxfId="1608" priority="1042" operator="equal">
      <formula>"AGILIS"</formula>
    </cfRule>
  </conditionalFormatting>
  <conditionalFormatting sqref="F1536 D1536">
    <cfRule type="cellIs" dxfId="1607" priority="1038" operator="equal">
      <formula>"AGILIS"</formula>
    </cfRule>
  </conditionalFormatting>
  <conditionalFormatting sqref="G1536">
    <cfRule type="cellIs" dxfId="1606" priority="1036" operator="equal">
      <formula>"LQA"</formula>
    </cfRule>
    <cfRule type="cellIs" dxfId="1605" priority="1037" operator="equal">
      <formula>"IT"</formula>
    </cfRule>
  </conditionalFormatting>
  <conditionalFormatting sqref="F1537 D1537">
    <cfRule type="cellIs" dxfId="1604" priority="1035" operator="equal">
      <formula>"AGILIS"</formula>
    </cfRule>
  </conditionalFormatting>
  <conditionalFormatting sqref="G1537">
    <cfRule type="cellIs" dxfId="1603" priority="1033" operator="equal">
      <formula>"LQA"</formula>
    </cfRule>
    <cfRule type="cellIs" dxfId="1602" priority="1034" operator="equal">
      <formula>"IT"</formula>
    </cfRule>
  </conditionalFormatting>
  <conditionalFormatting sqref="G1538">
    <cfRule type="cellIs" dxfId="1601" priority="1031" operator="equal">
      <formula>"LQA"</formula>
    </cfRule>
    <cfRule type="cellIs" dxfId="1600" priority="1032" operator="equal">
      <formula>"IT"</formula>
    </cfRule>
  </conditionalFormatting>
  <conditionalFormatting sqref="F1538 D1538">
    <cfRule type="cellIs" dxfId="1599" priority="1030" operator="equal">
      <formula>"AGILIS"</formula>
    </cfRule>
  </conditionalFormatting>
  <conditionalFormatting sqref="G1539">
    <cfRule type="cellIs" dxfId="1598" priority="1028" operator="equal">
      <formula>"LQA"</formula>
    </cfRule>
    <cfRule type="cellIs" dxfId="1597" priority="1029" operator="equal">
      <formula>"IT"</formula>
    </cfRule>
  </conditionalFormatting>
  <conditionalFormatting sqref="F1539 D1539">
    <cfRule type="cellIs" dxfId="1596" priority="1027" operator="equal">
      <formula>"AGILIS"</formula>
    </cfRule>
  </conditionalFormatting>
  <conditionalFormatting sqref="F1540 D1540">
    <cfRule type="cellIs" dxfId="1595" priority="1026" operator="equal">
      <formula>"AGILIS"</formula>
    </cfRule>
  </conditionalFormatting>
  <conditionalFormatting sqref="G1541">
    <cfRule type="cellIs" dxfId="1594" priority="1022" operator="equal">
      <formula>"LQA"</formula>
    </cfRule>
    <cfRule type="cellIs" dxfId="1593" priority="1023" operator="equal">
      <formula>"IT"</formula>
    </cfRule>
  </conditionalFormatting>
  <conditionalFormatting sqref="F1541 D1541">
    <cfRule type="cellIs" dxfId="1592" priority="1021" operator="equal">
      <formula>"AGILIS"</formula>
    </cfRule>
  </conditionalFormatting>
  <conditionalFormatting sqref="G1540">
    <cfRule type="cellIs" dxfId="1591" priority="1019" operator="equal">
      <formula>"LQA"</formula>
    </cfRule>
    <cfRule type="cellIs" dxfId="1590" priority="1020" operator="equal">
      <formula>"IT"</formula>
    </cfRule>
  </conditionalFormatting>
  <conditionalFormatting sqref="F1542 D1542">
    <cfRule type="cellIs" dxfId="1589" priority="1018" operator="equal">
      <formula>"AGILIS"</formula>
    </cfRule>
  </conditionalFormatting>
  <conditionalFormatting sqref="G1542">
    <cfRule type="cellIs" dxfId="1588" priority="1016" operator="equal">
      <formula>"LQA"</formula>
    </cfRule>
    <cfRule type="cellIs" dxfId="1587" priority="1017" operator="equal">
      <formula>"IT"</formula>
    </cfRule>
  </conditionalFormatting>
  <conditionalFormatting sqref="F1543 D1543">
    <cfRule type="cellIs" dxfId="1586" priority="1015" operator="equal">
      <formula>"AGILIS"</formula>
    </cfRule>
  </conditionalFormatting>
  <conditionalFormatting sqref="G1543">
    <cfRule type="cellIs" dxfId="1585" priority="1013" operator="equal">
      <formula>"LQA"</formula>
    </cfRule>
    <cfRule type="cellIs" dxfId="1584" priority="1014" operator="equal">
      <formula>"IT"</formula>
    </cfRule>
  </conditionalFormatting>
  <conditionalFormatting sqref="G1544">
    <cfRule type="cellIs" dxfId="1583" priority="1011" operator="equal">
      <formula>"LQA"</formula>
    </cfRule>
    <cfRule type="cellIs" dxfId="1582" priority="1012" operator="equal">
      <formula>"IT"</formula>
    </cfRule>
  </conditionalFormatting>
  <conditionalFormatting sqref="F1544 D1544">
    <cfRule type="cellIs" dxfId="1581" priority="1010" operator="equal">
      <formula>"AGILIS"</formula>
    </cfRule>
  </conditionalFormatting>
  <conditionalFormatting sqref="G1545">
    <cfRule type="cellIs" dxfId="1580" priority="1008" operator="equal">
      <formula>"LQA"</formula>
    </cfRule>
    <cfRule type="cellIs" dxfId="1579" priority="1009" operator="equal">
      <formula>"IT"</formula>
    </cfRule>
  </conditionalFormatting>
  <conditionalFormatting sqref="F1545 D1545">
    <cfRule type="cellIs" dxfId="1578" priority="1007" operator="equal">
      <formula>"AGILIS"</formula>
    </cfRule>
  </conditionalFormatting>
  <conditionalFormatting sqref="F1546 D1546">
    <cfRule type="cellIs" dxfId="1577" priority="1006" operator="equal">
      <formula>"AGILIS"</formula>
    </cfRule>
  </conditionalFormatting>
  <conditionalFormatting sqref="G1546">
    <cfRule type="cellIs" dxfId="1576" priority="1004" operator="equal">
      <formula>"LQA"</formula>
    </cfRule>
    <cfRule type="cellIs" dxfId="1575" priority="1005" operator="equal">
      <formula>"IT"</formula>
    </cfRule>
  </conditionalFormatting>
  <conditionalFormatting sqref="F1547 D1547">
    <cfRule type="cellIs" dxfId="1574" priority="1003" operator="equal">
      <formula>"AGILIS"</formula>
    </cfRule>
  </conditionalFormatting>
  <conditionalFormatting sqref="G1547">
    <cfRule type="cellIs" dxfId="1573" priority="1001" operator="equal">
      <formula>"LQA"</formula>
    </cfRule>
    <cfRule type="cellIs" dxfId="1572" priority="1002" operator="equal">
      <formula>"IT"</formula>
    </cfRule>
  </conditionalFormatting>
  <conditionalFormatting sqref="H1548:I1548">
    <cfRule type="cellIs" dxfId="1571" priority="1000" operator="equal">
      <formula>"AGILIS"</formula>
    </cfRule>
  </conditionalFormatting>
  <conditionalFormatting sqref="G1548">
    <cfRule type="cellIs" dxfId="1570" priority="998" operator="equal">
      <formula>"LQA"</formula>
    </cfRule>
    <cfRule type="cellIs" dxfId="1569" priority="999" operator="equal">
      <formula>"IT"</formula>
    </cfRule>
  </conditionalFormatting>
  <conditionalFormatting sqref="F1548 D1548">
    <cfRule type="cellIs" dxfId="1568" priority="997" operator="equal">
      <formula>"AGILIS"</formula>
    </cfRule>
  </conditionalFormatting>
  <conditionalFormatting sqref="F1549 D1549">
    <cfRule type="cellIs" dxfId="1567" priority="996" operator="equal">
      <formula>"AGILIS"</formula>
    </cfRule>
  </conditionalFormatting>
  <conditionalFormatting sqref="G1549">
    <cfRule type="cellIs" dxfId="1566" priority="994" operator="equal">
      <formula>"LQA"</formula>
    </cfRule>
    <cfRule type="cellIs" dxfId="1565" priority="995" operator="equal">
      <formula>"IT"</formula>
    </cfRule>
  </conditionalFormatting>
  <conditionalFormatting sqref="F1550 D1550">
    <cfRule type="cellIs" dxfId="1564" priority="993" operator="equal">
      <formula>"AGILIS"</formula>
    </cfRule>
  </conditionalFormatting>
  <conditionalFormatting sqref="G1550">
    <cfRule type="cellIs" dxfId="1563" priority="991" operator="equal">
      <formula>"LQA"</formula>
    </cfRule>
    <cfRule type="cellIs" dxfId="1562" priority="992" operator="equal">
      <formula>"IT"</formula>
    </cfRule>
  </conditionalFormatting>
  <conditionalFormatting sqref="F1551 D1551">
    <cfRule type="cellIs" dxfId="1561" priority="990" operator="equal">
      <formula>"AGILIS"</formula>
    </cfRule>
  </conditionalFormatting>
  <conditionalFormatting sqref="G1551">
    <cfRule type="cellIs" dxfId="1560" priority="988" operator="equal">
      <formula>"LQA"</formula>
    </cfRule>
    <cfRule type="cellIs" dxfId="1559" priority="989" operator="equal">
      <formula>"IT"</formula>
    </cfRule>
  </conditionalFormatting>
  <conditionalFormatting sqref="H1552:I1552">
    <cfRule type="cellIs" dxfId="1558" priority="987" operator="equal">
      <formula>"AGILIS"</formula>
    </cfRule>
  </conditionalFormatting>
  <conditionalFormatting sqref="F1552 D1552">
    <cfRule type="cellIs" dxfId="1557" priority="986" operator="equal">
      <formula>"AGILIS"</formula>
    </cfRule>
  </conditionalFormatting>
  <conditionalFormatting sqref="G1552">
    <cfRule type="cellIs" dxfId="1556" priority="984" operator="equal">
      <formula>"LQA"</formula>
    </cfRule>
    <cfRule type="cellIs" dxfId="1555" priority="985" operator="equal">
      <formula>"IT"</formula>
    </cfRule>
  </conditionalFormatting>
  <conditionalFormatting sqref="H1553:I1553">
    <cfRule type="cellIs" dxfId="1554" priority="983" operator="equal">
      <formula>"AGILIS"</formula>
    </cfRule>
  </conditionalFormatting>
  <conditionalFormatting sqref="F1553 D1553">
    <cfRule type="cellIs" dxfId="1553" priority="982" operator="equal">
      <formula>"AGILIS"</formula>
    </cfRule>
  </conditionalFormatting>
  <conditionalFormatting sqref="G1553">
    <cfRule type="cellIs" dxfId="1552" priority="980" operator="equal">
      <formula>"LQA"</formula>
    </cfRule>
    <cfRule type="cellIs" dxfId="1551" priority="981" operator="equal">
      <formula>"IT"</formula>
    </cfRule>
  </conditionalFormatting>
  <conditionalFormatting sqref="H1554:I1554">
    <cfRule type="cellIs" dxfId="1550" priority="979" operator="equal">
      <formula>"AGILIS"</formula>
    </cfRule>
  </conditionalFormatting>
  <conditionalFormatting sqref="F1554 D1554">
    <cfRule type="cellIs" dxfId="1549" priority="978" operator="equal">
      <formula>"AGILIS"</formula>
    </cfRule>
  </conditionalFormatting>
  <conditionalFormatting sqref="G1554">
    <cfRule type="cellIs" dxfId="1548" priority="976" operator="equal">
      <formula>"LQA"</formula>
    </cfRule>
    <cfRule type="cellIs" dxfId="1547" priority="977" operator="equal">
      <formula>"IT"</formula>
    </cfRule>
  </conditionalFormatting>
  <conditionalFormatting sqref="G1555">
    <cfRule type="cellIs" dxfId="1546" priority="974" operator="equal">
      <formula>"LQA"</formula>
    </cfRule>
    <cfRule type="cellIs" dxfId="1545" priority="975" operator="equal">
      <formula>"IT"</formula>
    </cfRule>
  </conditionalFormatting>
  <conditionalFormatting sqref="F1555 D1555">
    <cfRule type="cellIs" dxfId="1544" priority="973" operator="equal">
      <formula>"AGILIS"</formula>
    </cfRule>
  </conditionalFormatting>
  <conditionalFormatting sqref="G1556">
    <cfRule type="cellIs" dxfId="1543" priority="971" operator="equal">
      <formula>"LQA"</formula>
    </cfRule>
    <cfRule type="cellIs" dxfId="1542" priority="972" operator="equal">
      <formula>"IT"</formula>
    </cfRule>
  </conditionalFormatting>
  <conditionalFormatting sqref="F1556 D1556">
    <cfRule type="cellIs" dxfId="1541" priority="970" operator="equal">
      <formula>"AGILIS"</formula>
    </cfRule>
  </conditionalFormatting>
  <conditionalFormatting sqref="H1556">
    <cfRule type="cellIs" dxfId="1540" priority="969" operator="equal">
      <formula>"AGILIS"</formula>
    </cfRule>
  </conditionalFormatting>
  <conditionalFormatting sqref="G1557">
    <cfRule type="cellIs" dxfId="1539" priority="966" operator="equal">
      <formula>"LQA"</formula>
    </cfRule>
    <cfRule type="cellIs" dxfId="1538" priority="967" operator="equal">
      <formula>"IT"</formula>
    </cfRule>
  </conditionalFormatting>
  <conditionalFormatting sqref="F1557 D1557">
    <cfRule type="cellIs" dxfId="1537" priority="965" operator="equal">
      <formula>"AGILIS"</formula>
    </cfRule>
  </conditionalFormatting>
  <conditionalFormatting sqref="H1557">
    <cfRule type="cellIs" dxfId="1536" priority="964" operator="equal">
      <formula>"AGILIS"</formula>
    </cfRule>
  </conditionalFormatting>
  <conditionalFormatting sqref="F1558 D1558">
    <cfRule type="cellIs" dxfId="1535" priority="963" operator="equal">
      <formula>"AGILIS"</formula>
    </cfRule>
  </conditionalFormatting>
  <conditionalFormatting sqref="G1558">
    <cfRule type="cellIs" dxfId="1534" priority="961" operator="equal">
      <formula>"LQA"</formula>
    </cfRule>
    <cfRule type="cellIs" dxfId="1533" priority="962" operator="equal">
      <formula>"IT"</formula>
    </cfRule>
  </conditionalFormatting>
  <conditionalFormatting sqref="G1559">
    <cfRule type="cellIs" dxfId="1532" priority="959" operator="equal">
      <formula>"LQA"</formula>
    </cfRule>
    <cfRule type="cellIs" dxfId="1531" priority="960" operator="equal">
      <formula>"IT"</formula>
    </cfRule>
  </conditionalFormatting>
  <conditionalFormatting sqref="F1559 D1559">
    <cfRule type="cellIs" dxfId="1530" priority="958" operator="equal">
      <formula>"AGILIS"</formula>
    </cfRule>
  </conditionalFormatting>
  <conditionalFormatting sqref="G1560">
    <cfRule type="cellIs" dxfId="1529" priority="956" operator="equal">
      <formula>"LQA"</formula>
    </cfRule>
    <cfRule type="cellIs" dxfId="1528" priority="957" operator="equal">
      <formula>"IT"</formula>
    </cfRule>
  </conditionalFormatting>
  <conditionalFormatting sqref="F1560 D1560">
    <cfRule type="cellIs" dxfId="1527" priority="955" operator="equal">
      <formula>"AGILIS"</formula>
    </cfRule>
  </conditionalFormatting>
  <conditionalFormatting sqref="H1561:I1561">
    <cfRule type="cellIs" dxfId="1526" priority="954" operator="equal">
      <formula>"AGILIS"</formula>
    </cfRule>
  </conditionalFormatting>
  <conditionalFormatting sqref="G1561">
    <cfRule type="cellIs" dxfId="1525" priority="952" operator="equal">
      <formula>"LQA"</formula>
    </cfRule>
    <cfRule type="cellIs" dxfId="1524" priority="953" operator="equal">
      <formula>"IT"</formula>
    </cfRule>
  </conditionalFormatting>
  <conditionalFormatting sqref="F1561 D1561">
    <cfRule type="cellIs" dxfId="1523" priority="951" operator="equal">
      <formula>"AGILIS"</formula>
    </cfRule>
  </conditionalFormatting>
  <conditionalFormatting sqref="H1562">
    <cfRule type="cellIs" dxfId="1522" priority="950" operator="equal">
      <formula>"AGILIS"</formula>
    </cfRule>
  </conditionalFormatting>
  <conditionalFormatting sqref="F1562 D1562">
    <cfRule type="cellIs" dxfId="1521" priority="949" operator="equal">
      <formula>"AGILIS"</formula>
    </cfRule>
  </conditionalFormatting>
  <conditionalFormatting sqref="G1562">
    <cfRule type="cellIs" dxfId="1520" priority="947" operator="equal">
      <formula>"LQA"</formula>
    </cfRule>
    <cfRule type="cellIs" dxfId="1519" priority="948" operator="equal">
      <formula>"IT"</formula>
    </cfRule>
  </conditionalFormatting>
  <conditionalFormatting sqref="G1563">
    <cfRule type="cellIs" dxfId="1518" priority="945" operator="equal">
      <formula>"LQA"</formula>
    </cfRule>
    <cfRule type="cellIs" dxfId="1517" priority="946" operator="equal">
      <formula>"IT"</formula>
    </cfRule>
  </conditionalFormatting>
  <conditionalFormatting sqref="F1563 D1563">
    <cfRule type="cellIs" dxfId="1516" priority="944" operator="equal">
      <formula>"AGILIS"</formula>
    </cfRule>
  </conditionalFormatting>
  <conditionalFormatting sqref="H1563">
    <cfRule type="cellIs" dxfId="1515" priority="943" operator="equal">
      <formula>"AGILIS"</formula>
    </cfRule>
  </conditionalFormatting>
  <conditionalFormatting sqref="F1564 D1564">
    <cfRule type="cellIs" dxfId="1514" priority="942" operator="equal">
      <formula>"AGILIS"</formula>
    </cfRule>
  </conditionalFormatting>
  <conditionalFormatting sqref="G1564">
    <cfRule type="cellIs" dxfId="1513" priority="940" operator="equal">
      <formula>"LQA"</formula>
    </cfRule>
    <cfRule type="cellIs" dxfId="1512" priority="941" operator="equal">
      <formula>"IT"</formula>
    </cfRule>
  </conditionalFormatting>
  <conditionalFormatting sqref="I1557">
    <cfRule type="cellIs" dxfId="1511" priority="939" operator="equal">
      <formula>"AGILIS"</formula>
    </cfRule>
  </conditionalFormatting>
  <conditionalFormatting sqref="I1563">
    <cfRule type="cellIs" dxfId="1510" priority="938" operator="equal">
      <formula>"AGILIS"</formula>
    </cfRule>
  </conditionalFormatting>
  <conditionalFormatting sqref="F1565 D1565">
    <cfRule type="cellIs" dxfId="1509" priority="937" operator="equal">
      <formula>"AGILIS"</formula>
    </cfRule>
  </conditionalFormatting>
  <conditionalFormatting sqref="G1565">
    <cfRule type="cellIs" dxfId="1508" priority="935" operator="equal">
      <formula>"LQA"</formula>
    </cfRule>
    <cfRule type="cellIs" dxfId="1507" priority="936" operator="equal">
      <formula>"IT"</formula>
    </cfRule>
  </conditionalFormatting>
  <conditionalFormatting sqref="F1566 D1566">
    <cfRule type="cellIs" dxfId="1506" priority="934" operator="equal">
      <formula>"AGILIS"</formula>
    </cfRule>
  </conditionalFormatting>
  <conditionalFormatting sqref="G1566">
    <cfRule type="cellIs" dxfId="1505" priority="932" operator="equal">
      <formula>"LQA"</formula>
    </cfRule>
    <cfRule type="cellIs" dxfId="1504" priority="933" operator="equal">
      <formula>"IT"</formula>
    </cfRule>
  </conditionalFormatting>
  <conditionalFormatting sqref="F1567 D1567">
    <cfRule type="cellIs" dxfId="1503" priority="931" operator="equal">
      <formula>"AGILIS"</formula>
    </cfRule>
  </conditionalFormatting>
  <conditionalFormatting sqref="G1567">
    <cfRule type="cellIs" dxfId="1502" priority="929" operator="equal">
      <formula>"LQA"</formula>
    </cfRule>
    <cfRule type="cellIs" dxfId="1501" priority="930" operator="equal">
      <formula>"IT"</formula>
    </cfRule>
  </conditionalFormatting>
  <conditionalFormatting sqref="F1568 D1568">
    <cfRule type="cellIs" dxfId="1500" priority="928" operator="equal">
      <formula>"AGILIS"</formula>
    </cfRule>
  </conditionalFormatting>
  <conditionalFormatting sqref="G1568">
    <cfRule type="cellIs" dxfId="1499" priority="926" operator="equal">
      <formula>"LQA"</formula>
    </cfRule>
    <cfRule type="cellIs" dxfId="1498" priority="927" operator="equal">
      <formula>"IT"</formula>
    </cfRule>
  </conditionalFormatting>
  <conditionalFormatting sqref="F1569 D1569">
    <cfRule type="cellIs" dxfId="1497" priority="925" operator="equal">
      <formula>"AGILIS"</formula>
    </cfRule>
  </conditionalFormatting>
  <conditionalFormatting sqref="G1569">
    <cfRule type="cellIs" dxfId="1496" priority="923" operator="equal">
      <formula>"LQA"</formula>
    </cfRule>
    <cfRule type="cellIs" dxfId="1495" priority="924" operator="equal">
      <formula>"IT"</formula>
    </cfRule>
  </conditionalFormatting>
  <conditionalFormatting sqref="F1570 D1570">
    <cfRule type="cellIs" dxfId="1494" priority="922" operator="equal">
      <formula>"AGILIS"</formula>
    </cfRule>
  </conditionalFormatting>
  <conditionalFormatting sqref="H1571">
    <cfRule type="cellIs" dxfId="1493" priority="919" operator="equal">
      <formula>"AGILIS"</formula>
    </cfRule>
  </conditionalFormatting>
  <conditionalFormatting sqref="F1571 D1571">
    <cfRule type="cellIs" dxfId="1492" priority="918" operator="equal">
      <formula>"AGILIS"</formula>
    </cfRule>
  </conditionalFormatting>
  <conditionalFormatting sqref="F1572 D1572">
    <cfRule type="cellIs" dxfId="1491" priority="915" operator="equal">
      <formula>"AGILIS"</formula>
    </cfRule>
  </conditionalFormatting>
  <conditionalFormatting sqref="G1572">
    <cfRule type="cellIs" dxfId="1490" priority="913" operator="equal">
      <formula>"LQA"</formula>
    </cfRule>
    <cfRule type="cellIs" dxfId="1489" priority="914" operator="equal">
      <formula>"IT"</formula>
    </cfRule>
  </conditionalFormatting>
  <conditionalFormatting sqref="G1570">
    <cfRule type="cellIs" dxfId="1488" priority="911" operator="equal">
      <formula>"LQA"</formula>
    </cfRule>
    <cfRule type="cellIs" dxfId="1487" priority="912" operator="equal">
      <formula>"IT"</formula>
    </cfRule>
  </conditionalFormatting>
  <conditionalFormatting sqref="G1571">
    <cfRule type="cellIs" dxfId="1486" priority="909" operator="equal">
      <formula>"LQA"</formula>
    </cfRule>
    <cfRule type="cellIs" dxfId="1485" priority="910" operator="equal">
      <formula>"IT"</formula>
    </cfRule>
  </conditionalFormatting>
  <conditionalFormatting sqref="F1573 D1573">
    <cfRule type="cellIs" dxfId="1484" priority="908" operator="equal">
      <formula>"AGILIS"</formula>
    </cfRule>
  </conditionalFormatting>
  <conditionalFormatting sqref="G1573">
    <cfRule type="cellIs" dxfId="1483" priority="906" operator="equal">
      <formula>"LQA"</formula>
    </cfRule>
    <cfRule type="cellIs" dxfId="1482" priority="907" operator="equal">
      <formula>"IT"</formula>
    </cfRule>
  </conditionalFormatting>
  <conditionalFormatting sqref="H1573">
    <cfRule type="cellIs" dxfId="1481" priority="905" operator="equal">
      <formula>"AGILIS"</formula>
    </cfRule>
  </conditionalFormatting>
  <conditionalFormatting sqref="I1573">
    <cfRule type="cellIs" dxfId="1480" priority="904" operator="equal">
      <formula>"AGILIS"</formula>
    </cfRule>
  </conditionalFormatting>
  <conditionalFormatting sqref="F1574 D1574">
    <cfRule type="cellIs" dxfId="1479" priority="903" operator="equal">
      <formula>"AGILIS"</formula>
    </cfRule>
  </conditionalFormatting>
  <conditionalFormatting sqref="G1574">
    <cfRule type="cellIs" dxfId="1478" priority="901" operator="equal">
      <formula>"LQA"</formula>
    </cfRule>
    <cfRule type="cellIs" dxfId="1477" priority="902" operator="equal">
      <formula>"IT"</formula>
    </cfRule>
  </conditionalFormatting>
  <conditionalFormatting sqref="F1575 D1575">
    <cfRule type="cellIs" dxfId="1476" priority="900" operator="equal">
      <formula>"AGILIS"</formula>
    </cfRule>
  </conditionalFormatting>
  <conditionalFormatting sqref="G1575">
    <cfRule type="cellIs" dxfId="1475" priority="898" operator="equal">
      <formula>"LQA"</formula>
    </cfRule>
    <cfRule type="cellIs" dxfId="1474" priority="899" operator="equal">
      <formula>"IT"</formula>
    </cfRule>
  </conditionalFormatting>
  <conditionalFormatting sqref="F1576 D1576">
    <cfRule type="cellIs" dxfId="1473" priority="897" operator="equal">
      <formula>"AGILIS"</formula>
    </cfRule>
  </conditionalFormatting>
  <conditionalFormatting sqref="G1576">
    <cfRule type="cellIs" dxfId="1472" priority="895" operator="equal">
      <formula>"LQA"</formula>
    </cfRule>
    <cfRule type="cellIs" dxfId="1471" priority="896" operator="equal">
      <formula>"IT"</formula>
    </cfRule>
  </conditionalFormatting>
  <conditionalFormatting sqref="F1577 D1577">
    <cfRule type="cellIs" dxfId="1470" priority="894" operator="equal">
      <formula>"AGILIS"</formula>
    </cfRule>
  </conditionalFormatting>
  <conditionalFormatting sqref="G1577">
    <cfRule type="cellIs" dxfId="1469" priority="892" operator="equal">
      <formula>"LQA"</formula>
    </cfRule>
    <cfRule type="cellIs" dxfId="1468" priority="893" operator="equal">
      <formula>"IT"</formula>
    </cfRule>
  </conditionalFormatting>
  <conditionalFormatting sqref="F1578 D1578">
    <cfRule type="cellIs" dxfId="1467" priority="891" operator="equal">
      <formula>"AGILIS"</formula>
    </cfRule>
  </conditionalFormatting>
  <conditionalFormatting sqref="G1578">
    <cfRule type="cellIs" dxfId="1466" priority="889" operator="equal">
      <formula>"LQA"</formula>
    </cfRule>
    <cfRule type="cellIs" dxfId="1465" priority="890" operator="equal">
      <formula>"IT"</formula>
    </cfRule>
  </conditionalFormatting>
  <conditionalFormatting sqref="H1579:I1579">
    <cfRule type="cellIs" dxfId="1464" priority="888" operator="equal">
      <formula>"AGILIS"</formula>
    </cfRule>
  </conditionalFormatting>
  <conditionalFormatting sqref="F1579 D1579">
    <cfRule type="cellIs" dxfId="1463" priority="887" operator="equal">
      <formula>"AGILIS"</formula>
    </cfRule>
  </conditionalFormatting>
  <conditionalFormatting sqref="G1579">
    <cfRule type="cellIs" dxfId="1462" priority="885" operator="equal">
      <formula>"LQA"</formula>
    </cfRule>
    <cfRule type="cellIs" dxfId="1461" priority="886" operator="equal">
      <formula>"IT"</formula>
    </cfRule>
  </conditionalFormatting>
  <conditionalFormatting sqref="F1580 D1580">
    <cfRule type="cellIs" dxfId="1460" priority="884" operator="equal">
      <formula>"AGILIS"</formula>
    </cfRule>
  </conditionalFormatting>
  <conditionalFormatting sqref="G1580">
    <cfRule type="cellIs" dxfId="1459" priority="882" operator="equal">
      <formula>"LQA"</formula>
    </cfRule>
    <cfRule type="cellIs" dxfId="1458" priority="883" operator="equal">
      <formula>"IT"</formula>
    </cfRule>
  </conditionalFormatting>
  <conditionalFormatting sqref="F1581 D1581">
    <cfRule type="cellIs" dxfId="1457" priority="881" operator="equal">
      <formula>"AGILIS"</formula>
    </cfRule>
  </conditionalFormatting>
  <conditionalFormatting sqref="G1581">
    <cfRule type="cellIs" dxfId="1456" priority="879" operator="equal">
      <formula>"LQA"</formula>
    </cfRule>
    <cfRule type="cellIs" dxfId="1455" priority="880" operator="equal">
      <formula>"IT"</formula>
    </cfRule>
  </conditionalFormatting>
  <conditionalFormatting sqref="F1582 D1582">
    <cfRule type="cellIs" dxfId="1454" priority="878" operator="equal">
      <formula>"AGILIS"</formula>
    </cfRule>
  </conditionalFormatting>
  <conditionalFormatting sqref="H1582">
    <cfRule type="cellIs" dxfId="1453" priority="877" operator="equal">
      <formula>"AGILIS"</formula>
    </cfRule>
  </conditionalFormatting>
  <conditionalFormatting sqref="I1582">
    <cfRule type="cellIs" dxfId="1452" priority="876" operator="equal">
      <formula>"AGILIS"</formula>
    </cfRule>
  </conditionalFormatting>
  <conditionalFormatting sqref="F1583 D1583">
    <cfRule type="cellIs" dxfId="1451" priority="875" operator="equal">
      <formula>"AGILIS"</formula>
    </cfRule>
  </conditionalFormatting>
  <conditionalFormatting sqref="G1583">
    <cfRule type="cellIs" dxfId="1450" priority="873" operator="equal">
      <formula>"LQA"</formula>
    </cfRule>
    <cfRule type="cellIs" dxfId="1449" priority="874" operator="equal">
      <formula>"IT"</formula>
    </cfRule>
  </conditionalFormatting>
  <conditionalFormatting sqref="F1584 D1584">
    <cfRule type="cellIs" dxfId="1448" priority="872" operator="equal">
      <formula>"AGILIS"</formula>
    </cfRule>
  </conditionalFormatting>
  <conditionalFormatting sqref="G1584">
    <cfRule type="cellIs" dxfId="1447" priority="870" operator="equal">
      <formula>"LQA"</formula>
    </cfRule>
    <cfRule type="cellIs" dxfId="1446" priority="871" operator="equal">
      <formula>"IT"</formula>
    </cfRule>
  </conditionalFormatting>
  <conditionalFormatting sqref="F1585 D1585">
    <cfRule type="cellIs" dxfId="1445" priority="868" operator="equal">
      <formula>"AGILIS"</formula>
    </cfRule>
  </conditionalFormatting>
  <conditionalFormatting sqref="G1585">
    <cfRule type="cellIs" dxfId="1444" priority="866" operator="equal">
      <formula>"LQA"</formula>
    </cfRule>
    <cfRule type="cellIs" dxfId="1443" priority="867" operator="equal">
      <formula>"IT"</formula>
    </cfRule>
  </conditionalFormatting>
  <conditionalFormatting sqref="F1586 D1586">
    <cfRule type="cellIs" dxfId="1442" priority="865" operator="equal">
      <formula>"AGILIS"</formula>
    </cfRule>
  </conditionalFormatting>
  <conditionalFormatting sqref="G1586">
    <cfRule type="cellIs" dxfId="1441" priority="863" operator="equal">
      <formula>"LQA"</formula>
    </cfRule>
    <cfRule type="cellIs" dxfId="1440" priority="864" operator="equal">
      <formula>"IT"</formula>
    </cfRule>
  </conditionalFormatting>
  <conditionalFormatting sqref="G1587">
    <cfRule type="cellIs" dxfId="1439" priority="861" operator="equal">
      <formula>"LQA"</formula>
    </cfRule>
    <cfRule type="cellIs" dxfId="1438" priority="862" operator="equal">
      <formula>"IT"</formula>
    </cfRule>
  </conditionalFormatting>
  <conditionalFormatting sqref="F1587 D1587">
    <cfRule type="cellIs" dxfId="1437" priority="860" operator="equal">
      <formula>"AGILIS"</formula>
    </cfRule>
  </conditionalFormatting>
  <conditionalFormatting sqref="H1587">
    <cfRule type="cellIs" dxfId="1436" priority="859" operator="equal">
      <formula>"AGILIS"</formula>
    </cfRule>
  </conditionalFormatting>
  <conditionalFormatting sqref="I1587">
    <cfRule type="cellIs" dxfId="1435" priority="858" operator="equal">
      <formula>"AGILIS"</formula>
    </cfRule>
  </conditionalFormatting>
  <conditionalFormatting sqref="F1588 D1588">
    <cfRule type="cellIs" dxfId="1434" priority="857" operator="equal">
      <formula>"AGILIS"</formula>
    </cfRule>
  </conditionalFormatting>
  <conditionalFormatting sqref="G1588">
    <cfRule type="cellIs" dxfId="1433" priority="855" operator="equal">
      <formula>"LQA"</formula>
    </cfRule>
    <cfRule type="cellIs" dxfId="1432" priority="856" operator="equal">
      <formula>"IT"</formula>
    </cfRule>
  </conditionalFormatting>
  <conditionalFormatting sqref="Z1589 H1589:I1589">
    <cfRule type="cellIs" dxfId="1431" priority="854" operator="equal">
      <formula>"AGILIS"</formula>
    </cfRule>
  </conditionalFormatting>
  <conditionalFormatting sqref="F1589 D1589">
    <cfRule type="cellIs" dxfId="1430" priority="853" operator="equal">
      <formula>"AGILIS"</formula>
    </cfRule>
  </conditionalFormatting>
  <conditionalFormatting sqref="G1589">
    <cfRule type="cellIs" dxfId="1429" priority="851" operator="equal">
      <formula>"LQA"</formula>
    </cfRule>
    <cfRule type="cellIs" dxfId="1428" priority="852" operator="equal">
      <formula>"IT"</formula>
    </cfRule>
  </conditionalFormatting>
  <conditionalFormatting sqref="Z1590 H1590:I1590">
    <cfRule type="cellIs" dxfId="1427" priority="850" operator="equal">
      <formula>"AGILIS"</formula>
    </cfRule>
  </conditionalFormatting>
  <conditionalFormatting sqref="F1590 D1590">
    <cfRule type="cellIs" dxfId="1426" priority="849" operator="equal">
      <formula>"AGILIS"</formula>
    </cfRule>
  </conditionalFormatting>
  <conditionalFormatting sqref="G1590">
    <cfRule type="cellIs" dxfId="1425" priority="847" operator="equal">
      <formula>"LQA"</formula>
    </cfRule>
    <cfRule type="cellIs" dxfId="1424" priority="848" operator="equal">
      <formula>"IT"</formula>
    </cfRule>
  </conditionalFormatting>
  <conditionalFormatting sqref="Z1591 H1591:I1591">
    <cfRule type="cellIs" dxfId="1423" priority="846" operator="equal">
      <formula>"AGILIS"</formula>
    </cfRule>
  </conditionalFormatting>
  <conditionalFormatting sqref="F1591 D1591">
    <cfRule type="cellIs" dxfId="1422" priority="845" operator="equal">
      <formula>"AGILIS"</formula>
    </cfRule>
  </conditionalFormatting>
  <conditionalFormatting sqref="G1591">
    <cfRule type="cellIs" dxfId="1421" priority="843" operator="equal">
      <formula>"LQA"</formula>
    </cfRule>
    <cfRule type="cellIs" dxfId="1420" priority="844" operator="equal">
      <formula>"IT"</formula>
    </cfRule>
  </conditionalFormatting>
  <conditionalFormatting sqref="Z1592 H1592:I1592">
    <cfRule type="cellIs" dxfId="1419" priority="842" operator="equal">
      <formula>"AGILIS"</formula>
    </cfRule>
  </conditionalFormatting>
  <conditionalFormatting sqref="F1592 D1592">
    <cfRule type="cellIs" dxfId="1418" priority="841" operator="equal">
      <formula>"AGILIS"</formula>
    </cfRule>
  </conditionalFormatting>
  <conditionalFormatting sqref="G1592">
    <cfRule type="cellIs" dxfId="1417" priority="839" operator="equal">
      <formula>"LQA"</formula>
    </cfRule>
    <cfRule type="cellIs" dxfId="1416" priority="840" operator="equal">
      <formula>"IT"</formula>
    </cfRule>
  </conditionalFormatting>
  <conditionalFormatting sqref="F1593 D1593">
    <cfRule type="cellIs" dxfId="1415" priority="838" operator="equal">
      <formula>"AGILIS"</formula>
    </cfRule>
  </conditionalFormatting>
  <conditionalFormatting sqref="G1593">
    <cfRule type="cellIs" dxfId="1414" priority="836" operator="equal">
      <formula>"LQA"</formula>
    </cfRule>
    <cfRule type="cellIs" dxfId="1413" priority="837" operator="equal">
      <formula>"IT"</formula>
    </cfRule>
  </conditionalFormatting>
  <conditionalFormatting sqref="G1594">
    <cfRule type="cellIs" dxfId="1412" priority="834" operator="equal">
      <formula>"LQA"</formula>
    </cfRule>
    <cfRule type="cellIs" dxfId="1411" priority="835" operator="equal">
      <formula>"IT"</formula>
    </cfRule>
  </conditionalFormatting>
  <conditionalFormatting sqref="F1594 D1594">
    <cfRule type="cellIs" dxfId="1410" priority="833" operator="equal">
      <formula>"AGILIS"</formula>
    </cfRule>
  </conditionalFormatting>
  <conditionalFormatting sqref="H1594">
    <cfRule type="cellIs" dxfId="1409" priority="832" operator="equal">
      <formula>"AGILIS"</formula>
    </cfRule>
  </conditionalFormatting>
  <conditionalFormatting sqref="F1595 D1595">
    <cfRule type="cellIs" dxfId="1408" priority="831" operator="equal">
      <formula>"AGILIS"</formula>
    </cfRule>
  </conditionalFormatting>
  <conditionalFormatting sqref="G1595">
    <cfRule type="cellIs" dxfId="1407" priority="829" operator="equal">
      <formula>"LQA"</formula>
    </cfRule>
    <cfRule type="cellIs" dxfId="1406" priority="830" operator="equal">
      <formula>"IT"</formula>
    </cfRule>
  </conditionalFormatting>
  <conditionalFormatting sqref="H1595">
    <cfRule type="cellIs" dxfId="1405" priority="828" operator="equal">
      <formula>"AGILIS"</formula>
    </cfRule>
  </conditionalFormatting>
  <conditionalFormatting sqref="F1596 D1596">
    <cfRule type="cellIs" dxfId="1404" priority="827" operator="equal">
      <formula>"AGILIS"</formula>
    </cfRule>
  </conditionalFormatting>
  <conditionalFormatting sqref="G1596">
    <cfRule type="cellIs" dxfId="1403" priority="825" operator="equal">
      <formula>"LQA"</formula>
    </cfRule>
    <cfRule type="cellIs" dxfId="1402" priority="826" operator="equal">
      <formula>"IT"</formula>
    </cfRule>
  </conditionalFormatting>
  <conditionalFormatting sqref="F1597 D1597">
    <cfRule type="cellIs" dxfId="1401" priority="824" operator="equal">
      <formula>"AGILIS"</formula>
    </cfRule>
  </conditionalFormatting>
  <conditionalFormatting sqref="G1597">
    <cfRule type="cellIs" dxfId="1400" priority="822" operator="equal">
      <formula>"LQA"</formula>
    </cfRule>
    <cfRule type="cellIs" dxfId="1399" priority="823" operator="equal">
      <formula>"IT"</formula>
    </cfRule>
  </conditionalFormatting>
  <conditionalFormatting sqref="F1598 D1598">
    <cfRule type="cellIs" dxfId="1398" priority="821" operator="equal">
      <formula>"AGILIS"</formula>
    </cfRule>
  </conditionalFormatting>
  <conditionalFormatting sqref="G1598">
    <cfRule type="cellIs" dxfId="1397" priority="819" operator="equal">
      <formula>"LQA"</formula>
    </cfRule>
    <cfRule type="cellIs" dxfId="1396" priority="820" operator="equal">
      <formula>"IT"</formula>
    </cfRule>
  </conditionalFormatting>
  <conditionalFormatting sqref="H1599:I1599">
    <cfRule type="cellIs" dxfId="1395" priority="818" operator="equal">
      <formula>"AGILIS"</formula>
    </cfRule>
  </conditionalFormatting>
  <conditionalFormatting sqref="F1599 D1599">
    <cfRule type="cellIs" dxfId="1394" priority="817" operator="equal">
      <formula>"AGILIS"</formula>
    </cfRule>
  </conditionalFormatting>
  <conditionalFormatting sqref="G1599">
    <cfRule type="cellIs" dxfId="1393" priority="815" operator="equal">
      <formula>"LQA"</formula>
    </cfRule>
    <cfRule type="cellIs" dxfId="1392" priority="816" operator="equal">
      <formula>"IT"</formula>
    </cfRule>
  </conditionalFormatting>
  <conditionalFormatting sqref="H1600:I1600">
    <cfRule type="cellIs" dxfId="1391" priority="814" operator="equal">
      <formula>"AGILIS"</formula>
    </cfRule>
  </conditionalFormatting>
  <conditionalFormatting sqref="F1600 D1600">
    <cfRule type="cellIs" dxfId="1390" priority="813" operator="equal">
      <formula>"AGILIS"</formula>
    </cfRule>
  </conditionalFormatting>
  <conditionalFormatting sqref="G1600">
    <cfRule type="cellIs" dxfId="1389" priority="811" operator="equal">
      <formula>"LQA"</formula>
    </cfRule>
    <cfRule type="cellIs" dxfId="1388" priority="812" operator="equal">
      <formula>"IT"</formula>
    </cfRule>
  </conditionalFormatting>
  <conditionalFormatting sqref="F1601 D1601">
    <cfRule type="cellIs" dxfId="1387" priority="810" operator="equal">
      <formula>"AGILIS"</formula>
    </cfRule>
  </conditionalFormatting>
  <conditionalFormatting sqref="G1601">
    <cfRule type="cellIs" dxfId="1386" priority="808" operator="equal">
      <formula>"LQA"</formula>
    </cfRule>
    <cfRule type="cellIs" dxfId="1385" priority="809" operator="equal">
      <formula>"IT"</formula>
    </cfRule>
  </conditionalFormatting>
  <conditionalFormatting sqref="F1602 D1602">
    <cfRule type="cellIs" dxfId="1384" priority="807" operator="equal">
      <formula>"AGILIS"</formula>
    </cfRule>
  </conditionalFormatting>
  <conditionalFormatting sqref="G1602">
    <cfRule type="cellIs" dxfId="1383" priority="805" operator="equal">
      <formula>"LQA"</formula>
    </cfRule>
    <cfRule type="cellIs" dxfId="1382" priority="806" operator="equal">
      <formula>"IT"</formula>
    </cfRule>
  </conditionalFormatting>
  <conditionalFormatting sqref="F1603 D1603">
    <cfRule type="cellIs" dxfId="1381" priority="804" operator="equal">
      <formula>"AGILIS"</formula>
    </cfRule>
  </conditionalFormatting>
  <conditionalFormatting sqref="G1603">
    <cfRule type="cellIs" dxfId="1380" priority="802" operator="equal">
      <formula>"LQA"</formula>
    </cfRule>
    <cfRule type="cellIs" dxfId="1379" priority="803" operator="equal">
      <formula>"IT"</formula>
    </cfRule>
  </conditionalFormatting>
  <conditionalFormatting sqref="H1603">
    <cfRule type="cellIs" dxfId="1378" priority="801" operator="equal">
      <formula>"AGILIS"</formula>
    </cfRule>
  </conditionalFormatting>
  <conditionalFormatting sqref="I1594">
    <cfRule type="cellIs" dxfId="1377" priority="800" operator="equal">
      <formula>"AGILIS"</formula>
    </cfRule>
  </conditionalFormatting>
  <conditionalFormatting sqref="F1604 D1604">
    <cfRule type="cellIs" dxfId="1376" priority="799" operator="equal">
      <formula>"AGILIS"</formula>
    </cfRule>
  </conditionalFormatting>
  <conditionalFormatting sqref="G1604">
    <cfRule type="cellIs" dxfId="1375" priority="797" operator="equal">
      <formula>"LQA"</formula>
    </cfRule>
    <cfRule type="cellIs" dxfId="1374" priority="798" operator="equal">
      <formula>"IT"</formula>
    </cfRule>
  </conditionalFormatting>
  <conditionalFormatting sqref="H1604">
    <cfRule type="cellIs" dxfId="1373" priority="796" operator="equal">
      <formula>"AGILIS"</formula>
    </cfRule>
  </conditionalFormatting>
  <conditionalFormatting sqref="F1605 D1605">
    <cfRule type="cellIs" dxfId="1372" priority="795" operator="equal">
      <formula>"AGILIS"</formula>
    </cfRule>
  </conditionalFormatting>
  <conditionalFormatting sqref="G1605">
    <cfRule type="cellIs" dxfId="1371" priority="793" operator="equal">
      <formula>"LQA"</formula>
    </cfRule>
    <cfRule type="cellIs" dxfId="1370" priority="794" operator="equal">
      <formula>"IT"</formula>
    </cfRule>
  </conditionalFormatting>
  <conditionalFormatting sqref="H1606:I1606">
    <cfRule type="cellIs" dxfId="1369" priority="792" operator="equal">
      <formula>"AGILIS"</formula>
    </cfRule>
  </conditionalFormatting>
  <conditionalFormatting sqref="F1606 D1606">
    <cfRule type="cellIs" dxfId="1368" priority="791" operator="equal">
      <formula>"AGILIS"</formula>
    </cfRule>
  </conditionalFormatting>
  <conditionalFormatting sqref="G1606">
    <cfRule type="cellIs" dxfId="1367" priority="789" operator="equal">
      <formula>"LQA"</formula>
    </cfRule>
    <cfRule type="cellIs" dxfId="1366" priority="790" operator="equal">
      <formula>"IT"</formula>
    </cfRule>
  </conditionalFormatting>
  <conditionalFormatting sqref="F1607 D1607">
    <cfRule type="cellIs" dxfId="1365" priority="788" operator="equal">
      <formula>"AGILIS"</formula>
    </cfRule>
  </conditionalFormatting>
  <conditionalFormatting sqref="G1607">
    <cfRule type="cellIs" dxfId="1364" priority="786" operator="equal">
      <formula>"LQA"</formula>
    </cfRule>
    <cfRule type="cellIs" dxfId="1363" priority="787" operator="equal">
      <formula>"IT"</formula>
    </cfRule>
  </conditionalFormatting>
  <conditionalFormatting sqref="F1608 D1608">
    <cfRule type="cellIs" dxfId="1362" priority="785" operator="equal">
      <formula>"AGILIS"</formula>
    </cfRule>
  </conditionalFormatting>
  <conditionalFormatting sqref="G1608">
    <cfRule type="cellIs" dxfId="1361" priority="783" operator="equal">
      <formula>"LQA"</formula>
    </cfRule>
    <cfRule type="cellIs" dxfId="1360" priority="784" operator="equal">
      <formula>"IT"</formula>
    </cfRule>
  </conditionalFormatting>
  <conditionalFormatting sqref="F1609 D1609">
    <cfRule type="cellIs" dxfId="1359" priority="782" operator="equal">
      <formula>"AGILIS"</formula>
    </cfRule>
  </conditionalFormatting>
  <conditionalFormatting sqref="G1609">
    <cfRule type="cellIs" dxfId="1358" priority="780" operator="equal">
      <formula>"LQA"</formula>
    </cfRule>
    <cfRule type="cellIs" dxfId="1357" priority="781" operator="equal">
      <formula>"IT"</formula>
    </cfRule>
  </conditionalFormatting>
  <conditionalFormatting sqref="F1610 D1610">
    <cfRule type="cellIs" dxfId="1356" priority="779" operator="equal">
      <formula>"AGILIS"</formula>
    </cfRule>
  </conditionalFormatting>
  <conditionalFormatting sqref="G1610">
    <cfRule type="cellIs" dxfId="1355" priority="777" operator="equal">
      <formula>"LQA"</formula>
    </cfRule>
    <cfRule type="cellIs" dxfId="1354" priority="778" operator="equal">
      <formula>"IT"</formula>
    </cfRule>
  </conditionalFormatting>
  <conditionalFormatting sqref="F1611 D1611">
    <cfRule type="cellIs" dxfId="1353" priority="776" operator="equal">
      <formula>"AGILIS"</formula>
    </cfRule>
  </conditionalFormatting>
  <conditionalFormatting sqref="G1611">
    <cfRule type="cellIs" dxfId="1352" priority="774" operator="equal">
      <formula>"LQA"</formula>
    </cfRule>
    <cfRule type="cellIs" dxfId="1351" priority="775" operator="equal">
      <formula>"IT"</formula>
    </cfRule>
  </conditionalFormatting>
  <conditionalFormatting sqref="F1612 D1612">
    <cfRule type="cellIs" dxfId="1350" priority="773" operator="equal">
      <formula>"AGILIS"</formula>
    </cfRule>
  </conditionalFormatting>
  <conditionalFormatting sqref="G1612">
    <cfRule type="cellIs" dxfId="1349" priority="771" operator="equal">
      <formula>"LQA"</formula>
    </cfRule>
    <cfRule type="cellIs" dxfId="1348" priority="772" operator="equal">
      <formula>"IT"</formula>
    </cfRule>
  </conditionalFormatting>
  <conditionalFormatting sqref="F1615 D1615">
    <cfRule type="cellIs" dxfId="1347" priority="760" operator="equal">
      <formula>"AGILIS"</formula>
    </cfRule>
  </conditionalFormatting>
  <conditionalFormatting sqref="G1615">
    <cfRule type="cellIs" dxfId="1346" priority="758" operator="equal">
      <formula>"LQA"</formula>
    </cfRule>
    <cfRule type="cellIs" dxfId="1345" priority="759" operator="equal">
      <formula>"IT"</formula>
    </cfRule>
  </conditionalFormatting>
  <conditionalFormatting sqref="H1613">
    <cfRule type="cellIs" dxfId="1344" priority="767" operator="equal">
      <formula>"AGILIS"</formula>
    </cfRule>
  </conditionalFormatting>
  <conditionalFormatting sqref="F1613 D1613">
    <cfRule type="cellIs" dxfId="1343" priority="766" operator="equal">
      <formula>"AGILIS"</formula>
    </cfRule>
  </conditionalFormatting>
  <conditionalFormatting sqref="G1613">
    <cfRule type="cellIs" dxfId="1342" priority="764" operator="equal">
      <formula>"LQA"</formula>
    </cfRule>
    <cfRule type="cellIs" dxfId="1341" priority="765" operator="equal">
      <formula>"IT"</formula>
    </cfRule>
  </conditionalFormatting>
  <conditionalFormatting sqref="F1614 D1614">
    <cfRule type="cellIs" dxfId="1340" priority="763" operator="equal">
      <formula>"AGILIS"</formula>
    </cfRule>
  </conditionalFormatting>
  <conditionalFormatting sqref="G1614">
    <cfRule type="cellIs" dxfId="1339" priority="761" operator="equal">
      <formula>"LQA"</formula>
    </cfRule>
    <cfRule type="cellIs" dxfId="1338" priority="762" operator="equal">
      <formula>"IT"</formula>
    </cfRule>
  </conditionalFormatting>
  <conditionalFormatting sqref="F1616 D1616">
    <cfRule type="cellIs" dxfId="1337" priority="757" operator="equal">
      <formula>"AGILIS"</formula>
    </cfRule>
  </conditionalFormatting>
  <conditionalFormatting sqref="G1616">
    <cfRule type="cellIs" dxfId="1336" priority="755" operator="equal">
      <formula>"LQA"</formula>
    </cfRule>
    <cfRule type="cellIs" dxfId="1335" priority="756" operator="equal">
      <formula>"IT"</formula>
    </cfRule>
  </conditionalFormatting>
  <conditionalFormatting sqref="F1617 D1617">
    <cfRule type="cellIs" dxfId="1334" priority="754" operator="equal">
      <formula>"AGILIS"</formula>
    </cfRule>
  </conditionalFormatting>
  <conditionalFormatting sqref="G1617">
    <cfRule type="cellIs" dxfId="1333" priority="752" operator="equal">
      <formula>"LQA"</formula>
    </cfRule>
    <cfRule type="cellIs" dxfId="1332" priority="753" operator="equal">
      <formula>"IT"</formula>
    </cfRule>
  </conditionalFormatting>
  <conditionalFormatting sqref="H1617">
    <cfRule type="cellIs" dxfId="1331" priority="751" operator="equal">
      <formula>"AGILIS"</formula>
    </cfRule>
  </conditionalFormatting>
  <conditionalFormatting sqref="F1618 D1618">
    <cfRule type="cellIs" dxfId="1330" priority="750" operator="equal">
      <formula>"AGILIS"</formula>
    </cfRule>
  </conditionalFormatting>
  <conditionalFormatting sqref="G1618">
    <cfRule type="cellIs" dxfId="1329" priority="748" operator="equal">
      <formula>"LQA"</formula>
    </cfRule>
    <cfRule type="cellIs" dxfId="1328" priority="749" operator="equal">
      <formula>"IT"</formula>
    </cfRule>
  </conditionalFormatting>
  <conditionalFormatting sqref="F1619 D1619">
    <cfRule type="cellIs" dxfId="1327" priority="747" operator="equal">
      <formula>"AGILIS"</formula>
    </cfRule>
  </conditionalFormatting>
  <conditionalFormatting sqref="G1619">
    <cfRule type="cellIs" dxfId="1326" priority="745" operator="equal">
      <formula>"LQA"</formula>
    </cfRule>
    <cfRule type="cellIs" dxfId="1325" priority="746" operator="equal">
      <formula>"IT"</formula>
    </cfRule>
  </conditionalFormatting>
  <conditionalFormatting sqref="F1620 D1620">
    <cfRule type="cellIs" dxfId="1324" priority="744" operator="equal">
      <formula>"AGILIS"</formula>
    </cfRule>
  </conditionalFormatting>
  <conditionalFormatting sqref="G1620">
    <cfRule type="cellIs" dxfId="1323" priority="742" operator="equal">
      <formula>"LQA"</formula>
    </cfRule>
    <cfRule type="cellIs" dxfId="1322" priority="743" operator="equal">
      <formula>"IT"</formula>
    </cfRule>
  </conditionalFormatting>
  <conditionalFormatting sqref="F1621 D1621">
    <cfRule type="cellIs" dxfId="1321" priority="741" operator="equal">
      <formula>"AGILIS"</formula>
    </cfRule>
  </conditionalFormatting>
  <conditionalFormatting sqref="G1621">
    <cfRule type="cellIs" dxfId="1320" priority="739" operator="equal">
      <formula>"LQA"</formula>
    </cfRule>
    <cfRule type="cellIs" dxfId="1319" priority="740" operator="equal">
      <formula>"IT"</formula>
    </cfRule>
  </conditionalFormatting>
  <conditionalFormatting sqref="F1622 D1622">
    <cfRule type="cellIs" dxfId="1318" priority="732" operator="equal">
      <formula>"AGILIS"</formula>
    </cfRule>
  </conditionalFormatting>
  <conditionalFormatting sqref="G1622">
    <cfRule type="cellIs" dxfId="1317" priority="730" operator="equal">
      <formula>"LQA"</formula>
    </cfRule>
    <cfRule type="cellIs" dxfId="1316" priority="731" operator="equal">
      <formula>"IT"</formula>
    </cfRule>
  </conditionalFormatting>
  <conditionalFormatting sqref="F1623 D1623">
    <cfRule type="cellIs" dxfId="1315" priority="729" operator="equal">
      <formula>"AGILIS"</formula>
    </cfRule>
  </conditionalFormatting>
  <conditionalFormatting sqref="G1623">
    <cfRule type="cellIs" dxfId="1314" priority="727" operator="equal">
      <formula>"LQA"</formula>
    </cfRule>
    <cfRule type="cellIs" dxfId="1313" priority="728" operator="equal">
      <formula>"IT"</formula>
    </cfRule>
  </conditionalFormatting>
  <conditionalFormatting sqref="F1624 D1624">
    <cfRule type="cellIs" dxfId="1312" priority="726" operator="equal">
      <formula>"AGILIS"</formula>
    </cfRule>
  </conditionalFormatting>
  <conditionalFormatting sqref="G1624">
    <cfRule type="cellIs" dxfId="1311" priority="724" operator="equal">
      <formula>"LQA"</formula>
    </cfRule>
    <cfRule type="cellIs" dxfId="1310" priority="725" operator="equal">
      <formula>"IT"</formula>
    </cfRule>
  </conditionalFormatting>
  <conditionalFormatting sqref="F1625 D1625">
    <cfRule type="cellIs" dxfId="1309" priority="723" operator="equal">
      <formula>"AGILIS"</formula>
    </cfRule>
  </conditionalFormatting>
  <conditionalFormatting sqref="G1625">
    <cfRule type="cellIs" dxfId="1308" priority="721" operator="equal">
      <formula>"LQA"</formula>
    </cfRule>
    <cfRule type="cellIs" dxfId="1307" priority="722" operator="equal">
      <formula>"IT"</formula>
    </cfRule>
  </conditionalFormatting>
  <conditionalFormatting sqref="F1626 D1626">
    <cfRule type="cellIs" dxfId="1306" priority="720" operator="equal">
      <formula>"AGILIS"</formula>
    </cfRule>
  </conditionalFormatting>
  <conditionalFormatting sqref="F1627 D1627">
    <cfRule type="cellIs" dxfId="1305" priority="716" operator="equal">
      <formula>"AGILIS"</formula>
    </cfRule>
  </conditionalFormatting>
  <conditionalFormatting sqref="G1627">
    <cfRule type="cellIs" dxfId="1304" priority="714" operator="equal">
      <formula>"LQA"</formula>
    </cfRule>
    <cfRule type="cellIs" dxfId="1303" priority="715" operator="equal">
      <formula>"IT"</formula>
    </cfRule>
  </conditionalFormatting>
  <conditionalFormatting sqref="F1628 D1628">
    <cfRule type="cellIs" dxfId="1302" priority="713" operator="equal">
      <formula>"AGILIS"</formula>
    </cfRule>
  </conditionalFormatting>
  <conditionalFormatting sqref="G1628">
    <cfRule type="cellIs" dxfId="1301" priority="711" operator="equal">
      <formula>"LQA"</formula>
    </cfRule>
    <cfRule type="cellIs" dxfId="1300" priority="712" operator="equal">
      <formula>"IT"</formula>
    </cfRule>
  </conditionalFormatting>
  <conditionalFormatting sqref="G1626">
    <cfRule type="cellIs" dxfId="1299" priority="709" operator="equal">
      <formula>"LQA"</formula>
    </cfRule>
    <cfRule type="cellIs" dxfId="1298" priority="710" operator="equal">
      <formula>"IT"</formula>
    </cfRule>
  </conditionalFormatting>
  <conditionalFormatting sqref="F1629 D1629">
    <cfRule type="cellIs" dxfId="1297" priority="708" operator="equal">
      <formula>"AGILIS"</formula>
    </cfRule>
  </conditionalFormatting>
  <conditionalFormatting sqref="G1629">
    <cfRule type="cellIs" dxfId="1296" priority="706" operator="equal">
      <formula>"LQA"</formula>
    </cfRule>
    <cfRule type="cellIs" dxfId="1295" priority="707" operator="equal">
      <formula>"IT"</formula>
    </cfRule>
  </conditionalFormatting>
  <conditionalFormatting sqref="F1630 D1630">
    <cfRule type="cellIs" dxfId="1294" priority="702" operator="equal">
      <formula>"AGILIS"</formula>
    </cfRule>
  </conditionalFormatting>
  <conditionalFormatting sqref="G1630">
    <cfRule type="cellIs" dxfId="1293" priority="700" operator="equal">
      <formula>"LQA"</formula>
    </cfRule>
    <cfRule type="cellIs" dxfId="1292" priority="701" operator="equal">
      <formula>"IT"</formula>
    </cfRule>
  </conditionalFormatting>
  <conditionalFormatting sqref="F1631 D1631">
    <cfRule type="cellIs" dxfId="1291" priority="699" operator="equal">
      <formula>"AGILIS"</formula>
    </cfRule>
  </conditionalFormatting>
  <conditionalFormatting sqref="F1632 D1632">
    <cfRule type="cellIs" dxfId="1290" priority="698" operator="equal">
      <formula>"AGILIS"</formula>
    </cfRule>
  </conditionalFormatting>
  <conditionalFormatting sqref="G1633">
    <cfRule type="cellIs" dxfId="1289" priority="694" operator="equal">
      <formula>"LQA"</formula>
    </cfRule>
    <cfRule type="cellIs" dxfId="1288" priority="695" operator="equal">
      <formula>"IT"</formula>
    </cfRule>
  </conditionalFormatting>
  <conditionalFormatting sqref="F1633 D1633">
    <cfRule type="cellIs" dxfId="1287" priority="693" operator="equal">
      <formula>"AGILIS"</formula>
    </cfRule>
  </conditionalFormatting>
  <conditionalFormatting sqref="G1634">
    <cfRule type="cellIs" dxfId="1286" priority="691" operator="equal">
      <formula>"LQA"</formula>
    </cfRule>
    <cfRule type="cellIs" dxfId="1285" priority="692" operator="equal">
      <formula>"IT"</formula>
    </cfRule>
  </conditionalFormatting>
  <conditionalFormatting sqref="F1634 D1634">
    <cfRule type="cellIs" dxfId="1284" priority="690" operator="equal">
      <formula>"AGILIS"</formula>
    </cfRule>
  </conditionalFormatting>
  <conditionalFormatting sqref="F1635 D1635">
    <cfRule type="cellIs" dxfId="1283" priority="689" operator="equal">
      <formula>"AGILIS"</formula>
    </cfRule>
  </conditionalFormatting>
  <conditionalFormatting sqref="F1636 D1636">
    <cfRule type="cellIs" dxfId="1282" priority="688" operator="equal">
      <formula>"AGILIS"</formula>
    </cfRule>
  </conditionalFormatting>
  <conditionalFormatting sqref="F1637 D1637">
    <cfRule type="cellIs" dxfId="1281" priority="687" operator="equal">
      <formula>"AGILIS"</formula>
    </cfRule>
  </conditionalFormatting>
  <conditionalFormatting sqref="G1638">
    <cfRule type="cellIs" dxfId="1280" priority="685" operator="equal">
      <formula>"LQA"</formula>
    </cfRule>
    <cfRule type="cellIs" dxfId="1279" priority="686" operator="equal">
      <formula>"IT"</formula>
    </cfRule>
  </conditionalFormatting>
  <conditionalFormatting sqref="F1638 D1638">
    <cfRule type="cellIs" dxfId="1278" priority="684" operator="equal">
      <formula>"AGILIS"</formula>
    </cfRule>
  </conditionalFormatting>
  <conditionalFormatting sqref="G1639">
    <cfRule type="cellIs" dxfId="1277" priority="682" operator="equal">
      <formula>"LQA"</formula>
    </cfRule>
    <cfRule type="cellIs" dxfId="1276" priority="683" operator="equal">
      <formula>"IT"</formula>
    </cfRule>
  </conditionalFormatting>
  <conditionalFormatting sqref="F1639 D1639">
    <cfRule type="cellIs" dxfId="1275" priority="681" operator="equal">
      <formula>"AGILIS"</formula>
    </cfRule>
  </conditionalFormatting>
  <conditionalFormatting sqref="G1640">
    <cfRule type="cellIs" dxfId="1274" priority="676" operator="equal">
      <formula>"LQA"</formula>
    </cfRule>
    <cfRule type="cellIs" dxfId="1273" priority="677" operator="equal">
      <formula>"IT"</formula>
    </cfRule>
  </conditionalFormatting>
  <conditionalFormatting sqref="F1640 D1640">
    <cfRule type="cellIs" dxfId="1272" priority="675" operator="equal">
      <formula>"AGILIS"</formula>
    </cfRule>
  </conditionalFormatting>
  <conditionalFormatting sqref="G1641">
    <cfRule type="cellIs" dxfId="1271" priority="673" operator="equal">
      <formula>"LQA"</formula>
    </cfRule>
    <cfRule type="cellIs" dxfId="1270" priority="674" operator="equal">
      <formula>"IT"</formula>
    </cfRule>
  </conditionalFormatting>
  <conditionalFormatting sqref="F1641 D1641">
    <cfRule type="cellIs" dxfId="1269" priority="672" operator="equal">
      <formula>"AGILIS"</formula>
    </cfRule>
  </conditionalFormatting>
  <conditionalFormatting sqref="H1642">
    <cfRule type="cellIs" dxfId="1268" priority="671" operator="equal">
      <formula>"AGILIS"</formula>
    </cfRule>
  </conditionalFormatting>
  <conditionalFormatting sqref="G1642">
    <cfRule type="cellIs" dxfId="1267" priority="669" operator="equal">
      <formula>"LQA"</formula>
    </cfRule>
    <cfRule type="cellIs" dxfId="1266" priority="670" operator="equal">
      <formula>"IT"</formula>
    </cfRule>
  </conditionalFormatting>
  <conditionalFormatting sqref="F1642 D1642">
    <cfRule type="cellIs" dxfId="1265" priority="668" operator="equal">
      <formula>"AGILIS"</formula>
    </cfRule>
  </conditionalFormatting>
  <conditionalFormatting sqref="H1643">
    <cfRule type="cellIs" dxfId="1264" priority="667" operator="equal">
      <formula>"AGILIS"</formula>
    </cfRule>
  </conditionalFormatting>
  <conditionalFormatting sqref="F1643 D1643">
    <cfRule type="cellIs" dxfId="1263" priority="666" operator="equal">
      <formula>"AGILIS"</formula>
    </cfRule>
  </conditionalFormatting>
  <conditionalFormatting sqref="G1646">
    <cfRule type="cellIs" dxfId="1262" priority="654" operator="equal">
      <formula>"LQA"</formula>
    </cfRule>
    <cfRule type="cellIs" dxfId="1261" priority="655" operator="equal">
      <formula>"IT"</formula>
    </cfRule>
  </conditionalFormatting>
  <conditionalFormatting sqref="F1644 D1644">
    <cfRule type="cellIs" dxfId="1260" priority="663" operator="equal">
      <formula>"AGILIS"</formula>
    </cfRule>
  </conditionalFormatting>
  <conditionalFormatting sqref="G1644">
    <cfRule type="cellIs" dxfId="1259" priority="661" operator="equal">
      <formula>"LQA"</formula>
    </cfRule>
    <cfRule type="cellIs" dxfId="1258" priority="662" operator="equal">
      <formula>"IT"</formula>
    </cfRule>
  </conditionalFormatting>
  <conditionalFormatting sqref="F1645 D1645">
    <cfRule type="cellIs" dxfId="1257" priority="658" operator="equal">
      <formula>"AGILIS"</formula>
    </cfRule>
  </conditionalFormatting>
  <conditionalFormatting sqref="G1645">
    <cfRule type="cellIs" dxfId="1256" priority="656" operator="equal">
      <formula>"LQA"</formula>
    </cfRule>
    <cfRule type="cellIs" dxfId="1255" priority="657" operator="equal">
      <formula>"IT"</formula>
    </cfRule>
  </conditionalFormatting>
  <conditionalFormatting sqref="F1646 D1646">
    <cfRule type="cellIs" dxfId="1254" priority="653" operator="equal">
      <formula>"AGILIS"</formula>
    </cfRule>
  </conditionalFormatting>
  <conditionalFormatting sqref="G1647">
    <cfRule type="cellIs" dxfId="1253" priority="651" operator="equal">
      <formula>"LQA"</formula>
    </cfRule>
    <cfRule type="cellIs" dxfId="1252" priority="652" operator="equal">
      <formula>"IT"</formula>
    </cfRule>
  </conditionalFormatting>
  <conditionalFormatting sqref="F1647 D1647">
    <cfRule type="cellIs" dxfId="1251" priority="650" operator="equal">
      <formula>"AGILIS"</formula>
    </cfRule>
  </conditionalFormatting>
  <conditionalFormatting sqref="F1648 D1648">
    <cfRule type="cellIs" dxfId="1250" priority="649" operator="equal">
      <formula>"AGILIS"</formula>
    </cfRule>
  </conditionalFormatting>
  <conditionalFormatting sqref="G1648">
    <cfRule type="cellIs" dxfId="1249" priority="647" operator="equal">
      <formula>"LQA"</formula>
    </cfRule>
    <cfRule type="cellIs" dxfId="1248" priority="648" operator="equal">
      <formula>"IT"</formula>
    </cfRule>
  </conditionalFormatting>
  <conditionalFormatting sqref="H1649:I1649">
    <cfRule type="cellIs" dxfId="1247" priority="646" operator="equal">
      <formula>"AGILIS"</formula>
    </cfRule>
  </conditionalFormatting>
  <conditionalFormatting sqref="F1649 D1649">
    <cfRule type="cellIs" dxfId="1246" priority="645" operator="equal">
      <formula>"AGILIS"</formula>
    </cfRule>
  </conditionalFormatting>
  <conditionalFormatting sqref="G1649">
    <cfRule type="cellIs" dxfId="1245" priority="643" operator="equal">
      <formula>"LQA"</formula>
    </cfRule>
    <cfRule type="cellIs" dxfId="1244" priority="644" operator="equal">
      <formula>"IT"</formula>
    </cfRule>
  </conditionalFormatting>
  <conditionalFormatting sqref="G1650">
    <cfRule type="cellIs" dxfId="1243" priority="641" operator="equal">
      <formula>"LQA"</formula>
    </cfRule>
    <cfRule type="cellIs" dxfId="1242" priority="642" operator="equal">
      <formula>"IT"</formula>
    </cfRule>
  </conditionalFormatting>
  <conditionalFormatting sqref="F1650 D1650">
    <cfRule type="cellIs" dxfId="1241" priority="640" operator="equal">
      <formula>"AGILIS"</formula>
    </cfRule>
  </conditionalFormatting>
  <conditionalFormatting sqref="Z1651:Z1652 H1651:I1651">
    <cfRule type="cellIs" dxfId="1240" priority="639" operator="equal">
      <formula>"AGILIS"</formula>
    </cfRule>
  </conditionalFormatting>
  <conditionalFormatting sqref="F1651 D1651">
    <cfRule type="cellIs" dxfId="1239" priority="638" operator="equal">
      <formula>"AGILIS"</formula>
    </cfRule>
  </conditionalFormatting>
  <conditionalFormatting sqref="G1651">
    <cfRule type="cellIs" dxfId="1238" priority="636" operator="equal">
      <formula>"LQA"</formula>
    </cfRule>
    <cfRule type="cellIs" dxfId="1237" priority="637" operator="equal">
      <formula>"IT"</formula>
    </cfRule>
  </conditionalFormatting>
  <conditionalFormatting sqref="H1652:I1652">
    <cfRule type="cellIs" dxfId="1236" priority="635" operator="equal">
      <formula>"AGILIS"</formula>
    </cfRule>
  </conditionalFormatting>
  <conditionalFormatting sqref="F1652 D1652">
    <cfRule type="cellIs" dxfId="1235" priority="634" operator="equal">
      <formula>"AGILIS"</formula>
    </cfRule>
  </conditionalFormatting>
  <conditionalFormatting sqref="F1653 D1653">
    <cfRule type="cellIs" dxfId="1234" priority="629" operator="equal">
      <formula>"AGILIS"</formula>
    </cfRule>
  </conditionalFormatting>
  <conditionalFormatting sqref="G1653">
    <cfRule type="cellIs" dxfId="1233" priority="627" operator="equal">
      <formula>"LQA"</formula>
    </cfRule>
    <cfRule type="cellIs" dxfId="1232" priority="628" operator="equal">
      <formula>"IT"</formula>
    </cfRule>
  </conditionalFormatting>
  <conditionalFormatting sqref="G1654">
    <cfRule type="cellIs" dxfId="1231" priority="625" operator="equal">
      <formula>"LQA"</formula>
    </cfRule>
    <cfRule type="cellIs" dxfId="1230" priority="626" operator="equal">
      <formula>"IT"</formula>
    </cfRule>
  </conditionalFormatting>
  <conditionalFormatting sqref="F1654 D1654">
    <cfRule type="cellIs" dxfId="1229" priority="624" operator="equal">
      <formula>"AGILIS"</formula>
    </cfRule>
  </conditionalFormatting>
  <conditionalFormatting sqref="G1655">
    <cfRule type="cellIs" dxfId="1228" priority="622" operator="equal">
      <formula>"LQA"</formula>
    </cfRule>
    <cfRule type="cellIs" dxfId="1227" priority="623" operator="equal">
      <formula>"IT"</formula>
    </cfRule>
  </conditionalFormatting>
  <conditionalFormatting sqref="F1655 D1655">
    <cfRule type="cellIs" dxfId="1226" priority="621" operator="equal">
      <formula>"AGILIS"</formula>
    </cfRule>
  </conditionalFormatting>
  <conditionalFormatting sqref="G1652">
    <cfRule type="cellIs" dxfId="1225" priority="619" operator="equal">
      <formula>"LQA"</formula>
    </cfRule>
    <cfRule type="cellIs" dxfId="1224" priority="620" operator="equal">
      <formula>"IT"</formula>
    </cfRule>
  </conditionalFormatting>
  <conditionalFormatting sqref="G1632">
    <cfRule type="cellIs" dxfId="1223" priority="617" operator="equal">
      <formula>"LQA"</formula>
    </cfRule>
    <cfRule type="cellIs" dxfId="1222" priority="618" operator="equal">
      <formula>"IT"</formula>
    </cfRule>
  </conditionalFormatting>
  <conditionalFormatting sqref="F1656 D1656">
    <cfRule type="cellIs" dxfId="1221" priority="616" operator="equal">
      <formula>"AGILIS"</formula>
    </cfRule>
  </conditionalFormatting>
  <conditionalFormatting sqref="G1657">
    <cfRule type="cellIs" dxfId="1220" priority="614" operator="equal">
      <formula>"LQA"</formula>
    </cfRule>
    <cfRule type="cellIs" dxfId="1219" priority="615" operator="equal">
      <formula>"IT"</formula>
    </cfRule>
  </conditionalFormatting>
  <conditionalFormatting sqref="F1657 D1657">
    <cfRule type="cellIs" dxfId="1218" priority="613" operator="equal">
      <formula>"AGILIS"</formula>
    </cfRule>
  </conditionalFormatting>
  <conditionalFormatting sqref="F1658 D1658">
    <cfRule type="cellIs" dxfId="1217" priority="612" operator="equal">
      <formula>"AGILIS"</formula>
    </cfRule>
  </conditionalFormatting>
  <conditionalFormatting sqref="G1658">
    <cfRule type="cellIs" dxfId="1216" priority="608" operator="equal">
      <formula>"LQA"</formula>
    </cfRule>
    <cfRule type="cellIs" dxfId="1215" priority="609" operator="equal">
      <formula>"IT"</formula>
    </cfRule>
  </conditionalFormatting>
  <conditionalFormatting sqref="F1659 D1659">
    <cfRule type="cellIs" dxfId="1214" priority="607" operator="equal">
      <formula>"AGILIS"</formula>
    </cfRule>
  </conditionalFormatting>
  <conditionalFormatting sqref="G1660">
    <cfRule type="cellIs" dxfId="1213" priority="605" operator="equal">
      <formula>"LQA"</formula>
    </cfRule>
    <cfRule type="cellIs" dxfId="1212" priority="606" operator="equal">
      <formula>"IT"</formula>
    </cfRule>
  </conditionalFormatting>
  <conditionalFormatting sqref="F1660 D1660">
    <cfRule type="cellIs" dxfId="1211" priority="604" operator="equal">
      <formula>"AGILIS"</formula>
    </cfRule>
  </conditionalFormatting>
  <conditionalFormatting sqref="G1656">
    <cfRule type="cellIs" dxfId="1210" priority="602" operator="equal">
      <formula>"LQA"</formula>
    </cfRule>
    <cfRule type="cellIs" dxfId="1209" priority="603" operator="equal">
      <formula>"IT"</formula>
    </cfRule>
  </conditionalFormatting>
  <conditionalFormatting sqref="G1661">
    <cfRule type="cellIs" dxfId="1208" priority="600" operator="equal">
      <formula>"LQA"</formula>
    </cfRule>
    <cfRule type="cellIs" dxfId="1207" priority="601" operator="equal">
      <formula>"IT"</formula>
    </cfRule>
  </conditionalFormatting>
  <conditionalFormatting sqref="F1661 D1661">
    <cfRule type="cellIs" dxfId="1206" priority="599" operator="equal">
      <formula>"AGILIS"</formula>
    </cfRule>
  </conditionalFormatting>
  <conditionalFormatting sqref="K1661">
    <cfRule type="cellIs" dxfId="1205" priority="598" operator="equal">
      <formula>"AGILIS"</formula>
    </cfRule>
  </conditionalFormatting>
  <conditionalFormatting sqref="G1662">
    <cfRule type="cellIs" dxfId="1204" priority="596" operator="equal">
      <formula>"LQA"</formula>
    </cfRule>
    <cfRule type="cellIs" dxfId="1203" priority="597" operator="equal">
      <formula>"IT"</formula>
    </cfRule>
  </conditionalFormatting>
  <conditionalFormatting sqref="F1662 D1662">
    <cfRule type="cellIs" dxfId="1202" priority="595" operator="equal">
      <formula>"AGILIS"</formula>
    </cfRule>
  </conditionalFormatting>
  <conditionalFormatting sqref="G1663">
    <cfRule type="cellIs" dxfId="1201" priority="593" operator="equal">
      <formula>"LQA"</formula>
    </cfRule>
    <cfRule type="cellIs" dxfId="1200" priority="594" operator="equal">
      <formula>"IT"</formula>
    </cfRule>
  </conditionalFormatting>
  <conditionalFormatting sqref="F1663 D1663">
    <cfRule type="cellIs" dxfId="1199" priority="592" operator="equal">
      <formula>"AGILIS"</formula>
    </cfRule>
  </conditionalFormatting>
  <conditionalFormatting sqref="G1664">
    <cfRule type="cellIs" dxfId="1198" priority="590" operator="equal">
      <formula>"LQA"</formula>
    </cfRule>
    <cfRule type="cellIs" dxfId="1197" priority="591" operator="equal">
      <formula>"IT"</formula>
    </cfRule>
  </conditionalFormatting>
  <conditionalFormatting sqref="F1664 D1664">
    <cfRule type="cellIs" dxfId="1196" priority="589" operator="equal">
      <formula>"AGILIS"</formula>
    </cfRule>
  </conditionalFormatting>
  <conditionalFormatting sqref="F1665 D1665">
    <cfRule type="cellIs" dxfId="1195" priority="588" operator="equal">
      <formula>"AGILIS"</formula>
    </cfRule>
  </conditionalFormatting>
  <conditionalFormatting sqref="G1666">
    <cfRule type="cellIs" dxfId="1194" priority="586" operator="equal">
      <formula>"LQA"</formula>
    </cfRule>
    <cfRule type="cellIs" dxfId="1193" priority="587" operator="equal">
      <formula>"IT"</formula>
    </cfRule>
  </conditionalFormatting>
  <conditionalFormatting sqref="F1666 D1666">
    <cfRule type="cellIs" dxfId="1192" priority="585" operator="equal">
      <formula>"AGILIS"</formula>
    </cfRule>
  </conditionalFormatting>
  <conditionalFormatting sqref="F1667 D1667">
    <cfRule type="cellIs" dxfId="1191" priority="584" operator="equal">
      <formula>"AGILIS"</formula>
    </cfRule>
  </conditionalFormatting>
  <conditionalFormatting sqref="G1668">
    <cfRule type="cellIs" dxfId="1190" priority="582" operator="equal">
      <formula>"LQA"</formula>
    </cfRule>
    <cfRule type="cellIs" dxfId="1189" priority="583" operator="equal">
      <formula>"IT"</formula>
    </cfRule>
  </conditionalFormatting>
  <conditionalFormatting sqref="F1668 D1668">
    <cfRule type="cellIs" dxfId="1188" priority="581" operator="equal">
      <formula>"AGILIS"</formula>
    </cfRule>
  </conditionalFormatting>
  <conditionalFormatting sqref="F1669 D1669">
    <cfRule type="cellIs" dxfId="1187" priority="580" operator="equal">
      <formula>"AGILIS"</formula>
    </cfRule>
  </conditionalFormatting>
  <conditionalFormatting sqref="G1670">
    <cfRule type="cellIs" dxfId="1186" priority="578" operator="equal">
      <formula>"LQA"</formula>
    </cfRule>
    <cfRule type="cellIs" dxfId="1185" priority="579" operator="equal">
      <formula>"IT"</formula>
    </cfRule>
  </conditionalFormatting>
  <conditionalFormatting sqref="F1670 D1670">
    <cfRule type="cellIs" dxfId="1184" priority="577" operator="equal">
      <formula>"AGILIS"</formula>
    </cfRule>
  </conditionalFormatting>
  <conditionalFormatting sqref="J1671">
    <cfRule type="cellIs" dxfId="1183" priority="576" operator="equal">
      <formula>"AGILIS"</formula>
    </cfRule>
  </conditionalFormatting>
  <conditionalFormatting sqref="G1671">
    <cfRule type="cellIs" dxfId="1182" priority="574" operator="equal">
      <formula>"LQA"</formula>
    </cfRule>
    <cfRule type="cellIs" dxfId="1181" priority="575" operator="equal">
      <formula>"IT"</formula>
    </cfRule>
  </conditionalFormatting>
  <conditionalFormatting sqref="F1671 D1671">
    <cfRule type="cellIs" dxfId="1180" priority="573" operator="equal">
      <formula>"AGILIS"</formula>
    </cfRule>
  </conditionalFormatting>
  <conditionalFormatting sqref="F1672 D1672">
    <cfRule type="cellIs" dxfId="1179" priority="572" operator="equal">
      <formula>"AGILIS"</formula>
    </cfRule>
  </conditionalFormatting>
  <conditionalFormatting sqref="F1673 D1673">
    <cfRule type="cellIs" dxfId="1178" priority="571" operator="equal">
      <formula>"AGILIS"</formula>
    </cfRule>
  </conditionalFormatting>
  <conditionalFormatting sqref="G1673">
    <cfRule type="cellIs" dxfId="1177" priority="569" operator="equal">
      <formula>"LQA"</formula>
    </cfRule>
    <cfRule type="cellIs" dxfId="1176" priority="570" operator="equal">
      <formula>"IT"</formula>
    </cfRule>
  </conditionalFormatting>
  <conditionalFormatting sqref="F1674 D1674">
    <cfRule type="cellIs" dxfId="1175" priority="568" operator="equal">
      <formula>"AGILIS"</formula>
    </cfRule>
  </conditionalFormatting>
  <conditionalFormatting sqref="F1675 D1675">
    <cfRule type="cellIs" dxfId="1174" priority="567" operator="equal">
      <formula>"AGILIS"</formula>
    </cfRule>
  </conditionalFormatting>
  <conditionalFormatting sqref="G1676">
    <cfRule type="cellIs" dxfId="1173" priority="565" operator="equal">
      <formula>"LQA"</formula>
    </cfRule>
    <cfRule type="cellIs" dxfId="1172" priority="566" operator="equal">
      <formula>"IT"</formula>
    </cfRule>
  </conditionalFormatting>
  <conditionalFormatting sqref="F1676 D1676">
    <cfRule type="cellIs" dxfId="1171" priority="564" operator="equal">
      <formula>"AGILIS"</formula>
    </cfRule>
  </conditionalFormatting>
  <conditionalFormatting sqref="F1677 D1677">
    <cfRule type="cellIs" dxfId="1170" priority="563" operator="equal">
      <formula>"AGILIS"</formula>
    </cfRule>
  </conditionalFormatting>
  <conditionalFormatting sqref="G1678">
    <cfRule type="cellIs" dxfId="1169" priority="561" operator="equal">
      <formula>"LQA"</formula>
    </cfRule>
    <cfRule type="cellIs" dxfId="1168" priority="562" operator="equal">
      <formula>"IT"</formula>
    </cfRule>
  </conditionalFormatting>
  <conditionalFormatting sqref="F1678 D1678">
    <cfRule type="cellIs" dxfId="1167" priority="560" operator="equal">
      <formula>"AGILIS"</formula>
    </cfRule>
  </conditionalFormatting>
  <conditionalFormatting sqref="G1679">
    <cfRule type="cellIs" dxfId="1166" priority="558" operator="equal">
      <formula>"LQA"</formula>
    </cfRule>
    <cfRule type="cellIs" dxfId="1165" priority="559" operator="equal">
      <formula>"IT"</formula>
    </cfRule>
  </conditionalFormatting>
  <conditionalFormatting sqref="F1679 D1679">
    <cfRule type="cellIs" dxfId="1164" priority="557" operator="equal">
      <formula>"AGILIS"</formula>
    </cfRule>
  </conditionalFormatting>
  <conditionalFormatting sqref="F1680 D1680">
    <cfRule type="cellIs" dxfId="1163" priority="554" operator="equal">
      <formula>"AGILIS"</formula>
    </cfRule>
  </conditionalFormatting>
  <conditionalFormatting sqref="F1681 D1681">
    <cfRule type="cellIs" dxfId="1162" priority="553" operator="equal">
      <formula>"AGILIS"</formula>
    </cfRule>
  </conditionalFormatting>
  <conditionalFormatting sqref="F1682 D1682">
    <cfRule type="cellIs" dxfId="1161" priority="552" operator="equal">
      <formula>"AGILIS"</formula>
    </cfRule>
  </conditionalFormatting>
  <conditionalFormatting sqref="G1683">
    <cfRule type="cellIs" dxfId="1160" priority="550" operator="equal">
      <formula>"LQA"</formula>
    </cfRule>
    <cfRule type="cellIs" dxfId="1159" priority="551" operator="equal">
      <formula>"IT"</formula>
    </cfRule>
  </conditionalFormatting>
  <conditionalFormatting sqref="F1683 D1683">
    <cfRule type="cellIs" dxfId="1158" priority="549" operator="equal">
      <formula>"AGILIS"</formula>
    </cfRule>
  </conditionalFormatting>
  <conditionalFormatting sqref="G1684">
    <cfRule type="cellIs" dxfId="1157" priority="547" operator="equal">
      <formula>"LQA"</formula>
    </cfRule>
    <cfRule type="cellIs" dxfId="1156" priority="548" operator="equal">
      <formula>"IT"</formula>
    </cfRule>
  </conditionalFormatting>
  <conditionalFormatting sqref="F1684 D1684">
    <cfRule type="cellIs" dxfId="1155" priority="546" operator="equal">
      <formula>"AGILIS"</formula>
    </cfRule>
  </conditionalFormatting>
  <conditionalFormatting sqref="G1685">
    <cfRule type="cellIs" dxfId="1154" priority="544" operator="equal">
      <formula>"LQA"</formula>
    </cfRule>
    <cfRule type="cellIs" dxfId="1153" priority="545" operator="equal">
      <formula>"IT"</formula>
    </cfRule>
  </conditionalFormatting>
  <conditionalFormatting sqref="F1685 D1685">
    <cfRule type="cellIs" dxfId="1152" priority="543" operator="equal">
      <formula>"AGILIS"</formula>
    </cfRule>
  </conditionalFormatting>
  <conditionalFormatting sqref="G1686">
    <cfRule type="cellIs" dxfId="1151" priority="541" operator="equal">
      <formula>"LQA"</formula>
    </cfRule>
    <cfRule type="cellIs" dxfId="1150" priority="542" operator="equal">
      <formula>"IT"</formula>
    </cfRule>
  </conditionalFormatting>
  <conditionalFormatting sqref="F1686 D1686">
    <cfRule type="cellIs" dxfId="1149" priority="540" operator="equal">
      <formula>"AGILIS"</formula>
    </cfRule>
  </conditionalFormatting>
  <conditionalFormatting sqref="G1687">
    <cfRule type="cellIs" dxfId="1148" priority="538" operator="equal">
      <formula>"LQA"</formula>
    </cfRule>
    <cfRule type="cellIs" dxfId="1147" priority="539" operator="equal">
      <formula>"IT"</formula>
    </cfRule>
  </conditionalFormatting>
  <conditionalFormatting sqref="F1687 D1687">
    <cfRule type="cellIs" dxfId="1146" priority="537" operator="equal">
      <formula>"AGILIS"</formula>
    </cfRule>
  </conditionalFormatting>
  <conditionalFormatting sqref="G1688">
    <cfRule type="cellIs" dxfId="1145" priority="535" operator="equal">
      <formula>"LQA"</formula>
    </cfRule>
    <cfRule type="cellIs" dxfId="1144" priority="536" operator="equal">
      <formula>"IT"</formula>
    </cfRule>
  </conditionalFormatting>
  <conditionalFormatting sqref="F1688 D1688">
    <cfRule type="cellIs" dxfId="1143" priority="534" operator="equal">
      <formula>"AGILIS"</formula>
    </cfRule>
  </conditionalFormatting>
  <conditionalFormatting sqref="G1680">
    <cfRule type="cellIs" dxfId="1142" priority="532" operator="equal">
      <formula>"LQA"</formula>
    </cfRule>
    <cfRule type="cellIs" dxfId="1141" priority="533" operator="equal">
      <formula>"IT"</formula>
    </cfRule>
  </conditionalFormatting>
  <conditionalFormatting sqref="G1689">
    <cfRule type="cellIs" dxfId="1140" priority="530" operator="equal">
      <formula>"LQA"</formula>
    </cfRule>
    <cfRule type="cellIs" dxfId="1139" priority="531" operator="equal">
      <formula>"IT"</formula>
    </cfRule>
  </conditionalFormatting>
  <conditionalFormatting sqref="F1689 D1689">
    <cfRule type="cellIs" dxfId="1138" priority="529" operator="equal">
      <formula>"AGILIS"</formula>
    </cfRule>
  </conditionalFormatting>
  <conditionalFormatting sqref="G1690">
    <cfRule type="cellIs" dxfId="1137" priority="527" operator="equal">
      <formula>"LQA"</formula>
    </cfRule>
    <cfRule type="cellIs" dxfId="1136" priority="528" operator="equal">
      <formula>"IT"</formula>
    </cfRule>
  </conditionalFormatting>
  <conditionalFormatting sqref="F1690 D1690">
    <cfRule type="cellIs" dxfId="1135" priority="526" operator="equal">
      <formula>"AGILIS"</formula>
    </cfRule>
  </conditionalFormatting>
  <conditionalFormatting sqref="G1691">
    <cfRule type="cellIs" dxfId="1134" priority="524" operator="equal">
      <formula>"LQA"</formula>
    </cfRule>
    <cfRule type="cellIs" dxfId="1133" priority="525" operator="equal">
      <formula>"IT"</formula>
    </cfRule>
  </conditionalFormatting>
  <conditionalFormatting sqref="F1691 D1691">
    <cfRule type="cellIs" dxfId="1132" priority="523" operator="equal">
      <formula>"AGILIS"</formula>
    </cfRule>
  </conditionalFormatting>
  <conditionalFormatting sqref="G1692">
    <cfRule type="cellIs" dxfId="1131" priority="519" operator="equal">
      <formula>"LQA"</formula>
    </cfRule>
    <cfRule type="cellIs" dxfId="1130" priority="520" operator="equal">
      <formula>"IT"</formula>
    </cfRule>
  </conditionalFormatting>
  <conditionalFormatting sqref="F1692 D1692">
    <cfRule type="cellIs" dxfId="1129" priority="518" operator="equal">
      <formula>"AGILIS"</formula>
    </cfRule>
  </conditionalFormatting>
  <conditionalFormatting sqref="F1693 D1693">
    <cfRule type="cellIs" dxfId="1128" priority="517" operator="equal">
      <formula>"AGILIS"</formula>
    </cfRule>
  </conditionalFormatting>
  <conditionalFormatting sqref="G1694">
    <cfRule type="cellIs" dxfId="1127" priority="515" operator="equal">
      <formula>"LQA"</formula>
    </cfRule>
    <cfRule type="cellIs" dxfId="1126" priority="516" operator="equal">
      <formula>"IT"</formula>
    </cfRule>
  </conditionalFormatting>
  <conditionalFormatting sqref="F1694 D1694">
    <cfRule type="cellIs" dxfId="1125" priority="514" operator="equal">
      <formula>"AGILIS"</formula>
    </cfRule>
  </conditionalFormatting>
  <conditionalFormatting sqref="G1695">
    <cfRule type="cellIs" dxfId="1124" priority="512" operator="equal">
      <formula>"LQA"</formula>
    </cfRule>
    <cfRule type="cellIs" dxfId="1123" priority="513" operator="equal">
      <formula>"IT"</formula>
    </cfRule>
  </conditionalFormatting>
  <conditionalFormatting sqref="F1695 D1695">
    <cfRule type="cellIs" dxfId="1122" priority="511" operator="equal">
      <formula>"AGILIS"</formula>
    </cfRule>
  </conditionalFormatting>
  <conditionalFormatting sqref="H1696">
    <cfRule type="cellIs" dxfId="1121" priority="510" operator="equal">
      <formula>"AGILIS"</formula>
    </cfRule>
  </conditionalFormatting>
  <conditionalFormatting sqref="G1696">
    <cfRule type="cellIs" dxfId="1120" priority="508" operator="equal">
      <formula>"LQA"</formula>
    </cfRule>
    <cfRule type="cellIs" dxfId="1119" priority="509" operator="equal">
      <formula>"IT"</formula>
    </cfRule>
  </conditionalFormatting>
  <conditionalFormatting sqref="F1696 D1696">
    <cfRule type="cellIs" dxfId="1118" priority="507" operator="equal">
      <formula>"AGILIS"</formula>
    </cfRule>
  </conditionalFormatting>
  <conditionalFormatting sqref="F1697 D1697">
    <cfRule type="cellIs" dxfId="1117" priority="506" operator="equal">
      <formula>"AGILIS"</formula>
    </cfRule>
  </conditionalFormatting>
  <conditionalFormatting sqref="G1698">
    <cfRule type="cellIs" dxfId="1116" priority="504" operator="equal">
      <formula>"LQA"</formula>
    </cfRule>
    <cfRule type="cellIs" dxfId="1115" priority="505" operator="equal">
      <formula>"IT"</formula>
    </cfRule>
  </conditionalFormatting>
  <conditionalFormatting sqref="F1698 D1698">
    <cfRule type="cellIs" dxfId="1114" priority="503" operator="equal">
      <formula>"AGILIS"</formula>
    </cfRule>
  </conditionalFormatting>
  <conditionalFormatting sqref="G1699">
    <cfRule type="cellIs" dxfId="1113" priority="501" operator="equal">
      <formula>"LQA"</formula>
    </cfRule>
    <cfRule type="cellIs" dxfId="1112" priority="502" operator="equal">
      <formula>"IT"</formula>
    </cfRule>
  </conditionalFormatting>
  <conditionalFormatting sqref="F1699 D1699">
    <cfRule type="cellIs" dxfId="1111" priority="500" operator="equal">
      <formula>"AGILIS"</formula>
    </cfRule>
  </conditionalFormatting>
  <conditionalFormatting sqref="F1700 D1700">
    <cfRule type="cellIs" dxfId="1110" priority="499" operator="equal">
      <formula>"AGILIS"</formula>
    </cfRule>
  </conditionalFormatting>
  <conditionalFormatting sqref="G1701">
    <cfRule type="cellIs" dxfId="1109" priority="497" operator="equal">
      <formula>"LQA"</formula>
    </cfRule>
    <cfRule type="cellIs" dxfId="1108" priority="498" operator="equal">
      <formula>"IT"</formula>
    </cfRule>
  </conditionalFormatting>
  <conditionalFormatting sqref="F1701 D1701">
    <cfRule type="cellIs" dxfId="1107" priority="496" operator="equal">
      <formula>"AGILIS"</formula>
    </cfRule>
  </conditionalFormatting>
  <conditionalFormatting sqref="G1702">
    <cfRule type="cellIs" dxfId="1106" priority="494" operator="equal">
      <formula>"LQA"</formula>
    </cfRule>
    <cfRule type="cellIs" dxfId="1105" priority="495" operator="equal">
      <formula>"IT"</formula>
    </cfRule>
  </conditionalFormatting>
  <conditionalFormatting sqref="F1702 D1702">
    <cfRule type="cellIs" dxfId="1104" priority="493" operator="equal">
      <formula>"AGILIS"</formula>
    </cfRule>
  </conditionalFormatting>
  <conditionalFormatting sqref="F1703 D1703">
    <cfRule type="cellIs" dxfId="1103" priority="492" operator="equal">
      <formula>"AGILIS"</formula>
    </cfRule>
  </conditionalFormatting>
  <conditionalFormatting sqref="F1704 D1704">
    <cfRule type="cellIs" dxfId="1102" priority="491" operator="equal">
      <formula>"AGILIS"</formula>
    </cfRule>
  </conditionalFormatting>
  <conditionalFormatting sqref="G1705">
    <cfRule type="cellIs" dxfId="1101" priority="489" operator="equal">
      <formula>"LQA"</formula>
    </cfRule>
    <cfRule type="cellIs" dxfId="1100" priority="490" operator="equal">
      <formula>"IT"</formula>
    </cfRule>
  </conditionalFormatting>
  <conditionalFormatting sqref="F1705 D1705">
    <cfRule type="cellIs" dxfId="1099" priority="488" operator="equal">
      <formula>"AGILIS"</formula>
    </cfRule>
  </conditionalFormatting>
  <conditionalFormatting sqref="G1706">
    <cfRule type="cellIs" dxfId="1098" priority="486" operator="equal">
      <formula>"LQA"</formula>
    </cfRule>
    <cfRule type="cellIs" dxfId="1097" priority="487" operator="equal">
      <formula>"IT"</formula>
    </cfRule>
  </conditionalFormatting>
  <conditionalFormatting sqref="F1706 D1706">
    <cfRule type="cellIs" dxfId="1096" priority="485" operator="equal">
      <formula>"AGILIS"</formula>
    </cfRule>
  </conditionalFormatting>
  <conditionalFormatting sqref="F1707 D1707">
    <cfRule type="cellIs" dxfId="1095" priority="484" operator="equal">
      <formula>"AGILIS"</formula>
    </cfRule>
  </conditionalFormatting>
  <conditionalFormatting sqref="G1708">
    <cfRule type="cellIs" dxfId="1094" priority="482" operator="equal">
      <formula>"LQA"</formula>
    </cfRule>
    <cfRule type="cellIs" dxfId="1093" priority="483" operator="equal">
      <formula>"IT"</formula>
    </cfRule>
  </conditionalFormatting>
  <conditionalFormatting sqref="F1708 D1708">
    <cfRule type="cellIs" dxfId="1092" priority="481" operator="equal">
      <formula>"AGILIS"</formula>
    </cfRule>
  </conditionalFormatting>
  <conditionalFormatting sqref="G1709">
    <cfRule type="cellIs" dxfId="1091" priority="479" operator="equal">
      <formula>"LQA"</formula>
    </cfRule>
    <cfRule type="cellIs" dxfId="1090" priority="480" operator="equal">
      <formula>"IT"</formula>
    </cfRule>
  </conditionalFormatting>
  <conditionalFormatting sqref="F1709 D1709">
    <cfRule type="cellIs" dxfId="1089" priority="478" operator="equal">
      <formula>"AGILIS"</formula>
    </cfRule>
  </conditionalFormatting>
  <conditionalFormatting sqref="G1710">
    <cfRule type="cellIs" dxfId="1088" priority="476" operator="equal">
      <formula>"LQA"</formula>
    </cfRule>
    <cfRule type="cellIs" dxfId="1087" priority="477" operator="equal">
      <formula>"IT"</formula>
    </cfRule>
  </conditionalFormatting>
  <conditionalFormatting sqref="H1710">
    <cfRule type="cellIs" dxfId="1086" priority="475" operator="equal">
      <formula>"AGILIS"</formula>
    </cfRule>
  </conditionalFormatting>
  <conditionalFormatting sqref="F1710 D1710">
    <cfRule type="cellIs" dxfId="1085" priority="474" operator="equal">
      <formula>"AGILIS"</formula>
    </cfRule>
  </conditionalFormatting>
  <conditionalFormatting sqref="G1711">
    <cfRule type="cellIs" dxfId="1084" priority="472" operator="equal">
      <formula>"LQA"</formula>
    </cfRule>
    <cfRule type="cellIs" dxfId="1083" priority="473" operator="equal">
      <formula>"IT"</formula>
    </cfRule>
  </conditionalFormatting>
  <conditionalFormatting sqref="H1711">
    <cfRule type="cellIs" dxfId="1082" priority="471" operator="equal">
      <formula>"AGILIS"</formula>
    </cfRule>
  </conditionalFormatting>
  <conditionalFormatting sqref="F1711 D1711">
    <cfRule type="cellIs" dxfId="1081" priority="470" operator="equal">
      <formula>"AGILIS"</formula>
    </cfRule>
  </conditionalFormatting>
  <conditionalFormatting sqref="G1712">
    <cfRule type="cellIs" dxfId="1080" priority="468" operator="equal">
      <formula>"LQA"</formula>
    </cfRule>
    <cfRule type="cellIs" dxfId="1079" priority="469" operator="equal">
      <formula>"IT"</formula>
    </cfRule>
  </conditionalFormatting>
  <conditionalFormatting sqref="F1712 D1712">
    <cfRule type="cellIs" dxfId="1078" priority="467" operator="equal">
      <formula>"AGILIS"</formula>
    </cfRule>
  </conditionalFormatting>
  <conditionalFormatting sqref="H1712">
    <cfRule type="cellIs" dxfId="1077" priority="466" operator="equal">
      <formula>"AGILIS"</formula>
    </cfRule>
  </conditionalFormatting>
  <conditionalFormatting sqref="H1713">
    <cfRule type="cellIs" dxfId="1076" priority="465" operator="equal">
      <formula>"AGILIS"</formula>
    </cfRule>
  </conditionalFormatting>
  <conditionalFormatting sqref="G1713">
    <cfRule type="cellIs" dxfId="1075" priority="463" operator="equal">
      <formula>"LQA"</formula>
    </cfRule>
    <cfRule type="cellIs" dxfId="1074" priority="464" operator="equal">
      <formula>"IT"</formula>
    </cfRule>
  </conditionalFormatting>
  <conditionalFormatting sqref="F1713 D1713">
    <cfRule type="cellIs" dxfId="1073" priority="462" operator="equal">
      <formula>"AGILIS"</formula>
    </cfRule>
  </conditionalFormatting>
  <conditionalFormatting sqref="G1714">
    <cfRule type="cellIs" dxfId="1072" priority="460" operator="equal">
      <formula>"LQA"</formula>
    </cfRule>
    <cfRule type="cellIs" dxfId="1071" priority="461" operator="equal">
      <formula>"IT"</formula>
    </cfRule>
  </conditionalFormatting>
  <conditionalFormatting sqref="F1714 D1714">
    <cfRule type="cellIs" dxfId="1070" priority="459" operator="equal">
      <formula>"AGILIS"</formula>
    </cfRule>
  </conditionalFormatting>
  <conditionalFormatting sqref="H1714">
    <cfRule type="cellIs" dxfId="1069" priority="458" operator="equal">
      <formula>"AGILIS"</formula>
    </cfRule>
  </conditionalFormatting>
  <conditionalFormatting sqref="G1715">
    <cfRule type="cellIs" dxfId="1068" priority="456" operator="equal">
      <formula>"LQA"</formula>
    </cfRule>
    <cfRule type="cellIs" dxfId="1067" priority="457" operator="equal">
      <formula>"IT"</formula>
    </cfRule>
  </conditionalFormatting>
  <conditionalFormatting sqref="F1715 D1715">
    <cfRule type="cellIs" dxfId="1066" priority="455" operator="equal">
      <formula>"AGILIS"</formula>
    </cfRule>
  </conditionalFormatting>
  <conditionalFormatting sqref="H1716">
    <cfRule type="cellIs" dxfId="1065" priority="454" operator="equal">
      <formula>"AGILIS"</formula>
    </cfRule>
  </conditionalFormatting>
  <conditionalFormatting sqref="G1716">
    <cfRule type="cellIs" dxfId="1064" priority="452" operator="equal">
      <formula>"LQA"</formula>
    </cfRule>
    <cfRule type="cellIs" dxfId="1063" priority="453" operator="equal">
      <formula>"IT"</formula>
    </cfRule>
  </conditionalFormatting>
  <conditionalFormatting sqref="F1716 D1716">
    <cfRule type="cellIs" dxfId="1062" priority="451" operator="equal">
      <formula>"AGILIS"</formula>
    </cfRule>
  </conditionalFormatting>
  <conditionalFormatting sqref="H1717">
    <cfRule type="cellIs" dxfId="1061" priority="450" operator="equal">
      <formula>"AGILIS"</formula>
    </cfRule>
  </conditionalFormatting>
  <conditionalFormatting sqref="G1717">
    <cfRule type="cellIs" dxfId="1060" priority="448" operator="equal">
      <formula>"LQA"</formula>
    </cfRule>
    <cfRule type="cellIs" dxfId="1059" priority="449" operator="equal">
      <formula>"IT"</formula>
    </cfRule>
  </conditionalFormatting>
  <conditionalFormatting sqref="F1717 D1717">
    <cfRule type="cellIs" dxfId="1058" priority="447" operator="equal">
      <formula>"AGILIS"</formula>
    </cfRule>
  </conditionalFormatting>
  <conditionalFormatting sqref="G1718">
    <cfRule type="cellIs" dxfId="1057" priority="445" operator="equal">
      <formula>"LQA"</formula>
    </cfRule>
    <cfRule type="cellIs" dxfId="1056" priority="446" operator="equal">
      <formula>"IT"</formula>
    </cfRule>
  </conditionalFormatting>
  <conditionalFormatting sqref="F1718 D1718">
    <cfRule type="cellIs" dxfId="1055" priority="444" operator="equal">
      <formula>"AGILIS"</formula>
    </cfRule>
  </conditionalFormatting>
  <conditionalFormatting sqref="H1719">
    <cfRule type="cellIs" dxfId="1054" priority="443" operator="equal">
      <formula>"AGILIS"</formula>
    </cfRule>
  </conditionalFormatting>
  <conditionalFormatting sqref="G1719">
    <cfRule type="cellIs" dxfId="1053" priority="441" operator="equal">
      <formula>"LQA"</formula>
    </cfRule>
    <cfRule type="cellIs" dxfId="1052" priority="442" operator="equal">
      <formula>"IT"</formula>
    </cfRule>
  </conditionalFormatting>
  <conditionalFormatting sqref="F1719 D1719">
    <cfRule type="cellIs" dxfId="1051" priority="440" operator="equal">
      <formula>"AGILIS"</formula>
    </cfRule>
  </conditionalFormatting>
  <conditionalFormatting sqref="G1720">
    <cfRule type="cellIs" dxfId="1050" priority="438" operator="equal">
      <formula>"LQA"</formula>
    </cfRule>
    <cfRule type="cellIs" dxfId="1049" priority="439" operator="equal">
      <formula>"IT"</formula>
    </cfRule>
  </conditionalFormatting>
  <conditionalFormatting sqref="F1720 D1720">
    <cfRule type="cellIs" dxfId="1048" priority="437" operator="equal">
      <formula>"AGILIS"</formula>
    </cfRule>
  </conditionalFormatting>
  <conditionalFormatting sqref="H1721">
    <cfRule type="cellIs" dxfId="1047" priority="436" operator="equal">
      <formula>"AGILIS"</formula>
    </cfRule>
  </conditionalFormatting>
  <conditionalFormatting sqref="G1721">
    <cfRule type="cellIs" dxfId="1046" priority="434" operator="equal">
      <formula>"LQA"</formula>
    </cfRule>
    <cfRule type="cellIs" dxfId="1045" priority="435" operator="equal">
      <formula>"IT"</formula>
    </cfRule>
  </conditionalFormatting>
  <conditionalFormatting sqref="F1721 D1721">
    <cfRule type="cellIs" dxfId="1044" priority="433" operator="equal">
      <formula>"AGILIS"</formula>
    </cfRule>
  </conditionalFormatting>
  <conditionalFormatting sqref="G1722">
    <cfRule type="cellIs" dxfId="1043" priority="431" operator="equal">
      <formula>"LQA"</formula>
    </cfRule>
    <cfRule type="cellIs" dxfId="1042" priority="432" operator="equal">
      <formula>"IT"</formula>
    </cfRule>
  </conditionalFormatting>
  <conditionalFormatting sqref="F1722 D1722">
    <cfRule type="cellIs" dxfId="1041" priority="430" operator="equal">
      <formula>"AGILIS"</formula>
    </cfRule>
  </conditionalFormatting>
  <conditionalFormatting sqref="G1723">
    <cfRule type="cellIs" dxfId="1040" priority="428" operator="equal">
      <formula>"LQA"</formula>
    </cfRule>
    <cfRule type="cellIs" dxfId="1039" priority="429" operator="equal">
      <formula>"IT"</formula>
    </cfRule>
  </conditionalFormatting>
  <conditionalFormatting sqref="F1723 D1723">
    <cfRule type="cellIs" dxfId="1038" priority="427" operator="equal">
      <formula>"AGILIS"</formula>
    </cfRule>
  </conditionalFormatting>
  <conditionalFormatting sqref="G1724">
    <cfRule type="cellIs" dxfId="1037" priority="425" operator="equal">
      <formula>"LQA"</formula>
    </cfRule>
    <cfRule type="cellIs" dxfId="1036" priority="426" operator="equal">
      <formula>"IT"</formula>
    </cfRule>
  </conditionalFormatting>
  <conditionalFormatting sqref="F1724 D1724">
    <cfRule type="cellIs" dxfId="1035" priority="424" operator="equal">
      <formula>"AGILIS"</formula>
    </cfRule>
  </conditionalFormatting>
  <conditionalFormatting sqref="H1724">
    <cfRule type="cellIs" dxfId="1034" priority="423" operator="equal">
      <formula>"AGILIS"</formula>
    </cfRule>
  </conditionalFormatting>
  <conditionalFormatting sqref="G1725">
    <cfRule type="cellIs" dxfId="1033" priority="421" operator="equal">
      <formula>"LQA"</formula>
    </cfRule>
    <cfRule type="cellIs" dxfId="1032" priority="422" operator="equal">
      <formula>"IT"</formula>
    </cfRule>
  </conditionalFormatting>
  <conditionalFormatting sqref="F1725 D1725">
    <cfRule type="cellIs" dxfId="1031" priority="420" operator="equal">
      <formula>"AGILIS"</formula>
    </cfRule>
  </conditionalFormatting>
  <conditionalFormatting sqref="H1726">
    <cfRule type="cellIs" dxfId="1030" priority="419" operator="equal">
      <formula>"AGILIS"</formula>
    </cfRule>
  </conditionalFormatting>
  <conditionalFormatting sqref="G1726">
    <cfRule type="cellIs" dxfId="1029" priority="417" operator="equal">
      <formula>"LQA"</formula>
    </cfRule>
    <cfRule type="cellIs" dxfId="1028" priority="418" operator="equal">
      <formula>"IT"</formula>
    </cfRule>
  </conditionalFormatting>
  <conditionalFormatting sqref="F1726 D1726">
    <cfRule type="cellIs" dxfId="1027" priority="416" operator="equal">
      <formula>"AGILIS"</formula>
    </cfRule>
  </conditionalFormatting>
  <conditionalFormatting sqref="G1727">
    <cfRule type="cellIs" dxfId="1026" priority="414" operator="equal">
      <formula>"LQA"</formula>
    </cfRule>
    <cfRule type="cellIs" dxfId="1025" priority="415" operator="equal">
      <formula>"IT"</formula>
    </cfRule>
  </conditionalFormatting>
  <conditionalFormatting sqref="F1727 D1727">
    <cfRule type="cellIs" dxfId="1024" priority="413" operator="equal">
      <formula>"AGILIS"</formula>
    </cfRule>
  </conditionalFormatting>
  <conditionalFormatting sqref="H1727">
    <cfRule type="cellIs" dxfId="1023" priority="412" operator="equal">
      <formula>"AGILIS"</formula>
    </cfRule>
  </conditionalFormatting>
  <conditionalFormatting sqref="I1728">
    <cfRule type="cellIs" dxfId="1022" priority="411" operator="equal">
      <formula>"AGILIS"</formula>
    </cfRule>
  </conditionalFormatting>
  <conditionalFormatting sqref="H1728">
    <cfRule type="cellIs" dxfId="1021" priority="410" operator="equal">
      <formula>"AGILIS"</formula>
    </cfRule>
  </conditionalFormatting>
  <conditionalFormatting sqref="G1728">
    <cfRule type="cellIs" dxfId="1020" priority="408" operator="equal">
      <formula>"LQA"</formula>
    </cfRule>
    <cfRule type="cellIs" dxfId="1019" priority="409" operator="equal">
      <formula>"IT"</formula>
    </cfRule>
  </conditionalFormatting>
  <conditionalFormatting sqref="F1728 D1728">
    <cfRule type="cellIs" dxfId="1018" priority="407" operator="equal">
      <formula>"AGILIS"</formula>
    </cfRule>
  </conditionalFormatting>
  <conditionalFormatting sqref="H1729">
    <cfRule type="cellIs" dxfId="1017" priority="406" operator="equal">
      <formula>"AGILIS"</formula>
    </cfRule>
  </conditionalFormatting>
  <conditionalFormatting sqref="G1729">
    <cfRule type="cellIs" dxfId="1016" priority="404" operator="equal">
      <formula>"LQA"</formula>
    </cfRule>
    <cfRule type="cellIs" dxfId="1015" priority="405" operator="equal">
      <formula>"IT"</formula>
    </cfRule>
  </conditionalFormatting>
  <conditionalFormatting sqref="F1729 D1729">
    <cfRule type="cellIs" dxfId="1014" priority="403" operator="equal">
      <formula>"AGILIS"</formula>
    </cfRule>
  </conditionalFormatting>
  <conditionalFormatting sqref="F1730 D1730">
    <cfRule type="cellIs" dxfId="1013" priority="402" operator="equal">
      <formula>"AGILIS"</formula>
    </cfRule>
  </conditionalFormatting>
  <conditionalFormatting sqref="H1731">
    <cfRule type="cellIs" dxfId="1012" priority="401" operator="equal">
      <formula>"AGILIS"</formula>
    </cfRule>
  </conditionalFormatting>
  <conditionalFormatting sqref="G1731">
    <cfRule type="cellIs" dxfId="1011" priority="399" operator="equal">
      <formula>"LQA"</formula>
    </cfRule>
    <cfRule type="cellIs" dxfId="1010" priority="400" operator="equal">
      <formula>"IT"</formula>
    </cfRule>
  </conditionalFormatting>
  <conditionalFormatting sqref="F1731 D1731">
    <cfRule type="cellIs" dxfId="1009" priority="398" operator="equal">
      <formula>"AGILIS"</formula>
    </cfRule>
  </conditionalFormatting>
  <conditionalFormatting sqref="G1732">
    <cfRule type="cellIs" dxfId="1008" priority="396" operator="equal">
      <formula>"LQA"</formula>
    </cfRule>
    <cfRule type="cellIs" dxfId="1007" priority="397" operator="equal">
      <formula>"IT"</formula>
    </cfRule>
  </conditionalFormatting>
  <conditionalFormatting sqref="F1732 D1732">
    <cfRule type="cellIs" dxfId="1006" priority="395" operator="equal">
      <formula>"AGILIS"</formula>
    </cfRule>
  </conditionalFormatting>
  <conditionalFormatting sqref="G1733">
    <cfRule type="cellIs" dxfId="1005" priority="393" operator="equal">
      <formula>"LQA"</formula>
    </cfRule>
    <cfRule type="cellIs" dxfId="1004" priority="394" operator="equal">
      <formula>"IT"</formula>
    </cfRule>
  </conditionalFormatting>
  <conditionalFormatting sqref="F1733 D1733">
    <cfRule type="cellIs" dxfId="1003" priority="392" operator="equal">
      <formula>"AGILIS"</formula>
    </cfRule>
  </conditionalFormatting>
  <conditionalFormatting sqref="H1734">
    <cfRule type="cellIs" dxfId="1002" priority="391" operator="equal">
      <formula>"AGILIS"</formula>
    </cfRule>
  </conditionalFormatting>
  <conditionalFormatting sqref="G1734">
    <cfRule type="cellIs" dxfId="1001" priority="389" operator="equal">
      <formula>"LQA"</formula>
    </cfRule>
    <cfRule type="cellIs" dxfId="1000" priority="390" operator="equal">
      <formula>"IT"</formula>
    </cfRule>
  </conditionalFormatting>
  <conditionalFormatting sqref="F1734 D1734">
    <cfRule type="cellIs" dxfId="999" priority="388" operator="equal">
      <formula>"AGILIS"</formula>
    </cfRule>
  </conditionalFormatting>
  <conditionalFormatting sqref="G1735">
    <cfRule type="cellIs" dxfId="998" priority="386" operator="equal">
      <formula>"LQA"</formula>
    </cfRule>
    <cfRule type="cellIs" dxfId="997" priority="387" operator="equal">
      <formula>"IT"</formula>
    </cfRule>
  </conditionalFormatting>
  <conditionalFormatting sqref="F1735 D1735">
    <cfRule type="cellIs" dxfId="996" priority="385" operator="equal">
      <formula>"AGILIS"</formula>
    </cfRule>
  </conditionalFormatting>
  <conditionalFormatting sqref="H1735">
    <cfRule type="cellIs" dxfId="995" priority="384" operator="equal">
      <formula>"AGILIS"</formula>
    </cfRule>
  </conditionalFormatting>
  <conditionalFormatting sqref="G1736">
    <cfRule type="cellIs" dxfId="994" priority="382" operator="equal">
      <formula>"LQA"</formula>
    </cfRule>
    <cfRule type="cellIs" dxfId="993" priority="383" operator="equal">
      <formula>"IT"</formula>
    </cfRule>
  </conditionalFormatting>
  <conditionalFormatting sqref="F1736 D1736">
    <cfRule type="cellIs" dxfId="992" priority="381" operator="equal">
      <formula>"AGILIS"</formula>
    </cfRule>
  </conditionalFormatting>
  <conditionalFormatting sqref="G1737">
    <cfRule type="cellIs" dxfId="991" priority="379" operator="equal">
      <formula>"LQA"</formula>
    </cfRule>
    <cfRule type="cellIs" dxfId="990" priority="380" operator="equal">
      <formula>"IT"</formula>
    </cfRule>
  </conditionalFormatting>
  <conditionalFormatting sqref="F1737 D1737">
    <cfRule type="cellIs" dxfId="989" priority="378" operator="equal">
      <formula>"AGILIS"</formula>
    </cfRule>
  </conditionalFormatting>
  <conditionalFormatting sqref="G1738">
    <cfRule type="cellIs" dxfId="988" priority="376" operator="equal">
      <formula>"LQA"</formula>
    </cfRule>
    <cfRule type="cellIs" dxfId="987" priority="377" operator="equal">
      <formula>"IT"</formula>
    </cfRule>
  </conditionalFormatting>
  <conditionalFormatting sqref="F1738 D1738">
    <cfRule type="cellIs" dxfId="986" priority="375" operator="equal">
      <formula>"AGILIS"</formula>
    </cfRule>
  </conditionalFormatting>
  <conditionalFormatting sqref="G1739">
    <cfRule type="cellIs" dxfId="985" priority="373" operator="equal">
      <formula>"LQA"</formula>
    </cfRule>
    <cfRule type="cellIs" dxfId="984" priority="374" operator="equal">
      <formula>"IT"</formula>
    </cfRule>
  </conditionalFormatting>
  <conditionalFormatting sqref="F1739 D1739">
    <cfRule type="cellIs" dxfId="983" priority="372" operator="equal">
      <formula>"AGILIS"</formula>
    </cfRule>
  </conditionalFormatting>
  <conditionalFormatting sqref="G1740">
    <cfRule type="cellIs" dxfId="982" priority="370" operator="equal">
      <formula>"LQA"</formula>
    </cfRule>
    <cfRule type="cellIs" dxfId="981" priority="371" operator="equal">
      <formula>"IT"</formula>
    </cfRule>
  </conditionalFormatting>
  <conditionalFormatting sqref="F1740 D1740">
    <cfRule type="cellIs" dxfId="980" priority="369" operator="equal">
      <formula>"AGILIS"</formula>
    </cfRule>
  </conditionalFormatting>
  <conditionalFormatting sqref="G1741">
    <cfRule type="cellIs" dxfId="979" priority="367" operator="equal">
      <formula>"LQA"</formula>
    </cfRule>
    <cfRule type="cellIs" dxfId="978" priority="368" operator="equal">
      <formula>"IT"</formula>
    </cfRule>
  </conditionalFormatting>
  <conditionalFormatting sqref="F1741 D1741">
    <cfRule type="cellIs" dxfId="977" priority="366" operator="equal">
      <formula>"AGILIS"</formula>
    </cfRule>
  </conditionalFormatting>
  <conditionalFormatting sqref="H1741">
    <cfRule type="cellIs" dxfId="976" priority="365" operator="equal">
      <formula>"AGILIS"</formula>
    </cfRule>
  </conditionalFormatting>
  <conditionalFormatting sqref="H1742">
    <cfRule type="cellIs" dxfId="975" priority="364" operator="equal">
      <formula>"AGILIS"</formula>
    </cfRule>
  </conditionalFormatting>
  <conditionalFormatting sqref="G1742">
    <cfRule type="cellIs" dxfId="974" priority="360" operator="equal">
      <formula>"LQA"</formula>
    </cfRule>
    <cfRule type="cellIs" dxfId="973" priority="361" operator="equal">
      <formula>"IT"</formula>
    </cfRule>
  </conditionalFormatting>
  <conditionalFormatting sqref="F1742 D1742">
    <cfRule type="cellIs" dxfId="972" priority="359" operator="equal">
      <formula>"AGILIS"</formula>
    </cfRule>
  </conditionalFormatting>
  <conditionalFormatting sqref="G1743">
    <cfRule type="cellIs" dxfId="971" priority="357" operator="equal">
      <formula>"LQA"</formula>
    </cfRule>
    <cfRule type="cellIs" dxfId="970" priority="358" operator="equal">
      <formula>"IT"</formula>
    </cfRule>
  </conditionalFormatting>
  <conditionalFormatting sqref="F1743 D1743">
    <cfRule type="cellIs" dxfId="969" priority="356" operator="equal">
      <formula>"AGILIS"</formula>
    </cfRule>
  </conditionalFormatting>
  <conditionalFormatting sqref="H1744">
    <cfRule type="cellIs" dxfId="968" priority="355" operator="equal">
      <formula>"AGILIS"</formula>
    </cfRule>
  </conditionalFormatting>
  <conditionalFormatting sqref="G1744">
    <cfRule type="cellIs" dxfId="967" priority="353" operator="equal">
      <formula>"LQA"</formula>
    </cfRule>
    <cfRule type="cellIs" dxfId="966" priority="354" operator="equal">
      <formula>"IT"</formula>
    </cfRule>
  </conditionalFormatting>
  <conditionalFormatting sqref="F1744 D1744">
    <cfRule type="cellIs" dxfId="965" priority="352" operator="equal">
      <formula>"AGILIS"</formula>
    </cfRule>
  </conditionalFormatting>
  <conditionalFormatting sqref="H1745">
    <cfRule type="cellIs" dxfId="964" priority="351" operator="equal">
      <formula>"AGILIS"</formula>
    </cfRule>
  </conditionalFormatting>
  <conditionalFormatting sqref="G1745">
    <cfRule type="cellIs" dxfId="963" priority="349" operator="equal">
      <formula>"LQA"</formula>
    </cfRule>
    <cfRule type="cellIs" dxfId="962" priority="350" operator="equal">
      <formula>"IT"</formula>
    </cfRule>
  </conditionalFormatting>
  <conditionalFormatting sqref="F1745 D1745">
    <cfRule type="cellIs" dxfId="961" priority="348" operator="equal">
      <formula>"AGILIS"</formula>
    </cfRule>
  </conditionalFormatting>
  <conditionalFormatting sqref="H1746">
    <cfRule type="cellIs" dxfId="960" priority="347" operator="equal">
      <formula>"AGILIS"</formula>
    </cfRule>
  </conditionalFormatting>
  <conditionalFormatting sqref="G1746">
    <cfRule type="cellIs" dxfId="959" priority="345" operator="equal">
      <formula>"LQA"</formula>
    </cfRule>
    <cfRule type="cellIs" dxfId="958" priority="346" operator="equal">
      <formula>"IT"</formula>
    </cfRule>
  </conditionalFormatting>
  <conditionalFormatting sqref="F1746 D1746">
    <cfRule type="cellIs" dxfId="957" priority="344" operator="equal">
      <formula>"AGILIS"</formula>
    </cfRule>
  </conditionalFormatting>
  <conditionalFormatting sqref="G1747">
    <cfRule type="cellIs" dxfId="956" priority="342" operator="equal">
      <formula>"LQA"</formula>
    </cfRule>
    <cfRule type="cellIs" dxfId="955" priority="343" operator="equal">
      <formula>"IT"</formula>
    </cfRule>
  </conditionalFormatting>
  <conditionalFormatting sqref="F1747 D1747">
    <cfRule type="cellIs" dxfId="954" priority="341" operator="equal">
      <formula>"AGILIS"</formula>
    </cfRule>
  </conditionalFormatting>
  <conditionalFormatting sqref="G1748">
    <cfRule type="cellIs" dxfId="953" priority="339" operator="equal">
      <formula>"LQA"</formula>
    </cfRule>
    <cfRule type="cellIs" dxfId="952" priority="340" operator="equal">
      <formula>"IT"</formula>
    </cfRule>
  </conditionalFormatting>
  <conditionalFormatting sqref="F1748 D1748">
    <cfRule type="cellIs" dxfId="951" priority="338" operator="equal">
      <formula>"AGILIS"</formula>
    </cfRule>
  </conditionalFormatting>
  <conditionalFormatting sqref="H1749">
    <cfRule type="cellIs" dxfId="950" priority="337" operator="equal">
      <formula>"AGILIS"</formula>
    </cfRule>
  </conditionalFormatting>
  <conditionalFormatting sqref="G1749">
    <cfRule type="cellIs" dxfId="949" priority="335" operator="equal">
      <formula>"LQA"</formula>
    </cfRule>
    <cfRule type="cellIs" dxfId="948" priority="336" operator="equal">
      <formula>"IT"</formula>
    </cfRule>
  </conditionalFormatting>
  <conditionalFormatting sqref="F1749 D1749">
    <cfRule type="cellIs" dxfId="947" priority="334" operator="equal">
      <formula>"AGILIS"</formula>
    </cfRule>
  </conditionalFormatting>
  <conditionalFormatting sqref="G1750">
    <cfRule type="cellIs" dxfId="946" priority="332" operator="equal">
      <formula>"LQA"</formula>
    </cfRule>
    <cfRule type="cellIs" dxfId="945" priority="333" operator="equal">
      <formula>"IT"</formula>
    </cfRule>
  </conditionalFormatting>
  <conditionalFormatting sqref="F1750 D1750">
    <cfRule type="cellIs" dxfId="944" priority="331" operator="equal">
      <formula>"AGILIS"</formula>
    </cfRule>
  </conditionalFormatting>
  <conditionalFormatting sqref="G1751">
    <cfRule type="cellIs" dxfId="943" priority="329" operator="equal">
      <formula>"LQA"</formula>
    </cfRule>
    <cfRule type="cellIs" dxfId="942" priority="330" operator="equal">
      <formula>"IT"</formula>
    </cfRule>
  </conditionalFormatting>
  <conditionalFormatting sqref="F1751 D1751">
    <cfRule type="cellIs" dxfId="941" priority="328" operator="equal">
      <formula>"AGILIS"</formula>
    </cfRule>
  </conditionalFormatting>
  <conditionalFormatting sqref="G1752">
    <cfRule type="cellIs" dxfId="940" priority="326" operator="equal">
      <formula>"LQA"</formula>
    </cfRule>
    <cfRule type="cellIs" dxfId="939" priority="327" operator="equal">
      <formula>"IT"</formula>
    </cfRule>
  </conditionalFormatting>
  <conditionalFormatting sqref="F1752 D1752">
    <cfRule type="cellIs" dxfId="938" priority="325" operator="equal">
      <formula>"AGILIS"</formula>
    </cfRule>
  </conditionalFormatting>
  <conditionalFormatting sqref="H1752">
    <cfRule type="cellIs" dxfId="937" priority="324" operator="equal">
      <formula>"AGILIS"</formula>
    </cfRule>
  </conditionalFormatting>
  <conditionalFormatting sqref="F1753 D1753">
    <cfRule type="cellIs" dxfId="936" priority="323" operator="equal">
      <formula>"AGILIS"</formula>
    </cfRule>
  </conditionalFormatting>
  <conditionalFormatting sqref="G1754">
    <cfRule type="cellIs" dxfId="935" priority="321" operator="equal">
      <formula>"LQA"</formula>
    </cfRule>
    <cfRule type="cellIs" dxfId="934" priority="322" operator="equal">
      <formula>"IT"</formula>
    </cfRule>
  </conditionalFormatting>
  <conditionalFormatting sqref="H1754">
    <cfRule type="cellIs" dxfId="933" priority="320" operator="equal">
      <formula>"AGILIS"</formula>
    </cfRule>
  </conditionalFormatting>
  <conditionalFormatting sqref="F1754 D1754">
    <cfRule type="cellIs" dxfId="932" priority="319" operator="equal">
      <formula>"AGILIS"</formula>
    </cfRule>
  </conditionalFormatting>
  <conditionalFormatting sqref="F1755 D1755">
    <cfRule type="cellIs" dxfId="931" priority="318" operator="equal">
      <formula>"AGILIS"</formula>
    </cfRule>
  </conditionalFormatting>
  <conditionalFormatting sqref="G1755">
    <cfRule type="cellIs" dxfId="930" priority="316" operator="equal">
      <formula>"LQA"</formula>
    </cfRule>
    <cfRule type="cellIs" dxfId="929" priority="317" operator="equal">
      <formula>"IT"</formula>
    </cfRule>
  </conditionalFormatting>
  <conditionalFormatting sqref="H1756">
    <cfRule type="cellIs" dxfId="928" priority="315" operator="equal">
      <formula>"AGILIS"</formula>
    </cfRule>
  </conditionalFormatting>
  <conditionalFormatting sqref="F1756 D1756">
    <cfRule type="cellIs" dxfId="927" priority="314" operator="equal">
      <formula>"AGILIS"</formula>
    </cfRule>
  </conditionalFormatting>
  <conditionalFormatting sqref="G1756">
    <cfRule type="cellIs" dxfId="926" priority="312" operator="equal">
      <formula>"LQA"</formula>
    </cfRule>
    <cfRule type="cellIs" dxfId="925" priority="313" operator="equal">
      <formula>"IT"</formula>
    </cfRule>
  </conditionalFormatting>
  <conditionalFormatting sqref="F1757 D1757">
    <cfRule type="cellIs" dxfId="924" priority="311" operator="equal">
      <formula>"AGILIS"</formula>
    </cfRule>
  </conditionalFormatting>
  <conditionalFormatting sqref="G1757">
    <cfRule type="cellIs" dxfId="923" priority="309" operator="equal">
      <formula>"LQA"</formula>
    </cfRule>
    <cfRule type="cellIs" dxfId="922" priority="310" operator="equal">
      <formula>"IT"</formula>
    </cfRule>
  </conditionalFormatting>
  <conditionalFormatting sqref="H1757">
    <cfRule type="cellIs" dxfId="921" priority="308" operator="equal">
      <formula>"AGILIS"</formula>
    </cfRule>
  </conditionalFormatting>
  <conditionalFormatting sqref="F1758 D1758">
    <cfRule type="cellIs" dxfId="920" priority="307" operator="equal">
      <formula>"AGILIS"</formula>
    </cfRule>
  </conditionalFormatting>
  <conditionalFormatting sqref="G1758">
    <cfRule type="cellIs" dxfId="919" priority="305" operator="equal">
      <formula>"LQA"</formula>
    </cfRule>
    <cfRule type="cellIs" dxfId="918" priority="306" operator="equal">
      <formula>"IT"</formula>
    </cfRule>
  </conditionalFormatting>
  <conditionalFormatting sqref="F1759 D1759">
    <cfRule type="cellIs" dxfId="917" priority="304" operator="equal">
      <formula>"AGILIS"</formula>
    </cfRule>
  </conditionalFormatting>
  <conditionalFormatting sqref="G1759">
    <cfRule type="cellIs" dxfId="916" priority="302" operator="equal">
      <formula>"LQA"</formula>
    </cfRule>
    <cfRule type="cellIs" dxfId="915" priority="303" operator="equal">
      <formula>"IT"</formula>
    </cfRule>
  </conditionalFormatting>
  <conditionalFormatting sqref="G1760">
    <cfRule type="cellIs" dxfId="914" priority="300" operator="equal">
      <formula>"LQA"</formula>
    </cfRule>
    <cfRule type="cellIs" dxfId="913" priority="301" operator="equal">
      <formula>"IT"</formula>
    </cfRule>
  </conditionalFormatting>
  <conditionalFormatting sqref="F1760 D1760">
    <cfRule type="cellIs" dxfId="912" priority="299" operator="equal">
      <formula>"AGILIS"</formula>
    </cfRule>
  </conditionalFormatting>
  <conditionalFormatting sqref="F1761 D1761">
    <cfRule type="cellIs" dxfId="911" priority="298" operator="equal">
      <formula>"AGILIS"</formula>
    </cfRule>
  </conditionalFormatting>
  <conditionalFormatting sqref="G1761">
    <cfRule type="cellIs" dxfId="910" priority="296" operator="equal">
      <formula>"LQA"</formula>
    </cfRule>
    <cfRule type="cellIs" dxfId="909" priority="297" operator="equal">
      <formula>"IT"</formula>
    </cfRule>
  </conditionalFormatting>
  <conditionalFormatting sqref="F1762 D1762">
    <cfRule type="cellIs" dxfId="908" priority="295" operator="equal">
      <formula>"AGILIS"</formula>
    </cfRule>
  </conditionalFormatting>
  <conditionalFormatting sqref="G1762">
    <cfRule type="cellIs" dxfId="907" priority="293" operator="equal">
      <formula>"LQA"</formula>
    </cfRule>
    <cfRule type="cellIs" dxfId="906" priority="294" operator="equal">
      <formula>"IT"</formula>
    </cfRule>
  </conditionalFormatting>
  <conditionalFormatting sqref="F1763 D1763">
    <cfRule type="cellIs" dxfId="905" priority="292" operator="equal">
      <formula>"AGILIS"</formula>
    </cfRule>
  </conditionalFormatting>
  <conditionalFormatting sqref="G1763">
    <cfRule type="cellIs" dxfId="904" priority="290" operator="equal">
      <formula>"LQA"</formula>
    </cfRule>
    <cfRule type="cellIs" dxfId="903" priority="291" operator="equal">
      <formula>"IT"</formula>
    </cfRule>
  </conditionalFormatting>
  <conditionalFormatting sqref="H1763">
    <cfRule type="cellIs" dxfId="902" priority="289" operator="equal">
      <formula>"AGILIS"</formula>
    </cfRule>
  </conditionalFormatting>
  <conditionalFormatting sqref="F1764 D1764">
    <cfRule type="cellIs" dxfId="901" priority="288" operator="equal">
      <formula>"AGILIS"</formula>
    </cfRule>
  </conditionalFormatting>
  <conditionalFormatting sqref="G1764">
    <cfRule type="cellIs" dxfId="900" priority="286" operator="equal">
      <formula>"LQA"</formula>
    </cfRule>
    <cfRule type="cellIs" dxfId="899" priority="287" operator="equal">
      <formula>"IT"</formula>
    </cfRule>
  </conditionalFormatting>
  <conditionalFormatting sqref="G1765">
    <cfRule type="cellIs" dxfId="898" priority="284" operator="equal">
      <formula>"LQA"</formula>
    </cfRule>
    <cfRule type="cellIs" dxfId="897" priority="285" operator="equal">
      <formula>"IT"</formula>
    </cfRule>
  </conditionalFormatting>
  <conditionalFormatting sqref="F1765 D1765">
    <cfRule type="cellIs" dxfId="896" priority="283" operator="equal">
      <formula>"AGILIS"</formula>
    </cfRule>
  </conditionalFormatting>
  <conditionalFormatting sqref="G1766">
    <cfRule type="cellIs" dxfId="895" priority="281" operator="equal">
      <formula>"LQA"</formula>
    </cfRule>
    <cfRule type="cellIs" dxfId="894" priority="282" operator="equal">
      <formula>"IT"</formula>
    </cfRule>
  </conditionalFormatting>
  <conditionalFormatting sqref="F1766 D1766">
    <cfRule type="cellIs" dxfId="893" priority="280" operator="equal">
      <formula>"AGILIS"</formula>
    </cfRule>
  </conditionalFormatting>
  <conditionalFormatting sqref="F1767 D1767">
    <cfRule type="cellIs" dxfId="892" priority="279" operator="equal">
      <formula>"AGILIS"</formula>
    </cfRule>
  </conditionalFormatting>
  <conditionalFormatting sqref="G1767">
    <cfRule type="cellIs" dxfId="891" priority="277" operator="equal">
      <formula>"LQA"</formula>
    </cfRule>
    <cfRule type="cellIs" dxfId="890" priority="278" operator="equal">
      <formula>"IT"</formula>
    </cfRule>
  </conditionalFormatting>
  <conditionalFormatting sqref="F1768 D1768">
    <cfRule type="cellIs" dxfId="889" priority="276" operator="equal">
      <formula>"AGILIS"</formula>
    </cfRule>
  </conditionalFormatting>
  <conditionalFormatting sqref="G1768">
    <cfRule type="cellIs" dxfId="888" priority="274" operator="equal">
      <formula>"LQA"</formula>
    </cfRule>
    <cfRule type="cellIs" dxfId="887" priority="275" operator="equal">
      <formula>"IT"</formula>
    </cfRule>
  </conditionalFormatting>
  <conditionalFormatting sqref="F1771 D1771">
    <cfRule type="cellIs" dxfId="886" priority="273" operator="equal">
      <formula>"AGILIS"</formula>
    </cfRule>
  </conditionalFormatting>
  <conditionalFormatting sqref="G1771">
    <cfRule type="cellIs" dxfId="885" priority="262" operator="equal">
      <formula>"LQA"</formula>
    </cfRule>
    <cfRule type="cellIs" dxfId="884" priority="263" operator="equal">
      <formula>"IT"</formula>
    </cfRule>
  </conditionalFormatting>
  <conditionalFormatting sqref="F1770 D1770">
    <cfRule type="cellIs" dxfId="883" priority="270" operator="equal">
      <formula>"AGILIS"</formula>
    </cfRule>
  </conditionalFormatting>
  <conditionalFormatting sqref="G1770">
    <cfRule type="cellIs" dxfId="882" priority="268" operator="equal">
      <formula>"LQA"</formula>
    </cfRule>
    <cfRule type="cellIs" dxfId="881" priority="269" operator="equal">
      <formula>"IT"</formula>
    </cfRule>
  </conditionalFormatting>
  <conditionalFormatting sqref="H1769">
    <cfRule type="cellIs" dxfId="880" priority="267" operator="equal">
      <formula>"AGILIS"</formula>
    </cfRule>
  </conditionalFormatting>
  <conditionalFormatting sqref="F1769 D1769">
    <cfRule type="cellIs" dxfId="879" priority="266" operator="equal">
      <formula>"AGILIS"</formula>
    </cfRule>
  </conditionalFormatting>
  <conditionalFormatting sqref="G1769">
    <cfRule type="cellIs" dxfId="878" priority="264" operator="equal">
      <formula>"LQA"</formula>
    </cfRule>
    <cfRule type="cellIs" dxfId="877" priority="265" operator="equal">
      <formula>"IT"</formula>
    </cfRule>
  </conditionalFormatting>
  <conditionalFormatting sqref="H1772">
    <cfRule type="cellIs" dxfId="876" priority="261" operator="equal">
      <formula>"AGILIS"</formula>
    </cfRule>
  </conditionalFormatting>
  <conditionalFormatting sqref="F1772 D1772">
    <cfRule type="cellIs" dxfId="875" priority="260" operator="equal">
      <formula>"AGILIS"</formula>
    </cfRule>
  </conditionalFormatting>
  <conditionalFormatting sqref="G1772">
    <cfRule type="cellIs" dxfId="874" priority="258" operator="equal">
      <formula>"LQA"</formula>
    </cfRule>
    <cfRule type="cellIs" dxfId="873" priority="259" operator="equal">
      <formula>"IT"</formula>
    </cfRule>
  </conditionalFormatting>
  <conditionalFormatting sqref="F1773 D1773">
    <cfRule type="cellIs" dxfId="872" priority="257" operator="equal">
      <formula>"AGILIS"</formula>
    </cfRule>
  </conditionalFormatting>
  <conditionalFormatting sqref="G1773">
    <cfRule type="cellIs" dxfId="871" priority="255" operator="equal">
      <formula>"LQA"</formula>
    </cfRule>
    <cfRule type="cellIs" dxfId="870" priority="256" operator="equal">
      <formula>"IT"</formula>
    </cfRule>
  </conditionalFormatting>
  <conditionalFormatting sqref="H1774">
    <cfRule type="cellIs" dxfId="869" priority="254" operator="equal">
      <formula>"AGILIS"</formula>
    </cfRule>
  </conditionalFormatting>
  <conditionalFormatting sqref="F1774 D1774">
    <cfRule type="cellIs" dxfId="868" priority="253" operator="equal">
      <formula>"AGILIS"</formula>
    </cfRule>
  </conditionalFormatting>
  <conditionalFormatting sqref="G1774">
    <cfRule type="cellIs" dxfId="867" priority="251" operator="equal">
      <formula>"LQA"</formula>
    </cfRule>
    <cfRule type="cellIs" dxfId="866" priority="252" operator="equal">
      <formula>"IT"</formula>
    </cfRule>
  </conditionalFormatting>
  <conditionalFormatting sqref="F1775 D1775">
    <cfRule type="cellIs" dxfId="865" priority="250" operator="equal">
      <formula>"AGILIS"</formula>
    </cfRule>
  </conditionalFormatting>
  <conditionalFormatting sqref="G1775">
    <cfRule type="cellIs" dxfId="864" priority="248" operator="equal">
      <formula>"LQA"</formula>
    </cfRule>
    <cfRule type="cellIs" dxfId="863" priority="249" operator="equal">
      <formula>"IT"</formula>
    </cfRule>
  </conditionalFormatting>
  <conditionalFormatting sqref="F1776 D1776">
    <cfRule type="cellIs" dxfId="862" priority="247" operator="equal">
      <formula>"AGILIS"</formula>
    </cfRule>
  </conditionalFormatting>
  <conditionalFormatting sqref="G1776">
    <cfRule type="cellIs" dxfId="861" priority="245" operator="equal">
      <formula>"LQA"</formula>
    </cfRule>
    <cfRule type="cellIs" dxfId="860" priority="246" operator="equal">
      <formula>"IT"</formula>
    </cfRule>
  </conditionalFormatting>
  <conditionalFormatting sqref="H1777">
    <cfRule type="cellIs" dxfId="859" priority="244" operator="equal">
      <formula>"AGILIS"</formula>
    </cfRule>
  </conditionalFormatting>
  <conditionalFormatting sqref="F1777 D1777">
    <cfRule type="cellIs" dxfId="858" priority="243" operator="equal">
      <formula>"AGILIS"</formula>
    </cfRule>
  </conditionalFormatting>
  <conditionalFormatting sqref="G1777">
    <cfRule type="cellIs" dxfId="857" priority="241" operator="equal">
      <formula>"LQA"</formula>
    </cfRule>
    <cfRule type="cellIs" dxfId="856" priority="242" operator="equal">
      <formula>"IT"</formula>
    </cfRule>
  </conditionalFormatting>
  <conditionalFormatting sqref="F1778 D1778">
    <cfRule type="cellIs" dxfId="855" priority="239" operator="equal">
      <formula>"AGILIS"</formula>
    </cfRule>
  </conditionalFormatting>
  <conditionalFormatting sqref="G1778">
    <cfRule type="cellIs" dxfId="854" priority="237" operator="equal">
      <formula>"LQA"</formula>
    </cfRule>
    <cfRule type="cellIs" dxfId="853" priority="238" operator="equal">
      <formula>"IT"</formula>
    </cfRule>
  </conditionalFormatting>
  <conditionalFormatting sqref="F1779 D1779">
    <cfRule type="cellIs" dxfId="852" priority="236" operator="equal">
      <formula>"AGILIS"</formula>
    </cfRule>
  </conditionalFormatting>
  <conditionalFormatting sqref="G1779">
    <cfRule type="cellIs" dxfId="851" priority="234" operator="equal">
      <formula>"LQA"</formula>
    </cfRule>
    <cfRule type="cellIs" dxfId="850" priority="235" operator="equal">
      <formula>"IT"</formula>
    </cfRule>
  </conditionalFormatting>
  <conditionalFormatting sqref="F1780 D1780">
    <cfRule type="cellIs" dxfId="849" priority="233" operator="equal">
      <formula>"AGILIS"</formula>
    </cfRule>
  </conditionalFormatting>
  <conditionalFormatting sqref="G1780">
    <cfRule type="cellIs" dxfId="848" priority="231" operator="equal">
      <formula>"LQA"</formula>
    </cfRule>
    <cfRule type="cellIs" dxfId="847" priority="232" operator="equal">
      <formula>"IT"</formula>
    </cfRule>
  </conditionalFormatting>
  <conditionalFormatting sqref="H1781">
    <cfRule type="cellIs" dxfId="846" priority="230" operator="equal">
      <formula>"AGILIS"</formula>
    </cfRule>
  </conditionalFormatting>
  <conditionalFormatting sqref="F1781 D1781">
    <cfRule type="cellIs" dxfId="845" priority="229" operator="equal">
      <formula>"AGILIS"</formula>
    </cfRule>
  </conditionalFormatting>
  <conditionalFormatting sqref="G1781">
    <cfRule type="cellIs" dxfId="844" priority="227" operator="equal">
      <formula>"LQA"</formula>
    </cfRule>
    <cfRule type="cellIs" dxfId="843" priority="228" operator="equal">
      <formula>"IT"</formula>
    </cfRule>
  </conditionalFormatting>
  <conditionalFormatting sqref="F1782 D1782">
    <cfRule type="cellIs" dxfId="842" priority="226" operator="equal">
      <formula>"AGILIS"</formula>
    </cfRule>
  </conditionalFormatting>
  <conditionalFormatting sqref="G1782">
    <cfRule type="cellIs" dxfId="841" priority="224" operator="equal">
      <formula>"LQA"</formula>
    </cfRule>
    <cfRule type="cellIs" dxfId="840" priority="225" operator="equal">
      <formula>"IT"</formula>
    </cfRule>
  </conditionalFormatting>
  <conditionalFormatting sqref="H1783">
    <cfRule type="cellIs" dxfId="839" priority="223" operator="equal">
      <formula>"AGILIS"</formula>
    </cfRule>
  </conditionalFormatting>
  <conditionalFormatting sqref="F1783 D1783">
    <cfRule type="cellIs" dxfId="838" priority="222" operator="equal">
      <formula>"AGILIS"</formula>
    </cfRule>
  </conditionalFormatting>
  <conditionalFormatting sqref="G1783">
    <cfRule type="cellIs" dxfId="837" priority="218" operator="equal">
      <formula>"LQA"</formula>
    </cfRule>
    <cfRule type="cellIs" dxfId="836" priority="219" operator="equal">
      <formula>"IT"</formula>
    </cfRule>
  </conditionalFormatting>
  <conditionalFormatting sqref="H1784">
    <cfRule type="cellIs" dxfId="835" priority="217" operator="equal">
      <formula>"AGILIS"</formula>
    </cfRule>
  </conditionalFormatting>
  <conditionalFormatting sqref="F1784 D1784">
    <cfRule type="cellIs" dxfId="834" priority="216" operator="equal">
      <formula>"AGILIS"</formula>
    </cfRule>
  </conditionalFormatting>
  <conditionalFormatting sqref="G1784">
    <cfRule type="cellIs" dxfId="833" priority="214" operator="equal">
      <formula>"LQA"</formula>
    </cfRule>
    <cfRule type="cellIs" dxfId="832" priority="215" operator="equal">
      <formula>"IT"</formula>
    </cfRule>
  </conditionalFormatting>
  <conditionalFormatting sqref="H1785">
    <cfRule type="cellIs" dxfId="831" priority="213" operator="equal">
      <formula>"AGILIS"</formula>
    </cfRule>
  </conditionalFormatting>
  <conditionalFormatting sqref="F1785 D1785">
    <cfRule type="cellIs" dxfId="830" priority="212" operator="equal">
      <formula>"AGILIS"</formula>
    </cfRule>
  </conditionalFormatting>
  <conditionalFormatting sqref="G1785">
    <cfRule type="cellIs" dxfId="829" priority="210" operator="equal">
      <formula>"LQA"</formula>
    </cfRule>
    <cfRule type="cellIs" dxfId="828" priority="211" operator="equal">
      <formula>"IT"</formula>
    </cfRule>
  </conditionalFormatting>
  <conditionalFormatting sqref="H1786">
    <cfRule type="cellIs" dxfId="827" priority="209" operator="equal">
      <formula>"AGILIS"</formula>
    </cfRule>
  </conditionalFormatting>
  <conditionalFormatting sqref="F1786 D1786">
    <cfRule type="cellIs" dxfId="826" priority="208" operator="equal">
      <formula>"AGILIS"</formula>
    </cfRule>
  </conditionalFormatting>
  <conditionalFormatting sqref="G1786">
    <cfRule type="cellIs" dxfId="825" priority="206" operator="equal">
      <formula>"LQA"</formula>
    </cfRule>
    <cfRule type="cellIs" dxfId="824" priority="207" operator="equal">
      <formula>"IT"</formula>
    </cfRule>
  </conditionalFormatting>
  <conditionalFormatting sqref="F1787 D1787">
    <cfRule type="cellIs" dxfId="823" priority="205" operator="equal">
      <formula>"AGILIS"</formula>
    </cfRule>
  </conditionalFormatting>
  <conditionalFormatting sqref="G1787">
    <cfRule type="cellIs" dxfId="822" priority="203" operator="equal">
      <formula>"LQA"</formula>
    </cfRule>
    <cfRule type="cellIs" dxfId="821" priority="204" operator="equal">
      <formula>"IT"</formula>
    </cfRule>
  </conditionalFormatting>
  <conditionalFormatting sqref="F1788 D1788">
    <cfRule type="cellIs" dxfId="820" priority="202" operator="equal">
      <formula>"AGILIS"</formula>
    </cfRule>
  </conditionalFormatting>
  <conditionalFormatting sqref="G1788">
    <cfRule type="cellIs" dxfId="819" priority="200" operator="equal">
      <formula>"LQA"</formula>
    </cfRule>
    <cfRule type="cellIs" dxfId="818" priority="201" operator="equal">
      <formula>"IT"</formula>
    </cfRule>
  </conditionalFormatting>
  <conditionalFormatting sqref="H1788">
    <cfRule type="cellIs" dxfId="817" priority="199" operator="equal">
      <formula>"AGILIS"</formula>
    </cfRule>
  </conditionalFormatting>
  <conditionalFormatting sqref="F1789 D1789">
    <cfRule type="cellIs" dxfId="816" priority="198" operator="equal">
      <formula>"AGILIS"</formula>
    </cfRule>
  </conditionalFormatting>
  <conditionalFormatting sqref="G1789">
    <cfRule type="cellIs" dxfId="815" priority="196" operator="equal">
      <formula>"LQA"</formula>
    </cfRule>
    <cfRule type="cellIs" dxfId="814" priority="197" operator="equal">
      <formula>"IT"</formula>
    </cfRule>
  </conditionalFormatting>
  <conditionalFormatting sqref="F1790 D1790">
    <cfRule type="cellIs" dxfId="813" priority="195" operator="equal">
      <formula>"AGILIS"</formula>
    </cfRule>
  </conditionalFormatting>
  <conditionalFormatting sqref="G1790">
    <cfRule type="cellIs" dxfId="812" priority="193" operator="equal">
      <formula>"LQA"</formula>
    </cfRule>
    <cfRule type="cellIs" dxfId="811" priority="194" operator="equal">
      <formula>"IT"</formula>
    </cfRule>
  </conditionalFormatting>
  <conditionalFormatting sqref="F1791 D1791">
    <cfRule type="cellIs" dxfId="810" priority="192" operator="equal">
      <formula>"AGILIS"</formula>
    </cfRule>
  </conditionalFormatting>
  <conditionalFormatting sqref="G1791">
    <cfRule type="cellIs" dxfId="809" priority="190" operator="equal">
      <formula>"LQA"</formula>
    </cfRule>
    <cfRule type="cellIs" dxfId="808" priority="191" operator="equal">
      <formula>"IT"</formula>
    </cfRule>
  </conditionalFormatting>
  <conditionalFormatting sqref="H1792">
    <cfRule type="cellIs" dxfId="807" priority="189" operator="equal">
      <formula>"AGILIS"</formula>
    </cfRule>
  </conditionalFormatting>
  <conditionalFormatting sqref="F1792 D1792">
    <cfRule type="cellIs" dxfId="806" priority="188" operator="equal">
      <formula>"AGILIS"</formula>
    </cfRule>
  </conditionalFormatting>
  <conditionalFormatting sqref="G1792">
    <cfRule type="cellIs" dxfId="805" priority="186" operator="equal">
      <formula>"LQA"</formula>
    </cfRule>
    <cfRule type="cellIs" dxfId="804" priority="187" operator="equal">
      <formula>"IT"</formula>
    </cfRule>
  </conditionalFormatting>
  <conditionalFormatting sqref="H1793">
    <cfRule type="cellIs" dxfId="803" priority="185" operator="equal">
      <formula>"AGILIS"</formula>
    </cfRule>
  </conditionalFormatting>
  <conditionalFormatting sqref="F1793 D1793">
    <cfRule type="cellIs" dxfId="802" priority="184" operator="equal">
      <formula>"AGILIS"</formula>
    </cfRule>
  </conditionalFormatting>
  <conditionalFormatting sqref="G1793">
    <cfRule type="cellIs" dxfId="801" priority="182" operator="equal">
      <formula>"LQA"</formula>
    </cfRule>
    <cfRule type="cellIs" dxfId="800" priority="183" operator="equal">
      <formula>"IT"</formula>
    </cfRule>
  </conditionalFormatting>
  <conditionalFormatting sqref="H1794">
    <cfRule type="cellIs" dxfId="799" priority="181" operator="equal">
      <formula>"AGILIS"</formula>
    </cfRule>
  </conditionalFormatting>
  <conditionalFormatting sqref="F1794 D1794">
    <cfRule type="cellIs" dxfId="798" priority="180" operator="equal">
      <formula>"AGILIS"</formula>
    </cfRule>
  </conditionalFormatting>
  <conditionalFormatting sqref="G1794">
    <cfRule type="cellIs" dxfId="797" priority="178" operator="equal">
      <formula>"LQA"</formula>
    </cfRule>
    <cfRule type="cellIs" dxfId="796" priority="179" operator="equal">
      <formula>"IT"</formula>
    </cfRule>
  </conditionalFormatting>
  <conditionalFormatting sqref="H1795">
    <cfRule type="cellIs" dxfId="795" priority="177" operator="equal">
      <formula>"AGILIS"</formula>
    </cfRule>
  </conditionalFormatting>
  <conditionalFormatting sqref="F1795 D1795">
    <cfRule type="cellIs" dxfId="794" priority="176" operator="equal">
      <formula>"AGILIS"</formula>
    </cfRule>
  </conditionalFormatting>
  <conditionalFormatting sqref="G1795">
    <cfRule type="cellIs" dxfId="793" priority="174" operator="equal">
      <formula>"LQA"</formula>
    </cfRule>
    <cfRule type="cellIs" dxfId="792" priority="175" operator="equal">
      <formula>"IT"</formula>
    </cfRule>
  </conditionalFormatting>
  <conditionalFormatting sqref="F1796 D1796">
    <cfRule type="cellIs" dxfId="791" priority="173" operator="equal">
      <formula>"AGILIS"</formula>
    </cfRule>
  </conditionalFormatting>
  <conditionalFormatting sqref="G1796">
    <cfRule type="cellIs" dxfId="790" priority="171" operator="equal">
      <formula>"LQA"</formula>
    </cfRule>
    <cfRule type="cellIs" dxfId="789" priority="172" operator="equal">
      <formula>"IT"</formula>
    </cfRule>
  </conditionalFormatting>
  <conditionalFormatting sqref="H1797">
    <cfRule type="cellIs" dxfId="788" priority="170" operator="equal">
      <formula>"AGILIS"</formula>
    </cfRule>
  </conditionalFormatting>
  <conditionalFormatting sqref="F1797 D1797">
    <cfRule type="cellIs" dxfId="787" priority="169" operator="equal">
      <formula>"AGILIS"</formula>
    </cfRule>
  </conditionalFormatting>
  <conditionalFormatting sqref="G1797">
    <cfRule type="cellIs" dxfId="786" priority="167" operator="equal">
      <formula>"LQA"</formula>
    </cfRule>
    <cfRule type="cellIs" dxfId="785" priority="168" operator="equal">
      <formula>"IT"</formula>
    </cfRule>
  </conditionalFormatting>
  <conditionalFormatting sqref="F1798 D1798">
    <cfRule type="cellIs" dxfId="784" priority="166" operator="equal">
      <formula>"AGILIS"</formula>
    </cfRule>
  </conditionalFormatting>
  <conditionalFormatting sqref="G1798">
    <cfRule type="cellIs" dxfId="783" priority="164" operator="equal">
      <formula>"LQA"</formula>
    </cfRule>
    <cfRule type="cellIs" dxfId="782" priority="165" operator="equal">
      <formula>"IT"</formula>
    </cfRule>
  </conditionalFormatting>
  <conditionalFormatting sqref="F1799 D1799">
    <cfRule type="cellIs" dxfId="781" priority="163" operator="equal">
      <formula>"AGILIS"</formula>
    </cfRule>
  </conditionalFormatting>
  <conditionalFormatting sqref="G1799">
    <cfRule type="cellIs" dxfId="780" priority="161" operator="equal">
      <formula>"LQA"</formula>
    </cfRule>
    <cfRule type="cellIs" dxfId="779" priority="162" operator="equal">
      <formula>"IT"</formula>
    </cfRule>
  </conditionalFormatting>
  <conditionalFormatting sqref="H1800">
    <cfRule type="cellIs" dxfId="778" priority="160" operator="equal">
      <formula>"AGILIS"</formula>
    </cfRule>
  </conditionalFormatting>
  <conditionalFormatting sqref="F1800 D1800">
    <cfRule type="cellIs" dxfId="777" priority="159" operator="equal">
      <formula>"AGILIS"</formula>
    </cfRule>
  </conditionalFormatting>
  <conditionalFormatting sqref="G1800">
    <cfRule type="cellIs" dxfId="776" priority="157" operator="equal">
      <formula>"LQA"</formula>
    </cfRule>
    <cfRule type="cellIs" dxfId="775" priority="158" operator="equal">
      <formula>"IT"</formula>
    </cfRule>
  </conditionalFormatting>
  <conditionalFormatting sqref="F1801 D1801">
    <cfRule type="cellIs" dxfId="774" priority="156" operator="equal">
      <formula>"AGILIS"</formula>
    </cfRule>
  </conditionalFormatting>
  <conditionalFormatting sqref="G1801">
    <cfRule type="cellIs" dxfId="773" priority="154" operator="equal">
      <formula>"LQA"</formula>
    </cfRule>
    <cfRule type="cellIs" dxfId="772" priority="155" operator="equal">
      <formula>"IT"</formula>
    </cfRule>
  </conditionalFormatting>
  <conditionalFormatting sqref="F1802 D1802">
    <cfRule type="cellIs" dxfId="771" priority="153" operator="equal">
      <formula>"AGILIS"</formula>
    </cfRule>
  </conditionalFormatting>
  <conditionalFormatting sqref="G1802">
    <cfRule type="cellIs" dxfId="770" priority="151" operator="equal">
      <formula>"LQA"</formula>
    </cfRule>
    <cfRule type="cellIs" dxfId="769" priority="152" operator="equal">
      <formula>"IT"</formula>
    </cfRule>
  </conditionalFormatting>
  <conditionalFormatting sqref="F1803 D1803">
    <cfRule type="cellIs" dxfId="768" priority="150" operator="equal">
      <formula>"AGILIS"</formula>
    </cfRule>
  </conditionalFormatting>
  <conditionalFormatting sqref="G1803">
    <cfRule type="cellIs" dxfId="767" priority="148" operator="equal">
      <formula>"LQA"</formula>
    </cfRule>
    <cfRule type="cellIs" dxfId="766" priority="149" operator="equal">
      <formula>"IT"</formula>
    </cfRule>
  </conditionalFormatting>
  <conditionalFormatting sqref="F1804 D1804">
    <cfRule type="cellIs" dxfId="765" priority="147" operator="equal">
      <formula>"AGILIS"</formula>
    </cfRule>
  </conditionalFormatting>
  <conditionalFormatting sqref="G1804">
    <cfRule type="cellIs" dxfId="764" priority="145" operator="equal">
      <formula>"LQA"</formula>
    </cfRule>
    <cfRule type="cellIs" dxfId="763" priority="146" operator="equal">
      <formula>"IT"</formula>
    </cfRule>
  </conditionalFormatting>
  <conditionalFormatting sqref="K1804">
    <cfRule type="cellIs" dxfId="762" priority="144" operator="equal">
      <formula>"AGILIS"</formula>
    </cfRule>
  </conditionalFormatting>
  <conditionalFormatting sqref="F1805 D1805">
    <cfRule type="cellIs" dxfId="761" priority="143" operator="equal">
      <formula>"AGILIS"</formula>
    </cfRule>
  </conditionalFormatting>
  <conditionalFormatting sqref="G1805">
    <cfRule type="cellIs" dxfId="760" priority="141" operator="equal">
      <formula>"LQA"</formula>
    </cfRule>
    <cfRule type="cellIs" dxfId="759" priority="142" operator="equal">
      <formula>"IT"</formula>
    </cfRule>
  </conditionalFormatting>
  <conditionalFormatting sqref="F1806 D1806">
    <cfRule type="cellIs" dxfId="758" priority="140" operator="equal">
      <formula>"AGILIS"</formula>
    </cfRule>
  </conditionalFormatting>
  <conditionalFormatting sqref="G1806">
    <cfRule type="cellIs" dxfId="757" priority="138" operator="equal">
      <formula>"LQA"</formula>
    </cfRule>
    <cfRule type="cellIs" dxfId="756" priority="139" operator="equal">
      <formula>"IT"</formula>
    </cfRule>
  </conditionalFormatting>
  <conditionalFormatting sqref="H1807:I1807">
    <cfRule type="cellIs" dxfId="755" priority="137" operator="equal">
      <formula>"AGILIS"</formula>
    </cfRule>
  </conditionalFormatting>
  <conditionalFormatting sqref="F1807 D1807">
    <cfRule type="cellIs" dxfId="754" priority="136" operator="equal">
      <formula>"AGILIS"</formula>
    </cfRule>
  </conditionalFormatting>
  <conditionalFormatting sqref="G1807">
    <cfRule type="cellIs" dxfId="753" priority="134" operator="equal">
      <formula>"LQA"</formula>
    </cfRule>
    <cfRule type="cellIs" dxfId="752" priority="135" operator="equal">
      <formula>"IT"</formula>
    </cfRule>
  </conditionalFormatting>
  <conditionalFormatting sqref="H1808">
    <cfRule type="cellIs" dxfId="751" priority="133" operator="equal">
      <formula>"AGILIS"</formula>
    </cfRule>
  </conditionalFormatting>
  <conditionalFormatting sqref="F1808 D1808">
    <cfRule type="cellIs" dxfId="750" priority="132" operator="equal">
      <formula>"AGILIS"</formula>
    </cfRule>
  </conditionalFormatting>
  <conditionalFormatting sqref="G1808">
    <cfRule type="cellIs" dxfId="749" priority="130" operator="equal">
      <formula>"LQA"</formula>
    </cfRule>
    <cfRule type="cellIs" dxfId="748" priority="131" operator="equal">
      <formula>"IT"</formula>
    </cfRule>
  </conditionalFormatting>
  <conditionalFormatting sqref="F1809 D1809">
    <cfRule type="cellIs" dxfId="747" priority="129" operator="equal">
      <formula>"AGILIS"</formula>
    </cfRule>
  </conditionalFormatting>
  <conditionalFormatting sqref="G1809">
    <cfRule type="cellIs" dxfId="746" priority="127" operator="equal">
      <formula>"LQA"</formula>
    </cfRule>
    <cfRule type="cellIs" dxfId="745" priority="128" operator="equal">
      <formula>"IT"</formula>
    </cfRule>
  </conditionalFormatting>
  <conditionalFormatting sqref="F1810 D1810">
    <cfRule type="cellIs" dxfId="744" priority="126" operator="equal">
      <formula>"AGILIS"</formula>
    </cfRule>
  </conditionalFormatting>
  <conditionalFormatting sqref="G1810">
    <cfRule type="cellIs" dxfId="743" priority="124" operator="equal">
      <formula>"LQA"</formula>
    </cfRule>
    <cfRule type="cellIs" dxfId="742" priority="125" operator="equal">
      <formula>"IT"</formula>
    </cfRule>
  </conditionalFormatting>
  <conditionalFormatting sqref="F1811 D1811">
    <cfRule type="cellIs" dxfId="741" priority="123" operator="equal">
      <formula>"AGILIS"</formula>
    </cfRule>
  </conditionalFormatting>
  <conditionalFormatting sqref="G1811">
    <cfRule type="cellIs" dxfId="740" priority="121" operator="equal">
      <formula>"LQA"</formula>
    </cfRule>
    <cfRule type="cellIs" dxfId="739" priority="122" operator="equal">
      <formula>"IT"</formula>
    </cfRule>
  </conditionalFormatting>
  <conditionalFormatting sqref="F1812 D1812">
    <cfRule type="cellIs" dxfId="738" priority="120" operator="equal">
      <formula>"AGILIS"</formula>
    </cfRule>
  </conditionalFormatting>
  <conditionalFormatting sqref="G1812">
    <cfRule type="cellIs" dxfId="737" priority="118" operator="equal">
      <formula>"LQA"</formula>
    </cfRule>
    <cfRule type="cellIs" dxfId="736" priority="119" operator="equal">
      <formula>"IT"</formula>
    </cfRule>
  </conditionalFormatting>
  <conditionalFormatting sqref="F1813 D1813">
    <cfRule type="cellIs" dxfId="735" priority="117" operator="equal">
      <formula>"AGILIS"</formula>
    </cfRule>
  </conditionalFormatting>
  <conditionalFormatting sqref="G1813">
    <cfRule type="cellIs" dxfId="734" priority="115" operator="equal">
      <formula>"LQA"</formula>
    </cfRule>
    <cfRule type="cellIs" dxfId="733" priority="116" operator="equal">
      <formula>"IT"</formula>
    </cfRule>
  </conditionalFormatting>
  <conditionalFormatting sqref="F1814 D1814">
    <cfRule type="cellIs" dxfId="732" priority="114" operator="equal">
      <formula>"AGILIS"</formula>
    </cfRule>
  </conditionalFormatting>
  <conditionalFormatting sqref="G1814">
    <cfRule type="cellIs" dxfId="731" priority="112" operator="equal">
      <formula>"LQA"</formula>
    </cfRule>
    <cfRule type="cellIs" dxfId="730" priority="113" operator="equal">
      <formula>"IT"</formula>
    </cfRule>
  </conditionalFormatting>
  <conditionalFormatting sqref="F1815 D1815">
    <cfRule type="cellIs" dxfId="729" priority="111" operator="equal">
      <formula>"AGILIS"</formula>
    </cfRule>
  </conditionalFormatting>
  <conditionalFormatting sqref="G1815">
    <cfRule type="cellIs" dxfId="728" priority="109" operator="equal">
      <formula>"LQA"</formula>
    </cfRule>
    <cfRule type="cellIs" dxfId="727" priority="110" operator="equal">
      <formula>"IT"</formula>
    </cfRule>
  </conditionalFormatting>
  <conditionalFormatting sqref="F1816 D1816">
    <cfRule type="cellIs" dxfId="726" priority="108" operator="equal">
      <formula>"AGILIS"</formula>
    </cfRule>
  </conditionalFormatting>
  <conditionalFormatting sqref="G1816">
    <cfRule type="cellIs" dxfId="725" priority="106" operator="equal">
      <formula>"LQA"</formula>
    </cfRule>
    <cfRule type="cellIs" dxfId="724" priority="107" operator="equal">
      <formula>"IT"</formula>
    </cfRule>
  </conditionalFormatting>
  <conditionalFormatting sqref="G1817">
    <cfRule type="cellIs" dxfId="723" priority="104" operator="equal">
      <formula>"LQA"</formula>
    </cfRule>
    <cfRule type="cellIs" dxfId="722" priority="105" operator="equal">
      <formula>"IT"</formula>
    </cfRule>
  </conditionalFormatting>
  <conditionalFormatting sqref="D1817">
    <cfRule type="cellIs" dxfId="721" priority="103" operator="equal">
      <formula>"AGILIS"</formula>
    </cfRule>
  </conditionalFormatting>
  <conditionalFormatting sqref="F1817">
    <cfRule type="cellIs" dxfId="720" priority="102" operator="equal">
      <formula>"AGILIS"</formula>
    </cfRule>
  </conditionalFormatting>
  <conditionalFormatting sqref="D1818">
    <cfRule type="cellIs" dxfId="719" priority="101" operator="equal">
      <formula>"AGILIS"</formula>
    </cfRule>
  </conditionalFormatting>
  <conditionalFormatting sqref="F1818">
    <cfRule type="cellIs" dxfId="718" priority="100" operator="equal">
      <formula>"AGILIS"</formula>
    </cfRule>
  </conditionalFormatting>
  <conditionalFormatting sqref="G1819">
    <cfRule type="cellIs" dxfId="717" priority="98" operator="equal">
      <formula>"LQA"</formula>
    </cfRule>
    <cfRule type="cellIs" dxfId="716" priority="99" operator="equal">
      <formula>"IT"</formula>
    </cfRule>
  </conditionalFormatting>
  <conditionalFormatting sqref="D1819">
    <cfRule type="cellIs" dxfId="715" priority="97" operator="equal">
      <formula>"AGILIS"</formula>
    </cfRule>
  </conditionalFormatting>
  <conditionalFormatting sqref="F1819">
    <cfRule type="cellIs" dxfId="714" priority="96" operator="equal">
      <formula>"AGILIS"</formula>
    </cfRule>
  </conditionalFormatting>
  <conditionalFormatting sqref="G1820">
    <cfRule type="cellIs" dxfId="713" priority="94" operator="equal">
      <formula>"LQA"</formula>
    </cfRule>
    <cfRule type="cellIs" dxfId="712" priority="95" operator="equal">
      <formula>"IT"</formula>
    </cfRule>
  </conditionalFormatting>
  <conditionalFormatting sqref="D1820">
    <cfRule type="cellIs" dxfId="711" priority="93" operator="equal">
      <formula>"AGILIS"</formula>
    </cfRule>
  </conditionalFormatting>
  <conditionalFormatting sqref="F1820">
    <cfRule type="cellIs" dxfId="710" priority="92" operator="equal">
      <formula>"AGILIS"</formula>
    </cfRule>
  </conditionalFormatting>
  <conditionalFormatting sqref="H1820">
    <cfRule type="cellIs" dxfId="709" priority="91" operator="equal">
      <formula>"AGILIS"</formula>
    </cfRule>
  </conditionalFormatting>
  <conditionalFormatting sqref="I1821">
    <cfRule type="cellIs" dxfId="708" priority="90" operator="equal">
      <formula>"AGILIS"</formula>
    </cfRule>
  </conditionalFormatting>
  <conditionalFormatting sqref="G1821">
    <cfRule type="cellIs" dxfId="707" priority="88" operator="equal">
      <formula>"LQA"</formula>
    </cfRule>
    <cfRule type="cellIs" dxfId="706" priority="89" operator="equal">
      <formula>"IT"</formula>
    </cfRule>
  </conditionalFormatting>
  <conditionalFormatting sqref="D1821">
    <cfRule type="cellIs" dxfId="705" priority="87" operator="equal">
      <formula>"AGILIS"</formula>
    </cfRule>
  </conditionalFormatting>
  <conditionalFormatting sqref="F1821">
    <cfRule type="cellIs" dxfId="704" priority="86" operator="equal">
      <formula>"AGILIS"</formula>
    </cfRule>
  </conditionalFormatting>
  <conditionalFormatting sqref="H1821">
    <cfRule type="cellIs" dxfId="703" priority="85" operator="equal">
      <formula>"AGILIS"</formula>
    </cfRule>
  </conditionalFormatting>
  <conditionalFormatting sqref="G1822">
    <cfRule type="cellIs" dxfId="702" priority="83" operator="equal">
      <formula>"LQA"</formula>
    </cfRule>
    <cfRule type="cellIs" dxfId="701" priority="84" operator="equal">
      <formula>"IT"</formula>
    </cfRule>
  </conditionalFormatting>
  <conditionalFormatting sqref="D1822">
    <cfRule type="cellIs" dxfId="700" priority="82" operator="equal">
      <formula>"AGILIS"</formula>
    </cfRule>
  </conditionalFormatting>
  <conditionalFormatting sqref="F1822">
    <cfRule type="cellIs" dxfId="699" priority="81" operator="equal">
      <formula>"AGILIS"</formula>
    </cfRule>
  </conditionalFormatting>
  <conditionalFormatting sqref="H1822">
    <cfRule type="cellIs" dxfId="698" priority="80" operator="equal">
      <formula>"AGILIS"</formula>
    </cfRule>
  </conditionalFormatting>
  <conditionalFormatting sqref="H1823">
    <cfRule type="cellIs" dxfId="697" priority="79" operator="equal">
      <formula>"AGILIS"</formula>
    </cfRule>
  </conditionalFormatting>
  <conditionalFormatting sqref="G1823">
    <cfRule type="cellIs" dxfId="696" priority="77" operator="equal">
      <formula>"LQA"</formula>
    </cfRule>
    <cfRule type="cellIs" dxfId="695" priority="78" operator="equal">
      <formula>"IT"</formula>
    </cfRule>
  </conditionalFormatting>
  <conditionalFormatting sqref="D1823">
    <cfRule type="cellIs" dxfId="694" priority="76" operator="equal">
      <formula>"AGILIS"</formula>
    </cfRule>
  </conditionalFormatting>
  <conditionalFormatting sqref="F1823">
    <cfRule type="cellIs" dxfId="693" priority="75" operator="equal">
      <formula>"AGILIS"</formula>
    </cfRule>
  </conditionalFormatting>
  <conditionalFormatting sqref="H1824">
    <cfRule type="cellIs" dxfId="692" priority="74" operator="equal">
      <formula>"AGILIS"</formula>
    </cfRule>
  </conditionalFormatting>
  <conditionalFormatting sqref="G1824">
    <cfRule type="cellIs" dxfId="691" priority="72" operator="equal">
      <formula>"LQA"</formula>
    </cfRule>
    <cfRule type="cellIs" dxfId="690" priority="73" operator="equal">
      <formula>"IT"</formula>
    </cfRule>
  </conditionalFormatting>
  <conditionalFormatting sqref="D1824">
    <cfRule type="cellIs" dxfId="689" priority="71" operator="equal">
      <formula>"AGILIS"</formula>
    </cfRule>
  </conditionalFormatting>
  <conditionalFormatting sqref="F1824">
    <cfRule type="cellIs" dxfId="688" priority="70" operator="equal">
      <formula>"AGILIS"</formula>
    </cfRule>
  </conditionalFormatting>
  <conditionalFormatting sqref="D1825">
    <cfRule type="cellIs" dxfId="687" priority="69" operator="equal">
      <formula>"AGILIS"</formula>
    </cfRule>
  </conditionalFormatting>
  <conditionalFormatting sqref="F1825">
    <cfRule type="cellIs" dxfId="686" priority="68" operator="equal">
      <formula>"AGILIS"</formula>
    </cfRule>
  </conditionalFormatting>
  <conditionalFormatting sqref="G1825">
    <cfRule type="cellIs" dxfId="685" priority="66" operator="equal">
      <formula>"LQA"</formula>
    </cfRule>
    <cfRule type="cellIs" dxfId="684" priority="67" operator="equal">
      <formula>"IT"</formula>
    </cfRule>
  </conditionalFormatting>
  <conditionalFormatting sqref="D1826">
    <cfRule type="cellIs" dxfId="683" priority="65" operator="equal">
      <formula>"AGILIS"</formula>
    </cfRule>
  </conditionalFormatting>
  <conditionalFormatting sqref="F1826">
    <cfRule type="cellIs" dxfId="682" priority="64" operator="equal">
      <formula>"AGILIS"</formula>
    </cfRule>
  </conditionalFormatting>
  <conditionalFormatting sqref="G1826">
    <cfRule type="cellIs" dxfId="681" priority="62" operator="equal">
      <formula>"LQA"</formula>
    </cfRule>
    <cfRule type="cellIs" dxfId="680" priority="63" operator="equal">
      <formula>"IT"</formula>
    </cfRule>
  </conditionalFormatting>
  <conditionalFormatting sqref="G1827">
    <cfRule type="cellIs" dxfId="679" priority="60" operator="equal">
      <formula>"LQA"</formula>
    </cfRule>
    <cfRule type="cellIs" dxfId="678" priority="61" operator="equal">
      <formula>"IT"</formula>
    </cfRule>
  </conditionalFormatting>
  <conditionalFormatting sqref="D1827">
    <cfRule type="cellIs" dxfId="677" priority="59" operator="equal">
      <formula>"AGILIS"</formula>
    </cfRule>
  </conditionalFormatting>
  <conditionalFormatting sqref="F1827">
    <cfRule type="cellIs" dxfId="676" priority="58" operator="equal">
      <formula>"AGILIS"</formula>
    </cfRule>
  </conditionalFormatting>
  <conditionalFormatting sqref="G1828">
    <cfRule type="cellIs" dxfId="675" priority="56" operator="equal">
      <formula>"LQA"</formula>
    </cfRule>
    <cfRule type="cellIs" dxfId="674" priority="57" operator="equal">
      <formula>"IT"</formula>
    </cfRule>
  </conditionalFormatting>
  <conditionalFormatting sqref="D1828">
    <cfRule type="cellIs" dxfId="673" priority="55" operator="equal">
      <formula>"AGILIS"</formula>
    </cfRule>
  </conditionalFormatting>
  <conditionalFormatting sqref="F1828">
    <cfRule type="cellIs" dxfId="672" priority="54" operator="equal">
      <formula>"AGILIS"</formula>
    </cfRule>
  </conditionalFormatting>
  <conditionalFormatting sqref="D1829">
    <cfRule type="cellIs" dxfId="671" priority="53" operator="equal">
      <formula>"AGILIS"</formula>
    </cfRule>
  </conditionalFormatting>
  <conditionalFormatting sqref="F1829">
    <cfRule type="cellIs" dxfId="670" priority="52" operator="equal">
      <formula>"AGILIS"</formula>
    </cfRule>
  </conditionalFormatting>
  <conditionalFormatting sqref="G1829">
    <cfRule type="cellIs" dxfId="669" priority="50" operator="equal">
      <formula>"LQA"</formula>
    </cfRule>
    <cfRule type="cellIs" dxfId="668" priority="51" operator="equal">
      <formula>"IT"</formula>
    </cfRule>
  </conditionalFormatting>
  <conditionalFormatting sqref="G1830">
    <cfRule type="cellIs" dxfId="667" priority="48" operator="equal">
      <formula>"LQA"</formula>
    </cfRule>
    <cfRule type="cellIs" dxfId="666" priority="49" operator="equal">
      <formula>"IT"</formula>
    </cfRule>
  </conditionalFormatting>
  <conditionalFormatting sqref="D1830">
    <cfRule type="cellIs" dxfId="665" priority="47" operator="equal">
      <formula>"AGILIS"</formula>
    </cfRule>
  </conditionalFormatting>
  <conditionalFormatting sqref="F1830">
    <cfRule type="cellIs" dxfId="664" priority="46" operator="equal">
      <formula>"AGILIS"</formula>
    </cfRule>
  </conditionalFormatting>
  <conditionalFormatting sqref="D1831">
    <cfRule type="cellIs" dxfId="663" priority="45" operator="equal">
      <formula>"AGILIS"</formula>
    </cfRule>
  </conditionalFormatting>
  <conditionalFormatting sqref="F1831">
    <cfRule type="cellIs" dxfId="662" priority="44" operator="equal">
      <formula>"AGILIS"</formula>
    </cfRule>
  </conditionalFormatting>
  <conditionalFormatting sqref="G1831">
    <cfRule type="cellIs" dxfId="661" priority="42" operator="equal">
      <formula>"LQA"</formula>
    </cfRule>
    <cfRule type="cellIs" dxfId="660" priority="43" operator="equal">
      <formula>"IT"</formula>
    </cfRule>
  </conditionalFormatting>
  <conditionalFormatting sqref="D1832">
    <cfRule type="cellIs" dxfId="659" priority="41" operator="equal">
      <formula>"AGILIS"</formula>
    </cfRule>
  </conditionalFormatting>
  <conditionalFormatting sqref="F1832">
    <cfRule type="cellIs" dxfId="658" priority="40" operator="equal">
      <formula>"AGILIS"</formula>
    </cfRule>
  </conditionalFormatting>
  <conditionalFormatting sqref="G1832">
    <cfRule type="cellIs" dxfId="657" priority="38" operator="equal">
      <formula>"LQA"</formula>
    </cfRule>
    <cfRule type="cellIs" dxfId="656" priority="39" operator="equal">
      <formula>"IT"</formula>
    </cfRule>
  </conditionalFormatting>
  <conditionalFormatting sqref="H1833">
    <cfRule type="cellIs" dxfId="655" priority="37" operator="equal">
      <formula>"AGILIS"</formula>
    </cfRule>
  </conditionalFormatting>
  <conditionalFormatting sqref="D1833">
    <cfRule type="cellIs" dxfId="654" priority="36" operator="equal">
      <formula>"AGILIS"</formula>
    </cfRule>
  </conditionalFormatting>
  <conditionalFormatting sqref="F1833">
    <cfRule type="cellIs" dxfId="653" priority="35" operator="equal">
      <formula>"AGILIS"</formula>
    </cfRule>
  </conditionalFormatting>
  <conditionalFormatting sqref="G1833">
    <cfRule type="cellIs" dxfId="652" priority="33" operator="equal">
      <formula>"LQA"</formula>
    </cfRule>
    <cfRule type="cellIs" dxfId="651" priority="34" operator="equal">
      <formula>"IT"</formula>
    </cfRule>
  </conditionalFormatting>
  <conditionalFormatting sqref="D1834">
    <cfRule type="cellIs" dxfId="650" priority="32" operator="equal">
      <formula>"AGILIS"</formula>
    </cfRule>
  </conditionalFormatting>
  <conditionalFormatting sqref="F1834">
    <cfRule type="cellIs" dxfId="649" priority="31" operator="equal">
      <formula>"AGILIS"</formula>
    </cfRule>
  </conditionalFormatting>
  <conditionalFormatting sqref="G1834">
    <cfRule type="cellIs" dxfId="648" priority="29" operator="equal">
      <formula>"LQA"</formula>
    </cfRule>
    <cfRule type="cellIs" dxfId="647" priority="30" operator="equal">
      <formula>"IT"</formula>
    </cfRule>
  </conditionalFormatting>
  <conditionalFormatting sqref="H1834">
    <cfRule type="cellIs" dxfId="646" priority="28" operator="equal">
      <formula>"AGILIS"</formula>
    </cfRule>
  </conditionalFormatting>
  <conditionalFormatting sqref="D1835">
    <cfRule type="cellIs" dxfId="645" priority="27" operator="equal">
      <formula>"AGILIS"</formula>
    </cfRule>
  </conditionalFormatting>
  <conditionalFormatting sqref="F1835">
    <cfRule type="cellIs" dxfId="644" priority="26" operator="equal">
      <formula>"AGILIS"</formula>
    </cfRule>
  </conditionalFormatting>
  <conditionalFormatting sqref="G1835">
    <cfRule type="cellIs" dxfId="643" priority="24" operator="equal">
      <formula>"LQA"</formula>
    </cfRule>
    <cfRule type="cellIs" dxfId="642" priority="25" operator="equal">
      <formula>"IT"</formula>
    </cfRule>
  </conditionalFormatting>
  <conditionalFormatting sqref="D1836">
    <cfRule type="cellIs" dxfId="641" priority="23" operator="equal">
      <formula>"AGILIS"</formula>
    </cfRule>
  </conditionalFormatting>
  <conditionalFormatting sqref="F1836">
    <cfRule type="cellIs" dxfId="640" priority="22" operator="equal">
      <formula>"AGILIS"</formula>
    </cfRule>
  </conditionalFormatting>
  <conditionalFormatting sqref="G1836">
    <cfRule type="cellIs" dxfId="639" priority="20" operator="equal">
      <formula>"LQA"</formula>
    </cfRule>
    <cfRule type="cellIs" dxfId="638" priority="21" operator="equal">
      <formula>"IT"</formula>
    </cfRule>
  </conditionalFormatting>
  <conditionalFormatting sqref="H1836">
    <cfRule type="cellIs" dxfId="637" priority="19" operator="equal">
      <formula>"AGILIS"</formula>
    </cfRule>
  </conditionalFormatting>
  <conditionalFormatting sqref="D1837">
    <cfRule type="cellIs" dxfId="636" priority="18" operator="equal">
      <formula>"AGILIS"</formula>
    </cfRule>
  </conditionalFormatting>
  <conditionalFormatting sqref="F1837">
    <cfRule type="cellIs" dxfId="635" priority="17" operator="equal">
      <formula>"AGILIS"</formula>
    </cfRule>
  </conditionalFormatting>
  <conditionalFormatting sqref="G1837">
    <cfRule type="cellIs" dxfId="634" priority="15" operator="equal">
      <formula>"LQA"</formula>
    </cfRule>
    <cfRule type="cellIs" dxfId="633" priority="16" operator="equal">
      <formula>"IT"</formula>
    </cfRule>
  </conditionalFormatting>
  <conditionalFormatting sqref="H1838">
    <cfRule type="cellIs" dxfId="632" priority="14" operator="equal">
      <formula>"AGILIS"</formula>
    </cfRule>
  </conditionalFormatting>
  <conditionalFormatting sqref="D1838">
    <cfRule type="cellIs" dxfId="631" priority="13" operator="equal">
      <formula>"AGILIS"</formula>
    </cfRule>
  </conditionalFormatting>
  <conditionalFormatting sqref="F1838">
    <cfRule type="cellIs" dxfId="630" priority="12" operator="equal">
      <formula>"AGILIS"</formula>
    </cfRule>
  </conditionalFormatting>
  <conditionalFormatting sqref="G1838">
    <cfRule type="cellIs" dxfId="629" priority="10" operator="equal">
      <formula>"LQA"</formula>
    </cfRule>
    <cfRule type="cellIs" dxfId="628" priority="11" operator="equal">
      <formula>"IT"</formula>
    </cfRule>
  </conditionalFormatting>
  <conditionalFormatting sqref="D1839">
    <cfRule type="cellIs" dxfId="627" priority="9" operator="equal">
      <formula>"AGILIS"</formula>
    </cfRule>
  </conditionalFormatting>
  <conditionalFormatting sqref="F1839">
    <cfRule type="cellIs" dxfId="626" priority="8" operator="equal">
      <formula>"AGILIS"</formula>
    </cfRule>
  </conditionalFormatting>
  <conditionalFormatting sqref="G1839">
    <cfRule type="cellIs" dxfId="625" priority="6" operator="equal">
      <formula>"LQA"</formula>
    </cfRule>
    <cfRule type="cellIs" dxfId="624" priority="7" operator="equal">
      <formula>"IT"</formula>
    </cfRule>
  </conditionalFormatting>
  <conditionalFormatting sqref="H1839">
    <cfRule type="cellIs" dxfId="623" priority="5" operator="equal">
      <formula>"AGILIS"</formula>
    </cfRule>
  </conditionalFormatting>
  <conditionalFormatting sqref="D1840">
    <cfRule type="cellIs" dxfId="622" priority="4" operator="equal">
      <formula>"AGILIS"</formula>
    </cfRule>
  </conditionalFormatting>
  <conditionalFormatting sqref="F1840">
    <cfRule type="cellIs" dxfId="621" priority="3" operator="equal">
      <formula>"AGILIS"</formula>
    </cfRule>
  </conditionalFormatting>
  <conditionalFormatting sqref="G1840">
    <cfRule type="cellIs" dxfId="620" priority="1" operator="equal">
      <formula>"LQA"</formula>
    </cfRule>
    <cfRule type="cellIs" dxfId="619" priority="2" operator="equal">
      <formula>"IT"</formula>
    </cfRule>
  </conditionalFormatting>
  <dataValidations count="11">
    <dataValidation type="list" allowBlank="1" showInputMessage="1" showErrorMessage="1" sqref="H1262:H1263 H968:H1207 H1437:H1445 H1380:H1381 H1373:H1378 H1371 H1339:H1354 H1293 H1284:H1288 H1273 H335:H578 H1220:H1225 H1218 H1210 H580:H965 H1:H68 H250:H259 H189:H209 H124:H125 H122 H88:H108 H85:H86 H70:H83 H110:H120 H127:H187 H211:H218 H220:H248 H1265:H1271 H1227:H1229 H1231 H1233:H1234 H1236:H1246 H1248:H1260 H261:H333 H1275:H1281 H1291 H1302 H1304:H1337 H1356:H1366 H1368 H1383:H1435 H1447:H1461 H1464:H1466 H1468:H1469 H1471:H1472 H1474 H1476:H1482 H1484:H1492 H1494:H1508 H1511 H1513:H1518 H1521:H1535 H1538:H1571 H1573:H1579 H1581:H1584 H1587 H1593:H1594 H1596:H1603 H1605:H1613 H1616:H1618 H1620:H1631 H1633:H1634 H1636 H1638 H1640:H1645 H1647:H1652 H1654:H1691 H1693:H1719 H1721 H1295:H1300 H1723:H1731 H1733:H1757 H1777 H1761 H1763:H1775 H1780:H1800 H1802:H1808 H1810 H1812:H1814 I1828 H1817:H1824 H1826:H1827 H1829:H1830 H1832:H1048576">
      <formula1>"AGILIS-PROD,ANTEL,BGC,BHN,BMB,CBD,CFRA,COM,CTR,DRC,GMB,INSIGHT,MAS,MOBSA,MTS,PROD-NM,OBT,SHAW,SLT,TLN,TLSTR,TMB,TWC,VON,VZB,VZW,WIS,NM48"</formula1>
    </dataValidation>
    <dataValidation type="list" allowBlank="1" showInputMessage="1" showErrorMessage="1" sqref="S1:S664 S666:S1048576 U1:W1048576">
      <formula1>"Pass,Fail"</formula1>
    </dataValidation>
    <dataValidation type="list" allowBlank="1" showInputMessage="1" showErrorMessage="1" sqref="K29 J950:J1207 J1370:J1394 J1299:J1347 K1293 J1209:J1228 K1218 K1220 K1363:K1364 K1153 K1155 K1102 K1080 K1085 J863:J916 K323 J1:J861 J918:J948 K24 J1230:J1248 K1291 J1350:J1368 K1546 K1549 J1397:J1582 J1584:J1585 J1587:J1588 K1601 K1633 K1639 J1641:K1642 J1590:J1640 J1644:J1660 J1662:J1669 K1682 K1707:K1708 J1250:J1297 J1672:J1728 J1730 I1769:I1770 K1787 K1802 J1732:J1803 J1805:J1807 J1809 K1834 J1811:J1048576">
      <formula1>"AR,ART,CFRA,CARA,DM,DFE,IM,L1DB,MPE,MT,NM,NP,NZ,RA,RC,RE,RM,RT,SAC,TM,Utility,VCS,VzW,WWCS,WWFS"</formula1>
    </dataValidation>
    <dataValidation type="list" allowBlank="1" showInputMessage="1" showErrorMessage="1" sqref="K25:K28 K1156:K1217 K1292 K1219 K30:K322 K1154 K1103:K1152 K1086:K1101 K1081:K1084 K866:K1079 K324:K864 J862 K6:K23 K1:K4 K1221:K1290 K1365:K1545 K1547:K1548 J1583 K1550:K1600 K1602:K1632 K1634:K1638 K1640 J1643:K1643 K1644:K1660 K1662:K1681 K1683:K1706 K1294:K1362 K1709:K1786 K1788:K1801 K1803 K1805:K1833 K1835:K1048576">
      <formula1>"AGENT,Alexa Alert,CLIENT,CS,DBS,DSV,ETL,GUI,HM,MPE,Mailer,PM,Schedular,Utility,WFS,WSV,WEBSERVICE,XMLFEED"</formula1>
    </dataValidation>
    <dataValidation type="list" allowBlank="1" showInputMessage="1" showErrorMessage="1" sqref="H69">
      <formula1>"AGILIS-PROD,MAX,ANTEL,BGC,BHN,BMB,CBD,CFRA,COM,CTR,DRC,GMB,INSIGHT,MAS,MOBSA,MTS,PROD-NM,OBT,SHAW,SLT,TLN,TLSTR,TMB,TWC,VON,VZB,VZW,WIS"</formula1>
    </dataValidation>
    <dataValidation type="list" allowBlank="1" showInputMessage="1" showErrorMessage="1" sqref="AL1:AL4">
      <formula1>$AL$2:$AL$4</formula1>
    </dataValidation>
    <dataValidation type="list" allowBlank="1" showInputMessage="1" showErrorMessage="1" sqref="Q1:Q4 Q6:Q1048576">
      <formula1>"Obsolete-IT,Obsolete-LQA,Obsolete-FAT,Obsolete-UAT,Obsolete-AT"</formula1>
    </dataValidation>
    <dataValidation type="list" allowBlank="1" showInputMessage="1" showErrorMessage="1" sqref="K5">
      <formula1>"AGENT,Alexa Alert,CLIENT,IM,CS,DBS,DSV,ETL,GUI,HM,MPE,Mailer,PM,Schedular,Utility,WFS,WSV,WEBSERVICE,XMLFEED"</formula1>
    </dataValidation>
    <dataValidation type="list" allowBlank="1" showInputMessage="1" showErrorMessage="1" sqref="L1:L1048576">
      <formula1>"Build,Patch,Build&amp;Patch"</formula1>
    </dataValidation>
    <dataValidation type="list" allowBlank="1" showInputMessage="1" showErrorMessage="1" sqref="G1:G1048576">
      <formula1>"IT,LQA,IT-LQA,IT-LQA-AT,IT-LQA-AT-CAT-PROD,IT-LQA-FAT,IT-LQA-UAT,IT-LQA-FAT-UAT,IT-LQA-UAT,IT-LQA-FAT-UAT-PROD,IT-LQA-UAT-PROD,LQA-FAT,LQA-FAT-UAT,LQA-UAT,LQA-AT,LQA-AT-CAT,LQA-AT-CAT-PPROD,LQA-AT-CAT-PPROD-PROD,LQA-FAT-UAT-PROD,LQA-UAT-PROD"</formula1>
    </dataValidation>
    <dataValidation type="list" allowBlank="1" showInputMessage="1" showErrorMessage="1" sqref="H1759">
      <formula1>"AGILIS-PROD,ANTEL,BGC,BHN,BMB,CB,NM48"</formula1>
    </dataValidation>
  </dataValidations>
  <hyperlinks>
    <hyperlink ref="P6" r:id="rId1"/>
    <hyperlink ref="R7" r:id="rId2"/>
    <hyperlink ref="P8" r:id="rId3"/>
    <hyperlink ref="P9" r:id="rId4"/>
    <hyperlink ref="P10" r:id="rId5"/>
    <hyperlink ref="R10" r:id="rId6"/>
    <hyperlink ref="P11" r:id="rId7"/>
    <hyperlink ref="P12" r:id="rId8"/>
    <hyperlink ref="P13" r:id="rId9"/>
    <hyperlink ref="P14" r:id="rId10"/>
    <hyperlink ref="P15" r:id="rId11"/>
    <hyperlink ref="R8" r:id="rId12"/>
    <hyperlink ref="P16" r:id="rId13"/>
    <hyperlink ref="R16" r:id="rId14"/>
    <hyperlink ref="P17" r:id="rId15"/>
    <hyperlink ref="R17" r:id="rId16"/>
    <hyperlink ref="P18" r:id="rId17"/>
    <hyperlink ref="P19" r:id="rId18"/>
    <hyperlink ref="R19" r:id="rId19"/>
    <hyperlink ref="R20" r:id="rId20"/>
    <hyperlink ref="R21" r:id="rId21"/>
    <hyperlink ref="R22" r:id="rId22"/>
    <hyperlink ref="R9" r:id="rId23"/>
    <hyperlink ref="R23" r:id="rId24"/>
    <hyperlink ref="R24" r:id="rId25"/>
    <hyperlink ref="R25" r:id="rId26"/>
    <hyperlink ref="P27" r:id="rId27"/>
    <hyperlink ref="R27" r:id="rId28"/>
    <hyperlink ref="R28" r:id="rId29"/>
    <hyperlink ref="R29" r:id="rId30"/>
    <hyperlink ref="P30" r:id="rId31"/>
    <hyperlink ref="R30" r:id="rId32"/>
    <hyperlink ref="R31" r:id="rId33"/>
    <hyperlink ref="R32" r:id="rId34"/>
    <hyperlink ref="P33" r:id="rId35"/>
    <hyperlink ref="P34" r:id="rId36"/>
    <hyperlink ref="R35" r:id="rId37"/>
    <hyperlink ref="R36" r:id="rId38"/>
    <hyperlink ref="R33" r:id="rId39"/>
    <hyperlink ref="R37" r:id="rId40"/>
    <hyperlink ref="R34" r:id="rId41"/>
    <hyperlink ref="P38" r:id="rId42"/>
    <hyperlink ref="R38" r:id="rId43"/>
    <hyperlink ref="R18" r:id="rId44"/>
    <hyperlink ref="P39" r:id="rId45"/>
    <hyperlink ref="R39" r:id="rId46"/>
    <hyperlink ref="P40" r:id="rId47"/>
    <hyperlink ref="R40" r:id="rId48"/>
    <hyperlink ref="R41" r:id="rId49"/>
    <hyperlink ref="P42" r:id="rId50"/>
    <hyperlink ref="P43" r:id="rId51"/>
    <hyperlink ref="P44" r:id="rId52"/>
    <hyperlink ref="P45" r:id="rId53"/>
    <hyperlink ref="R46" r:id="rId54"/>
    <hyperlink ref="R47" r:id="rId55"/>
    <hyperlink ref="R45" r:id="rId56"/>
    <hyperlink ref="R44" r:id="rId57"/>
    <hyperlink ref="R43" r:id="rId58"/>
    <hyperlink ref="R42" r:id="rId59"/>
    <hyperlink ref="R12" r:id="rId60"/>
    <hyperlink ref="R48" r:id="rId61"/>
    <hyperlink ref="R49" r:id="rId62"/>
    <hyperlink ref="P50" r:id="rId63"/>
    <hyperlink ref="R50" r:id="rId64"/>
    <hyperlink ref="P51" r:id="rId65"/>
    <hyperlink ref="P52" r:id="rId66"/>
    <hyperlink ref="P53" r:id="rId67"/>
    <hyperlink ref="P54" r:id="rId68"/>
    <hyperlink ref="R54" r:id="rId69"/>
    <hyperlink ref="P55" r:id="rId70"/>
    <hyperlink ref="P56" r:id="rId71"/>
    <hyperlink ref="R56" r:id="rId72"/>
    <hyperlink ref="R57" r:id="rId73"/>
    <hyperlink ref="P58" r:id="rId74"/>
    <hyperlink ref="P59" r:id="rId75"/>
    <hyperlink ref="P60" r:id="rId76"/>
    <hyperlink ref="P61" r:id="rId77"/>
    <hyperlink ref="R61" r:id="rId78"/>
    <hyperlink ref="R62" r:id="rId79"/>
    <hyperlink ref="R60" r:id="rId80"/>
    <hyperlink ref="P63" r:id="rId81"/>
    <hyperlink ref="R64" r:id="rId82"/>
    <hyperlink ref="R65" r:id="rId83"/>
    <hyperlink ref="P66" r:id="rId84"/>
    <hyperlink ref="R66" r:id="rId85"/>
    <hyperlink ref="R67" r:id="rId86"/>
    <hyperlink ref="R26" r:id="rId87"/>
    <hyperlink ref="R59" r:id="rId88"/>
    <hyperlink ref="R69" r:id="rId89"/>
    <hyperlink ref="R63" r:id="rId90"/>
    <hyperlink ref="R55" r:id="rId91"/>
    <hyperlink ref="P70" r:id="rId92"/>
    <hyperlink ref="R70" r:id="rId93"/>
    <hyperlink ref="R71" r:id="rId94" display="../../../../Releases/Product/RE_1.0/ReleaseForLQA/TestBuild_1.0.1/GUI/Setup"/>
    <hyperlink ref="P72" r:id="rId95" display="../../../../Releases/Projects/SLT/Release_For_IT/Test_Build_1.0.0.4/Server CD/DBS/Setup"/>
    <hyperlink ref="P73" r:id="rId96" display="../../../../Releases/Projects/SHAW/Release_For_IT/Test_Build_1.0.0.27/Client CD/RM/Setup"/>
    <hyperlink ref="P74" r:id="rId97" display="../../../../Releases/Projects/SLT/Release_For_IT/Test_Build_1.0.0.4/Server CD/DBS/Setup"/>
    <hyperlink ref="R75" r:id="rId98" display="../../../../Releases/Projects/SLT-1B/Release_For_Test/Test_Build_1.0.0.1/Server CD/MPE/Setup"/>
    <hyperlink ref="R74" r:id="rId99" display="../../../../Releases/Projects/SLT/Release_For_LQA/Test_Build_1.0.0.16/Server CD/DBS/Setup"/>
    <hyperlink ref="R76" r:id="rId100"/>
    <hyperlink ref="P77" r:id="rId101"/>
    <hyperlink ref="R77" r:id="rId102"/>
    <hyperlink ref="R78" r:id="rId103"/>
    <hyperlink ref="P79" r:id="rId104"/>
    <hyperlink ref="P80" r:id="rId105"/>
    <hyperlink ref="R51" r:id="rId106"/>
    <hyperlink ref="P81" r:id="rId107"/>
    <hyperlink ref="P82" r:id="rId108"/>
    <hyperlink ref="R82" r:id="rId109"/>
    <hyperlink ref="R81" r:id="rId110"/>
    <hyperlink ref="R83" r:id="rId111"/>
    <hyperlink ref="R73" r:id="rId112"/>
    <hyperlink ref="P84" r:id="rId113"/>
    <hyperlink ref="R85" r:id="rId114"/>
    <hyperlink ref="R86" r:id="rId115"/>
    <hyperlink ref="R79" r:id="rId116"/>
    <hyperlink ref="P87" r:id="rId117"/>
    <hyperlink ref="R88" r:id="rId118"/>
    <hyperlink ref="P89" r:id="rId119"/>
    <hyperlink ref="R89" r:id="rId120"/>
    <hyperlink ref="P90" r:id="rId121"/>
    <hyperlink ref="R91" r:id="rId122"/>
    <hyperlink ref="R92" r:id="rId123"/>
    <hyperlink ref="R93" r:id="rId124"/>
    <hyperlink ref="R53" r:id="rId125"/>
    <hyperlink ref="P94" r:id="rId126"/>
    <hyperlink ref="R94" r:id="rId127"/>
    <hyperlink ref="R95" r:id="rId128"/>
    <hyperlink ref="R90" r:id="rId129"/>
    <hyperlink ref="P96" r:id="rId130"/>
    <hyperlink ref="R96" r:id="rId131"/>
    <hyperlink ref="P97" r:id="rId132"/>
    <hyperlink ref="R97" r:id="rId133"/>
    <hyperlink ref="R99" r:id="rId134"/>
    <hyperlink ref="P100" r:id="rId135"/>
    <hyperlink ref="P101" r:id="rId136"/>
    <hyperlink ref="P102" r:id="rId137"/>
    <hyperlink ref="R102" r:id="rId138"/>
    <hyperlink ref="P103" r:id="rId139"/>
    <hyperlink ref="P104" r:id="rId140"/>
    <hyperlink ref="P105" r:id="rId141"/>
    <hyperlink ref="R103" r:id="rId142"/>
    <hyperlink ref="R104" r:id="rId143"/>
    <hyperlink ref="R105" r:id="rId144"/>
    <hyperlink ref="P106" r:id="rId145"/>
    <hyperlink ref="P107" r:id="rId146"/>
    <hyperlink ref="R107" r:id="rId147"/>
    <hyperlink ref="R106" r:id="rId148"/>
    <hyperlink ref="P108" r:id="rId149"/>
    <hyperlink ref="R108" r:id="rId150"/>
    <hyperlink ref="P109" r:id="rId151"/>
    <hyperlink ref="R110" r:id="rId152"/>
    <hyperlink ref="R111" r:id="rId153"/>
    <hyperlink ref="R84" r:id="rId154"/>
    <hyperlink ref="R109" r:id="rId155"/>
    <hyperlink ref="P112" r:id="rId156"/>
    <hyperlink ref="R112" r:id="rId157"/>
    <hyperlink ref="R101" r:id="rId158"/>
    <hyperlink ref="R52" r:id="rId159"/>
    <hyperlink ref="P113" r:id="rId160"/>
    <hyperlink ref="P114" r:id="rId161"/>
    <hyperlink ref="R114" r:id="rId162"/>
    <hyperlink ref="R113" r:id="rId163"/>
    <hyperlink ref="P115" r:id="rId164"/>
    <hyperlink ref="R115" r:id="rId165"/>
    <hyperlink ref="P116" r:id="rId166"/>
    <hyperlink ref="R116" r:id="rId167"/>
    <hyperlink ref="R117" r:id="rId168"/>
    <hyperlink ref="P118" r:id="rId169"/>
    <hyperlink ref="P119" r:id="rId170"/>
    <hyperlink ref="P120" r:id="rId171"/>
    <hyperlink ref="R120" r:id="rId172"/>
    <hyperlink ref="R121" r:id="rId173"/>
    <hyperlink ref="P122" r:id="rId174"/>
    <hyperlink ref="R122" r:id="rId175"/>
    <hyperlink ref="R118" r:id="rId176"/>
    <hyperlink ref="R119" r:id="rId177"/>
    <hyperlink ref="R123" r:id="rId178"/>
    <hyperlink ref="R124" r:id="rId179"/>
    <hyperlink ref="P125" r:id="rId180"/>
    <hyperlink ref="P126" r:id="rId181"/>
    <hyperlink ref="P127" r:id="rId182"/>
    <hyperlink ref="R127" r:id="rId183"/>
    <hyperlink ref="P128" r:id="rId184"/>
    <hyperlink ref="R128" r:id="rId185"/>
    <hyperlink ref="P129" r:id="rId186"/>
    <hyperlink ref="R129" r:id="rId187"/>
    <hyperlink ref="P130" r:id="rId188"/>
    <hyperlink ref="R130" r:id="rId189"/>
    <hyperlink ref="P131" r:id="rId190"/>
    <hyperlink ref="R131" r:id="rId191"/>
    <hyperlink ref="P132" r:id="rId192"/>
    <hyperlink ref="R132" r:id="rId193"/>
    <hyperlink ref="P133" r:id="rId194"/>
    <hyperlink ref="R133" r:id="rId195"/>
    <hyperlink ref="R134" r:id="rId196"/>
    <hyperlink ref="P135" r:id="rId197"/>
    <hyperlink ref="R135" r:id="rId198"/>
    <hyperlink ref="R87" r:id="rId199"/>
    <hyperlink ref="P136" r:id="rId200"/>
    <hyperlink ref="R136" r:id="rId201"/>
    <hyperlink ref="P137" r:id="rId202"/>
    <hyperlink ref="R137" r:id="rId203"/>
    <hyperlink ref="P138" r:id="rId204"/>
    <hyperlink ref="R138" r:id="rId205"/>
    <hyperlink ref="R139" r:id="rId206"/>
    <hyperlink ref="R140" r:id="rId207"/>
    <hyperlink ref="P141" r:id="rId208"/>
    <hyperlink ref="R141" r:id="rId209"/>
    <hyperlink ref="P142" r:id="rId210"/>
    <hyperlink ref="R142" r:id="rId211"/>
    <hyperlink ref="P143" r:id="rId212"/>
    <hyperlink ref="P144" r:id="rId213"/>
    <hyperlink ref="R144" r:id="rId214"/>
    <hyperlink ref="P145" r:id="rId215"/>
    <hyperlink ref="R145" r:id="rId216"/>
    <hyperlink ref="P146" r:id="rId217"/>
    <hyperlink ref="R146" r:id="rId218"/>
    <hyperlink ref="R147" r:id="rId219"/>
    <hyperlink ref="P147" r:id="rId220"/>
    <hyperlink ref="R148" r:id="rId221"/>
    <hyperlink ref="P148" r:id="rId222"/>
    <hyperlink ref="R149" r:id="rId223"/>
    <hyperlink ref="P149" r:id="rId224"/>
    <hyperlink ref="R150" r:id="rId225"/>
    <hyperlink ref="R151" r:id="rId226"/>
    <hyperlink ref="P152" r:id="rId227"/>
    <hyperlink ref="R152" r:id="rId228"/>
    <hyperlink ref="R153" r:id="rId229"/>
    <hyperlink ref="P154" r:id="rId230"/>
    <hyperlink ref="R154" r:id="rId231"/>
    <hyperlink ref="R155" r:id="rId232"/>
    <hyperlink ref="P156" r:id="rId233"/>
    <hyperlink ref="R156" r:id="rId234"/>
    <hyperlink ref="R157" r:id="rId235"/>
    <hyperlink ref="P158" r:id="rId236" display="../../../../Releases/Projects/SLT/Release_For_IT/Test_Build_1.0.0.4/Server CD/DBS/Setup"/>
    <hyperlink ref="P159" r:id="rId237"/>
    <hyperlink ref="R159" r:id="rId238"/>
    <hyperlink ref="R160" r:id="rId239"/>
    <hyperlink ref="P161" r:id="rId240"/>
    <hyperlink ref="R162" r:id="rId241"/>
    <hyperlink ref="R163" r:id="rId242"/>
    <hyperlink ref="P164" r:id="rId243" display="../../../../Releases/Projects/SLT/Release_For_IT/Test_Build_1.0.0.4/Server CD/DBS/Setup"/>
    <hyperlink ref="P165" r:id="rId244"/>
    <hyperlink ref="R165" r:id="rId245"/>
    <hyperlink ref="R166" r:id="rId246"/>
    <hyperlink ref="R161" r:id="rId247"/>
    <hyperlink ref="R167" r:id="rId248"/>
    <hyperlink ref="P168" r:id="rId249"/>
    <hyperlink ref="R168" r:id="rId250"/>
    <hyperlink ref="R169" r:id="rId251"/>
    <hyperlink ref="P170" r:id="rId252"/>
    <hyperlink ref="R170" r:id="rId253"/>
    <hyperlink ref="P171" r:id="rId254"/>
    <hyperlink ref="R171" r:id="rId255"/>
    <hyperlink ref="R172" r:id="rId256" display="../../../../Releases/Product/AWF/Build&amp;Release/Release For Test/TestBuild_2.0.1/Setup"/>
    <hyperlink ref="R173" r:id="rId257"/>
    <hyperlink ref="R174" r:id="rId258"/>
    <hyperlink ref="R164" r:id="rId259"/>
    <hyperlink ref="R158" r:id="rId260"/>
    <hyperlink ref="R175" r:id="rId261"/>
    <hyperlink ref="P176" r:id="rId262"/>
    <hyperlink ref="R176" r:id="rId263"/>
    <hyperlink ref="P177" r:id="rId264"/>
    <hyperlink ref="R177" r:id="rId265"/>
    <hyperlink ref="P178" r:id="rId266"/>
    <hyperlink ref="P179" r:id="rId267"/>
    <hyperlink ref="R179" r:id="rId268"/>
    <hyperlink ref="R178" r:id="rId269"/>
    <hyperlink ref="R180" r:id="rId270"/>
    <hyperlink ref="R181" r:id="rId271"/>
    <hyperlink ref="P182" r:id="rId272"/>
    <hyperlink ref="P183" r:id="rId273"/>
    <hyperlink ref="R183" r:id="rId274"/>
    <hyperlink ref="R182" r:id="rId275"/>
    <hyperlink ref="R184" r:id="rId276"/>
    <hyperlink ref="P185" r:id="rId277"/>
    <hyperlink ref="R185" r:id="rId278"/>
    <hyperlink ref="P186" r:id="rId279"/>
    <hyperlink ref="P187" r:id="rId280"/>
    <hyperlink ref="R187" r:id="rId281"/>
    <hyperlink ref="R188" r:id="rId282"/>
    <hyperlink ref="P189" r:id="rId283"/>
    <hyperlink ref="P190" r:id="rId284"/>
    <hyperlink ref="R189" r:id="rId285"/>
    <hyperlink ref="R190" r:id="rId286"/>
    <hyperlink ref="P191" r:id="rId287"/>
    <hyperlink ref="R191" r:id="rId288"/>
    <hyperlink ref="P192" r:id="rId289" display="../../../../Releases/Product/RT_4.0/ReleaseForIT/TestBuild_4.0.3/DBS/Setup"/>
    <hyperlink ref="R192" r:id="rId290" display="../../../../Releases/Product/RT_4.0/ReleaseForLQA/TestBuild_4.0.21/DBS/Setup"/>
    <hyperlink ref="P193" r:id="rId291"/>
    <hyperlink ref="P194" r:id="rId292"/>
    <hyperlink ref="R193" r:id="rId293"/>
    <hyperlink ref="P195" r:id="rId294"/>
    <hyperlink ref="P196" r:id="rId295"/>
    <hyperlink ref="R196" r:id="rId296"/>
    <hyperlink ref="R195" r:id="rId297"/>
    <hyperlink ref="R197" r:id="rId298"/>
    <hyperlink ref="R198" r:id="rId299"/>
    <hyperlink ref="P199" r:id="rId300"/>
    <hyperlink ref="R199" r:id="rId301"/>
    <hyperlink ref="P200" r:id="rId302"/>
    <hyperlink ref="P201" r:id="rId303"/>
    <hyperlink ref="P202" r:id="rId304"/>
    <hyperlink ref="P203" r:id="rId305"/>
    <hyperlink ref="P204" r:id="rId306"/>
    <hyperlink ref="P205" r:id="rId307"/>
    <hyperlink ref="P206" r:id="rId308"/>
    <hyperlink ref="P207" r:id="rId309"/>
    <hyperlink ref="P208" r:id="rId310"/>
    <hyperlink ref="P209" r:id="rId311"/>
    <hyperlink ref="P98" r:id="rId312"/>
    <hyperlink ref="R98" r:id="rId313"/>
    <hyperlink ref="R210" r:id="rId314"/>
    <hyperlink ref="R211" r:id="rId315"/>
    <hyperlink ref="R212" r:id="rId316"/>
    <hyperlink ref="P213" r:id="rId317"/>
    <hyperlink ref="R213" r:id="rId318"/>
    <hyperlink ref="P214" r:id="rId319"/>
    <hyperlink ref="R214" r:id="rId320"/>
    <hyperlink ref="P215" r:id="rId321"/>
    <hyperlink ref="R215" r:id="rId322"/>
    <hyperlink ref="P216" r:id="rId323"/>
    <hyperlink ref="R216" r:id="rId324"/>
    <hyperlink ref="P217" r:id="rId325"/>
    <hyperlink ref="R217" r:id="rId326"/>
    <hyperlink ref="R218" r:id="rId327"/>
    <hyperlink ref="R219" r:id="rId328"/>
    <hyperlink ref="R220" r:id="rId329"/>
    <hyperlink ref="R221" r:id="rId330"/>
    <hyperlink ref="P222" r:id="rId331"/>
    <hyperlink ref="R222" r:id="rId332"/>
    <hyperlink ref="R223" r:id="rId333"/>
    <hyperlink ref="P224" r:id="rId334"/>
    <hyperlink ref="R224" r:id="rId335"/>
    <hyperlink ref="R225" r:id="rId336"/>
    <hyperlink ref="P226" r:id="rId337"/>
    <hyperlink ref="R227" r:id="rId338"/>
    <hyperlink ref="R228" r:id="rId339"/>
    <hyperlink ref="R229" r:id="rId340"/>
    <hyperlink ref="R226" r:id="rId341"/>
    <hyperlink ref="P230" r:id="rId342"/>
    <hyperlink ref="P231" r:id="rId343"/>
    <hyperlink ref="P232" r:id="rId344"/>
    <hyperlink ref="R230" r:id="rId345"/>
    <hyperlink ref="R231" r:id="rId346"/>
    <hyperlink ref="R232" r:id="rId347"/>
    <hyperlink ref="R6" r:id="rId348"/>
    <hyperlink ref="R233" r:id="rId349"/>
    <hyperlink ref="R234" r:id="rId350"/>
    <hyperlink ref="R235" r:id="rId351"/>
    <hyperlink ref="R236" r:id="rId352"/>
    <hyperlink ref="P237" r:id="rId353"/>
    <hyperlink ref="R237" r:id="rId354"/>
    <hyperlink ref="P238" r:id="rId355"/>
    <hyperlink ref="P239" r:id="rId356"/>
    <hyperlink ref="P240" r:id="rId357"/>
    <hyperlink ref="P241" r:id="rId358"/>
    <hyperlink ref="P242" r:id="rId359"/>
    <hyperlink ref="R239" r:id="rId360"/>
    <hyperlink ref="R240" r:id="rId361"/>
    <hyperlink ref="R241" r:id="rId362"/>
    <hyperlink ref="R243" r:id="rId363"/>
    <hyperlink ref="R242" r:id="rId364" display="../../../../Releases/Projects/Comcast/Release_for_Test/Test_Build_4.6.1/Server CD/Database/Setup"/>
    <hyperlink ref="P244" r:id="rId365"/>
    <hyperlink ref="R244" r:id="rId366"/>
    <hyperlink ref="R206" r:id="rId367" display="../../../../Releases/Projects/Comcast/Release_for_Test/Test_Build_4.6.1/Server CD/Database/Setup"/>
    <hyperlink ref="P245" r:id="rId368"/>
    <hyperlink ref="R245" r:id="rId369"/>
    <hyperlink ref="P246" r:id="rId370"/>
    <hyperlink ref="R246" r:id="rId371"/>
    <hyperlink ref="R238" r:id="rId372"/>
    <hyperlink ref="R247" r:id="rId373"/>
    <hyperlink ref="R248" r:id="rId374"/>
    <hyperlink ref="R249" r:id="rId375"/>
    <hyperlink ref="P250" r:id="rId376"/>
    <hyperlink ref="R250" r:id="rId377"/>
    <hyperlink ref="P251" r:id="rId378"/>
    <hyperlink ref="R251" r:id="rId379"/>
    <hyperlink ref="R252" r:id="rId380"/>
    <hyperlink ref="R253" r:id="rId381"/>
    <hyperlink ref="P254" r:id="rId382"/>
    <hyperlink ref="R254" r:id="rId383"/>
    <hyperlink ref="R255" r:id="rId384"/>
    <hyperlink ref="R256" r:id="rId385"/>
    <hyperlink ref="R257" r:id="rId386"/>
    <hyperlink ref="P258" r:id="rId387"/>
    <hyperlink ref="R258" r:id="rId388"/>
    <hyperlink ref="P259" r:id="rId389"/>
    <hyperlink ref="R260" r:id="rId390"/>
    <hyperlink ref="R259" r:id="rId391"/>
    <hyperlink ref="R261" r:id="rId392"/>
    <hyperlink ref="R262" r:id="rId393"/>
    <hyperlink ref="P263" r:id="rId394"/>
    <hyperlink ref="R263" r:id="rId395"/>
    <hyperlink ref="P264" r:id="rId396"/>
    <hyperlink ref="R264" r:id="rId397"/>
    <hyperlink ref="P265" r:id="rId398"/>
    <hyperlink ref="R265" r:id="rId399"/>
    <hyperlink ref="P266" r:id="rId400"/>
    <hyperlink ref="R266" r:id="rId401"/>
    <hyperlink ref="R267" r:id="rId402"/>
    <hyperlink ref="P268" r:id="rId403"/>
    <hyperlink ref="R268" r:id="rId404"/>
    <hyperlink ref="P269" r:id="rId405"/>
    <hyperlink ref="R269" r:id="rId406"/>
    <hyperlink ref="P270" r:id="rId407"/>
    <hyperlink ref="R270" r:id="rId408"/>
    <hyperlink ref="P271" r:id="rId409"/>
    <hyperlink ref="R271" r:id="rId410"/>
    <hyperlink ref="P272" r:id="rId411"/>
    <hyperlink ref="R272" r:id="rId412"/>
    <hyperlink ref="P273" r:id="rId413"/>
    <hyperlink ref="R273" r:id="rId414"/>
    <hyperlink ref="P274" r:id="rId415"/>
    <hyperlink ref="R274" r:id="rId416"/>
    <hyperlink ref="P275" r:id="rId417"/>
    <hyperlink ref="R275" r:id="rId418"/>
    <hyperlink ref="P276" r:id="rId419"/>
    <hyperlink ref="R276" r:id="rId420"/>
    <hyperlink ref="P277" r:id="rId421"/>
    <hyperlink ref="R277" r:id="rId422"/>
    <hyperlink ref="P278" r:id="rId423"/>
    <hyperlink ref="R278" r:id="rId424"/>
    <hyperlink ref="P279" r:id="rId425"/>
    <hyperlink ref="R280" r:id="rId426"/>
    <hyperlink ref="P280" r:id="rId427"/>
    <hyperlink ref="P281" r:id="rId428"/>
    <hyperlink ref="R281" r:id="rId429"/>
    <hyperlink ref="P282" r:id="rId430"/>
    <hyperlink ref="R282" r:id="rId431"/>
    <hyperlink ref="R283" r:id="rId432"/>
    <hyperlink ref="P283" r:id="rId433"/>
    <hyperlink ref="R284" r:id="rId434"/>
    <hyperlink ref="P284" r:id="rId435"/>
    <hyperlink ref="R285" r:id="rId436"/>
    <hyperlink ref="R286" r:id="rId437"/>
    <hyperlink ref="P287" r:id="rId438"/>
    <hyperlink ref="P288" r:id="rId439"/>
    <hyperlink ref="R288" r:id="rId440"/>
    <hyperlink ref="R289" r:id="rId441"/>
    <hyperlink ref="R290" r:id="rId442"/>
    <hyperlink ref="P291" r:id="rId443"/>
    <hyperlink ref="R292" r:id="rId444"/>
    <hyperlink ref="R293" r:id="rId445"/>
    <hyperlink ref="P294" r:id="rId446"/>
    <hyperlink ref="R294" r:id="rId447"/>
    <hyperlink ref="R295" r:id="rId448"/>
    <hyperlink ref="P296" r:id="rId449"/>
    <hyperlink ref="P297" r:id="rId450"/>
    <hyperlink ref="P298" r:id="rId451"/>
    <hyperlink ref="P299" r:id="rId452"/>
    <hyperlink ref="R296" r:id="rId453"/>
    <hyperlink ref="R297" r:id="rId454"/>
    <hyperlink ref="R298" r:id="rId455"/>
    <hyperlink ref="R299" r:id="rId456"/>
    <hyperlink ref="P300" r:id="rId457"/>
    <hyperlink ref="R300" r:id="rId458"/>
    <hyperlink ref="P301" r:id="rId459"/>
    <hyperlink ref="R301" r:id="rId460"/>
    <hyperlink ref="R302" r:id="rId461"/>
    <hyperlink ref="R303" r:id="rId462"/>
    <hyperlink ref="P304" r:id="rId463"/>
    <hyperlink ref="R304" r:id="rId464"/>
    <hyperlink ref="R287" r:id="rId465"/>
    <hyperlink ref="P305" r:id="rId466"/>
    <hyperlink ref="R305" r:id="rId467"/>
    <hyperlink ref="R306" r:id="rId468"/>
    <hyperlink ref="P307" r:id="rId469"/>
    <hyperlink ref="R307" r:id="rId470"/>
    <hyperlink ref="P308" r:id="rId471"/>
    <hyperlink ref="R308" r:id="rId472"/>
    <hyperlink ref="R309" r:id="rId473"/>
    <hyperlink ref="P310" r:id="rId474"/>
    <hyperlink ref="R310" r:id="rId475"/>
    <hyperlink ref="R311" r:id="rId476"/>
    <hyperlink ref="R312" r:id="rId477"/>
    <hyperlink ref="P313" r:id="rId478"/>
    <hyperlink ref="R313" r:id="rId479"/>
    <hyperlink ref="R314" r:id="rId480"/>
    <hyperlink ref="P315" r:id="rId481"/>
    <hyperlink ref="R315" r:id="rId482"/>
    <hyperlink ref="P316" r:id="rId483"/>
    <hyperlink ref="R316" r:id="rId484"/>
    <hyperlink ref="P317" r:id="rId485"/>
    <hyperlink ref="R317" r:id="rId486"/>
    <hyperlink ref="P318" r:id="rId487"/>
    <hyperlink ref="R318" r:id="rId488"/>
    <hyperlink ref="P319" r:id="rId489"/>
    <hyperlink ref="R319" r:id="rId490"/>
    <hyperlink ref="R320" r:id="rId491"/>
    <hyperlink ref="P321" r:id="rId492"/>
    <hyperlink ref="R321" r:id="rId493"/>
    <hyperlink ref="P322" r:id="rId494"/>
    <hyperlink ref="R322" r:id="rId495"/>
    <hyperlink ref="R323" r:id="rId496"/>
    <hyperlink ref="P324" r:id="rId497"/>
    <hyperlink ref="R324" r:id="rId498"/>
    <hyperlink ref="R325" r:id="rId499"/>
    <hyperlink ref="P326" r:id="rId500"/>
    <hyperlink ref="P327" r:id="rId501"/>
    <hyperlink ref="R326" r:id="rId502"/>
    <hyperlink ref="R327" r:id="rId503"/>
    <hyperlink ref="R291" r:id="rId504"/>
    <hyperlink ref="R328" r:id="rId505"/>
    <hyperlink ref="P329" r:id="rId506"/>
    <hyperlink ref="R329" r:id="rId507"/>
    <hyperlink ref="P330" r:id="rId508"/>
    <hyperlink ref="R330" r:id="rId509"/>
    <hyperlink ref="P331" r:id="rId510"/>
    <hyperlink ref="R331" r:id="rId511"/>
    <hyperlink ref="P332" r:id="rId512"/>
    <hyperlink ref="R332" r:id="rId513"/>
    <hyperlink ref="R333" r:id="rId514"/>
    <hyperlink ref="R334" r:id="rId515"/>
    <hyperlink ref="P335" r:id="rId516"/>
    <hyperlink ref="P336" r:id="rId517"/>
    <hyperlink ref="R336" r:id="rId518"/>
    <hyperlink ref="P337" r:id="rId519"/>
    <hyperlink ref="P338" r:id="rId520"/>
    <hyperlink ref="P339" r:id="rId521"/>
    <hyperlink ref="P340" r:id="rId522"/>
    <hyperlink ref="P341" r:id="rId523"/>
    <hyperlink ref="P342" r:id="rId524"/>
    <hyperlink ref="P343" r:id="rId525"/>
    <hyperlink ref="P344" r:id="rId526"/>
    <hyperlink ref="R344" r:id="rId527"/>
    <hyperlink ref="P345" r:id="rId528"/>
    <hyperlink ref="R345" r:id="rId529"/>
    <hyperlink ref="R335" r:id="rId530"/>
    <hyperlink ref="P346" r:id="rId531"/>
    <hyperlink ref="R347" r:id="rId532"/>
    <hyperlink ref="R348" r:id="rId533"/>
    <hyperlink ref="R349" r:id="rId534"/>
    <hyperlink ref="P350" r:id="rId535"/>
    <hyperlink ref="R350" r:id="rId536"/>
    <hyperlink ref="R346" r:id="rId537"/>
    <hyperlink ref="R351" r:id="rId538"/>
    <hyperlink ref="P352" r:id="rId539"/>
    <hyperlink ref="R352" r:id="rId540"/>
    <hyperlink ref="P353" r:id="rId541"/>
    <hyperlink ref="R353" r:id="rId542"/>
    <hyperlink ref="P354" r:id="rId543"/>
    <hyperlink ref="R354" r:id="rId544"/>
    <hyperlink ref="R355" r:id="rId545"/>
    <hyperlink ref="P356" r:id="rId546"/>
    <hyperlink ref="R356" r:id="rId547"/>
    <hyperlink ref="R357" r:id="rId548"/>
    <hyperlink ref="R358" r:id="rId549"/>
    <hyperlink ref="P358" r:id="rId550"/>
    <hyperlink ref="P359" r:id="rId551"/>
    <hyperlink ref="R359" r:id="rId552"/>
    <hyperlink ref="P360" r:id="rId553"/>
    <hyperlink ref="R360" r:id="rId554"/>
    <hyperlink ref="R361" r:id="rId555"/>
    <hyperlink ref="P362" r:id="rId556"/>
    <hyperlink ref="R362" r:id="rId557"/>
    <hyperlink ref="P363" r:id="rId558"/>
    <hyperlink ref="R363" r:id="rId559"/>
    <hyperlink ref="P364" r:id="rId560"/>
    <hyperlink ref="R364" r:id="rId561"/>
    <hyperlink ref="P365" r:id="rId562"/>
    <hyperlink ref="R365" r:id="rId563"/>
    <hyperlink ref="R366" r:id="rId564"/>
    <hyperlink ref="P367" r:id="rId565"/>
    <hyperlink ref="R367" r:id="rId566"/>
    <hyperlink ref="R368" r:id="rId567"/>
    <hyperlink ref="P369" r:id="rId568"/>
    <hyperlink ref="R369" r:id="rId569"/>
    <hyperlink ref="P370" r:id="rId570"/>
    <hyperlink ref="R370" r:id="rId571"/>
    <hyperlink ref="P371" r:id="rId572"/>
    <hyperlink ref="R371" r:id="rId573"/>
    <hyperlink ref="R337" r:id="rId574"/>
    <hyperlink ref="R338" r:id="rId575"/>
    <hyperlink ref="R339" r:id="rId576"/>
    <hyperlink ref="R340" r:id="rId577"/>
    <hyperlink ref="R341" r:id="rId578"/>
    <hyperlink ref="R342" r:id="rId579"/>
    <hyperlink ref="R343" r:id="rId580"/>
    <hyperlink ref="P372" r:id="rId581"/>
    <hyperlink ref="R372" r:id="rId582"/>
    <hyperlink ref="R373" r:id="rId583"/>
    <hyperlink ref="P374" r:id="rId584"/>
    <hyperlink ref="R374" r:id="rId585"/>
    <hyperlink ref="R375" r:id="rId586"/>
    <hyperlink ref="P376" r:id="rId587"/>
    <hyperlink ref="R376" r:id="rId588"/>
    <hyperlink ref="P377" r:id="rId589"/>
    <hyperlink ref="R378" r:id="rId590"/>
    <hyperlink ref="R379" r:id="rId591"/>
    <hyperlink ref="P380" r:id="rId592"/>
    <hyperlink ref="R380" r:id="rId593"/>
    <hyperlink ref="R381" r:id="rId594"/>
    <hyperlink ref="P382" r:id="rId595"/>
    <hyperlink ref="R382" r:id="rId596"/>
    <hyperlink ref="P383" r:id="rId597"/>
    <hyperlink ref="R383" r:id="rId598"/>
    <hyperlink ref="P384" r:id="rId599"/>
    <hyperlink ref="R384" r:id="rId600"/>
    <hyperlink ref="P385" r:id="rId601"/>
    <hyperlink ref="R385" r:id="rId602"/>
    <hyperlink ref="R377" r:id="rId603"/>
    <hyperlink ref="P386" r:id="rId604"/>
    <hyperlink ref="R386" r:id="rId605"/>
    <hyperlink ref="P387" r:id="rId606"/>
    <hyperlink ref="R387" r:id="rId607"/>
    <hyperlink ref="R388" r:id="rId608"/>
    <hyperlink ref="R389" r:id="rId609"/>
    <hyperlink ref="P390" r:id="rId610"/>
    <hyperlink ref="R390" r:id="rId611"/>
    <hyperlink ref="P391" r:id="rId612"/>
    <hyperlink ref="P392" r:id="rId613"/>
    <hyperlink ref="R393" r:id="rId614"/>
    <hyperlink ref="R394" r:id="rId615"/>
    <hyperlink ref="P395" r:id="rId616"/>
    <hyperlink ref="R395" r:id="rId617"/>
    <hyperlink ref="R396" r:id="rId618"/>
    <hyperlink ref="P397" r:id="rId619"/>
    <hyperlink ref="R397" r:id="rId620"/>
    <hyperlink ref="R398" r:id="rId621"/>
    <hyperlink ref="P399" r:id="rId622"/>
    <hyperlink ref="R399" r:id="rId623"/>
    <hyperlink ref="P400" r:id="rId624"/>
    <hyperlink ref="R400" r:id="rId625"/>
    <hyperlink ref="R391" r:id="rId626"/>
    <hyperlink ref="P401" r:id="rId627"/>
    <hyperlink ref="R401" r:id="rId628"/>
    <hyperlink ref="P402" r:id="rId629"/>
    <hyperlink ref="R402" r:id="rId630"/>
    <hyperlink ref="P403" r:id="rId631"/>
    <hyperlink ref="R403" r:id="rId632"/>
    <hyperlink ref="R404" r:id="rId633"/>
    <hyperlink ref="P405" r:id="rId634"/>
    <hyperlink ref="R405" r:id="rId635"/>
    <hyperlink ref="R406" r:id="rId636"/>
    <hyperlink ref="P407" r:id="rId637"/>
    <hyperlink ref="R407" r:id="rId638"/>
    <hyperlink ref="R408" r:id="rId639"/>
    <hyperlink ref="P409" r:id="rId640"/>
    <hyperlink ref="R409" r:id="rId641"/>
    <hyperlink ref="R410" r:id="rId642"/>
    <hyperlink ref="R411" r:id="rId643"/>
    <hyperlink ref="P412" r:id="rId644"/>
    <hyperlink ref="P413" r:id="rId645"/>
    <hyperlink ref="R413" r:id="rId646"/>
    <hyperlink ref="R414" r:id="rId647"/>
    <hyperlink ref="R412" r:id="rId648"/>
    <hyperlink ref="R415" r:id="rId649"/>
    <hyperlink ref="R416" r:id="rId650"/>
    <hyperlink ref="P417" r:id="rId651"/>
    <hyperlink ref="R417" r:id="rId652"/>
    <hyperlink ref="P418" r:id="rId653"/>
    <hyperlink ref="R418" r:id="rId654"/>
    <hyperlink ref="P419" r:id="rId655"/>
    <hyperlink ref="R279" r:id="rId656"/>
    <hyperlink ref="P420" r:id="rId657"/>
    <hyperlink ref="R420" r:id="rId658"/>
    <hyperlink ref="R421" r:id="rId659"/>
    <hyperlink ref="R422" r:id="rId660"/>
    <hyperlink ref="R423" r:id="rId661"/>
    <hyperlink ref="P424" r:id="rId662"/>
    <hyperlink ref="R424" r:id="rId663"/>
    <hyperlink ref="R425" r:id="rId664"/>
    <hyperlink ref="P426" r:id="rId665"/>
    <hyperlink ref="R426" r:id="rId666"/>
    <hyperlink ref="P427" r:id="rId667"/>
    <hyperlink ref="R427" r:id="rId668"/>
    <hyperlink ref="P428" r:id="rId669"/>
    <hyperlink ref="R428" r:id="rId670"/>
    <hyperlink ref="P429" r:id="rId671"/>
    <hyperlink ref="R429" r:id="rId672"/>
    <hyperlink ref="P430" r:id="rId673"/>
    <hyperlink ref="R430" r:id="rId674"/>
    <hyperlink ref="P431" r:id="rId675"/>
    <hyperlink ref="R431" r:id="rId676"/>
    <hyperlink ref="R432" r:id="rId677"/>
    <hyperlink ref="R433" r:id="rId678"/>
    <hyperlink ref="R434" r:id="rId679"/>
    <hyperlink ref="P435" r:id="rId680"/>
    <hyperlink ref="R435" r:id="rId681"/>
    <hyperlink ref="R436" r:id="rId682"/>
    <hyperlink ref="P437" r:id="rId683"/>
    <hyperlink ref="R437" r:id="rId684"/>
    <hyperlink ref="R438" r:id="rId685"/>
    <hyperlink ref="R439" r:id="rId686"/>
    <hyperlink ref="P440" r:id="rId687"/>
    <hyperlink ref="R440" r:id="rId688"/>
    <hyperlink ref="P441" r:id="rId689"/>
    <hyperlink ref="R441" r:id="rId690"/>
    <hyperlink ref="P442" r:id="rId691"/>
    <hyperlink ref="R442" r:id="rId692"/>
    <hyperlink ref="P443" r:id="rId693"/>
    <hyperlink ref="R443" r:id="rId694"/>
    <hyperlink ref="P444" r:id="rId695"/>
    <hyperlink ref="R444" r:id="rId696"/>
    <hyperlink ref="R445" r:id="rId697"/>
    <hyperlink ref="R446" r:id="rId698"/>
    <hyperlink ref="P447" r:id="rId699"/>
    <hyperlink ref="R447" r:id="rId700"/>
    <hyperlink ref="R448" r:id="rId701"/>
    <hyperlink ref="P449" r:id="rId702"/>
    <hyperlink ref="R449" r:id="rId703"/>
    <hyperlink ref="P450" r:id="rId704"/>
    <hyperlink ref="R450" r:id="rId705"/>
    <hyperlink ref="R451" r:id="rId706"/>
    <hyperlink ref="R452" r:id="rId707"/>
    <hyperlink ref="P453" r:id="rId708"/>
    <hyperlink ref="P454" r:id="rId709"/>
    <hyperlink ref="R454" r:id="rId710"/>
    <hyperlink ref="R453" r:id="rId711"/>
    <hyperlink ref="R455" r:id="rId712"/>
    <hyperlink ref="P455" r:id="rId713"/>
    <hyperlink ref="R456" r:id="rId714"/>
    <hyperlink ref="P457" r:id="rId715"/>
    <hyperlink ref="R457" r:id="rId716"/>
    <hyperlink ref="R458" r:id="rId717"/>
    <hyperlink ref="P459" r:id="rId718"/>
    <hyperlink ref="R460" r:id="rId719"/>
    <hyperlink ref="R459" r:id="rId720"/>
    <hyperlink ref="P461" r:id="rId721"/>
    <hyperlink ref="R461" r:id="rId722"/>
    <hyperlink ref="P462" r:id="rId723"/>
    <hyperlink ref="R462" r:id="rId724"/>
    <hyperlink ref="R463" r:id="rId725"/>
    <hyperlink ref="P464" r:id="rId726"/>
    <hyperlink ref="R464" r:id="rId727"/>
    <hyperlink ref="R465" r:id="rId728"/>
    <hyperlink ref="R466" r:id="rId729"/>
    <hyperlink ref="R467" r:id="rId730"/>
    <hyperlink ref="R468" r:id="rId731"/>
    <hyperlink ref="R469" r:id="rId732"/>
    <hyperlink ref="P470" r:id="rId733"/>
    <hyperlink ref="R471" r:id="rId734"/>
    <hyperlink ref="P472" r:id="rId735"/>
    <hyperlink ref="R472" r:id="rId736"/>
    <hyperlink ref="R470" r:id="rId737"/>
    <hyperlink ref="R473" r:id="rId738"/>
    <hyperlink ref="P474" r:id="rId739"/>
    <hyperlink ref="R474" r:id="rId740"/>
    <hyperlink ref="R475" r:id="rId741"/>
    <hyperlink ref="P476" r:id="rId742"/>
    <hyperlink ref="R476" r:id="rId743"/>
    <hyperlink ref="R477" r:id="rId744"/>
    <hyperlink ref="P478" r:id="rId745"/>
    <hyperlink ref="P479" r:id="rId746"/>
    <hyperlink ref="P480" r:id="rId747"/>
    <hyperlink ref="R480" r:id="rId748"/>
    <hyperlink ref="R481" r:id="rId749"/>
    <hyperlink ref="P482" r:id="rId750"/>
    <hyperlink ref="R482" r:id="rId751"/>
    <hyperlink ref="P483" r:id="rId752"/>
    <hyperlink ref="R483" r:id="rId753"/>
    <hyperlink ref="P484" r:id="rId754"/>
    <hyperlink ref="R484" r:id="rId755"/>
    <hyperlink ref="P485" r:id="rId756"/>
    <hyperlink ref="R485" r:id="rId757"/>
    <hyperlink ref="P486" r:id="rId758"/>
    <hyperlink ref="R487" r:id="rId759"/>
    <hyperlink ref="R488" r:id="rId760"/>
    <hyperlink ref="R486" r:id="rId761"/>
    <hyperlink ref="P489" r:id="rId762"/>
    <hyperlink ref="R489" r:id="rId763"/>
    <hyperlink ref="P490" r:id="rId764"/>
    <hyperlink ref="R490" r:id="rId765"/>
    <hyperlink ref="R491" r:id="rId766"/>
    <hyperlink ref="P492" r:id="rId767"/>
    <hyperlink ref="R492" r:id="rId768"/>
    <hyperlink ref="R493" r:id="rId769"/>
    <hyperlink ref="R494" r:id="rId770"/>
    <hyperlink ref="R495" r:id="rId771"/>
    <hyperlink ref="R496" r:id="rId772"/>
    <hyperlink ref="R497" r:id="rId773"/>
    <hyperlink ref="R498" r:id="rId774"/>
    <hyperlink ref="P499" r:id="rId775"/>
    <hyperlink ref="R499" r:id="rId776"/>
    <hyperlink ref="P500" r:id="rId777"/>
    <hyperlink ref="P501" r:id="rId778"/>
    <hyperlink ref="R500" r:id="rId779"/>
    <hyperlink ref="R501" r:id="rId780"/>
    <hyperlink ref="R502" r:id="rId781"/>
    <hyperlink ref="P503" r:id="rId782"/>
    <hyperlink ref="R504" r:id="rId783"/>
    <hyperlink ref="R505" r:id="rId784"/>
    <hyperlink ref="P506" r:id="rId785"/>
    <hyperlink ref="R506" r:id="rId786"/>
    <hyperlink ref="R503" r:id="rId787"/>
    <hyperlink ref="R507" r:id="rId788" display="\\192.168.3.3\Share\Releases\Projects\ANTEL\Release_For_Test\Test_Build_1.0.0.7\Server CD\MPE\Setup_x000d_"/>
    <hyperlink ref="R508" r:id="rId789"/>
    <hyperlink ref="P508" r:id="rId790"/>
    <hyperlink ref="R509" r:id="rId791"/>
    <hyperlink ref="P509" r:id="rId792"/>
    <hyperlink ref="R510" r:id="rId793"/>
    <hyperlink ref="P510" r:id="rId794"/>
    <hyperlink ref="P511" r:id="rId795"/>
    <hyperlink ref="R511" r:id="rId796"/>
    <hyperlink ref="P512" r:id="rId797"/>
    <hyperlink ref="R512" r:id="rId798"/>
    <hyperlink ref="R513" r:id="rId799"/>
    <hyperlink ref="P514" r:id="rId800"/>
    <hyperlink ref="R514" r:id="rId801"/>
    <hyperlink ref="R515" r:id="rId802"/>
    <hyperlink ref="P515" r:id="rId803"/>
    <hyperlink ref="R516" r:id="rId804"/>
    <hyperlink ref="P516" r:id="rId805"/>
    <hyperlink ref="P517" r:id="rId806"/>
    <hyperlink ref="R517" r:id="rId807"/>
    <hyperlink ref="R518" r:id="rId808"/>
    <hyperlink ref="P519" r:id="rId809"/>
    <hyperlink ref="R519" r:id="rId810"/>
    <hyperlink ref="R520" r:id="rId811"/>
    <hyperlink ref="P521" r:id="rId812"/>
    <hyperlink ref="P522" r:id="rId813"/>
    <hyperlink ref="R522" r:id="rId814"/>
    <hyperlink ref="R523" r:id="rId815"/>
    <hyperlink ref="P524" r:id="rId816"/>
    <hyperlink ref="R525" r:id="rId817"/>
    <hyperlink ref="P526" r:id="rId818"/>
    <hyperlink ref="R526" r:id="rId819"/>
    <hyperlink ref="P527" r:id="rId820"/>
    <hyperlink ref="R527" r:id="rId821"/>
    <hyperlink ref="P528" r:id="rId822"/>
    <hyperlink ref="R528" r:id="rId823"/>
    <hyperlink ref="R524" r:id="rId824"/>
    <hyperlink ref="R521" r:id="rId825"/>
    <hyperlink ref="R529" r:id="rId826"/>
    <hyperlink ref="P530" r:id="rId827"/>
    <hyperlink ref="R530" r:id="rId828"/>
    <hyperlink ref="R531" r:id="rId829"/>
    <hyperlink ref="P532" r:id="rId830"/>
    <hyperlink ref="R532" r:id="rId831"/>
    <hyperlink ref="R533" r:id="rId832"/>
    <hyperlink ref="P534" r:id="rId833"/>
    <hyperlink ref="R534" r:id="rId834"/>
    <hyperlink ref="R535" r:id="rId835"/>
    <hyperlink ref="P536" r:id="rId836"/>
    <hyperlink ref="R536" r:id="rId837"/>
    <hyperlink ref="P537" r:id="rId838"/>
    <hyperlink ref="R537" r:id="rId839"/>
    <hyperlink ref="R538" r:id="rId840"/>
    <hyperlink ref="P539" r:id="rId841"/>
    <hyperlink ref="R539" r:id="rId842"/>
    <hyperlink ref="P540" r:id="rId843"/>
    <hyperlink ref="R540" r:id="rId844"/>
    <hyperlink ref="P541" r:id="rId845"/>
    <hyperlink ref="R541" r:id="rId846"/>
    <hyperlink ref="P542" r:id="rId847"/>
    <hyperlink ref="R542" r:id="rId848"/>
    <hyperlink ref="R543" r:id="rId849"/>
    <hyperlink ref="P544" r:id="rId850"/>
    <hyperlink ref="R545" r:id="rId851"/>
    <hyperlink ref="P546" r:id="rId852"/>
    <hyperlink ref="R546" r:id="rId853"/>
    <hyperlink ref="P547" r:id="rId854"/>
    <hyperlink ref="P548" r:id="rId855"/>
    <hyperlink ref="R548" r:id="rId856"/>
    <hyperlink ref="R549" r:id="rId857"/>
    <hyperlink ref="R547" r:id="rId858"/>
    <hyperlink ref="R550" r:id="rId859"/>
    <hyperlink ref="P551" r:id="rId860"/>
    <hyperlink ref="R551" r:id="rId861"/>
    <hyperlink ref="R552" r:id="rId862"/>
    <hyperlink ref="P553" r:id="rId863"/>
    <hyperlink ref="R553" r:id="rId864"/>
    <hyperlink ref="R544" r:id="rId865"/>
    <hyperlink ref="P554" r:id="rId866"/>
    <hyperlink ref="R554" r:id="rId867"/>
    <hyperlink ref="P555" r:id="rId868"/>
    <hyperlink ref="R555" r:id="rId869"/>
    <hyperlink ref="R556" r:id="rId870"/>
    <hyperlink ref="R557" r:id="rId871"/>
    <hyperlink ref="R558" r:id="rId872"/>
    <hyperlink ref="R559" r:id="rId873"/>
    <hyperlink ref="P560" r:id="rId874"/>
    <hyperlink ref="R560" r:id="rId875"/>
    <hyperlink ref="R561" r:id="rId876"/>
    <hyperlink ref="R562" r:id="rId877"/>
    <hyperlink ref="R563" r:id="rId878"/>
    <hyperlink ref="R564" r:id="rId879"/>
    <hyperlink ref="P565" r:id="rId880"/>
    <hyperlink ref="R565" r:id="rId881"/>
    <hyperlink ref="R566" r:id="rId882"/>
    <hyperlink ref="P567" r:id="rId883"/>
    <hyperlink ref="R567" r:id="rId884"/>
    <hyperlink ref="P568" r:id="rId885"/>
    <hyperlink ref="R568" r:id="rId886"/>
    <hyperlink ref="R569" r:id="rId887"/>
    <hyperlink ref="P570" r:id="rId888"/>
    <hyperlink ref="R570" r:id="rId889"/>
    <hyperlink ref="R571" r:id="rId890"/>
    <hyperlink ref="R572" r:id="rId891"/>
    <hyperlink ref="R573" r:id="rId892"/>
    <hyperlink ref="P574" r:id="rId893"/>
    <hyperlink ref="R574" r:id="rId894"/>
    <hyperlink ref="P575" r:id="rId895"/>
    <hyperlink ref="R575" r:id="rId896"/>
    <hyperlink ref="R576" r:id="rId897"/>
    <hyperlink ref="R577" r:id="rId898"/>
    <hyperlink ref="P578" r:id="rId899"/>
    <hyperlink ref="R578" r:id="rId900"/>
    <hyperlink ref="R579" r:id="rId901"/>
    <hyperlink ref="R580" r:id="rId902"/>
    <hyperlink ref="P581" r:id="rId903"/>
    <hyperlink ref="R581" r:id="rId904"/>
    <hyperlink ref="R582" r:id="rId905" display="\\192.168.3.3\Share\Releases\Projects\ANTEL\Release_For_Test\Test_Build_1.0.0.7\Server CD\MPE\Setup_x000d_"/>
    <hyperlink ref="P583" r:id="rId906"/>
    <hyperlink ref="R583" r:id="rId907"/>
    <hyperlink ref="P584" r:id="rId908"/>
    <hyperlink ref="R584" r:id="rId909"/>
    <hyperlink ref="P585" r:id="rId910"/>
    <hyperlink ref="R585" r:id="rId911"/>
    <hyperlink ref="P586" r:id="rId912"/>
    <hyperlink ref="R586" r:id="rId913"/>
    <hyperlink ref="P587" r:id="rId914"/>
    <hyperlink ref="R587" r:id="rId915"/>
    <hyperlink ref="P588" r:id="rId916"/>
    <hyperlink ref="R588" r:id="rId917"/>
    <hyperlink ref="P589" r:id="rId918"/>
    <hyperlink ref="R589" r:id="rId919"/>
    <hyperlink ref="P590" r:id="rId920"/>
    <hyperlink ref="R590" r:id="rId921"/>
    <hyperlink ref="P591" r:id="rId922"/>
    <hyperlink ref="R591" r:id="rId923"/>
    <hyperlink ref="P592" r:id="rId924"/>
    <hyperlink ref="R592" r:id="rId925"/>
    <hyperlink ref="P593" r:id="rId926"/>
    <hyperlink ref="R593" r:id="rId927"/>
    <hyperlink ref="P594" r:id="rId928"/>
    <hyperlink ref="R594" r:id="rId929"/>
    <hyperlink ref="P595" r:id="rId930"/>
    <hyperlink ref="P596" r:id="rId931"/>
    <hyperlink ref="R596" r:id="rId932"/>
    <hyperlink ref="R595" r:id="rId933"/>
    <hyperlink ref="R597" r:id="rId934"/>
    <hyperlink ref="P598" r:id="rId935"/>
    <hyperlink ref="R598" r:id="rId936"/>
    <hyperlink ref="P599" r:id="rId937"/>
    <hyperlink ref="R599" r:id="rId938"/>
    <hyperlink ref="P600" r:id="rId939"/>
    <hyperlink ref="R600" r:id="rId940"/>
    <hyperlink ref="P601" r:id="rId941"/>
    <hyperlink ref="R601" r:id="rId942"/>
    <hyperlink ref="P602" r:id="rId943"/>
    <hyperlink ref="R602" r:id="rId944"/>
    <hyperlink ref="P603" r:id="rId945"/>
    <hyperlink ref="R603" r:id="rId946"/>
    <hyperlink ref="P604" r:id="rId947"/>
    <hyperlink ref="R605" r:id="rId948"/>
    <hyperlink ref="P606" r:id="rId949"/>
    <hyperlink ref="R606" r:id="rId950"/>
    <hyperlink ref="P607" r:id="rId951"/>
    <hyperlink ref="R607" r:id="rId952"/>
    <hyperlink ref="P608" r:id="rId953"/>
    <hyperlink ref="R608" r:id="rId954"/>
    <hyperlink ref="P609" r:id="rId955"/>
    <hyperlink ref="R609" r:id="rId956"/>
    <hyperlink ref="R610" r:id="rId957"/>
    <hyperlink ref="R611" r:id="rId958"/>
    <hyperlink ref="P612" r:id="rId959"/>
    <hyperlink ref="R612" r:id="rId960"/>
    <hyperlink ref="R613" r:id="rId961" display="\\192.168.3.3\Share\Releases\Product\RT_4.0\ReleaseForLQA\TestBuild_4.0.24\GUI\Build1\Setup "/>
    <hyperlink ref="P614" r:id="rId962"/>
    <hyperlink ref="R614" r:id="rId963"/>
    <hyperlink ref="R615" r:id="rId964"/>
    <hyperlink ref="R616" r:id="rId965"/>
    <hyperlink ref="R617" r:id="rId966"/>
    <hyperlink ref="P617" r:id="rId967"/>
    <hyperlink ref="R618" r:id="rId968"/>
    <hyperlink ref="R619" r:id="rId969"/>
    <hyperlink ref="P620" r:id="rId970"/>
    <hyperlink ref="R620" r:id="rId971"/>
    <hyperlink ref="R604" r:id="rId972"/>
    <hyperlink ref="R621" r:id="rId973"/>
    <hyperlink ref="P621" r:id="rId974"/>
    <hyperlink ref="R622" r:id="rId975"/>
    <hyperlink ref="P623" r:id="rId976"/>
    <hyperlink ref="R623" r:id="rId977"/>
    <hyperlink ref="R624" r:id="rId978"/>
    <hyperlink ref="P625" r:id="rId979"/>
    <hyperlink ref="R625" r:id="rId980"/>
    <hyperlink ref="R626" r:id="rId981"/>
    <hyperlink ref="P627" r:id="rId982"/>
    <hyperlink ref="R627" r:id="rId983"/>
    <hyperlink ref="P628" r:id="rId984"/>
    <hyperlink ref="R628" r:id="rId985"/>
    <hyperlink ref="P629" r:id="rId986"/>
    <hyperlink ref="P630" r:id="rId987"/>
    <hyperlink ref="R630" r:id="rId988"/>
    <hyperlink ref="R631" r:id="rId989"/>
    <hyperlink ref="P632" r:id="rId990"/>
    <hyperlink ref="R632" r:id="rId991"/>
    <hyperlink ref="P633" r:id="rId992"/>
    <hyperlink ref="R633" r:id="rId993"/>
    <hyperlink ref="P634" r:id="rId994"/>
    <hyperlink ref="R634" r:id="rId995"/>
    <hyperlink ref="P635" r:id="rId996"/>
    <hyperlink ref="R635" r:id="rId997"/>
    <hyperlink ref="P636" r:id="rId998"/>
    <hyperlink ref="R636" r:id="rId999"/>
    <hyperlink ref="P637" r:id="rId1000"/>
    <hyperlink ref="R637" r:id="rId1001"/>
    <hyperlink ref="P638" r:id="rId1002"/>
    <hyperlink ref="R638" r:id="rId1003"/>
    <hyperlink ref="P639" r:id="rId1004"/>
    <hyperlink ref="R639" r:id="rId1005"/>
    <hyperlink ref="R640" r:id="rId1006"/>
    <hyperlink ref="P641" r:id="rId1007"/>
    <hyperlink ref="R641" r:id="rId1008"/>
    <hyperlink ref="P642" r:id="rId1009"/>
    <hyperlink ref="R642" r:id="rId1010"/>
    <hyperlink ref="P643" r:id="rId1011"/>
    <hyperlink ref="R643" r:id="rId1012"/>
    <hyperlink ref="R644" r:id="rId1013"/>
    <hyperlink ref="P645" r:id="rId1014"/>
    <hyperlink ref="R645" r:id="rId1015"/>
    <hyperlink ref="P646" r:id="rId1016"/>
    <hyperlink ref="R646" r:id="rId1017"/>
    <hyperlink ref="P647" r:id="rId1018"/>
    <hyperlink ref="R647" r:id="rId1019"/>
    <hyperlink ref="R648" r:id="rId1020"/>
    <hyperlink ref="P649" r:id="rId1021"/>
    <hyperlink ref="R649" r:id="rId1022"/>
    <hyperlink ref="P650" r:id="rId1023"/>
    <hyperlink ref="R650" r:id="rId1024"/>
    <hyperlink ref="P651" r:id="rId1025"/>
    <hyperlink ref="R651" r:id="rId1026"/>
    <hyperlink ref="P652" r:id="rId1027"/>
    <hyperlink ref="R652" r:id="rId1028"/>
    <hyperlink ref="P653" r:id="rId1029"/>
    <hyperlink ref="R653" r:id="rId1030"/>
    <hyperlink ref="P654" r:id="rId1031"/>
    <hyperlink ref="R654" r:id="rId1032"/>
    <hyperlink ref="P655" r:id="rId1033"/>
    <hyperlink ref="R655" r:id="rId1034"/>
    <hyperlink ref="P656" r:id="rId1035"/>
    <hyperlink ref="R656" r:id="rId1036"/>
    <hyperlink ref="P657" r:id="rId1037"/>
    <hyperlink ref="P658" r:id="rId1038"/>
    <hyperlink ref="R658" r:id="rId1039"/>
    <hyperlink ref="R659" r:id="rId1040"/>
    <hyperlink ref="P660" r:id="rId1041"/>
    <hyperlink ref="R660" r:id="rId1042"/>
    <hyperlink ref="P661" r:id="rId1043"/>
    <hyperlink ref="R661" r:id="rId1044"/>
    <hyperlink ref="P662" r:id="rId1045"/>
    <hyperlink ref="R662" r:id="rId1046"/>
    <hyperlink ref="P663" r:id="rId1047"/>
    <hyperlink ref="R663" r:id="rId1048"/>
    <hyperlink ref="P664" r:id="rId1049"/>
    <hyperlink ref="R664" r:id="rId1050"/>
    <hyperlink ref="P665" r:id="rId1051"/>
    <hyperlink ref="P666" r:id="rId1052"/>
    <hyperlink ref="R666" r:id="rId1053"/>
    <hyperlink ref="P667" r:id="rId1054"/>
    <hyperlink ref="R667" r:id="rId1055"/>
    <hyperlink ref="P668" r:id="rId1056"/>
    <hyperlink ref="R668" r:id="rId1057"/>
    <hyperlink ref="P669" r:id="rId1058"/>
    <hyperlink ref="R669" r:id="rId1059"/>
    <hyperlink ref="R670" r:id="rId1060"/>
    <hyperlink ref="P671" r:id="rId1061"/>
    <hyperlink ref="R671" r:id="rId1062"/>
    <hyperlink ref="R672" r:id="rId1063"/>
    <hyperlink ref="R673" r:id="rId1064"/>
    <hyperlink ref="P674" r:id="rId1065"/>
    <hyperlink ref="R674" r:id="rId1066"/>
    <hyperlink ref="P675" r:id="rId1067"/>
    <hyperlink ref="R675" r:id="rId1068"/>
    <hyperlink ref="P676" r:id="rId1069"/>
    <hyperlink ref="R676" r:id="rId1070"/>
    <hyperlink ref="R677" r:id="rId1071"/>
    <hyperlink ref="R678" r:id="rId1072"/>
    <hyperlink ref="R665" r:id="rId1073"/>
    <hyperlink ref="P679" r:id="rId1074"/>
    <hyperlink ref="R679" r:id="rId1075"/>
    <hyperlink ref="P680" r:id="rId1076"/>
    <hyperlink ref="R680" r:id="rId1077"/>
    <hyperlink ref="R681" r:id="rId1078"/>
    <hyperlink ref="P682" r:id="rId1079"/>
    <hyperlink ref="R682" r:id="rId1080"/>
    <hyperlink ref="P683" r:id="rId1081"/>
    <hyperlink ref="R683" r:id="rId1082"/>
    <hyperlink ref="P684" r:id="rId1083"/>
    <hyperlink ref="R684" r:id="rId1084"/>
    <hyperlink ref="R685" r:id="rId1085"/>
    <hyperlink ref="R686" r:id="rId1086"/>
    <hyperlink ref="R687" r:id="rId1087"/>
    <hyperlink ref="R688" r:id="rId1088"/>
    <hyperlink ref="P689" r:id="rId1089"/>
    <hyperlink ref="R689" r:id="rId1090"/>
    <hyperlink ref="R690" r:id="rId1091"/>
    <hyperlink ref="P691" r:id="rId1092"/>
    <hyperlink ref="R691" r:id="rId1093"/>
    <hyperlink ref="R692" r:id="rId1094"/>
    <hyperlink ref="P693" r:id="rId1095"/>
    <hyperlink ref="R693" r:id="rId1096"/>
    <hyperlink ref="P694" r:id="rId1097"/>
    <hyperlink ref="R694" r:id="rId1098"/>
    <hyperlink ref="P695" r:id="rId1099"/>
    <hyperlink ref="R695" r:id="rId1100"/>
    <hyperlink ref="P696" r:id="rId1101"/>
    <hyperlink ref="R696" r:id="rId1102"/>
    <hyperlink ref="P697" r:id="rId1103"/>
    <hyperlink ref="R697" r:id="rId1104"/>
    <hyperlink ref="P698" r:id="rId1105"/>
    <hyperlink ref="R698" r:id="rId1106"/>
    <hyperlink ref="P699" r:id="rId1107"/>
    <hyperlink ref="R699" r:id="rId1108"/>
    <hyperlink ref="P700" r:id="rId1109"/>
    <hyperlink ref="R700" r:id="rId1110"/>
    <hyperlink ref="P701" r:id="rId1111"/>
    <hyperlink ref="R701" r:id="rId1112"/>
    <hyperlink ref="P702" r:id="rId1113"/>
    <hyperlink ref="R702" r:id="rId1114"/>
    <hyperlink ref="P703" r:id="rId1115"/>
    <hyperlink ref="R703" r:id="rId1116"/>
    <hyperlink ref="R704" r:id="rId1117"/>
    <hyperlink ref="R705" r:id="rId1118"/>
    <hyperlink ref="R706" r:id="rId1119"/>
    <hyperlink ref="R707" r:id="rId1120"/>
    <hyperlink ref="R708" r:id="rId1121"/>
    <hyperlink ref="P709" r:id="rId1122"/>
    <hyperlink ref="R709" r:id="rId1123"/>
    <hyperlink ref="P710" r:id="rId1124"/>
    <hyperlink ref="R710" r:id="rId1125"/>
    <hyperlink ref="P711" r:id="rId1126"/>
    <hyperlink ref="R711" r:id="rId1127"/>
    <hyperlink ref="R712" r:id="rId1128"/>
    <hyperlink ref="P713" r:id="rId1129"/>
    <hyperlink ref="R713" r:id="rId1130"/>
    <hyperlink ref="P714" r:id="rId1131"/>
    <hyperlink ref="R714" r:id="rId1132"/>
    <hyperlink ref="P715" r:id="rId1133"/>
    <hyperlink ref="R715" r:id="rId1134"/>
    <hyperlink ref="P716" r:id="rId1135"/>
    <hyperlink ref="R716" r:id="rId1136"/>
    <hyperlink ref="P717" r:id="rId1137"/>
    <hyperlink ref="R717" r:id="rId1138"/>
    <hyperlink ref="R718" r:id="rId1139"/>
    <hyperlink ref="R719" r:id="rId1140"/>
    <hyperlink ref="P720" r:id="rId1141"/>
    <hyperlink ref="R720" r:id="rId1142"/>
    <hyperlink ref="P721" r:id="rId1143"/>
    <hyperlink ref="R721" r:id="rId1144"/>
    <hyperlink ref="P722" r:id="rId1145"/>
    <hyperlink ref="R722" r:id="rId1146"/>
    <hyperlink ref="P723" r:id="rId1147"/>
    <hyperlink ref="R723" r:id="rId1148"/>
    <hyperlink ref="P724" r:id="rId1149"/>
    <hyperlink ref="R724" r:id="rId1150"/>
    <hyperlink ref="R725" r:id="rId1151" display="\\192.168.3.3\Share\Releases\Projects\ANTEL\Release_For_Test\Test_Build_1.0.0.7\Server CD\GUI\Setup"/>
    <hyperlink ref="P726" r:id="rId1152"/>
    <hyperlink ref="R726" r:id="rId1153" display="\\192.168.3.3\Share\Releases\Projects\Comcast\Release_for_Test\Test_Build_4.6.5\Utility\Setup "/>
    <hyperlink ref="R727" r:id="rId1154"/>
    <hyperlink ref="P728" r:id="rId1155"/>
    <hyperlink ref="R728" r:id="rId1156"/>
    <hyperlink ref="P729" r:id="rId1157"/>
    <hyperlink ref="R729" r:id="rId1158"/>
    <hyperlink ref="P730" r:id="rId1159"/>
    <hyperlink ref="R730" r:id="rId1160"/>
    <hyperlink ref="P731" r:id="rId1161"/>
    <hyperlink ref="R731" r:id="rId1162"/>
    <hyperlink ref="P732" r:id="rId1163"/>
    <hyperlink ref="R732" r:id="rId1164"/>
    <hyperlink ref="P733" r:id="rId1165"/>
    <hyperlink ref="R733" r:id="rId1166"/>
    <hyperlink ref="R734" r:id="rId1167"/>
    <hyperlink ref="P735" r:id="rId1168"/>
    <hyperlink ref="R735" r:id="rId1169"/>
    <hyperlink ref="R736" r:id="rId1170"/>
    <hyperlink ref="P737" r:id="rId1171"/>
    <hyperlink ref="R737" r:id="rId1172"/>
    <hyperlink ref="R738" r:id="rId1173"/>
    <hyperlink ref="R739" r:id="rId1174"/>
    <hyperlink ref="R740" r:id="rId1175"/>
    <hyperlink ref="P741" r:id="rId1176"/>
    <hyperlink ref="R741" r:id="rId1177"/>
    <hyperlink ref="R742" r:id="rId1178"/>
    <hyperlink ref="P743" r:id="rId1179"/>
    <hyperlink ref="R743" r:id="rId1180"/>
    <hyperlink ref="R744" r:id="rId1181"/>
    <hyperlink ref="P745" r:id="rId1182"/>
    <hyperlink ref="R745" r:id="rId1183"/>
    <hyperlink ref="R746" r:id="rId1184"/>
    <hyperlink ref="P747" r:id="rId1185"/>
    <hyperlink ref="R747" r:id="rId1186"/>
    <hyperlink ref="P748" r:id="rId1187"/>
    <hyperlink ref="R748" r:id="rId1188"/>
    <hyperlink ref="P749" r:id="rId1189"/>
    <hyperlink ref="R749" r:id="rId1190"/>
    <hyperlink ref="R750" r:id="rId1191"/>
    <hyperlink ref="P751" r:id="rId1192"/>
    <hyperlink ref="R751" r:id="rId1193"/>
    <hyperlink ref="R752" r:id="rId1194"/>
    <hyperlink ref="R753" r:id="rId1195"/>
    <hyperlink ref="R754" r:id="rId1196"/>
    <hyperlink ref="P755" r:id="rId1197"/>
    <hyperlink ref="R755" r:id="rId1198"/>
    <hyperlink ref="P756" r:id="rId1199"/>
    <hyperlink ref="R756" r:id="rId1200"/>
    <hyperlink ref="P757" r:id="rId1201"/>
    <hyperlink ref="R757" r:id="rId1202"/>
    <hyperlink ref="P758" r:id="rId1203"/>
    <hyperlink ref="R758" r:id="rId1204"/>
    <hyperlink ref="P759" r:id="rId1205"/>
    <hyperlink ref="R759" r:id="rId1206"/>
    <hyperlink ref="P760" r:id="rId1207"/>
    <hyperlink ref="R760" r:id="rId1208"/>
    <hyperlink ref="P761" r:id="rId1209"/>
    <hyperlink ref="R761" r:id="rId1210"/>
    <hyperlink ref="R762" r:id="rId1211"/>
    <hyperlink ref="P763" r:id="rId1212"/>
    <hyperlink ref="P764" r:id="rId1213" display="../../../../Releases/Projects/Comcast/Release_For_IT/Test_Build_4.6.1/Server CD/Database/Setup"/>
    <hyperlink ref="R764" r:id="rId1214" display="../../../../Releases/Projects/Comcast/Release_for_Test/Test_Build_4.6.5/Server CD/Database/Setup"/>
    <hyperlink ref="R763" r:id="rId1215" display="../../../../Releases/Product/RE_1.0/ReleaseForLQA/TestBuild_1.0.1/DBS/Build4/Setup"/>
    <hyperlink ref="P765" r:id="rId1216" display="../../../../Releases/Projects/ANTEL/Release_For_IT/TestBuild_1.0.0.4/Server CD/DBS/Setup"/>
    <hyperlink ref="R765" r:id="rId1217" display="../../../../Releases/Projects/ANTEL/Release_For_Test/Test_Build_1.0.0.7/Server CD/DBS/Setup"/>
    <hyperlink ref="P766" r:id="rId1218" display="../../../../Releases/Projects/SLT/Release_For_IT/Test_Build_1.0.0.4/Server CD/DBS/Setup"/>
    <hyperlink ref="R766" r:id="rId1219" display="../../../../Releases/Projects/SLT/Release_For_LQA/Test_Build_1.0.0.23/Server CD/DBS/Setup"/>
    <hyperlink ref="P767" r:id="rId1220" display="../../../../Releases/Projects/ANTEL/Release_For_IT/TestBuild_1.0.0.4/Server CD/DBS/Setup"/>
    <hyperlink ref="R767" r:id="rId1221" display="../../../../Releases/Projects/ANTEL/Release_For_Test/Test_Build_1.0.0.7/Server CD/DBS/Setup"/>
    <hyperlink ref="P768" r:id="rId1222" display="../../../../Releases/Projects/ANTEL/Release_For_IT/TestBuild_1.0.0.4/Server CD/DBS/Setup"/>
    <hyperlink ref="R768" r:id="rId1223" display="../../../../Releases/Projects/ANTEL/Release_For_Test/Test_Build_1.0.0.7/Server CD/DBS/Setup"/>
    <hyperlink ref="P769" r:id="rId1224"/>
    <hyperlink ref="R769" r:id="rId1225"/>
    <hyperlink ref="P770" r:id="rId1226"/>
    <hyperlink ref="R770" r:id="rId1227"/>
    <hyperlink ref="P771" r:id="rId1228"/>
    <hyperlink ref="R771" r:id="rId1229"/>
    <hyperlink ref="P772" r:id="rId1230"/>
    <hyperlink ref="R772" r:id="rId1231"/>
    <hyperlink ref="R773" r:id="rId1232"/>
    <hyperlink ref="R774" r:id="rId1233"/>
    <hyperlink ref="P775" r:id="rId1234"/>
    <hyperlink ref="R775" r:id="rId1235"/>
    <hyperlink ref="P776" r:id="rId1236"/>
    <hyperlink ref="R776" r:id="rId1237"/>
    <hyperlink ref="P777" r:id="rId1238"/>
    <hyperlink ref="R777" r:id="rId1239"/>
    <hyperlink ref="P778" r:id="rId1240"/>
    <hyperlink ref="R778" r:id="rId1241"/>
    <hyperlink ref="P779" r:id="rId1242"/>
    <hyperlink ref="R779" r:id="rId1243"/>
    <hyperlink ref="R780" r:id="rId1244"/>
    <hyperlink ref="P781" r:id="rId1245"/>
    <hyperlink ref="R781" r:id="rId1246"/>
    <hyperlink ref="P782" r:id="rId1247"/>
    <hyperlink ref="R782" r:id="rId1248"/>
    <hyperlink ref="R783" r:id="rId1249"/>
    <hyperlink ref="R784" r:id="rId1250"/>
    <hyperlink ref="P785" r:id="rId1251"/>
    <hyperlink ref="R785" r:id="rId1252"/>
    <hyperlink ref="P786" r:id="rId1253"/>
    <hyperlink ref="R786" r:id="rId1254"/>
    <hyperlink ref="P787" r:id="rId1255"/>
    <hyperlink ref="R787" r:id="rId1256"/>
    <hyperlink ref="R788" r:id="rId1257"/>
    <hyperlink ref="P789" r:id="rId1258"/>
    <hyperlink ref="R789" r:id="rId1259"/>
    <hyperlink ref="P790" r:id="rId1260"/>
    <hyperlink ref="R790" r:id="rId1261"/>
    <hyperlink ref="R792" r:id="rId1262"/>
    <hyperlink ref="P794" r:id="rId1263"/>
    <hyperlink ref="R794" r:id="rId1264"/>
    <hyperlink ref="P795" r:id="rId1265"/>
    <hyperlink ref="R795" r:id="rId1266"/>
    <hyperlink ref="R796" r:id="rId1267"/>
    <hyperlink ref="P796" r:id="rId1268"/>
    <hyperlink ref="R798" r:id="rId1269"/>
    <hyperlink ref="P799" r:id="rId1270"/>
    <hyperlink ref="R799" r:id="rId1271"/>
    <hyperlink ref="P792" r:id="rId1272"/>
    <hyperlink ref="R791" r:id="rId1273"/>
    <hyperlink ref="P800" r:id="rId1274"/>
    <hyperlink ref="R800" r:id="rId1275"/>
    <hyperlink ref="R801" r:id="rId1276"/>
    <hyperlink ref="P802" r:id="rId1277"/>
    <hyperlink ref="R802" r:id="rId1278"/>
    <hyperlink ref="P803" r:id="rId1279"/>
    <hyperlink ref="R803" r:id="rId1280"/>
    <hyperlink ref="R804" r:id="rId1281"/>
    <hyperlink ref="P805" r:id="rId1282"/>
    <hyperlink ref="P806" r:id="rId1283"/>
    <hyperlink ref="R805" r:id="rId1284"/>
    <hyperlink ref="P807" r:id="rId1285"/>
    <hyperlink ref="R807" r:id="rId1286"/>
    <hyperlink ref="P797" r:id="rId1287" display="../../../../Projects/Neustar/BHN/Build&amp;Release/Release For IT/Test_Build_3.5.37/Server CD/MPE/Setup"/>
    <hyperlink ref="R797" r:id="rId1288" display="../../../../Projects/Neustar/BHN/Build&amp;Release/Release For Test/Test_Build_3.5.37/Server CD/MPE/Setup"/>
    <hyperlink ref="R808" r:id="rId1289"/>
    <hyperlink ref="P809" r:id="rId1290"/>
    <hyperlink ref="R809" r:id="rId1291"/>
    <hyperlink ref="P810" r:id="rId1292"/>
    <hyperlink ref="R810" r:id="rId1293"/>
    <hyperlink ref="R806" r:id="rId1294"/>
    <hyperlink ref="P811" r:id="rId1295"/>
    <hyperlink ref="R811" r:id="rId1296"/>
    <hyperlink ref="R812" r:id="rId1297"/>
    <hyperlink ref="P813" r:id="rId1298"/>
    <hyperlink ref="R813" r:id="rId1299"/>
    <hyperlink ref="R814" r:id="rId1300"/>
    <hyperlink ref="P815" r:id="rId1301"/>
    <hyperlink ref="R815" r:id="rId1302"/>
    <hyperlink ref="P816" r:id="rId1303"/>
    <hyperlink ref="R816" r:id="rId1304"/>
    <hyperlink ref="P817" r:id="rId1305"/>
    <hyperlink ref="R817" r:id="rId1306"/>
    <hyperlink ref="R818" r:id="rId1307"/>
    <hyperlink ref="P819" r:id="rId1308"/>
    <hyperlink ref="R819" r:id="rId1309"/>
    <hyperlink ref="R820" r:id="rId1310"/>
    <hyperlink ref="P821" r:id="rId1311"/>
    <hyperlink ref="R821" r:id="rId1312"/>
    <hyperlink ref="P822" r:id="rId1313"/>
    <hyperlink ref="R822" r:id="rId1314"/>
    <hyperlink ref="R823" r:id="rId1315"/>
    <hyperlink ref="R824" r:id="rId1316"/>
    <hyperlink ref="P825" r:id="rId1317"/>
    <hyperlink ref="R825" r:id="rId1318"/>
    <hyperlink ref="P826" r:id="rId1319"/>
    <hyperlink ref="R826" r:id="rId1320"/>
    <hyperlink ref="P827" r:id="rId1321"/>
    <hyperlink ref="R827" r:id="rId1322"/>
    <hyperlink ref="R828" r:id="rId1323"/>
    <hyperlink ref="P829" r:id="rId1324"/>
    <hyperlink ref="R829" r:id="rId1325"/>
    <hyperlink ref="P830" r:id="rId1326"/>
    <hyperlink ref="R830" r:id="rId1327"/>
    <hyperlink ref="R831" r:id="rId1328"/>
    <hyperlink ref="R832" r:id="rId1329"/>
    <hyperlink ref="P833" r:id="rId1330"/>
    <hyperlink ref="R833" r:id="rId1331"/>
    <hyperlink ref="P834" r:id="rId1332"/>
    <hyperlink ref="R834" r:id="rId1333"/>
    <hyperlink ref="R835" r:id="rId1334"/>
    <hyperlink ref="P836" r:id="rId1335"/>
    <hyperlink ref="R836" r:id="rId1336"/>
    <hyperlink ref="P837" r:id="rId1337"/>
    <hyperlink ref="R837" r:id="rId1338"/>
    <hyperlink ref="P838" r:id="rId1339"/>
    <hyperlink ref="R838" r:id="rId1340"/>
    <hyperlink ref="R839" r:id="rId1341"/>
    <hyperlink ref="R840" r:id="rId1342"/>
    <hyperlink ref="P841" r:id="rId1343"/>
    <hyperlink ref="R841" r:id="rId1344"/>
    <hyperlink ref="P842" r:id="rId1345"/>
    <hyperlink ref="R842" r:id="rId1346"/>
    <hyperlink ref="R843" r:id="rId1347"/>
    <hyperlink ref="R844" r:id="rId1348"/>
    <hyperlink ref="R845" r:id="rId1349"/>
    <hyperlink ref="R846" r:id="rId1350"/>
    <hyperlink ref="R847" r:id="rId1351"/>
    <hyperlink ref="R848" r:id="rId1352"/>
    <hyperlink ref="P849" r:id="rId1353"/>
    <hyperlink ref="R849" r:id="rId1354"/>
    <hyperlink ref="P850" r:id="rId1355"/>
    <hyperlink ref="R850" r:id="rId1356"/>
    <hyperlink ref="R851" r:id="rId1357"/>
    <hyperlink ref="P852" r:id="rId1358"/>
    <hyperlink ref="R852" r:id="rId1359"/>
    <hyperlink ref="P853" r:id="rId1360"/>
    <hyperlink ref="R853" r:id="rId1361"/>
    <hyperlink ref="P854" r:id="rId1362"/>
    <hyperlink ref="R854" r:id="rId1363"/>
    <hyperlink ref="R855" r:id="rId1364"/>
    <hyperlink ref="P856" r:id="rId1365"/>
    <hyperlink ref="R856" r:id="rId1366"/>
    <hyperlink ref="P857" r:id="rId1367"/>
    <hyperlink ref="R857" r:id="rId1368"/>
    <hyperlink ref="R858" r:id="rId1369"/>
    <hyperlink ref="P859" r:id="rId1370"/>
    <hyperlink ref="R859" r:id="rId1371"/>
    <hyperlink ref="R860" r:id="rId1372"/>
    <hyperlink ref="R861" r:id="rId1373"/>
    <hyperlink ref="R862" r:id="rId1374"/>
    <hyperlink ref="R863" r:id="rId1375"/>
    <hyperlink ref="P864" r:id="rId1376"/>
    <hyperlink ref="R864" r:id="rId1377"/>
    <hyperlink ref="P865" r:id="rId1378"/>
    <hyperlink ref="R865" r:id="rId1379"/>
    <hyperlink ref="P866" r:id="rId1380"/>
    <hyperlink ref="R866" r:id="rId1381"/>
    <hyperlink ref="R867" r:id="rId1382"/>
    <hyperlink ref="R868" r:id="rId1383"/>
    <hyperlink ref="R869" r:id="rId1384" display="\\192.168.3.3\Share\Releases\Product\MPE_3.2\ReleaseForLQA\TestBuild_3.2.1\Build2\ServerCD\Setup\RHEL_5.1"/>
    <hyperlink ref="P870" r:id="rId1385"/>
    <hyperlink ref="R870" r:id="rId1386"/>
    <hyperlink ref="R871" r:id="rId1387"/>
    <hyperlink ref="P872" r:id="rId1388"/>
    <hyperlink ref="R872" r:id="rId1389"/>
    <hyperlink ref="P873" r:id="rId1390"/>
    <hyperlink ref="R873" r:id="rId1391"/>
    <hyperlink ref="P874" r:id="rId1392"/>
    <hyperlink ref="P875" r:id="rId1393"/>
    <hyperlink ref="R875" r:id="rId1394"/>
    <hyperlink ref="R874" r:id="rId1395"/>
    <hyperlink ref="P876" r:id="rId1396"/>
    <hyperlink ref="R876" r:id="rId1397"/>
    <hyperlink ref="R877" r:id="rId1398"/>
    <hyperlink ref="R878" r:id="rId1399"/>
    <hyperlink ref="P879" r:id="rId1400"/>
    <hyperlink ref="R879" r:id="rId1401"/>
    <hyperlink ref="R880" r:id="rId1402"/>
    <hyperlink ref="P881" r:id="rId1403"/>
    <hyperlink ref="R881" r:id="rId1404"/>
    <hyperlink ref="P882" r:id="rId1405"/>
    <hyperlink ref="R883" r:id="rId1406"/>
    <hyperlink ref="R884" r:id="rId1407"/>
    <hyperlink ref="R885" r:id="rId1408"/>
    <hyperlink ref="P886" r:id="rId1409"/>
    <hyperlink ref="R886" r:id="rId1410"/>
    <hyperlink ref="R887" r:id="rId1411"/>
    <hyperlink ref="P888" r:id="rId1412"/>
    <hyperlink ref="R888" r:id="rId1413"/>
    <hyperlink ref="P889" r:id="rId1414"/>
    <hyperlink ref="R889" r:id="rId1415"/>
    <hyperlink ref="P890" r:id="rId1416"/>
    <hyperlink ref="R890" r:id="rId1417"/>
    <hyperlink ref="P891" r:id="rId1418"/>
    <hyperlink ref="R891" r:id="rId1419"/>
    <hyperlink ref="R892" r:id="rId1420"/>
    <hyperlink ref="P893" r:id="rId1421"/>
    <hyperlink ref="R893" r:id="rId1422"/>
    <hyperlink ref="P895" r:id="rId1423"/>
    <hyperlink ref="R895" r:id="rId1424"/>
    <hyperlink ref="R894" r:id="rId1425"/>
    <hyperlink ref="R896" r:id="rId1426"/>
    <hyperlink ref="P897" r:id="rId1427"/>
    <hyperlink ref="R897" r:id="rId1428"/>
    <hyperlink ref="P898" r:id="rId1429"/>
    <hyperlink ref="R898" r:id="rId1430"/>
    <hyperlink ref="R899" r:id="rId1431" display="\\192.168.3.3\Share\Releases\Product\WEB_WFS\Build&amp;Release\Release"/>
    <hyperlink ref="R900" r:id="rId1432"/>
    <hyperlink ref="P901" r:id="rId1433"/>
    <hyperlink ref="R901" r:id="rId1434"/>
    <hyperlink ref="P902" r:id="rId1435"/>
    <hyperlink ref="R902" r:id="rId1436"/>
    <hyperlink ref="R903" r:id="rId1437"/>
    <hyperlink ref="P904" r:id="rId1438"/>
    <hyperlink ref="R904" r:id="rId1439"/>
    <hyperlink ref="P905" r:id="rId1440"/>
    <hyperlink ref="R905" r:id="rId1441"/>
    <hyperlink ref="R906" r:id="rId1442"/>
    <hyperlink ref="P907" r:id="rId1443"/>
    <hyperlink ref="R907" r:id="rId1444"/>
    <hyperlink ref="P908" r:id="rId1445"/>
    <hyperlink ref="R908" r:id="rId1446"/>
    <hyperlink ref="R909" r:id="rId1447"/>
    <hyperlink ref="P910" r:id="rId1448"/>
    <hyperlink ref="R910" r:id="rId1449"/>
    <hyperlink ref="R911" r:id="rId1450"/>
    <hyperlink ref="P912" r:id="rId1451"/>
    <hyperlink ref="R912" r:id="rId1452"/>
    <hyperlink ref="P913" r:id="rId1453"/>
    <hyperlink ref="R913" r:id="rId1454"/>
    <hyperlink ref="R914" r:id="rId1455"/>
    <hyperlink ref="P915" r:id="rId1456"/>
    <hyperlink ref="R915" r:id="rId1457"/>
    <hyperlink ref="P916" r:id="rId1458"/>
    <hyperlink ref="R916" r:id="rId1459"/>
    <hyperlink ref="R917" r:id="rId1460"/>
    <hyperlink ref="R918" r:id="rId1461"/>
    <hyperlink ref="P919" r:id="rId1462"/>
    <hyperlink ref="R919" r:id="rId1463"/>
    <hyperlink ref="P920" r:id="rId1464"/>
    <hyperlink ref="R920" r:id="rId1465"/>
    <hyperlink ref="P921" r:id="rId1466"/>
    <hyperlink ref="R921" r:id="rId1467"/>
    <hyperlink ref="R922" r:id="rId1468"/>
    <hyperlink ref="P923" r:id="rId1469"/>
    <hyperlink ref="R923" r:id="rId1470"/>
    <hyperlink ref="P924" r:id="rId1471"/>
    <hyperlink ref="R924" r:id="rId1472"/>
    <hyperlink ref="R925" r:id="rId1473"/>
    <hyperlink ref="P926" r:id="rId1474"/>
    <hyperlink ref="R926" r:id="rId1475"/>
    <hyperlink ref="R927" r:id="rId1476"/>
    <hyperlink ref="R928" r:id="rId1477"/>
    <hyperlink ref="R929" r:id="rId1478"/>
    <hyperlink ref="R930" r:id="rId1479"/>
    <hyperlink ref="R931" r:id="rId1480"/>
    <hyperlink ref="P932" r:id="rId1481"/>
    <hyperlink ref="R932" r:id="rId1482"/>
    <hyperlink ref="P933" r:id="rId1483"/>
    <hyperlink ref="R933" r:id="rId1484"/>
    <hyperlink ref="P934" r:id="rId1485"/>
    <hyperlink ref="R934" r:id="rId1486"/>
    <hyperlink ref="R935" r:id="rId1487"/>
    <hyperlink ref="P936" r:id="rId1488"/>
    <hyperlink ref="R936" r:id="rId1489"/>
    <hyperlink ref="P937" r:id="rId1490"/>
    <hyperlink ref="R937" r:id="rId1491"/>
    <hyperlink ref="R882" r:id="rId1492"/>
    <hyperlink ref="R938" r:id="rId1493"/>
    <hyperlink ref="R939" r:id="rId1494"/>
    <hyperlink ref="R940" r:id="rId1495"/>
    <hyperlink ref="P941" r:id="rId1496"/>
    <hyperlink ref="R941" r:id="rId1497"/>
    <hyperlink ref="P942" r:id="rId1498"/>
    <hyperlink ref="R942" r:id="rId1499"/>
    <hyperlink ref="P943" r:id="rId1500"/>
    <hyperlink ref="R943" r:id="rId1501"/>
    <hyperlink ref="R944" r:id="rId1502"/>
    <hyperlink ref="P945" r:id="rId1503"/>
    <hyperlink ref="R945" r:id="rId1504"/>
    <hyperlink ref="P946" r:id="rId1505"/>
    <hyperlink ref="R946" r:id="rId1506"/>
    <hyperlink ref="P951" r:id="rId1507"/>
    <hyperlink ref="R951" r:id="rId1508"/>
    <hyperlink ref="R952" r:id="rId1509"/>
    <hyperlink ref="P953" r:id="rId1510"/>
    <hyperlink ref="R953" r:id="rId1511"/>
    <hyperlink ref="R954" r:id="rId1512"/>
    <hyperlink ref="P955" r:id="rId1513"/>
    <hyperlink ref="R955" r:id="rId1514"/>
    <hyperlink ref="P956" r:id="rId1515"/>
    <hyperlink ref="R956" r:id="rId1516"/>
    <hyperlink ref="P957" r:id="rId1517"/>
    <hyperlink ref="R957" r:id="rId1518"/>
    <hyperlink ref="R958" r:id="rId1519"/>
    <hyperlink ref="P959" r:id="rId1520"/>
    <hyperlink ref="R959" r:id="rId1521"/>
    <hyperlink ref="R960" r:id="rId1522"/>
    <hyperlink ref="P947" r:id="rId1523"/>
    <hyperlink ref="R947" r:id="rId1524"/>
    <hyperlink ref="R950" r:id="rId1525" display="../../../../Releases/Projects/DRC/Release_For_LQA/Test_Build_1.0.0.3/Server CD/MPE/Setup"/>
    <hyperlink ref="R949" r:id="rId1526" display="../../../../Releases/Product/CSGUI_2.6/Build&amp;Release/Release_For_LQA/Test_Build_1.0.1/Server CD/GUI/Setup"/>
    <hyperlink ref="R948" r:id="rId1527" display="../../../../Releases/Product/WEB_WFS/Build&amp;Release/Release For Test/TestBuild_2.2.1/Build4/ServerCD/GUI/Setup"/>
    <hyperlink ref="R961" r:id="rId1528"/>
    <hyperlink ref="P962" r:id="rId1529"/>
    <hyperlink ref="R962" r:id="rId1530"/>
    <hyperlink ref="P964" r:id="rId1531"/>
    <hyperlink ref="R964" r:id="rId1532"/>
    <hyperlink ref="P965" r:id="rId1533"/>
    <hyperlink ref="R965" r:id="rId1534"/>
    <hyperlink ref="R966" r:id="rId1535"/>
    <hyperlink ref="R967" r:id="rId1536"/>
    <hyperlink ref="P968" r:id="rId1537"/>
    <hyperlink ref="R968" r:id="rId1538"/>
    <hyperlink ref="P969" r:id="rId1539"/>
    <hyperlink ref="R969" r:id="rId1540"/>
    <hyperlink ref="P970" r:id="rId1541"/>
    <hyperlink ref="R970" r:id="rId1542"/>
    <hyperlink ref="P971" r:id="rId1543"/>
    <hyperlink ref="R971" r:id="rId1544"/>
    <hyperlink ref="P972" r:id="rId1545"/>
    <hyperlink ref="R972" r:id="rId1546"/>
    <hyperlink ref="P973" r:id="rId1547"/>
    <hyperlink ref="R973" r:id="rId1548"/>
    <hyperlink ref="P974" r:id="rId1549"/>
    <hyperlink ref="R974" r:id="rId1550"/>
    <hyperlink ref="P975" r:id="rId1551"/>
    <hyperlink ref="R975" r:id="rId1552"/>
    <hyperlink ref="P976" r:id="rId1553"/>
    <hyperlink ref="R976" r:id="rId1554"/>
    <hyperlink ref="P977" r:id="rId1555"/>
    <hyperlink ref="R977" r:id="rId1556"/>
    <hyperlink ref="P978" r:id="rId1557"/>
    <hyperlink ref="R978" r:id="rId1558"/>
    <hyperlink ref="R979" r:id="rId1559"/>
    <hyperlink ref="P980" r:id="rId1560"/>
    <hyperlink ref="R980" r:id="rId1561"/>
    <hyperlink ref="R981" r:id="rId1562"/>
    <hyperlink ref="P982" r:id="rId1563"/>
    <hyperlink ref="R982" r:id="rId1564"/>
    <hyperlink ref="P983" r:id="rId1565"/>
    <hyperlink ref="R983" r:id="rId1566"/>
    <hyperlink ref="P984" r:id="rId1567"/>
    <hyperlink ref="P985" r:id="rId1568"/>
    <hyperlink ref="P986" r:id="rId1569"/>
    <hyperlink ref="R986" r:id="rId1570"/>
    <hyperlink ref="P987" r:id="rId1571"/>
    <hyperlink ref="R987" r:id="rId1572"/>
    <hyperlink ref="P988" r:id="rId1573"/>
    <hyperlink ref="R988" r:id="rId1574"/>
    <hyperlink ref="P989" r:id="rId1575"/>
    <hyperlink ref="R989" r:id="rId1576"/>
    <hyperlink ref="P990" r:id="rId1577"/>
    <hyperlink ref="R990" r:id="rId1578"/>
    <hyperlink ref="P991" r:id="rId1579"/>
    <hyperlink ref="R991" r:id="rId1580"/>
    <hyperlink ref="P992" r:id="rId1581"/>
    <hyperlink ref="R992" r:id="rId1582"/>
    <hyperlink ref="R985" r:id="rId1583"/>
    <hyperlink ref="R984" r:id="rId1584"/>
    <hyperlink ref="P993" r:id="rId1585"/>
    <hyperlink ref="R993" r:id="rId1586"/>
    <hyperlink ref="P994" r:id="rId1587"/>
    <hyperlink ref="R994" r:id="rId1588"/>
    <hyperlink ref="P995" r:id="rId1589"/>
    <hyperlink ref="R995" r:id="rId1590"/>
    <hyperlink ref="R996" r:id="rId1591"/>
    <hyperlink ref="P997" r:id="rId1592"/>
    <hyperlink ref="R997" r:id="rId1593"/>
    <hyperlink ref="R998" r:id="rId1594"/>
    <hyperlink ref="R999" r:id="rId1595"/>
    <hyperlink ref="P1000" r:id="rId1596"/>
    <hyperlink ref="R1000" r:id="rId1597"/>
    <hyperlink ref="R1001" r:id="rId1598"/>
    <hyperlink ref="P1002" r:id="rId1599"/>
    <hyperlink ref="R1002" r:id="rId1600"/>
    <hyperlink ref="P1003" r:id="rId1601"/>
    <hyperlink ref="R1003" r:id="rId1602"/>
    <hyperlink ref="P1004" r:id="rId1603"/>
    <hyperlink ref="R1004" r:id="rId1604"/>
    <hyperlink ref="R1005" r:id="rId1605"/>
    <hyperlink ref="P1006" r:id="rId1606"/>
    <hyperlink ref="R1006" r:id="rId1607"/>
    <hyperlink ref="P1007" r:id="rId1608"/>
    <hyperlink ref="R1007" r:id="rId1609"/>
    <hyperlink ref="R1008" r:id="rId1610"/>
    <hyperlink ref="P1009" r:id="rId1611"/>
    <hyperlink ref="R1009" r:id="rId1612"/>
    <hyperlink ref="R1010" r:id="rId1613"/>
    <hyperlink ref="R1011" r:id="rId1614"/>
    <hyperlink ref="P1012" r:id="rId1615"/>
    <hyperlink ref="R1012" r:id="rId1616"/>
    <hyperlink ref="P1013" r:id="rId1617"/>
    <hyperlink ref="R1013" r:id="rId1618"/>
    <hyperlink ref="R1014" r:id="rId1619" display="../../../../Releases/Projects/TWC/Release_For_Test/Test_Build_1.0.0.4/Server CD/MPE/Setup"/>
    <hyperlink ref="P1015" r:id="rId1620"/>
    <hyperlink ref="R1015" r:id="rId1621"/>
    <hyperlink ref="R1016" r:id="rId1622" display="../../../../Releases/Projects/Telstra-2b/Release_For_Test/Test_Build_1.0.0.1/Server CD/MPE/Setup"/>
    <hyperlink ref="R1017" r:id="rId1623"/>
    <hyperlink ref="R1018" r:id="rId1624"/>
    <hyperlink ref="P1019" r:id="rId1625"/>
    <hyperlink ref="R1019" r:id="rId1626"/>
    <hyperlink ref="P1020" r:id="rId1627"/>
    <hyperlink ref="R1020" r:id="rId1628"/>
    <hyperlink ref="P1021" r:id="rId1629"/>
    <hyperlink ref="R1021" r:id="rId1630"/>
    <hyperlink ref="P1022" r:id="rId1631"/>
    <hyperlink ref="R1022" r:id="rId1632"/>
    <hyperlink ref="P1023" r:id="rId1633"/>
    <hyperlink ref="R1023" r:id="rId1634"/>
    <hyperlink ref="P1024" r:id="rId1635"/>
    <hyperlink ref="R1024" r:id="rId1636"/>
    <hyperlink ref="P1025" r:id="rId1637"/>
    <hyperlink ref="R1025" r:id="rId1638"/>
    <hyperlink ref="P1026" r:id="rId1639"/>
    <hyperlink ref="R1026" r:id="rId1640"/>
    <hyperlink ref="P1027" r:id="rId1641"/>
    <hyperlink ref="R1027" r:id="rId1642"/>
    <hyperlink ref="P1028" r:id="rId1643"/>
    <hyperlink ref="R1028" r:id="rId1644"/>
    <hyperlink ref="P1029" r:id="rId1645"/>
    <hyperlink ref="R1029" r:id="rId1646"/>
    <hyperlink ref="R1030" r:id="rId1647"/>
    <hyperlink ref="P1031" r:id="rId1648"/>
    <hyperlink ref="R1031" r:id="rId1649"/>
    <hyperlink ref="P1032" r:id="rId1650"/>
    <hyperlink ref="R1032" r:id="rId1651"/>
    <hyperlink ref="R1033" r:id="rId1652"/>
    <hyperlink ref="R963" r:id="rId1653"/>
    <hyperlink ref="P1034" r:id="rId1654"/>
    <hyperlink ref="R1034" r:id="rId1655"/>
    <hyperlink ref="P1035" r:id="rId1656" display="../../../../Releases/Projects/SLT/Release_For_IT/Test_Build_1.0.0.4/Server CD/DBS/Setup"/>
    <hyperlink ref="R1035" r:id="rId1657" display="../../../../Releases/Projects/SLT/Release_For_LQA/Test_Build_1.0.0.24/Server CD/DBS/Setup"/>
    <hyperlink ref="P1036" r:id="rId1658" display="../../../../Releases/Projects/SLT/Release_For_IT/Test_Build_1.0.0.4/Server CD/DBS/Setup"/>
    <hyperlink ref="R1036" r:id="rId1659" display="../../../../Releases/Projects/SLT/Release_For_LQA/Test_Build_1.0.0.24/Server CD/DBS/Setup"/>
    <hyperlink ref="P1037" r:id="rId1660" display="../../../../Releases/Projects/SLT/Release_For_IT/Test_Build_1.0.0.4/Server CD/DBS/Setup"/>
    <hyperlink ref="R1037" r:id="rId1661" display="../../../../Releases/Projects/SLT/Release_For_LQA/Test_Build_1.0.0.24/Server CD/DBS/Setup"/>
    <hyperlink ref="P1038" r:id="rId1662"/>
    <hyperlink ref="R1038" r:id="rId1663"/>
    <hyperlink ref="P1039" r:id="rId1664"/>
    <hyperlink ref="R1039" r:id="rId1665"/>
    <hyperlink ref="P1040" r:id="rId1666" display="../../../../Releases/Projects/SLT/Release_For_IT/Test_Build_1.0.0.4/Server CD/DBS/Setup"/>
    <hyperlink ref="R1040" r:id="rId1667" display="../../../../Releases/Projects/TLSTR-ST/Release_For_Test/Test_Build_1.0.1/Server CD/MPE/Setup"/>
    <hyperlink ref="R1041" r:id="rId1668" display="../../../../Releases/Projects/TLSTR-ST/Release_For_Test/Test_Build_1.0.1/Server CD/MPE/Setup"/>
    <hyperlink ref="P1042" r:id="rId1669" display="../../../../Releases/Projects/Telenet/Build&amp;Release/Release For IT/Test_Build_4.0.41/Server CD/Database/Setup"/>
    <hyperlink ref="R1042" r:id="rId1670" display="../../../../Releases/Projects/Telenet/Build&amp;Release/Release For Test/Test_Build_4.0.41/Server CD/Database/Setup"/>
    <hyperlink ref="P1043" r:id="rId1671"/>
    <hyperlink ref="R1043" r:id="rId1672"/>
    <hyperlink ref="R1044" r:id="rId1673"/>
    <hyperlink ref="P1045" r:id="rId1674"/>
    <hyperlink ref="R1045" r:id="rId1675"/>
    <hyperlink ref="P1046" r:id="rId1676"/>
    <hyperlink ref="R1046" r:id="rId1677"/>
    <hyperlink ref="P1047" r:id="rId1678"/>
    <hyperlink ref="R1047" r:id="rId1679"/>
    <hyperlink ref="P1048" r:id="rId1680"/>
    <hyperlink ref="R1048" r:id="rId1681"/>
    <hyperlink ref="P1049" r:id="rId1682" display="../../../../Projects/Neustar/BHN/Build&amp;Release/Release For IT/Test_Build_3.5.37/Server CD/Database/Setup"/>
    <hyperlink ref="R1049" r:id="rId1683" display="../../../../Projects/Neustar/BHN/Build&amp;Release/Release For Test/Test_Build_3.5.37/Server CD/Database/Setup"/>
    <hyperlink ref="R1050" r:id="rId1684" display="../../../../Releases/Projects/SLT-1B/Release_For_Test/Test_Build_1.0.0.1/Server CD/MPE/Setup"/>
    <hyperlink ref="R1051" r:id="rId1685" display="../../../../Releases/Projects/TLSTR-ST/Release_For_Test/Test_Build_1.0.1/Server CD/MPE/Setup"/>
    <hyperlink ref="P1052" r:id="rId1686" display="../../../../Releases/Projects/SLT/Release_For_IT/Test_Build_1.0.0.4/Server CD/DBS/Setup"/>
    <hyperlink ref="R1052" r:id="rId1687" display="../../../../Releases/Projects/SLT/Release_For_LQA/Test_Build_1.0.0.24/Server CD/DBS/Setup"/>
    <hyperlink ref="P1053" r:id="rId1688" display="../../../../Releases/Projects/SLT/Release_For_IT/Test_Build_1.0.0.4/Server CD/DBS/Setup"/>
    <hyperlink ref="R1053" r:id="rId1689" display="../../../../Releases/Projects/SLT/Release_For_LQA/Test_Build_1.0.0.24/Server CD/DBS/Setup"/>
    <hyperlink ref="P1054" r:id="rId1690" display="../../../../Releases/Projects/SLT/Release_For_IT/Test_Build_1.0.0.4/Server CD/DBS/Setup"/>
    <hyperlink ref="R1054" r:id="rId1691" display="../../../../Releases/Projects/SLT/Release_For_LQA/Test_Build_1.0.0.24/Server CD/DBS/Setup"/>
    <hyperlink ref="P1055" r:id="rId1692" display="../../../../Releases/Projects/SLT/Release_For_IT/Test_Build_1.0.0.4/Server CD/DBS/Setup"/>
    <hyperlink ref="R1055" r:id="rId1693" display="../../../../Releases/Projects/SLT/Release_For_LQA/Test_Build_1.0.0.24/Server CD/DBS/Setup"/>
    <hyperlink ref="P1056" r:id="rId1694"/>
    <hyperlink ref="R1056" r:id="rId1695"/>
    <hyperlink ref="P1057" r:id="rId1696"/>
    <hyperlink ref="R1057" r:id="rId1697"/>
    <hyperlink ref="P1058" r:id="rId1698"/>
    <hyperlink ref="R1058" r:id="rId1699"/>
    <hyperlink ref="P1059" r:id="rId1700" display="../../../../Releases/Projects/TWC/Release_For_Test/Test_Build_1.0.0.4/Server CD/DBS/Setup"/>
    <hyperlink ref="R1059" r:id="rId1701" display="../../../../Releases/Projects/TWC/Release_For_IT/Test_Build_1.0.0.3/Server CD/DBS/Setup"/>
    <hyperlink ref="R1060" r:id="rId1702"/>
    <hyperlink ref="P1061" r:id="rId1703"/>
    <hyperlink ref="R1061" r:id="rId1704"/>
    <hyperlink ref="R1062" r:id="rId1705"/>
    <hyperlink ref="P1063" r:id="rId1706"/>
    <hyperlink ref="R1063" r:id="rId1707"/>
    <hyperlink ref="P1064" r:id="rId1708"/>
    <hyperlink ref="R1064" r:id="rId1709"/>
    <hyperlink ref="P1065" r:id="rId1710"/>
    <hyperlink ref="R1065" r:id="rId1711"/>
    <hyperlink ref="P1066" r:id="rId1712"/>
    <hyperlink ref="R1066" r:id="rId1713"/>
    <hyperlink ref="P1067" r:id="rId1714"/>
    <hyperlink ref="R1067" r:id="rId1715"/>
    <hyperlink ref="P1068" r:id="rId1716"/>
    <hyperlink ref="R1068" r:id="rId1717"/>
    <hyperlink ref="R1069" r:id="rId1718"/>
    <hyperlink ref="R1070" r:id="rId1719"/>
    <hyperlink ref="P1070" r:id="rId1720"/>
    <hyperlink ref="P1071" r:id="rId1721"/>
    <hyperlink ref="R1071" r:id="rId1722"/>
    <hyperlink ref="R1072" r:id="rId1723"/>
    <hyperlink ref="P1073" r:id="rId1724"/>
    <hyperlink ref="R1073" r:id="rId1725"/>
    <hyperlink ref="P1074" r:id="rId1726"/>
    <hyperlink ref="R1074" r:id="rId1727"/>
    <hyperlink ref="P1075" r:id="rId1728"/>
    <hyperlink ref="R1075" r:id="rId1729"/>
    <hyperlink ref="R1076" r:id="rId1730"/>
    <hyperlink ref="R1077" r:id="rId1731"/>
    <hyperlink ref="P1078" r:id="rId1732"/>
    <hyperlink ref="R1078" r:id="rId1733"/>
    <hyperlink ref="P1079" r:id="rId1734"/>
    <hyperlink ref="R1079" r:id="rId1735"/>
    <hyperlink ref="R1080" r:id="rId1736"/>
    <hyperlink ref="P1081" r:id="rId1737"/>
    <hyperlink ref="R1081" r:id="rId1738"/>
    <hyperlink ref="P1082" r:id="rId1739"/>
    <hyperlink ref="R1082" r:id="rId1740"/>
    <hyperlink ref="R1083" r:id="rId1741"/>
    <hyperlink ref="R1084" r:id="rId1742"/>
    <hyperlink ref="R1085" r:id="rId1743"/>
    <hyperlink ref="R1086" r:id="rId1744"/>
    <hyperlink ref="R1087" r:id="rId1745"/>
    <hyperlink ref="P1088" r:id="rId1746"/>
    <hyperlink ref="R1088" r:id="rId1747"/>
    <hyperlink ref="P1089" r:id="rId1748"/>
    <hyperlink ref="R1089" r:id="rId1749"/>
    <hyperlink ref="P1090" r:id="rId1750"/>
    <hyperlink ref="R1090" r:id="rId1751"/>
    <hyperlink ref="P1091" r:id="rId1752"/>
    <hyperlink ref="R1091" r:id="rId1753"/>
    <hyperlink ref="P1092" r:id="rId1754"/>
    <hyperlink ref="R1092" r:id="rId1755"/>
    <hyperlink ref="P1093" r:id="rId1756"/>
    <hyperlink ref="R1093" r:id="rId1757"/>
    <hyperlink ref="P1094" r:id="rId1758"/>
    <hyperlink ref="R1094" r:id="rId1759"/>
    <hyperlink ref="P1095" r:id="rId1760"/>
    <hyperlink ref="R1095" r:id="rId1761"/>
    <hyperlink ref="P1096" r:id="rId1762"/>
    <hyperlink ref="R1096" r:id="rId1763"/>
    <hyperlink ref="P1097" r:id="rId1764" display="../../../../Releases/Projects/SLT/Release_For_IT/Test_Build_1.0.0.4/Server CD/DBS/Setup"/>
    <hyperlink ref="R1097" r:id="rId1765" display="../../../../Releases/Projects/SLT/Release_For_LQA/Test_Build_1.0.0.24/Server CD/DBS/Setup"/>
    <hyperlink ref="P1098" r:id="rId1766"/>
    <hyperlink ref="R1098" r:id="rId1767"/>
    <hyperlink ref="R1099" r:id="rId1768" display="../../../../Releases/Product/Netmind_4.7/Build&amp;Release/Release_For_LQA/Test_Build_1.0.1/Server CD/DBS/Setup"/>
    <hyperlink ref="R1100" r:id="rId1769" display="../../../../Releases/Projects/BHN/Release_For_Test/Test_Build_1.0.1/Server CD/DBS/Setup"/>
    <hyperlink ref="P1101" r:id="rId1770"/>
    <hyperlink ref="R1101" r:id="rId1771"/>
    <hyperlink ref="R1102" r:id="rId1772"/>
    <hyperlink ref="P1103" r:id="rId1773"/>
    <hyperlink ref="R1103" r:id="rId1774"/>
    <hyperlink ref="P1104" r:id="rId1775"/>
    <hyperlink ref="R1104" r:id="rId1776"/>
    <hyperlink ref="P1105" r:id="rId1777"/>
    <hyperlink ref="R1105" r:id="rId1778"/>
    <hyperlink ref="P1106" r:id="rId1779"/>
    <hyperlink ref="R1106" r:id="rId1780"/>
    <hyperlink ref="R1107" r:id="rId1781"/>
    <hyperlink ref="R1108" r:id="rId1782" display="../../../../Releases/Projects/BHN/Release_For_Test/Test_Build_1.0.2/Server CD/MPE/Setup"/>
    <hyperlink ref="R1109" r:id="rId1783" display="../../../../Releases/Projects/TWC/Release_For_Test/Test_Build_1.0.0.4/Server CD/MPE/Setup"/>
    <hyperlink ref="P1110" r:id="rId1784" display="../../../../Releases/Projects/Comcast/Release_For_IT/Test_Build_4.6.1/Server CD/Database/Setup"/>
    <hyperlink ref="R1110" r:id="rId1785" display="../../../../Releases/Projects/Comcast/Release_for_Test/Test_Build_4.6.6/Server CD/Database/Setup"/>
    <hyperlink ref="P1111" r:id="rId1786" display="../../../../Releases/Projects/Comcast/Release_For_IT/Test_Build_4.6.1/Server CD/Database/Setup"/>
    <hyperlink ref="R1111" r:id="rId1787" display="../../../../Releases/Projects/Comcast/Release_for_Test/Test_Build_4.6.6/Server CD/Database/Setup"/>
    <hyperlink ref="P1112" r:id="rId1788" display="../../../../Releases/Projects/SLT/Release_For_LQA/Test_Build_1.0.0.24/Server CD/DBS/Setup"/>
    <hyperlink ref="R1112" r:id="rId1789" display="../../../../Releases/Projects/SLT/Release_For_IT/Test_Build_1.0.0.4/Server CD/DBS/Setup"/>
    <hyperlink ref="P1113" r:id="rId1790" display="../../../../Releases/Projects/SLT/Release_For_LQA/Test_Build_1.0.0.24/Server CD/DBS/Setup"/>
    <hyperlink ref="R1113" r:id="rId1791" display="../../../../Releases/Projects/SLT/Release_For_IT/Test_Build_1.0.0.4/Server CD/DBS/Setup"/>
    <hyperlink ref="R1114" r:id="rId1792" display="../../../../Releases/Projects/TWC/Release_For_Test/Test_Build_1.0.0.4/Utility/Setup"/>
    <hyperlink ref="R1115" r:id="rId1793" display="../../../../Releases/Product/RT_4.0/ReleaseForLQA/TestBuild_4.0.24/GUI/Build1/Setup"/>
    <hyperlink ref="P1116" r:id="rId1794" display="../../../../Releases/Projects/TLSTR-ST/Release_For_IT/TestBuild_1.0.1/Server CD/DBS/Setup"/>
    <hyperlink ref="R1116" r:id="rId1795" display="../../../../Releases/Projects/TLSTR-ST/Release_For_Test/Test_Build_1.0.1/Server CD/DBS/Setup"/>
    <hyperlink ref="R1117" r:id="rId1796" display="../../../../Releases/Product/Netmind_4.7/Build&amp;Release/Release_For_LQA/Test_Build_1.0.1/Server CD/DBS/Setup"/>
    <hyperlink ref="R1118" r:id="rId1797" display="../../../../Releases/Projects/TLSTR-ST/Release_For_Test/Test_Build_1.0.1/Server CD/MPE/Setup"/>
    <hyperlink ref="P1119" r:id="rId1798" display="../../../../Releases/Projects/SLT/Release_For_IT/Test_Build_1.0.0.4/Server CD/DBS/Setup"/>
    <hyperlink ref="R1119" r:id="rId1799" display="../../../../Releases/Projects/SLT/Release_For_LQA/Test_Build_1.0.0.24/Server CD/DBS/Setup"/>
    <hyperlink ref="P1120" r:id="rId1800" display="../../../../Releases/Projects/SLT/Release_For_IT/Test_Build_1.0.0.4/Server CD/DBS/Setup"/>
    <hyperlink ref="R1120" r:id="rId1801" display="../../../../Releases/Projects/SLT/Release_For_LQA/Test_Build_1.0.0.24/Server CD/DBS/Setup"/>
    <hyperlink ref="R1121" r:id="rId1802" display="../../../../Releases/Projects/SLT-1B/Release_For_Test/Test_Build_1.0.0.1/Server CD/MPE/Setup"/>
    <hyperlink ref="R1122" r:id="rId1803" display="../../../../Releases/Product/AWF/Build&amp;Release/Release For Test/TestBuild_2.0.1/Setup"/>
    <hyperlink ref="P1123" r:id="rId1804" display="../../../../Releases/Projects/Comcast/Release_For_IT/Test_Build_4.6.1/Server CD/Database/Setup"/>
    <hyperlink ref="R1123" r:id="rId1805" display="../../../../Releases/Projects/Comcast/Release_for_Test/Test_Build_4.6.6/Server CD/Database/Setup"/>
    <hyperlink ref="R1124" r:id="rId1806" display="../../../../Releases/Projects/BHN/Release_For_Test/Test_Build_1.0.1/Server CD/DBS/Setup"/>
    <hyperlink ref="R1125" r:id="rId1807" display="../../../../Releases/Projects/BHN/Release_For_Test/Test_Build_1.0.2/Server CD/MPE/Setup"/>
    <hyperlink ref="P1126" r:id="rId1808" display="../../../../Releases/Projects/SLT/Release_For_IT/Test_Build_1.0.0.4/Server CD/DBS/Setup"/>
    <hyperlink ref="R1126" r:id="rId1809" display="../../../../Releases/Projects/SLT/Release_For_LQA/Test_Build_1.0.0.24/Server CD/DBS/Setup"/>
    <hyperlink ref="P1127" r:id="rId1810" display="../../../../Releases/Projects/Comcast/Release_For_IT/Test_Build_4.6.1/Server CD/Database/Setup"/>
    <hyperlink ref="R1127" r:id="rId1811" display="../../../../Releases/Projects/Comcast/Release_for_Test/Test_Build_4.6.6/Server CD/Database/Setup"/>
    <hyperlink ref="P1128" r:id="rId1812" display="../../../../Releases/Projects/Comcast/Release_For_IT/Test_Build_4.6.1/Server CD/Database/Setup"/>
    <hyperlink ref="R1128" r:id="rId1813" display="../../../../Releases/Projects/Comcast/Release_for_Test/Test_Build_4.6.6/Server CD/Database/Setup"/>
    <hyperlink ref="R1129" r:id="rId1814" display="../../../../Releases/Product/Netmind_4.7/Build&amp;Release/Release_For_LQA/Test_Build_1.0.1/Server CD/DBS/Setup"/>
    <hyperlink ref="P1130" r:id="rId1815" display="../../../../Releases/Projects/Telstra/Release_For_IT/Test_Build_1.0.0.18/Server CD/DBS/Setup"/>
    <hyperlink ref="R1130" r:id="rId1816" display="../../../../Releases/Projects/Telstra/Release_For_LQA/Test_Build_1.0.0.18/Server CD/DBS/Setup"/>
    <hyperlink ref="R1131" r:id="rId1817" display="../../../../Releases/Projects/Comcast/Release_for_Test/Test_Build_4.6.6/Server CD/GUI/Setup"/>
    <hyperlink ref="P1132" r:id="rId1818" display="../../../../Releases/Projects/TLSTR-ST/Release_For_IT/TestBuild_1.0.1/Server CD/DBS/Setup"/>
    <hyperlink ref="R1132" r:id="rId1819" display="../../../../Releases/Projects/TLSTR-ST/Release_For_Test/Test_Build_1.0.1/Server CD/DBS/Setup"/>
    <hyperlink ref="R1133" r:id="rId1820" display="../../../../Releases/Product/WEB_WFS/Build&amp;Release/Release For Test/TestBuild_2.1.35/ServerCD/GUI/Setup"/>
    <hyperlink ref="R1134" r:id="rId1821" display="../../../../Releases/Projects/Telstra-2b/Release_For_Test/Test_Build_1.0.0.1/Server CD/MPE/Setup"/>
    <hyperlink ref="P1135" r:id="rId1822" display="../../../../Releases/Projects/SLT/Release_For_IT/Test_Build_1.0.0.4/Server CD/DBS/Setup"/>
    <hyperlink ref="R1135" r:id="rId1823" display="../../../../Releases/Projects/SLT/Release_For_LQA/Test_Build_1.0.0.24/Server CD/DBS/Setup"/>
    <hyperlink ref="R1136" r:id="rId1824" display="../../../../Releases/Projects/SLT-1B/Release_For_Test/Test_Build_1.0.0.1/Server CD/MPE/Setup"/>
    <hyperlink ref="P1137" r:id="rId1825" display="../../../../Releases/Projects/ANTEL/Release_For_IT/TestBuild_1.0.0.4/Server CD/DBS/Setup"/>
    <hyperlink ref="R1137" r:id="rId1826" display="../../../../Releases/Projects/ANTEL/Release_For_Test/Test_Build_1.0.0.7/Server CD/DBS/Setup"/>
    <hyperlink ref="P1138" r:id="rId1827" display="../../../../Releases/Projects/Telstra/Release_For_IT/Test_Build_1.0.0.18/Server CD/DBS/Setup"/>
    <hyperlink ref="R1138" r:id="rId1828" display="../../../../Releases/Projects/Telstra/Release_For_LQA/Test_Build_1.0.0.18/Server CD/DBS/Setup"/>
    <hyperlink ref="R1139" r:id="rId1829" display="../../../../Releases/Projects/Telstra-2b/Release_For_Test/Test_Build_1.0.0.1/Server CD/MPE/Setup"/>
    <hyperlink ref="R1140" r:id="rId1830" display="../../../../Releases/Projects/TLSTR-ST/Release_For_Test/Test_Build_1.0.1/Server CD/MPE/Setup"/>
    <hyperlink ref="R1141" r:id="rId1831" display="../../../../Releases/Projects/SLT-1B/Release_For_Test/Test_Build_1.0.0.1/Server CD/MPE/Setup"/>
    <hyperlink ref="P1142" r:id="rId1832" display="../../../../Releases/Projects/SLT/Release_For_IT/Test_Build_1.0.0.4/Server CD/DBS/Setup"/>
    <hyperlink ref="R1142" r:id="rId1833" display="../../../../Releases/Projects/SLT/Release_For_LQA/Test_Build_1.0.0.24/Server CD/DBS/Setup"/>
    <hyperlink ref="P1143" r:id="rId1834" display="../../../../Releases/Projects/SLT/Release_For_IT/Test_Build_1.0.0.4/Server CD/DBS/Setup"/>
    <hyperlink ref="R1143" r:id="rId1835" display="../../../../Releases/Projects/SLT/Release_For_LQA/Test_Build_1.0.0.24/Server CD/DBS/Setup"/>
    <hyperlink ref="P1144" r:id="rId1836" display="../../../../Releases/Projects/TWC/Release_For_IT/Test_Build_1.0.0.3/Server CD/DBS/Setup"/>
    <hyperlink ref="R1144" r:id="rId1837" display="../../../../Releases/Projects/TWC/Release_For_Test/Test_Build_1.0.0.4/Server CD/DBS/Setup"/>
    <hyperlink ref="P1145" r:id="rId1838" display="../../../../Releases/Projects/Comcast/Release_For_IT/Test_Build_4.6.1/Server CD/Database/Setup"/>
    <hyperlink ref="R1145" r:id="rId1839" display="../../../../Releases/Projects/Comcast/Release_for_Test/Test_Build_4.6.6/Server CD/Database/Setup"/>
    <hyperlink ref="R1146" r:id="rId1840" display="../../../../Releases/Projects/BHN/Release_For_Test/Test_Build_1.0.2/Server CD/MPE/Setup"/>
    <hyperlink ref="P1147" r:id="rId1841"/>
    <hyperlink ref="R1147" r:id="rId1842"/>
    <hyperlink ref="P1148" r:id="rId1843"/>
    <hyperlink ref="R1148" r:id="rId1844"/>
    <hyperlink ref="P1149" r:id="rId1845"/>
    <hyperlink ref="R1149" r:id="rId1846"/>
    <hyperlink ref="P1150" r:id="rId1847"/>
    <hyperlink ref="R1150" r:id="rId1848"/>
    <hyperlink ref="P1151" r:id="rId1849"/>
    <hyperlink ref="R1151" r:id="rId1850"/>
    <hyperlink ref="R1152" r:id="rId1851"/>
    <hyperlink ref="R1153" r:id="rId1852"/>
    <hyperlink ref="P1154" r:id="rId1853" display="../../../../Releases/Projects/Telstra/Release_For_IT/Test_Build_1.0.0.18/Server CD/DBS/Setup"/>
    <hyperlink ref="R1155" r:id="rId1854"/>
    <hyperlink ref="R1154" r:id="rId1855" display="../../../../Releases/Projects/Telstra/Release_For_LQA/Test_Build_1.0.0.18/Server CD/DBS/Setup"/>
    <hyperlink ref="R1156" r:id="rId1856" display="../../../../Releases/Projects/SLT-1B/Release_For_Test/Test_Build_1.0.0.1/Server CD/MPE/Setup"/>
    <hyperlink ref="P1157" r:id="rId1857" display="../../../../Releases/Projects/Telstra/Release_For_IT/Test_Build_1.0.0.18/Server CD/DBS/Setup"/>
    <hyperlink ref="R1157" r:id="rId1858" display="../../../../Releases/Projects/Telstra/Release_For_LQA/Test_Build_1.0.0.18/Server CD/DBS/Setup"/>
    <hyperlink ref="P1158" r:id="rId1859" display="../../../../Releases/Projects/SLT/Release_For_IT/Test_Build_1.0.0.4/Server CD/DBS/Setup"/>
    <hyperlink ref="R1158" r:id="rId1860" display="../../../../Releases/Projects/SLT/Release_For_LQA/Test_Build_1.0.0.24/Server CD/DBS/Setup"/>
    <hyperlink ref="P1159" r:id="rId1861" display="../../../../Releases/Projects/SLT/Release_For_IT/Test_Build_1.0.0.4/Server CD/DBS/Setup"/>
    <hyperlink ref="R1159" r:id="rId1862" display="../../../../Releases/Projects/SLT/Release_For_LQA/Test_Build_1.0.0.24/Server CD/DBS/Setup"/>
    <hyperlink ref="P1160" r:id="rId1863" display="../../../../Releases/Projects/Comcast/Release_For_IT/Test_Build_4.6.1/Server CD/Database/Setup"/>
    <hyperlink ref="R1160" r:id="rId1864" display="../../../../Releases/Projects/Comcast/Release_for_Test/Test_Build_4.6.6/Server CD/Database/Setup"/>
    <hyperlink ref="P1161" r:id="rId1865" display="../../../../Releases/Projects/SLT/Release_For_IT/Test_Build_1.0.0.4/Server CD/DBS/Setup"/>
    <hyperlink ref="R1161" r:id="rId1866" display="../../../../Releases/Projects/SLT/Release_For_LQA/Test_Build_1.0.0.24/Server CD/DBS/Setup"/>
    <hyperlink ref="P1163" r:id="rId1867" display="../../../../Releases/Projects/SLT/Release_For_IT/Test_Build_1.0.0.4/Server CD/DBS/Setup"/>
    <hyperlink ref="R1163" r:id="rId1868" display="../../../../Releases/Projects/SLT/Release_For_LQA/Test_Build_1.0.0.24/Server CD/DBS/Setup"/>
    <hyperlink ref="P1164" r:id="rId1869" display="../../../../Releases/Projects/ANTEL/Release_For_IT/TestBuild_1.0.0.4/Server CD/DBS/Setup"/>
    <hyperlink ref="R1164" r:id="rId1870" display="../../../../Releases/Projects/ANTEL/Release_For_Test/Test_Build_1.0.0.7/Server CD/DBS/Setup"/>
    <hyperlink ref="P1165" r:id="rId1871" display="../../../../Releases/Projects/Comcast/Release_For_IT/Test_Build_4.6.1/Server CD/Database/Setup"/>
    <hyperlink ref="R1165" r:id="rId1872" display="../../../../Releases/Projects/Comcast/Release_for_Test/Test_Build_4.6.6/Server CD/Database/Setup"/>
    <hyperlink ref="P1166" r:id="rId1873" display="../../../../Releases/Projects/TLSTR-ST/Release_For_IT/TestBuild_1.0.1/Server CD/DBS/Setup"/>
    <hyperlink ref="R1166" r:id="rId1874" display="../../../../Releases/Projects/TLSTR-ST/Release_For_Test/Test_Build_1.0.1/Server CD/DBS/Setup"/>
    <hyperlink ref="P1167" r:id="rId1875" display="../../../../Releases/Projects/Comcast/Release_For_IT/Test_Build_4.6.1/Server CD/Database/Setup"/>
    <hyperlink ref="R1167" r:id="rId1876" display="../../../../Releases/Projects/Comcast/Release_for_Test/Test_Build_4.6.6/Server CD/Database/Setup"/>
    <hyperlink ref="P1168" r:id="rId1877" display="../../../../Releases/Projects/TLSTR-ST/Release_For_IT/TestBuild_1.0.1/Server CD/DBS/Setup"/>
    <hyperlink ref="R1168" r:id="rId1878" display="../../../../Releases/Projects/TLSTR-ST/Release_For_Test/Test_Build_1.0.1/Server CD/DBS/Setup"/>
    <hyperlink ref="P1169" r:id="rId1879" display="../../../../Releases/Projects/Comcast/Release_For_IT/Test_Build_4.6.1/Server CD/Database/Setup"/>
    <hyperlink ref="R1169" r:id="rId1880" display="../../../../Releases/Projects/Comcast/Release_for_Test/Test_Build_4.6.6/Server CD/Database/Setup"/>
    <hyperlink ref="P1162" r:id="rId1881" display="../../../../Releases/Projects/SLT/Release_For_IT/Test_Build_1.0.0.4/Server CD/DBS/Setup"/>
    <hyperlink ref="R1162" r:id="rId1882" display="../../../../Releases/Projects/SLT/Release_For_LQA/Test_Build_1.0.0.24/Server CD/DBS/Setup"/>
    <hyperlink ref="R1170" r:id="rId1883" display="../../../../Releases/Projects/MOBSA/Release_For_LQA/Test_Build_1.0.0.3/Server CD/MPE/Setup"/>
    <hyperlink ref="P1171" r:id="rId1884" display="../../../../Releases/Projects/ANTEL/Release_For_IT/TestBuild_1.0.0.4/Server CD/DBS/Setup"/>
    <hyperlink ref="R1171" r:id="rId1885" display="../../../../Releases/Projects/ANTEL/Release_For_Test/Test_Build_1.0.0.7/Server CD/DBS/Setup"/>
    <hyperlink ref="R1172" r:id="rId1886" display="../../../../Releases/Projects/Comcast/Release_for_Test/Test_Build_4.6.6/Server CD/GUI/Setup"/>
    <hyperlink ref="R1173" r:id="rId1887" display="../../../../Releases/Product/MPE_GUI/ReleaseForLQA/TestBuild_1.0.0.2/Server CD/MPE/Setup"/>
    <hyperlink ref="R1174" r:id="rId1888" display="../../../../Releases/Projects/ANTEL/Release_For_Test/Test_Build_1.0.0.7/Server CD/MPE/Setup%0d"/>
    <hyperlink ref="P1175" r:id="rId1889" display="../../../../Releases/Projects/SLT/Release_For_IT/Test_Build_1.0.0.4/Server CD/DBS/Setup"/>
    <hyperlink ref="R1175" r:id="rId1890" display="../../../../Releases/Projects/SLT/Release_For_LQA/Test_Build_1.0.0.24/Server CD/DBS/Setup"/>
    <hyperlink ref="P1176" r:id="rId1891" display="../../../../Releases/Projects/TWC/Release_For_IT/Test_Build_1.0.0.3/Server CD/DBS/Setup"/>
    <hyperlink ref="R1176" r:id="rId1892" display="../../../../Releases/Projects/TWC/Release_For_Test/Test_Build_1.0.0.4/Server CD/DBS/Setup"/>
    <hyperlink ref="P1177" r:id="rId1893" display="../../../../Releases/Product/RT_4.0/ReleaseForIT/TestBuild_4.0.3/DBS/Setup"/>
    <hyperlink ref="R1178" r:id="rId1894" display="../../../../Releases/Projects/MTS/Release For Test/Test_Build_3.0.5.25/Server CD/AGENT/Setup"/>
    <hyperlink ref="R1179" r:id="rId1895" display="../../../../Releases/Projects/SLT-1B/Release_For_Test/Test_Build_1.0.0.1/Server CD/MPE/Setup"/>
    <hyperlink ref="R1180" r:id="rId1896" display="../../../../Releases/Projects/BHN/Release_For_Test/Test_Build_1.0.2/Server CD/MPE/Setup"/>
    <hyperlink ref="P1181" r:id="rId1897" display="../../../../Releases/Projects/SLT/Release_For_IT/Test_Build_1.0.0.4/Server CD/DBS/Setup"/>
    <hyperlink ref="R1181" r:id="rId1898" display="../../../../Releases/Projects/SLT/Release_For_LQA/Test_Build_1.0.0.24/Server CD/DBS/Setup"/>
    <hyperlink ref="P1182" r:id="rId1899" display="../../../../Releases/Projects/SLT/Release_For_IT/Test_Build_1.0.0.4/Server CD/DBS/Setup"/>
    <hyperlink ref="R1182" r:id="rId1900" display="../../../../Releases/Projects/SLT/Release_For_LQA/Test_Build_1.0.0.24/Server CD/DBS/Setup"/>
    <hyperlink ref="P1183" r:id="rId1901" display="../../../../Releases/Projects/Telstra/Release_For_IT/Test_Build_1.0.0.18/Server CD/DBS/Setup"/>
    <hyperlink ref="R1183" r:id="rId1902" display="../../../../Releases/Projects/Telstra/Release_For_LQA/Test_Build_1.0.0.18/Server CD/DBS/Setup"/>
    <hyperlink ref="R1184" r:id="rId1903" display="../../../../Releases/Projects/BHN/Release_For_Test/Test_Build_1.0.3/Server CD/GUI/Setup"/>
    <hyperlink ref="P1185" r:id="rId1904" display="../../../../Releases/Projects/TWC/Release_For_IT/Test_Build_1.0.0.3/Server CD/DBS/Setup"/>
    <hyperlink ref="R1185" r:id="rId1905" display="../../../../Releases/Projects/TWC/Release_For_Test/Test_Build_1.0.0.4/Server CD/DBS/Setup"/>
    <hyperlink ref="P1186" r:id="rId1906" display="../../../../Releases/Projects/SLT/Release_For_IT/Test_Build_1.0.0.4/Server CD/DBS/Setup"/>
    <hyperlink ref="R1186" r:id="rId1907" display="../../../../Releases/Projects/SLT/Release_For_LQA/Test_Build_1.0.0.24/Server CD/DBS/Setup"/>
    <hyperlink ref="P1188" r:id="rId1908" display="../../../../Releases/Projects/SLT/Release_For_IT/Test_Build_1.0.0.4/Server CD/DBS/Setup"/>
    <hyperlink ref="R1188" r:id="rId1909" display="../../../../Releases/Projects/SLT/Release_For_LQA/Test_Build_1.0.0.24/Server CD/DBS/Setup"/>
    <hyperlink ref="P1189" r:id="rId1910" display="../../../../Releases/Projects/TWC/Release_For_Test/Test_Build_1.0.0.4/Server CD/DBS/Setup"/>
    <hyperlink ref="R1189" r:id="rId1911" display="../../../../Releases/Projects/TWC/Release_For_IT/Test_Build_1.0.0.3/Server CD/DBS/Setup"/>
    <hyperlink ref="R1190" r:id="rId1912" display="../../../../Releases/Product/WEB_CS/Build&amp;Release/Release For Test/TestBuild_2.1.21/ServerCD/GUI/Setup"/>
    <hyperlink ref="P1191" r:id="rId1913" display="../../../../Releases/Projects/Comcast/Release_For_IT/Test_Build_4.6.1/Server CD/Database/Setup"/>
    <hyperlink ref="R1191" r:id="rId1914" display="../../../../Releases/Projects/Comcast/Release_for_Test/Test_Build_4.6.6/Server CD/Database/Setup"/>
    <hyperlink ref="P1192" r:id="rId1915" display="../../../../Releases/Projects/Comcast/Release_For_IT/Test_Build_4.6.1/Server CD/Database/Setup"/>
    <hyperlink ref="R1192" r:id="rId1916" display="../../../../Releases/Projects/Comcast/Release_for_Test/Test_Build_4.6.6/Server CD/Database/Setup"/>
    <hyperlink ref="R1193" r:id="rId1917" display="../../../../Releases/Projects/BHN/Release_For_Test/Test_Build_1.0.3/Server CD/DBS/Setup"/>
    <hyperlink ref="R1194" r:id="rId1918" display="../../../../Releases/Projects/SLT-1B/Release_For_Test/Test_Build_1.0.0.1/Server CD/MPE/Setup"/>
    <hyperlink ref="P1195" r:id="rId1919" display="../../../../Releases/Product/Netmind4.1/Build&amp;Release/ReleaseForIT/TestBuild_4.1.1/Build5/Client CD/GUI/Workflow System/Setup"/>
    <hyperlink ref="R1195" r:id="rId1920" display="../../../../Releases/Product/Netmind4.1/Build&amp;Release/ReleaseForTest/TestBuild_4.1.1/Build5/Client CD/GUI/Workflow System/Setup"/>
    <hyperlink ref="P1196" r:id="rId1921" display="../../../../Releases/Projects/Comcast/Release_For_IT/Test_Build_4.6.1/Server CD/Database/Setup"/>
    <hyperlink ref="R1196" r:id="rId1922" display="../../../../Releases/Projects/Comcast/Release_for_Test/Test_Build_4.6.6/Server CD/Database/Setup"/>
    <hyperlink ref="R1197" r:id="rId1923" display="../../../../Releases/Projects/BHN/Release_For_Test/Test_Build_1.0.3/Server CD/DBS/Setup"/>
    <hyperlink ref="P1198" r:id="rId1924" display="../../../../Releases/Projects/ANTEL/Release_For_IT/TestBuild_1.0.0.4/Server CD/DBS/Setup"/>
    <hyperlink ref="R1198" r:id="rId1925" display="../../../../Releases/Projects/ANTEL/Release_For_Test/Test_Build_1.0.0.7/Server CD/DBS/Setup"/>
    <hyperlink ref="P1199" r:id="rId1926" display="../../../../Releases/Projects/ANTEL/Release_For_IT/TestBuild_1.0.0.4/Server CD/DBS/Setup"/>
    <hyperlink ref="R1199" r:id="rId1927" display="../../../../Releases/Projects/ANTEL/Release_For_Test/Test_Build_1.0.0.7/Server CD/DBS/Setup"/>
    <hyperlink ref="P1200" r:id="rId1928" display="../../../../Releases/Projects/SLT/Release_For_IT/Test_Build_1.0.0.4/Server CD/DBS/Setup"/>
    <hyperlink ref="R1200" r:id="rId1929" display="../../../../Releases/Projects/SLT/Release_For_LQA/Test_Build_1.0.0.24/Server CD/DBS/Setup"/>
    <hyperlink ref="P1201" r:id="rId1930" display="../../../../Releases/Projects/SLT/Release_For_IT/Test_Build_1.0.0.4/Server CD/DBS/Setup"/>
    <hyperlink ref="R1201" r:id="rId1931" display="../../../../Releases/Projects/SLT/Release_For_LQA/Test_Build_1.0.0.24/Server CD/DBS/Setup"/>
    <hyperlink ref="R1202" r:id="rId1932" display="../../../../Releases/Projects/SLT-1B/Release_For_Test/Test_Build_1.0.0.1/Server CD/MPE/Setup"/>
    <hyperlink ref="P1203" r:id="rId1933" display="../../../../Releases/Projects/SLT/Release_For_IT/Test_Build_1.0.0.4/Server CD/DBS/Setup"/>
    <hyperlink ref="R1203" r:id="rId1934" display="../../../../Releases/Projects/SLT/Release_For_LQA/Test_Build_1.0.0.24/Server CD/DBS/Setup"/>
    <hyperlink ref="P1204" r:id="rId1935" display="../../../../Releases/Product/RT_4.0/ReleaseForIT/TestBuild_4.0.3/DBS/Setup"/>
    <hyperlink ref="R1204" r:id="rId1936" display="../../../../Releases/Product/RT_4.0/ReleaseForLQA/TestBuild_4.0.24/DBS/Setup"/>
    <hyperlink ref="P1205" r:id="rId1937" display="../../../../Releases/Projects/SLT/Release_For_IT/Test_Build_1.0.0.4/Client CD/WFS/Setup"/>
    <hyperlink ref="R1205" r:id="rId1938" display="../../../../Releases/Projects/SLT/Release_For_LQA/Test_Build_1.0.0.24/Client CD/WFS/Setup"/>
    <hyperlink ref="R1206" r:id="rId1939" display="../../../../Releases/Projects/TWC/Release_For_Test/Test_Build_1.0.0.4/Server CD/GUI/Setup"/>
    <hyperlink ref="R1207" r:id="rId1940" display="../../../../Releases/Product/RT_4.0/ReleaseForLQA/TestBuild_4.0.24/GUI/Build1/Setup"/>
    <hyperlink ref="R1208" r:id="rId1941" display="../../../../Releases/Projects/FNB/Release_For_Test/Test_Build_1.0.1/Server CD/GUI/Setup"/>
    <hyperlink ref="R1209" r:id="rId1942" display="../../../../Releases/Projects/FNB/Release_For_Test/Test_Build_1.0.1/Server CD/GUI/Setup"/>
    <hyperlink ref="R1210" r:id="rId1943" display="../../../../Releases/Projects/TLSTR-ST/Release_For_Test/Test_Build_1.0.1/Server CD/MPE/Setup"/>
    <hyperlink ref="R1211" r:id="rId1944" display="../../../../Releases/Projects/FNB/Release_For_Test/Test_Build_1.0.1/Server CD/DBS/Setup"/>
    <hyperlink ref="R1212" r:id="rId1945" display="../../../../Releases/Projects/FNB/Release_For_Test/Test_Build_1.0.1/Server CD/GUI/Setup"/>
    <hyperlink ref="R1213" r:id="rId1946" display="../../../../Releases/Projects/FNB/Release_For_Test/Test_Build_1.0.1/Server CD/GUI/Setup"/>
    <hyperlink ref="R1214" r:id="rId1947" display="../../../../Releases/Projects/FNB/Release_For_Test/Test_Build_1.0.1/Server CD/DBS/Setup"/>
    <hyperlink ref="P1215" r:id="rId1948" display="../../../../Releases/Projects/FNB/Release_For_IT/TestBuild_1.0.1/Server CD/DBS/Setup"/>
    <hyperlink ref="R1215" r:id="rId1949" display="../../../../Releases/Projects/FNB/Release_For_Test/Test_Build_1.0.1/Server CD/DBS/Setup"/>
    <hyperlink ref="P1216" r:id="rId1950" display="../../../../Releases/Projects/FNB/Release_For_IT/TestBuild_1.0.1/Server CD/DBS/Setup"/>
    <hyperlink ref="R1216" r:id="rId1951" display="../../../../Releases/Projects/FNB/Release_For_Test/Test_Build_1.0.1/Server CD/DBS/Setup"/>
    <hyperlink ref="P1217" r:id="rId1952" display="../../../../Releases/Projects/FNB/Release_For_IT/TestBuild_1.0.1/Server CD/DBS/Setup"/>
    <hyperlink ref="R1217" r:id="rId1953" display="../../../../Releases/Projects/FNB/Release_For_Test/Test_Build_1.0.1/Server CD/DBS/Setup"/>
    <hyperlink ref="R1218" r:id="rId1954" display="../../../../Releases/Product/IM_1.0/Build&amp;Release/Release_For_LQA/Test_Build_1.0.2/Server CD/IM/Setup"/>
    <hyperlink ref="P1219" r:id="rId1955" display="../../../../Releases/Projects/FNB/Release_For_IT/TestBuild_1.0.1/Server CD/DBS/Setup"/>
    <hyperlink ref="R1219" r:id="rId1956" display="../../../../Releases/Projects/FNB/Release_For_Test/Test_Build_1.0.1/Server CD/DBS/Setup"/>
    <hyperlink ref="R1220" r:id="rId1957"/>
    <hyperlink ref="R1221" r:id="rId1958" display="../../../../Releases/Product/MPE_GUI/ReleaseForLQA/TestBuild_1.0.0.2/Server CD/MPE/Setup"/>
    <hyperlink ref="R1222" r:id="rId1959" display="../../../../Releases/Product/RT_4.0/ReleaseForLQA/TestBuild_4.0.24/GUI/Build1/Setup"/>
    <hyperlink ref="R1223" r:id="rId1960" display="../../../../Releases/Projects/SLT/Release_For_LQA/Test_Build_1.0.0.24/Server CD/GUI/Setup"/>
    <hyperlink ref="R1224" r:id="rId1961" display="../../../../Releases/Product/MPE_GUI/ReleaseForLQA/TestBuild_1.0.0.2/Server CD/MPE/Setup"/>
    <hyperlink ref="R1225" r:id="rId1962" display="../../../../Releases/Projects/Comcast/Release_for_Test/Test_Build_4.6.6/Server CD/GUI/Setup"/>
    <hyperlink ref="R1226" r:id="rId1963" display="../../../../Releases/Projects/FNB/Release_For_Test/Test_Build_1.0.1/Server CD/GUI/Setup"/>
    <hyperlink ref="P1227" r:id="rId1964" display="../../../../Releases/Projects/SLT/Release_For_IT/Test_Build_1.0.0.4/Server CD/DBS/Setup"/>
    <hyperlink ref="R1227" r:id="rId1965" display="../../../../Releases/Projects/SLT/Release_For_LQA/Test_Build_1.0.0.24/Server CD/DBS/Setup"/>
    <hyperlink ref="P1228" r:id="rId1966" display="../../../../Releases/Projects/TWC/Release_For_IT/Test_Build_1.0.0.3/Server CD/DBS/Setup"/>
    <hyperlink ref="R1228" r:id="rId1967" display="../../../../Releases/Projects/TWC/Release_For_Test/Test_Build_1.0.0.4/Server CD/DBS/Setup"/>
    <hyperlink ref="R1229" r:id="rId1968" display="../../../../Releases/Product/CSGUI_2.6/Build&amp;Release/Release_For_LQA/Test_Build_1.0.2/Server CD/GUI/Setup"/>
    <hyperlink ref="P1230" r:id="rId1969" display="../../../../Releases/Projects/FNB/Release_For_IT/TestBuild_1.0.1/Server CD/DBS/Setup"/>
    <hyperlink ref="R1230" r:id="rId1970" display="../../../../Releases/Projects/FNB/Release_For_Test/Test_Build_1.0.1/Server CD/DBS/Setup"/>
    <hyperlink ref="R1231" r:id="rId1971" display="../../../../Releases/Product/RevMind_3.0.1/Build&amp;Release/Release_For_LQA/Test_Build_1.0.1/Server CD/DBS/Setup"/>
    <hyperlink ref="R1232" r:id="rId1972" display="../../../../Releases/Projects/FNB/Release_For_Test/Test_Build_1.0.1/Server CD/MPE/Setup"/>
    <hyperlink ref="P1233" r:id="rId1973" display="../../../../Releases/Projects/BHN/Release_For_IT/TestBuild_1.0.0.1/Server CD/Utility/Setup"/>
    <hyperlink ref="R1233" r:id="rId1974" display="../../../../Releases/Projects/BHN/Release_For_Test/Test_Build_1.0.3/Server CD/Utility/Setup"/>
    <hyperlink ref="P1234" r:id="rId1975" display="../../../../Releases/Projects/BHN/Release_For_IT/TestBuild_1.0.0.1/Server CD/Utility/Setup"/>
    <hyperlink ref="R1234" r:id="rId1976" display="../../../../Releases/Projects/BHN/Release_For_Test/Test_Build_1.0.3/Server CD/Utility/Setup"/>
    <hyperlink ref="P1235" r:id="rId1977" display="../../../../Releases/Projects/FNB/Release_For_IT/TestBuild_1.0.1/Server CD/DBS/Setup"/>
    <hyperlink ref="R1235" r:id="rId1978" display="../../../../Releases/Projects/FNB/Release_For_Test/Test_Build_1.0.1/Server CD/DBS/Setup"/>
    <hyperlink ref="R1236" r:id="rId1979" display="../../../../Releases/Projects/TWC/Release_For_Test/Test_Build_1.0.0.4/Server CD/MPE/Setup"/>
    <hyperlink ref="P1237" r:id="rId1980" display="../../../../Releases/Product/RT_4.0/ReleaseForIT/TestBuild_4.0.3/DBS/Setup"/>
    <hyperlink ref="R1237" r:id="rId1981" display="../../../../Releases/Product/RT_4.0/ReleaseForLQA/TestBuild_4.0.24/DBS/Setup"/>
    <hyperlink ref="R1238" r:id="rId1982" display="../../../../Releases/Product/RT_4.0/ReleaseForLQA/TestBuild_4.0.24/GUI/Build1/Setup"/>
    <hyperlink ref="R1239" r:id="rId1983" display="../../../../Releases/Product/Netmind_4.7/Build&amp;Release/Release_For_LQA/Test_Build_1.0.1/Server CD/DBS/Setup"/>
    <hyperlink ref="P1240" r:id="rId1984" display="../../../../Releases/Projects/SLT/Release_For_IT/Test_Build_1.0.0.4/Server CD/DBS/Setup"/>
    <hyperlink ref="R1240" r:id="rId1985" display="../../../../Releases/Projects/SLT/Release_For_LQA/Test_Build_1.0.0.24/Server CD/DBS/Setup"/>
    <hyperlink ref="P1241" r:id="rId1986" display="../../../../Releases/Projects/SLT/Release_For_IT/Test_Build_1.0.0.4/Server CD/DBS/Setup"/>
    <hyperlink ref="R1241" r:id="rId1987" display="../../../../Releases/Projects/SLT/Release_For_LQA/Test_Build_1.0.0.24/Server CD/DBS/Setup"/>
    <hyperlink ref="R1242" r:id="rId1988" display="../../../../Releases/Projects/SLT/Release_For_LQA/Test_Build_1.0.0.24/Server CD/GUI/Setup"/>
    <hyperlink ref="R1243" r:id="rId1989" display="../../../../Releases/Projects/BHN/Release_For_Test/Test_Build_1.0.3/Server CD/DBS/Setup"/>
    <hyperlink ref="R1244" r:id="rId1990" display="../../../../Releases/Projects/TLSTR-ST/Release_For_Test/Test_Build_1.0.1/Server CD/MPE/Setup"/>
    <hyperlink ref="R1245" r:id="rId1991" display="../../../../Releases/Product/WEB_WFS/Build&amp;Release/Release For Test/TestBuild_2.1.35/ServerCD/GUI/Setup"/>
    <hyperlink ref="P1246" r:id="rId1992" display="../../../../Releases/Projects/Telstra/Release_For_IT/Test_Build_1.0.0.18/Server CD/DBS/Setup"/>
    <hyperlink ref="P1247" r:id="rId1993" display="../../../../Releases/Projects/FNB/Release_For_IT/TestBuild_1.0.1/Server CD/DBS/Setup"/>
    <hyperlink ref="R1247" r:id="rId1994" display="../../../../Releases/Projects/FNB/Release_For_Test/Test_Build_1.0.1/Server CD/DBS/Setup"/>
    <hyperlink ref="R1246" r:id="rId1995" display="../../../../Releases/Projects/Telstra/Release_For_LQA/Test_Build_1.0.0.18/Server CD/DBS/Setup"/>
    <hyperlink ref="P1248" r:id="rId1996" display="../../../../Releases/Projects/ANTEL/Release_For_IT/TestBuild_1.0.0.4/Server CD/DBS/Setup"/>
    <hyperlink ref="R1248" r:id="rId1997" display="../../../../Releases/Projects/ANTEL/Release_For_Test/Test_Build_1.0.0.7/Server CD/DBS/Setup"/>
    <hyperlink ref="R1249" r:id="rId1998" display="../../../../Releases/Projects/SLT/Release_For_LQA/Test_Build_1.0.0.24/Server CD/GUI/Setup"/>
    <hyperlink ref="R1250" r:id="rId1999" display="../../../../Releases/Projects/SLT/Release_For_LQA/Test_Build_1.0.0.24/Server CD/GUI/Setup"/>
    <hyperlink ref="R1251" r:id="rId2000" display="../../../../Releases/Projects/Comcast/Release_for_Test/Test_Build_4.6.6/Server CD/GUI/Setup"/>
    <hyperlink ref="P1252" r:id="rId2001" display="../../../../Releases/Product/DataMind_2.0/Build&amp;Release/Release for IT/TestBuild_2.0.0/Server CD/DBS/Setup"/>
    <hyperlink ref="R1252" r:id="rId2002" display="../../../../Releases/Product/DataMind_2.0/Build&amp;Release/Release for LQA/TestBuild_2.0.0/Server CD/DBS/Setup"/>
    <hyperlink ref="P1253" r:id="rId2003" display="../../../../Releases/Projects/SLT/Release_For_IT/Test_Build_1.0.0.4/Server CD/DBS/Setup"/>
    <hyperlink ref="R1253" r:id="rId2004" display="../../../../Releases/Projects/SLT/Release_For_LQA/Test_Build_1.0.0.24/Server CD/DBS/Setup"/>
    <hyperlink ref="R1254" r:id="rId2005" display="../../../../Releases/Projects/SLT-1B/Release_For_Test/Test_Build_1.0.0.1/Server CD/MPE/Setup"/>
    <hyperlink ref="P1255" r:id="rId2006" display="../../../../Releases/Projects/OBT/Release_For_IT/TestBuild_1.0.0.2/Server CD/DBS/Setup"/>
    <hyperlink ref="R1255" r:id="rId2007" display="../../../../Releases/Projects/OBT/Release_For_LQA/TestBuild_1.0.0.7/Server CD/DBS/Setup"/>
    <hyperlink ref="R1256" r:id="rId2008" display="../../../../Releases/Product/RT_4.0/ReleaseForLQA/TestBuild_4.0.24/GUI/Build1/Setup"/>
    <hyperlink ref="R1257" r:id="rId2009" display="../../../../Releases/Projects/SLT/Release_For_LQA/Test_Build_1.0.0.24/Server CD/GUI/Setup"/>
    <hyperlink ref="P1258" r:id="rId2010" display="../../../../Releases/Projects/ANTEL/Release_For_IT/TestBuild_1.0.0.4/Server CD/DBS/Setup"/>
    <hyperlink ref="R1258" r:id="rId2011" display="../../../../Releases/Projects/ANTEL/Release_For_Test/Test_Build_1.0.0.7/Server CD/DBS/Setup"/>
    <hyperlink ref="R1259" r:id="rId2012" display="../../../../Releases/Projects/SLT/Release_For_LQA/Test_Build_1.0.0.24/Server CD/GUI/Setup"/>
    <hyperlink ref="R1260" r:id="rId2013" display="../../../../Releases/Product/WEB_WFS/Build&amp;Release/Release For Test/TestBuild_2.1.35/ServerCD/GUI/Setup"/>
    <hyperlink ref="R1261" r:id="rId2014" display="../../../../Releases/Projects/FNB/Release_For_Test/Test_Build_1.0.1/Server CD/MPE/Setup"/>
    <hyperlink ref="P1262" r:id="rId2015" display="../../../../Releases/Projects/SLT/Release_For_IT/Test_Build_1.0.0.4/Server CD/DBS/Setup"/>
    <hyperlink ref="R1262" r:id="rId2016" display="../../../../Releases/Projects/SLT/Release_For_LQA/Test_Build_1.0.0.24/Server CD/DBS/Setup"/>
    <hyperlink ref="P1263" r:id="rId2017" display="../../../../Releases/Projects/TLSTR-ST/Release_For_IT/TestBuild_1.0.1/Server CD/DBS/Setup"/>
    <hyperlink ref="R1263" r:id="rId2018" display="../../../../Releases/Projects/TLSTR-ST/Release_For_Test/Test_Build_1.0.1/Server CD/DBS/Setup"/>
    <hyperlink ref="R1264" r:id="rId2019" display="../../../../Releases/Projects/FNB/Release_For_Test/Test_Build_1.0.1/Server CD/DBS/Setup"/>
    <hyperlink ref="R1265" r:id="rId2020" display="../../../../Releases/Product/RT_4.0/ReleaseForLQA/TestBuild_4.0.24/DBS/Setup"/>
    <hyperlink ref="R1266" r:id="rId2021" display="../../../../Releases/Product/RT_4.0/ReleaseForLQA/TestBuild_4.0.24/GUI/Build1/Setup"/>
    <hyperlink ref="P1267" r:id="rId2022" display="../../../../Releases/Product/RT_4.0/ReleaseForIT/TestBuild_4.0.3/DBS/Setup"/>
    <hyperlink ref="R1267" r:id="rId2023" display="../../../../Releases/Product/RT_4.0/ReleaseForLQA/TestBuild_4.0.24/DBS/Setup"/>
    <hyperlink ref="R1268" r:id="rId2024" display="../../../../Releases/Projects/SLT/Release_For_LQA/Test_Build_1.0.0.24/Server CD/GUI/Setup"/>
    <hyperlink ref="P1269" r:id="rId2025" display="../../../../Releases/Projects/TWC/Release_For_IT/Test_Build_1.0.0.3/Server CD/DBS/Setup"/>
    <hyperlink ref="R1269" r:id="rId2026" display="../../../../Releases/Projects/TWC/Release_For_Test/Test_Build_1.0.0.4/Server CD/DBS/Setup"/>
    <hyperlink ref="P1270" r:id="rId2027" display="../../../../Releases/Projects/TLSTR-ST/Release_For_IT/TestBuild_1.0.1/Server CD/DBS/Setup"/>
    <hyperlink ref="R1270" r:id="rId2028" display="../../../../Releases/Projects/TLSTR-ST/Release_For_Test/Test_Build_1.0.1/Server CD/DBS/Setup"/>
    <hyperlink ref="R1271" r:id="rId2029" display="../../../../Releases/Projects/ANTEL/Release_For_Test/Test_Build_1.0.0.7/Server CD/GUI/Setup"/>
    <hyperlink ref="R1272" r:id="rId2030" display="../../../../Releases/Projects/FNB/Release_For_Test/Test_Build_1.0.1/Server CD/DBS/Setup"/>
    <hyperlink ref="P1273" r:id="rId2031" display="../../../../Releases/Projects/SLT/Release_For_IT/Test_Build_1.0.0.4/Server CD/DBS/Setup"/>
    <hyperlink ref="R1273" r:id="rId2032" display="../../../../Releases/Projects/SLT/Release_For_LQA/Test_Build_1.0.0.24/Server CD/DBS/Setup"/>
    <hyperlink ref="R1274" r:id="rId2033" display="../../../../Releases/Projects/FNB/Release_For_Test/Test_Build_1.0.1/Server CD/MPE/Setup"/>
    <hyperlink ref="R1275" r:id="rId2034" display="../../../../Releases/Projects/TLSTR-ST/Release_For_Test/Test_Build_1.0.1/Server CD/MPE/Setup"/>
    <hyperlink ref="R1276" r:id="rId2035" display="../../../../Releases/Product/WEB_WFS/Build&amp;Release/Release For Test/TestBuild_2.1.35/ServerCD/GUI/Setup"/>
    <hyperlink ref="R1277" r:id="rId2036" display="../../../../Releases/Projects/SLT-1B/Release_For_Test/Test_Build_1.0.0.1/Server CD/MPE/Setup"/>
    <hyperlink ref="P1278" r:id="rId2037" display="../../../../Releases/Projects/SLT/Release_For_IT/Test_Build_1.0.0.4/Server CD/DBS/Setup"/>
    <hyperlink ref="R1278" r:id="rId2038" display="../../../../Releases/Projects/SLT/Release_For_LQA/Test_Build_1.0.0.24/Server CD/DBS/Setup"/>
    <hyperlink ref="P1279" r:id="rId2039" display="../../../../Releases/Projects/OBT/Release_For_IT/TestBuild_1.0.0.2/Server CD/DBS/Setup"/>
    <hyperlink ref="R1279" r:id="rId2040" display="../../../../Releases/Projects/OBT/Release_For_LQA/TestBuild_1.0.0.7/Server CD/DBS/Setup"/>
    <hyperlink ref="R1280" r:id="rId2041" display="../../../../Releases/Product/WEB_WFS/Build&amp;Release/Release For Test/TestBuild_2.1.35/ServerCD/GUI/Setup"/>
    <hyperlink ref="R1281" r:id="rId2042" display="../../../../Releases/Product/Netmind_4.7/Build&amp;Release/Release_For_LQA/Test_Build_1.0.1/Server CD/DBS/Setup"/>
    <hyperlink ref="R1282" r:id="rId2043" display="../../../../Releases/Projects/MCC/Release_For_Test/Test_Build_1.0.1/Server CD/DBS/Setup"/>
    <hyperlink ref="R1283" r:id="rId2044" display="../../../../Releases/Projects/MCC/Release_For_Test/Test_Build_1.0.1/Server CD/DBS/Setup"/>
    <hyperlink ref="P1284" r:id="rId2045" display="../../../../Releases/Product/Netmind_4.6/Build&amp;Release/ReleaseForIT/TestBuild_4.6.1/Build4/ServerCD/DBS/Setup"/>
    <hyperlink ref="R1284" r:id="rId2046" display="../../../../Releases/Product/Netmind_4.6/Build&amp;Release/ReleaseForTest/TestBuild_4.6.1/Build4/ServerCD/DBS/Setup"/>
    <hyperlink ref="P1285" r:id="rId2047" display="../../../../Releases/Projects/TLSTR-ST/Release_For_IT/TestBuild_1.0.1/Server CD/DBS/Setup"/>
    <hyperlink ref="P1286" r:id="rId2048" display="../../../../Releases/Product/Netmind_4.6/Build&amp;Release/ReleaseForIT/TestBuild_4.6.1/Build4/ServerCD/DBS/Setup"/>
    <hyperlink ref="R1287" r:id="rId2049" display="../../../../Releases/Projects/TLSTR-ST/Release_For_Test/Test_Build_1.0.1/Server CD/MPE/Setup"/>
    <hyperlink ref="R1288" r:id="rId2050" display="../../../../Releases/Projects/BHN/Release_For_Test/Test_Build_1.0.3/Server CD/DBS/Setup"/>
    <hyperlink ref="R1289" r:id="rId2051" display="../../../../Releases/Projects/MCC/Release_For_Test/Test_Build_1.0.1/Server CD/GUI/Setup"/>
    <hyperlink ref="R1290" r:id="rId2052" display="../../../../Releases/Projects/MCC/Release_For_Test/Test_Build_1.0.1/Server CD/GUI/Setup"/>
    <hyperlink ref="R1291" r:id="rId2053" display="../../../../Releases/Product/IM_1.0/Build&amp;Release/Release_For_LQA/Test_Build_1.0.3/Server CD/IM/Setup"/>
    <hyperlink ref="R1292" r:id="rId2054" display="../../../../Releases/Projects/FNB/Release_For_Test/Test_Build_1.0.1/Server CD/MPE/Setup"/>
    <hyperlink ref="R1293" r:id="rId2055" display="../../../../Releases/Projects/BHN/Release_For_Test/Test_Build_1.0.4/Server CD/IM/Setup"/>
    <hyperlink ref="P1294" r:id="rId2056" display="../../../../Releases/Projects/FNB/Release_For_IT/TestBuild_1.0.1/Server CD/DBS/Setup"/>
    <hyperlink ref="R1294" r:id="rId2057" display="../../../../Releases/Projects/FNB/Release_For_Test/Test_Build_1.0.1/Server CD/DBS/Setup"/>
    <hyperlink ref="R1295" r:id="rId2058" display="../../../../Releases/Projects/Comcast/Release_for_Test/Test_Build_4.6.7/Server CD/GUI/Setup"/>
    <hyperlink ref="R1296" r:id="rId2059" display="../../../../Releases/Product/MPE_GUI/ReleaseForLQA/TestBuild_1.0.0.2/Server CD/MPE/Setup"/>
    <hyperlink ref="R1297" r:id="rId2060" display="../../../../Releases/Projects/BHN/Release_For_Test/Test_Build_1.0.4/Server CD/DBS/Setup"/>
    <hyperlink ref="R1298" r:id="rId2061" display="../../../../Releases/Product/CSGUI_2.6/Build&amp;Release/Release_For_LQA/Test_Build_1.0.3/Server CD/GUI/Setup"/>
    <hyperlink ref="R1299" r:id="rId2062" display="../../../../Releases/Product/WEB_WFS/Build&amp;Release/Release For Test/TestBuild_2.2.1/Build4/ServerCD/GUI/Setup"/>
    <hyperlink ref="P1300" r:id="rId2063" display="../../../../Releases/Projects/Comcast/Release_For_IT/Test_Build_4.6.1/Server CD/Database/Setup"/>
    <hyperlink ref="R1300" r:id="rId2064" display="../../../../Releases/Projects/Comcast/Release_for_Test/Test_Build_4.6.7/Server CD/Database/Setup"/>
    <hyperlink ref="R1301" r:id="rId2065" display="../../../../Releases/Projects/FNB/Release_For_Test/Test_Build_1.0.1/Server CD/DBS/Setup"/>
    <hyperlink ref="R1302" r:id="rId2066"/>
    <hyperlink ref="R1303" r:id="rId2067"/>
    <hyperlink ref="P1304" r:id="rId2068"/>
    <hyperlink ref="R1305" r:id="rId2069"/>
    <hyperlink ref="R1306" r:id="rId2070" display="../../../../Releases/Projects/SLT/Release_For_LQA/Test_Build_1.0.0.24/Server CD/GUI/Setup"/>
    <hyperlink ref="P1307" r:id="rId2071" display="../../../../Releases/Projects/SLT/Release_For_IT/Test_Build_1.0.0.4/Server CD/DBS/Setup"/>
    <hyperlink ref="R1307" r:id="rId2072" display="../../../../Releases/Projects/SLT/Release_For_LQA/Test_Build_1.0.0.24/Server CD/DBS/Setup"/>
    <hyperlink ref="R1304" r:id="rId2073" display="../../../../Releases/Product/RT_4.0/ReleaseForLQA/TestBuild_4.0.24/DBS/Setup"/>
    <hyperlink ref="R1308" r:id="rId2074" display="../../../../Releases/Product/RevMind_3.0.1/Build&amp;Release/Release_For_LQA/Test_Build_1.0.1/Server CD/DBS/Setup"/>
    <hyperlink ref="P1309" r:id="rId2075" display="../../../../Releases/Projects/Comcast/Release_for_Test/Test_Build_4.6.7/Server CD/Database/Setup"/>
    <hyperlink ref="R1309" r:id="rId2076" display="../../../../Releases/Projects/Comcast/Release_For_IT/Test_Build_4.6.1/Server CD/Database/Setup"/>
    <hyperlink ref="P1310" r:id="rId2077" display="../../../../Releases/Projects/Comcast/Release_for_Test/Test_Build_4.6.7/Server CD/Database/Setup"/>
    <hyperlink ref="R1310" r:id="rId2078" display="../../../../Releases/Projects/Comcast/Release_For_IT/Test_Build_4.6.1/Server CD/Database/Setup"/>
    <hyperlink ref="R1311" r:id="rId2079" display="../../../../Releases/Product/RT_4.0/ReleaseForLQA/TestBuild_4.0.24/GUI/Build1/Setup"/>
    <hyperlink ref="R1312" r:id="rId2080" display="../../../../Releases/Projects/SLT/Release_For_LQA/Test_Build_1.0.0.24/Server CD/GUI/Setup"/>
    <hyperlink ref="P1313" r:id="rId2081" display="../../../../Releases/Product/Netmind_4.6/Build&amp;Release/ReleaseForIT/TestBuild_4.6.1/Build4/ServerCD/DBS/Setup"/>
    <hyperlink ref="R1313" r:id="rId2082" display="../../../../Releases/Product/Netmind_4.6/Build&amp;Release/ReleaseForTest/TestBuild_4.6.1/Build4/ServerCD/DBS/Setup"/>
    <hyperlink ref="P1314" r:id="rId2083" display="../../../../Releases/Projects/Telstra/Release_For_IT/Test_Build_1.0.0.18/Server CD/DBS/Setup"/>
    <hyperlink ref="R1314" r:id="rId2084" display="../../../../Releases/Projects/Telstra/Release_For_LQA/Test_Build_1.0.0.18/Server CD/DBS/Setup"/>
    <hyperlink ref="R1315" r:id="rId2085" display="../../../../Releases/Projects/MOBSA/Release_For_LQA/Test_Build_1.0.0.3/Server CD/MPE/Setup"/>
    <hyperlink ref="P1316" r:id="rId2086" display="../../../../Releases/Projects/ANTEL/Release_For_IT/TestBuild_1.0.0.4/Server CD/DBS/Setup"/>
    <hyperlink ref="R1316" r:id="rId2087" display="../../../../Releases/Projects/ANTEL/Release_For_Test/Test_Build_1.0.0.7/Server CD/DBS/Setup"/>
    <hyperlink ref="P1317" r:id="rId2088" display="../../../../Releases/Projects/ANTEL/Release_For_IT/TestBuild_1.0.0.4/Server CD/DBS/Setup"/>
    <hyperlink ref="R1317" r:id="rId2089" display="../../../../Releases/Projects/ANTEL/Release_For_Test/Test_Build_1.0.0.7/Server CD/DBS/Setup"/>
    <hyperlink ref="P1318" r:id="rId2090" display="../../../../Releases/Projects/ANTEL/Release_For_IT/TestBuild_1.0.0.4/Server CD/DBS/Setup"/>
    <hyperlink ref="R1318" r:id="rId2091" display="../../../../Releases/Projects/ANTEL/Release_For_Test/Test_Build_1.0.0.7/Server CD/DBS/Setup"/>
    <hyperlink ref="R1319" r:id="rId2092" display="../../../../Releases/Product/WEB_WFS/Build&amp;Release/Release For Test/TestBuild_2.1.35/ServerCD/GUI/Setup"/>
    <hyperlink ref="P1320" r:id="rId2093" display="../../../../Releases/Projects/ANTEL/Release_For_Test/Test_Build_1.0.0.7/Server CD/DBS/Setup"/>
    <hyperlink ref="R1320" r:id="rId2094" display="../../../../Releases/Projects/ANTEL/Release_For_IT/TestBuild_1.0.0.4/Server CD/DBS/Setup"/>
    <hyperlink ref="R1321" r:id="rId2095" display="../../../../Releases/Projects/ANTEL/Release_For_Test/Test_Build_1.0.0.7/Server CD/GUI/Setup"/>
    <hyperlink ref="R1322" r:id="rId2096" display="../../../../Releases/Projects/ANTEL/Release_For_Test/Test_Build_1.0.0.7/Server CD/MPE/Setup%0d"/>
    <hyperlink ref="P1327" r:id="rId2097" display="../../../../Releases/Projects/Telstra/Release_For_IT/Test_Build_1.0.0.18/Server CD/DBS/Setup"/>
    <hyperlink ref="R1327" r:id="rId2098" display="../../../../Releases/Projects/Telstra/Release_For_LQA/Test_Build_1.0.0.18/Server CD/DBS/Setup"/>
    <hyperlink ref="P1328" r:id="rId2099" display="../../../../Releases/Projects/TLSTR-ST/Release_For_Test/Test_Build_1.0.1/Server CD/DBS/Setup"/>
    <hyperlink ref="R1328" r:id="rId2100" display="../../../../Releases/Projects/TLSTR-ST/Release_For_IT/TestBuild_1.0.1/Server CD/DBS/Setup"/>
    <hyperlink ref="R1329" r:id="rId2101" display="../../../../Releases/Projects/BHN/Release_For_Test/Test_Build_1.0.5/Server CD/DBS/Setup"/>
    <hyperlink ref="R1330" r:id="rId2102" display="../../../../Releases/Product/RevMind_2.1/Build&amp;Release/Release_For_LQA/Test_Build_1.0.2/Server CD/GUI/CS/Setup"/>
    <hyperlink ref="P1331" r:id="rId2103" display="../../../../Releases/Product/MPE_3.2/ReleaseForLQA/TestBuild_3.2.1/Build2/ServerCD/Setup/Oracle_Linux_6.2"/>
    <hyperlink ref="R1331" r:id="rId2104" display="../../../../Releases/Product/MPE_3.2/ReleaseForLQA/TestBuild_3.2.1/Build2/ServerCD/Setup/RHEL_6.3"/>
    <hyperlink ref="R1332" r:id="rId2105" display="../../../../Releases/Projects/TLSTR-ST/Release_For_Test/Test_Build_1.0.1/Server CD/MPE/Setup"/>
    <hyperlink ref="P1333" r:id="rId2106" display="../../../../Releases/Projects/Telstra/Release_For_IT/Test_Build_1.0.0.18/Server CD/DBS/Setup"/>
    <hyperlink ref="R1333" r:id="rId2107" display="../../../../Releases/Projects/Telstra/Release_For_LQA/Test_Build_1.0.0.18/Server CD/DBS/Setup"/>
    <hyperlink ref="R1285" r:id="rId2108" display="../../../../Releases/Projects/TLSTR-ST/Release_For_Test/Test_Build_1.0.1/Server CD/DBS/Setup"/>
    <hyperlink ref="P1334" r:id="rId2109" display="../../../../Releases/Projects/ANTEL/Release_For_IT/TestBuild_1.0.0.4/Server CD/DBS/Setup"/>
    <hyperlink ref="R1334" r:id="rId2110" display="../../../../Releases/Projects/ANTEL/Release_For_Test/Test_Build_1.0.0.7/Server CD/DBS/Setup"/>
    <hyperlink ref="R1335" r:id="rId2111" display="../../../../Releases/Projects/Comcast/Release_for_Test/Test_Build_4.6.7/Server CD/GUI/Setup"/>
    <hyperlink ref="P1336" r:id="rId2112" display="../../../../Releases/Projects/TLSTR-ST/Release_For_IT/TestBuild_1.0.1/Server CD/DBS/Setup"/>
    <hyperlink ref="R1336" r:id="rId2113" display="../../../../Releases/Projects/TLSTR-ST/Release_For_Test/Test_Build_1.0.1/Server CD/DBS/Setup"/>
    <hyperlink ref="R1337" r:id="rId2114" display="../../../../Releases/Product/MPE_3.2/ReleaseForLQA/TestBuild_3.2.6/Server CD/MPE/Setup"/>
    <hyperlink ref="R1338" r:id="rId2115" display="../../../../Releases/Projects/MCC/Release_For_Test/Test_Build_1.0.1/Server CD/GUI/Setup"/>
    <hyperlink ref="R1339" r:id="rId2116" display="../../../../Releases/Projects/TLSTR-ST/Release_For_Test/Test_Build_1.0.1/Server CD/MPE/Setup"/>
    <hyperlink ref="P1340" r:id="rId2117" display="../../../../Releases/Projects/OBT/Release_For_IT/TestBuild_1.0.0.2/Server CD/DBS/Setup"/>
    <hyperlink ref="R1340" r:id="rId2118" display="../../../../Releases/Projects/OBT/Release_For_LQA/TestBuild_1.0.0.7/Server CD/DBS/Setup"/>
    <hyperlink ref="P1326" r:id="rId2119"/>
    <hyperlink ref="R1341" r:id="rId2120" display="../../../../Releases/Projects/ANTEL/Release_For_Test/Test_Build_1.0.0.7/Server CD/MPE/Setup%0d"/>
    <hyperlink ref="P1342" r:id="rId2121" display="../../../../Releases/Projects/TLSTR-ST/Release_For_IT/TestBuild_1.0.1/Server CD/DBS/Setup"/>
    <hyperlink ref="R1342" r:id="rId2122" display="../../../../Releases/Projects/TLSTR-ST/Release_For_Test/Test_Build_1.0.1/Server CD/DBS/Setup"/>
    <hyperlink ref="R1343" r:id="rId2123" display="../../../../Releases/Projects/MCC/Release_For_Test/Test_Build_1.0.1/Server CD/MPE/Setup"/>
    <hyperlink ref="P1344" r:id="rId2124" display="../../../../Releases/Projects/TLSTR-ST/Release_For_IT/TestBuild_1.0.1/Server CD/DBS/Setup"/>
    <hyperlink ref="R1344" r:id="rId2125" display="../../../../Releases/Projects/TLSTR-ST/Release_For_Test/Test_Build_1.0.1/Server CD/DBS/Setup"/>
    <hyperlink ref="R1345" r:id="rId2126" display="../../../../Releases/Product/RevMind_3.0.1/Build&amp;Release/Release_For_LQA/Test_Build_1.0.1/Server CD/DBS/Setup"/>
    <hyperlink ref="P1346" r:id="rId2127" display="../../../../Releases/Projects/TWC/Release_For_IT/Test_Build_1.0.0.3/Server CD/DBS/Setup"/>
    <hyperlink ref="R1346" r:id="rId2128" display="../../../../Releases/Projects/TWC/Release_For_Test/Test_Build_1.0.0.4/Server CD/DBS/Setup"/>
    <hyperlink ref="P1347" r:id="rId2129" display="../../../../Releases/Projects/TLSTR-ST/Release_For_IT/TestBuild_1.0.1/Server CD/DBS/Setup"/>
    <hyperlink ref="R1347" r:id="rId2130" display="../../../../Releases/Projects/TLSTR-ST/Release_For_Test/Test_Build_1.0.1/Server CD/DBS/Setup"/>
    <hyperlink ref="R1348" r:id="rId2131" display="../../../../Releases/Product/CSGUI_2.6/Build&amp;Release/Release_For_LQA/Test_Build_1.0.3/Server CD/GUI/Setup"/>
    <hyperlink ref="R1349" r:id="rId2132" display="../../../../Releases/Product/WEB_WFS/Build&amp;Release/Release For Test/TestBuild_2.2.1/Build4/ServerCD/GUI/Setup"/>
    <hyperlink ref="P1350" r:id="rId2133" display="../../../../Releases/Projects/Telenet/Build&amp;Release/Release For IT/Test_Build_4.0.41/Server CD/Database/Setup"/>
    <hyperlink ref="R1350" r:id="rId2134" display="../../../../Releases/Projects/Telenet/Build&amp;Release/Release For Test/Test_Build_4.0.41/Server CD/Database/Setup"/>
    <hyperlink ref="R1351" r:id="rId2135" display="../../../../Releases/Product/MEDGUI_1.1/Build&amp;Release/Release_For_LQA/Test_Build_1.0.1/Server CD/DBS/Setup"/>
    <hyperlink ref="R1352" r:id="rId2136" display="../../../../Releases/Projects/MCC/Release_For_Test/Test_Build_1.0.1/Server CD/DBS/Setup"/>
    <hyperlink ref="R1353" r:id="rId2137" display="../../../../Releases/Product/MEDGUI_1.1/Build&amp;Release/Release_For_LQA/Test_Build_1.0.1/Server CD/MPE/Setup/RHEL_6.3"/>
    <hyperlink ref="R1354" r:id="rId2138" display="../../../../Releases/Product/MEDGUI_1.1/Build&amp;Release/Release_For_LQA/Test_Build_1.0.1/Server CD/GUI/Setup"/>
    <hyperlink ref="P1355" r:id="rId2139" display="../../../../Releases/Projects/FNB/Release_For_IT/TestBuild_1.0.1/Server CD/DBS/Setup"/>
    <hyperlink ref="R1355" r:id="rId2140" display="../../../../Releases/Projects/FNB/Release_For_Test/Test_Build_1.0.1/Server CD/DBS/Setup"/>
    <hyperlink ref="R1356" r:id="rId2141" display="../../../../Releases/Projects/MCC/Release_For_Test/Test_Build_1.0.1/Server CD/DBS/Setup"/>
    <hyperlink ref="R1357" r:id="rId2142" display="../../../../Releases/Projects/TLSTR-ST/Release_For_Test/Test_Build_1.0.1/Server CD/MPE/Setup"/>
    <hyperlink ref="P1358" r:id="rId2143" display="../../../../Releases/Projects/Telenet/Build&amp;Release/Release For IT/Test_Build_4.0.41/Server CD/Database/Setup"/>
    <hyperlink ref="R1358" r:id="rId2144" display="../../../../Releases/Projects/Telenet/Build&amp;Release/Release For Test/Test_Build_4.0.41/Server CD/Database/Setup"/>
    <hyperlink ref="P1359" r:id="rId2145" display="../../../../Releases/Projects/Telenet/Build&amp;Release/Release For IT/Test_Build_4.0.41/Server CD/Database/Setup"/>
    <hyperlink ref="R1359" r:id="rId2146" display="../../../../Releases/Projects/Telenet/Build&amp;Release/Release For Test/Test_Build_4.0.41/Server CD/Database/Setup"/>
    <hyperlink ref="P1360" r:id="rId2147" display="../../../../Releases/Product/Netmind_4.6/Build&amp;Release/ReleaseForIT/TestBuild_4.6.1/Build4/ServerCD/DBS/Setup"/>
    <hyperlink ref="R1360" r:id="rId2148" display="../../../../Releases/Product/Netmind_4.6/Build&amp;Release/ReleaseForTest/TestBuild_4.6.1/Build4/ServerCD/DBS/Setup"/>
    <hyperlink ref="P1361" r:id="rId2149" display="../../../../Releases/Projects/TLSTR-ST/Release_For_IT/TestBuild_1.0.1/Server CD/DBS/Setup"/>
    <hyperlink ref="R1361" r:id="rId2150" display="../../../../Releases/Projects/TLSTR-ST/Release_For_Test/Test_Build_1.0.1/Server CD/DBS/Setup"/>
    <hyperlink ref="R1362" r:id="rId2151" display="../../../../Releases/Product/MPE_GUI/ReleaseForLQA/TestBuild_1.0.0.2/Server CD/MPE/Setup"/>
    <hyperlink ref="R1363" r:id="rId2152" display="../../../../Releases/Product/IM_1.0/Build&amp;Release/Release_For_LQA/Test_Build_1.0.4/Server CD/IM/Setup"/>
    <hyperlink ref="R1364" r:id="rId2153"/>
    <hyperlink ref="P1365" r:id="rId2154" display="../../../../Releases/Projects/TLSTR-ST/Release_For_IT/TestBuild_1.0.1/Server CD/DBS/Setup"/>
    <hyperlink ref="P1366" r:id="rId2155" display="../../../../Releases/Projects/TLSTR-ST/Release_For_IT/TestBuild_1.0.1/Server CD/DBS/Setup"/>
    <hyperlink ref="R1367" r:id="rId2156" display="../../../../Releases/Projects/FNB/Release_For_Test/Test_Build_1.0.1/Server CD/MPE/Setup"/>
    <hyperlink ref="P1368" r:id="rId2157" display="../../../../Releases/Projects/TWC/Release_For_IT/Test_Build_1.0.0.3/Server CD/DBS/Setup"/>
    <hyperlink ref="R1368" r:id="rId2158" display="../../../../Releases/Projects/TWC/Release_For_Test/Test_Build_1.0.0.4/Server CD/DBS/Setup"/>
    <hyperlink ref="R1369" r:id="rId2159" display="../../../../Releases/Projects/FNB/Release_For_Test/Test_Build_1.0.1/Server CD/GUI/Setup"/>
    <hyperlink ref="R1370" r:id="rId2160" display="../../../../Releases/Projects/FNB/Release_For_Test/Test_Build_1.0.1/Server CD/GUI/Setup"/>
    <hyperlink ref="R1371" r:id="rId2161" display="../../../../Releases/Projects/ANTEL/Release_For_Test/Test_Build_1.0.0.7/Server CD/GUI/Setup"/>
    <hyperlink ref="P1372" r:id="rId2162" display="../../../../Releases/Projects/FNB/Release_For_IT/TestBuild_1.0.1/Server CD/DBS/Setup"/>
    <hyperlink ref="R1372" r:id="rId2163" display="../../../../Releases/Projects/FNB/Release_For_Test/Test_Build_1.0.1/Server CD/DBS/Setup"/>
    <hyperlink ref="P1373" r:id="rId2164" display="../../../../Releases/Projects/TLSTR-ST/Release_For_IT/TestBuild_1.0.1/Server CD/DBS/Setup"/>
    <hyperlink ref="R1373" r:id="rId2165" display="../../../../Releases/Projects/TLSTR-ST/Release_For_Test/Test_Build_1.0.1/Server CD/DBS/Setup"/>
    <hyperlink ref="P1374" r:id="rId2166" display="../../../../Releases/Projects/TLSTR-ST/Release_For_IT/TestBuild_1.0.1/Server CD/DBS/Setup"/>
    <hyperlink ref="R1374" r:id="rId2167" display="../../../../Releases/Projects/TLSTR-ST/Release_For_Test/Test_Build_1.0.1/Server CD/DBS/Setup"/>
    <hyperlink ref="P1375" r:id="rId2168" display="../../../../Releases/Product/RT_4.0/ReleaseForIT/TestBuild_4.0.3/DBS/Setup"/>
    <hyperlink ref="R1375" r:id="rId2169" display="../../../../Releases/Product/RT_4.0/ReleaseForLQA/TestBuild_4.0.24/DBS/Setup"/>
    <hyperlink ref="P1376" r:id="rId2170" display="../../../../Releases/Projects/SLT/Release_For_IT/Test_Build_1.0.0.4/Server CD/DBS/Setup"/>
    <hyperlink ref="R1376" r:id="rId2171" display="../../../../Releases/Projects/SLT/Release_For_LQA/Test_Build_1.0.0.24/Server CD/DBS/Setup"/>
    <hyperlink ref="P1377" r:id="rId2172"/>
    <hyperlink ref="R1377" r:id="rId2173"/>
    <hyperlink ref="P1378" r:id="rId2174"/>
    <hyperlink ref="R1378" r:id="rId2175"/>
    <hyperlink ref="R1379" r:id="rId2176"/>
    <hyperlink ref="P1380" r:id="rId2177"/>
    <hyperlink ref="R1380" r:id="rId2178"/>
    <hyperlink ref="P1382" r:id="rId2179" display="../../../../Releases/Projects/FNB/Release_For_IT/TestBuild_1.0.1/Server CD/DBS/Setup"/>
    <hyperlink ref="R1382" r:id="rId2180" display="../../../../Releases/Projects/FNB/Release_For_Test/Test_Build_1.0.1/Server CD/DBS/Setup"/>
    <hyperlink ref="R1383" r:id="rId2181" display="../../../../Releases/Projects/Comcast/Release_for_Test/Test_Build_4.6.7/Server CD/GUI/Setup"/>
    <hyperlink ref="R1381" r:id="rId2182" display="../../../../Releases/Product/RT_4.0/ReleaseForLQA/TestBuild_4.0.24/GUI/Build1/Setup"/>
    <hyperlink ref="R1384" r:id="rId2183" display="../../../../Releases/Product/RT_4.0/ReleaseForLQA/TestBuild_4.0.24/GUI/Build1/Setup"/>
    <hyperlink ref="R1385" r:id="rId2184" display="../../../../Releases/Projects/BHN/Release_For_Test/Test_Build_1.0.5/Server CD/GUI/Setup"/>
    <hyperlink ref="R1386" r:id="rId2185" display="../../../../Releases/Projects/SLT/Release_For_LQA/Test_Build_1.0.0.24/Server CD/GUI/Setup"/>
    <hyperlink ref="R1387" r:id="rId2186" display="../../../../Releases/Projects/Telstra-2b/Release_For_Test/Test_Build_1.0.0.1/Server CD/MPE/Setup"/>
    <hyperlink ref="P1388" r:id="rId2187" display="../../../../Releases/Projects/ANTEL/Release_For_IT/TestBuild_1.0.0.4/Server CD/DBS/Setup"/>
    <hyperlink ref="R1388" r:id="rId2188" display="../../../../Releases/Projects/ANTEL/Release_For_Test/Test_Build_1.0.0.7/Server CD/DBS/Setup"/>
    <hyperlink ref="P1389" r:id="rId2189" display="../../../../Releases/Projects/SLT/Release_For_IT/Test_Build_1.0.0.4/Server CD/DBS/Setup"/>
    <hyperlink ref="R1389" r:id="rId2190" display="../../../../Releases/Projects/SLT/Release_For_LQA/Test_Build_1.0.0.24/Server CD/DBS/Setup"/>
    <hyperlink ref="R1390" r:id="rId2191" display="../../../../Releases/Projects/BHN/Release_For_Test/Test_Build_1.0.5/Server CD/GUI/Setup"/>
    <hyperlink ref="R1391" r:id="rId2192"/>
    <hyperlink ref="P1392" r:id="rId2193" display="../../../../Releases/Projects/TLSTR-ST/Release_For_IT/TestBuild_1.0.1/Server CD/DBS/Setup"/>
    <hyperlink ref="R1392" r:id="rId2194" display="../../../../Releases/Projects/TLSTR-ST/Release_For_Test/Test_Build_1.0.1/Server CD/DBS/Setup"/>
    <hyperlink ref="P1393" r:id="rId2195" display="../../../../Releases/Projects/TLSTR-ST/Release_For_IT/TestBuild_1.0.1/Server CD/DBS/Setup"/>
    <hyperlink ref="R1393" r:id="rId2196" display="../../../../Releases/Projects/TLSTR-ST/Release_For_Test/Test_Build_1.0.1/Server CD/DBS/Setup"/>
    <hyperlink ref="P1394" r:id="rId2197" display="../../../../Releases/Projects/TLSTR-ST/Release_For_IT/TestBuild_1.0.1/Server CD/DBS/Setup"/>
    <hyperlink ref="R1394" r:id="rId2198" display="../../../../Releases/Projects/TLSTR-ST/Release_For_Test/Test_Build_1.0.1/Server CD/DBS/Setup"/>
    <hyperlink ref="R1395" r:id="rId2199" display="../../../../Releases/Product/LA_1.1/Build&amp;Release/Release_For_LQA/Test_Build_1.0.1/Server CD/GUI/Setup"/>
    <hyperlink ref="R1396" r:id="rId2200" display="../../../../Releases/Product/LA_1.1/Build&amp;Release/Release_For_LQA/Test_Build_1.0.1/Server CD/DBS/Setup"/>
    <hyperlink ref="R1397" r:id="rId2201" display="../../../../Releases/Projects/TLSTR-ST/Release_For_Test/Test_Build_1.0.1/Server CD/MPE/Setup"/>
    <hyperlink ref="P1398" r:id="rId2202" display="../../../../Releases/Product/RT_4.0/ReleaseForIT/TestBuild_4.0.3/DBS/Setup"/>
    <hyperlink ref="R1398" r:id="rId2203" display="../../../../Releases/Product/RT_4.0/ReleaseForLQA/TestBuild_4.0.24/DBS/Setup"/>
    <hyperlink ref="R1399" r:id="rId2204" display="../../../../Releases/Projects/SLT/Release_For_LQA/Test_Build_1.0.0.24/Server CD/GUI/Setup"/>
    <hyperlink ref="P1400" r:id="rId2205" display="../../../../Releases/Projects/TLSTR-ST/Release_For_IT/TestBuild_1.0.1/Server CD/DBS/Setup"/>
    <hyperlink ref="R1400" r:id="rId2206" display="../../../../Releases/Projects/TLSTR-ST/Release_For_Test/Test_Build_1.0.1/Server CD/DBS/Setup"/>
    <hyperlink ref="P1401" r:id="rId2207" display="../../../../Releases/Projects/ANTEL/Release_For_IT/TestBuild_1.0.0.4/Server CD/DBS/Setup"/>
    <hyperlink ref="R1401" r:id="rId2208" display="../../../../Releases/Projects/ANTEL/Release_For_Test/Test_Build_1.0.0.7/Server CD/DBS/Setup"/>
    <hyperlink ref="R1402" r:id="rId2209"/>
    <hyperlink ref="P1403" r:id="rId2210" display="../../../../Releases/Projects/ANTEL/Release_For_IT/TestBuild_1.0.0.4/Server CD/DBS/Setup"/>
    <hyperlink ref="R1403" r:id="rId2211" display="../../../../Releases/Projects/ANTEL/Release_For_Test/Test_Build_1.0.0.7/Server CD/DBS/Setup"/>
    <hyperlink ref="P1404" r:id="rId2212" display="../../../../Releases/Product/Netmind_4.6/Build&amp;Release/ReleaseForIT/TestBuild_4.6.1/Build4/ServerCD/DBS/Setup"/>
    <hyperlink ref="R1404" r:id="rId2213" display="../../../../Releases/Product/Netmind_4.6/Build&amp;Release/ReleaseForTest/TestBuild_4.6.1/Build4/ServerCD/DBS/Setup"/>
    <hyperlink ref="P1405" r:id="rId2214" display="../../../../Releases/Projects/SLT/Release_For_IT/Test_Build_1.0.0.4/Server CD/DBS/Setup"/>
    <hyperlink ref="R1405" r:id="rId2215" display="../../../../Releases/Projects/SLT/Release_For_LQA/Test_Build_1.0.0.24/Server CD/DBS/Setup"/>
    <hyperlink ref="P1406" r:id="rId2216" display="../../../../Releases/Projects/SLT/Release_For_IT/Test_Build_1.0.0.4/Server CD/DBS/Setup"/>
    <hyperlink ref="R1406" r:id="rId2217" display="../../../../Releases/Projects/SLT/Release_For_LQA/Test_Build_1.0.0.24/Server CD/DBS/Setup"/>
    <hyperlink ref="P1407" r:id="rId2218" display="../../../../Releases/Projects/TLSTR-ST/Release_For_Test/Test_Build_1.0.1/Server CD/DBS/Setup"/>
    <hyperlink ref="R1408" r:id="rId2219" display="../../../../Releases/Projects/SLT-1B/Release_For_Test/Test_Build_1.0.0.1/Server CD/MPE/Setup"/>
    <hyperlink ref="R1409" r:id="rId2220" display="../../../../Releases/Projects/MCC/Release_For_Test/Test_Build_1.0.1/Server CD/DBS/Setup"/>
    <hyperlink ref="R1410" r:id="rId2221" display="../../../../Releases/Projects/MCC/Release_For_Test/Test_Build_1.0.1/Server CD/GUI/Setup"/>
    <hyperlink ref="P1411" r:id="rId2222" display="../../../../Releases/Projects/BHN/Release_For_IT/TestBuild_1.0.0.1/Server CD/Utility/Setup"/>
    <hyperlink ref="P1412" r:id="rId2223" display="../../../../Releases/Projects/BHN/Release_For_IT/TestBuild_1.0.0.1/Server CD/Utility/Setup"/>
    <hyperlink ref="P1413" r:id="rId2224" display="../../../../Releases/Projects/SLT/Release_For_IT/Test_Build_1.0.0.4/Server CD/DBS/Setup"/>
    <hyperlink ref="R1413" r:id="rId2225" display="../../../../Releases/Projects/SLT/Release_For_LQA/Test_Build_1.0.0.24/Server CD/DBS/Setup"/>
    <hyperlink ref="P1414" r:id="rId2226" display="../../../../Releases/Projects/TLSTR-ST/Release_For_Test/Test_Build_1.0.1/Server CD/DBS/Setup"/>
    <hyperlink ref="R1414" r:id="rId2227" display="../../../../Releases/Projects/TLSTR-ST/Release_For_Test/Test_Build_1.0.1/Server CD/DBS/Setup"/>
    <hyperlink ref="R1415" r:id="rId2228" display="../../../../Releases/Projects/SLT-1B/Release_For_Test/Test_Build_1.0.0.1/Server CD/MPE/Setup"/>
    <hyperlink ref="R1407" r:id="rId2229" display="../../../../Releases/Projects/TLSTR-ST/Release_For_Test/Test_Build_1.0.1/Server CD/DBS/Setup"/>
    <hyperlink ref="P1416" r:id="rId2230" display="../../../../Releases/Projects/ANTEL/Release_For_IT/TestBuild_1.0.0.4/Server CD/DBS/Setup"/>
    <hyperlink ref="R1416" r:id="rId2231" display="../../../../Releases/Projects/ANTEL/Release_For_Test/Test_Build_1.0.0.7/Server CD/DBS/Setup"/>
    <hyperlink ref="P1417" r:id="rId2232" display="../../../../Releases/Projects/SLT/Release_For_IT/Test_Build_1.0.0.4/Server CD/DBS/Setup"/>
    <hyperlink ref="R1417" r:id="rId2233" display="../../../../Releases/Projects/SLT/Release_For_LQA/Test_Build_1.0.0.24/Server CD/DBS/Setup"/>
    <hyperlink ref="P1418" r:id="rId2234" display="../../../../Releases/Projects/SLT/Release_For_IT/Test_Build_1.0.0.4/Server CD/DBS/Setup"/>
    <hyperlink ref="R1418" r:id="rId2235" display="../../../../Releases/Projects/SLT/Release_For_LQA/Test_Build_1.0.0.24/Server CD/DBS/Setup"/>
    <hyperlink ref="P1419" r:id="rId2236" display="../../../../Releases/Projects/SLT/Release_For_IT/Test_Build_1.0.0.4/Server CD/DBS/Setup"/>
    <hyperlink ref="R1419" r:id="rId2237" display="../../../../Releases/Projects/SLT/Release_For_LQA/Test_Build_1.0.0.24/Server CD/DBS/Setup"/>
    <hyperlink ref="R1420" r:id="rId2238" display="../../../../Releases/Projects/SLT-1B/Release_For_Test/Test_Build_1.0.0.1/Server CD/MPE/Setup"/>
    <hyperlink ref="P1421" r:id="rId2239" display="../../../../Releases/Projects/Comcast/Release_For_IT/Test_Build_4.6.1/Server CD/Database/Setup"/>
    <hyperlink ref="R1421" r:id="rId2240" display="../../../../Releases/Projects/Comcast/Release_for_Test/Test_Build_4.6.7/Server CD/Database/Setup"/>
    <hyperlink ref="R1422" r:id="rId2241"/>
    <hyperlink ref="R1423" r:id="rId2242" display="../../../../Releases/Projects/SLT-1B/Release_For_Test/Test_Build_1.0.0.1/Server CD/MPE/Setup"/>
    <hyperlink ref="R1424" r:id="rId2243" display="../../../../Releases/Projects/SLT-1B/Release_For_Test/Test_Build_1.0.0.1/Utility/MPE/Setup"/>
    <hyperlink ref="P1425" r:id="rId2244" display="../../../../Releases/Projects/Comcast/Release_For_IT/Test_Build_4.6.1/Server CD/Database/Setup"/>
    <hyperlink ref="R1425" r:id="rId2245" display="../../../../Releases/Projects/Comcast/Release_for_Test/Test_Build_4.6.7/Server CD/Database/Setup"/>
    <hyperlink ref="P1426" r:id="rId2246" display="../../../../Releases/Projects/OBT/Release_For_IT/TestBuild_1.0.0.2/Server CD/DBS/Setup"/>
    <hyperlink ref="R1426" r:id="rId2247" display="../../../../Releases/Projects/OBT/Release_For_LQA/TestBuild_1.0.0.7/Server CD/DBS/Setup"/>
    <hyperlink ref="R1427" r:id="rId2248" display="../../../../Releases/Projects/SLT-1B/Release_For_Test/Test_Build_1.0.0.1/Utility/MPE/Setup"/>
    <hyperlink ref="P1428" r:id="rId2249" display="../../../../Releases/Projects/TLSTR-ST/Release_For_IT/TestBuild_1.0.1/Server CD/DBS/Setup"/>
    <hyperlink ref="R1428" r:id="rId2250" display="../../../../Releases/Projects/TLSTR-ST/Release_For_Test/Test_Build_1.0.1/Server CD/DBS/Setup"/>
    <hyperlink ref="P1429" r:id="rId2251" display="../../../../Releases/Projects/TLSTR-ST/Release_For_IT/TestBuild_1.0.1/Server CD/DBS/Setup"/>
    <hyperlink ref="P1430" r:id="rId2252" display="../../../../Releases/Projects/ANTEL/Release_For_IT/TestBuild_1.0.0.4/Server CD/DBS/Setup"/>
    <hyperlink ref="R1430" r:id="rId2253" display="../../../../Releases/Projects/ANTEL/Release_For_Test/Test_Build_1.0.0.7/Server CD/DBS/Setup"/>
    <hyperlink ref="P1431" r:id="rId2254" display="../../../../Releases/Projects/TLSTR-ST/Release_For_IT/TestBuild_1.0.1/Server CD/DBS/Setup"/>
    <hyperlink ref="R1431" r:id="rId2255" display="../../../../Releases/Projects/TLSTR-ST/Release_For_Test/Test_Build_1.0.1/Server CD/DBS/Setup"/>
    <hyperlink ref="R1429" r:id="rId2256" display="../../../../Releases/Projects/TLSTR-ST/Release_For_Test/Test_Build_1.0.1/Server CD/DBS/Setup"/>
    <hyperlink ref="R68" r:id="rId2257" display="../../../../Releases/Projects/Vonage/Release_For_LQA/Test_Build_4.0.16/Server CD/MPE/Setup"/>
    <hyperlink ref="P1432" r:id="rId2258" display="../../../../Releases/Projects/ANTEL/Release_For_IT/TestBuild_1.0.0.4/Server CD/DBS/Setup"/>
    <hyperlink ref="R1432" r:id="rId2259" display="../../../../Releases/Projects/ANTEL/Release_For_Test/Test_Build_1.0.0.7/Server CD/DBS/Setup"/>
    <hyperlink ref="P1433" r:id="rId2260" display="../../../../Releases/Projects/Telstra/Release_For_IT/Test_Build_1.0.0.18/Server CD/DBS/Setup"/>
    <hyperlink ref="R1433" r:id="rId2261" display="../../../../Releases/Projects/Telstra/Release_For_LQA/Test_Build_1.0.0.18/Server CD/DBS/Setup"/>
    <hyperlink ref="R1434" r:id="rId2262" display="../../../../Releases/Projects/ANTEL/Release_For_Test/Test_Build_1.0.0.7/Server CD/GUI/Setup"/>
    <hyperlink ref="R1435" r:id="rId2263" display="../../../../Releases/Product/RE_2.0/Build&amp;Release/Release_For_LQA/Test_Build_1.0.1/Server CD/DBS/Setup"/>
    <hyperlink ref="R1436" r:id="rId2264" display="../../../../Releases/Projects/MCC/Release_For_Test/Test_Build_1.0.1/Server CD/GUI/Setup"/>
    <hyperlink ref="R1437" r:id="rId2265" display="../../../../Releases/Projects/BHN/Release_For_Test/Test_Build_1.0.5/Server CD/DBS/Setup"/>
    <hyperlink ref="P1187" r:id="rId2266" display="../../../../Releases/Projects/SLT/Release_For_IT/Test_Build_1.0.0.4/Server CD/DBS/Setup"/>
    <hyperlink ref="R1187" r:id="rId2267" display="../../../../Releases/Projects/SLT/Release_For_LQA/Test_Build_1.0.0.24/Server CD/DBS/Setup"/>
    <hyperlink ref="P1438" r:id="rId2268" display="../../../../Releases/Projects/OBT/Release_For_IT/TestBuild_1.0.0.2/Server CD/DBS/Setup"/>
    <hyperlink ref="R1438" r:id="rId2269" display="../../../../Releases/Projects/OBT/Release_For_LQA/TestBuild_1.0.0.7/Server CD/DBS/Setup"/>
    <hyperlink ref="R1439" r:id="rId2270" display="../../../../Releases/Projects/SLT-1B/Release_For_Test/Test_Build_1.0.0.1/Utility/MPE/Setup"/>
    <hyperlink ref="R1440" r:id="rId2271" display="../../../../Releases/Projects/SLT-1B/Release_For_Test/Test_Build_1.0.0.1/Server CD/MPE/Setup"/>
    <hyperlink ref="R1441" r:id="rId2272" display="../../../../Releases/Projects/SLT-1B/Release_For_Test/Test_Build_1.0.0.1/Server CD/MPE/Setup"/>
    <hyperlink ref="R1442" r:id="rId2273" display="../../../../Releases/Projects/SLT-1B/Release_For_Test/Test_Build_1.0.0.1/Server CD/MPE/Setup"/>
    <hyperlink ref="P1443" r:id="rId2274" display="../../../../Releases/Projects/BHN/Release_For_Test/Test_Build_1.0.5/Server CD/Utility/Setup"/>
    <hyperlink ref="R1443" r:id="rId2275" display="../../../../Releases/Projects/BHN/Release_For_IT/TestBuild_1.0.0.1/Server CD/Utility/Setup"/>
    <hyperlink ref="P1444" r:id="rId2276" display="../../../../Releases/Projects/BHN/Release_For_Test/Test_Build_1.0.5/Server CD/Utility/Setup"/>
    <hyperlink ref="R1444" r:id="rId2277" display="../../../../Releases/Projects/BHN/Release_For_IT/TestBuild_1.0.0.1/Server CD/Utility/Setup"/>
    <hyperlink ref="R1445" r:id="rId2278" display="../../../../Releases/Product/MPE_GUI/ReleaseForLQA/TestBuild_1.0.0.2/Server CD/MPE/Setup"/>
    <hyperlink ref="R1446" r:id="rId2279" display="../../../../Releases/Projects/FNB/Release_For_Test/Test_Build_1.0.1/Server CD/MPE/Setup"/>
    <hyperlink ref="R1447" r:id="rId2280" display="../../../../Releases/Product/WEB_CS/Build&amp;Release/Release For Test/TestBuild_2.1.22/ServerCD/GUI/Setup"/>
    <hyperlink ref="R1448" r:id="rId2281" display="../../../../Releases/Product/AWF/Build&amp;Release/Release For Test/TestBuild_2.0.1/Setup"/>
    <hyperlink ref="P1449" r:id="rId2282" display="../../../../Releases/Projects/TLSTR-ST/Release_For_Test/Test_Build_1.0.1/Server CD/DBS/Setup"/>
    <hyperlink ref="R1449" r:id="rId2283" display="../../../../Releases/Projects/TLSTR-ST/Release_For_IT/TestBuild_1.0.1/Server CD/DBS/Setup"/>
    <hyperlink ref="P1450" r:id="rId2284" display="../../../../Releases/Projects/BHN/Release_For_IT/TestBuild_1.0.0.1/Server CD/Utility/Setup"/>
    <hyperlink ref="R1450" r:id="rId2285" display="../../../../Releases/Projects/BHN/Release_For_Test/Test_Build_1.0.5/Server CD/Utility/Setup"/>
    <hyperlink ref="P1451" r:id="rId2286" display="../../../../Releases/Projects/BHN/Release_For_IT/TestBuild_1.0.0.1/Server CD/Utility/Setup"/>
    <hyperlink ref="R1451" r:id="rId2287" display="../../../../Releases/Projects/BHN/Release_For_Test/Test_Build_1.0.5/Server CD/Utility/Setup"/>
    <hyperlink ref="R1452" r:id="rId2288" display="../../../../Releases/Projects/TLSTR-ST/Release_For_Test/Test_Build_1.0.1/Server CD/MPE/Setup"/>
    <hyperlink ref="P1453" r:id="rId2289" display="../../../../Releases/Projects/TLSTR-ST/Release_For_IT/TestBuild_1.0.1/Server CD/DBS/Setup"/>
    <hyperlink ref="R1453" r:id="rId2290" display="../../../../Releases/Projects/TLSTR-ST/Release_For_Test/Test_Build_1.0.1/Server CD/DBS/Setup"/>
    <hyperlink ref="P1454" r:id="rId2291" display="../../../../Releases/Projects/ANTEL/Release_For_IT/TestBuild_1.0.0.4/Server CD/DBS/Setup"/>
    <hyperlink ref="R1454" r:id="rId2292" display="../../../../Releases/Projects/ANTEL/Release_For_Test/Test_Build_1.0.0.7/Server CD/DBS/Setup"/>
    <hyperlink ref="P1455" r:id="rId2293" display="../../../../Releases/Projects/ANTEL/Release_For_IT/TestBuild_1.0.0.4/Server CD/DBS/Setup"/>
    <hyperlink ref="R1455" r:id="rId2294" display="../../../../Releases/Projects/ANTEL/Release_For_Test/Test_Build_1.0.0.7/Server CD/DBS/Setup"/>
    <hyperlink ref="R1456" r:id="rId2295" display="../../../../Releases/Projects/SLT-1B/Release_For_Test/Test_Build_1.0.0.1/Server CD/MPE/Setup"/>
    <hyperlink ref="P1457" r:id="rId2296" display="../../../../Releases/Projects/TLSTR-ST/Release_For_IT/TestBuild_1.0.1/Server CD/DBS/Setup"/>
    <hyperlink ref="R1457" r:id="rId2297" display="../../../../Releases/Projects/TLSTR-ST/Release_For_Test/Test_Build_1.0.1/Server CD/DBS/Setup"/>
    <hyperlink ref="R1458" r:id="rId2298" display="../../../../Releases/Projects/Telstra-2b/Release_For_Test/Test_Build_1.0.0.1/Server CD/MPE/Setup"/>
    <hyperlink ref="R1459" r:id="rId2299" display="../../../../Releases/Product/RE_2.0/Build&amp;Release/Release_For_LQA/Test_Build_1.0.1/Server CD/GUI/Setup"/>
    <hyperlink ref="R1460" r:id="rId2300" display="../../../../Releases/Product/RE_2.0/Build&amp;Release/Release_For_LQA/Test_Build_1.0.1/Server CD/DBS/Setup"/>
    <hyperlink ref="P1461" r:id="rId2301" display="../../../../Releases/Projects/SLT/Release_For_IT/Test_Build_1.0.0.4/Server CD/DBS/Setup"/>
    <hyperlink ref="R1461" r:id="rId2302" display="../../../../Releases/Projects/SLT/Release_For_LQA/Test_Build_1.0.0.24/Server CD/DBS/Setup"/>
    <hyperlink ref="R1462" r:id="rId2303" display="../../../../Releases/Projects/FNB/Release_For_Test/Test_Build_1.0.1/Server CD/MPE/Setup"/>
    <hyperlink ref="R1463" r:id="rId2304" display="../../../../Releases/Projects/MCC/Release_For_Test/Test_Build_1.0.1/Server CD/MPE/Setup"/>
    <hyperlink ref="P1464" r:id="rId2305" display="../../../../Releases/Projects/TLSTR-ST/Release_For_IT/TestBuild_1.0.1/Server CD/DBS/Setup"/>
    <hyperlink ref="R1464" r:id="rId2306" display="../../../../Releases/Projects/TLSTR-ST/Release_For_Test/Test_Build_1.0.1/Server CD/DBS/Setup"/>
    <hyperlink ref="P1465" r:id="rId2307" display="../../../../Releases/Projects/TLSTR-ST/Release_For_IT/TestBuild_1.0.1/Server CD/DBS/Setup"/>
    <hyperlink ref="R1465" r:id="rId2308" display="../../../../Releases/Projects/TLSTR-ST/Release_For_Test/Test_Build_1.0.1/Server CD/DBS/Setup"/>
    <hyperlink ref="P1466" r:id="rId2309" display="../../../../Releases/Projects/TLSTR-ST/Release_For_IT/TestBuild_1.0.1/Server CD/DBS/Setup"/>
    <hyperlink ref="R1466" r:id="rId2310" display="../../../../Releases/Projects/TLSTR-ST/Release_For_Test/Test_Build_1.0.1/Server CD/DBS/Setup"/>
    <hyperlink ref="R1467" r:id="rId2311" display="../../../../Releases/Projects/MCC/Release_For_Test/Test_Build_1.0.1/Server CD/DBS/Setup"/>
    <hyperlink ref="R1468" r:id="rId2312" display="../../../../Releases/Projects/TWC/Release_For_Test/Test_Build_1.0.0.4/Server CD/MPE/Setup"/>
    <hyperlink ref="P1469" r:id="rId2313" display="../../../../Releases/Projects/TWC/Release_For_IT/Test_Build_1.0.0.3/Server CD/DBS/Setup"/>
    <hyperlink ref="R1469" r:id="rId2314" display="../../../../Releases/Projects/TWC/Release_For_Test/Test_Build_1.0.0.4/Server CD/DBS/Setup"/>
    <hyperlink ref="R1470" r:id="rId2315" display="../../../../Releases/Projects/FNB/Release_For_Test/Test_Build_1.0.1/Server CD/MPE/Setup"/>
    <hyperlink ref="P1471" r:id="rId2316" display="../../../../Releases/Projects/OBT/Release_For_IT/TestBuild_1.0.0.2/Server CD/DBS/Setup"/>
    <hyperlink ref="R1471" r:id="rId2317" display="../../../../Releases/Projects/OBT/Release_For_LQA/TestBuild_1.0.0.7/Server CD/DBS/Setup"/>
    <hyperlink ref="P1472" r:id="rId2318" display="../../../../Releases/Projects/TWC/Release_For_IT/Test_Build_1.0.0.3/Server CD/DBS/Setup"/>
    <hyperlink ref="R1472" r:id="rId2319" display="../../../../Releases/Projects/TWC/Release_For_Test/Test_Build_1.0.0.4/Server CD/DBS/Setup"/>
    <hyperlink ref="R1473" r:id="rId2320" display="../../../../Releases/Projects/MCC/Release_For_Test/Test_Build_1.0.1/Server CD/GUI/Setup"/>
    <hyperlink ref="P1474" r:id="rId2321" display="../../../../Releases/Product/DataMind_2.0/Build&amp;Release/Release for IT/TestBuild_2.0.0/Server CD/DBS/Setup"/>
    <hyperlink ref="R1474" r:id="rId2322" display="../../../../Releases/Product/DataMind_2.0/Build&amp;Release/Release for LQA/TestBuild_2.0.0/Server CD/DBS/Setup"/>
    <hyperlink ref="R1475" r:id="rId2323" display="../../../../Releases/Projects/FNB/Release_For_Test/Test_Build_1.0.1/Server CD/MPE/Setup"/>
    <hyperlink ref="R1476" r:id="rId2324" display="../../../../Releases/Projects/TWC/Release_For_Test/Test_Build_1.0.0.4/Server CD/MPE/Setup"/>
    <hyperlink ref="P1477" r:id="rId2325" display="../../../../Releases/Projects/ANTEL/Release_For_IT/TestBuild_1.0.0.4/Server CD/DBS/Setup"/>
    <hyperlink ref="R1477" r:id="rId2326" display="../../../../Releases/Projects/ANTEL/Release_For_Test/Test_Build_1.0.0.7/Server CD/DBS/Setup"/>
    <hyperlink ref="R1478" r:id="rId2327" display="../../../../Releases/Product/RT_4.0/ReleaseForLQA/TestBuild_4.0.24/GUI/Build1/Setup"/>
    <hyperlink ref="P1479" r:id="rId2328" display="../../../../Releases/Projects/TWC/Release_For_IT/Test_Build_1.0.0.3/Server CD/DBS/Setup"/>
    <hyperlink ref="R1479" r:id="rId2329" display="../../../../Releases/Projects/TWC/Release_For_Test/Test_Build_1.0.0.4/Server CD/DBS/Setup"/>
    <hyperlink ref="P1480" r:id="rId2330" display="../../../../Releases/Projects/TLSTR-ST/Release_For_Test/Test_Build_1.0.1/Server CD/DBS/Setup"/>
    <hyperlink ref="R1480" r:id="rId2331" display="../../../../Releases/Projects/TLSTR-ST/Release_For_IT/TestBuild_1.0.1/Server CD/DBS/Setup"/>
    <hyperlink ref="R1481" r:id="rId2332" display="../../../../Releases/Product/MEDGUI_1.1/Build&amp;Release/Release_For_LQA/Test_Build_1.0.1/Server CD/DBS/Setup"/>
    <hyperlink ref="R1482" r:id="rId2333" display="../../../../Releases/Product/MEDGUI_1.1/Build&amp;Release/Release_For_LQA/Test_Build_1.0.1/Server CD/GUI/Setup"/>
    <hyperlink ref="R1483" r:id="rId2334" display="../../../../Releases/Projects/FNB/Release_For_Test/Test_Build_1.0.1/Server CD/DBS/Setup"/>
    <hyperlink ref="R1484" r:id="rId2335" display="../../../../Releases/Product/MEDGUI_1.1/Build&amp;Release/Release_For_LQA/Test_Build_1.0.1/Server CD/MPE/Setup/RHEL_6.3"/>
    <hyperlink ref="R1485" r:id="rId2336" display="../../../../Releases/Projects/BHN/Release_For_Test/Test_Build_1.0.5/Server CD/DBS/Setup"/>
    <hyperlink ref="R1486" r:id="rId2337" display="../../../../Releases/Projects/SLT-1B/Release_For_Test/Test_Build_1.0.0.1/Server CD/MPE/Setup"/>
    <hyperlink ref="R1487" r:id="rId2338" display="../../../../Releases/Projects/Telenet/Build&amp;Release/Release For Test/Test_Build_4.0.41/Server CD/MPE/Setup"/>
    <hyperlink ref="R1488" r:id="rId2339" display="../../../../Releases/Product/RE_2.0/Build&amp;Release/Release_For_LQA/Test_Build_1.0.1/Server CD/DBS/Setup"/>
    <hyperlink ref="R1489" r:id="rId2340" display="../../../../Releases/Projects/SLT-1B/Release_For_Test/Test_Build_1.0.0.1/Server CD/MPE/Setup"/>
    <hyperlink ref="P1490" r:id="rId2341" display="../../../../Releases/Projects/SLT/Release_For_IT/Test_Build_1.0.0.4/Server CD/DBS/Setup"/>
    <hyperlink ref="R1490" r:id="rId2342" display="../../../../Releases/Projects/SLT/Release_For_LQA/Test_Build_1.0.0.24/Server CD/DBS/Setup"/>
    <hyperlink ref="R1491" r:id="rId2343" display="../../../../Releases/Projects/TWC/Release_For_Test/Test_Build_1.0.0.4/Server CD/MPE/Setup"/>
    <hyperlink ref="P1492" r:id="rId2344" display="../../../../Releases/Projects/TWC/Release_For_IT/Test_Build_1.0.0.3/Server CD/DBS/Setup"/>
    <hyperlink ref="R1492" r:id="rId2345" display="../../../../Releases/Projects/TWC/Release_For_Test/Test_Build_1.0.0.4/Server CD/DBS/Setup"/>
    <hyperlink ref="R1493" r:id="rId2346" display="../../../../Releases/Projects/FNB/Release_For_Test/Test_Build_1.0.1/Server CD/MPE/Setup"/>
    <hyperlink ref="R1494" r:id="rId2347" display="../../../../Releases/Projects/TLSTR-ST/Release_For_Test/Test_Build_1.0.1/Server CD/MPE/Setup"/>
    <hyperlink ref="P1495" r:id="rId2348" display="../../../../Releases/Projects/SLT/Release_For_IT/Test_Build_1.0.0.4/Server CD/DBS/Setup"/>
    <hyperlink ref="R1495" r:id="rId2349" display="../../../../Releases/Projects/SLT/Release_For_LQA/Test_Build_1.0.0.24/Server CD/DBS/Setup"/>
    <hyperlink ref="R1496" r:id="rId2350" display="../../../../Releases/Product/MPE_GUI/ReleaseForLQA/TestBuild_1.0.0.2/Server CD/MPE/Setup"/>
    <hyperlink ref="P1497" r:id="rId2351"/>
    <hyperlink ref="R1497" r:id="rId2352"/>
    <hyperlink ref="R1498" r:id="rId2353" display="../../../../Releases/Projects/SLT-1B/Release_For_Test/Test_Build_1.0.0.1/Server CD/MPE/Setup"/>
    <hyperlink ref="P1499" r:id="rId2354" display="../../../../Releases/Projects/Vonage/Release_For_IT/Test_Build_4.0.17/Client CD/GUI/CS/Setup"/>
    <hyperlink ref="P1500" r:id="rId2355" display="../../../../Releases/Projects/Vonage/Release_For_IT/Test_Build_4.0.17/Client CD/GUI/CS/Setup"/>
    <hyperlink ref="P1501" r:id="rId2356" display="../../../../Releases/Projects/Vonage/Release_For_IT/Test_Build_4.0.17/Client CD/GUI/CS/Setup"/>
    <hyperlink ref="P1502" r:id="rId2357" display="../../../../Releases/Projects/Vonage/Release_For_IT/Test_Build_4.0.17/Client CD/GUI/CS/Setup"/>
    <hyperlink ref="P1503" r:id="rId2358" display="../../../../Releases/Projects/TLSTR-ST/Release_For_IT/TestBuild_1.0.1/Server CD/DBS/Setup"/>
    <hyperlink ref="R1503" r:id="rId2359" display="../../../../Releases/Projects/TLSTR-ST/Release_For_Test/Test_Build_1.0.1/Server CD/DBS/Setup"/>
    <hyperlink ref="R1499" r:id="rId2360"/>
    <hyperlink ref="R1500" r:id="rId2361" display="../../../../Releases/Projects/Vonage/Release_For_LQA/Test_Build_4.0.17/Client CD/GUI/HM/Setup"/>
    <hyperlink ref="R1501" r:id="rId2362" display="../../../../Releases/Projects/Vonage/Release_For_LQA/Test_Build_4.0.17/Client CD/GUI/PM/Setup"/>
    <hyperlink ref="R1502" r:id="rId2363" display="../../../../Releases/Projects/Vonage/Release_For_LQA/Test_Build_4.0.17/Client CD/GUI/WFS/Setup"/>
    <hyperlink ref="P1504" r:id="rId2364" display="../../../../Releases/Projects/TWC/Release_For_Test/Test_Build_1.0.0.4/Server CD/DBS/Setup"/>
    <hyperlink ref="R1504" r:id="rId2365" display="../../../../Releases/Projects/TWC/Release_For_IT/Test_Build_1.0.0.3/Server CD/DBS/Setup"/>
    <hyperlink ref="R1505" r:id="rId2366"/>
    <hyperlink ref="P1506" r:id="rId2367" display="../../../../Releases/Projects/TLSTR-ST/Release_For_IT/TestBuild_1.0.1/Server CD/DBS/Setup"/>
    <hyperlink ref="R1506" r:id="rId2368" display="../../../../Releases/Projects/TLSTR-ST/Release_For_Test/Test_Build_1.0.1/Server CD/DBS/Setup"/>
    <hyperlink ref="P1507" r:id="rId2369" display="../../../../Releases/Projects/SLT/Release_For_IT/Test_Build_1.0.0.4/Server CD/DBS/Setup"/>
    <hyperlink ref="R1507" r:id="rId2370" display="../../../../Releases/Projects/SLT/Release_For_LQA/Test_Build_1.0.0.24/Server CD/DBS/Setup"/>
    <hyperlink ref="R1508" r:id="rId2371" display="../../../../Releases/Projects/SLT-1B/Release_For_Test/Test_Build_1.0.0.1/Server CD/MPE/Setup"/>
    <hyperlink ref="R1509" r:id="rId2372" display="../../../../Releases/Projects/FNB/Release_For_Test/Test_Build_1.0.1/Server CD/MPE/Setup"/>
    <hyperlink ref="P1510" r:id="rId2373" display="../../../../Releases/Projects/FNB/Release_For_IT/TestBuild_1.0.1/Server CD/DBS/Setup"/>
    <hyperlink ref="R1510" r:id="rId2374" display="../../../../Releases/Projects/FNB/Release_For_Test/Test_Build_1.0.1/Server CD/DBS/Setup"/>
    <hyperlink ref="P1511" r:id="rId2375" display="../../../../Releases/Projects/SLT/Release_For_IT/Test_Build_1.0.0.4/Server CD/DBS/Setup"/>
    <hyperlink ref="R1511" r:id="rId2376" display="../../../../Releases/Projects/SLT/Release_For_LQA/Test_Build_1.0.0.24/Server CD/DBS/Setup"/>
    <hyperlink ref="R1512" r:id="rId2377" display="../../../../Releases/Projects/FNB/Release_For_Test/Test_Build_1.0.1/Server CD/DBS/Setup"/>
    <hyperlink ref="P1513" r:id="rId2378" display="../../../../Releases/Product/Netmind_4.6/Build&amp;Release/ReleaseForIT/TestBuild_4.6.1/Build4/ServerCD/DBS/Setup"/>
    <hyperlink ref="R1513" r:id="rId2379" display="../../../../Releases/Product/Netmind_4.6/Build&amp;Release/ReleaseForTest/TestBuild_4.6.1/Build4/ServerCD/DBS/Setup"/>
    <hyperlink ref="R1515" r:id="rId2380" display="../../../../Releases/Projects/SLT-1B/Release_For_Test/Test_Build_1.0.0.1/Server CD/MPE/Setup"/>
    <hyperlink ref="P1516" r:id="rId2381" display="../../../../Releases/Projects/Comcast/Release_For_IT/Test_Build_4.6.1/Server CD/Database/Setup"/>
    <hyperlink ref="R1516" r:id="rId2382" display="../../../../Releases/Projects/Comcast/Release_for_Test/Test_Build_4.6.6/Server CD/Database/Setup"/>
    <hyperlink ref="P1517" r:id="rId2383" display="../../../../Releases/Projects/Comcast/Release_For_IT/Test_Build_4.6.1/Server CD/Database/Setup"/>
    <hyperlink ref="R1517" r:id="rId2384" display="../../../../Releases/Projects/Comcast/Release_for_Test/Test_Build_4.6.6/Server CD/Database/Setup"/>
    <hyperlink ref="R1518" r:id="rId2385"/>
    <hyperlink ref="R1519" r:id="rId2386" display="../../../../Releases/Projects/FNB/Release_For_Test/Test_Build_1.0.1/Server CD/DBS/Setup"/>
    <hyperlink ref="R1520" r:id="rId2387" display="../../../../Releases/Projects/FNB/Release_For_Test/Test_Build_1.0.2/Server CD/DBS/Setup"/>
    <hyperlink ref="R1514" r:id="rId2388" display="../../../../Releases/Projects/SLT-1B/Release_For_Test/Test_Build_1.0.0.1/Server CD/MPE/Setup"/>
    <hyperlink ref="R1521" r:id="rId2389" display="../../../../Releases/Projects/SLT-1B/Release_For_Test/Test_Build_1.0.0.1/Server CD/MPE/Setup"/>
    <hyperlink ref="P1522" r:id="rId2390" display="../../../../Releases/Projects/Comcast/Release_For_IT/Test_Build_4.6.1/Server CD/Database/Setup"/>
    <hyperlink ref="R1522" r:id="rId2391" display="../../../../Releases/Projects/Comcast/Release_for_Test/Test_Build_4.6.7/Server CD/Database/Setup"/>
    <hyperlink ref="P1523" r:id="rId2392"/>
    <hyperlink ref="R1523" r:id="rId2393" display="../../../../Releases/Projects/MTS/Release For Test/Test_Build_3.0.5.25/Server CD/MPE/Setup"/>
    <hyperlink ref="P1524" r:id="rId2394" display="../../../../Releases/Projects/TLSTR-ST/Release_For_IT/TestBuild_1.0.1/Server CD/DBS/Setup"/>
    <hyperlink ref="R1524" r:id="rId2395" display="../../../../Releases/Projects/TLSTR-ST/Release_For_Test/Test_Build_1.0.1/Server CD/DBS/Setup"/>
    <hyperlink ref="P1525" r:id="rId2396" display="../../../../Releases/Projects/SLT/Release_For_IT/Test_Build_1.0.0.4/Server CD/DBS/Setup"/>
    <hyperlink ref="R1525" r:id="rId2397" display="../../../../Releases/Projects/SLT/Release_For_LQA/Test_Build_1.0.0.24/Server CD/DBS/Setup"/>
    <hyperlink ref="P1526" r:id="rId2398" display="../../../../Releases/Projects/TLSTR-ST/Release_For_Test/Test_Build_1.0.1/Server CD/DBS/Setup"/>
    <hyperlink ref="R1526" r:id="rId2399" display="../../../../Releases/Projects/TLSTR-ST/Release_For_IT/TestBuild_1.0.1/Server CD/DBS/Setup"/>
    <hyperlink ref="P1527" r:id="rId2400" display="../../../../Releases/Projects/TLSTR-ST/Release_For_Test/Test_Build_1.0.1/Server CD/DBS/Setup"/>
    <hyperlink ref="R1527" r:id="rId2401" display="../../../../Releases/Projects/TLSTR-ST/Release_For_IT/TestBuild_1.0.1/Server CD/DBS/Setup"/>
    <hyperlink ref="R1528" r:id="rId2402" display="../../../../Releases/Product/RE_1.0/ReleaseForLQA/TestBuild_1.0.1/GUI/Setup"/>
    <hyperlink ref="R1529" r:id="rId2403" display="../../../../Releases/Projects/SLT-1B/Release_For_Test/Test_Build_1.0.0.1/Utility/MPE/Setup"/>
    <hyperlink ref="R1530" r:id="rId2404" display="../../../../Releases/Projects/SLT-1B/Release_For_Test/Test_Build_1.0.0.1/Utility/MPE/Setup"/>
    <hyperlink ref="P1531" r:id="rId2405" display="../../../../Releases/Projects/OBT/Release_For_IT/TestBuild_1.0.0.2/Server CD/DBS/Setup"/>
    <hyperlink ref="R1531" r:id="rId2406" display="../../../../Releases/Projects/OBT/Release_For_LQA/TestBuild_1.0.0.7/Server CD/DBS/Setup"/>
    <hyperlink ref="P1532" r:id="rId2407" display="../../../../Releases/Projects/SLT/Release_For_IT/Test_Build_1.0.0.4/Server CD/DBS/Setup"/>
    <hyperlink ref="R1532" r:id="rId2408" display="../../../../Releases/Projects/SLT/Release_For_LQA/Test_Build_1.0.0.24/Server CD/DBS/Setup"/>
    <hyperlink ref="R1533" r:id="rId2409" display="../../../../Releases/Projects/Telenet/Build&amp;Release/Release For Test/Test_Build_4.0.41/Server CD/MPE/Setup"/>
    <hyperlink ref="R1534" r:id="rId2410" display="../../../../Releases/Projects/SLT/Release_For_LQA/Test_Build_1.0.0.24/Server CD/GUI/Setup"/>
    <hyperlink ref="P1535" r:id="rId2411" display="../../../../Releases/Product/Netmind_4.6/Build&amp;Release/ReleaseForIT/TestBuild_4.6.1/Build4/ServerCD/DBS/Setup"/>
    <hyperlink ref="R1535" r:id="rId2412" display="../../../../Releases/Product/Netmind_4.6/Build&amp;Release/ReleaseForTest/TestBuild_4.6.1/Build4/ServerCD/DBS/Setup"/>
    <hyperlink ref="R1536" r:id="rId2413" display="../../../../Releases/Projects/FNB/Release_For_Test/Test_Build_1.0.1/Server CD/MPE/Setup"/>
    <hyperlink ref="R1537" r:id="rId2414" display="../../../../Releases/Projects/FNB/Release_For_Test/Test_Build_1.0.1/Server CD/DBS/Setup"/>
    <hyperlink ref="P1538" r:id="rId2415" display="../../../../Releases/Projects/TWC/Release_For_IT/Test_Build_1.0.0.3/Server CD/DBS/Setup"/>
    <hyperlink ref="R1538" r:id="rId2416" display="../../../../Releases/Projects/TWC/Release_For_Test/Test_Build_1.0.0.4/Server CD/DBS/Setup"/>
    <hyperlink ref="P1539" r:id="rId2417" display="../../../../Releases/Projects/MTS/Release For IT/Test_Build_3.0.5.25/Server CD/Database/Setup"/>
    <hyperlink ref="R1540" r:id="rId2418"/>
    <hyperlink ref="P1541" r:id="rId2419" display="../../../../Releases/Product/RT_4.0/ReleaseForIT/TestBuild_4.0.3/DBS/Setup"/>
    <hyperlink ref="R1541" r:id="rId2420" display="../../../../Releases/Product/RT_4.0/ReleaseForLQA/TestBuild_4.0.24/DBS/Setup"/>
    <hyperlink ref="R1539" r:id="rId2421" display="../../../../Releases/Projects/MTS/Release For Test/Test_Build_3.0.5.25/Server CD/Database/Setup"/>
    <hyperlink ref="P1540" r:id="rId2422"/>
    <hyperlink ref="R1542" r:id="rId2423" display="../../../../Releases/Product/AWF/Build&amp;Release/Release For Test/TestBuild_2.0.1/Setup"/>
    <hyperlink ref="R1543" r:id="rId2424" display="../../../../Releases/Product/NetMindPOS_1.3/Build&amp;Release/Release_For_LQA/Test_Build_1.0.3/Server CD/DBS/Setup"/>
    <hyperlink ref="P1544" r:id="rId2425" display="../../../../Releases/Projects/Vonage/Release_For_IT/Test_Build_4.0.18/Client CD/GUI/WFS/Setup"/>
    <hyperlink ref="R1544" r:id="rId2426" display="../../../../Releases/Projects/Vonage/Release_For_LQA/Test_Build_4.0.18/Client CD/GUI/WFS/Setup"/>
    <hyperlink ref="P1545" r:id="rId2427" display="../../../../Releases/Projects/SLT/Release_For_IT/Test_Build_1.0.0.4/Server CD/DBS/Setup"/>
    <hyperlink ref="R1545" r:id="rId2428" display="../../../../Releases/Projects/SLT/Release_For_LQA/Test_Build_1.0.0.24/Server CD/DBS/Setup"/>
    <hyperlink ref="R1546" r:id="rId2429" display="../../../../Releases/Product/IM_1.0/Build&amp;Release/Release_For_LQA/Test_Build_1.0.5/Server CD/IM/Setup"/>
    <hyperlink ref="R1547" r:id="rId2430" display="../../../../Releases/Product/RT_4.0/ReleaseForLQA/TestBuild_4.0.24/GUI/Build1/Setup"/>
    <hyperlink ref="P1548" r:id="rId2431" display="../../../../Releases/Projects/SLT/Release_For_IT/Test_Build_1.0.0.4/Server CD/DBS/Setup"/>
    <hyperlink ref="R1548" r:id="rId2432" display="../../../../Releases/Projects/SLT/Release_For_LQA/Test_Build_1.0.0.24/Server CD/DBS/Setup"/>
    <hyperlink ref="R1549" r:id="rId2433"/>
    <hyperlink ref="R1550" r:id="rId2434" display="../../../../Releases/Projects/SLT-1B/Release_For_Test/Test_Build_1.0.0.1/Server CD/MPE/Setup"/>
    <hyperlink ref="R1551" r:id="rId2435" display="../../../../Releases/Product/MEDGUI_1.1/Build&amp;Release/Release_For_LQA/Test_Build_1.0.2/Server CD/GUI/Setup"/>
    <hyperlink ref="R1552" r:id="rId2436" display="../../../../Releases/Product/MEDGUI_1.1/Build&amp;Release/Release_For_LQA/Test_Build_1.0.2/Server CD/DBS/Setup"/>
    <hyperlink ref="R1553" r:id="rId2437" display="../../../../Releases/Product/MEDGUI_1.1/Build&amp;Release/Release_For_LQA/Test_Build_1.0.2/Server CD/MPE/Setup/RHEL_6.3"/>
    <hyperlink ref="R1554" r:id="rId2438" display="../../../../Releases/Product/MEDGUI_1.1/Build&amp;Release/Release_For_LQA/Test_Build_1.0.2/Server CD/DBS/Setup"/>
    <hyperlink ref="P1555" r:id="rId2439" display="../../../../Releases/Projects/TWC/Release_For_IT/Test_Build_1.0.0.3/Server CD/DBS/Setup"/>
    <hyperlink ref="R1555" r:id="rId2440" display="../../../../Releases/Projects/TWC/Release_For_Test/Test_Build_1.0.0.4/Server CD/DBS/Setup"/>
    <hyperlink ref="P1556" r:id="rId2441" display="../../../../Releases/Projects/TLSTR-ST/Release_For_IT/TestBuild_1.0.1/Server CD/DBS/Setup"/>
    <hyperlink ref="R1556" r:id="rId2442" display="../../../../Releases/Projects/TLSTR-ST/Release_For_Test/Test_Build_1.0.1/Server CD/DBS/Setup"/>
    <hyperlink ref="P1557" r:id="rId2443" display="../../../../Releases/Projects/TLSTR-ST/Release_For_IT/TestBuild_1.0.1/Server CD/DBS/Setup"/>
    <hyperlink ref="R1557" r:id="rId2444" display="../../../../Releases/Projects/TLSTR-ST/Release_For_Test/Test_Build_1.0.1/Server CD/DBS/Setup"/>
    <hyperlink ref="R1558" r:id="rId2445" display="../../../../Releases/Projects/Telstra-2b/Release_For_Test/Test_Build_1.0.0.1/Server CD/MPE/Setup"/>
    <hyperlink ref="P1559" r:id="rId2446" display="../../../../Releases/Projects/Comcast/Release_For_IT/Test_Build_4.6.1/Server CD/Database/Setup"/>
    <hyperlink ref="R1559" r:id="rId2447" display="../../../../Releases/Projects/Comcast/Release_for_Test/Test_Build_4.6.7/Server CD/Database/Setup"/>
    <hyperlink ref="P1560" r:id="rId2448" display="../../../../Releases/Projects/SLT/Release_For_LQA/Test_Build_1.0.0.24/Server CD/DBS/Setup"/>
    <hyperlink ref="R1560" r:id="rId2449" display="../../../../Releases/Projects/SLT/Release_For_IT/Test_Build_1.0.0.4/Server CD/DBS/Setup"/>
    <hyperlink ref="P1561" r:id="rId2450" display="../../../../Releases/Projects/SLT/Release_For_LQA/Test_Build_1.0.0.24/Server CD/DBS/Setup"/>
    <hyperlink ref="R1561" r:id="rId2451" display="../../../../Releases/Projects/SLT/Release_For_IT/Test_Build_1.0.0.4/Server CD/DBS/Setup"/>
    <hyperlink ref="R1562" r:id="rId2452" display="../../../../Releases/Projects/TWC/Release_For_Test/Test_Build_1.0.0.4/Server CD/MPE/Setup"/>
    <hyperlink ref="P1563" r:id="rId2453" display="../../../../Releases/Projects/TLSTR-ST/Release_For_IT/TestBuild_1.0.1/Server CD/DBS/Setup"/>
    <hyperlink ref="R1563" r:id="rId2454" display="../../../../Releases/Projects/TLSTR-ST/Release_For_Test/Test_Build_1.0.1/Server CD/DBS/Setup"/>
    <hyperlink ref="R1564" r:id="rId2455" display="../../../../Releases/Projects/SLT-1B/Release_For_Test/Test_Build_1.0.0.1/Server CD/MPE/Setup"/>
    <hyperlink ref="R1565" r:id="rId2456" display="../../../../Releases/Product/RE_1.0/ReleaseForLQA/TestBuild_1.0.1/GUI/Setup"/>
    <hyperlink ref="R1566" r:id="rId2457"/>
    <hyperlink ref="R1567" r:id="rId2458" display="../../../../Releases/Projects/SLT/Release_For_LQA/Test_Build_1.0.0.24/Server CD/GUI/Setup"/>
    <hyperlink ref="R1568" r:id="rId2459" display="../../../../Releases/Product/RE_2.0/Build&amp;Release/Release_For_LQA/Test_Build_1.0.1/Server CD/DBS/Setup"/>
    <hyperlink ref="R1569" r:id="rId2460" display="../../../../Releases/Projects/SLT-1B/Release_For_Test/Test_Build_1.0.0.1/Server CD/MPE/Setup"/>
    <hyperlink ref="R1570" r:id="rId2461" display="../../../../Releases/Projects/SLT/Release_For_IT/Test_Build_1.0.0.4/Server CD/DBS/Setup"/>
    <hyperlink ref="P1570" r:id="rId2462" display="../../../../Releases/Projects/SLT/Release_For_LQA/Test_Build_1.0.0.24/Server CD/DBS/Setup"/>
    <hyperlink ref="P1571" r:id="rId2463" display="../../../../Releases/Projects/SLT/Release_For_IT/Test_Build_1.0.0.4/Server CD/DBS/Setup"/>
    <hyperlink ref="R1571" r:id="rId2464" display="../../../../Releases/Projects/SLT/Release_For_LQA/Test_Build_1.0.0.24/Server CD/DBS/Setup"/>
    <hyperlink ref="R1572" r:id="rId2465" display="../../../../Releases/Projects/FNB/Release_For_Test/Test_Build_1.0.1/Server CD/DBS/Setup"/>
    <hyperlink ref="P1573" r:id="rId2466" display="../../../../Releases/Projects/TLSTR-ST/Release_For_IT/TestBuild_1.0.1/Server CD/DBS/Setup"/>
    <hyperlink ref="R1573" r:id="rId2467" display="../../../../Releases/Projects/TLSTR-ST/Release_For_Test/Test_Build_1.0.1/Server CD/DBS/Setup"/>
    <hyperlink ref="P1574" r:id="rId2468" display="../../../../Releases/Projects/SLT/Release_For_IT/Test_Build_1.0.0.4/Server CD/DBS/Setup"/>
    <hyperlink ref="R1574" r:id="rId2469" display="../../../../Releases/Projects/SLT/Release_For_LQA/Test_Build_1.0.0.24/Server CD/DBS/Setup"/>
    <hyperlink ref="P1575" r:id="rId2470" display="../../../../Releases/Projects/SLT/Release_For_LQA/Test_Build_1.0.0.24/Server CD/DBS/Setup"/>
    <hyperlink ref="R1575" r:id="rId2471" display="../../../../Releases/Projects/SLT/Release_For_IT/Test_Build_1.0.0.4/Server CD/DBS/Setup"/>
    <hyperlink ref="R1576" r:id="rId2472" display="../../../../Releases/Projects/SLT-1B/Release_For_Test/Test_Build_1.0.0.1/Server CD/MPE/Setup"/>
    <hyperlink ref="R1577" r:id="rId2473" display="../../../../Releases/Product/WEB_WFS/Build&amp;Release/Release For Test/TestBuild_2.1.36/ServerCD/GUI/Setup"/>
    <hyperlink ref="P1578" r:id="rId2474" display="../../../../Releases/Projects/SLT/Release_For_IT/Test_Build_1.0.0.4/Server CD/DBS/Setup"/>
    <hyperlink ref="R1578" r:id="rId2475" display="../../../../Releases/Projects/SLT/Release_For_LQA/Test_Build_1.0.0.24/Server CD/DBS/Setup"/>
    <hyperlink ref="P1579" r:id="rId2476" display="../../../../Releases/Projects/SLT/Release_For_IT/Test_Build_1.0.0.4/Server CD/DBS/Setup"/>
    <hyperlink ref="R1579" r:id="rId2477" display="../../../../Releases/Projects/SLT/Release_For_LQA/Test_Build_1.0.0.24/Server CD/DBS/Setup"/>
    <hyperlink ref="R1580" r:id="rId2478" display="../../../../Releases/Projects/MCC/Release_For_Test/Test_Build_1.0.1/Server CD/DBS/Setup"/>
    <hyperlink ref="R1581" r:id="rId2479" display="../../../../Releases/Projects/SLT-1B/Release_For_Test/Test_Build_1.0.0.1/Server CD/MPE/Setup"/>
    <hyperlink ref="P1582" r:id="rId2480" display="../../../../Releases/Projects/TLSTR-ST/Release_For_IT/TestBuild_1.0.1/Server CD/DBS/Setup"/>
    <hyperlink ref="R1583" r:id="rId2481" display="../../../../Releases/Product/CSGUI_2.6/Build&amp;Release/Release_For_LQA/Test_Build_1.0.3/Server CD/GUI/Setup"/>
    <hyperlink ref="R1584" r:id="rId2482" display="../../../../Releases/Product/MEDGUI_1.1/Build&amp;Release/Release_For_LQA/Test_Build_1.0.2/Server CD/MPE/Setup/RHEL_6.3"/>
    <hyperlink ref="R1585" r:id="rId2483" display="../../../../Releases/Projects/MAC/Release_For_Test/Test_Build_1.0.1/Server CD/GUI/Setup"/>
    <hyperlink ref="R1586" r:id="rId2484" display="../../../../Releases/Projects/FNB/Release_For_Test/Test_Build_1.0.1/Server CD/GUI/Setup"/>
    <hyperlink ref="P1587" r:id="rId2485" display="../../../../Releases/Projects/TLSTR-ST/Release_For_IT/TestBuild_1.0.1/Server CD/DBS/Setup"/>
    <hyperlink ref="R1588" r:id="rId2486" display="../../../../Releases/Projects/MAC/Release_For_Test/Test_Build_1.0.1/Server CD/GUI/Setup"/>
    <hyperlink ref="R1589" r:id="rId2487" display="../../../../Releases/Projects/MAC/Release_For_Test/Test_Build_1.0.1/Server CD/GUI/Setup"/>
    <hyperlink ref="R1590" r:id="rId2488" display="../../../../Releases/Projects/MAC/Release_For_Test/Test_Build_1.0.1/Server CD/GUI/Setup"/>
    <hyperlink ref="R1591" r:id="rId2489" display="../../../../Releases/Projects/MAC/Release_For_Test/Test_Build_1.0.1/Server CD/GUI/Setup"/>
    <hyperlink ref="R1592" r:id="rId2490" display="../../../../Releases/Projects/MAC/Release_For_Test/Test_Build_1.0.1/Server CD/GUI/Setup"/>
    <hyperlink ref="R1593" r:id="rId2491" display="../../../../Releases/Projects/SLT-1B/Release_For_Test/Test_Build_1.0.0.1/Server CD/MPE/Setup"/>
    <hyperlink ref="P1594" r:id="rId2492" display="../../../../Releases/Projects/TLSTR-ST/Release_For_IT/TestBuild_1.0.1/Server CD/DBS/Setup"/>
    <hyperlink ref="R1595" r:id="rId2493" display="../../../../Releases/Projects/MAC/Release_For_Test/Test_Build_1.0.1/Server CD/GUI/Setup"/>
    <hyperlink ref="P1596" r:id="rId2494" display="../../../../Releases/Projects/ANTEL/Release_For_IT/TestBuild_1.0.0.4/Server CD/DBS/Setup"/>
    <hyperlink ref="R1597" r:id="rId2495"/>
    <hyperlink ref="P1598" r:id="rId2496" display="../../../../Releases/Projects/Comcast/Release_for_Test/Test_Build_4.6.7/Server CD/Database/Setup"/>
    <hyperlink ref="R1598" r:id="rId2497" display="../../../../Releases/Projects/Comcast/Release_For_IT/Test_Build_4.6.1/Server CD/Database/Setup"/>
    <hyperlink ref="P1599" r:id="rId2498" display="../../../../Releases/Projects/Comcast/Release_for_Test/Test_Build_4.6.7/Server CD/Database/Setup"/>
    <hyperlink ref="R1599" r:id="rId2499" display="../../../../Releases/Projects/Comcast/Release_For_IT/Test_Build_4.6.1/Server CD/Database/Setup"/>
    <hyperlink ref="R1596" r:id="rId2500" display="../../../../Releases/Projects/ANTEL/Release_For_Test/Test_Build_1.0.0.7/Server CD/DBS/Setup"/>
    <hyperlink ref="P1600" r:id="rId2501" display="../../../../Releases/Projects/Comcast/Release_for_Test/Test_Build_4.6.7/Server CD/Database/Setup"/>
    <hyperlink ref="R1600" r:id="rId2502" display="../../../../Releases/Projects/Comcast/Release_For_IT/Test_Build_4.6.1/Server CD/Database/Setup"/>
    <hyperlink ref="R1601" r:id="rId2503"/>
    <hyperlink ref="R1602" r:id="rId2504" display="../../../../Releases/Projects/SLT-1B/Release_For_Test/Test_Build_1.0.0.1/Server CD/MPE/Setup"/>
    <hyperlink ref="P1603" r:id="rId2505" display="../../../../Releases/Projects/TLSTR-ST/Release_For_IT/TestBuild_1.0.1/Server CD/DBS/Setup"/>
    <hyperlink ref="R1603" r:id="rId2506" display="../../../../Releases/Projects/TLSTR-ST/Release_For_Test/Test_Build_1.0.1/Server CD/DBS/Setup"/>
    <hyperlink ref="R1604" r:id="rId2507" display="../../../../Releases/Projects/MAC/Release_For_Test/Test_Build_1.0.1/Server CD/MPE/Setup"/>
    <hyperlink ref="R1605" r:id="rId2508" display="../../../../Releases/Product/RE_2.0/Build&amp;Release/Release_For_LQA/Test_Build_1.0.1/Server CD/DBS/Setup"/>
    <hyperlink ref="R1606" r:id="rId2509" display="../../../../Releases/Product/RE_2.0/Build&amp;Release/Release_For_LQA/Test_Build_1.0.2/Server CD/GUI/Setup"/>
    <hyperlink ref="P1607" r:id="rId2510" display="../../../../Releases/Projects/TWC/Release_For_Test/Test_Build_1.0.0.4/Server CD/DBS/Setup"/>
    <hyperlink ref="R1607" r:id="rId2511" display="../../../../Releases/Projects/TWC/Release_For_IT/Test_Build_1.0.0.3/Server CD/DBS/Setup"/>
    <hyperlink ref="R1608" r:id="rId2512" display="../../../../Releases/Projects/Telenet/Build&amp;Release/Release For Test/Test_Build_4.0.41/Server CD/MPE/Setup"/>
    <hyperlink ref="R1609" r:id="rId2513" display="../../../../Releases/Projects/Comcast/Release_for_Test/Test_Build_4.6.7/Server CD/GUI/Setup"/>
    <hyperlink ref="P1610" r:id="rId2514" display="../../../../Releases/Projects/Telenet/Build&amp;Release/Release For IT/Test_Build_4.0.41/Server CD/Database/Setup"/>
    <hyperlink ref="R1610" r:id="rId2515" display="../../../../Releases/Projects/Telenet/Build&amp;Release/Release For Test/Test_Build_4.0.41/Server CD/Database/Setup"/>
    <hyperlink ref="P1611" r:id="rId2516" display="../../../../Releases/Projects/Telenet/Build&amp;Release/Release For IT/Test_Build_4.0.41/Server CD/Database/Setup"/>
    <hyperlink ref="R1611" r:id="rId2517" display="../../../../Releases/Projects/Telenet/Build&amp;Release/Release For Test/Test_Build_4.0.41/Server CD/Database/Setup"/>
    <hyperlink ref="R1612" r:id="rId2518" display="../../../../Releases/Product/WEB_CS/Build&amp;Release/Release For Test/TestBuild_2.1.23/ServerCD/GUI"/>
    <hyperlink ref="R1613" r:id="rId2519" display="../../../../Releases/Product/MEDGUI_1.1/Build&amp;Release/Release_For_LQA/Test_Build_1.0.2/Server CD/MPE/Setup/RHEL_6.3"/>
    <hyperlink ref="P1614" r:id="rId2520" display="../../../../Releases/Projects/FNB/Release_For_IT/TestBuild_1.0.1/Server CD/DBS/Setup"/>
    <hyperlink ref="R1614" r:id="rId2521" display="../../../../Releases/Projects/FNB/Release_For_Test/Test_Build_1.0.2/Server CD/DBS/Setup"/>
    <hyperlink ref="R1615" r:id="rId2522" display="../../../../Releases/Projects/MCC/Release_For_Test/Test_Build_1.0.1/Server CD/DBS/Setup"/>
    <hyperlink ref="P1616" r:id="rId2523" display="../../../../Releases/Projects/Comcast/Release_For_IT/Test_Build_4.6.1/Server CD/Database/Setup"/>
    <hyperlink ref="R1616" r:id="rId2524" display="../../../../Releases/Projects/Comcast/Release_for_Test/Test_Build_4.6.7/Server CD/Database/Setup"/>
    <hyperlink ref="R1617" r:id="rId2525" display="../../../../Releases/Projects/TLSTR-ST/Release_For_Test/Test_Build_1.0.1/Server CD/DBS/Setup"/>
    <hyperlink ref="R1618" r:id="rId2526" display="../../../../Releases/Projects/TWC/Release_For_Test/Test_Build_1.0.0.4/Server CD/MPE/Setup"/>
    <hyperlink ref="R1619" r:id="rId2527" display="../../../../Releases/Projects/FNB/Release_For_Test/Test_Build_1.0.2/Server CD/DBS/Setup"/>
    <hyperlink ref="P1620" r:id="rId2528" display="../../../../Releases/Projects/Telenet/Build&amp;Release/Release For IT/Test_Build_4.0.41/Server CD/Database/Setup"/>
    <hyperlink ref="R1620" r:id="rId2529" display="../../../../Releases/Projects/Telenet/Build&amp;Release/Release For Test/Test_Build_4.0.41/Server CD/Database/Setup"/>
    <hyperlink ref="R1621" r:id="rId2530"/>
    <hyperlink ref="R1622" r:id="rId2531" display="../../../../Releases/Product/Netmind_4.8/Build&amp;Release/Release_For_LQA/Test_Build_1.0.1/Server CD/DBS/Setup"/>
    <hyperlink ref="R1623" r:id="rId2532" display="../../../../Releases/Product/WEB_WFS/Build&amp;Release/Release For Test/TestBuild_2.1.36/ServerCD/GUI/Setup"/>
    <hyperlink ref="P1624" r:id="rId2533" display="../../../../Releases/Projects/Vonage/Release_For_LQA/Test_Build_4.0.18/Server CD/DBS/Setup"/>
    <hyperlink ref="R1624" r:id="rId2534" display="../../../../Releases/Projects/Vonage/Release_For_IT/Test_Build_4.0.18/Server CD/DBS/Setup"/>
    <hyperlink ref="R1625" r:id="rId2535" display="../../../../Releases/Product/NetMindPOS_1.3/Build&amp;Release/Release_For_LQA/Test_Build_1.0.3/Server CD/DBS/Setup"/>
    <hyperlink ref="P1626" r:id="rId2536"/>
    <hyperlink ref="R1628" r:id="rId2537"/>
    <hyperlink ref="R1627" r:id="rId2538"/>
    <hyperlink ref="R1626" r:id="rId2539"/>
    <hyperlink ref="R1629" r:id="rId2540"/>
    <hyperlink ref="R1630" r:id="rId2541"/>
    <hyperlink ref="P1631" r:id="rId2542"/>
    <hyperlink ref="R1631" r:id="rId2543"/>
    <hyperlink ref="R1632" r:id="rId2544"/>
    <hyperlink ref="R1633" r:id="rId2545"/>
    <hyperlink ref="R1634" r:id="rId2546"/>
    <hyperlink ref="P1635" r:id="rId2547"/>
    <hyperlink ref="R1635" r:id="rId2548"/>
    <hyperlink ref="P1636" r:id="rId2549"/>
    <hyperlink ref="R1636" r:id="rId2550"/>
    <hyperlink ref="R1639" r:id="rId2551"/>
    <hyperlink ref="R1640" r:id="rId2552"/>
    <hyperlink ref="R1637" r:id="rId2553"/>
    <hyperlink ref="R1638" r:id="rId2554"/>
    <hyperlink ref="R1641" r:id="rId2555"/>
    <hyperlink ref="R1642" r:id="rId2556"/>
    <hyperlink ref="R1643" r:id="rId2557"/>
    <hyperlink ref="P1643" r:id="rId2558"/>
    <hyperlink ref="P1644" r:id="rId2559"/>
    <hyperlink ref="R1644" r:id="rId2560"/>
    <hyperlink ref="P1645" r:id="rId2561"/>
    <hyperlink ref="R1645" r:id="rId2562"/>
    <hyperlink ref="R1646" r:id="rId2563"/>
    <hyperlink ref="R1647" r:id="rId2564"/>
    <hyperlink ref="P1648" r:id="rId2565" display="../../../../Releases/Projects/SLT/Release_For_IT/Test_Build_1.0.0.4/Server CD/DBS/Setup"/>
    <hyperlink ref="R1648" r:id="rId2566" display="../../../../Releases/Projects/SLT/Release_For_LQA/Test_Build_1.0.0.24/Server CD/DBS/Setup"/>
    <hyperlink ref="P1649" r:id="rId2567" display="../../../../Releases/Projects/SLT/Release_For_IT/Test_Build_1.0.0.4/Server CD/DBS/Setup"/>
    <hyperlink ref="R1649" r:id="rId2568" display="../../../../Releases/Projects/SLT/Release_For_LQA/Test_Build_1.0.0.24/Server CD/DBS/Setup"/>
    <hyperlink ref="R1650" r:id="rId2569" display="../../../../Releases/Projects/SLT-1B/Release_For_Test/Test_Build_1.0.0.1/Server CD/MPE/Setup"/>
    <hyperlink ref="P1651" r:id="rId2570" display="../../../../Releases/Projects/SLT/Release_For_IT/Test_Build_1.0.0.4/Server CD/DBS/Setup"/>
    <hyperlink ref="R1651" r:id="rId2571" display="../../../../Releases/Projects/SLT/Release_For_LQA/Test_Build_1.0.0.24/Server CD/DBS/Setup"/>
    <hyperlink ref="P1652" r:id="rId2572" display="../../../../Releases/Projects/SLT/Release_For_IT/Test_Build_1.0.0.4/Server CD/DBS/Setup"/>
    <hyperlink ref="R1652" r:id="rId2573" display="../../../../Releases/Projects/SLT/Release_For_LQA/Test_Build_1.0.0.24/Server CD/DBS/Setup"/>
    <hyperlink ref="P1653" r:id="rId2574" display="../../../../Releases/Projects/FNB/Release_For_IT/TestBuild_1.0.1/Server CD/DBS/Setup"/>
    <hyperlink ref="R1653" r:id="rId2575" display="../../../../Releases/Projects/FNB/Release_For_Test/Test_Build_1.0.2/Server CD/DBS/Setup"/>
    <hyperlink ref="R1654" r:id="rId2576" display="../../../../Releases/Projects/TWC/Release_For_Test/Test_Build_1.0.0.4/Server CD/MPE/Setup"/>
    <hyperlink ref="R1655" r:id="rId2577"/>
    <hyperlink ref="P1656" r:id="rId2578"/>
    <hyperlink ref="R1656" r:id="rId2579"/>
    <hyperlink ref="P1658" r:id="rId2580"/>
    <hyperlink ref="R1657" r:id="rId2581"/>
    <hyperlink ref="R1658" r:id="rId2582"/>
    <hyperlink ref="R1660" r:id="rId2583"/>
    <hyperlink ref="R1659" r:id="rId2584"/>
    <hyperlink ref="R1661" r:id="rId2585"/>
    <hyperlink ref="R1662" r:id="rId2586"/>
    <hyperlink ref="R1663" r:id="rId2587"/>
    <hyperlink ref="R1664" r:id="rId2588"/>
    <hyperlink ref="P1665" r:id="rId2589"/>
    <hyperlink ref="R1665" r:id="rId2590"/>
    <hyperlink ref="R1666" r:id="rId2591"/>
    <hyperlink ref="P1667" r:id="rId2592"/>
    <hyperlink ref="R1667" r:id="rId2593"/>
    <hyperlink ref="R1668" r:id="rId2594"/>
    <hyperlink ref="P1669" r:id="rId2595"/>
    <hyperlink ref="R1669" r:id="rId2596"/>
    <hyperlink ref="R1670" r:id="rId2597"/>
    <hyperlink ref="R1671" r:id="rId2598"/>
    <hyperlink ref="P1672" r:id="rId2599"/>
    <hyperlink ref="R1672" r:id="rId2600"/>
    <hyperlink ref="R1673" r:id="rId2601" display="../../../../Releases/Projects/SLT-1B/Release_For_Test/Test_Build_1.0.0.1/Server CD/MPE/Setup"/>
    <hyperlink ref="P1674" r:id="rId2602" display="../../../../Releases/Projects/Telstra/Release_For_IT/Test_Build_1.0.0.18/Server CD/DBS/Setup"/>
    <hyperlink ref="R1674" r:id="rId2603" display="../../../../Releases/Projects/Telstra/Release_For_LQA/Test_Build_1.0.0.18/Server CD/DBS/Setup"/>
    <hyperlink ref="R1675" r:id="rId2604" display="../../../../Releases/Product/RE_2.0/Build&amp;Release/Release_For_LQA/Test_Build_1.0.2/Server CD/DBS/Setup"/>
    <hyperlink ref="R1676" r:id="rId2605" display="../../../../Releases/Projects/BHN/Release_For_Test/Test_Build_1.0.6/Server CD/DBS/Setup"/>
    <hyperlink ref="P1677" r:id="rId2606"/>
    <hyperlink ref="R1677" r:id="rId2607"/>
    <hyperlink ref="R1678" r:id="rId2608"/>
    <hyperlink ref="R1679" r:id="rId2609"/>
    <hyperlink ref="P1680" r:id="rId2610"/>
    <hyperlink ref="R1680" r:id="rId2611"/>
    <hyperlink ref="R1681" r:id="rId2612"/>
    <hyperlink ref="P1681" r:id="rId2613"/>
    <hyperlink ref="R1682" r:id="rId2614"/>
    <hyperlink ref="R1683" r:id="rId2615"/>
    <hyperlink ref="R1684" r:id="rId2616"/>
    <hyperlink ref="R1686" r:id="rId2617"/>
    <hyperlink ref="R1685" r:id="rId2618"/>
    <hyperlink ref="R1687" r:id="rId2619"/>
    <hyperlink ref="R1688" r:id="rId2620"/>
    <hyperlink ref="P1689" r:id="rId2621"/>
    <hyperlink ref="R1689" r:id="rId2622"/>
    <hyperlink ref="R1690" r:id="rId2623"/>
    <hyperlink ref="R1691" r:id="rId2624" display="../../../../Releases/Projects/BHN/Release_For_Test/Test_Build_1.0.6/Server CD/DBS/Setup"/>
    <hyperlink ref="R1692" r:id="rId2625"/>
    <hyperlink ref="R1693" r:id="rId2626"/>
    <hyperlink ref="P1694" r:id="rId2627"/>
    <hyperlink ref="R1694" r:id="rId2628"/>
    <hyperlink ref="P1695" r:id="rId2629"/>
    <hyperlink ref="R1695" r:id="rId2630"/>
    <hyperlink ref="P1696" r:id="rId2631"/>
    <hyperlink ref="R1696" r:id="rId2632"/>
    <hyperlink ref="P1698" r:id="rId2633" display="../../../../Releases/Projects/SLT/Release_For_IT/Test_Build_1.0.0.4/Server CD/DBS/Setup"/>
    <hyperlink ref="R1698" r:id="rId2634" display="../../../../Releases/Projects/SLT/Release_For_LQA/Test_Build_1.0.0.24/Server CD/DBS/Setup"/>
    <hyperlink ref="R1697" r:id="rId2635" display="../../../../Releases/Projects/Comcast/Release_for_Test/Test_Build_4.6.8/Server CD/GUI/Setup"/>
    <hyperlink ref="R1699" r:id="rId2636" display="../../../../Releases/Projects/Comcast/Release_for_Test/Test_Build_4.6.8/Server CD/Database/Setup"/>
    <hyperlink ref="R1700" r:id="rId2637"/>
    <hyperlink ref="R1701" r:id="rId2638"/>
    <hyperlink ref="R1702" r:id="rId2639" display="\\192.168.3.3\Share\Releases\Projects\ANTEL\Release_For_Test\Test_Build_1.0.0.7\Server CD\MPE\Setup_x000d_"/>
    <hyperlink ref="P1703" r:id="rId2640"/>
    <hyperlink ref="R1703" r:id="rId2641"/>
    <hyperlink ref="R1704" r:id="rId2642"/>
    <hyperlink ref="P1705" r:id="rId2643"/>
    <hyperlink ref="R1705" r:id="rId2644"/>
    <hyperlink ref="P1706" r:id="rId2645"/>
    <hyperlink ref="R1706" r:id="rId2646"/>
    <hyperlink ref="R1707" r:id="rId2647" display="\\192.168.3.3\Share\Releases\Product\IM_1.0\Build&amp;Release\Release_For_LQA\Test_Build_1.0.7\Server CD\IM\Setup"/>
    <hyperlink ref="R1708" r:id="rId2648"/>
    <hyperlink ref="R1709" r:id="rId2649"/>
    <hyperlink ref="P1710" r:id="rId2650"/>
    <hyperlink ref="P1711" r:id="rId2651"/>
    <hyperlink ref="R1712" r:id="rId2652"/>
    <hyperlink ref="R1713" r:id="rId2653"/>
    <hyperlink ref="R1714" r:id="rId2654"/>
    <hyperlink ref="R1715" r:id="rId2655"/>
    <hyperlink ref="R1716" r:id="rId2656"/>
    <hyperlink ref="R1717" r:id="rId2657" display="\\192.168.3.3\Share\Releases\Product\RT_4.0\ReleaseForLQA\TestBuild_4.0.24\GUI\Build1\Setup "/>
    <hyperlink ref="R1718" r:id="rId2658"/>
    <hyperlink ref="R1719" r:id="rId2659"/>
    <hyperlink ref="R1720" r:id="rId2660"/>
    <hyperlink ref="R1721" r:id="rId2661"/>
    <hyperlink ref="R1722" r:id="rId2662"/>
    <hyperlink ref="R1723" r:id="rId2663"/>
    <hyperlink ref="R1724" r:id="rId2664"/>
    <hyperlink ref="R1725" r:id="rId2665"/>
    <hyperlink ref="R1726" r:id="rId2666"/>
    <hyperlink ref="R1727" r:id="rId2667"/>
    <hyperlink ref="R1728" r:id="rId2668"/>
    <hyperlink ref="R1729" r:id="rId2669"/>
    <hyperlink ref="R1730" r:id="rId2670"/>
    <hyperlink ref="P1730" r:id="rId2671"/>
    <hyperlink ref="R1731" r:id="rId2672"/>
    <hyperlink ref="P1732" r:id="rId2673"/>
    <hyperlink ref="R1732" r:id="rId2674"/>
    <hyperlink ref="R1733" r:id="rId2675"/>
    <hyperlink ref="R1734" r:id="rId2676"/>
    <hyperlink ref="R1735" r:id="rId2677"/>
    <hyperlink ref="P1736" r:id="rId2678" display="../../../../Releases/Projects/OBT/Release_For_IT/TestBuild_1.0.0.2/Server CD/DBS/Setup"/>
    <hyperlink ref="R1736" r:id="rId2679" display="../../../../Releases/Projects/OBT/Release_For_LQA/TestBuild_1.0.0.7/Server CD/DBS/Setup"/>
    <hyperlink ref="R1737" r:id="rId2680"/>
    <hyperlink ref="R1738" r:id="rId2681"/>
    <hyperlink ref="R1739" r:id="rId2682"/>
    <hyperlink ref="P1740" r:id="rId2683"/>
    <hyperlink ref="R1740" r:id="rId2684"/>
    <hyperlink ref="P1741" r:id="rId2685"/>
    <hyperlink ref="R1742" r:id="rId2686"/>
    <hyperlink ref="R1741" r:id="rId2687"/>
    <hyperlink ref="R1743" r:id="rId2688"/>
    <hyperlink ref="R1744" r:id="rId2689"/>
    <hyperlink ref="R1745" r:id="rId2690"/>
    <hyperlink ref="R1746" r:id="rId2691"/>
    <hyperlink ref="R1747" r:id="rId2692"/>
    <hyperlink ref="R1748" r:id="rId2693" display="\\192.168.3.3\Share\Releases\Projects\ANTEL\Release_For_Test\Test_Build_1.0.0.7\Server CD\MPE\Setup_x000d_"/>
    <hyperlink ref="R1749" r:id="rId2694"/>
    <hyperlink ref="R1750" r:id="rId2695"/>
    <hyperlink ref="R1751" r:id="rId2696"/>
    <hyperlink ref="R1752" r:id="rId2697"/>
    <hyperlink ref="P1753" r:id="rId2698"/>
    <hyperlink ref="R1753" r:id="rId2699"/>
    <hyperlink ref="P1754" r:id="rId2700"/>
    <hyperlink ref="R1754" r:id="rId2701"/>
    <hyperlink ref="R1755" r:id="rId2702"/>
    <hyperlink ref="R1756" r:id="rId2703"/>
    <hyperlink ref="R1757" r:id="rId2704"/>
    <hyperlink ref="R1758" r:id="rId2705"/>
    <hyperlink ref="R1759" r:id="rId2706"/>
    <hyperlink ref="P1760" r:id="rId2707"/>
    <hyperlink ref="R1760" r:id="rId2708"/>
    <hyperlink ref="R1761" r:id="rId2709"/>
    <hyperlink ref="R1762" r:id="rId2710"/>
    <hyperlink ref="R1763" r:id="rId2711"/>
    <hyperlink ref="R1764" r:id="rId2712"/>
    <hyperlink ref="P1765" r:id="rId2713"/>
    <hyperlink ref="R1765" r:id="rId2714"/>
    <hyperlink ref="R1766" r:id="rId2715"/>
    <hyperlink ref="P1766" r:id="rId2716"/>
    <hyperlink ref="R1767" r:id="rId2717" display="\\192.168.3.3\Share\Releases\Projects\ANTEL\Release_For_Test\Test_Build_1.0.0.7\Server CD\MPE\Setup_x000d_"/>
    <hyperlink ref="R1768" r:id="rId2718"/>
    <hyperlink ref="P1771" r:id="rId2719"/>
    <hyperlink ref="R1771" r:id="rId2720"/>
    <hyperlink ref="R1770" r:id="rId2721"/>
    <hyperlink ref="R1769" r:id="rId2722"/>
    <hyperlink ref="R1772" r:id="rId2723"/>
    <hyperlink ref="R1773" r:id="rId2724"/>
    <hyperlink ref="P1774" r:id="rId2725"/>
    <hyperlink ref="R1774" r:id="rId2726"/>
    <hyperlink ref="P1775" r:id="rId2727"/>
    <hyperlink ref="R1775" r:id="rId2728"/>
    <hyperlink ref="R1776" r:id="rId2729"/>
    <hyperlink ref="P1777" r:id="rId2730"/>
    <hyperlink ref="R1777" r:id="rId2731"/>
    <hyperlink ref="P1778" r:id="rId2732"/>
    <hyperlink ref="R1778" r:id="rId2733"/>
    <hyperlink ref="R1779" r:id="rId2734"/>
    <hyperlink ref="R1780" r:id="rId2735"/>
    <hyperlink ref="R1781" r:id="rId2736"/>
    <hyperlink ref="R1782" r:id="rId2737"/>
    <hyperlink ref="R1783" r:id="rId2738"/>
    <hyperlink ref="P1784" r:id="rId2739"/>
    <hyperlink ref="R1784" r:id="rId2740"/>
    <hyperlink ref="R1785" r:id="rId2741"/>
    <hyperlink ref="R1786" r:id="rId2742"/>
    <hyperlink ref="R1787" r:id="rId2743"/>
    <hyperlink ref="R1788" r:id="rId2744"/>
    <hyperlink ref="R1789" r:id="rId2745"/>
    <hyperlink ref="P1790" r:id="rId2746"/>
    <hyperlink ref="R1790" r:id="rId2747"/>
    <hyperlink ref="R1791" r:id="rId2748"/>
    <hyperlink ref="R1792" r:id="rId2749"/>
    <hyperlink ref="R1793" r:id="rId2750"/>
    <hyperlink ref="P1794" r:id="rId2751"/>
    <hyperlink ref="R1794" r:id="rId2752"/>
    <hyperlink ref="R1795" r:id="rId2753"/>
    <hyperlink ref="R1796" r:id="rId2754"/>
    <hyperlink ref="P1797" r:id="rId2755" display="\\192.168.3.3\Share\Releases\Projects\ANTEL\Release_For_IT\TestBuild_1.0.0.4\Server CD\DBS\Setup"/>
    <hyperlink ref="R1797" r:id="rId2756"/>
    <hyperlink ref="P1798" r:id="rId2757"/>
    <hyperlink ref="R1798" r:id="rId2758"/>
    <hyperlink ref="R1799" r:id="rId2759"/>
    <hyperlink ref="R1800" r:id="rId2760"/>
    <hyperlink ref="R1801" r:id="rId2761"/>
    <hyperlink ref="R1802" r:id="rId2762"/>
    <hyperlink ref="P1803" r:id="rId2763"/>
    <hyperlink ref="R1803" r:id="rId2764"/>
    <hyperlink ref="R1804" r:id="rId2765"/>
    <hyperlink ref="R1805" r:id="rId2766"/>
    <hyperlink ref="P1806" r:id="rId2767"/>
    <hyperlink ref="R1806" r:id="rId2768"/>
    <hyperlink ref="P1807" r:id="rId2769"/>
    <hyperlink ref="R1807" r:id="rId2770"/>
    <hyperlink ref="R1808" r:id="rId2771"/>
    <hyperlink ref="P1809" r:id="rId2772"/>
    <hyperlink ref="R1809" r:id="rId2773"/>
    <hyperlink ref="R1810" r:id="rId2774"/>
    <hyperlink ref="R1811" r:id="rId2775"/>
    <hyperlink ref="R1812" r:id="rId2776"/>
    <hyperlink ref="P1813" r:id="rId2777" display="\\192.168.3.3\Share\Releases\Projects\ANTEL\Release_For_IT\TestBuild_1.0.0.4\Server CD\DBS\Setup"/>
    <hyperlink ref="R1813" r:id="rId2778"/>
    <hyperlink ref="R1814" r:id="rId2779"/>
    <hyperlink ref="R1815" r:id="rId2780"/>
    <hyperlink ref="R1816" r:id="rId2781"/>
    <hyperlink ref="P1817" r:id="rId2782"/>
    <hyperlink ref="R1817" r:id="rId2783"/>
    <hyperlink ref="R1818" r:id="rId2784"/>
    <hyperlink ref="R1819" r:id="rId2785"/>
    <hyperlink ref="P1820" r:id="rId2786"/>
    <hyperlink ref="R1820" r:id="rId2787"/>
    <hyperlink ref="P1821" r:id="rId2788"/>
    <hyperlink ref="R1821" r:id="rId2789"/>
    <hyperlink ref="P1822" r:id="rId2790"/>
    <hyperlink ref="R1822" r:id="rId2791"/>
    <hyperlink ref="R1823" r:id="rId2792"/>
    <hyperlink ref="R1824" r:id="rId2793"/>
    <hyperlink ref="P1825" r:id="rId2794"/>
    <hyperlink ref="R1825" r:id="rId2795"/>
    <hyperlink ref="R1826" r:id="rId2796"/>
    <hyperlink ref="P1827" r:id="rId2797"/>
    <hyperlink ref="R1827" r:id="rId2798"/>
    <hyperlink ref="P1828" r:id="rId2799"/>
    <hyperlink ref="R1828" r:id="rId2800"/>
    <hyperlink ref="R1829" r:id="rId2801"/>
    <hyperlink ref="P1830" r:id="rId2802"/>
    <hyperlink ref="R1830" r:id="rId2803"/>
    <hyperlink ref="R1831" r:id="rId2804"/>
    <hyperlink ref="R1832" r:id="rId2805"/>
    <hyperlink ref="R1833" r:id="rId2806"/>
    <hyperlink ref="R1834" r:id="rId2807"/>
    <hyperlink ref="R1835" r:id="rId2808"/>
    <hyperlink ref="R1836" r:id="rId2809"/>
    <hyperlink ref="P1837" r:id="rId2810"/>
    <hyperlink ref="R1838" r:id="rId2811"/>
    <hyperlink ref="P1839" r:id="rId2812"/>
    <hyperlink ref="R1839" r:id="rId2813"/>
    <hyperlink ref="R1840" r:id="rId2814"/>
  </hyperlinks>
  <pageMargins left="0.7" right="0.7" top="0.75" bottom="0.75" header="0.3" footer="0.3"/>
  <pageSetup orientation="portrait" r:id="rId2815"/>
  <legacyDrawing r:id="rId2816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6:BE150"/>
  <sheetViews>
    <sheetView workbookViewId="0">
      <selection activeCell="F14" sqref="F14:G14"/>
    </sheetView>
  </sheetViews>
  <sheetFormatPr defaultRowHeight="15" x14ac:dyDescent="0.25"/>
  <cols>
    <col min="2" max="2" width="9.140625" style="1"/>
    <col min="3" max="3" width="15" customWidth="1"/>
    <col min="4" max="4" width="11.5703125" bestFit="1" customWidth="1"/>
    <col min="5" max="5" width="17.42578125" customWidth="1"/>
    <col min="7" max="7" width="10.42578125" bestFit="1" customWidth="1"/>
    <col min="11" max="11" width="9.5703125" bestFit="1" customWidth="1"/>
    <col min="12" max="12" width="15.42578125" bestFit="1" customWidth="1"/>
    <col min="13" max="13" width="11.5703125" bestFit="1" customWidth="1"/>
    <col min="14" max="14" width="11.42578125" bestFit="1" customWidth="1"/>
    <col min="15" max="15" width="7.28515625" bestFit="1" customWidth="1"/>
    <col min="16" max="16" width="6.85546875" bestFit="1" customWidth="1"/>
    <col min="28" max="28" width="11.5703125" bestFit="1" customWidth="1"/>
    <col min="37" max="38" width="11.5703125" bestFit="1" customWidth="1"/>
    <col min="39" max="39" width="10.42578125" bestFit="1" customWidth="1"/>
    <col min="41" max="41" width="10.42578125" bestFit="1" customWidth="1"/>
    <col min="45" max="46" width="11.5703125" bestFit="1" customWidth="1"/>
    <col min="49" max="49" width="10.42578125" bestFit="1" customWidth="1"/>
    <col min="52" max="52" width="9.5703125" bestFit="1" customWidth="1"/>
    <col min="53" max="53" width="19.42578125" bestFit="1" customWidth="1"/>
    <col min="54" max="54" width="6.85546875" bestFit="1" customWidth="1"/>
  </cols>
  <sheetData>
    <row r="6" spans="2:8" x14ac:dyDescent="0.25">
      <c r="C6" s="578" t="s">
        <v>40</v>
      </c>
      <c r="D6" s="578"/>
      <c r="E6" s="578"/>
    </row>
    <row r="13" spans="2:8" x14ac:dyDescent="0.25">
      <c r="B13" s="578" t="s">
        <v>74</v>
      </c>
      <c r="C13" s="578"/>
      <c r="D13" s="578"/>
    </row>
    <row r="14" spans="2:8" x14ac:dyDescent="0.25">
      <c r="B14" s="13" t="s">
        <v>29</v>
      </c>
      <c r="C14" s="576" t="s">
        <v>2</v>
      </c>
      <c r="D14" s="579"/>
      <c r="E14" s="14"/>
      <c r="F14" s="571" t="s">
        <v>31</v>
      </c>
      <c r="G14" s="572"/>
      <c r="H14" s="33"/>
    </row>
    <row r="15" spans="2:8" ht="15.75" thickBot="1" x14ac:dyDescent="0.3">
      <c r="B15" s="13"/>
      <c r="C15" s="15"/>
      <c r="D15" s="16"/>
      <c r="E15" s="573" t="s">
        <v>43</v>
      </c>
      <c r="F15" s="574"/>
      <c r="G15" s="575" t="s">
        <v>44</v>
      </c>
      <c r="H15" s="574"/>
    </row>
    <row r="16" spans="2:8" ht="16.5" thickTop="1" thickBot="1" x14ac:dyDescent="0.3">
      <c r="B16" s="17"/>
      <c r="C16" s="18" t="s">
        <v>45</v>
      </c>
      <c r="D16" s="18" t="s">
        <v>46</v>
      </c>
      <c r="E16" s="19" t="s">
        <v>34</v>
      </c>
      <c r="F16" s="19" t="s">
        <v>35</v>
      </c>
      <c r="G16" s="19" t="s">
        <v>34</v>
      </c>
      <c r="H16" s="24" t="s">
        <v>35</v>
      </c>
    </row>
    <row r="17" spans="2:57" ht="15.75" thickTop="1" x14ac:dyDescent="0.25">
      <c r="B17" s="20">
        <v>1</v>
      </c>
      <c r="C17" s="21" t="s">
        <v>47</v>
      </c>
      <c r="D17" s="22" t="s">
        <v>48</v>
      </c>
      <c r="E17" s="23" t="s">
        <v>49</v>
      </c>
      <c r="F17" s="23" t="s">
        <v>50</v>
      </c>
      <c r="G17" s="23" t="s">
        <v>51</v>
      </c>
      <c r="H17" s="23" t="s">
        <v>52</v>
      </c>
    </row>
    <row r="18" spans="2:57" x14ac:dyDescent="0.25">
      <c r="B18" s="20">
        <v>2</v>
      </c>
      <c r="C18" s="21" t="s">
        <v>53</v>
      </c>
      <c r="D18" s="22" t="s">
        <v>48</v>
      </c>
      <c r="E18" s="23" t="s">
        <v>54</v>
      </c>
      <c r="F18" s="23"/>
      <c r="G18" s="23"/>
      <c r="H18" s="23"/>
    </row>
    <row r="19" spans="2:57" x14ac:dyDescent="0.25">
      <c r="B19" s="20">
        <v>3</v>
      </c>
      <c r="C19" s="21" t="s">
        <v>56</v>
      </c>
      <c r="D19" s="22"/>
      <c r="E19" s="23" t="s">
        <v>57</v>
      </c>
      <c r="F19" s="23"/>
      <c r="G19" s="23"/>
      <c r="H19" s="23"/>
    </row>
    <row r="20" spans="2:57" x14ac:dyDescent="0.25">
      <c r="B20" s="20">
        <v>4</v>
      </c>
      <c r="C20" s="21" t="s">
        <v>59</v>
      </c>
      <c r="D20" s="22"/>
      <c r="E20" s="23"/>
      <c r="F20" s="23"/>
      <c r="G20" s="23"/>
      <c r="H20" s="23"/>
    </row>
    <row r="21" spans="2:57" x14ac:dyDescent="0.25">
      <c r="B21" s="20">
        <v>5</v>
      </c>
      <c r="C21" s="21" t="s">
        <v>61</v>
      </c>
      <c r="D21" s="22"/>
      <c r="E21" s="23"/>
      <c r="F21" s="23"/>
      <c r="G21" s="23"/>
      <c r="H21" s="23"/>
    </row>
    <row r="22" spans="2:57" x14ac:dyDescent="0.25">
      <c r="B22" s="20">
        <v>6</v>
      </c>
      <c r="C22" s="21"/>
      <c r="D22" s="22"/>
      <c r="E22" s="23"/>
      <c r="F22" s="23"/>
      <c r="G22" s="23"/>
      <c r="H22" s="23"/>
    </row>
    <row r="23" spans="2:57" x14ac:dyDescent="0.25">
      <c r="B23" s="20">
        <v>7</v>
      </c>
      <c r="C23" s="21"/>
      <c r="D23" s="22"/>
      <c r="E23" s="23"/>
      <c r="F23" s="23"/>
      <c r="G23" s="23"/>
      <c r="H23" s="23"/>
    </row>
    <row r="24" spans="2:57" x14ac:dyDescent="0.25">
      <c r="B24" s="20"/>
      <c r="C24" s="21"/>
      <c r="D24" s="22"/>
      <c r="E24" s="23"/>
      <c r="F24" s="23"/>
      <c r="G24" s="23"/>
      <c r="H24" s="23"/>
    </row>
    <row r="30" spans="2:57" x14ac:dyDescent="0.25">
      <c r="B30" s="13" t="s">
        <v>29</v>
      </c>
      <c r="C30" s="32" t="s">
        <v>30</v>
      </c>
      <c r="D30" s="35"/>
      <c r="E30" s="14"/>
      <c r="F30" s="33" t="s">
        <v>31</v>
      </c>
      <c r="G30" s="34"/>
      <c r="H30" s="33"/>
      <c r="K30" s="13" t="s">
        <v>29</v>
      </c>
      <c r="L30" s="576" t="s">
        <v>63</v>
      </c>
      <c r="M30" s="577"/>
      <c r="N30" s="14"/>
      <c r="O30" s="571" t="s">
        <v>31</v>
      </c>
      <c r="P30" s="572"/>
      <c r="Q30" s="33"/>
      <c r="S30" s="13" t="s">
        <v>29</v>
      </c>
      <c r="T30" s="576" t="s">
        <v>197</v>
      </c>
      <c r="U30" s="577"/>
      <c r="V30" s="14"/>
      <c r="W30" s="571" t="s">
        <v>31</v>
      </c>
      <c r="X30" s="572"/>
      <c r="Y30" s="33"/>
      <c r="AA30" s="13" t="s">
        <v>29</v>
      </c>
      <c r="AB30" s="576" t="s">
        <v>198</v>
      </c>
      <c r="AC30" s="577"/>
      <c r="AD30" s="14"/>
      <c r="AE30" s="571" t="s">
        <v>31</v>
      </c>
      <c r="AF30" s="572"/>
      <c r="AG30" s="33"/>
      <c r="AJ30" s="13" t="s">
        <v>29</v>
      </c>
      <c r="AK30" s="576" t="s">
        <v>199</v>
      </c>
      <c r="AL30" s="577"/>
      <c r="AM30" s="14"/>
      <c r="AN30" s="571" t="s">
        <v>31</v>
      </c>
      <c r="AO30" s="572"/>
      <c r="AP30" s="33"/>
      <c r="AR30" s="13" t="s">
        <v>29</v>
      </c>
      <c r="AS30" s="576" t="s">
        <v>200</v>
      </c>
      <c r="AT30" s="577"/>
      <c r="AU30" s="14"/>
      <c r="AV30" s="571" t="s">
        <v>31</v>
      </c>
      <c r="AW30" s="572"/>
      <c r="AX30" s="33"/>
      <c r="AZ30" s="13" t="s">
        <v>29</v>
      </c>
      <c r="BA30" s="25" t="s">
        <v>201</v>
      </c>
      <c r="BB30" s="14"/>
      <c r="BC30" s="571" t="s">
        <v>31</v>
      </c>
      <c r="BD30" s="572"/>
      <c r="BE30" s="33"/>
    </row>
    <row r="31" spans="2:57" ht="15.75" thickBot="1" x14ac:dyDescent="0.3">
      <c r="B31" s="13"/>
      <c r="C31" s="15"/>
      <c r="D31" s="16"/>
      <c r="E31" s="29" t="s">
        <v>17</v>
      </c>
      <c r="F31" s="30"/>
      <c r="G31" s="31" t="s">
        <v>28</v>
      </c>
      <c r="H31" s="30"/>
      <c r="K31" s="13"/>
      <c r="L31" s="15"/>
      <c r="M31" s="16"/>
      <c r="N31" s="573" t="s">
        <v>28</v>
      </c>
      <c r="O31" s="574"/>
      <c r="P31" s="575"/>
      <c r="Q31" s="574"/>
      <c r="S31" s="13"/>
      <c r="T31" s="15"/>
      <c r="U31" s="16"/>
      <c r="V31" s="573" t="s">
        <v>106</v>
      </c>
      <c r="W31" s="574"/>
      <c r="X31" s="575" t="s">
        <v>28</v>
      </c>
      <c r="Y31" s="574"/>
      <c r="AA31" s="13"/>
      <c r="AB31" s="15"/>
      <c r="AC31" s="16"/>
      <c r="AD31" s="573" t="s">
        <v>106</v>
      </c>
      <c r="AE31" s="574"/>
      <c r="AF31" s="575" t="s">
        <v>28</v>
      </c>
      <c r="AG31" s="574"/>
      <c r="AJ31" s="13"/>
      <c r="AK31" s="15"/>
      <c r="AL31" s="16"/>
      <c r="AM31" s="573" t="s">
        <v>17</v>
      </c>
      <c r="AN31" s="574"/>
      <c r="AO31" s="575" t="s">
        <v>28</v>
      </c>
      <c r="AP31" s="574"/>
      <c r="AR31" s="13"/>
      <c r="AS31" s="15"/>
      <c r="AT31" s="16"/>
      <c r="AU31" s="573" t="s">
        <v>17</v>
      </c>
      <c r="AV31" s="574"/>
      <c r="AW31" s="575" t="s">
        <v>28</v>
      </c>
      <c r="AX31" s="574"/>
      <c r="AZ31" s="13"/>
      <c r="BA31" s="25"/>
      <c r="BB31" s="573" t="s">
        <v>43</v>
      </c>
      <c r="BC31" s="574"/>
      <c r="BD31" s="575" t="s">
        <v>12</v>
      </c>
      <c r="BE31" s="574"/>
    </row>
    <row r="32" spans="2:57" ht="16.5" thickTop="1" thickBot="1" x14ac:dyDescent="0.3">
      <c r="B32" s="17"/>
      <c r="C32" s="18" t="s">
        <v>32</v>
      </c>
      <c r="D32" s="18" t="s">
        <v>33</v>
      </c>
      <c r="E32" s="19" t="s">
        <v>34</v>
      </c>
      <c r="F32" s="19" t="s">
        <v>35</v>
      </c>
      <c r="G32" s="19" t="s">
        <v>34</v>
      </c>
      <c r="H32" s="19" t="s">
        <v>35</v>
      </c>
      <c r="K32" s="17"/>
      <c r="L32" s="18" t="s">
        <v>46</v>
      </c>
      <c r="M32" s="18"/>
      <c r="N32" s="19" t="s">
        <v>34</v>
      </c>
      <c r="O32" s="19" t="s">
        <v>35</v>
      </c>
      <c r="P32" s="19"/>
      <c r="Q32" s="24"/>
      <c r="S32" s="17"/>
      <c r="T32" s="18" t="s">
        <v>202</v>
      </c>
      <c r="U32" s="18"/>
      <c r="V32" s="19" t="s">
        <v>34</v>
      </c>
      <c r="W32" s="19" t="s">
        <v>35</v>
      </c>
      <c r="X32" s="19"/>
      <c r="Y32" s="24"/>
      <c r="AA32" s="17"/>
      <c r="AB32" s="18" t="s">
        <v>202</v>
      </c>
      <c r="AC32" s="18"/>
      <c r="AD32" s="19" t="s">
        <v>34</v>
      </c>
      <c r="AE32" s="19" t="s">
        <v>35</v>
      </c>
      <c r="AF32" s="19"/>
      <c r="AG32" s="24"/>
      <c r="AJ32" s="17"/>
      <c r="AK32" s="18" t="s">
        <v>32</v>
      </c>
      <c r="AL32" s="18"/>
      <c r="AM32" s="19" t="s">
        <v>34</v>
      </c>
      <c r="AN32" s="19" t="s">
        <v>35</v>
      </c>
      <c r="AO32" s="19" t="s">
        <v>34</v>
      </c>
      <c r="AP32" s="19" t="s">
        <v>35</v>
      </c>
      <c r="AR32" s="17"/>
      <c r="AS32" s="18" t="s">
        <v>32</v>
      </c>
      <c r="AT32" s="18" t="s">
        <v>33</v>
      </c>
      <c r="AU32" s="19" t="s">
        <v>34</v>
      </c>
      <c r="AV32" s="19" t="s">
        <v>35</v>
      </c>
      <c r="AW32" s="19" t="s">
        <v>34</v>
      </c>
      <c r="AX32" s="19" t="s">
        <v>35</v>
      </c>
      <c r="AZ32" s="17"/>
      <c r="BA32" s="18" t="s">
        <v>55</v>
      </c>
      <c r="BB32" s="19" t="s">
        <v>34</v>
      </c>
      <c r="BC32" s="19" t="s">
        <v>35</v>
      </c>
      <c r="BD32" s="19" t="s">
        <v>34</v>
      </c>
      <c r="BE32" s="24" t="s">
        <v>35</v>
      </c>
    </row>
    <row r="33" spans="2:57" ht="15.75" thickTop="1" x14ac:dyDescent="0.25">
      <c r="B33" s="20">
        <v>1</v>
      </c>
      <c r="C33" s="21" t="s">
        <v>203</v>
      </c>
      <c r="D33" s="22"/>
      <c r="E33" s="23" t="s">
        <v>36</v>
      </c>
      <c r="F33" s="23" t="s">
        <v>37</v>
      </c>
      <c r="G33" s="23"/>
      <c r="H33" s="23" t="s">
        <v>72</v>
      </c>
      <c r="K33" s="20">
        <v>1</v>
      </c>
      <c r="L33" s="21"/>
      <c r="M33" s="22"/>
      <c r="N33" s="23" t="s">
        <v>70</v>
      </c>
      <c r="O33" s="23" t="s">
        <v>52</v>
      </c>
      <c r="P33" s="23"/>
      <c r="Q33" s="23"/>
      <c r="S33" s="20">
        <v>1</v>
      </c>
      <c r="T33" s="21" t="s">
        <v>204</v>
      </c>
      <c r="U33" s="22"/>
      <c r="V33" s="23"/>
      <c r="W33" s="23" t="s">
        <v>205</v>
      </c>
      <c r="X33" s="23"/>
      <c r="Y33" s="23"/>
      <c r="AA33" s="20">
        <v>1</v>
      </c>
      <c r="AB33" s="21" t="s">
        <v>204</v>
      </c>
      <c r="AC33" s="22"/>
      <c r="AD33" s="23"/>
      <c r="AE33" s="23" t="s">
        <v>205</v>
      </c>
      <c r="AF33" s="23"/>
      <c r="AG33" s="23"/>
      <c r="AJ33" s="20">
        <v>1</v>
      </c>
      <c r="AK33" s="21" t="s">
        <v>18</v>
      </c>
      <c r="AL33" s="22"/>
      <c r="AM33" s="23" t="s">
        <v>206</v>
      </c>
      <c r="AN33" s="23" t="s">
        <v>37</v>
      </c>
      <c r="AO33" s="23"/>
      <c r="AP33" s="23" t="s">
        <v>207</v>
      </c>
      <c r="AR33" s="20">
        <v>1</v>
      </c>
      <c r="AS33" s="21"/>
      <c r="AT33" s="22"/>
      <c r="AU33" s="23"/>
      <c r="AV33" s="23" t="s">
        <v>37</v>
      </c>
      <c r="AW33" s="23"/>
      <c r="AX33" s="23" t="s">
        <v>207</v>
      </c>
      <c r="AZ33" s="20">
        <v>1</v>
      </c>
      <c r="BA33" s="21" t="s">
        <v>19</v>
      </c>
      <c r="BB33" s="23"/>
      <c r="BC33" s="23" t="s">
        <v>58</v>
      </c>
      <c r="BD33" s="23"/>
      <c r="BE33" s="23" t="s">
        <v>58</v>
      </c>
    </row>
    <row r="34" spans="2:57" x14ac:dyDescent="0.25">
      <c r="B34" s="20">
        <v>2</v>
      </c>
      <c r="C34" s="21" t="s">
        <v>208</v>
      </c>
      <c r="D34" s="22"/>
      <c r="E34" s="23" t="s">
        <v>38</v>
      </c>
      <c r="F34" s="23" t="s">
        <v>39</v>
      </c>
      <c r="G34" s="23"/>
      <c r="H34" s="23" t="s">
        <v>129</v>
      </c>
      <c r="K34" s="20">
        <v>2</v>
      </c>
      <c r="L34" s="21"/>
      <c r="M34" s="22"/>
      <c r="N34" s="23" t="s">
        <v>64</v>
      </c>
      <c r="O34" s="23"/>
      <c r="P34" s="23"/>
      <c r="Q34" s="23"/>
      <c r="S34" s="20">
        <v>2</v>
      </c>
      <c r="T34" s="21" t="s">
        <v>209</v>
      </c>
      <c r="U34" s="22"/>
      <c r="V34" s="23"/>
      <c r="W34" s="23"/>
      <c r="X34" s="23"/>
      <c r="Y34" s="23"/>
      <c r="AA34" s="20">
        <v>2</v>
      </c>
      <c r="AB34" s="21"/>
      <c r="AC34" s="22"/>
      <c r="AD34" s="23"/>
      <c r="AE34" s="23"/>
      <c r="AF34" s="23"/>
      <c r="AG34" s="23"/>
      <c r="AJ34" s="20">
        <v>2</v>
      </c>
      <c r="AK34" s="21"/>
      <c r="AL34" s="22"/>
      <c r="AM34" s="23"/>
      <c r="AN34" s="23"/>
      <c r="AO34" s="23" t="s">
        <v>210</v>
      </c>
      <c r="AP34" s="23" t="s">
        <v>39</v>
      </c>
      <c r="AR34" s="20">
        <v>2</v>
      </c>
      <c r="AS34" s="21"/>
      <c r="AT34" s="22"/>
      <c r="AU34" s="23"/>
      <c r="AV34" s="23"/>
      <c r="AW34" s="23"/>
      <c r="AX34" s="23" t="s">
        <v>39</v>
      </c>
      <c r="AZ34" s="20">
        <v>2</v>
      </c>
      <c r="BA34" s="21" t="s">
        <v>211</v>
      </c>
      <c r="BB34" s="23"/>
      <c r="BC34" s="23" t="s">
        <v>60</v>
      </c>
      <c r="BD34" s="23"/>
      <c r="BE34" s="23" t="s">
        <v>60</v>
      </c>
    </row>
    <row r="35" spans="2:57" x14ac:dyDescent="0.25">
      <c r="B35" s="20">
        <v>3</v>
      </c>
      <c r="C35" s="21" t="s">
        <v>212</v>
      </c>
      <c r="D35" s="22"/>
      <c r="E35" s="23" t="s">
        <v>73</v>
      </c>
      <c r="F35" s="23" t="s">
        <v>41</v>
      </c>
      <c r="G35" s="23"/>
      <c r="H35" s="23" t="s">
        <v>130</v>
      </c>
      <c r="K35" s="20">
        <v>3</v>
      </c>
      <c r="L35" s="21"/>
      <c r="M35" s="22"/>
      <c r="N35" s="23" t="s">
        <v>65</v>
      </c>
      <c r="O35" s="23"/>
      <c r="P35" s="23"/>
      <c r="Q35" s="23"/>
      <c r="S35" s="20">
        <v>3</v>
      </c>
      <c r="T35" s="21"/>
      <c r="U35" s="22"/>
      <c r="V35" s="23"/>
      <c r="W35" s="23"/>
      <c r="X35" s="23"/>
      <c r="Y35" s="23"/>
      <c r="AA35" s="20">
        <v>3</v>
      </c>
      <c r="AB35" s="21"/>
      <c r="AC35" s="22"/>
      <c r="AD35" s="23"/>
      <c r="AE35" s="23"/>
      <c r="AF35" s="23"/>
      <c r="AG35" s="23"/>
      <c r="AJ35" s="20">
        <v>3</v>
      </c>
      <c r="AK35" s="21"/>
      <c r="AL35" s="22"/>
      <c r="AM35" s="23"/>
      <c r="AN35" s="23"/>
      <c r="AO35" s="23" t="s">
        <v>213</v>
      </c>
      <c r="AP35" s="23"/>
      <c r="AR35" s="20">
        <v>3</v>
      </c>
      <c r="AS35" s="21"/>
      <c r="AT35" s="22"/>
      <c r="AU35" s="23"/>
      <c r="AV35" s="23"/>
      <c r="AW35" s="23"/>
      <c r="AX35" s="23"/>
      <c r="AZ35" s="20">
        <v>3</v>
      </c>
      <c r="BA35" s="21"/>
      <c r="BB35" s="23"/>
      <c r="BC35" s="23" t="s">
        <v>62</v>
      </c>
      <c r="BD35" s="23"/>
      <c r="BE35" s="23" t="s">
        <v>62</v>
      </c>
    </row>
    <row r="36" spans="2:57" x14ac:dyDescent="0.25">
      <c r="B36" s="20">
        <v>4</v>
      </c>
      <c r="C36" s="21" t="s">
        <v>214</v>
      </c>
      <c r="D36" s="22"/>
      <c r="E36" s="23"/>
      <c r="F36" s="23" t="s">
        <v>42</v>
      </c>
      <c r="G36" s="23"/>
      <c r="H36" s="23" t="s">
        <v>215</v>
      </c>
      <c r="K36" s="20">
        <v>4</v>
      </c>
      <c r="L36" s="21"/>
      <c r="M36" s="22"/>
      <c r="N36" s="23" t="s">
        <v>66</v>
      </c>
      <c r="O36" s="23"/>
      <c r="P36" s="23"/>
      <c r="Q36" s="23"/>
      <c r="S36" s="20">
        <v>4</v>
      </c>
      <c r="T36" s="21"/>
      <c r="U36" s="22"/>
      <c r="V36" s="23"/>
      <c r="W36" s="23"/>
      <c r="X36" s="23"/>
      <c r="Y36" s="23"/>
      <c r="AA36" s="20">
        <v>4</v>
      </c>
      <c r="AB36" s="21"/>
      <c r="AC36" s="22"/>
      <c r="AD36" s="23"/>
      <c r="AE36" s="23"/>
      <c r="AF36" s="23"/>
      <c r="AG36" s="23"/>
      <c r="AJ36" s="20">
        <v>4</v>
      </c>
      <c r="AK36" s="21"/>
      <c r="AL36" s="22"/>
      <c r="AM36" s="23"/>
      <c r="AN36" s="23"/>
      <c r="AO36" s="23" t="s">
        <v>216</v>
      </c>
      <c r="AP36" s="23"/>
      <c r="AR36" s="20">
        <v>4</v>
      </c>
      <c r="AS36" s="21"/>
      <c r="AT36" s="22"/>
      <c r="AU36" s="23"/>
      <c r="AV36" s="23"/>
      <c r="AW36" s="23"/>
      <c r="AX36" s="23"/>
      <c r="AZ36" s="20">
        <v>4</v>
      </c>
      <c r="BA36" s="21"/>
      <c r="BB36" s="23"/>
      <c r="BC36" s="23" t="s">
        <v>217</v>
      </c>
      <c r="BD36" s="23"/>
      <c r="BE36" s="23" t="s">
        <v>218</v>
      </c>
    </row>
    <row r="37" spans="2:57" x14ac:dyDescent="0.25">
      <c r="B37" s="20"/>
      <c r="C37" s="21"/>
      <c r="D37" s="22"/>
      <c r="E37" s="23"/>
      <c r="F37" s="23" t="s">
        <v>21</v>
      </c>
      <c r="G37" s="23" t="s">
        <v>219</v>
      </c>
      <c r="H37" s="23" t="s">
        <v>220</v>
      </c>
      <c r="K37" s="20">
        <v>5</v>
      </c>
      <c r="L37" s="21"/>
      <c r="M37" s="22"/>
      <c r="N37" s="23" t="s">
        <v>67</v>
      </c>
      <c r="O37" s="23"/>
      <c r="P37" s="23"/>
      <c r="Q37" s="23"/>
      <c r="S37" s="20">
        <v>5</v>
      </c>
      <c r="T37" s="21"/>
      <c r="U37" s="22"/>
      <c r="V37" s="23"/>
      <c r="W37" s="23"/>
      <c r="X37" s="23"/>
      <c r="Y37" s="23"/>
      <c r="AA37" s="20">
        <v>5</v>
      </c>
      <c r="AB37" s="21"/>
      <c r="AC37" s="22"/>
      <c r="AD37" s="23"/>
      <c r="AE37" s="23"/>
      <c r="AF37" s="23"/>
      <c r="AG37" s="23"/>
      <c r="AJ37" s="20">
        <v>5</v>
      </c>
      <c r="AK37" s="21"/>
      <c r="AL37" s="22"/>
      <c r="AM37" s="23"/>
      <c r="AN37" s="23"/>
      <c r="AO37" s="23"/>
      <c r="AP37" s="23"/>
      <c r="AR37" s="20">
        <v>5</v>
      </c>
      <c r="AS37" s="21"/>
      <c r="AT37" s="22"/>
      <c r="AU37" s="23"/>
      <c r="AV37" s="23"/>
      <c r="AW37" s="23"/>
      <c r="AX37" s="23"/>
      <c r="AZ37" s="20">
        <v>5</v>
      </c>
      <c r="BA37" s="21"/>
      <c r="BB37" s="23"/>
      <c r="BC37" s="23" t="s">
        <v>221</v>
      </c>
      <c r="BD37" s="23"/>
      <c r="BE37" s="23"/>
    </row>
    <row r="38" spans="2:57" x14ac:dyDescent="0.25">
      <c r="B38" s="20"/>
      <c r="C38" s="21"/>
      <c r="D38" s="22"/>
      <c r="E38" s="23"/>
      <c r="F38" s="23" t="s">
        <v>71</v>
      </c>
      <c r="G38" s="23" t="s">
        <v>222</v>
      </c>
      <c r="H38" s="23" t="s">
        <v>223</v>
      </c>
      <c r="K38" s="20">
        <v>6</v>
      </c>
      <c r="L38" s="20"/>
      <c r="M38" s="20"/>
      <c r="N38" s="23" t="s">
        <v>68</v>
      </c>
      <c r="O38" s="20"/>
      <c r="P38" s="20"/>
      <c r="Q38" s="20"/>
      <c r="S38" s="20">
        <v>6</v>
      </c>
      <c r="T38" s="20"/>
      <c r="U38" s="20"/>
      <c r="V38" s="23"/>
      <c r="W38" s="20"/>
      <c r="X38" s="20"/>
      <c r="Y38" s="20"/>
      <c r="AA38" s="20">
        <v>6</v>
      </c>
      <c r="AB38" s="20"/>
      <c r="AC38" s="20"/>
      <c r="AD38" s="23"/>
      <c r="AE38" s="20"/>
      <c r="AF38" s="20"/>
      <c r="AG38" s="20"/>
      <c r="AJ38" s="20">
        <v>6</v>
      </c>
      <c r="AK38" s="21"/>
      <c r="AL38" s="22"/>
      <c r="AM38" s="23"/>
      <c r="AN38" s="23"/>
      <c r="AO38" s="23"/>
      <c r="AP38" s="23"/>
      <c r="AR38" s="20">
        <v>6</v>
      </c>
      <c r="AS38" s="21"/>
      <c r="AT38" s="22"/>
      <c r="AU38" s="23"/>
      <c r="AV38" s="23"/>
      <c r="AW38" s="23"/>
      <c r="AX38" s="23"/>
      <c r="AZ38" s="20">
        <v>6</v>
      </c>
      <c r="BA38" s="21"/>
      <c r="BB38" s="23"/>
      <c r="BC38" s="23"/>
      <c r="BD38" s="23"/>
      <c r="BE38" s="23"/>
    </row>
    <row r="39" spans="2:57" x14ac:dyDescent="0.25">
      <c r="B39" s="20"/>
      <c r="C39" s="21"/>
      <c r="D39" s="22"/>
      <c r="E39" s="23"/>
      <c r="F39" s="23" t="s">
        <v>122</v>
      </c>
      <c r="G39" s="23" t="s">
        <v>224</v>
      </c>
      <c r="H39" s="23" t="s">
        <v>71</v>
      </c>
      <c r="K39" s="20">
        <v>7</v>
      </c>
      <c r="L39" s="20"/>
      <c r="M39" s="20"/>
      <c r="N39" s="23" t="s">
        <v>69</v>
      </c>
      <c r="O39" s="20"/>
      <c r="P39" s="20"/>
      <c r="Q39" s="20"/>
      <c r="S39" s="20">
        <v>7</v>
      </c>
      <c r="T39" s="20"/>
      <c r="U39" s="20"/>
      <c r="V39" s="23"/>
      <c r="W39" s="20"/>
      <c r="X39" s="20"/>
      <c r="Y39" s="20"/>
      <c r="AA39" s="20">
        <v>7</v>
      </c>
      <c r="AB39" s="20"/>
      <c r="AC39" s="20"/>
      <c r="AD39" s="23"/>
      <c r="AE39" s="20"/>
      <c r="AF39" s="20"/>
      <c r="AG39" s="20"/>
      <c r="AJ39" s="20">
        <v>7</v>
      </c>
      <c r="AK39" s="21"/>
      <c r="AL39" s="22"/>
      <c r="AM39" s="23"/>
      <c r="AN39" s="23"/>
      <c r="AO39" s="23"/>
      <c r="AP39" s="23"/>
      <c r="AR39" s="20">
        <v>7</v>
      </c>
      <c r="AS39" s="21"/>
      <c r="AT39" s="22"/>
      <c r="AU39" s="23"/>
      <c r="AV39" s="23"/>
      <c r="AW39" s="23"/>
      <c r="AX39" s="23"/>
      <c r="AZ39" s="20">
        <v>7</v>
      </c>
      <c r="BA39" s="21"/>
      <c r="BB39" s="23"/>
      <c r="BC39" s="23"/>
      <c r="BD39" s="23"/>
      <c r="BE39" s="23"/>
    </row>
    <row r="40" spans="2:57" x14ac:dyDescent="0.25">
      <c r="B40" s="20"/>
      <c r="C40" s="21"/>
      <c r="D40" s="22"/>
      <c r="E40" s="23"/>
      <c r="F40" s="23" t="s">
        <v>123</v>
      </c>
      <c r="G40" s="23" t="s">
        <v>225</v>
      </c>
      <c r="H40" s="23" t="s">
        <v>122</v>
      </c>
      <c r="K40" s="20">
        <v>8</v>
      </c>
      <c r="L40" s="20"/>
      <c r="M40" s="20"/>
      <c r="N40" s="23" t="s">
        <v>226</v>
      </c>
      <c r="O40" s="20"/>
      <c r="P40" s="20"/>
      <c r="Q40" s="20"/>
      <c r="S40" s="20">
        <v>8</v>
      </c>
      <c r="T40" s="20"/>
      <c r="U40" s="20"/>
      <c r="V40" s="23"/>
      <c r="W40" s="20"/>
      <c r="X40" s="20"/>
      <c r="Y40" s="20"/>
      <c r="AA40" s="20">
        <v>8</v>
      </c>
      <c r="AB40" s="20"/>
      <c r="AC40" s="20"/>
      <c r="AD40" s="23"/>
      <c r="AE40" s="20"/>
      <c r="AF40" s="20"/>
      <c r="AG40" s="20"/>
    </row>
    <row r="41" spans="2:57" x14ac:dyDescent="0.25">
      <c r="B41" s="20"/>
      <c r="C41" s="21"/>
      <c r="D41" s="22"/>
      <c r="E41" s="23"/>
      <c r="F41" s="23" t="s">
        <v>128</v>
      </c>
      <c r="G41" s="23" t="s">
        <v>227</v>
      </c>
      <c r="H41" s="23" t="s">
        <v>123</v>
      </c>
      <c r="K41" s="20">
        <v>9</v>
      </c>
      <c r="L41" s="20"/>
      <c r="M41" s="20"/>
      <c r="N41" s="23" t="s">
        <v>131</v>
      </c>
      <c r="O41" s="20" t="s">
        <v>113</v>
      </c>
      <c r="P41" s="20"/>
      <c r="Q41" s="20"/>
    </row>
    <row r="42" spans="2:57" x14ac:dyDescent="0.25">
      <c r="B42" s="20"/>
      <c r="C42" s="21"/>
      <c r="D42" s="22"/>
      <c r="E42" s="23" t="s">
        <v>228</v>
      </c>
      <c r="F42" s="23" t="s">
        <v>229</v>
      </c>
      <c r="G42" s="23"/>
      <c r="H42" s="23"/>
      <c r="K42" s="20">
        <v>10</v>
      </c>
      <c r="L42" s="20"/>
      <c r="M42" s="20"/>
      <c r="N42" s="23" t="s">
        <v>132</v>
      </c>
      <c r="O42" s="20"/>
      <c r="P42" s="20"/>
      <c r="Q42" s="20"/>
    </row>
    <row r="43" spans="2:57" x14ac:dyDescent="0.25">
      <c r="B43" s="20"/>
      <c r="C43" s="21"/>
      <c r="D43" s="22"/>
      <c r="E43" s="23" t="s">
        <v>230</v>
      </c>
      <c r="F43" s="23"/>
      <c r="G43" s="23"/>
      <c r="H43" s="23"/>
      <c r="K43" s="20">
        <v>11</v>
      </c>
      <c r="L43" s="20"/>
      <c r="M43" s="20"/>
      <c r="N43" s="23" t="s">
        <v>133</v>
      </c>
      <c r="O43" s="20"/>
      <c r="P43" s="20"/>
      <c r="Q43" s="20"/>
    </row>
    <row r="44" spans="2:57" x14ac:dyDescent="0.25">
      <c r="K44" s="20">
        <v>12</v>
      </c>
      <c r="L44" s="20"/>
      <c r="M44" s="20"/>
      <c r="N44" s="23" t="s">
        <v>134</v>
      </c>
      <c r="O44" s="20"/>
      <c r="P44" s="20"/>
      <c r="Q44" s="20"/>
    </row>
    <row r="45" spans="2:57" x14ac:dyDescent="0.25">
      <c r="K45" s="20">
        <v>13</v>
      </c>
      <c r="L45" s="20"/>
      <c r="M45" s="20"/>
      <c r="N45" s="23" t="s">
        <v>231</v>
      </c>
      <c r="O45" s="20"/>
      <c r="P45" s="20"/>
      <c r="Q45" s="20"/>
    </row>
    <row r="46" spans="2:57" x14ac:dyDescent="0.25">
      <c r="K46" s="20">
        <v>14</v>
      </c>
      <c r="L46" s="20"/>
      <c r="M46" s="20"/>
      <c r="N46" s="23" t="s">
        <v>232</v>
      </c>
      <c r="O46" s="20"/>
      <c r="P46" s="20"/>
      <c r="Q46" s="20"/>
    </row>
    <row r="47" spans="2:57" x14ac:dyDescent="0.25">
      <c r="K47" s="20">
        <v>15</v>
      </c>
      <c r="L47" s="20"/>
      <c r="M47" s="20"/>
      <c r="N47" s="23" t="s">
        <v>233</v>
      </c>
      <c r="O47" s="20"/>
      <c r="P47" s="20"/>
      <c r="Q47" s="20"/>
    </row>
    <row r="48" spans="2:57" x14ac:dyDescent="0.25">
      <c r="K48" s="20">
        <v>16</v>
      </c>
      <c r="L48" s="20"/>
      <c r="M48" s="20"/>
      <c r="N48" s="23" t="s">
        <v>234</v>
      </c>
      <c r="O48" s="20"/>
      <c r="P48" s="20"/>
      <c r="Q48" s="20"/>
    </row>
    <row r="49" spans="11:17" x14ac:dyDescent="0.25">
      <c r="K49" s="20">
        <v>17</v>
      </c>
      <c r="L49" s="20"/>
      <c r="M49" s="20"/>
      <c r="N49" s="23" t="s">
        <v>235</v>
      </c>
      <c r="O49" s="20"/>
      <c r="P49" s="20"/>
      <c r="Q49" s="20"/>
    </row>
    <row r="50" spans="11:17" x14ac:dyDescent="0.25">
      <c r="K50" s="20">
        <v>18</v>
      </c>
      <c r="L50" s="20"/>
      <c r="M50" s="20"/>
      <c r="N50" s="23" t="s">
        <v>236</v>
      </c>
      <c r="O50" s="20"/>
      <c r="P50" s="20"/>
      <c r="Q50" s="20"/>
    </row>
    <row r="51" spans="11:17" x14ac:dyDescent="0.25">
      <c r="K51" s="20">
        <v>19</v>
      </c>
      <c r="L51" s="20"/>
      <c r="M51" s="20"/>
      <c r="N51" s="23" t="s">
        <v>237</v>
      </c>
      <c r="O51" s="20"/>
      <c r="P51" s="20"/>
      <c r="Q51" s="20"/>
    </row>
    <row r="52" spans="11:17" x14ac:dyDescent="0.25">
      <c r="K52" s="20">
        <v>20</v>
      </c>
      <c r="L52" s="20"/>
      <c r="M52" s="20"/>
      <c r="N52" s="23" t="s">
        <v>238</v>
      </c>
      <c r="O52" s="20"/>
      <c r="P52" s="20"/>
      <c r="Q52" s="20"/>
    </row>
    <row r="53" spans="11:17" x14ac:dyDescent="0.25">
      <c r="K53" s="20">
        <v>21</v>
      </c>
      <c r="L53" s="20"/>
      <c r="M53" s="20"/>
      <c r="N53" s="23" t="s">
        <v>239</v>
      </c>
      <c r="O53" s="20"/>
      <c r="P53" s="20"/>
      <c r="Q53" s="20"/>
    </row>
    <row r="54" spans="11:17" x14ac:dyDescent="0.25">
      <c r="K54" s="20">
        <v>22</v>
      </c>
      <c r="L54" s="20"/>
      <c r="M54" s="20"/>
      <c r="N54" s="23" t="s">
        <v>240</v>
      </c>
      <c r="O54" s="20"/>
      <c r="P54" s="20"/>
      <c r="Q54" s="20"/>
    </row>
    <row r="55" spans="11:17" x14ac:dyDescent="0.25">
      <c r="K55" s="20">
        <v>23</v>
      </c>
      <c r="L55" s="20"/>
      <c r="M55" s="20"/>
      <c r="N55" s="23" t="s">
        <v>241</v>
      </c>
      <c r="O55" s="20" t="s">
        <v>242</v>
      </c>
      <c r="P55" s="20"/>
      <c r="Q55" s="20"/>
    </row>
    <row r="56" spans="11:17" x14ac:dyDescent="0.25">
      <c r="K56" s="20">
        <v>24</v>
      </c>
      <c r="L56" s="20"/>
      <c r="M56" s="20"/>
      <c r="N56" s="23" t="s">
        <v>243</v>
      </c>
      <c r="O56" s="20"/>
      <c r="P56" s="20"/>
      <c r="Q56" s="20"/>
    </row>
    <row r="57" spans="11:17" x14ac:dyDescent="0.25">
      <c r="K57" s="20">
        <v>25</v>
      </c>
      <c r="L57" s="20"/>
      <c r="M57" s="20"/>
      <c r="N57" s="23" t="s">
        <v>244</v>
      </c>
      <c r="O57" s="20"/>
      <c r="P57" s="20"/>
      <c r="Q57" s="20"/>
    </row>
    <row r="58" spans="11:17" x14ac:dyDescent="0.25">
      <c r="K58" s="20">
        <v>26</v>
      </c>
      <c r="L58" s="20"/>
      <c r="M58" s="20"/>
      <c r="N58" s="23" t="s">
        <v>245</v>
      </c>
      <c r="O58" s="20"/>
      <c r="P58" s="20"/>
      <c r="Q58" s="20"/>
    </row>
    <row r="59" spans="11:17" x14ac:dyDescent="0.25">
      <c r="K59" s="20">
        <v>27</v>
      </c>
      <c r="L59" s="20"/>
      <c r="M59" s="20"/>
      <c r="N59" s="23" t="s">
        <v>246</v>
      </c>
      <c r="O59" s="20"/>
      <c r="P59" s="20"/>
      <c r="Q59" s="20"/>
    </row>
    <row r="60" spans="11:17" x14ac:dyDescent="0.25">
      <c r="K60" s="20">
        <v>28</v>
      </c>
      <c r="L60" s="20"/>
      <c r="M60" s="20"/>
      <c r="N60" s="23" t="s">
        <v>247</v>
      </c>
      <c r="O60" s="20"/>
      <c r="P60" s="20"/>
      <c r="Q60" s="20"/>
    </row>
    <row r="61" spans="11:17" x14ac:dyDescent="0.25">
      <c r="K61" s="20">
        <v>29</v>
      </c>
      <c r="L61" s="20"/>
      <c r="M61" s="20"/>
      <c r="N61" s="23" t="s">
        <v>248</v>
      </c>
      <c r="O61" s="20"/>
      <c r="P61" s="20"/>
      <c r="Q61" s="20"/>
    </row>
    <row r="62" spans="11:17" x14ac:dyDescent="0.25">
      <c r="K62" s="20">
        <v>30</v>
      </c>
      <c r="L62" s="20"/>
      <c r="M62" s="20"/>
      <c r="N62" s="23" t="s">
        <v>249</v>
      </c>
      <c r="O62" s="20"/>
      <c r="P62" s="20"/>
      <c r="Q62" s="20"/>
    </row>
    <row r="63" spans="11:17" x14ac:dyDescent="0.25">
      <c r="K63" s="20">
        <v>31</v>
      </c>
      <c r="L63" s="20"/>
      <c r="M63" s="20"/>
      <c r="N63" s="23" t="s">
        <v>250</v>
      </c>
      <c r="O63" s="20"/>
      <c r="P63" s="20"/>
      <c r="Q63" s="20"/>
    </row>
    <row r="64" spans="11:17" x14ac:dyDescent="0.25">
      <c r="K64" s="20">
        <v>32</v>
      </c>
      <c r="L64" s="20"/>
      <c r="M64" s="20"/>
      <c r="N64" s="23" t="s">
        <v>251</v>
      </c>
      <c r="O64" s="20"/>
      <c r="P64" s="20"/>
      <c r="Q64" s="20"/>
    </row>
    <row r="65" spans="11:17" x14ac:dyDescent="0.25">
      <c r="K65" s="20">
        <v>33</v>
      </c>
      <c r="L65" s="20"/>
      <c r="M65" s="20"/>
      <c r="N65" s="23" t="s">
        <v>252</v>
      </c>
      <c r="O65" s="20"/>
      <c r="P65" s="20"/>
      <c r="Q65" s="20"/>
    </row>
    <row r="66" spans="11:17" x14ac:dyDescent="0.25">
      <c r="K66" s="20">
        <v>34</v>
      </c>
      <c r="L66" s="20"/>
      <c r="M66" s="20"/>
      <c r="N66" s="23" t="s">
        <v>253</v>
      </c>
      <c r="O66" s="20"/>
      <c r="P66" s="20"/>
      <c r="Q66" s="20"/>
    </row>
    <row r="67" spans="11:17" x14ac:dyDescent="0.25">
      <c r="K67" s="20">
        <v>35</v>
      </c>
      <c r="L67" s="20"/>
      <c r="M67" s="20"/>
      <c r="N67" s="23" t="s">
        <v>254</v>
      </c>
      <c r="O67" s="20"/>
      <c r="P67" s="20"/>
      <c r="Q67" s="20"/>
    </row>
    <row r="68" spans="11:17" x14ac:dyDescent="0.25">
      <c r="K68" s="20">
        <v>36</v>
      </c>
      <c r="L68" s="20"/>
      <c r="M68" s="20"/>
      <c r="N68" s="20" t="s">
        <v>255</v>
      </c>
      <c r="O68" s="20" t="s">
        <v>256</v>
      </c>
      <c r="P68" s="20"/>
      <c r="Q68" s="20"/>
    </row>
    <row r="69" spans="11:17" x14ac:dyDescent="0.25">
      <c r="K69" s="20">
        <v>37</v>
      </c>
      <c r="L69" s="20"/>
      <c r="M69" s="20"/>
      <c r="N69" s="20" t="s">
        <v>257</v>
      </c>
      <c r="O69" s="20"/>
      <c r="P69" s="20"/>
      <c r="Q69" s="20"/>
    </row>
    <row r="70" spans="11:17" x14ac:dyDescent="0.25">
      <c r="K70" s="20">
        <v>38</v>
      </c>
      <c r="L70" s="20"/>
      <c r="M70" s="20"/>
      <c r="N70" s="20" t="s">
        <v>258</v>
      </c>
      <c r="O70" s="20"/>
      <c r="P70" s="20"/>
      <c r="Q70" s="20"/>
    </row>
    <row r="71" spans="11:17" x14ac:dyDescent="0.25">
      <c r="K71" s="20">
        <v>39</v>
      </c>
      <c r="L71" s="20"/>
      <c r="M71" s="20"/>
      <c r="N71" s="23"/>
      <c r="O71" s="20"/>
      <c r="P71" s="20"/>
      <c r="Q71" s="20"/>
    </row>
    <row r="72" spans="11:17" x14ac:dyDescent="0.25">
      <c r="K72" s="20">
        <v>40</v>
      </c>
      <c r="L72" s="20"/>
      <c r="M72" s="20"/>
      <c r="N72" s="23"/>
      <c r="O72" s="20"/>
      <c r="P72" s="20"/>
      <c r="Q72" s="20"/>
    </row>
    <row r="73" spans="11:17" x14ac:dyDescent="0.25">
      <c r="K73" s="20"/>
      <c r="L73" s="20"/>
      <c r="M73" s="20"/>
      <c r="N73" s="23"/>
      <c r="O73" s="20"/>
      <c r="P73" s="20"/>
      <c r="Q73" s="20"/>
    </row>
    <row r="74" spans="11:17" x14ac:dyDescent="0.25">
      <c r="K74" s="20"/>
      <c r="L74" s="20"/>
      <c r="M74" s="20"/>
      <c r="N74" s="23"/>
      <c r="O74" s="20"/>
      <c r="P74" s="20"/>
      <c r="Q74" s="20"/>
    </row>
    <row r="75" spans="11:17" x14ac:dyDescent="0.25">
      <c r="K75" s="20"/>
      <c r="L75" s="20"/>
      <c r="M75" s="20"/>
      <c r="N75" s="23"/>
      <c r="O75" s="20"/>
      <c r="P75" s="20"/>
      <c r="Q75" s="20"/>
    </row>
    <row r="76" spans="11:17" x14ac:dyDescent="0.25">
      <c r="K76" s="20"/>
      <c r="L76" s="20"/>
      <c r="M76" s="20"/>
      <c r="N76" s="23"/>
      <c r="O76" s="20"/>
      <c r="P76" s="20"/>
      <c r="Q76" s="20"/>
    </row>
    <row r="77" spans="11:17" x14ac:dyDescent="0.25">
      <c r="K77" s="20"/>
      <c r="L77" s="20"/>
      <c r="M77" s="20"/>
      <c r="N77" s="23"/>
      <c r="O77" s="20"/>
      <c r="P77" s="20"/>
      <c r="Q77" s="20"/>
    </row>
    <row r="78" spans="11:17" x14ac:dyDescent="0.25">
      <c r="K78" s="20"/>
      <c r="L78" s="20"/>
      <c r="M78" s="20"/>
      <c r="N78" s="23"/>
      <c r="O78" s="20"/>
      <c r="P78" s="20"/>
      <c r="Q78" s="20"/>
    </row>
    <row r="79" spans="11:17" x14ac:dyDescent="0.25">
      <c r="K79" s="20"/>
      <c r="L79" s="20"/>
      <c r="M79" s="20"/>
      <c r="N79" s="23"/>
      <c r="O79" s="20"/>
      <c r="P79" s="20"/>
      <c r="Q79" s="20"/>
    </row>
    <row r="80" spans="11:17" x14ac:dyDescent="0.25">
      <c r="K80" s="20"/>
      <c r="L80" s="20"/>
      <c r="M80" s="20"/>
      <c r="N80" s="23"/>
      <c r="O80" s="20"/>
      <c r="P80" s="20"/>
      <c r="Q80" s="20"/>
    </row>
    <row r="81" spans="11:17" x14ac:dyDescent="0.25">
      <c r="K81" s="20"/>
      <c r="L81" s="20"/>
      <c r="M81" s="20"/>
      <c r="N81" s="23"/>
      <c r="O81" s="20"/>
      <c r="P81" s="20"/>
      <c r="Q81" s="20"/>
    </row>
    <row r="82" spans="11:17" x14ac:dyDescent="0.25">
      <c r="K82" s="20"/>
      <c r="L82" s="20"/>
      <c r="M82" s="20"/>
      <c r="N82" s="23"/>
      <c r="O82" s="20"/>
      <c r="P82" s="20"/>
      <c r="Q82" s="20"/>
    </row>
    <row r="83" spans="11:17" x14ac:dyDescent="0.25">
      <c r="K83" s="20"/>
      <c r="L83" s="20"/>
      <c r="M83" s="20"/>
      <c r="N83" s="23"/>
      <c r="O83" s="20"/>
      <c r="P83" s="20"/>
      <c r="Q83" s="20"/>
    </row>
    <row r="84" spans="11:17" x14ac:dyDescent="0.25">
      <c r="K84" s="20"/>
      <c r="L84" s="20"/>
      <c r="M84" s="20"/>
      <c r="N84" s="23"/>
      <c r="O84" s="20"/>
      <c r="P84" s="20"/>
      <c r="Q84" s="20"/>
    </row>
    <row r="85" spans="11:17" x14ac:dyDescent="0.25">
      <c r="K85" s="20"/>
      <c r="L85" s="20"/>
      <c r="M85" s="20"/>
      <c r="N85" s="23"/>
      <c r="O85" s="20"/>
      <c r="P85" s="20"/>
      <c r="Q85" s="20"/>
    </row>
    <row r="86" spans="11:17" x14ac:dyDescent="0.25">
      <c r="K86" s="20"/>
      <c r="L86" s="20"/>
      <c r="M86" s="20"/>
      <c r="N86" s="23"/>
      <c r="O86" s="20"/>
      <c r="P86" s="20"/>
      <c r="Q86" s="20"/>
    </row>
    <row r="87" spans="11:17" x14ac:dyDescent="0.25">
      <c r="K87" s="20"/>
      <c r="L87" s="20"/>
      <c r="M87" s="20"/>
      <c r="N87" s="23"/>
      <c r="O87" s="20"/>
      <c r="P87" s="20"/>
      <c r="Q87" s="20"/>
    </row>
    <row r="88" spans="11:17" x14ac:dyDescent="0.25">
      <c r="K88" s="20"/>
      <c r="L88" s="20"/>
      <c r="M88" s="20"/>
      <c r="N88" s="23"/>
      <c r="O88" s="20"/>
      <c r="P88" s="20"/>
      <c r="Q88" s="20"/>
    </row>
    <row r="89" spans="11:17" x14ac:dyDescent="0.25">
      <c r="K89" s="20"/>
      <c r="L89" s="20"/>
      <c r="M89" s="20"/>
      <c r="N89" s="23"/>
      <c r="O89" s="20"/>
      <c r="P89" s="20"/>
      <c r="Q89" s="20"/>
    </row>
    <row r="90" spans="11:17" x14ac:dyDescent="0.25">
      <c r="K90" s="20"/>
      <c r="L90" s="20"/>
      <c r="M90" s="20"/>
      <c r="N90" s="23"/>
      <c r="O90" s="20"/>
      <c r="P90" s="20"/>
      <c r="Q90" s="20"/>
    </row>
    <row r="91" spans="11:17" x14ac:dyDescent="0.25">
      <c r="K91" s="20"/>
      <c r="L91" s="20"/>
      <c r="M91" s="20"/>
      <c r="N91" s="23"/>
      <c r="O91" s="20"/>
      <c r="P91" s="20"/>
      <c r="Q91" s="20"/>
    </row>
    <row r="92" spans="11:17" x14ac:dyDescent="0.25">
      <c r="K92" s="20"/>
      <c r="L92" s="20"/>
      <c r="M92" s="20"/>
      <c r="N92" s="23"/>
      <c r="O92" s="20"/>
      <c r="P92" s="20"/>
      <c r="Q92" s="20"/>
    </row>
    <row r="93" spans="11:17" x14ac:dyDescent="0.25">
      <c r="K93" s="20"/>
      <c r="L93" s="20"/>
      <c r="M93" s="20"/>
      <c r="N93" s="23"/>
      <c r="O93" s="20"/>
      <c r="P93" s="20"/>
      <c r="Q93" s="20"/>
    </row>
    <row r="94" spans="11:17" x14ac:dyDescent="0.25">
      <c r="K94" s="20"/>
      <c r="L94" s="20"/>
      <c r="M94" s="20"/>
      <c r="N94" s="23"/>
      <c r="O94" s="20"/>
      <c r="P94" s="20"/>
      <c r="Q94" s="20"/>
    </row>
    <row r="95" spans="11:17" x14ac:dyDescent="0.25">
      <c r="K95" s="20"/>
      <c r="L95" s="20"/>
      <c r="M95" s="20"/>
      <c r="N95" s="23"/>
      <c r="O95" s="20"/>
      <c r="P95" s="20"/>
      <c r="Q95" s="20"/>
    </row>
    <row r="96" spans="11:17" x14ac:dyDescent="0.25">
      <c r="K96" s="20"/>
      <c r="L96" s="20"/>
      <c r="M96" s="20"/>
      <c r="N96" s="23"/>
      <c r="O96" s="20"/>
      <c r="P96" s="20"/>
      <c r="Q96" s="20"/>
    </row>
    <row r="97" spans="11:17" x14ac:dyDescent="0.25">
      <c r="K97" s="20"/>
      <c r="L97" s="20"/>
      <c r="M97" s="20"/>
      <c r="N97" s="23"/>
      <c r="O97" s="20"/>
      <c r="P97" s="20"/>
      <c r="Q97" s="20"/>
    </row>
    <row r="98" spans="11:17" x14ac:dyDescent="0.25">
      <c r="K98" s="20"/>
      <c r="L98" s="20"/>
      <c r="M98" s="20"/>
      <c r="N98" s="23"/>
      <c r="O98" s="20"/>
      <c r="P98" s="20"/>
      <c r="Q98" s="20"/>
    </row>
    <row r="99" spans="11:17" x14ac:dyDescent="0.25">
      <c r="K99" s="20"/>
      <c r="L99" s="20"/>
      <c r="M99" s="20"/>
      <c r="N99" s="23"/>
      <c r="O99" s="20"/>
      <c r="P99" s="20"/>
      <c r="Q99" s="20"/>
    </row>
    <row r="100" spans="11:17" x14ac:dyDescent="0.25">
      <c r="K100" s="20"/>
      <c r="L100" s="20"/>
      <c r="M100" s="20"/>
      <c r="N100" s="23"/>
      <c r="O100" s="20"/>
      <c r="P100" s="20"/>
      <c r="Q100" s="20"/>
    </row>
    <row r="101" spans="11:17" x14ac:dyDescent="0.25">
      <c r="K101" s="20"/>
      <c r="L101" s="20"/>
      <c r="M101" s="20"/>
      <c r="N101" s="23"/>
      <c r="O101" s="20"/>
      <c r="P101" s="20"/>
      <c r="Q101" s="20"/>
    </row>
    <row r="102" spans="11:17" x14ac:dyDescent="0.25">
      <c r="K102" s="20"/>
      <c r="L102" s="20"/>
      <c r="M102" s="20"/>
      <c r="N102" s="23"/>
      <c r="O102" s="20"/>
      <c r="P102" s="20"/>
      <c r="Q102" s="20"/>
    </row>
    <row r="103" spans="11:17" x14ac:dyDescent="0.25">
      <c r="K103" s="20"/>
      <c r="L103" s="20"/>
      <c r="M103" s="20"/>
      <c r="N103" s="23"/>
      <c r="O103" s="20"/>
      <c r="P103" s="20"/>
      <c r="Q103" s="20"/>
    </row>
    <row r="104" spans="11:17" x14ac:dyDescent="0.25">
      <c r="K104" s="20"/>
      <c r="L104" s="20"/>
      <c r="M104" s="20"/>
      <c r="N104" s="23"/>
      <c r="O104" s="20"/>
      <c r="P104" s="20"/>
      <c r="Q104" s="20"/>
    </row>
    <row r="105" spans="11:17" x14ac:dyDescent="0.25">
      <c r="K105" s="20"/>
      <c r="L105" s="20"/>
      <c r="M105" s="20"/>
      <c r="N105" s="23"/>
      <c r="O105" s="20"/>
      <c r="P105" s="20"/>
      <c r="Q105" s="20"/>
    </row>
    <row r="106" spans="11:17" x14ac:dyDescent="0.25">
      <c r="K106" s="20"/>
      <c r="L106" s="20"/>
      <c r="M106" s="20"/>
      <c r="N106" s="23"/>
      <c r="O106" s="20"/>
      <c r="P106" s="20"/>
      <c r="Q106" s="20"/>
    </row>
    <row r="107" spans="11:17" x14ac:dyDescent="0.25">
      <c r="K107" s="20"/>
      <c r="L107" s="20"/>
      <c r="M107" s="20"/>
      <c r="N107" s="23"/>
      <c r="O107" s="20"/>
      <c r="P107" s="20"/>
      <c r="Q107" s="20"/>
    </row>
    <row r="108" spans="11:17" x14ac:dyDescent="0.25">
      <c r="K108" s="20"/>
      <c r="L108" s="20"/>
      <c r="M108" s="20"/>
      <c r="N108" s="23"/>
      <c r="O108" s="20"/>
      <c r="P108" s="20"/>
      <c r="Q108" s="20"/>
    </row>
    <row r="109" spans="11:17" x14ac:dyDescent="0.25">
      <c r="K109" s="20"/>
      <c r="L109" s="20"/>
      <c r="M109" s="20"/>
      <c r="N109" s="23"/>
      <c r="O109" s="20"/>
      <c r="P109" s="20"/>
      <c r="Q109" s="20"/>
    </row>
    <row r="110" spans="11:17" x14ac:dyDescent="0.25">
      <c r="K110" s="20"/>
      <c r="L110" s="20"/>
      <c r="M110" s="20"/>
      <c r="N110" s="23"/>
      <c r="O110" s="20"/>
      <c r="P110" s="20"/>
      <c r="Q110" s="20"/>
    </row>
    <row r="111" spans="11:17" x14ac:dyDescent="0.25">
      <c r="K111" s="20"/>
      <c r="L111" s="20"/>
      <c r="M111" s="20"/>
      <c r="N111" s="23"/>
      <c r="O111" s="20"/>
      <c r="P111" s="20"/>
      <c r="Q111" s="20"/>
    </row>
    <row r="112" spans="11:17" x14ac:dyDescent="0.25">
      <c r="K112" s="20"/>
      <c r="L112" s="20"/>
      <c r="M112" s="20"/>
      <c r="N112" s="23"/>
      <c r="O112" s="20"/>
      <c r="P112" s="20"/>
      <c r="Q112" s="20"/>
    </row>
    <row r="113" spans="11:17" x14ac:dyDescent="0.25">
      <c r="K113" s="20"/>
      <c r="L113" s="20"/>
      <c r="M113" s="20"/>
      <c r="N113" s="23"/>
      <c r="O113" s="20"/>
      <c r="P113" s="20"/>
      <c r="Q113" s="20"/>
    </row>
    <row r="114" spans="11:17" x14ac:dyDescent="0.25">
      <c r="K114" s="20"/>
      <c r="L114" s="20"/>
      <c r="M114" s="20"/>
      <c r="N114" s="23"/>
      <c r="O114" s="20"/>
      <c r="P114" s="20"/>
      <c r="Q114" s="20"/>
    </row>
    <row r="115" spans="11:17" x14ac:dyDescent="0.25">
      <c r="K115" s="20"/>
      <c r="L115" s="20"/>
      <c r="M115" s="20"/>
      <c r="N115" s="23"/>
      <c r="O115" s="20"/>
      <c r="P115" s="20"/>
      <c r="Q115" s="20"/>
    </row>
    <row r="116" spans="11:17" x14ac:dyDescent="0.25">
      <c r="K116" s="20"/>
      <c r="L116" s="20"/>
      <c r="M116" s="20"/>
      <c r="N116" s="23"/>
      <c r="O116" s="20"/>
      <c r="P116" s="20"/>
      <c r="Q116" s="20"/>
    </row>
    <row r="117" spans="11:17" x14ac:dyDescent="0.25">
      <c r="K117" s="20"/>
      <c r="L117" s="20"/>
      <c r="M117" s="20"/>
      <c r="N117" s="23"/>
      <c r="O117" s="20"/>
      <c r="P117" s="20"/>
      <c r="Q117" s="20"/>
    </row>
    <row r="118" spans="11:17" x14ac:dyDescent="0.25">
      <c r="K118" s="20"/>
      <c r="L118" s="20"/>
      <c r="M118" s="20"/>
      <c r="N118" s="23"/>
      <c r="O118" s="20"/>
      <c r="P118" s="20"/>
      <c r="Q118" s="20"/>
    </row>
    <row r="119" spans="11:17" x14ac:dyDescent="0.25">
      <c r="K119" s="20"/>
      <c r="L119" s="20"/>
      <c r="M119" s="20"/>
      <c r="N119" s="23"/>
      <c r="O119" s="20"/>
      <c r="P119" s="20"/>
      <c r="Q119" s="20"/>
    </row>
    <row r="120" spans="11:17" x14ac:dyDescent="0.25">
      <c r="K120" s="20"/>
      <c r="L120" s="20"/>
      <c r="M120" s="20"/>
      <c r="N120" s="23"/>
      <c r="O120" s="20"/>
      <c r="P120" s="20"/>
      <c r="Q120" s="20"/>
    </row>
    <row r="121" spans="11:17" x14ac:dyDescent="0.25">
      <c r="K121" s="20"/>
      <c r="L121" s="20"/>
      <c r="M121" s="20"/>
      <c r="N121" s="23"/>
      <c r="O121" s="20"/>
      <c r="P121" s="20"/>
      <c r="Q121" s="20"/>
    </row>
    <row r="122" spans="11:17" x14ac:dyDescent="0.25">
      <c r="K122" s="20"/>
      <c r="L122" s="20"/>
      <c r="M122" s="20"/>
      <c r="N122" s="23"/>
      <c r="O122" s="20"/>
      <c r="P122" s="20"/>
      <c r="Q122" s="20"/>
    </row>
    <row r="123" spans="11:17" x14ac:dyDescent="0.25">
      <c r="K123" s="20"/>
      <c r="L123" s="20"/>
      <c r="M123" s="20"/>
      <c r="N123" s="23"/>
      <c r="O123" s="20"/>
      <c r="P123" s="20"/>
      <c r="Q123" s="20"/>
    </row>
    <row r="124" spans="11:17" x14ac:dyDescent="0.25">
      <c r="K124" s="20"/>
      <c r="L124" s="20"/>
      <c r="M124" s="20"/>
      <c r="N124" s="23"/>
      <c r="O124" s="20"/>
      <c r="P124" s="20"/>
      <c r="Q124" s="20"/>
    </row>
    <row r="125" spans="11:17" x14ac:dyDescent="0.25">
      <c r="K125" s="20"/>
      <c r="L125" s="20"/>
      <c r="M125" s="20"/>
      <c r="N125" s="23"/>
      <c r="O125" s="20"/>
      <c r="P125" s="20"/>
      <c r="Q125" s="20"/>
    </row>
    <row r="126" spans="11:17" x14ac:dyDescent="0.25">
      <c r="K126" s="20"/>
      <c r="L126" s="20"/>
      <c r="M126" s="20"/>
      <c r="N126" s="23"/>
      <c r="O126" s="20"/>
      <c r="P126" s="20"/>
      <c r="Q126" s="20"/>
    </row>
    <row r="127" spans="11:17" x14ac:dyDescent="0.25">
      <c r="K127" s="20"/>
      <c r="L127" s="20"/>
      <c r="M127" s="20"/>
      <c r="N127" s="23"/>
      <c r="O127" s="20"/>
      <c r="P127" s="20"/>
      <c r="Q127" s="20"/>
    </row>
    <row r="128" spans="11:17" x14ac:dyDescent="0.25">
      <c r="K128" s="20"/>
      <c r="L128" s="20"/>
      <c r="M128" s="20"/>
      <c r="N128" s="23"/>
      <c r="O128" s="20"/>
      <c r="P128" s="20"/>
      <c r="Q128" s="20"/>
    </row>
    <row r="129" spans="11:17" x14ac:dyDescent="0.25">
      <c r="K129" s="20"/>
      <c r="L129" s="20"/>
      <c r="M129" s="20"/>
      <c r="N129" s="23"/>
      <c r="O129" s="20"/>
      <c r="P129" s="20"/>
      <c r="Q129" s="20"/>
    </row>
    <row r="130" spans="11:17" x14ac:dyDescent="0.25">
      <c r="K130" s="20"/>
      <c r="L130" s="20"/>
      <c r="M130" s="20"/>
      <c r="N130" s="23"/>
      <c r="O130" s="20"/>
      <c r="P130" s="20"/>
      <c r="Q130" s="20"/>
    </row>
    <row r="131" spans="11:17" x14ac:dyDescent="0.25">
      <c r="K131" s="20"/>
      <c r="L131" s="20"/>
      <c r="M131" s="20"/>
      <c r="N131" s="23"/>
      <c r="O131" s="20"/>
      <c r="P131" s="20"/>
      <c r="Q131" s="20"/>
    </row>
    <row r="132" spans="11:17" x14ac:dyDescent="0.25">
      <c r="K132" s="20"/>
      <c r="L132" s="20"/>
      <c r="M132" s="20"/>
      <c r="N132" s="23"/>
      <c r="O132" s="20"/>
      <c r="P132" s="20"/>
      <c r="Q132" s="20"/>
    </row>
    <row r="133" spans="11:17" x14ac:dyDescent="0.25">
      <c r="K133" s="20"/>
      <c r="L133" s="20"/>
      <c r="M133" s="20"/>
      <c r="N133" s="23"/>
      <c r="O133" s="20"/>
      <c r="P133" s="20"/>
      <c r="Q133" s="20"/>
    </row>
    <row r="134" spans="11:17" x14ac:dyDescent="0.25">
      <c r="K134" s="20"/>
      <c r="L134" s="20"/>
      <c r="M134" s="20"/>
      <c r="N134" s="23"/>
      <c r="O134" s="20"/>
      <c r="P134" s="20"/>
      <c r="Q134" s="20"/>
    </row>
    <row r="135" spans="11:17" x14ac:dyDescent="0.25">
      <c r="K135" s="20"/>
      <c r="L135" s="20"/>
      <c r="M135" s="20"/>
      <c r="N135" s="23"/>
      <c r="O135" s="20"/>
      <c r="P135" s="20"/>
      <c r="Q135" s="20"/>
    </row>
    <row r="136" spans="11:17" x14ac:dyDescent="0.25">
      <c r="K136" s="20"/>
      <c r="L136" s="20"/>
      <c r="M136" s="20"/>
      <c r="N136" s="23"/>
      <c r="O136" s="20"/>
      <c r="P136" s="20"/>
      <c r="Q136" s="20"/>
    </row>
    <row r="137" spans="11:17" x14ac:dyDescent="0.25">
      <c r="K137" s="20"/>
      <c r="L137" s="20"/>
      <c r="M137" s="20"/>
      <c r="N137" s="23"/>
      <c r="O137" s="20"/>
      <c r="P137" s="20"/>
      <c r="Q137" s="20"/>
    </row>
    <row r="138" spans="11:17" x14ac:dyDescent="0.25">
      <c r="K138" s="20"/>
      <c r="L138" s="20"/>
      <c r="M138" s="20"/>
      <c r="N138" s="23"/>
      <c r="O138" s="20"/>
      <c r="P138" s="20"/>
      <c r="Q138" s="20"/>
    </row>
    <row r="139" spans="11:17" x14ac:dyDescent="0.25">
      <c r="K139" s="20"/>
      <c r="L139" s="20"/>
      <c r="M139" s="20"/>
      <c r="N139" s="23"/>
      <c r="O139" s="20"/>
      <c r="P139" s="20"/>
      <c r="Q139" s="20"/>
    </row>
    <row r="140" spans="11:17" x14ac:dyDescent="0.25">
      <c r="K140" s="20"/>
      <c r="L140" s="20"/>
      <c r="M140" s="20"/>
      <c r="N140" s="23"/>
      <c r="O140" s="20"/>
      <c r="P140" s="20"/>
      <c r="Q140" s="20"/>
    </row>
    <row r="141" spans="11:17" x14ac:dyDescent="0.25">
      <c r="K141" s="20"/>
      <c r="L141" s="20"/>
      <c r="M141" s="20"/>
      <c r="N141" s="23"/>
      <c r="O141" s="20"/>
      <c r="P141" s="20"/>
      <c r="Q141" s="20"/>
    </row>
    <row r="142" spans="11:17" x14ac:dyDescent="0.25">
      <c r="K142" s="20"/>
      <c r="L142" s="20"/>
      <c r="M142" s="20"/>
      <c r="N142" s="23"/>
      <c r="O142" s="20"/>
      <c r="P142" s="20"/>
      <c r="Q142" s="20"/>
    </row>
    <row r="143" spans="11:17" x14ac:dyDescent="0.25">
      <c r="K143" s="20"/>
      <c r="L143" s="20"/>
      <c r="M143" s="20"/>
      <c r="N143" s="23"/>
      <c r="O143" s="20"/>
      <c r="P143" s="20"/>
      <c r="Q143" s="20"/>
    </row>
    <row r="144" spans="11:17" x14ac:dyDescent="0.25">
      <c r="K144" s="20"/>
      <c r="L144" s="20"/>
      <c r="M144" s="20"/>
      <c r="N144" s="23"/>
      <c r="O144" s="20"/>
      <c r="P144" s="20"/>
      <c r="Q144" s="20"/>
    </row>
    <row r="145" spans="11:17" x14ac:dyDescent="0.25">
      <c r="K145" s="20"/>
      <c r="L145" s="20"/>
      <c r="M145" s="20"/>
      <c r="N145" s="23"/>
      <c r="O145" s="20"/>
      <c r="P145" s="20"/>
      <c r="Q145" s="20"/>
    </row>
    <row r="146" spans="11:17" x14ac:dyDescent="0.25">
      <c r="K146" s="20"/>
      <c r="L146" s="20"/>
      <c r="M146" s="20"/>
      <c r="N146" s="23"/>
      <c r="O146" s="20"/>
      <c r="P146" s="20"/>
      <c r="Q146" s="20"/>
    </row>
    <row r="147" spans="11:17" x14ac:dyDescent="0.25">
      <c r="K147" s="20"/>
      <c r="L147" s="20"/>
      <c r="M147" s="20"/>
      <c r="N147" s="23"/>
      <c r="O147" s="20"/>
      <c r="P147" s="20"/>
      <c r="Q147" s="20"/>
    </row>
    <row r="148" spans="11:17" x14ac:dyDescent="0.25">
      <c r="K148" s="20"/>
      <c r="L148" s="20"/>
      <c r="M148" s="20"/>
      <c r="N148" s="23"/>
      <c r="O148" s="20"/>
      <c r="P148" s="20"/>
      <c r="Q148" s="20"/>
    </row>
    <row r="149" spans="11:17" x14ac:dyDescent="0.25">
      <c r="K149" s="20"/>
      <c r="L149" s="20"/>
      <c r="M149" s="20"/>
      <c r="N149" s="23"/>
      <c r="O149" s="20"/>
      <c r="P149" s="20"/>
      <c r="Q149" s="20"/>
    </row>
    <row r="150" spans="11:17" x14ac:dyDescent="0.25">
      <c r="K150" s="20"/>
      <c r="L150" s="20"/>
      <c r="M150" s="20"/>
      <c r="N150" s="23"/>
      <c r="O150" s="20"/>
      <c r="P150" s="20"/>
      <c r="Q150" s="20"/>
    </row>
  </sheetData>
  <mergeCells count="29">
    <mergeCell ref="C6:E6"/>
    <mergeCell ref="B13:D13"/>
    <mergeCell ref="C14:D14"/>
    <mergeCell ref="F14:G14"/>
    <mergeCell ref="E15:F15"/>
    <mergeCell ref="G15:H15"/>
    <mergeCell ref="AS30:AT30"/>
    <mergeCell ref="AV30:AW30"/>
    <mergeCell ref="L30:M30"/>
    <mergeCell ref="O30:P30"/>
    <mergeCell ref="T30:U30"/>
    <mergeCell ref="W30:X30"/>
    <mergeCell ref="AB30:AC30"/>
    <mergeCell ref="BC30:BD30"/>
    <mergeCell ref="N31:O31"/>
    <mergeCell ref="P31:Q31"/>
    <mergeCell ref="V31:W31"/>
    <mergeCell ref="X31:Y31"/>
    <mergeCell ref="AD31:AE31"/>
    <mergeCell ref="AF31:AG31"/>
    <mergeCell ref="AM31:AN31"/>
    <mergeCell ref="AO31:AP31"/>
    <mergeCell ref="AU31:AV31"/>
    <mergeCell ref="AW31:AX31"/>
    <mergeCell ref="BB31:BC31"/>
    <mergeCell ref="BD31:BE31"/>
    <mergeCell ref="AE30:AF30"/>
    <mergeCell ref="AK30:AL30"/>
    <mergeCell ref="AN30:AO30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G358"/>
  <sheetViews>
    <sheetView workbookViewId="0">
      <selection activeCell="B3" sqref="B3"/>
    </sheetView>
  </sheetViews>
  <sheetFormatPr defaultRowHeight="15" x14ac:dyDescent="0.25"/>
  <cols>
    <col min="2" max="2" width="15.85546875" style="1" customWidth="1"/>
    <col min="3" max="3" width="10.7109375" bestFit="1" customWidth="1"/>
    <col min="6" max="6" width="15.42578125" style="1" customWidth="1"/>
    <col min="7" max="7" width="10.7109375" bestFit="1" customWidth="1"/>
  </cols>
  <sheetData>
    <row r="2" spans="2:7" x14ac:dyDescent="0.25">
      <c r="B2" s="5" t="s">
        <v>1</v>
      </c>
      <c r="C2" s="5" t="s">
        <v>8</v>
      </c>
      <c r="F2" s="5" t="s">
        <v>3</v>
      </c>
      <c r="G2" s="5" t="s">
        <v>8</v>
      </c>
    </row>
    <row r="3" spans="2:7" x14ac:dyDescent="0.25">
      <c r="B3" s="5" t="s">
        <v>99</v>
      </c>
      <c r="C3" s="1" t="s">
        <v>170</v>
      </c>
      <c r="F3" s="5" t="s">
        <v>99</v>
      </c>
      <c r="G3" s="1" t="s">
        <v>170</v>
      </c>
    </row>
    <row r="4" spans="2:7" x14ac:dyDescent="0.25">
      <c r="B4" s="1" t="s">
        <v>166</v>
      </c>
      <c r="C4" s="1" t="s">
        <v>170</v>
      </c>
      <c r="F4" s="1" t="s">
        <v>89</v>
      </c>
      <c r="G4" s="1" t="s">
        <v>170</v>
      </c>
    </row>
    <row r="5" spans="2:7" x14ac:dyDescent="0.25">
      <c r="B5" s="1" t="s">
        <v>316</v>
      </c>
      <c r="C5" s="43" t="s">
        <v>170</v>
      </c>
      <c r="F5" s="1" t="s">
        <v>108</v>
      </c>
      <c r="G5" s="1" t="s">
        <v>170</v>
      </c>
    </row>
    <row r="6" spans="2:7" x14ac:dyDescent="0.25">
      <c r="B6" s="1" t="s">
        <v>92</v>
      </c>
      <c r="C6" s="1" t="s">
        <v>170</v>
      </c>
      <c r="F6" s="1" t="s">
        <v>82</v>
      </c>
      <c r="G6" s="1" t="s">
        <v>170</v>
      </c>
    </row>
    <row r="7" spans="2:7" x14ac:dyDescent="0.25">
      <c r="B7" s="1" t="s">
        <v>115</v>
      </c>
      <c r="C7" s="1" t="s">
        <v>170</v>
      </c>
      <c r="F7" s="1" t="s">
        <v>173</v>
      </c>
      <c r="G7" s="1" t="s">
        <v>170</v>
      </c>
    </row>
    <row r="8" spans="2:7" x14ac:dyDescent="0.25">
      <c r="B8" s="1" t="s">
        <v>96</v>
      </c>
      <c r="C8" s="1" t="s">
        <v>170</v>
      </c>
      <c r="F8" s="1" t="s">
        <v>174</v>
      </c>
      <c r="G8" s="1" t="s">
        <v>170</v>
      </c>
    </row>
    <row r="9" spans="2:7" x14ac:dyDescent="0.25">
      <c r="B9" s="1" t="s">
        <v>331</v>
      </c>
      <c r="C9" s="44" t="s">
        <v>170</v>
      </c>
      <c r="F9" s="1" t="s">
        <v>84</v>
      </c>
      <c r="G9" s="1" t="s">
        <v>170</v>
      </c>
    </row>
    <row r="10" spans="2:7" x14ac:dyDescent="0.25">
      <c r="B10" s="1" t="s">
        <v>11</v>
      </c>
      <c r="C10" s="1" t="s">
        <v>170</v>
      </c>
      <c r="F10" s="1" t="s">
        <v>78</v>
      </c>
      <c r="G10" s="1" t="s">
        <v>170</v>
      </c>
    </row>
    <row r="11" spans="2:7" x14ac:dyDescent="0.25">
      <c r="B11" s="1" t="s">
        <v>136</v>
      </c>
      <c r="C11" s="1" t="s">
        <v>170</v>
      </c>
      <c r="F11" s="1" t="s">
        <v>175</v>
      </c>
      <c r="G11" s="1" t="s">
        <v>170</v>
      </c>
    </row>
    <row r="12" spans="2:7" x14ac:dyDescent="0.25">
      <c r="B12" s="1" t="s">
        <v>160</v>
      </c>
      <c r="C12" s="1" t="s">
        <v>170</v>
      </c>
      <c r="F12" s="1" t="s">
        <v>119</v>
      </c>
      <c r="G12" s="1" t="s">
        <v>170</v>
      </c>
    </row>
    <row r="13" spans="2:7" x14ac:dyDescent="0.25">
      <c r="B13" s="1" t="s">
        <v>330</v>
      </c>
      <c r="C13" s="42" t="s">
        <v>170</v>
      </c>
      <c r="F13" s="1" t="s">
        <v>176</v>
      </c>
      <c r="G13" s="1" t="s">
        <v>170</v>
      </c>
    </row>
    <row r="14" spans="2:7" x14ac:dyDescent="0.25">
      <c r="B14" s="1" t="s">
        <v>80</v>
      </c>
      <c r="C14" s="1" t="s">
        <v>170</v>
      </c>
      <c r="F14" s="1" t="s">
        <v>177</v>
      </c>
      <c r="G14" s="1" t="s">
        <v>170</v>
      </c>
    </row>
    <row r="15" spans="2:7" x14ac:dyDescent="0.25">
      <c r="B15" s="1" t="s">
        <v>107</v>
      </c>
      <c r="C15" s="1" t="s">
        <v>170</v>
      </c>
      <c r="F15" s="1" t="s">
        <v>178</v>
      </c>
      <c r="G15" s="1" t="s">
        <v>170</v>
      </c>
    </row>
    <row r="16" spans="2:7" x14ac:dyDescent="0.25">
      <c r="B16" s="1" t="s">
        <v>269</v>
      </c>
      <c r="C16" s="1" t="s">
        <v>170</v>
      </c>
      <c r="F16" s="1" t="s">
        <v>135</v>
      </c>
      <c r="G16" s="1" t="s">
        <v>170</v>
      </c>
    </row>
    <row r="17" spans="2:7" x14ac:dyDescent="0.25">
      <c r="B17" s="1" t="s">
        <v>342</v>
      </c>
      <c r="C17" s="45" t="s">
        <v>170</v>
      </c>
    </row>
    <row r="18" spans="2:7" x14ac:dyDescent="0.25">
      <c r="B18" s="1" t="s">
        <v>139</v>
      </c>
      <c r="C18" s="1" t="s">
        <v>170</v>
      </c>
    </row>
    <row r="19" spans="2:7" x14ac:dyDescent="0.25">
      <c r="B19" s="1" t="s">
        <v>171</v>
      </c>
      <c r="C19" s="1" t="s">
        <v>181</v>
      </c>
      <c r="G19" s="1"/>
    </row>
    <row r="20" spans="2:7" x14ac:dyDescent="0.25">
      <c r="B20" s="1" t="s">
        <v>266</v>
      </c>
      <c r="C20" s="1" t="s">
        <v>170</v>
      </c>
      <c r="G20" s="1"/>
    </row>
    <row r="21" spans="2:7" x14ac:dyDescent="0.25">
      <c r="B21" s="1" t="s">
        <v>280</v>
      </c>
      <c r="C21" s="1" t="s">
        <v>170</v>
      </c>
      <c r="G21" s="1"/>
    </row>
    <row r="22" spans="2:7" x14ac:dyDescent="0.25">
      <c r="B22" s="1" t="s">
        <v>76</v>
      </c>
      <c r="C22" s="1" t="s">
        <v>170</v>
      </c>
      <c r="G22" s="1"/>
    </row>
    <row r="23" spans="2:7" x14ac:dyDescent="0.25">
      <c r="B23" s="1" t="s">
        <v>28</v>
      </c>
      <c r="C23" s="1" t="s">
        <v>170</v>
      </c>
      <c r="G23" s="1"/>
    </row>
    <row r="24" spans="2:7" x14ac:dyDescent="0.25">
      <c r="B24" s="1" t="s">
        <v>137</v>
      </c>
      <c r="C24" s="1" t="s">
        <v>170</v>
      </c>
      <c r="G24" s="1"/>
    </row>
    <row r="25" spans="2:7" x14ac:dyDescent="0.25">
      <c r="B25" s="1" t="s">
        <v>103</v>
      </c>
      <c r="C25" s="1" t="s">
        <v>170</v>
      </c>
      <c r="D25" s="1"/>
      <c r="G25" s="1"/>
    </row>
    <row r="26" spans="2:7" x14ac:dyDescent="0.25">
      <c r="B26" s="1" t="s">
        <v>86</v>
      </c>
      <c r="C26" s="1" t="s">
        <v>170</v>
      </c>
      <c r="D26" s="1"/>
      <c r="G26" s="1"/>
    </row>
    <row r="27" spans="2:7" x14ac:dyDescent="0.25">
      <c r="B27" s="1" t="s">
        <v>10</v>
      </c>
      <c r="C27" s="1" t="s">
        <v>170</v>
      </c>
      <c r="D27" s="1"/>
      <c r="G27" s="1"/>
    </row>
    <row r="28" spans="2:7" x14ac:dyDescent="0.25">
      <c r="B28" s="1" t="s">
        <v>106</v>
      </c>
      <c r="C28" s="1" t="s">
        <v>170</v>
      </c>
      <c r="D28" s="1"/>
      <c r="G28" s="1"/>
    </row>
    <row r="29" spans="2:7" x14ac:dyDescent="0.25">
      <c r="B29" s="1" t="s">
        <v>12</v>
      </c>
      <c r="C29" s="1" t="s">
        <v>170</v>
      </c>
      <c r="D29" s="1"/>
      <c r="G29" s="1"/>
    </row>
    <row r="30" spans="2:7" x14ac:dyDescent="0.25">
      <c r="C30" s="1"/>
      <c r="D30" s="1"/>
      <c r="G30" s="1"/>
    </row>
    <row r="31" spans="2:7" x14ac:dyDescent="0.25">
      <c r="C31" s="1"/>
      <c r="D31" s="1"/>
      <c r="G31" s="1"/>
    </row>
    <row r="32" spans="2:7" x14ac:dyDescent="0.25">
      <c r="C32" s="1"/>
      <c r="D32" s="1"/>
      <c r="G32" s="1"/>
    </row>
    <row r="33" spans="3:7" x14ac:dyDescent="0.25">
      <c r="C33" s="1"/>
      <c r="D33" s="1"/>
      <c r="G33" s="1"/>
    </row>
    <row r="140" spans="6:6" x14ac:dyDescent="0.25">
      <c r="F140" s="10"/>
    </row>
    <row r="229" spans="6:6" x14ac:dyDescent="0.25">
      <c r="F229" s="10"/>
    </row>
    <row r="230" spans="6:6" x14ac:dyDescent="0.25">
      <c r="F230" s="10"/>
    </row>
    <row r="233" spans="6:6" x14ac:dyDescent="0.25">
      <c r="F233" s="10"/>
    </row>
    <row r="234" spans="6:6" x14ac:dyDescent="0.25">
      <c r="F234" s="10"/>
    </row>
    <row r="235" spans="6:6" x14ac:dyDescent="0.25">
      <c r="F235" s="10"/>
    </row>
    <row r="236" spans="6:6" x14ac:dyDescent="0.25">
      <c r="F236" s="10"/>
    </row>
    <row r="237" spans="6:6" x14ac:dyDescent="0.25">
      <c r="F237" s="10"/>
    </row>
    <row r="238" spans="6:6" x14ac:dyDescent="0.25">
      <c r="F238" s="10"/>
    </row>
    <row r="250" spans="6:6" x14ac:dyDescent="0.25">
      <c r="F250" s="10"/>
    </row>
    <row r="251" spans="6:6" x14ac:dyDescent="0.25">
      <c r="F251" s="10"/>
    </row>
    <row r="252" spans="6:6" x14ac:dyDescent="0.25">
      <c r="F252" s="10"/>
    </row>
    <row r="254" spans="6:6" x14ac:dyDescent="0.25">
      <c r="F254" s="10"/>
    </row>
    <row r="256" spans="6:6" x14ac:dyDescent="0.25">
      <c r="F256" s="10"/>
    </row>
    <row r="257" spans="6:6" x14ac:dyDescent="0.25">
      <c r="F257" s="10"/>
    </row>
    <row r="258" spans="6:6" x14ac:dyDescent="0.25">
      <c r="F258" s="10"/>
    </row>
    <row r="259" spans="6:6" x14ac:dyDescent="0.25">
      <c r="F259" s="10"/>
    </row>
    <row r="261" spans="6:6" x14ac:dyDescent="0.25">
      <c r="F261" s="10"/>
    </row>
    <row r="269" spans="6:6" x14ac:dyDescent="0.25">
      <c r="F269" s="10"/>
    </row>
    <row r="270" spans="6:6" x14ac:dyDescent="0.25">
      <c r="F270" s="10"/>
    </row>
    <row r="305" spans="6:6" x14ac:dyDescent="0.25">
      <c r="F305" s="10"/>
    </row>
    <row r="314" spans="6:6" x14ac:dyDescent="0.25">
      <c r="F314" s="10"/>
    </row>
    <row r="325" spans="6:6" x14ac:dyDescent="0.25">
      <c r="F325" s="10"/>
    </row>
    <row r="326" spans="6:6" x14ac:dyDescent="0.25">
      <c r="F326" s="10"/>
    </row>
    <row r="347" spans="2:2" x14ac:dyDescent="0.25">
      <c r="B347" s="10"/>
    </row>
    <row r="348" spans="2:2" x14ac:dyDescent="0.25">
      <c r="B348" s="10"/>
    </row>
    <row r="358" spans="2:2" x14ac:dyDescent="0.25">
      <c r="B358" s="10"/>
    </row>
  </sheetData>
  <conditionalFormatting sqref="B356 B363:B366 B251 B165 B172:B173 B182:B184 B168:B169 B119 B45:B46 B68:B69 B76 B83:B84 B90 B97 B177:B180 B197:B202 B259:B262 B264:B270 B301:B302 B323:B325 C3 F26 G19:G24 B22:C29 G3:G16 C21 B4:C4 B6:C8 B10:C12 B14:C16 B18:C20 C17">
    <cfRule type="cellIs" dxfId="618" priority="25" operator="equal">
      <formula>"LQA"</formula>
    </cfRule>
    <cfRule type="cellIs" dxfId="617" priority="26" operator="equal">
      <formula>"IT"</formula>
    </cfRule>
  </conditionalFormatting>
  <conditionalFormatting sqref="B399:B1048576 B340:B343 B347:B397 G2:G16 G19:G33 D25:D33 B1:B4 C2:C4 B6:C8 B10:C12 B22:B338 B18:B20 B14:C16 C17:C33">
    <cfRule type="cellIs" dxfId="616" priority="24" operator="equal">
      <formula>"AGILIS"</formula>
    </cfRule>
  </conditionalFormatting>
  <conditionalFormatting sqref="C13">
    <cfRule type="cellIs" dxfId="615" priority="8" operator="equal">
      <formula>"LQA"</formula>
    </cfRule>
    <cfRule type="cellIs" dxfId="614" priority="9" operator="equal">
      <formula>"IT"</formula>
    </cfRule>
  </conditionalFormatting>
  <conditionalFormatting sqref="C13">
    <cfRule type="cellIs" dxfId="613" priority="7" operator="equal">
      <formula>"AGILIS"</formula>
    </cfRule>
  </conditionalFormatting>
  <conditionalFormatting sqref="C5">
    <cfRule type="cellIs" dxfId="612" priority="5" operator="equal">
      <formula>"LQA"</formula>
    </cfRule>
    <cfRule type="cellIs" dxfId="611" priority="6" operator="equal">
      <formula>"IT"</formula>
    </cfRule>
  </conditionalFormatting>
  <conditionalFormatting sqref="C5">
    <cfRule type="cellIs" dxfId="610" priority="4" operator="equal">
      <formula>"AGILIS"</formula>
    </cfRule>
  </conditionalFormatting>
  <conditionalFormatting sqref="C9">
    <cfRule type="cellIs" dxfId="609" priority="2" operator="equal">
      <formula>"LQA"</formula>
    </cfRule>
    <cfRule type="cellIs" dxfId="608" priority="3" operator="equal">
      <formula>"IT"</formula>
    </cfRule>
  </conditionalFormatting>
  <conditionalFormatting sqref="C9">
    <cfRule type="cellIs" dxfId="607" priority="1" operator="equal">
      <formula>"AGILIS"</formula>
    </cfRule>
  </conditionalFormatting>
  <dataValidations count="3">
    <dataValidation type="list" allowBlank="1" showInputMessage="1" showErrorMessage="1" sqref="G1:G16 G19:G1048576 C18:C1048576 C1:C16">
      <formula1>"On Hold,In Progress"</formula1>
    </dataValidation>
    <dataValidation type="list" allowBlank="1" showInputMessage="1" showErrorMessage="1" sqref="F1:F16 F19:F1048576">
      <formula1>"AGENT,Alexa Alert,DBS,DSV,ETL,GUI,MPE,Mailer,Utility,WFS,WSV,WEBSERVICE,XMLFEED"</formula1>
    </dataValidation>
    <dataValidation type="list" allowBlank="1" showInputMessage="1" showErrorMessage="1" sqref="B1:B4 B6:B8 B10:B12 B22:B1048576 B18:B20 B14:B16">
      <formula1>"AGILIS-PROD,BGC,BHN,BMB,CFRA,COM,CTR,GMB,INSIGHT,MTS,PROD-NM,TLN,TLSTR,TMB,TWC,VON,VZB,VZW,WIS"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22"/>
  <sheetViews>
    <sheetView workbookViewId="0">
      <selection activeCell="B2" sqref="B2"/>
    </sheetView>
  </sheetViews>
  <sheetFormatPr defaultRowHeight="15" x14ac:dyDescent="0.25"/>
  <cols>
    <col min="1" max="1" width="15.42578125" style="1" customWidth="1"/>
    <col min="3" max="3" width="11.140625" style="1" customWidth="1"/>
  </cols>
  <sheetData>
    <row r="1" spans="1:3" x14ac:dyDescent="0.25">
      <c r="A1" s="5" t="s">
        <v>3</v>
      </c>
      <c r="B1" s="12" t="s">
        <v>184</v>
      </c>
      <c r="C1" s="5" t="s">
        <v>2</v>
      </c>
    </row>
    <row r="2" spans="1:3" x14ac:dyDescent="0.25">
      <c r="A2" s="5" t="s">
        <v>180</v>
      </c>
      <c r="B2" s="12" t="s">
        <v>180</v>
      </c>
      <c r="C2" s="5" t="s">
        <v>180</v>
      </c>
    </row>
    <row r="3" spans="1:3" x14ac:dyDescent="0.25">
      <c r="A3" s="1" t="s">
        <v>89</v>
      </c>
      <c r="B3" t="s">
        <v>185</v>
      </c>
      <c r="C3" s="1" t="s">
        <v>85</v>
      </c>
    </row>
    <row r="4" spans="1:3" x14ac:dyDescent="0.25">
      <c r="A4" s="1" t="s">
        <v>276</v>
      </c>
      <c r="B4" t="s">
        <v>186</v>
      </c>
      <c r="C4" s="39" t="s">
        <v>318</v>
      </c>
    </row>
    <row r="5" spans="1:3" x14ac:dyDescent="0.25">
      <c r="A5" s="1" t="s">
        <v>82</v>
      </c>
      <c r="B5" t="s">
        <v>187</v>
      </c>
      <c r="C5" s="1" t="s">
        <v>81</v>
      </c>
    </row>
    <row r="6" spans="1:3" x14ac:dyDescent="0.25">
      <c r="A6" s="1" t="s">
        <v>84</v>
      </c>
      <c r="C6" s="1" t="s">
        <v>117</v>
      </c>
    </row>
    <row r="7" spans="1:3" x14ac:dyDescent="0.25">
      <c r="A7" s="1" t="s">
        <v>78</v>
      </c>
      <c r="C7" s="1" t="s">
        <v>118</v>
      </c>
    </row>
    <row r="8" spans="1:3" x14ac:dyDescent="0.25">
      <c r="A8" s="1" t="s">
        <v>188</v>
      </c>
      <c r="C8" s="1" t="s">
        <v>78</v>
      </c>
    </row>
    <row r="9" spans="1:3" x14ac:dyDescent="0.25">
      <c r="A9" s="1" t="s">
        <v>119</v>
      </c>
      <c r="C9" s="1" t="s">
        <v>274</v>
      </c>
    </row>
    <row r="10" spans="1:3" x14ac:dyDescent="0.25">
      <c r="A10" s="1" t="s">
        <v>176</v>
      </c>
      <c r="C10" s="1" t="s">
        <v>77</v>
      </c>
    </row>
    <row r="11" spans="1:3" x14ac:dyDescent="0.25">
      <c r="A11" s="1" t="s">
        <v>260</v>
      </c>
      <c r="C11" s="1" t="s">
        <v>120</v>
      </c>
    </row>
    <row r="12" spans="1:3" x14ac:dyDescent="0.25">
      <c r="A12" s="1" t="s">
        <v>261</v>
      </c>
      <c r="C12" s="1" t="s">
        <v>281</v>
      </c>
    </row>
    <row r="13" spans="1:3" x14ac:dyDescent="0.25">
      <c r="A13" s="1" t="s">
        <v>262</v>
      </c>
      <c r="C13" s="1" t="s">
        <v>146</v>
      </c>
    </row>
    <row r="14" spans="1:3" x14ac:dyDescent="0.25">
      <c r="C14" s="1" t="s">
        <v>111</v>
      </c>
    </row>
    <row r="15" spans="1:3" x14ac:dyDescent="0.25">
      <c r="C15" s="1" t="s">
        <v>333</v>
      </c>
    </row>
    <row r="16" spans="1:3" x14ac:dyDescent="0.25">
      <c r="C16" s="1" t="s">
        <v>275</v>
      </c>
    </row>
    <row r="17" spans="3:3" x14ac:dyDescent="0.25">
      <c r="C17" s="1" t="s">
        <v>98</v>
      </c>
    </row>
    <row r="18" spans="3:3" x14ac:dyDescent="0.25">
      <c r="C18" s="1" t="s">
        <v>90</v>
      </c>
    </row>
    <row r="19" spans="3:3" x14ac:dyDescent="0.25">
      <c r="C19" s="1" t="s">
        <v>140</v>
      </c>
    </row>
    <row r="20" spans="3:3" x14ac:dyDescent="0.25">
      <c r="C20" s="1" t="s">
        <v>150</v>
      </c>
    </row>
    <row r="21" spans="3:3" x14ac:dyDescent="0.25">
      <c r="C21" s="1" t="s">
        <v>149</v>
      </c>
    </row>
    <row r="22" spans="3:3" x14ac:dyDescent="0.25">
      <c r="C22" s="1" t="s">
        <v>263</v>
      </c>
    </row>
    <row r="136" spans="1:1" x14ac:dyDescent="0.25">
      <c r="A136" s="10"/>
    </row>
    <row r="225" spans="1:1" x14ac:dyDescent="0.25">
      <c r="A225" s="10"/>
    </row>
    <row r="226" spans="1:1" x14ac:dyDescent="0.25">
      <c r="A226" s="10"/>
    </row>
    <row r="229" spans="1:1" x14ac:dyDescent="0.25">
      <c r="A229" s="10"/>
    </row>
    <row r="230" spans="1:1" x14ac:dyDescent="0.25">
      <c r="A230" s="10"/>
    </row>
    <row r="231" spans="1:1" x14ac:dyDescent="0.25">
      <c r="A231" s="10"/>
    </row>
    <row r="232" spans="1:1" x14ac:dyDescent="0.25">
      <c r="A232" s="10"/>
    </row>
    <row r="233" spans="1:1" x14ac:dyDescent="0.25">
      <c r="A233" s="10"/>
    </row>
    <row r="234" spans="1:1" x14ac:dyDescent="0.25">
      <c r="A234" s="10"/>
    </row>
    <row r="246" spans="1:1" x14ac:dyDescent="0.25">
      <c r="A246" s="10"/>
    </row>
    <row r="247" spans="1:1" x14ac:dyDescent="0.25">
      <c r="A247" s="10"/>
    </row>
    <row r="248" spans="1:1" x14ac:dyDescent="0.25">
      <c r="A248" s="10"/>
    </row>
    <row r="250" spans="1:1" x14ac:dyDescent="0.25">
      <c r="A250" s="10"/>
    </row>
    <row r="252" spans="1:1" x14ac:dyDescent="0.25">
      <c r="A252" s="10"/>
    </row>
    <row r="253" spans="1:1" x14ac:dyDescent="0.25">
      <c r="A253" s="10"/>
    </row>
    <row r="254" spans="1:1" x14ac:dyDescent="0.25">
      <c r="A254" s="10"/>
    </row>
    <row r="255" spans="1:1" x14ac:dyDescent="0.25">
      <c r="A255" s="10"/>
    </row>
    <row r="257" spans="1:1" x14ac:dyDescent="0.25">
      <c r="A257" s="10"/>
    </row>
    <row r="265" spans="1:1" x14ac:dyDescent="0.25">
      <c r="A265" s="10"/>
    </row>
    <row r="266" spans="1:1" x14ac:dyDescent="0.25">
      <c r="A266" s="10"/>
    </row>
    <row r="301" spans="1:1" x14ac:dyDescent="0.25">
      <c r="A301" s="10"/>
    </row>
    <row r="310" spans="1:1" x14ac:dyDescent="0.25">
      <c r="A310" s="10"/>
    </row>
    <row r="321" spans="1:1" x14ac:dyDescent="0.25">
      <c r="A321" s="10"/>
    </row>
    <row r="322" spans="1:1" x14ac:dyDescent="0.25">
      <c r="A322" s="10"/>
    </row>
  </sheetData>
  <conditionalFormatting sqref="A22 A3 A5">
    <cfRule type="cellIs" dxfId="606" priority="5" operator="equal">
      <formula>"LQA"</formula>
    </cfRule>
    <cfRule type="cellIs" dxfId="605" priority="6" operator="equal">
      <formula>"IT"</formula>
    </cfRule>
  </conditionalFormatting>
  <conditionalFormatting sqref="C17:C20 C8 C10:C11 C13:C14 C263:C267 C472:C475 C157:C158 C148:C150 C84:C85 C64 C163:C164 C99:C100 C79 C258:C261 C170:C171 C242:C245 C285 C306:C307 C339 C346:C349 C247:C251 C301 C322:C323 C355 C362:C365">
    <cfRule type="cellIs" dxfId="604" priority="4" operator="equal">
      <formula>"AGILIS"</formula>
    </cfRule>
  </conditionalFormatting>
  <dataValidations count="5">
    <dataValidation type="list" allowBlank="1" showInputMessage="1" showErrorMessage="1" sqref="C25:C1048576">
      <formula1>"AR,ART,CFRA,DM,DFE,IM,L1DB,MPE,NM,NP,NZ,RA,RC,RT,SAC,TM,Utility,VzW,WWCS,WWFS"</formula1>
    </dataValidation>
    <dataValidation type="list" allowBlank="1" showInputMessage="1" showErrorMessage="1" sqref="A16:A1048576 A5:A13 A1:A3">
      <formula1>"AGENT,Alexa Alert,DBS,DSV,ETL,GUI,MPE,Mailer,Schedular,Utility,WFS,WSV,WEBSERVICE,XMLFEED"</formula1>
    </dataValidation>
    <dataValidation type="list" allowBlank="1" showInputMessage="1" showErrorMessage="1" sqref="B2">
      <formula1>"1,2,3,4,5,6"</formula1>
    </dataValidation>
    <dataValidation type="list" allowBlank="1" showInputMessage="1" showErrorMessage="1" sqref="B3:B5 B7:B14">
      <formula1>"Jan,Feb,Mar,Apr,May"</formula1>
    </dataValidation>
    <dataValidation type="list" allowBlank="1" showInputMessage="1" showErrorMessage="1" sqref="C1:C14 C16:C22">
      <formula1>"AR,ART,CFRA,CARA,DM,DFE,IM,L1DB,MPE,NM,NP,NZ,RA,RC,RT,SAC,TM,Utility,VzW,WWCS,WWFS"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W99"/>
  <sheetViews>
    <sheetView zoomScale="75" zoomScaleNormal="75" workbookViewId="0">
      <pane ySplit="3" topLeftCell="A4" activePane="bottomLeft" state="frozen"/>
      <selection pane="bottomLeft" activeCell="L28" sqref="L28"/>
    </sheetView>
  </sheetViews>
  <sheetFormatPr defaultRowHeight="15" x14ac:dyDescent="0.25"/>
  <cols>
    <col min="2" max="2" width="61.42578125" customWidth="1"/>
    <col min="3" max="3" width="11.42578125" bestFit="1" customWidth="1"/>
    <col min="4" max="4" width="4.28515625" bestFit="1" customWidth="1"/>
    <col min="5" max="5" width="5.42578125" bestFit="1" customWidth="1"/>
    <col min="6" max="6" width="4.5703125" bestFit="1" customWidth="1"/>
    <col min="7" max="7" width="4.85546875" bestFit="1" customWidth="1"/>
    <col min="8" max="8" width="11.7109375" bestFit="1" customWidth="1"/>
    <col min="9" max="9" width="7.85546875" hidden="1" customWidth="1"/>
    <col min="10" max="10" width="7" bestFit="1" customWidth="1"/>
    <col min="11" max="11" width="16.85546875" bestFit="1" customWidth="1"/>
    <col min="12" max="12" width="6.5703125" bestFit="1" customWidth="1"/>
    <col min="14" max="14" width="4.7109375" bestFit="1" customWidth="1"/>
    <col min="15" max="15" width="5.140625" bestFit="1" customWidth="1"/>
    <col min="16" max="16" width="5" bestFit="1" customWidth="1"/>
    <col min="17" max="17" width="4.85546875" bestFit="1" customWidth="1"/>
    <col min="18" max="18" width="15.5703125" bestFit="1" customWidth="1"/>
    <col min="19" max="19" width="6.5703125" bestFit="1" customWidth="1"/>
    <col min="20" max="21" width="4.5703125" bestFit="1" customWidth="1"/>
    <col min="22" max="22" width="7.7109375" bestFit="1" customWidth="1"/>
    <col min="23" max="23" width="4.5703125" bestFit="1" customWidth="1"/>
  </cols>
  <sheetData>
    <row r="2" spans="2:23" x14ac:dyDescent="0.25">
      <c r="B2" s="592" t="s">
        <v>309</v>
      </c>
      <c r="C2" s="592" t="s">
        <v>3</v>
      </c>
      <c r="D2" s="589" t="s">
        <v>310</v>
      </c>
      <c r="E2" s="590"/>
      <c r="F2" s="590"/>
      <c r="G2" s="590"/>
      <c r="H2" s="590"/>
      <c r="I2" s="590"/>
      <c r="J2" s="590"/>
      <c r="K2" s="590"/>
      <c r="L2" s="590"/>
      <c r="M2" s="590"/>
      <c r="N2" s="590"/>
      <c r="O2" s="590"/>
      <c r="P2" s="590"/>
      <c r="Q2" s="590"/>
      <c r="R2" s="590"/>
      <c r="S2" s="590"/>
      <c r="T2" s="590"/>
      <c r="U2" s="590"/>
      <c r="V2" s="590"/>
      <c r="W2" s="591"/>
    </row>
    <row r="3" spans="2:23" x14ac:dyDescent="0.25">
      <c r="B3" s="592"/>
      <c r="C3" s="592"/>
      <c r="D3" s="46" t="s">
        <v>160</v>
      </c>
      <c r="E3" s="46" t="s">
        <v>136</v>
      </c>
      <c r="F3" s="46" t="s">
        <v>12</v>
      </c>
      <c r="G3" s="46" t="s">
        <v>139</v>
      </c>
      <c r="H3" s="46" t="s">
        <v>363</v>
      </c>
      <c r="I3" s="37" t="s">
        <v>311</v>
      </c>
      <c r="J3" s="37" t="s">
        <v>312</v>
      </c>
      <c r="K3" s="37" t="s">
        <v>313</v>
      </c>
      <c r="L3" s="37" t="s">
        <v>266</v>
      </c>
      <c r="M3" s="37" t="s">
        <v>314</v>
      </c>
      <c r="N3" s="37" t="s">
        <v>92</v>
      </c>
      <c r="O3" s="37" t="s">
        <v>96</v>
      </c>
      <c r="P3" s="37" t="s">
        <v>137</v>
      </c>
      <c r="Q3" s="37" t="s">
        <v>115</v>
      </c>
      <c r="R3" s="37" t="s">
        <v>315</v>
      </c>
      <c r="S3" s="37" t="s">
        <v>316</v>
      </c>
      <c r="T3" s="37" t="s">
        <v>331</v>
      </c>
      <c r="U3" s="37" t="s">
        <v>330</v>
      </c>
      <c r="V3" s="37" t="s">
        <v>342</v>
      </c>
      <c r="W3" s="37" t="s">
        <v>348</v>
      </c>
    </row>
    <row r="4" spans="2:23" x14ac:dyDescent="0.25">
      <c r="B4" s="583" t="s">
        <v>401</v>
      </c>
      <c r="C4" s="37" t="s">
        <v>78</v>
      </c>
      <c r="D4" s="37"/>
      <c r="E4" s="37"/>
      <c r="F4" s="46"/>
      <c r="G4" s="46"/>
      <c r="H4" s="46"/>
      <c r="I4" s="37"/>
      <c r="J4" s="37"/>
      <c r="K4" s="37"/>
      <c r="L4" s="37"/>
      <c r="M4" s="37"/>
      <c r="N4" s="37"/>
      <c r="O4" s="37"/>
      <c r="P4" s="37"/>
      <c r="Q4" s="38"/>
      <c r="R4" s="37"/>
      <c r="S4" s="37"/>
      <c r="T4" s="37"/>
      <c r="U4" s="37"/>
      <c r="V4" s="37"/>
      <c r="W4" s="37"/>
    </row>
    <row r="5" spans="2:23" x14ac:dyDescent="0.25">
      <c r="B5" s="583"/>
      <c r="C5" s="37"/>
      <c r="D5" s="37"/>
      <c r="E5" s="37"/>
      <c r="F5" s="46"/>
      <c r="G5" s="46"/>
      <c r="H5" s="46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</row>
    <row r="6" spans="2:23" x14ac:dyDescent="0.25">
      <c r="B6" s="583" t="s">
        <v>402</v>
      </c>
      <c r="C6" s="37" t="s">
        <v>78</v>
      </c>
      <c r="D6" s="37"/>
      <c r="E6" s="37"/>
      <c r="F6" s="38"/>
      <c r="G6" s="38"/>
      <c r="H6" s="38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</row>
    <row r="7" spans="2:23" x14ac:dyDescent="0.25">
      <c r="B7" s="583"/>
      <c r="C7" s="37"/>
      <c r="D7" s="37"/>
      <c r="E7" s="37"/>
      <c r="F7" s="46"/>
      <c r="G7" s="46"/>
      <c r="H7" s="46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</row>
    <row r="8" spans="2:23" x14ac:dyDescent="0.25">
      <c r="B8" s="583" t="s">
        <v>366</v>
      </c>
      <c r="C8" s="37" t="s">
        <v>78</v>
      </c>
      <c r="D8" s="37"/>
      <c r="E8" s="37"/>
      <c r="F8" s="37"/>
      <c r="G8" s="37"/>
      <c r="H8" s="37"/>
      <c r="I8" s="37"/>
      <c r="J8" s="37"/>
      <c r="K8" s="37"/>
      <c r="L8" s="37"/>
      <c r="M8" s="37"/>
      <c r="N8" s="38"/>
      <c r="O8" s="38"/>
      <c r="P8" s="37"/>
      <c r="Q8" s="37"/>
      <c r="R8" s="37"/>
      <c r="S8" s="37"/>
      <c r="T8" s="37"/>
      <c r="U8" s="37"/>
      <c r="V8" s="37"/>
      <c r="W8" s="37"/>
    </row>
    <row r="9" spans="2:23" x14ac:dyDescent="0.25">
      <c r="B9" s="583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</row>
    <row r="10" spans="2:23" x14ac:dyDescent="0.25">
      <c r="B10" s="583" t="s">
        <v>367</v>
      </c>
      <c r="C10" s="37" t="s">
        <v>78</v>
      </c>
      <c r="D10" s="37"/>
      <c r="E10" s="37"/>
      <c r="F10" s="37"/>
      <c r="G10" s="37"/>
      <c r="H10" s="37"/>
      <c r="I10" s="38"/>
      <c r="J10" s="38"/>
      <c r="K10" s="37"/>
      <c r="L10" s="38"/>
      <c r="M10" s="38"/>
      <c r="N10" s="37"/>
      <c r="O10" s="37"/>
      <c r="P10" s="37"/>
      <c r="Q10" s="37"/>
      <c r="R10" s="37"/>
      <c r="S10" s="37"/>
      <c r="T10" s="37"/>
      <c r="U10" s="37"/>
      <c r="V10" s="37"/>
      <c r="W10" s="37"/>
    </row>
    <row r="11" spans="2:23" x14ac:dyDescent="0.25">
      <c r="B11" s="583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</row>
    <row r="12" spans="2:23" x14ac:dyDescent="0.25">
      <c r="B12" s="583" t="s">
        <v>368</v>
      </c>
      <c r="C12" s="37" t="s">
        <v>78</v>
      </c>
      <c r="D12" s="37"/>
      <c r="E12" s="37"/>
      <c r="F12" s="37"/>
      <c r="G12" s="37"/>
      <c r="H12" s="37"/>
      <c r="I12" s="37"/>
      <c r="J12" s="37"/>
      <c r="K12" s="38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8"/>
      <c r="W12" s="37"/>
    </row>
    <row r="13" spans="2:23" x14ac:dyDescent="0.25">
      <c r="B13" s="583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</row>
    <row r="14" spans="2:23" x14ac:dyDescent="0.25">
      <c r="B14" s="583" t="s">
        <v>369</v>
      </c>
      <c r="C14" s="37" t="s">
        <v>78</v>
      </c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8"/>
      <c r="T14" s="38"/>
      <c r="U14" s="38"/>
      <c r="V14" s="37"/>
      <c r="W14" s="38"/>
    </row>
    <row r="15" spans="2:23" x14ac:dyDescent="0.25">
      <c r="B15" s="583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</row>
    <row r="16" spans="2:23" x14ac:dyDescent="0.25">
      <c r="B16" s="20" t="s">
        <v>398</v>
      </c>
      <c r="C16" s="37" t="s">
        <v>82</v>
      </c>
      <c r="D16" s="38"/>
      <c r="E16" s="38"/>
      <c r="F16" s="37"/>
      <c r="G16" s="38"/>
      <c r="H16" s="37"/>
      <c r="I16" s="37"/>
      <c r="J16" s="37"/>
      <c r="K16" s="37"/>
      <c r="L16" s="37"/>
      <c r="M16" s="37"/>
      <c r="N16" s="38"/>
      <c r="O16" s="38"/>
      <c r="P16" s="37"/>
      <c r="Q16" s="38"/>
      <c r="R16" s="37"/>
      <c r="S16" s="37"/>
      <c r="T16" s="37"/>
      <c r="U16" s="37"/>
      <c r="V16" s="37"/>
      <c r="W16" s="37"/>
    </row>
    <row r="17" spans="2:23" x14ac:dyDescent="0.25">
      <c r="B17" s="20" t="s">
        <v>364</v>
      </c>
      <c r="C17" s="37" t="s">
        <v>84</v>
      </c>
      <c r="D17" s="38"/>
      <c r="E17" s="38"/>
      <c r="F17" s="37"/>
      <c r="G17" s="38"/>
      <c r="H17" s="37"/>
      <c r="I17" s="37"/>
      <c r="J17" s="37"/>
      <c r="K17" s="37"/>
      <c r="L17" s="37"/>
      <c r="M17" s="37"/>
      <c r="N17" s="38"/>
      <c r="O17" s="38"/>
      <c r="P17" s="37"/>
      <c r="Q17" s="38"/>
      <c r="R17" s="37"/>
      <c r="S17" s="37"/>
      <c r="T17" s="37"/>
      <c r="U17" s="37"/>
      <c r="V17" s="37"/>
      <c r="W17" s="37"/>
    </row>
    <row r="18" spans="2:23" x14ac:dyDescent="0.25">
      <c r="B18" s="20" t="s">
        <v>370</v>
      </c>
      <c r="C18" s="37" t="s">
        <v>82</v>
      </c>
      <c r="D18" s="37"/>
      <c r="E18" s="37"/>
      <c r="F18" s="37"/>
      <c r="G18" s="37"/>
      <c r="H18" s="38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</row>
    <row r="19" spans="2:23" x14ac:dyDescent="0.25">
      <c r="B19" s="20" t="s">
        <v>364</v>
      </c>
      <c r="C19" s="37" t="s">
        <v>84</v>
      </c>
      <c r="D19" s="37"/>
      <c r="E19" s="37"/>
      <c r="F19" s="37"/>
      <c r="G19" s="37"/>
      <c r="H19" s="38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</row>
    <row r="20" spans="2:23" x14ac:dyDescent="0.25">
      <c r="B20" s="583" t="s">
        <v>371</v>
      </c>
      <c r="C20" s="37" t="s">
        <v>82</v>
      </c>
      <c r="D20" s="37"/>
      <c r="E20" s="37"/>
      <c r="F20" s="37"/>
      <c r="G20" s="37"/>
      <c r="H20" s="37"/>
      <c r="I20" s="38"/>
      <c r="J20" s="38"/>
      <c r="K20" s="37"/>
      <c r="L20" s="38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</row>
    <row r="21" spans="2:23" x14ac:dyDescent="0.25">
      <c r="B21" s="583"/>
      <c r="C21" s="37" t="s">
        <v>84</v>
      </c>
      <c r="D21" s="37"/>
      <c r="E21" s="37"/>
      <c r="F21" s="37"/>
      <c r="G21" s="37"/>
      <c r="H21" s="37"/>
      <c r="I21" s="37"/>
      <c r="J21" s="37"/>
      <c r="K21" s="38"/>
      <c r="L21" s="38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</row>
    <row r="22" spans="2:23" x14ac:dyDescent="0.25">
      <c r="B22" s="583" t="s">
        <v>372</v>
      </c>
      <c r="C22" s="37" t="s">
        <v>82</v>
      </c>
      <c r="D22" s="37"/>
      <c r="E22" s="37"/>
      <c r="F22" s="37"/>
      <c r="G22" s="37"/>
      <c r="H22" s="37"/>
      <c r="I22" s="37"/>
      <c r="J22" s="37"/>
      <c r="K22" s="38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</row>
    <row r="23" spans="2:23" x14ac:dyDescent="0.25">
      <c r="B23" s="583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</row>
    <row r="24" spans="2:23" x14ac:dyDescent="0.25">
      <c r="B24" s="583" t="s">
        <v>373</v>
      </c>
      <c r="C24" s="37" t="s">
        <v>82</v>
      </c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8"/>
      <c r="S24" s="37"/>
      <c r="T24" s="37"/>
      <c r="U24" s="37"/>
      <c r="V24" s="37"/>
      <c r="W24" s="37"/>
    </row>
    <row r="25" spans="2:23" x14ac:dyDescent="0.25">
      <c r="B25" s="583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</row>
    <row r="26" spans="2:23" x14ac:dyDescent="0.25">
      <c r="B26" s="583" t="s">
        <v>397</v>
      </c>
      <c r="C26" s="37" t="s">
        <v>82</v>
      </c>
      <c r="D26" s="37"/>
      <c r="E26" s="37"/>
      <c r="F26" s="38"/>
      <c r="G26" s="38"/>
      <c r="H26" s="38"/>
      <c r="I26" s="37"/>
      <c r="J26" s="37"/>
      <c r="K26" s="37"/>
      <c r="L26" s="37"/>
      <c r="M26" s="37"/>
      <c r="N26" s="37"/>
      <c r="O26" s="37"/>
      <c r="P26" s="38"/>
      <c r="Q26" s="38"/>
      <c r="R26" s="37"/>
      <c r="S26" s="37"/>
      <c r="T26" s="37"/>
      <c r="U26" s="37"/>
      <c r="V26" s="37"/>
      <c r="W26" s="37"/>
    </row>
    <row r="27" spans="2:23" x14ac:dyDescent="0.25">
      <c r="B27" s="583"/>
      <c r="C27" s="37" t="s">
        <v>84</v>
      </c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8"/>
      <c r="R27" s="37"/>
      <c r="S27" s="37"/>
      <c r="T27" s="37"/>
      <c r="U27" s="37"/>
      <c r="V27" s="37"/>
      <c r="W27" s="37"/>
    </row>
    <row r="28" spans="2:23" x14ac:dyDescent="0.25">
      <c r="B28" s="583" t="s">
        <v>417</v>
      </c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</row>
    <row r="29" spans="2:23" x14ac:dyDescent="0.25">
      <c r="B29" s="583"/>
      <c r="C29" s="37" t="s">
        <v>84</v>
      </c>
      <c r="D29" s="37"/>
      <c r="E29" s="37"/>
      <c r="F29" s="38"/>
      <c r="G29" s="37"/>
      <c r="H29" s="38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</row>
    <row r="30" spans="2:23" x14ac:dyDescent="0.25">
      <c r="B30" s="583" t="s">
        <v>387</v>
      </c>
      <c r="C30" s="37" t="s">
        <v>82</v>
      </c>
      <c r="D30" s="37"/>
      <c r="E30" s="37"/>
      <c r="F30" s="37"/>
      <c r="G30" s="37"/>
      <c r="H30" s="37"/>
      <c r="I30" s="38"/>
      <c r="J30" s="37"/>
      <c r="K30" s="38"/>
      <c r="L30" s="38"/>
      <c r="M30" s="37"/>
      <c r="N30" s="37"/>
      <c r="O30" s="37"/>
      <c r="P30" s="37"/>
      <c r="Q30" s="37"/>
      <c r="R30" s="37"/>
      <c r="S30" s="37"/>
      <c r="T30" s="37"/>
      <c r="U30" s="38"/>
      <c r="V30" s="37"/>
      <c r="W30" s="37"/>
    </row>
    <row r="31" spans="2:23" x14ac:dyDescent="0.25">
      <c r="B31" s="583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</row>
    <row r="32" spans="2:23" x14ac:dyDescent="0.25">
      <c r="B32" s="583" t="s">
        <v>388</v>
      </c>
      <c r="C32" s="37" t="s">
        <v>82</v>
      </c>
      <c r="D32" s="37"/>
      <c r="E32" s="37"/>
      <c r="F32" s="37"/>
      <c r="G32" s="37"/>
      <c r="H32" s="37"/>
      <c r="I32" s="37"/>
      <c r="J32" s="38"/>
      <c r="K32" s="37"/>
      <c r="L32" s="37"/>
      <c r="M32" s="38"/>
      <c r="N32" s="37"/>
      <c r="O32" s="37"/>
      <c r="P32" s="37"/>
      <c r="Q32" s="37"/>
      <c r="R32" s="37"/>
      <c r="S32" s="37"/>
      <c r="T32" s="37"/>
      <c r="U32" s="37"/>
      <c r="V32" s="37"/>
      <c r="W32" s="37"/>
    </row>
    <row r="33" spans="2:23" x14ac:dyDescent="0.25">
      <c r="B33" s="583"/>
      <c r="C33" s="37" t="s">
        <v>84</v>
      </c>
      <c r="D33" s="37"/>
      <c r="E33" s="37"/>
      <c r="F33" s="37"/>
      <c r="G33" s="37"/>
      <c r="H33" s="37"/>
      <c r="I33" s="37"/>
      <c r="J33" s="38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</row>
    <row r="34" spans="2:23" x14ac:dyDescent="0.25">
      <c r="B34" s="583" t="s">
        <v>389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</row>
    <row r="35" spans="2:23" x14ac:dyDescent="0.25">
      <c r="B35" s="583"/>
      <c r="C35" s="37" t="s">
        <v>84</v>
      </c>
      <c r="D35" s="37"/>
      <c r="E35" s="37"/>
      <c r="F35" s="37"/>
      <c r="G35" s="37"/>
      <c r="H35" s="37"/>
      <c r="I35" s="37"/>
      <c r="J35" s="37"/>
      <c r="K35" s="37"/>
      <c r="L35" s="37"/>
      <c r="M35" s="38"/>
      <c r="N35" s="37"/>
      <c r="O35" s="37"/>
      <c r="P35" s="37"/>
      <c r="Q35" s="37"/>
      <c r="R35" s="37"/>
      <c r="S35" s="37"/>
      <c r="T35" s="37"/>
      <c r="U35" s="37"/>
      <c r="V35" s="37"/>
      <c r="W35" s="37"/>
    </row>
    <row r="36" spans="2:23" x14ac:dyDescent="0.25">
      <c r="B36" s="583" t="s">
        <v>390</v>
      </c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</row>
    <row r="37" spans="2:23" x14ac:dyDescent="0.25">
      <c r="B37" s="583"/>
      <c r="C37" s="37" t="s">
        <v>84</v>
      </c>
      <c r="D37" s="37"/>
      <c r="E37" s="37"/>
      <c r="F37" s="37"/>
      <c r="G37" s="37"/>
      <c r="H37" s="37"/>
      <c r="I37" s="38"/>
      <c r="J37" s="37"/>
      <c r="K37" s="37"/>
      <c r="L37" s="37"/>
      <c r="M37" s="37"/>
      <c r="N37" s="37"/>
      <c r="O37" s="37"/>
      <c r="P37" s="38"/>
      <c r="Q37" s="37"/>
      <c r="R37" s="37"/>
      <c r="S37" s="37"/>
      <c r="T37" s="37"/>
      <c r="U37" s="37"/>
      <c r="V37" s="37"/>
      <c r="W37" s="37"/>
    </row>
    <row r="38" spans="2:23" x14ac:dyDescent="0.25">
      <c r="B38" s="583" t="s">
        <v>391</v>
      </c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</row>
    <row r="39" spans="2:23" x14ac:dyDescent="0.25">
      <c r="B39" s="583"/>
      <c r="C39" s="37" t="s">
        <v>84</v>
      </c>
      <c r="D39" s="37"/>
      <c r="E39" s="37"/>
      <c r="F39" s="37"/>
      <c r="G39" s="38"/>
      <c r="H39" s="37"/>
      <c r="I39" s="37"/>
      <c r="J39" s="37"/>
      <c r="K39" s="37"/>
      <c r="L39" s="38"/>
      <c r="M39" s="37"/>
      <c r="N39" s="37"/>
      <c r="O39" s="37"/>
      <c r="P39" s="37"/>
      <c r="Q39" s="37"/>
      <c r="R39" s="37"/>
      <c r="S39" s="37"/>
      <c r="T39" s="37"/>
      <c r="U39" s="38"/>
      <c r="V39" s="37"/>
      <c r="W39" s="37"/>
    </row>
    <row r="40" spans="2:23" x14ac:dyDescent="0.25">
      <c r="B40" s="583" t="s">
        <v>392</v>
      </c>
      <c r="C40" s="37" t="s">
        <v>82</v>
      </c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8"/>
      <c r="S40" s="38"/>
      <c r="T40" s="38"/>
      <c r="U40" s="37"/>
      <c r="V40" s="38"/>
      <c r="W40" s="38"/>
    </row>
    <row r="41" spans="2:23" x14ac:dyDescent="0.25">
      <c r="B41" s="583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</row>
    <row r="42" spans="2:23" x14ac:dyDescent="0.25">
      <c r="B42" s="583" t="s">
        <v>408</v>
      </c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</row>
    <row r="43" spans="2:23" x14ac:dyDescent="0.25">
      <c r="B43" s="583"/>
      <c r="C43" s="37" t="s">
        <v>84</v>
      </c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8"/>
      <c r="T43" s="38"/>
      <c r="U43" s="37"/>
      <c r="V43" s="38"/>
      <c r="W43" s="38"/>
    </row>
    <row r="44" spans="2:23" x14ac:dyDescent="0.25">
      <c r="B44" s="583" t="s">
        <v>409</v>
      </c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</row>
    <row r="45" spans="2:23" x14ac:dyDescent="0.25">
      <c r="B45" s="583"/>
      <c r="C45" s="37" t="s">
        <v>84</v>
      </c>
      <c r="D45" s="37"/>
      <c r="E45" s="37"/>
      <c r="F45" s="37"/>
      <c r="G45" s="37"/>
      <c r="H45" s="37"/>
      <c r="I45" s="37"/>
      <c r="J45" s="37"/>
      <c r="K45" s="38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</row>
    <row r="46" spans="2:23" x14ac:dyDescent="0.25">
      <c r="B46" s="583" t="s">
        <v>410</v>
      </c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</row>
    <row r="47" spans="2:23" x14ac:dyDescent="0.25">
      <c r="B47" s="583"/>
      <c r="C47" s="37" t="s">
        <v>84</v>
      </c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8"/>
      <c r="S47" s="37"/>
      <c r="T47" s="37"/>
      <c r="U47" s="37"/>
      <c r="V47" s="37"/>
      <c r="W47" s="37"/>
    </row>
    <row r="48" spans="2:23" x14ac:dyDescent="0.25">
      <c r="B48" s="587" t="s">
        <v>374</v>
      </c>
      <c r="C48" s="37" t="s">
        <v>82</v>
      </c>
      <c r="D48" s="37"/>
      <c r="E48" s="37"/>
      <c r="F48" s="37"/>
      <c r="G48" s="37"/>
      <c r="H48" s="37"/>
      <c r="I48" s="38"/>
      <c r="J48" s="37"/>
      <c r="K48" s="37"/>
      <c r="L48" s="37"/>
      <c r="M48" s="38"/>
      <c r="N48" s="37"/>
      <c r="O48" s="37"/>
      <c r="P48" s="37"/>
      <c r="Q48" s="37"/>
      <c r="R48" s="37"/>
      <c r="S48" s="37"/>
      <c r="T48" s="37"/>
      <c r="U48" s="37"/>
      <c r="V48" s="37"/>
      <c r="W48" s="37"/>
    </row>
    <row r="49" spans="1:23" x14ac:dyDescent="0.25">
      <c r="B49" s="588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</row>
    <row r="50" spans="1:23" x14ac:dyDescent="0.25">
      <c r="B50" s="583" t="s">
        <v>375</v>
      </c>
      <c r="C50" s="37" t="s">
        <v>82</v>
      </c>
      <c r="D50" s="37"/>
      <c r="E50" s="37"/>
      <c r="F50" s="37"/>
      <c r="G50" s="37"/>
      <c r="H50" s="37"/>
      <c r="I50" s="38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</row>
    <row r="51" spans="1:23" x14ac:dyDescent="0.25">
      <c r="B51" s="583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</row>
    <row r="52" spans="1:23" x14ac:dyDescent="0.25">
      <c r="B52" s="583" t="s">
        <v>376</v>
      </c>
      <c r="C52" s="37" t="s">
        <v>82</v>
      </c>
      <c r="D52" s="37"/>
      <c r="E52" s="37"/>
      <c r="F52" s="37"/>
      <c r="G52" s="37"/>
      <c r="H52" s="37"/>
      <c r="I52" s="38"/>
      <c r="J52" s="38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</row>
    <row r="53" spans="1:23" x14ac:dyDescent="0.25">
      <c r="B53" s="583"/>
      <c r="C53" s="37" t="s">
        <v>89</v>
      </c>
      <c r="D53" s="37"/>
      <c r="E53" s="37"/>
      <c r="F53" s="37"/>
      <c r="G53" s="37"/>
      <c r="H53" s="37"/>
      <c r="I53" s="37"/>
      <c r="J53" s="38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</row>
    <row r="54" spans="1:23" x14ac:dyDescent="0.25">
      <c r="B54" s="583" t="s">
        <v>384</v>
      </c>
      <c r="C54" s="37" t="s">
        <v>82</v>
      </c>
      <c r="D54" s="37"/>
      <c r="E54" s="37"/>
      <c r="F54" s="37"/>
      <c r="G54" s="37"/>
      <c r="H54" s="37"/>
      <c r="I54" s="37"/>
      <c r="J54" s="38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</row>
    <row r="55" spans="1:23" ht="15.75" thickBot="1" x14ac:dyDescent="0.3">
      <c r="B55" s="583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</row>
    <row r="56" spans="1:23" ht="43.5" customHeight="1" x14ac:dyDescent="0.25">
      <c r="A56" s="580" t="s">
        <v>365</v>
      </c>
      <c r="B56" s="583" t="s">
        <v>385</v>
      </c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</row>
    <row r="57" spans="1:23" x14ac:dyDescent="0.25">
      <c r="A57" s="581"/>
      <c r="B57" s="583"/>
      <c r="C57" s="37" t="s">
        <v>84</v>
      </c>
      <c r="D57" s="37"/>
      <c r="E57" s="37"/>
      <c r="F57" s="37"/>
      <c r="G57" s="37"/>
      <c r="H57" s="37"/>
      <c r="I57" s="37"/>
      <c r="J57" s="38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</row>
    <row r="58" spans="1:23" x14ac:dyDescent="0.25">
      <c r="A58" s="581"/>
      <c r="B58" s="586" t="s">
        <v>377</v>
      </c>
      <c r="C58" s="37" t="s">
        <v>84</v>
      </c>
      <c r="D58" s="37"/>
      <c r="E58" s="37"/>
      <c r="F58" s="37"/>
      <c r="G58" s="37"/>
      <c r="H58" s="37"/>
      <c r="I58" s="37"/>
      <c r="J58" s="38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49"/>
    </row>
    <row r="59" spans="1:23" x14ac:dyDescent="0.25">
      <c r="A59" s="581"/>
      <c r="B59" s="586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</row>
    <row r="60" spans="1:23" x14ac:dyDescent="0.25">
      <c r="A60" s="581"/>
      <c r="B60" s="586" t="s">
        <v>412</v>
      </c>
      <c r="C60" s="37" t="s">
        <v>84</v>
      </c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8"/>
      <c r="W60" s="37"/>
    </row>
    <row r="61" spans="1:23" x14ac:dyDescent="0.25">
      <c r="A61" s="581"/>
      <c r="B61" s="586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</row>
    <row r="62" spans="1:23" x14ac:dyDescent="0.25">
      <c r="A62" s="581"/>
      <c r="B62" s="586" t="s">
        <v>411</v>
      </c>
      <c r="C62" s="37" t="s">
        <v>84</v>
      </c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8"/>
      <c r="S62" s="38"/>
      <c r="T62" s="38"/>
      <c r="U62" s="37"/>
      <c r="V62" s="37"/>
      <c r="W62" s="38"/>
    </row>
    <row r="63" spans="1:23" x14ac:dyDescent="0.25">
      <c r="A63" s="581"/>
      <c r="B63" s="586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</row>
    <row r="64" spans="1:23" x14ac:dyDescent="0.25">
      <c r="A64" s="581"/>
      <c r="B64" s="584" t="s">
        <v>378</v>
      </c>
      <c r="C64" s="37" t="s">
        <v>84</v>
      </c>
      <c r="D64" s="37"/>
      <c r="E64" s="37"/>
      <c r="F64" s="37"/>
      <c r="G64" s="37"/>
      <c r="H64" s="37"/>
      <c r="I64" s="37"/>
      <c r="J64" s="38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49"/>
    </row>
    <row r="65" spans="1:23" x14ac:dyDescent="0.25">
      <c r="A65" s="581"/>
      <c r="B65" s="585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</row>
    <row r="66" spans="1:23" x14ac:dyDescent="0.25">
      <c r="A66" s="581"/>
      <c r="B66" s="584" t="s">
        <v>416</v>
      </c>
      <c r="C66" s="37" t="s">
        <v>84</v>
      </c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8"/>
      <c r="T66" s="37"/>
      <c r="U66" s="37"/>
      <c r="V66" s="37"/>
      <c r="W66" s="37"/>
    </row>
    <row r="67" spans="1:23" x14ac:dyDescent="0.25">
      <c r="A67" s="581"/>
      <c r="B67" s="585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</row>
    <row r="68" spans="1:23" x14ac:dyDescent="0.25">
      <c r="A68" s="581"/>
      <c r="B68" s="584" t="s">
        <v>415</v>
      </c>
      <c r="C68" s="37" t="s">
        <v>84</v>
      </c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8"/>
      <c r="W68" s="37"/>
    </row>
    <row r="69" spans="1:23" x14ac:dyDescent="0.25">
      <c r="A69" s="581"/>
      <c r="B69" s="585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</row>
    <row r="70" spans="1:23" x14ac:dyDescent="0.25">
      <c r="A70" s="581"/>
      <c r="B70" s="584" t="s">
        <v>414</v>
      </c>
      <c r="C70" s="37" t="s">
        <v>84</v>
      </c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8"/>
      <c r="S70" s="37"/>
      <c r="T70" s="37"/>
      <c r="U70" s="37"/>
      <c r="V70" s="37"/>
      <c r="W70" s="37"/>
    </row>
    <row r="71" spans="1:23" ht="15.75" thickBot="1" x14ac:dyDescent="0.3">
      <c r="A71" s="582"/>
      <c r="B71" s="585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</row>
    <row r="72" spans="1:23" x14ac:dyDescent="0.25">
      <c r="B72" s="584" t="s">
        <v>413</v>
      </c>
      <c r="C72" s="37" t="s">
        <v>84</v>
      </c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8"/>
      <c r="U72" s="37"/>
      <c r="V72" s="37"/>
      <c r="W72" s="38"/>
    </row>
    <row r="73" spans="1:23" x14ac:dyDescent="0.25">
      <c r="B73" s="585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</row>
    <row r="74" spans="1:23" x14ac:dyDescent="0.25">
      <c r="B74" s="583" t="s">
        <v>394</v>
      </c>
      <c r="C74" s="37" t="s">
        <v>82</v>
      </c>
      <c r="D74" s="37"/>
      <c r="E74" s="37"/>
      <c r="F74" s="37"/>
      <c r="G74" s="37"/>
      <c r="H74" s="37"/>
      <c r="I74" s="37"/>
      <c r="J74" s="37"/>
      <c r="K74" s="38"/>
      <c r="L74" s="38"/>
      <c r="M74" s="37"/>
      <c r="N74" s="37"/>
      <c r="O74" s="37"/>
      <c r="P74" s="37"/>
      <c r="Q74" s="38"/>
      <c r="R74" s="37"/>
      <c r="S74" s="37"/>
      <c r="T74" s="37"/>
      <c r="U74" s="37"/>
      <c r="V74" s="37"/>
      <c r="W74" s="38"/>
    </row>
    <row r="75" spans="1:23" x14ac:dyDescent="0.25">
      <c r="B75" s="583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</row>
    <row r="76" spans="1:23" s="36" customFormat="1" x14ac:dyDescent="0.25">
      <c r="B76" s="583" t="s">
        <v>393</v>
      </c>
      <c r="C76" s="37" t="s">
        <v>82</v>
      </c>
      <c r="D76" s="37"/>
      <c r="E76" s="37"/>
      <c r="F76" s="37"/>
      <c r="G76" s="38"/>
      <c r="H76" s="38"/>
      <c r="I76" s="37"/>
      <c r="J76" s="38"/>
      <c r="K76" s="37"/>
      <c r="L76" s="37"/>
      <c r="M76" s="38"/>
      <c r="N76" s="37"/>
      <c r="O76" s="37"/>
      <c r="P76" s="37"/>
      <c r="Q76" s="37"/>
      <c r="R76" s="37"/>
      <c r="S76" s="37"/>
      <c r="T76" s="37"/>
      <c r="U76" s="37"/>
      <c r="V76" s="37"/>
      <c r="W76" s="37"/>
    </row>
    <row r="77" spans="1:23" x14ac:dyDescent="0.25">
      <c r="B77" s="583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</row>
    <row r="78" spans="1:23" x14ac:dyDescent="0.25">
      <c r="B78" s="583" t="s">
        <v>379</v>
      </c>
      <c r="C78" s="47" t="s">
        <v>82</v>
      </c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8"/>
      <c r="T78" s="48"/>
      <c r="U78" s="48"/>
      <c r="V78" s="48"/>
      <c r="W78" s="47"/>
    </row>
    <row r="79" spans="1:23" x14ac:dyDescent="0.25">
      <c r="B79" s="583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</row>
    <row r="80" spans="1:23" x14ac:dyDescent="0.25">
      <c r="B80" s="583" t="s">
        <v>380</v>
      </c>
      <c r="C80" s="37" t="s">
        <v>82</v>
      </c>
      <c r="D80" s="37"/>
      <c r="E80" s="37"/>
      <c r="F80" s="37"/>
      <c r="G80" s="37"/>
      <c r="H80" s="37"/>
      <c r="I80" s="37"/>
      <c r="J80" s="37"/>
      <c r="K80" s="38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8"/>
      <c r="W80" s="37"/>
    </row>
    <row r="81" spans="2:23" x14ac:dyDescent="0.25">
      <c r="B81" s="583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</row>
    <row r="82" spans="2:23" x14ac:dyDescent="0.25">
      <c r="B82" s="583" t="s">
        <v>395</v>
      </c>
      <c r="C82" s="37" t="s">
        <v>82</v>
      </c>
      <c r="D82" s="37"/>
      <c r="E82" s="37"/>
      <c r="F82" s="37"/>
      <c r="G82" s="38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</row>
    <row r="83" spans="2:23" x14ac:dyDescent="0.25">
      <c r="B83" s="583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</row>
    <row r="84" spans="2:23" x14ac:dyDescent="0.25">
      <c r="B84" s="583" t="s">
        <v>399</v>
      </c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</row>
    <row r="85" spans="2:23" x14ac:dyDescent="0.25">
      <c r="B85" s="583"/>
      <c r="C85" s="37" t="s">
        <v>84</v>
      </c>
      <c r="D85" s="37"/>
      <c r="E85" s="37"/>
      <c r="F85" s="37"/>
      <c r="G85" s="37"/>
      <c r="H85" s="37"/>
      <c r="I85" s="37"/>
      <c r="J85" s="37"/>
      <c r="K85" s="37"/>
      <c r="L85" s="38"/>
      <c r="M85" s="37"/>
      <c r="N85" s="37"/>
      <c r="O85" s="37"/>
      <c r="P85" s="37"/>
      <c r="Q85" s="38"/>
      <c r="R85" s="37"/>
      <c r="S85" s="37"/>
      <c r="T85" s="37"/>
      <c r="U85" s="37"/>
      <c r="V85" s="37"/>
      <c r="W85" s="37"/>
    </row>
    <row r="86" spans="2:23" x14ac:dyDescent="0.25">
      <c r="B86" s="583" t="s">
        <v>381</v>
      </c>
      <c r="C86" s="37" t="s">
        <v>82</v>
      </c>
      <c r="D86" s="37"/>
      <c r="E86" s="37"/>
      <c r="F86" s="37"/>
      <c r="G86" s="37"/>
      <c r="H86" s="37"/>
      <c r="I86" s="37"/>
      <c r="J86" s="37"/>
      <c r="K86" s="37"/>
      <c r="L86" s="38"/>
      <c r="M86" s="37"/>
      <c r="N86" s="37"/>
      <c r="O86" s="37"/>
      <c r="P86" s="37"/>
      <c r="Q86" s="38"/>
      <c r="R86" s="37"/>
      <c r="S86" s="37"/>
      <c r="T86" s="37"/>
      <c r="U86" s="37"/>
      <c r="V86" s="37"/>
      <c r="W86" s="37"/>
    </row>
    <row r="87" spans="2:23" x14ac:dyDescent="0.25">
      <c r="B87" s="583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</row>
    <row r="88" spans="2:23" x14ac:dyDescent="0.25">
      <c r="B88" s="583" t="s">
        <v>403</v>
      </c>
      <c r="C88" s="37" t="s">
        <v>82</v>
      </c>
      <c r="D88" s="37"/>
      <c r="E88" s="37"/>
      <c r="F88" s="37"/>
      <c r="G88" s="37"/>
      <c r="H88" s="37"/>
      <c r="I88" s="37"/>
      <c r="J88" s="37"/>
      <c r="K88" s="38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</row>
    <row r="89" spans="2:23" x14ac:dyDescent="0.25">
      <c r="B89" s="583"/>
      <c r="C89" s="37" t="s">
        <v>84</v>
      </c>
      <c r="D89" s="37"/>
      <c r="E89" s="37"/>
      <c r="F89" s="37"/>
      <c r="G89" s="37"/>
      <c r="H89" s="37"/>
      <c r="I89" s="37"/>
      <c r="J89" s="37"/>
      <c r="K89" s="38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</row>
    <row r="90" spans="2:23" x14ac:dyDescent="0.25">
      <c r="B90" s="583" t="s">
        <v>382</v>
      </c>
      <c r="C90" s="37" t="s">
        <v>82</v>
      </c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8"/>
      <c r="T90" s="37"/>
      <c r="U90" s="37"/>
      <c r="V90" s="37"/>
      <c r="W90" s="37"/>
    </row>
    <row r="91" spans="2:23" x14ac:dyDescent="0.25">
      <c r="B91" s="583"/>
      <c r="C91" s="37" t="s">
        <v>84</v>
      </c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8"/>
      <c r="T91" s="37"/>
      <c r="U91" s="37"/>
      <c r="V91" s="37"/>
      <c r="W91" s="37"/>
    </row>
    <row r="92" spans="2:23" x14ac:dyDescent="0.25">
      <c r="B92" s="583" t="s">
        <v>383</v>
      </c>
      <c r="C92" s="37" t="s">
        <v>82</v>
      </c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8"/>
      <c r="S92" s="37"/>
      <c r="T92" s="37"/>
      <c r="U92" s="37"/>
      <c r="V92" s="37"/>
      <c r="W92" s="37"/>
    </row>
    <row r="93" spans="2:23" x14ac:dyDescent="0.25">
      <c r="B93" s="583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</row>
    <row r="94" spans="2:23" x14ac:dyDescent="0.25">
      <c r="B94" s="583" t="s">
        <v>396</v>
      </c>
      <c r="C94" s="37" t="s">
        <v>82</v>
      </c>
      <c r="D94" s="37"/>
      <c r="E94" s="37"/>
      <c r="F94" s="37"/>
      <c r="G94" s="37"/>
      <c r="H94" s="37"/>
      <c r="I94" s="37"/>
      <c r="J94" s="38"/>
      <c r="K94" s="37"/>
      <c r="L94" s="37"/>
      <c r="M94" s="37"/>
      <c r="N94" s="37"/>
      <c r="O94" s="37"/>
      <c r="P94" s="38"/>
      <c r="Q94" s="37"/>
      <c r="R94" s="37"/>
      <c r="S94" s="37"/>
      <c r="T94" s="37"/>
      <c r="U94" s="37"/>
      <c r="V94" s="37"/>
      <c r="W94" s="37"/>
    </row>
    <row r="95" spans="2:23" x14ac:dyDescent="0.25">
      <c r="B95" s="583"/>
      <c r="C95" s="37" t="s">
        <v>84</v>
      </c>
      <c r="D95" s="37"/>
      <c r="E95" s="37"/>
      <c r="F95" s="37"/>
      <c r="G95" s="37"/>
      <c r="H95" s="38"/>
      <c r="I95" s="37"/>
      <c r="J95" s="38"/>
      <c r="K95" s="37"/>
      <c r="L95" s="37"/>
      <c r="M95" s="37"/>
      <c r="N95" s="37"/>
      <c r="O95" s="37"/>
      <c r="P95" s="38"/>
      <c r="Q95" s="37"/>
      <c r="R95" s="37"/>
      <c r="S95" s="37"/>
      <c r="T95" s="37"/>
      <c r="U95" s="37"/>
      <c r="V95" s="37"/>
      <c r="W95" s="37"/>
    </row>
    <row r="96" spans="2:23" x14ac:dyDescent="0.25">
      <c r="B96" s="583" t="s">
        <v>386</v>
      </c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</row>
    <row r="97" spans="2:23" x14ac:dyDescent="0.25">
      <c r="B97" s="583"/>
      <c r="C97" s="37" t="s">
        <v>84</v>
      </c>
      <c r="D97" s="37"/>
      <c r="E97" s="37"/>
      <c r="F97" s="37"/>
      <c r="G97" s="37"/>
      <c r="H97" s="37"/>
      <c r="I97" s="37"/>
      <c r="J97" s="38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</row>
    <row r="98" spans="2:23" x14ac:dyDescent="0.25">
      <c r="B98" s="583" t="s">
        <v>400</v>
      </c>
      <c r="C98" s="37" t="s">
        <v>82</v>
      </c>
      <c r="D98" s="37"/>
      <c r="E98" s="37"/>
      <c r="F98" s="38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</row>
    <row r="99" spans="2:23" x14ac:dyDescent="0.25">
      <c r="B99" s="583"/>
      <c r="C99" s="37" t="s">
        <v>84</v>
      </c>
      <c r="D99" s="37"/>
      <c r="E99" s="37"/>
      <c r="F99" s="38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</row>
  </sheetData>
  <mergeCells count="50">
    <mergeCell ref="D2:W2"/>
    <mergeCell ref="B20:B21"/>
    <mergeCell ref="B14:B15"/>
    <mergeCell ref="B2:B3"/>
    <mergeCell ref="C2:C3"/>
    <mergeCell ref="B8:B9"/>
    <mergeCell ref="B10:B11"/>
    <mergeCell ref="B12:B13"/>
    <mergeCell ref="B4:B5"/>
    <mergeCell ref="B6:B7"/>
    <mergeCell ref="B28:B29"/>
    <mergeCell ref="B22:B23"/>
    <mergeCell ref="B24:B25"/>
    <mergeCell ref="B30:B31"/>
    <mergeCell ref="B60:B61"/>
    <mergeCell ref="B54:B55"/>
    <mergeCell ref="B56:B57"/>
    <mergeCell ref="B36:B37"/>
    <mergeCell ref="B26:B27"/>
    <mergeCell ref="B70:B71"/>
    <mergeCell ref="B66:B67"/>
    <mergeCell ref="B68:B69"/>
    <mergeCell ref="B32:B33"/>
    <mergeCell ref="B34:B35"/>
    <mergeCell ref="B62:B63"/>
    <mergeCell ref="B58:B59"/>
    <mergeCell ref="B38:B39"/>
    <mergeCell ref="B40:B41"/>
    <mergeCell ref="B48:B49"/>
    <mergeCell ref="B50:B51"/>
    <mergeCell ref="B52:B53"/>
    <mergeCell ref="B42:B43"/>
    <mergeCell ref="B44:B45"/>
    <mergeCell ref="B46:B47"/>
    <mergeCell ref="A56:A71"/>
    <mergeCell ref="B96:B97"/>
    <mergeCell ref="B98:B99"/>
    <mergeCell ref="B76:B77"/>
    <mergeCell ref="B82:B83"/>
    <mergeCell ref="B94:B95"/>
    <mergeCell ref="B84:B85"/>
    <mergeCell ref="B92:B93"/>
    <mergeCell ref="B86:B87"/>
    <mergeCell ref="B88:B89"/>
    <mergeCell ref="B90:B91"/>
    <mergeCell ref="B64:B65"/>
    <mergeCell ref="B74:B75"/>
    <mergeCell ref="B78:B79"/>
    <mergeCell ref="B80:B81"/>
    <mergeCell ref="B72:B7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114"/>
  <sheetViews>
    <sheetView workbookViewId="0">
      <selection activeCell="B2" sqref="B2"/>
    </sheetView>
  </sheetViews>
  <sheetFormatPr defaultRowHeight="15" x14ac:dyDescent="0.25"/>
  <cols>
    <col min="1" max="1" width="21" bestFit="1" customWidth="1"/>
    <col min="2" max="2" width="17.85546875" bestFit="1" customWidth="1"/>
    <col min="3" max="3" width="4.85546875" customWidth="1"/>
    <col min="4" max="4" width="5.42578125" customWidth="1"/>
    <col min="5" max="5" width="3.85546875" customWidth="1"/>
    <col min="6" max="6" width="4.28515625" bestFit="1" customWidth="1"/>
    <col min="7" max="7" width="6" bestFit="1" customWidth="1"/>
    <col min="8" max="8" width="5.140625" bestFit="1" customWidth="1"/>
    <col min="9" max="9" width="4.42578125" bestFit="1" customWidth="1"/>
    <col min="10" max="10" width="4.5703125" bestFit="1" customWidth="1"/>
    <col min="11" max="11" width="6.5703125" bestFit="1" customWidth="1"/>
    <col min="12" max="13" width="4.5703125" bestFit="1" customWidth="1"/>
    <col min="14" max="14" width="8.7109375" bestFit="1" customWidth="1"/>
    <col min="15" max="15" width="5.140625" bestFit="1" customWidth="1"/>
    <col min="16" max="16" width="11.28515625" bestFit="1" customWidth="1"/>
    <col min="17" max="17" width="6.5703125" bestFit="1" customWidth="1"/>
    <col min="18" max="18" width="4.5703125" bestFit="1" customWidth="1"/>
    <col min="19" max="19" width="7.7109375" bestFit="1" customWidth="1"/>
    <col min="20" max="20" width="4.5703125" bestFit="1" customWidth="1"/>
    <col min="21" max="22" width="11.28515625" bestFit="1" customWidth="1"/>
  </cols>
  <sheetData>
    <row r="1" spans="1:16" x14ac:dyDescent="0.25">
      <c r="A1" s="26" t="s">
        <v>8</v>
      </c>
      <c r="B1" s="62" t="s">
        <v>172</v>
      </c>
    </row>
    <row r="2" spans="1:16" x14ac:dyDescent="0.25">
      <c r="A2" s="26" t="s">
        <v>329</v>
      </c>
      <c r="B2" s="62" t="s">
        <v>277</v>
      </c>
    </row>
    <row r="4" spans="1:16" x14ac:dyDescent="0.25">
      <c r="A4" s="26" t="s">
        <v>328</v>
      </c>
      <c r="B4" s="26" t="s">
        <v>189</v>
      </c>
    </row>
    <row r="5" spans="1:16" x14ac:dyDescent="0.25">
      <c r="A5" s="26" t="s">
        <v>101</v>
      </c>
      <c r="B5" s="62" t="s">
        <v>166</v>
      </c>
      <c r="C5" s="62" t="s">
        <v>115</v>
      </c>
      <c r="D5" s="62" t="s">
        <v>136</v>
      </c>
      <c r="E5" s="62" t="s">
        <v>280</v>
      </c>
      <c r="F5" s="62" t="s">
        <v>76</v>
      </c>
      <c r="G5" s="62" t="s">
        <v>28</v>
      </c>
      <c r="H5" s="62" t="s">
        <v>103</v>
      </c>
      <c r="I5" s="62" t="s">
        <v>10</v>
      </c>
      <c r="J5" s="62" t="s">
        <v>330</v>
      </c>
      <c r="K5" s="62" t="s">
        <v>316</v>
      </c>
      <c r="L5" s="62" t="s">
        <v>348</v>
      </c>
      <c r="M5" s="62" t="s">
        <v>1685</v>
      </c>
      <c r="N5" s="62" t="s">
        <v>1745</v>
      </c>
      <c r="O5" s="62" t="s">
        <v>2091</v>
      </c>
      <c r="P5" s="62" t="s">
        <v>100</v>
      </c>
    </row>
    <row r="6" spans="1:16" x14ac:dyDescent="0.25">
      <c r="A6" s="8" t="s">
        <v>83</v>
      </c>
      <c r="B6" s="27">
        <v>33</v>
      </c>
      <c r="C6" s="27">
        <v>14</v>
      </c>
      <c r="D6" s="27">
        <v>15</v>
      </c>
      <c r="E6" s="27">
        <v>5</v>
      </c>
      <c r="F6" s="27"/>
      <c r="G6" s="27">
        <v>1</v>
      </c>
      <c r="H6" s="27">
        <v>1</v>
      </c>
      <c r="I6" s="27">
        <v>1</v>
      </c>
      <c r="J6" s="27"/>
      <c r="K6" s="27">
        <v>1</v>
      </c>
      <c r="L6" s="27"/>
      <c r="M6" s="27">
        <v>1</v>
      </c>
      <c r="N6" s="27"/>
      <c r="O6" s="27">
        <v>1</v>
      </c>
      <c r="P6" s="27">
        <v>73</v>
      </c>
    </row>
    <row r="7" spans="1:16" x14ac:dyDescent="0.25">
      <c r="A7" s="41" t="s">
        <v>803</v>
      </c>
      <c r="B7" s="27"/>
      <c r="C7" s="27"/>
      <c r="D7" s="27">
        <v>4</v>
      </c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>
        <v>4</v>
      </c>
    </row>
    <row r="8" spans="1:16" x14ac:dyDescent="0.25">
      <c r="A8" s="41" t="s">
        <v>804</v>
      </c>
      <c r="B8" s="27"/>
      <c r="C8" s="27"/>
      <c r="D8" s="27">
        <v>3</v>
      </c>
      <c r="E8" s="27"/>
      <c r="F8" s="27"/>
      <c r="G8" s="27"/>
      <c r="H8" s="27"/>
      <c r="I8" s="27">
        <v>1</v>
      </c>
      <c r="J8" s="27"/>
      <c r="K8" s="27"/>
      <c r="L8" s="27"/>
      <c r="M8" s="27"/>
      <c r="N8" s="27"/>
      <c r="O8" s="27"/>
      <c r="P8" s="27">
        <v>4</v>
      </c>
    </row>
    <row r="9" spans="1:16" x14ac:dyDescent="0.25">
      <c r="A9" s="41" t="s">
        <v>902</v>
      </c>
      <c r="B9" s="27"/>
      <c r="C9" s="27"/>
      <c r="D9" s="27">
        <v>2</v>
      </c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>
        <v>2</v>
      </c>
    </row>
    <row r="10" spans="1:16" x14ac:dyDescent="0.25">
      <c r="A10" s="41" t="s">
        <v>904</v>
      </c>
      <c r="B10" s="27">
        <v>1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>
        <v>1</v>
      </c>
    </row>
    <row r="11" spans="1:16" x14ac:dyDescent="0.25">
      <c r="A11" s="41" t="s">
        <v>905</v>
      </c>
      <c r="B11" s="27">
        <v>1</v>
      </c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>
        <v>1</v>
      </c>
    </row>
    <row r="12" spans="1:16" x14ac:dyDescent="0.25">
      <c r="A12" s="41" t="s">
        <v>1322</v>
      </c>
      <c r="B12" s="27"/>
      <c r="C12" s="27"/>
      <c r="D12" s="27">
        <v>1</v>
      </c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>
        <v>1</v>
      </c>
    </row>
    <row r="13" spans="1:16" x14ac:dyDescent="0.25">
      <c r="A13" s="41" t="s">
        <v>1318</v>
      </c>
      <c r="B13" s="27"/>
      <c r="C13" s="27"/>
      <c r="D13" s="27"/>
      <c r="E13" s="27">
        <v>2</v>
      </c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>
        <v>2</v>
      </c>
    </row>
    <row r="14" spans="1:16" x14ac:dyDescent="0.25">
      <c r="A14" s="41" t="s">
        <v>1319</v>
      </c>
      <c r="B14" s="27"/>
      <c r="C14" s="27"/>
      <c r="D14" s="27"/>
      <c r="E14" s="27">
        <v>1</v>
      </c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>
        <v>1</v>
      </c>
    </row>
    <row r="15" spans="1:16" x14ac:dyDescent="0.25">
      <c r="A15" s="41" t="s">
        <v>1437</v>
      </c>
      <c r="B15" s="27"/>
      <c r="C15" s="27"/>
      <c r="D15" s="27">
        <v>1</v>
      </c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>
        <v>1</v>
      </c>
    </row>
    <row r="16" spans="1:16" x14ac:dyDescent="0.25">
      <c r="A16" s="41" t="s">
        <v>1548</v>
      </c>
      <c r="B16" s="27"/>
      <c r="C16" s="27"/>
      <c r="D16" s="27">
        <v>2</v>
      </c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>
        <v>2</v>
      </c>
    </row>
    <row r="17" spans="1:16" x14ac:dyDescent="0.25">
      <c r="A17" s="41" t="s">
        <v>1551</v>
      </c>
      <c r="B17" s="27"/>
      <c r="C17" s="27"/>
      <c r="D17" s="27"/>
      <c r="E17" s="27">
        <v>1</v>
      </c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>
        <v>1</v>
      </c>
    </row>
    <row r="18" spans="1:16" x14ac:dyDescent="0.25">
      <c r="A18" s="41" t="s">
        <v>1712</v>
      </c>
      <c r="B18" s="27">
        <v>2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>
        <v>2</v>
      </c>
    </row>
    <row r="19" spans="1:16" x14ac:dyDescent="0.25">
      <c r="A19" s="41" t="s">
        <v>1713</v>
      </c>
      <c r="B19" s="27"/>
      <c r="C19" s="27"/>
      <c r="D19" s="27"/>
      <c r="E19" s="27"/>
      <c r="F19" s="27"/>
      <c r="G19" s="27"/>
      <c r="H19" s="27">
        <v>1</v>
      </c>
      <c r="I19" s="27"/>
      <c r="J19" s="27"/>
      <c r="K19" s="27"/>
      <c r="L19" s="27"/>
      <c r="M19" s="27"/>
      <c r="N19" s="27"/>
      <c r="O19" s="27"/>
      <c r="P19" s="27">
        <v>1</v>
      </c>
    </row>
    <row r="20" spans="1:16" x14ac:dyDescent="0.25">
      <c r="A20" s="41" t="s">
        <v>1930</v>
      </c>
      <c r="B20" s="27"/>
      <c r="C20" s="27">
        <v>4</v>
      </c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>
        <v>4</v>
      </c>
    </row>
    <row r="21" spans="1:16" x14ac:dyDescent="0.25">
      <c r="A21" s="41" t="s">
        <v>1931</v>
      </c>
      <c r="B21" s="27"/>
      <c r="C21" s="27">
        <v>3</v>
      </c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>
        <v>3</v>
      </c>
    </row>
    <row r="22" spans="1:16" x14ac:dyDescent="0.25">
      <c r="A22" s="41" t="s">
        <v>1932</v>
      </c>
      <c r="B22" s="27">
        <v>1</v>
      </c>
      <c r="C22" s="27">
        <v>6</v>
      </c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>
        <v>7</v>
      </c>
    </row>
    <row r="23" spans="1:16" x14ac:dyDescent="0.25">
      <c r="A23" s="41" t="s">
        <v>1934</v>
      </c>
      <c r="B23" s="27">
        <v>1</v>
      </c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>
        <v>1</v>
      </c>
    </row>
    <row r="24" spans="1:16" x14ac:dyDescent="0.25">
      <c r="A24" s="41" t="s">
        <v>1936</v>
      </c>
      <c r="B24" s="27">
        <v>1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>
        <v>1</v>
      </c>
    </row>
    <row r="25" spans="1:16" x14ac:dyDescent="0.25">
      <c r="A25" s="41" t="s">
        <v>2027</v>
      </c>
      <c r="B25" s="27">
        <v>1</v>
      </c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>
        <v>1</v>
      </c>
      <c r="N25" s="27"/>
      <c r="O25" s="27"/>
      <c r="P25" s="27">
        <v>2</v>
      </c>
    </row>
    <row r="26" spans="1:16" x14ac:dyDescent="0.25">
      <c r="A26" s="41" t="s">
        <v>2197</v>
      </c>
      <c r="B26" s="27">
        <v>1</v>
      </c>
      <c r="C26" s="27"/>
      <c r="D26" s="27"/>
      <c r="E26" s="27">
        <v>1</v>
      </c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>
        <v>2</v>
      </c>
    </row>
    <row r="27" spans="1:16" x14ac:dyDescent="0.25">
      <c r="A27" s="41" t="s">
        <v>2198</v>
      </c>
      <c r="B27" s="27">
        <v>1</v>
      </c>
      <c r="C27" s="27"/>
      <c r="D27" s="27">
        <v>1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>
        <v>1</v>
      </c>
      <c r="P27" s="27">
        <v>3</v>
      </c>
    </row>
    <row r="28" spans="1:16" x14ac:dyDescent="0.25">
      <c r="A28" s="41" t="s">
        <v>2201</v>
      </c>
      <c r="B28" s="27"/>
      <c r="C28" s="27"/>
      <c r="D28" s="27"/>
      <c r="E28" s="27"/>
      <c r="F28" s="27"/>
      <c r="G28" s="27"/>
      <c r="H28" s="27"/>
      <c r="I28" s="27"/>
      <c r="J28" s="27"/>
      <c r="K28" s="27">
        <v>1</v>
      </c>
      <c r="L28" s="27"/>
      <c r="M28" s="27"/>
      <c r="N28" s="27"/>
      <c r="O28" s="27"/>
      <c r="P28" s="27">
        <v>1</v>
      </c>
    </row>
    <row r="29" spans="1:16" x14ac:dyDescent="0.25">
      <c r="A29" s="41" t="s">
        <v>2748</v>
      </c>
      <c r="B29" s="27">
        <v>1</v>
      </c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>
        <v>1</v>
      </c>
    </row>
    <row r="30" spans="1:16" x14ac:dyDescent="0.25">
      <c r="A30" s="41" t="s">
        <v>2749</v>
      </c>
      <c r="B30" s="27">
        <v>1</v>
      </c>
      <c r="C30" s="27"/>
      <c r="D30" s="27"/>
      <c r="E30" s="27"/>
      <c r="F30" s="27"/>
      <c r="G30" s="27">
        <v>1</v>
      </c>
      <c r="H30" s="27"/>
      <c r="I30" s="27"/>
      <c r="J30" s="27"/>
      <c r="K30" s="27"/>
      <c r="L30" s="27"/>
      <c r="M30" s="27"/>
      <c r="N30" s="27"/>
      <c r="O30" s="27"/>
      <c r="P30" s="27">
        <v>2</v>
      </c>
    </row>
    <row r="31" spans="1:16" x14ac:dyDescent="0.25">
      <c r="A31" s="41" t="s">
        <v>2750</v>
      </c>
      <c r="B31" s="27">
        <v>1</v>
      </c>
      <c r="C31" s="27">
        <v>1</v>
      </c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>
        <v>2</v>
      </c>
    </row>
    <row r="32" spans="1:16" x14ac:dyDescent="0.25">
      <c r="A32" s="41" t="s">
        <v>2751</v>
      </c>
      <c r="B32" s="27">
        <v>1</v>
      </c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>
        <v>1</v>
      </c>
    </row>
    <row r="33" spans="1:16" x14ac:dyDescent="0.25">
      <c r="A33" s="41" t="s">
        <v>2752</v>
      </c>
      <c r="B33" s="27">
        <v>2</v>
      </c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>
        <v>2</v>
      </c>
    </row>
    <row r="34" spans="1:16" x14ac:dyDescent="0.25">
      <c r="A34" s="41" t="s">
        <v>2753</v>
      </c>
      <c r="B34" s="27">
        <v>1</v>
      </c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>
        <v>1</v>
      </c>
    </row>
    <row r="35" spans="1:16" x14ac:dyDescent="0.25">
      <c r="A35" s="41" t="s">
        <v>2754</v>
      </c>
      <c r="B35" s="27">
        <v>2</v>
      </c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>
        <v>2</v>
      </c>
    </row>
    <row r="36" spans="1:16" x14ac:dyDescent="0.25">
      <c r="A36" s="41" t="s">
        <v>2755</v>
      </c>
      <c r="B36" s="27">
        <v>2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>
        <v>2</v>
      </c>
    </row>
    <row r="37" spans="1:16" x14ac:dyDescent="0.25">
      <c r="A37" s="41" t="s">
        <v>2756</v>
      </c>
      <c r="B37" s="27">
        <v>1</v>
      </c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>
        <v>1</v>
      </c>
    </row>
    <row r="38" spans="1:16" x14ac:dyDescent="0.25">
      <c r="A38" s="41" t="s">
        <v>2757</v>
      </c>
      <c r="B38" s="27">
        <v>3</v>
      </c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>
        <v>3</v>
      </c>
    </row>
    <row r="39" spans="1:16" x14ac:dyDescent="0.25">
      <c r="A39" s="41" t="s">
        <v>2758</v>
      </c>
      <c r="B39" s="27">
        <v>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>
        <v>4</v>
      </c>
    </row>
    <row r="40" spans="1:16" x14ac:dyDescent="0.25">
      <c r="A40" s="41" t="s">
        <v>2759</v>
      </c>
      <c r="B40" s="27"/>
      <c r="C40" s="27"/>
      <c r="D40" s="27">
        <v>1</v>
      </c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>
        <v>1</v>
      </c>
    </row>
    <row r="41" spans="1:16" x14ac:dyDescent="0.25">
      <c r="A41" s="41" t="s">
        <v>2760</v>
      </c>
      <c r="B41" s="27">
        <v>1</v>
      </c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>
        <v>1</v>
      </c>
    </row>
    <row r="42" spans="1:16" x14ac:dyDescent="0.25">
      <c r="A42" s="41" t="s">
        <v>2791</v>
      </c>
      <c r="B42" s="27">
        <v>2</v>
      </c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>
        <v>2</v>
      </c>
    </row>
    <row r="43" spans="1:16" x14ac:dyDescent="0.25">
      <c r="A43" s="41" t="s">
        <v>2792</v>
      </c>
      <c r="B43" s="27">
        <v>1</v>
      </c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>
        <v>1</v>
      </c>
    </row>
    <row r="44" spans="1:16" x14ac:dyDescent="0.25">
      <c r="A44" s="8" t="s">
        <v>79</v>
      </c>
      <c r="B44" s="27">
        <v>28</v>
      </c>
      <c r="C44" s="27">
        <v>13</v>
      </c>
      <c r="D44" s="27">
        <v>53</v>
      </c>
      <c r="E44" s="27">
        <v>57</v>
      </c>
      <c r="F44" s="27">
        <v>4</v>
      </c>
      <c r="G44" s="27">
        <v>16</v>
      </c>
      <c r="H44" s="27">
        <v>22</v>
      </c>
      <c r="I44" s="27"/>
      <c r="J44" s="27">
        <v>3</v>
      </c>
      <c r="K44" s="27">
        <v>9</v>
      </c>
      <c r="L44" s="27">
        <v>11</v>
      </c>
      <c r="M44" s="27">
        <v>2</v>
      </c>
      <c r="N44" s="27">
        <v>8</v>
      </c>
      <c r="O44" s="27">
        <v>1</v>
      </c>
      <c r="P44" s="27">
        <v>227</v>
      </c>
    </row>
    <row r="45" spans="1:16" x14ac:dyDescent="0.25">
      <c r="A45" s="41" t="s">
        <v>805</v>
      </c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>
        <v>4</v>
      </c>
      <c r="M45" s="27"/>
      <c r="N45" s="27"/>
      <c r="O45" s="27"/>
      <c r="P45" s="27">
        <v>4</v>
      </c>
    </row>
    <row r="46" spans="1:16" x14ac:dyDescent="0.25">
      <c r="A46" s="41" t="s">
        <v>806</v>
      </c>
      <c r="B46" s="27"/>
      <c r="C46" s="27"/>
      <c r="D46" s="27"/>
      <c r="E46" s="27">
        <v>2</v>
      </c>
      <c r="F46" s="27"/>
      <c r="G46" s="27">
        <v>1</v>
      </c>
      <c r="H46" s="27">
        <v>1</v>
      </c>
      <c r="I46" s="27"/>
      <c r="J46" s="27"/>
      <c r="K46" s="27"/>
      <c r="L46" s="27">
        <v>2</v>
      </c>
      <c r="M46" s="27"/>
      <c r="N46" s="27"/>
      <c r="O46" s="27"/>
      <c r="P46" s="27">
        <v>6</v>
      </c>
    </row>
    <row r="47" spans="1:16" x14ac:dyDescent="0.25">
      <c r="A47" s="41" t="s">
        <v>807</v>
      </c>
      <c r="B47" s="27">
        <v>1</v>
      </c>
      <c r="C47" s="27"/>
      <c r="D47" s="27"/>
      <c r="E47" s="27">
        <v>1</v>
      </c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>
        <v>2</v>
      </c>
    </row>
    <row r="48" spans="1:16" x14ac:dyDescent="0.25">
      <c r="A48" s="41" t="s">
        <v>808</v>
      </c>
      <c r="B48" s="27">
        <v>1</v>
      </c>
      <c r="C48" s="27"/>
      <c r="D48" s="27">
        <v>2</v>
      </c>
      <c r="E48" s="27">
        <v>4</v>
      </c>
      <c r="F48" s="27"/>
      <c r="G48" s="27"/>
      <c r="H48" s="27">
        <v>1</v>
      </c>
      <c r="I48" s="27"/>
      <c r="J48" s="27"/>
      <c r="K48" s="27"/>
      <c r="L48" s="27">
        <v>1</v>
      </c>
      <c r="M48" s="27"/>
      <c r="N48" s="27"/>
      <c r="O48" s="27"/>
      <c r="P48" s="27">
        <v>9</v>
      </c>
    </row>
    <row r="49" spans="1:16" x14ac:dyDescent="0.25">
      <c r="A49" s="41" t="s">
        <v>803</v>
      </c>
      <c r="B49" s="27"/>
      <c r="C49" s="27"/>
      <c r="D49" s="27"/>
      <c r="E49" s="27">
        <v>1</v>
      </c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>
        <v>1</v>
      </c>
    </row>
    <row r="50" spans="1:16" x14ac:dyDescent="0.25">
      <c r="A50" s="41" t="s">
        <v>809</v>
      </c>
      <c r="B50" s="27"/>
      <c r="C50" s="27"/>
      <c r="D50" s="27"/>
      <c r="E50" s="27"/>
      <c r="F50" s="27"/>
      <c r="G50" s="27">
        <v>1</v>
      </c>
      <c r="H50" s="27"/>
      <c r="I50" s="27"/>
      <c r="J50" s="27"/>
      <c r="K50" s="27"/>
      <c r="L50" s="27"/>
      <c r="M50" s="27"/>
      <c r="N50" s="27"/>
      <c r="O50" s="27"/>
      <c r="P50" s="27">
        <v>1</v>
      </c>
    </row>
    <row r="51" spans="1:16" x14ac:dyDescent="0.25">
      <c r="A51" s="41" t="s">
        <v>804</v>
      </c>
      <c r="B51" s="27">
        <v>2</v>
      </c>
      <c r="C51" s="27"/>
      <c r="D51" s="27">
        <v>5</v>
      </c>
      <c r="E51" s="27">
        <v>2</v>
      </c>
      <c r="F51" s="27"/>
      <c r="G51" s="27"/>
      <c r="H51" s="27"/>
      <c r="I51" s="27"/>
      <c r="J51" s="27"/>
      <c r="K51" s="27"/>
      <c r="L51" s="27">
        <v>1</v>
      </c>
      <c r="M51" s="27"/>
      <c r="N51" s="27"/>
      <c r="O51" s="27"/>
      <c r="P51" s="27">
        <v>10</v>
      </c>
    </row>
    <row r="52" spans="1:16" x14ac:dyDescent="0.25">
      <c r="A52" s="41" t="s">
        <v>810</v>
      </c>
      <c r="B52" s="27"/>
      <c r="C52" s="27"/>
      <c r="D52" s="27">
        <v>1</v>
      </c>
      <c r="E52" s="27"/>
      <c r="F52" s="27"/>
      <c r="G52" s="27"/>
      <c r="H52" s="27">
        <v>1</v>
      </c>
      <c r="I52" s="27"/>
      <c r="J52" s="27"/>
      <c r="K52" s="27"/>
      <c r="L52" s="27"/>
      <c r="M52" s="27"/>
      <c r="N52" s="27"/>
      <c r="O52" s="27"/>
      <c r="P52" s="27">
        <v>2</v>
      </c>
    </row>
    <row r="53" spans="1:16" x14ac:dyDescent="0.25">
      <c r="A53" s="41" t="s">
        <v>903</v>
      </c>
      <c r="B53" s="27"/>
      <c r="C53" s="27"/>
      <c r="D53" s="27"/>
      <c r="E53" s="27">
        <v>1</v>
      </c>
      <c r="F53" s="27"/>
      <c r="G53" s="27"/>
      <c r="H53" s="27">
        <v>1</v>
      </c>
      <c r="I53" s="27"/>
      <c r="J53" s="27"/>
      <c r="K53" s="27"/>
      <c r="L53" s="27"/>
      <c r="M53" s="27"/>
      <c r="N53" s="27"/>
      <c r="O53" s="27"/>
      <c r="P53" s="27">
        <v>2</v>
      </c>
    </row>
    <row r="54" spans="1:16" x14ac:dyDescent="0.25">
      <c r="A54" s="41" t="s">
        <v>904</v>
      </c>
      <c r="B54" s="27">
        <v>2</v>
      </c>
      <c r="C54" s="27">
        <v>2</v>
      </c>
      <c r="D54" s="27">
        <v>2</v>
      </c>
      <c r="E54" s="27">
        <v>1</v>
      </c>
      <c r="F54" s="27"/>
      <c r="G54" s="27">
        <v>1</v>
      </c>
      <c r="H54" s="27">
        <v>2</v>
      </c>
      <c r="I54" s="27"/>
      <c r="J54" s="27"/>
      <c r="K54" s="27"/>
      <c r="L54" s="27"/>
      <c r="M54" s="27"/>
      <c r="N54" s="27"/>
      <c r="O54" s="27"/>
      <c r="P54" s="27">
        <v>10</v>
      </c>
    </row>
    <row r="55" spans="1:16" x14ac:dyDescent="0.25">
      <c r="A55" s="41" t="s">
        <v>905</v>
      </c>
      <c r="B55" s="27">
        <v>1</v>
      </c>
      <c r="C55" s="27"/>
      <c r="D55" s="27"/>
      <c r="E55" s="27">
        <v>4</v>
      </c>
      <c r="F55" s="27"/>
      <c r="G55" s="27">
        <v>1</v>
      </c>
      <c r="H55" s="27"/>
      <c r="I55" s="27"/>
      <c r="J55" s="27"/>
      <c r="K55" s="27"/>
      <c r="L55" s="27"/>
      <c r="M55" s="27"/>
      <c r="N55" s="27"/>
      <c r="O55" s="27"/>
      <c r="P55" s="27">
        <v>6</v>
      </c>
    </row>
    <row r="56" spans="1:16" x14ac:dyDescent="0.25">
      <c r="A56" s="41" t="s">
        <v>1320</v>
      </c>
      <c r="B56" s="27">
        <v>1</v>
      </c>
      <c r="C56" s="27"/>
      <c r="D56" s="27">
        <v>2</v>
      </c>
      <c r="E56" s="27">
        <v>1</v>
      </c>
      <c r="F56" s="27"/>
      <c r="G56" s="27">
        <v>1</v>
      </c>
      <c r="H56" s="27">
        <v>1</v>
      </c>
      <c r="I56" s="27"/>
      <c r="J56" s="27"/>
      <c r="K56" s="27"/>
      <c r="L56" s="27"/>
      <c r="M56" s="27"/>
      <c r="N56" s="27"/>
      <c r="O56" s="27"/>
      <c r="P56" s="27">
        <v>6</v>
      </c>
    </row>
    <row r="57" spans="1:16" x14ac:dyDescent="0.25">
      <c r="A57" s="41" t="s">
        <v>1321</v>
      </c>
      <c r="B57" s="27"/>
      <c r="C57" s="27"/>
      <c r="D57" s="27">
        <v>2</v>
      </c>
      <c r="E57" s="27">
        <v>5</v>
      </c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>
        <v>7</v>
      </c>
    </row>
    <row r="58" spans="1:16" x14ac:dyDescent="0.25">
      <c r="A58" s="41" t="s">
        <v>1322</v>
      </c>
      <c r="B58" s="27">
        <v>1</v>
      </c>
      <c r="C58" s="27"/>
      <c r="D58" s="27">
        <v>1</v>
      </c>
      <c r="E58" s="27">
        <v>2</v>
      </c>
      <c r="F58" s="27"/>
      <c r="G58" s="27">
        <v>1</v>
      </c>
      <c r="H58" s="27"/>
      <c r="I58" s="27"/>
      <c r="J58" s="27"/>
      <c r="K58" s="27"/>
      <c r="L58" s="27"/>
      <c r="M58" s="27"/>
      <c r="N58" s="27"/>
      <c r="O58" s="27"/>
      <c r="P58" s="27">
        <v>5</v>
      </c>
    </row>
    <row r="59" spans="1:16" x14ac:dyDescent="0.25">
      <c r="A59" s="41" t="s">
        <v>1323</v>
      </c>
      <c r="B59" s="27"/>
      <c r="C59" s="27"/>
      <c r="D59" s="27">
        <v>2</v>
      </c>
      <c r="E59" s="27"/>
      <c r="F59" s="27">
        <v>1</v>
      </c>
      <c r="G59" s="27">
        <v>1</v>
      </c>
      <c r="H59" s="27"/>
      <c r="I59" s="27"/>
      <c r="J59" s="27"/>
      <c r="K59" s="27"/>
      <c r="L59" s="27"/>
      <c r="M59" s="27"/>
      <c r="N59" s="27"/>
      <c r="O59" s="27"/>
      <c r="P59" s="27">
        <v>4</v>
      </c>
    </row>
    <row r="60" spans="1:16" x14ac:dyDescent="0.25">
      <c r="A60" s="41" t="s">
        <v>1324</v>
      </c>
      <c r="B60" s="27">
        <v>3</v>
      </c>
      <c r="C60" s="27"/>
      <c r="D60" s="27"/>
      <c r="E60" s="27">
        <v>1</v>
      </c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>
        <v>4</v>
      </c>
    </row>
    <row r="61" spans="1:16" x14ac:dyDescent="0.25">
      <c r="A61" s="41" t="s">
        <v>1318</v>
      </c>
      <c r="B61" s="27">
        <v>2</v>
      </c>
      <c r="C61" s="27"/>
      <c r="D61" s="27">
        <v>1</v>
      </c>
      <c r="E61" s="27">
        <v>2</v>
      </c>
      <c r="F61" s="27"/>
      <c r="G61" s="27">
        <v>1</v>
      </c>
      <c r="H61" s="27">
        <v>2</v>
      </c>
      <c r="I61" s="27"/>
      <c r="J61" s="27"/>
      <c r="K61" s="27"/>
      <c r="L61" s="27"/>
      <c r="M61" s="27"/>
      <c r="N61" s="27"/>
      <c r="O61" s="27"/>
      <c r="P61" s="27">
        <v>8</v>
      </c>
    </row>
    <row r="62" spans="1:16" x14ac:dyDescent="0.25">
      <c r="A62" s="41" t="s">
        <v>1319</v>
      </c>
      <c r="B62" s="27"/>
      <c r="C62" s="27"/>
      <c r="D62" s="27"/>
      <c r="E62" s="27">
        <v>2</v>
      </c>
      <c r="F62" s="27"/>
      <c r="G62" s="27"/>
      <c r="H62" s="27"/>
      <c r="I62" s="27"/>
      <c r="J62" s="27"/>
      <c r="K62" s="27"/>
      <c r="L62" s="27">
        <v>1</v>
      </c>
      <c r="M62" s="27"/>
      <c r="N62" s="27"/>
      <c r="O62" s="27"/>
      <c r="P62" s="27">
        <v>3</v>
      </c>
    </row>
    <row r="63" spans="1:16" x14ac:dyDescent="0.25">
      <c r="A63" s="41" t="s">
        <v>1325</v>
      </c>
      <c r="B63" s="27"/>
      <c r="C63" s="27"/>
      <c r="D63" s="27">
        <v>1</v>
      </c>
      <c r="E63" s="27">
        <v>1</v>
      </c>
      <c r="F63" s="27"/>
      <c r="G63" s="27">
        <v>1</v>
      </c>
      <c r="H63" s="27">
        <v>1</v>
      </c>
      <c r="I63" s="27"/>
      <c r="J63" s="27"/>
      <c r="K63" s="27"/>
      <c r="L63" s="27"/>
      <c r="M63" s="27"/>
      <c r="N63" s="27"/>
      <c r="O63" s="27"/>
      <c r="P63" s="27">
        <v>4</v>
      </c>
    </row>
    <row r="64" spans="1:16" x14ac:dyDescent="0.25">
      <c r="A64" s="41" t="s">
        <v>1326</v>
      </c>
      <c r="B64" s="27">
        <v>1</v>
      </c>
      <c r="C64" s="27"/>
      <c r="D64" s="27">
        <v>3</v>
      </c>
      <c r="E64" s="27">
        <v>3</v>
      </c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>
        <v>7</v>
      </c>
    </row>
    <row r="65" spans="1:16" x14ac:dyDescent="0.25">
      <c r="A65" s="41" t="s">
        <v>1327</v>
      </c>
      <c r="B65" s="27">
        <v>1</v>
      </c>
      <c r="C65" s="27"/>
      <c r="D65" s="27">
        <v>1</v>
      </c>
      <c r="E65" s="27">
        <v>5</v>
      </c>
      <c r="F65" s="27"/>
      <c r="G65" s="27"/>
      <c r="H65" s="27">
        <v>1</v>
      </c>
      <c r="I65" s="27"/>
      <c r="J65" s="27"/>
      <c r="K65" s="27"/>
      <c r="L65" s="27"/>
      <c r="M65" s="27"/>
      <c r="N65" s="27"/>
      <c r="O65" s="27"/>
      <c r="P65" s="27">
        <v>8</v>
      </c>
    </row>
    <row r="66" spans="1:16" x14ac:dyDescent="0.25">
      <c r="A66" s="41" t="s">
        <v>1438</v>
      </c>
      <c r="B66" s="27"/>
      <c r="C66" s="27"/>
      <c r="D66" s="27"/>
      <c r="E66" s="27"/>
      <c r="F66" s="27">
        <v>1</v>
      </c>
      <c r="G66" s="27">
        <v>1</v>
      </c>
      <c r="H66" s="27">
        <v>1</v>
      </c>
      <c r="I66" s="27"/>
      <c r="J66" s="27">
        <v>1</v>
      </c>
      <c r="K66" s="27"/>
      <c r="L66" s="27"/>
      <c r="M66" s="27"/>
      <c r="N66" s="27"/>
      <c r="O66" s="27"/>
      <c r="P66" s="27">
        <v>4</v>
      </c>
    </row>
    <row r="67" spans="1:16" x14ac:dyDescent="0.25">
      <c r="A67" s="41" t="s">
        <v>1439</v>
      </c>
      <c r="B67" s="27">
        <v>1</v>
      </c>
      <c r="C67" s="27"/>
      <c r="D67" s="27"/>
      <c r="E67" s="27">
        <v>1</v>
      </c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>
        <v>2</v>
      </c>
    </row>
    <row r="68" spans="1:16" x14ac:dyDescent="0.25">
      <c r="A68" s="41" t="s">
        <v>1437</v>
      </c>
      <c r="B68" s="27"/>
      <c r="C68" s="27"/>
      <c r="D68" s="27">
        <v>3</v>
      </c>
      <c r="E68" s="27">
        <v>2</v>
      </c>
      <c r="F68" s="27"/>
      <c r="G68" s="27"/>
      <c r="H68" s="27"/>
      <c r="I68" s="27"/>
      <c r="J68" s="27"/>
      <c r="K68" s="27">
        <v>1</v>
      </c>
      <c r="L68" s="27"/>
      <c r="M68" s="27"/>
      <c r="N68" s="27"/>
      <c r="O68" s="27"/>
      <c r="P68" s="27">
        <v>6</v>
      </c>
    </row>
    <row r="69" spans="1:16" x14ac:dyDescent="0.25">
      <c r="A69" s="41" t="s">
        <v>1440</v>
      </c>
      <c r="B69" s="27">
        <v>1</v>
      </c>
      <c r="C69" s="27"/>
      <c r="D69" s="27">
        <v>1</v>
      </c>
      <c r="E69" s="27">
        <v>1</v>
      </c>
      <c r="F69" s="27"/>
      <c r="G69" s="27"/>
      <c r="H69" s="27">
        <v>1</v>
      </c>
      <c r="I69" s="27"/>
      <c r="J69" s="27"/>
      <c r="K69" s="27"/>
      <c r="L69" s="27"/>
      <c r="M69" s="27"/>
      <c r="N69" s="27"/>
      <c r="O69" s="27"/>
      <c r="P69" s="27">
        <v>4</v>
      </c>
    </row>
    <row r="70" spans="1:16" x14ac:dyDescent="0.25">
      <c r="A70" s="41" t="s">
        <v>1549</v>
      </c>
      <c r="B70" s="27"/>
      <c r="C70" s="27"/>
      <c r="D70" s="27">
        <v>3</v>
      </c>
      <c r="E70" s="27">
        <v>1</v>
      </c>
      <c r="F70" s="27"/>
      <c r="G70" s="27"/>
      <c r="H70" s="27">
        <v>1</v>
      </c>
      <c r="I70" s="27"/>
      <c r="J70" s="27"/>
      <c r="K70" s="27"/>
      <c r="L70" s="27"/>
      <c r="M70" s="27"/>
      <c r="N70" s="27"/>
      <c r="O70" s="27"/>
      <c r="P70" s="27">
        <v>5</v>
      </c>
    </row>
    <row r="71" spans="1:16" x14ac:dyDescent="0.25">
      <c r="A71" s="41" t="s">
        <v>1548</v>
      </c>
      <c r="B71" s="27"/>
      <c r="C71" s="27"/>
      <c r="D71" s="27">
        <v>1</v>
      </c>
      <c r="E71" s="27"/>
      <c r="F71" s="27"/>
      <c r="G71" s="27"/>
      <c r="H71" s="27">
        <v>1</v>
      </c>
      <c r="I71" s="27"/>
      <c r="J71" s="27"/>
      <c r="K71" s="27"/>
      <c r="L71" s="27"/>
      <c r="M71" s="27"/>
      <c r="N71" s="27"/>
      <c r="O71" s="27"/>
      <c r="P71" s="27">
        <v>2</v>
      </c>
    </row>
    <row r="72" spans="1:16" x14ac:dyDescent="0.25">
      <c r="A72" s="41" t="s">
        <v>1550</v>
      </c>
      <c r="B72" s="27"/>
      <c r="C72" s="27"/>
      <c r="D72" s="27">
        <v>2</v>
      </c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>
        <v>2</v>
      </c>
    </row>
    <row r="73" spans="1:16" x14ac:dyDescent="0.25">
      <c r="A73" s="41" t="s">
        <v>1551</v>
      </c>
      <c r="B73" s="27">
        <v>3</v>
      </c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>
        <v>3</v>
      </c>
    </row>
    <row r="74" spans="1:16" x14ac:dyDescent="0.25">
      <c r="A74" s="41" t="s">
        <v>1712</v>
      </c>
      <c r="B74" s="27"/>
      <c r="C74" s="27"/>
      <c r="D74" s="27"/>
      <c r="E74" s="27"/>
      <c r="F74" s="27"/>
      <c r="G74" s="27"/>
      <c r="H74" s="27"/>
      <c r="I74" s="27"/>
      <c r="J74" s="27">
        <v>1</v>
      </c>
      <c r="K74" s="27"/>
      <c r="L74" s="27"/>
      <c r="M74" s="27"/>
      <c r="N74" s="27"/>
      <c r="O74" s="27"/>
      <c r="P74" s="27">
        <v>1</v>
      </c>
    </row>
    <row r="75" spans="1:16" x14ac:dyDescent="0.25">
      <c r="A75" s="41" t="s">
        <v>1714</v>
      </c>
      <c r="B75" s="27"/>
      <c r="C75" s="27"/>
      <c r="D75" s="27"/>
      <c r="E75" s="27">
        <v>2</v>
      </c>
      <c r="F75" s="27"/>
      <c r="G75" s="27">
        <v>1</v>
      </c>
      <c r="H75" s="27">
        <v>1</v>
      </c>
      <c r="I75" s="27"/>
      <c r="J75" s="27"/>
      <c r="K75" s="27"/>
      <c r="L75" s="27"/>
      <c r="M75" s="27"/>
      <c r="N75" s="27"/>
      <c r="O75" s="27"/>
      <c r="P75" s="27">
        <v>4</v>
      </c>
    </row>
    <row r="76" spans="1:16" x14ac:dyDescent="0.25">
      <c r="A76" s="41" t="s">
        <v>1715</v>
      </c>
      <c r="B76" s="27"/>
      <c r="C76" s="27"/>
      <c r="D76" s="27">
        <v>1</v>
      </c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>
        <v>1</v>
      </c>
    </row>
    <row r="77" spans="1:16" x14ac:dyDescent="0.25">
      <c r="A77" s="41" t="s">
        <v>1716</v>
      </c>
      <c r="B77" s="27"/>
      <c r="C77" s="27"/>
      <c r="D77" s="27"/>
      <c r="E77" s="27">
        <v>1</v>
      </c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>
        <v>1</v>
      </c>
    </row>
    <row r="78" spans="1:16" x14ac:dyDescent="0.25">
      <c r="A78" s="41" t="s">
        <v>1713</v>
      </c>
      <c r="B78" s="27"/>
      <c r="C78" s="27"/>
      <c r="D78" s="27">
        <v>6</v>
      </c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>
        <v>6</v>
      </c>
    </row>
    <row r="79" spans="1:16" x14ac:dyDescent="0.25">
      <c r="A79" s="41" t="s">
        <v>1727</v>
      </c>
      <c r="B79" s="27">
        <v>1</v>
      </c>
      <c r="C79" s="27">
        <v>3</v>
      </c>
      <c r="D79" s="27">
        <v>1</v>
      </c>
      <c r="E79" s="27"/>
      <c r="F79" s="27"/>
      <c r="G79" s="27"/>
      <c r="H79" s="27"/>
      <c r="I79" s="27"/>
      <c r="J79" s="27">
        <v>1</v>
      </c>
      <c r="K79" s="27"/>
      <c r="L79" s="27">
        <v>1</v>
      </c>
      <c r="M79" s="27"/>
      <c r="N79" s="27"/>
      <c r="O79" s="27"/>
      <c r="P79" s="27">
        <v>7</v>
      </c>
    </row>
    <row r="80" spans="1:16" x14ac:dyDescent="0.25">
      <c r="A80" s="41" t="s">
        <v>1933</v>
      </c>
      <c r="B80" s="27"/>
      <c r="C80" s="27"/>
      <c r="D80" s="27"/>
      <c r="E80" s="27"/>
      <c r="F80" s="27">
        <v>1</v>
      </c>
      <c r="G80" s="27"/>
      <c r="H80" s="27">
        <v>1</v>
      </c>
      <c r="I80" s="27"/>
      <c r="J80" s="27"/>
      <c r="K80" s="27"/>
      <c r="L80" s="27"/>
      <c r="M80" s="27"/>
      <c r="N80" s="27"/>
      <c r="O80" s="27"/>
      <c r="P80" s="27">
        <v>2</v>
      </c>
    </row>
    <row r="81" spans="1:16" x14ac:dyDescent="0.25">
      <c r="A81" s="41" t="s">
        <v>1930</v>
      </c>
      <c r="B81" s="27"/>
      <c r="C81" s="27">
        <v>2</v>
      </c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>
        <v>2</v>
      </c>
    </row>
    <row r="82" spans="1:16" x14ac:dyDescent="0.25">
      <c r="A82" s="41" t="s">
        <v>1931</v>
      </c>
      <c r="B82" s="27"/>
      <c r="C82" s="27">
        <v>1</v>
      </c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>
        <v>1</v>
      </c>
    </row>
    <row r="83" spans="1:16" x14ac:dyDescent="0.25">
      <c r="A83" s="41" t="s">
        <v>1932</v>
      </c>
      <c r="B83" s="27"/>
      <c r="C83" s="27">
        <v>1</v>
      </c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>
        <v>1</v>
      </c>
      <c r="O83" s="27"/>
      <c r="P83" s="27">
        <v>2</v>
      </c>
    </row>
    <row r="84" spans="1:16" x14ac:dyDescent="0.25">
      <c r="A84" s="41" t="s">
        <v>1934</v>
      </c>
      <c r="B84" s="27"/>
      <c r="C84" s="27"/>
      <c r="D84" s="27">
        <v>3</v>
      </c>
      <c r="E84" s="27">
        <v>1</v>
      </c>
      <c r="F84" s="27"/>
      <c r="G84" s="27"/>
      <c r="H84" s="27">
        <v>1</v>
      </c>
      <c r="I84" s="27"/>
      <c r="J84" s="27"/>
      <c r="K84" s="27"/>
      <c r="L84" s="27"/>
      <c r="M84" s="27"/>
      <c r="N84" s="27">
        <v>1</v>
      </c>
      <c r="O84" s="27"/>
      <c r="P84" s="27">
        <v>6</v>
      </c>
    </row>
    <row r="85" spans="1:16" x14ac:dyDescent="0.25">
      <c r="A85" s="41" t="s">
        <v>1935</v>
      </c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>
        <v>1</v>
      </c>
      <c r="O85" s="27"/>
      <c r="P85" s="27">
        <v>1</v>
      </c>
    </row>
    <row r="86" spans="1:16" x14ac:dyDescent="0.25">
      <c r="A86" s="41" t="s">
        <v>1936</v>
      </c>
      <c r="B86" s="27"/>
      <c r="C86" s="27"/>
      <c r="D86" s="27">
        <v>3</v>
      </c>
      <c r="E86" s="27">
        <v>1</v>
      </c>
      <c r="F86" s="27"/>
      <c r="G86" s="27">
        <v>1</v>
      </c>
      <c r="H86" s="27"/>
      <c r="I86" s="27"/>
      <c r="J86" s="27"/>
      <c r="K86" s="27"/>
      <c r="L86" s="27"/>
      <c r="M86" s="27"/>
      <c r="N86" s="27">
        <v>1</v>
      </c>
      <c r="O86" s="27"/>
      <c r="P86" s="27">
        <v>6</v>
      </c>
    </row>
    <row r="87" spans="1:16" x14ac:dyDescent="0.25">
      <c r="A87" s="41" t="s">
        <v>2026</v>
      </c>
      <c r="B87" s="27">
        <v>1</v>
      </c>
      <c r="C87" s="27"/>
      <c r="D87" s="27"/>
      <c r="E87" s="27"/>
      <c r="F87" s="27"/>
      <c r="G87" s="27"/>
      <c r="H87" s="27">
        <v>1</v>
      </c>
      <c r="I87" s="27"/>
      <c r="J87" s="27"/>
      <c r="K87" s="27"/>
      <c r="L87" s="27"/>
      <c r="M87" s="27"/>
      <c r="N87" s="27"/>
      <c r="O87" s="27"/>
      <c r="P87" s="27">
        <v>2</v>
      </c>
    </row>
    <row r="88" spans="1:16" x14ac:dyDescent="0.25">
      <c r="A88" s="41" t="s">
        <v>2199</v>
      </c>
      <c r="B88" s="27"/>
      <c r="C88" s="27"/>
      <c r="D88" s="27"/>
      <c r="E88" s="27"/>
      <c r="F88" s="27"/>
      <c r="G88" s="27"/>
      <c r="H88" s="27"/>
      <c r="I88" s="27"/>
      <c r="J88" s="27"/>
      <c r="K88" s="27">
        <v>1</v>
      </c>
      <c r="L88" s="27"/>
      <c r="M88" s="27"/>
      <c r="N88" s="27"/>
      <c r="O88" s="27"/>
      <c r="P88" s="27">
        <v>1</v>
      </c>
    </row>
    <row r="89" spans="1:16" x14ac:dyDescent="0.25">
      <c r="A89" s="41" t="s">
        <v>2027</v>
      </c>
      <c r="B89" s="27">
        <v>1</v>
      </c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>
        <v>1</v>
      </c>
    </row>
    <row r="90" spans="1:16" x14ac:dyDescent="0.25">
      <c r="A90" s="41" t="s">
        <v>2197</v>
      </c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>
        <v>1</v>
      </c>
      <c r="O90" s="27"/>
      <c r="P90" s="27">
        <v>1</v>
      </c>
    </row>
    <row r="91" spans="1:16" x14ac:dyDescent="0.25">
      <c r="A91" s="41" t="s">
        <v>2200</v>
      </c>
      <c r="B91" s="27"/>
      <c r="C91" s="27"/>
      <c r="D91" s="27"/>
      <c r="E91" s="27"/>
      <c r="F91" s="27"/>
      <c r="G91" s="27"/>
      <c r="H91" s="27">
        <v>1</v>
      </c>
      <c r="I91" s="27"/>
      <c r="J91" s="27"/>
      <c r="K91" s="27"/>
      <c r="L91" s="27"/>
      <c r="M91" s="27"/>
      <c r="N91" s="27"/>
      <c r="O91" s="27"/>
      <c r="P91" s="27">
        <v>1</v>
      </c>
    </row>
    <row r="92" spans="1:16" x14ac:dyDescent="0.25">
      <c r="A92" s="41" t="s">
        <v>2198</v>
      </c>
      <c r="B92" s="27"/>
      <c r="C92" s="27"/>
      <c r="D92" s="27">
        <v>1</v>
      </c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>
        <v>1</v>
      </c>
    </row>
    <row r="93" spans="1:16" x14ac:dyDescent="0.25">
      <c r="A93" s="41" t="s">
        <v>2201</v>
      </c>
      <c r="B93" s="27"/>
      <c r="C93" s="27"/>
      <c r="D93" s="27"/>
      <c r="E93" s="27"/>
      <c r="F93" s="27"/>
      <c r="G93" s="27">
        <v>1</v>
      </c>
      <c r="H93" s="27"/>
      <c r="I93" s="27"/>
      <c r="J93" s="27"/>
      <c r="K93" s="27">
        <v>1</v>
      </c>
      <c r="L93" s="27"/>
      <c r="M93" s="27"/>
      <c r="N93" s="27"/>
      <c r="O93" s="27"/>
      <c r="P93" s="27">
        <v>2</v>
      </c>
    </row>
    <row r="94" spans="1:16" x14ac:dyDescent="0.25">
      <c r="A94" s="41" t="s">
        <v>2761</v>
      </c>
      <c r="B94" s="27"/>
      <c r="C94" s="27"/>
      <c r="D94" s="27"/>
      <c r="E94" s="27"/>
      <c r="F94" s="27"/>
      <c r="G94" s="27"/>
      <c r="H94" s="27"/>
      <c r="I94" s="27"/>
      <c r="J94" s="27"/>
      <c r="K94" s="27">
        <v>2</v>
      </c>
      <c r="L94" s="27"/>
      <c r="M94" s="27"/>
      <c r="N94" s="27"/>
      <c r="O94" s="27"/>
      <c r="P94" s="27">
        <v>2</v>
      </c>
    </row>
    <row r="95" spans="1:16" x14ac:dyDescent="0.25">
      <c r="A95" s="41" t="s">
        <v>2762</v>
      </c>
      <c r="B95" s="27"/>
      <c r="C95" s="27"/>
      <c r="D95" s="27"/>
      <c r="E95" s="27"/>
      <c r="F95" s="27"/>
      <c r="G95" s="27">
        <v>1</v>
      </c>
      <c r="H95" s="27"/>
      <c r="I95" s="27"/>
      <c r="J95" s="27"/>
      <c r="K95" s="27"/>
      <c r="L95" s="27"/>
      <c r="M95" s="27"/>
      <c r="N95" s="27"/>
      <c r="O95" s="27"/>
      <c r="P95" s="27">
        <v>1</v>
      </c>
    </row>
    <row r="96" spans="1:16" x14ac:dyDescent="0.25">
      <c r="A96" s="41" t="s">
        <v>2748</v>
      </c>
      <c r="B96" s="27"/>
      <c r="C96" s="27"/>
      <c r="D96" s="27"/>
      <c r="E96" s="27"/>
      <c r="F96" s="27">
        <v>1</v>
      </c>
      <c r="G96" s="27"/>
      <c r="H96" s="27"/>
      <c r="I96" s="27"/>
      <c r="J96" s="27"/>
      <c r="K96" s="27"/>
      <c r="L96" s="27"/>
      <c r="M96" s="27"/>
      <c r="N96" s="27">
        <v>1</v>
      </c>
      <c r="O96" s="27"/>
      <c r="P96" s="27">
        <v>2</v>
      </c>
    </row>
    <row r="97" spans="1:16" x14ac:dyDescent="0.25">
      <c r="A97" s="41" t="s">
        <v>2749</v>
      </c>
      <c r="B97" s="27">
        <v>1</v>
      </c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>
        <v>1</v>
      </c>
      <c r="N97" s="27">
        <v>2</v>
      </c>
      <c r="O97" s="27"/>
      <c r="P97" s="27">
        <v>4</v>
      </c>
    </row>
    <row r="98" spans="1:16" x14ac:dyDescent="0.25">
      <c r="A98" s="41" t="s">
        <v>2751</v>
      </c>
      <c r="B98" s="27"/>
      <c r="C98" s="27"/>
      <c r="D98" s="27"/>
      <c r="E98" s="27"/>
      <c r="F98" s="27"/>
      <c r="G98" s="27"/>
      <c r="H98" s="27"/>
      <c r="I98" s="27"/>
      <c r="J98" s="27"/>
      <c r="K98" s="27">
        <v>1</v>
      </c>
      <c r="L98" s="27"/>
      <c r="M98" s="27"/>
      <c r="N98" s="27"/>
      <c r="O98" s="27"/>
      <c r="P98" s="27">
        <v>1</v>
      </c>
    </row>
    <row r="99" spans="1:16" x14ac:dyDescent="0.25">
      <c r="A99" s="41" t="s">
        <v>2763</v>
      </c>
      <c r="B99" s="27"/>
      <c r="C99" s="27"/>
      <c r="D99" s="27"/>
      <c r="E99" s="27">
        <v>1</v>
      </c>
      <c r="F99" s="27"/>
      <c r="G99" s="27"/>
      <c r="H99" s="27"/>
      <c r="I99" s="27"/>
      <c r="J99" s="27"/>
      <c r="K99" s="27">
        <v>1</v>
      </c>
      <c r="L99" s="27"/>
      <c r="M99" s="27"/>
      <c r="N99" s="27"/>
      <c r="O99" s="27"/>
      <c r="P99" s="27">
        <v>2</v>
      </c>
    </row>
    <row r="100" spans="1:16" x14ac:dyDescent="0.25">
      <c r="A100" s="41" t="s">
        <v>2764</v>
      </c>
      <c r="B100" s="27"/>
      <c r="C100" s="27"/>
      <c r="D100" s="27"/>
      <c r="E100" s="27"/>
      <c r="F100" s="27"/>
      <c r="G100" s="27"/>
      <c r="H100" s="27"/>
      <c r="I100" s="27"/>
      <c r="J100" s="27"/>
      <c r="K100" s="27">
        <v>1</v>
      </c>
      <c r="L100" s="27">
        <v>1</v>
      </c>
      <c r="M100" s="27"/>
      <c r="N100" s="27"/>
      <c r="O100" s="27"/>
      <c r="P100" s="27">
        <v>2</v>
      </c>
    </row>
    <row r="101" spans="1:16" x14ac:dyDescent="0.25">
      <c r="A101" s="41" t="s">
        <v>2765</v>
      </c>
      <c r="B101" s="27"/>
      <c r="C101" s="27">
        <v>4</v>
      </c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>
        <v>4</v>
      </c>
    </row>
    <row r="102" spans="1:16" x14ac:dyDescent="0.25">
      <c r="A102" s="41" t="s">
        <v>2766</v>
      </c>
      <c r="B102" s="27"/>
      <c r="C102" s="27"/>
      <c r="D102" s="27"/>
      <c r="E102" s="27"/>
      <c r="F102" s="27"/>
      <c r="G102" s="27"/>
      <c r="H102" s="27"/>
      <c r="I102" s="27"/>
      <c r="J102" s="27"/>
      <c r="K102" s="27">
        <v>1</v>
      </c>
      <c r="L102" s="27"/>
      <c r="M102" s="27">
        <v>1</v>
      </c>
      <c r="N102" s="27"/>
      <c r="O102" s="27"/>
      <c r="P102" s="27">
        <v>2</v>
      </c>
    </row>
    <row r="103" spans="1:16" x14ac:dyDescent="0.25">
      <c r="A103" s="41" t="s">
        <v>2767</v>
      </c>
      <c r="B103" s="27">
        <v>1</v>
      </c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>
        <v>1</v>
      </c>
    </row>
    <row r="104" spans="1:16" x14ac:dyDescent="0.25">
      <c r="A104" s="41" t="s">
        <v>2768</v>
      </c>
      <c r="B104" s="27"/>
      <c r="C104" s="27"/>
      <c r="D104" s="27">
        <v>3</v>
      </c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>
        <v>3</v>
      </c>
    </row>
    <row r="105" spans="1:16" x14ac:dyDescent="0.25">
      <c r="A105" s="41" t="s">
        <v>2753</v>
      </c>
      <c r="B105" s="27">
        <v>1</v>
      </c>
      <c r="C105" s="27"/>
      <c r="D105" s="27"/>
      <c r="E105" s="27">
        <v>1</v>
      </c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>
        <v>2</v>
      </c>
    </row>
    <row r="106" spans="1:16" x14ac:dyDescent="0.25">
      <c r="A106" s="41" t="s">
        <v>2754</v>
      </c>
      <c r="B106" s="27"/>
      <c r="C106" s="27"/>
      <c r="D106" s="27">
        <v>1</v>
      </c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>
        <v>1</v>
      </c>
    </row>
    <row r="107" spans="1:16" x14ac:dyDescent="0.25">
      <c r="A107" s="41" t="s">
        <v>2755</v>
      </c>
      <c r="B107" s="27"/>
      <c r="C107" s="27"/>
      <c r="D107" s="27"/>
      <c r="E107" s="27">
        <v>1</v>
      </c>
      <c r="F107" s="27"/>
      <c r="G107" s="27"/>
      <c r="H107" s="27"/>
      <c r="I107" s="27"/>
      <c r="J107" s="27"/>
      <c r="K107" s="27"/>
      <c r="L107" s="27"/>
      <c r="M107" s="27"/>
      <c r="N107" s="27"/>
      <c r="O107" s="27">
        <v>1</v>
      </c>
      <c r="P107" s="27">
        <v>2</v>
      </c>
    </row>
    <row r="108" spans="1:16" x14ac:dyDescent="0.25">
      <c r="A108" s="41" t="s">
        <v>2769</v>
      </c>
      <c r="B108" s="27"/>
      <c r="C108" s="27"/>
      <c r="D108" s="27"/>
      <c r="E108" s="27"/>
      <c r="F108" s="27"/>
      <c r="G108" s="27"/>
      <c r="H108" s="27">
        <v>1</v>
      </c>
      <c r="I108" s="27"/>
      <c r="J108" s="27"/>
      <c r="K108" s="27"/>
      <c r="L108" s="27"/>
      <c r="M108" s="27"/>
      <c r="N108" s="27"/>
      <c r="O108" s="27"/>
      <c r="P108" s="27">
        <v>1</v>
      </c>
    </row>
    <row r="109" spans="1:16" x14ac:dyDescent="0.25">
      <c r="A109" s="41" t="s">
        <v>2770</v>
      </c>
      <c r="B109" s="27"/>
      <c r="C109" s="27"/>
      <c r="D109" s="27"/>
      <c r="E109" s="27">
        <v>3</v>
      </c>
      <c r="F109" s="27"/>
      <c r="G109" s="27">
        <v>1</v>
      </c>
      <c r="H109" s="27"/>
      <c r="I109" s="27"/>
      <c r="J109" s="27"/>
      <c r="K109" s="27"/>
      <c r="L109" s="27"/>
      <c r="M109" s="27"/>
      <c r="N109" s="27"/>
      <c r="O109" s="27"/>
      <c r="P109" s="27">
        <v>4</v>
      </c>
    </row>
    <row r="110" spans="1:16" x14ac:dyDescent="0.25">
      <c r="A110" s="41" t="s">
        <v>2758</v>
      </c>
      <c r="B110" s="27"/>
      <c r="C110" s="27"/>
      <c r="D110" s="27">
        <v>1</v>
      </c>
      <c r="E110" s="27"/>
      <c r="F110" s="27"/>
      <c r="G110" s="27">
        <v>1</v>
      </c>
      <c r="H110" s="27">
        <v>1</v>
      </c>
      <c r="I110" s="27"/>
      <c r="J110" s="27"/>
      <c r="K110" s="27"/>
      <c r="L110" s="27"/>
      <c r="M110" s="27"/>
      <c r="N110" s="27"/>
      <c r="O110" s="27"/>
      <c r="P110" s="27">
        <v>3</v>
      </c>
    </row>
    <row r="111" spans="1:16" x14ac:dyDescent="0.25">
      <c r="A111" s="41" t="s">
        <v>2771</v>
      </c>
      <c r="B111" s="27"/>
      <c r="C111" s="27"/>
      <c r="D111" s="27"/>
      <c r="E111" s="27">
        <v>1</v>
      </c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>
        <v>1</v>
      </c>
    </row>
    <row r="112" spans="1:16" x14ac:dyDescent="0.25">
      <c r="A112" s="41" t="s">
        <v>2759</v>
      </c>
      <c r="B112" s="27">
        <v>1</v>
      </c>
      <c r="C112" s="27"/>
      <c r="D112" s="27"/>
      <c r="E112" s="27">
        <v>1</v>
      </c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>
        <v>2</v>
      </c>
    </row>
    <row r="113" spans="1:16" x14ac:dyDescent="0.25">
      <c r="A113" s="41" t="s">
        <v>2760</v>
      </c>
      <c r="B113" s="27"/>
      <c r="C113" s="27"/>
      <c r="D113" s="27"/>
      <c r="E113" s="27">
        <v>1</v>
      </c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>
        <v>1</v>
      </c>
    </row>
    <row r="114" spans="1:16" x14ac:dyDescent="0.25">
      <c r="A114" s="8" t="s">
        <v>100</v>
      </c>
      <c r="B114" s="27">
        <v>61</v>
      </c>
      <c r="C114" s="27">
        <v>27</v>
      </c>
      <c r="D114" s="27">
        <v>68</v>
      </c>
      <c r="E114" s="27">
        <v>62</v>
      </c>
      <c r="F114" s="27">
        <v>4</v>
      </c>
      <c r="G114" s="27">
        <v>17</v>
      </c>
      <c r="H114" s="27">
        <v>23</v>
      </c>
      <c r="I114" s="27">
        <v>1</v>
      </c>
      <c r="J114" s="27">
        <v>3</v>
      </c>
      <c r="K114" s="27">
        <v>10</v>
      </c>
      <c r="L114" s="27">
        <v>11</v>
      </c>
      <c r="M114" s="27">
        <v>3</v>
      </c>
      <c r="N114" s="27">
        <v>8</v>
      </c>
      <c r="O114" s="27">
        <v>2</v>
      </c>
      <c r="P114" s="27">
        <v>300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181"/>
  <sheetViews>
    <sheetView topLeftCell="C49" workbookViewId="0">
      <selection activeCell="L94" sqref="L94"/>
    </sheetView>
  </sheetViews>
  <sheetFormatPr defaultRowHeight="15" x14ac:dyDescent="0.25"/>
  <cols>
    <col min="2" max="2" width="44.7109375" hidden="1" customWidth="1"/>
    <col min="3" max="3" width="44.7109375" bestFit="1" customWidth="1"/>
    <col min="4" max="4" width="17.42578125" style="59" customWidth="1"/>
    <col min="5" max="5" width="11.42578125" bestFit="1" customWidth="1"/>
    <col min="6" max="6" width="15.5703125" bestFit="1" customWidth="1"/>
    <col min="7" max="7" width="11.42578125" customWidth="1"/>
  </cols>
  <sheetData>
    <row r="2" spans="2:8" x14ac:dyDescent="0.25">
      <c r="B2" s="50" t="s">
        <v>418</v>
      </c>
      <c r="C2" s="51" t="s">
        <v>309</v>
      </c>
      <c r="D2" s="52" t="s">
        <v>406</v>
      </c>
      <c r="E2" s="51" t="s">
        <v>3</v>
      </c>
      <c r="F2" s="51" t="s">
        <v>1</v>
      </c>
      <c r="G2" s="51" t="s">
        <v>8</v>
      </c>
      <c r="H2" s="51" t="s">
        <v>419</v>
      </c>
    </row>
    <row r="3" spans="2:8" x14ac:dyDescent="0.25">
      <c r="B3" s="53" t="s">
        <v>401</v>
      </c>
      <c r="C3" s="53" t="s">
        <v>441</v>
      </c>
      <c r="D3" s="144" t="s">
        <v>442</v>
      </c>
      <c r="E3" s="145" t="s">
        <v>89</v>
      </c>
      <c r="F3" s="145" t="s">
        <v>312</v>
      </c>
      <c r="G3" s="37" t="s">
        <v>422</v>
      </c>
      <c r="H3" s="62">
        <v>4</v>
      </c>
    </row>
    <row r="4" spans="2:8" x14ac:dyDescent="0.25">
      <c r="B4" s="53" t="s">
        <v>401</v>
      </c>
      <c r="C4" s="53" t="s">
        <v>407</v>
      </c>
      <c r="D4" s="144" t="s">
        <v>434</v>
      </c>
      <c r="E4" s="145" t="s">
        <v>82</v>
      </c>
      <c r="F4" s="145" t="s">
        <v>12</v>
      </c>
      <c r="G4" s="37" t="s">
        <v>422</v>
      </c>
      <c r="H4" s="62">
        <v>1</v>
      </c>
    </row>
    <row r="5" spans="2:8" x14ac:dyDescent="0.25">
      <c r="B5" s="53" t="s">
        <v>402</v>
      </c>
      <c r="C5" s="53" t="s">
        <v>407</v>
      </c>
      <c r="D5" s="144" t="s">
        <v>434</v>
      </c>
      <c r="E5" s="145" t="s">
        <v>82</v>
      </c>
      <c r="F5" s="145" t="s">
        <v>86</v>
      </c>
      <c r="G5" s="37" t="s">
        <v>422</v>
      </c>
      <c r="H5" s="62">
        <v>1</v>
      </c>
    </row>
    <row r="6" spans="2:8" x14ac:dyDescent="0.25">
      <c r="B6" s="53" t="s">
        <v>402</v>
      </c>
      <c r="C6" s="53" t="s">
        <v>407</v>
      </c>
      <c r="D6" s="144" t="s">
        <v>434</v>
      </c>
      <c r="E6" s="145" t="s">
        <v>82</v>
      </c>
      <c r="F6" s="145" t="s">
        <v>1511</v>
      </c>
      <c r="G6" s="37" t="s">
        <v>422</v>
      </c>
      <c r="H6" s="62">
        <v>1</v>
      </c>
    </row>
    <row r="7" spans="2:8" x14ac:dyDescent="0.25">
      <c r="B7" s="53" t="s">
        <v>402</v>
      </c>
      <c r="C7" s="53" t="s">
        <v>407</v>
      </c>
      <c r="D7" s="144" t="s">
        <v>434</v>
      </c>
      <c r="E7" s="145" t="s">
        <v>82</v>
      </c>
      <c r="F7" s="145" t="s">
        <v>137</v>
      </c>
      <c r="G7" s="37" t="s">
        <v>422</v>
      </c>
      <c r="H7" s="62">
        <v>1</v>
      </c>
    </row>
    <row r="8" spans="2:8" x14ac:dyDescent="0.25">
      <c r="B8" s="53" t="s">
        <v>402</v>
      </c>
      <c r="C8" s="53" t="s">
        <v>407</v>
      </c>
      <c r="D8" s="144" t="s">
        <v>434</v>
      </c>
      <c r="E8" s="145" t="s">
        <v>82</v>
      </c>
      <c r="F8" s="145" t="s">
        <v>115</v>
      </c>
      <c r="G8" s="37" t="s">
        <v>422</v>
      </c>
      <c r="H8" s="62">
        <v>1</v>
      </c>
    </row>
    <row r="9" spans="2:8" x14ac:dyDescent="0.25">
      <c r="B9" s="53" t="s">
        <v>402</v>
      </c>
      <c r="C9" s="53" t="s">
        <v>407</v>
      </c>
      <c r="D9" s="144" t="s">
        <v>425</v>
      </c>
      <c r="E9" s="145" t="s">
        <v>82</v>
      </c>
      <c r="F9" s="145" t="s">
        <v>330</v>
      </c>
      <c r="G9" s="37" t="s">
        <v>422</v>
      </c>
      <c r="H9" s="62">
        <v>1</v>
      </c>
    </row>
    <row r="10" spans="2:8" x14ac:dyDescent="0.25">
      <c r="B10" s="53" t="s">
        <v>366</v>
      </c>
      <c r="C10" s="53" t="s">
        <v>407</v>
      </c>
      <c r="D10" s="144" t="s">
        <v>425</v>
      </c>
      <c r="E10" s="145" t="s">
        <v>82</v>
      </c>
      <c r="F10" s="145" t="s">
        <v>139</v>
      </c>
      <c r="G10" s="37" t="s">
        <v>422</v>
      </c>
      <c r="H10" s="62">
        <v>1</v>
      </c>
    </row>
    <row r="11" spans="2:8" x14ac:dyDescent="0.25">
      <c r="B11" s="53" t="s">
        <v>366</v>
      </c>
      <c r="C11" s="53" t="s">
        <v>407</v>
      </c>
      <c r="D11" s="144" t="s">
        <v>425</v>
      </c>
      <c r="E11" s="145" t="s">
        <v>82</v>
      </c>
      <c r="F11" s="145" t="s">
        <v>266</v>
      </c>
      <c r="G11" s="37" t="s">
        <v>422</v>
      </c>
      <c r="H11" s="62">
        <v>1</v>
      </c>
    </row>
    <row r="12" spans="2:8" x14ac:dyDescent="0.25">
      <c r="B12" s="53" t="s">
        <v>366</v>
      </c>
      <c r="C12" s="53" t="s">
        <v>407</v>
      </c>
      <c r="D12" s="144" t="s">
        <v>425</v>
      </c>
      <c r="E12" s="145" t="s">
        <v>82</v>
      </c>
      <c r="F12" s="145" t="s">
        <v>280</v>
      </c>
      <c r="G12" s="37" t="s">
        <v>422</v>
      </c>
      <c r="H12" s="62">
        <v>1</v>
      </c>
    </row>
    <row r="13" spans="2:8" x14ac:dyDescent="0.25">
      <c r="B13" s="53" t="s">
        <v>367</v>
      </c>
      <c r="C13" s="53" t="s">
        <v>407</v>
      </c>
      <c r="D13" s="144" t="s">
        <v>426</v>
      </c>
      <c r="E13" s="145" t="s">
        <v>82</v>
      </c>
      <c r="F13" s="145" t="s">
        <v>17</v>
      </c>
      <c r="G13" s="37" t="s">
        <v>422</v>
      </c>
      <c r="H13" s="62">
        <v>1</v>
      </c>
    </row>
    <row r="14" spans="2:8" x14ac:dyDescent="0.25">
      <c r="B14" s="53"/>
      <c r="C14" s="53" t="s">
        <v>407</v>
      </c>
      <c r="D14" s="144" t="s">
        <v>426</v>
      </c>
      <c r="E14" s="145" t="s">
        <v>82</v>
      </c>
      <c r="F14" s="145" t="s">
        <v>312</v>
      </c>
      <c r="G14" s="37" t="s">
        <v>422</v>
      </c>
      <c r="H14" s="62">
        <v>1</v>
      </c>
    </row>
    <row r="15" spans="2:8" x14ac:dyDescent="0.25">
      <c r="B15" s="53"/>
      <c r="C15" s="53" t="s">
        <v>407</v>
      </c>
      <c r="D15" s="144" t="s">
        <v>426</v>
      </c>
      <c r="E15" s="145" t="s">
        <v>82</v>
      </c>
      <c r="F15" s="145" t="s">
        <v>314</v>
      </c>
      <c r="G15" s="37" t="s">
        <v>422</v>
      </c>
      <c r="H15" s="62">
        <v>1</v>
      </c>
    </row>
    <row r="16" spans="2:8" x14ac:dyDescent="0.25">
      <c r="B16" s="53" t="s">
        <v>367</v>
      </c>
      <c r="C16" s="53" t="s">
        <v>407</v>
      </c>
      <c r="D16" s="144" t="s">
        <v>47</v>
      </c>
      <c r="E16" s="145" t="s">
        <v>82</v>
      </c>
      <c r="F16" s="145" t="s">
        <v>316</v>
      </c>
      <c r="G16" s="37" t="s">
        <v>422</v>
      </c>
      <c r="H16" s="62">
        <v>1</v>
      </c>
    </row>
    <row r="17" spans="2:8" x14ac:dyDescent="0.25">
      <c r="B17" s="53" t="s">
        <v>368</v>
      </c>
      <c r="C17" s="53" t="s">
        <v>407</v>
      </c>
      <c r="D17" s="144" t="s">
        <v>47</v>
      </c>
      <c r="E17" s="145" t="s">
        <v>82</v>
      </c>
      <c r="F17" s="145" t="s">
        <v>331</v>
      </c>
      <c r="G17" s="37" t="s">
        <v>422</v>
      </c>
      <c r="H17" s="62">
        <v>1</v>
      </c>
    </row>
    <row r="18" spans="2:8" x14ac:dyDescent="0.25">
      <c r="B18" s="53"/>
      <c r="C18" s="53" t="s">
        <v>407</v>
      </c>
      <c r="D18" s="144" t="s">
        <v>47</v>
      </c>
      <c r="E18" s="145" t="s">
        <v>82</v>
      </c>
      <c r="F18" s="145" t="s">
        <v>136</v>
      </c>
      <c r="G18" s="37" t="s">
        <v>422</v>
      </c>
      <c r="H18" s="62">
        <v>1</v>
      </c>
    </row>
    <row r="19" spans="2:8" x14ac:dyDescent="0.25">
      <c r="B19" s="53" t="s">
        <v>368</v>
      </c>
      <c r="C19" s="53" t="s">
        <v>407</v>
      </c>
      <c r="D19" s="144" t="s">
        <v>47</v>
      </c>
      <c r="E19" s="145" t="s">
        <v>82</v>
      </c>
      <c r="F19" s="145" t="s">
        <v>483</v>
      </c>
      <c r="G19" s="37" t="s">
        <v>422</v>
      </c>
      <c r="H19" s="62">
        <v>1</v>
      </c>
    </row>
    <row r="20" spans="2:8" x14ac:dyDescent="0.25">
      <c r="B20" s="53" t="s">
        <v>369</v>
      </c>
      <c r="C20" s="53" t="s">
        <v>407</v>
      </c>
      <c r="D20" s="144" t="s">
        <v>47</v>
      </c>
      <c r="E20" s="145" t="s">
        <v>82</v>
      </c>
      <c r="F20" s="145" t="s">
        <v>342</v>
      </c>
      <c r="G20" s="37" t="s">
        <v>422</v>
      </c>
      <c r="H20" s="62">
        <v>1</v>
      </c>
    </row>
    <row r="21" spans="2:8" x14ac:dyDescent="0.25">
      <c r="B21" s="53"/>
      <c r="C21" s="53" t="s">
        <v>407</v>
      </c>
      <c r="D21" s="144" t="s">
        <v>47</v>
      </c>
      <c r="E21" s="145" t="s">
        <v>82</v>
      </c>
      <c r="F21" s="145" t="s">
        <v>348</v>
      </c>
      <c r="G21" s="37" t="s">
        <v>422</v>
      </c>
      <c r="H21" s="62">
        <v>1</v>
      </c>
    </row>
    <row r="22" spans="2:8" s="62" customFormat="1" x14ac:dyDescent="0.25">
      <c r="B22" s="53"/>
      <c r="C22" s="53" t="s">
        <v>407</v>
      </c>
      <c r="D22" s="144" t="s">
        <v>47</v>
      </c>
      <c r="E22" s="145" t="s">
        <v>82</v>
      </c>
      <c r="F22" s="145" t="s">
        <v>1685</v>
      </c>
      <c r="G22" s="37" t="s">
        <v>422</v>
      </c>
      <c r="H22" s="62">
        <v>1</v>
      </c>
    </row>
    <row r="23" spans="2:8" x14ac:dyDescent="0.25">
      <c r="B23" s="53"/>
      <c r="C23" s="53" t="s">
        <v>407</v>
      </c>
      <c r="D23" s="144" t="s">
        <v>47</v>
      </c>
      <c r="E23" s="145" t="s">
        <v>82</v>
      </c>
      <c r="F23" s="145" t="s">
        <v>103</v>
      </c>
      <c r="G23" s="37" t="s">
        <v>422</v>
      </c>
      <c r="H23" s="62">
        <v>1</v>
      </c>
    </row>
    <row r="24" spans="2:8" x14ac:dyDescent="0.25">
      <c r="B24" s="53" t="s">
        <v>369</v>
      </c>
      <c r="C24" s="142" t="s">
        <v>440</v>
      </c>
      <c r="D24" s="146" t="s">
        <v>421</v>
      </c>
      <c r="E24" s="145" t="s">
        <v>82</v>
      </c>
      <c r="F24" s="145" t="s">
        <v>314</v>
      </c>
      <c r="G24" s="37" t="s">
        <v>422</v>
      </c>
      <c r="H24" s="62">
        <v>1</v>
      </c>
    </row>
    <row r="25" spans="2:8" x14ac:dyDescent="0.25">
      <c r="B25" s="54" t="s">
        <v>398</v>
      </c>
      <c r="C25" s="142" t="s">
        <v>451</v>
      </c>
      <c r="D25" s="146" t="s">
        <v>421</v>
      </c>
      <c r="E25" s="145" t="s">
        <v>82</v>
      </c>
      <c r="F25" s="145" t="s">
        <v>139</v>
      </c>
      <c r="G25" s="37" t="s">
        <v>422</v>
      </c>
      <c r="H25" s="62">
        <v>1</v>
      </c>
    </row>
    <row r="26" spans="2:8" s="62" customFormat="1" x14ac:dyDescent="0.25">
      <c r="B26" s="54"/>
      <c r="C26" s="142" t="s">
        <v>451</v>
      </c>
      <c r="D26" s="146" t="s">
        <v>421</v>
      </c>
      <c r="E26" s="145" t="s">
        <v>82</v>
      </c>
      <c r="F26" s="145" t="s">
        <v>86</v>
      </c>
      <c r="G26" s="37" t="s">
        <v>422</v>
      </c>
      <c r="H26" s="62">
        <v>1</v>
      </c>
    </row>
    <row r="27" spans="2:8" x14ac:dyDescent="0.25">
      <c r="B27" s="54"/>
      <c r="C27" s="142" t="s">
        <v>451</v>
      </c>
      <c r="D27" s="146" t="s">
        <v>421</v>
      </c>
      <c r="E27" s="145" t="s">
        <v>82</v>
      </c>
      <c r="F27" s="145" t="s">
        <v>1511</v>
      </c>
      <c r="G27" s="37" t="s">
        <v>422</v>
      </c>
      <c r="H27" s="62">
        <v>1</v>
      </c>
    </row>
    <row r="28" spans="2:8" x14ac:dyDescent="0.25">
      <c r="B28" s="54"/>
      <c r="C28" s="142" t="s">
        <v>451</v>
      </c>
      <c r="D28" s="146" t="s">
        <v>421</v>
      </c>
      <c r="E28" s="145" t="s">
        <v>82</v>
      </c>
      <c r="F28" s="145" t="s">
        <v>312</v>
      </c>
      <c r="G28" s="37" t="s">
        <v>422</v>
      </c>
      <c r="H28" s="62">
        <v>1</v>
      </c>
    </row>
    <row r="29" spans="2:8" x14ac:dyDescent="0.25">
      <c r="B29" s="54"/>
      <c r="C29" s="142" t="s">
        <v>451</v>
      </c>
      <c r="D29" s="146" t="s">
        <v>421</v>
      </c>
      <c r="E29" s="145" t="s">
        <v>82</v>
      </c>
      <c r="F29" s="145" t="s">
        <v>314</v>
      </c>
      <c r="G29" s="37" t="s">
        <v>422</v>
      </c>
      <c r="H29" s="62">
        <v>1</v>
      </c>
    </row>
    <row r="30" spans="2:8" x14ac:dyDescent="0.25">
      <c r="B30" s="54"/>
      <c r="C30" s="142" t="s">
        <v>451</v>
      </c>
      <c r="D30" s="146" t="s">
        <v>423</v>
      </c>
      <c r="E30" s="145" t="s">
        <v>82</v>
      </c>
      <c r="F30" s="145" t="s">
        <v>280</v>
      </c>
      <c r="G30" s="37" t="s">
        <v>422</v>
      </c>
      <c r="H30" s="62">
        <v>1</v>
      </c>
    </row>
    <row r="31" spans="2:8" x14ac:dyDescent="0.25">
      <c r="B31" s="54" t="s">
        <v>364</v>
      </c>
      <c r="C31" s="142" t="s">
        <v>451</v>
      </c>
      <c r="D31" s="146" t="s">
        <v>423</v>
      </c>
      <c r="E31" s="145" t="s">
        <v>82</v>
      </c>
      <c r="F31" s="145" t="s">
        <v>266</v>
      </c>
      <c r="G31" s="37" t="s">
        <v>422</v>
      </c>
      <c r="H31" s="62">
        <v>1</v>
      </c>
    </row>
    <row r="32" spans="2:8" x14ac:dyDescent="0.25">
      <c r="B32" s="54"/>
      <c r="C32" s="181" t="s">
        <v>451</v>
      </c>
      <c r="D32" s="182" t="s">
        <v>423</v>
      </c>
      <c r="E32" s="183" t="s">
        <v>82</v>
      </c>
      <c r="F32" s="183" t="s">
        <v>115</v>
      </c>
      <c r="G32" s="37" t="s">
        <v>422</v>
      </c>
      <c r="H32" s="62">
        <v>1</v>
      </c>
    </row>
    <row r="33" spans="2:8" x14ac:dyDescent="0.25">
      <c r="B33" s="54"/>
      <c r="C33" s="142" t="s">
        <v>451</v>
      </c>
      <c r="D33" s="146" t="s">
        <v>424</v>
      </c>
      <c r="E33" s="147" t="s">
        <v>82</v>
      </c>
      <c r="F33" s="147" t="s">
        <v>316</v>
      </c>
      <c r="G33" s="37" t="s">
        <v>422</v>
      </c>
      <c r="H33" s="62">
        <v>1</v>
      </c>
    </row>
    <row r="34" spans="2:8" x14ac:dyDescent="0.25">
      <c r="B34" s="54"/>
      <c r="C34" s="142" t="s">
        <v>451</v>
      </c>
      <c r="D34" s="146" t="s">
        <v>424</v>
      </c>
      <c r="E34" s="147" t="s">
        <v>82</v>
      </c>
      <c r="F34" s="147" t="s">
        <v>331</v>
      </c>
      <c r="G34" s="37" t="s">
        <v>422</v>
      </c>
      <c r="H34" s="62">
        <v>1</v>
      </c>
    </row>
    <row r="35" spans="2:8" x14ac:dyDescent="0.25">
      <c r="B35" s="54" t="s">
        <v>370</v>
      </c>
      <c r="C35" s="53" t="s">
        <v>451</v>
      </c>
      <c r="D35" s="144" t="s">
        <v>424</v>
      </c>
      <c r="E35" s="147" t="s">
        <v>82</v>
      </c>
      <c r="F35" s="147" t="s">
        <v>330</v>
      </c>
      <c r="G35" s="37" t="s">
        <v>422</v>
      </c>
      <c r="H35" s="62">
        <v>1</v>
      </c>
    </row>
    <row r="36" spans="2:8" x14ac:dyDescent="0.25">
      <c r="B36" s="54" t="s">
        <v>364</v>
      </c>
      <c r="C36" s="53" t="s">
        <v>451</v>
      </c>
      <c r="D36" s="144" t="s">
        <v>424</v>
      </c>
      <c r="E36" s="147" t="s">
        <v>82</v>
      </c>
      <c r="F36" s="147" t="s">
        <v>483</v>
      </c>
      <c r="G36" s="37" t="s">
        <v>422</v>
      </c>
      <c r="H36" s="62">
        <v>1</v>
      </c>
    </row>
    <row r="37" spans="2:8" x14ac:dyDescent="0.25">
      <c r="B37" s="53" t="s">
        <v>371</v>
      </c>
      <c r="C37" s="53" t="s">
        <v>451</v>
      </c>
      <c r="D37" s="144" t="s">
        <v>424</v>
      </c>
      <c r="E37" s="147" t="s">
        <v>82</v>
      </c>
      <c r="F37" s="147" t="s">
        <v>1685</v>
      </c>
      <c r="G37" s="37" t="s">
        <v>422</v>
      </c>
      <c r="H37" s="62">
        <v>1</v>
      </c>
    </row>
    <row r="38" spans="2:8" s="62" customFormat="1" x14ac:dyDescent="0.25">
      <c r="B38" s="53"/>
      <c r="C38" s="53" t="s">
        <v>451</v>
      </c>
      <c r="D38" s="144" t="s">
        <v>424</v>
      </c>
      <c r="E38" s="147" t="s">
        <v>82</v>
      </c>
      <c r="F38" s="147" t="s">
        <v>342</v>
      </c>
      <c r="G38" s="37" t="s">
        <v>422</v>
      </c>
      <c r="H38" s="62">
        <v>1</v>
      </c>
    </row>
    <row r="39" spans="2:8" s="62" customFormat="1" x14ac:dyDescent="0.25">
      <c r="B39" s="53"/>
      <c r="C39" s="53" t="s">
        <v>451</v>
      </c>
      <c r="D39" s="144" t="s">
        <v>424</v>
      </c>
      <c r="E39" s="147" t="s">
        <v>82</v>
      </c>
      <c r="F39" s="147" t="s">
        <v>2325</v>
      </c>
      <c r="G39" s="37" t="s">
        <v>422</v>
      </c>
      <c r="H39" s="62">
        <v>1</v>
      </c>
    </row>
    <row r="40" spans="2:8" x14ac:dyDescent="0.25">
      <c r="B40" s="53"/>
      <c r="C40" s="53" t="s">
        <v>451</v>
      </c>
      <c r="D40" s="144" t="s">
        <v>424</v>
      </c>
      <c r="E40" s="147" t="s">
        <v>82</v>
      </c>
      <c r="F40" s="147" t="s">
        <v>348</v>
      </c>
      <c r="G40" s="37" t="s">
        <v>422</v>
      </c>
      <c r="H40" s="62">
        <v>1</v>
      </c>
    </row>
    <row r="41" spans="2:8" x14ac:dyDescent="0.25">
      <c r="B41" s="53" t="s">
        <v>372</v>
      </c>
      <c r="C41" s="53" t="s">
        <v>455</v>
      </c>
      <c r="D41" s="144" t="s">
        <v>421</v>
      </c>
      <c r="E41" s="145" t="s">
        <v>82</v>
      </c>
      <c r="F41" s="145" t="s">
        <v>316</v>
      </c>
      <c r="G41" s="37" t="s">
        <v>422</v>
      </c>
      <c r="H41" s="62">
        <v>1</v>
      </c>
    </row>
    <row r="42" spans="2:8" x14ac:dyDescent="0.25">
      <c r="B42" s="53" t="s">
        <v>372</v>
      </c>
      <c r="C42" s="53" t="s">
        <v>455</v>
      </c>
      <c r="D42" s="144" t="s">
        <v>421</v>
      </c>
      <c r="E42" s="145" t="s">
        <v>82</v>
      </c>
      <c r="F42" s="145" t="s">
        <v>316</v>
      </c>
      <c r="G42" s="37" t="s">
        <v>422</v>
      </c>
      <c r="H42" s="62">
        <v>1</v>
      </c>
    </row>
    <row r="43" spans="2:8" x14ac:dyDescent="0.25">
      <c r="B43" s="53" t="s">
        <v>373</v>
      </c>
      <c r="C43" s="143" t="s">
        <v>431</v>
      </c>
      <c r="D43" s="148" t="s">
        <v>428</v>
      </c>
      <c r="E43" s="145" t="s">
        <v>82</v>
      </c>
      <c r="F43" s="145" t="s">
        <v>160</v>
      </c>
      <c r="G43" s="37" t="s">
        <v>422</v>
      </c>
      <c r="H43" s="62">
        <v>1</v>
      </c>
    </row>
    <row r="44" spans="2:8" x14ac:dyDescent="0.25">
      <c r="B44" s="53" t="s">
        <v>373</v>
      </c>
      <c r="C44" s="143" t="s">
        <v>431</v>
      </c>
      <c r="D44" s="148" t="s">
        <v>2685</v>
      </c>
      <c r="E44" s="145" t="s">
        <v>82</v>
      </c>
      <c r="F44" s="145" t="s">
        <v>136</v>
      </c>
      <c r="G44" s="37" t="s">
        <v>422</v>
      </c>
      <c r="H44" s="62">
        <v>1</v>
      </c>
    </row>
    <row r="45" spans="2:8" x14ac:dyDescent="0.25">
      <c r="B45" s="53"/>
      <c r="C45" s="143" t="s">
        <v>431</v>
      </c>
      <c r="D45" s="148" t="s">
        <v>428</v>
      </c>
      <c r="E45" s="145" t="s">
        <v>82</v>
      </c>
      <c r="F45" s="145" t="s">
        <v>139</v>
      </c>
      <c r="G45" s="37" t="s">
        <v>422</v>
      </c>
      <c r="H45" s="62">
        <v>1</v>
      </c>
    </row>
    <row r="46" spans="2:8" x14ac:dyDescent="0.25">
      <c r="B46" s="53"/>
      <c r="C46" s="143" t="s">
        <v>431</v>
      </c>
      <c r="D46" s="148" t="s">
        <v>428</v>
      </c>
      <c r="E46" s="145" t="s">
        <v>82</v>
      </c>
      <c r="F46" s="145" t="s">
        <v>92</v>
      </c>
      <c r="G46" s="37" t="s">
        <v>422</v>
      </c>
      <c r="H46" s="62">
        <v>1</v>
      </c>
    </row>
    <row r="47" spans="2:8" x14ac:dyDescent="0.25">
      <c r="B47" s="53" t="s">
        <v>397</v>
      </c>
      <c r="C47" s="143" t="s">
        <v>431</v>
      </c>
      <c r="D47" s="148" t="s">
        <v>428</v>
      </c>
      <c r="E47" s="145" t="s">
        <v>82</v>
      </c>
      <c r="F47" s="145" t="s">
        <v>96</v>
      </c>
      <c r="G47" s="37" t="s">
        <v>422</v>
      </c>
      <c r="H47" s="62">
        <v>1</v>
      </c>
    </row>
    <row r="48" spans="2:8" x14ac:dyDescent="0.25">
      <c r="B48" s="53"/>
      <c r="C48" s="143" t="s">
        <v>431</v>
      </c>
      <c r="D48" s="148" t="s">
        <v>1435</v>
      </c>
      <c r="E48" s="145" t="s">
        <v>82</v>
      </c>
      <c r="F48" s="145" t="s">
        <v>115</v>
      </c>
      <c r="G48" s="37" t="s">
        <v>422</v>
      </c>
      <c r="H48" s="62">
        <v>1</v>
      </c>
    </row>
    <row r="49" spans="2:8" x14ac:dyDescent="0.25">
      <c r="B49" s="53"/>
      <c r="C49" s="143" t="s">
        <v>431</v>
      </c>
      <c r="D49" s="148" t="s">
        <v>430</v>
      </c>
      <c r="E49" s="145" t="s">
        <v>82</v>
      </c>
      <c r="F49" s="145" t="s">
        <v>1511</v>
      </c>
      <c r="G49" s="37" t="s">
        <v>422</v>
      </c>
      <c r="H49" s="62">
        <v>1</v>
      </c>
    </row>
    <row r="50" spans="2:8" s="62" customFormat="1" x14ac:dyDescent="0.25">
      <c r="B50" s="53"/>
      <c r="C50" s="143" t="s">
        <v>431</v>
      </c>
      <c r="D50" s="148" t="s">
        <v>430</v>
      </c>
      <c r="E50" s="145" t="s">
        <v>82</v>
      </c>
      <c r="F50" s="145" t="s">
        <v>86</v>
      </c>
      <c r="G50" s="37" t="s">
        <v>422</v>
      </c>
      <c r="H50" s="62">
        <v>1</v>
      </c>
    </row>
    <row r="51" spans="2:8" x14ac:dyDescent="0.25">
      <c r="B51" s="53"/>
      <c r="C51" s="53" t="s">
        <v>431</v>
      </c>
      <c r="D51" s="144" t="s">
        <v>432</v>
      </c>
      <c r="E51" s="145" t="s">
        <v>82</v>
      </c>
      <c r="F51" s="145" t="s">
        <v>280</v>
      </c>
      <c r="G51" s="37" t="s">
        <v>422</v>
      </c>
      <c r="H51" s="62">
        <v>1</v>
      </c>
    </row>
    <row r="52" spans="2:8" x14ac:dyDescent="0.25">
      <c r="B52" s="53"/>
      <c r="C52" s="53" t="s">
        <v>431</v>
      </c>
      <c r="D52" s="144" t="s">
        <v>433</v>
      </c>
      <c r="E52" s="145" t="s">
        <v>82</v>
      </c>
      <c r="F52" s="145" t="s">
        <v>316</v>
      </c>
      <c r="G52" s="37" t="s">
        <v>422</v>
      </c>
      <c r="H52" s="62">
        <v>1</v>
      </c>
    </row>
    <row r="53" spans="2:8" x14ac:dyDescent="0.25">
      <c r="B53" s="53" t="s">
        <v>397</v>
      </c>
      <c r="C53" s="53" t="s">
        <v>431</v>
      </c>
      <c r="D53" s="144" t="s">
        <v>433</v>
      </c>
      <c r="E53" s="145" t="s">
        <v>82</v>
      </c>
      <c r="F53" s="145" t="s">
        <v>103</v>
      </c>
      <c r="G53" s="37" t="s">
        <v>422</v>
      </c>
      <c r="H53" s="62">
        <v>1</v>
      </c>
    </row>
    <row r="54" spans="2:8" x14ac:dyDescent="0.25">
      <c r="B54" s="53"/>
      <c r="C54" s="53" t="s">
        <v>431</v>
      </c>
      <c r="D54" s="144" t="s">
        <v>433</v>
      </c>
      <c r="E54" s="145" t="s">
        <v>82</v>
      </c>
      <c r="F54" s="145" t="s">
        <v>342</v>
      </c>
      <c r="G54" s="37" t="s">
        <v>422</v>
      </c>
      <c r="H54" s="62">
        <v>1</v>
      </c>
    </row>
    <row r="55" spans="2:8" x14ac:dyDescent="0.25">
      <c r="B55" s="53"/>
      <c r="C55" s="53" t="s">
        <v>431</v>
      </c>
      <c r="D55" s="144" t="s">
        <v>433</v>
      </c>
      <c r="E55" s="145" t="s">
        <v>82</v>
      </c>
      <c r="F55" s="145" t="s">
        <v>331</v>
      </c>
      <c r="G55" s="37" t="s">
        <v>422</v>
      </c>
      <c r="H55" s="62">
        <v>1</v>
      </c>
    </row>
    <row r="56" spans="2:8" x14ac:dyDescent="0.25">
      <c r="B56" s="53" t="s">
        <v>417</v>
      </c>
      <c r="C56" s="53" t="s">
        <v>431</v>
      </c>
      <c r="D56" s="144" t="s">
        <v>433</v>
      </c>
      <c r="E56" s="145" t="s">
        <v>82</v>
      </c>
      <c r="F56" s="145" t="s">
        <v>348</v>
      </c>
      <c r="G56" s="37" t="s">
        <v>422</v>
      </c>
      <c r="H56" s="62">
        <v>1</v>
      </c>
    </row>
    <row r="57" spans="2:8" x14ac:dyDescent="0.25">
      <c r="B57" s="53" t="s">
        <v>417</v>
      </c>
      <c r="C57" s="53" t="s">
        <v>431</v>
      </c>
      <c r="D57" s="144" t="s">
        <v>433</v>
      </c>
      <c r="E57" s="145" t="s">
        <v>82</v>
      </c>
      <c r="F57" s="145" t="s">
        <v>136</v>
      </c>
      <c r="G57" s="37" t="s">
        <v>422</v>
      </c>
      <c r="H57" s="62">
        <v>1</v>
      </c>
    </row>
    <row r="58" spans="2:8" s="62" customFormat="1" x14ac:dyDescent="0.25">
      <c r="B58" s="53"/>
      <c r="C58" s="53" t="s">
        <v>431</v>
      </c>
      <c r="D58" s="144" t="s">
        <v>1435</v>
      </c>
      <c r="E58" s="145" t="s">
        <v>82</v>
      </c>
      <c r="F58" s="145" t="s">
        <v>1685</v>
      </c>
      <c r="G58" s="37" t="s">
        <v>422</v>
      </c>
      <c r="H58" s="62">
        <v>1</v>
      </c>
    </row>
    <row r="59" spans="2:8" s="62" customFormat="1" x14ac:dyDescent="0.25">
      <c r="B59" s="53"/>
      <c r="C59" s="53" t="s">
        <v>431</v>
      </c>
      <c r="D59" s="144" t="s">
        <v>1435</v>
      </c>
      <c r="E59" s="145" t="s">
        <v>82</v>
      </c>
      <c r="F59" s="145" t="s">
        <v>2091</v>
      </c>
      <c r="G59" s="37" t="s">
        <v>422</v>
      </c>
      <c r="H59" s="62">
        <v>1</v>
      </c>
    </row>
    <row r="60" spans="2:8" x14ac:dyDescent="0.25">
      <c r="B60" s="53"/>
      <c r="C60" s="53" t="s">
        <v>431</v>
      </c>
      <c r="D60" s="144" t="s">
        <v>465</v>
      </c>
      <c r="E60" s="145" t="s">
        <v>82</v>
      </c>
      <c r="F60" s="145" t="s">
        <v>312</v>
      </c>
      <c r="G60" s="37" t="s">
        <v>422</v>
      </c>
      <c r="H60" s="62">
        <v>1</v>
      </c>
    </row>
    <row r="61" spans="2:8" x14ac:dyDescent="0.25">
      <c r="B61" s="53" t="s">
        <v>387</v>
      </c>
      <c r="C61" s="53" t="s">
        <v>431</v>
      </c>
      <c r="D61" s="144" t="s">
        <v>465</v>
      </c>
      <c r="E61" s="145" t="s">
        <v>82</v>
      </c>
      <c r="F61" s="145" t="s">
        <v>266</v>
      </c>
      <c r="G61" s="37" t="s">
        <v>422</v>
      </c>
      <c r="H61" s="62">
        <v>1</v>
      </c>
    </row>
    <row r="62" spans="2:8" x14ac:dyDescent="0.25">
      <c r="B62" s="53"/>
      <c r="C62" s="53" t="s">
        <v>431</v>
      </c>
      <c r="D62" s="144" t="s">
        <v>465</v>
      </c>
      <c r="E62" s="145" t="s">
        <v>82</v>
      </c>
      <c r="F62" s="145" t="s">
        <v>314</v>
      </c>
      <c r="G62" s="37" t="s">
        <v>422</v>
      </c>
      <c r="H62" s="62">
        <v>1</v>
      </c>
    </row>
    <row r="63" spans="2:8" x14ac:dyDescent="0.25">
      <c r="B63" s="53"/>
      <c r="C63" s="53" t="s">
        <v>456</v>
      </c>
      <c r="D63" s="144" t="s">
        <v>421</v>
      </c>
      <c r="E63" s="145" t="s">
        <v>82</v>
      </c>
      <c r="F63" s="145" t="s">
        <v>312</v>
      </c>
      <c r="G63" s="37" t="s">
        <v>422</v>
      </c>
      <c r="H63" s="62">
        <v>1</v>
      </c>
    </row>
    <row r="64" spans="2:8" x14ac:dyDescent="0.25">
      <c r="B64" s="53" t="s">
        <v>387</v>
      </c>
      <c r="C64" s="53" t="s">
        <v>456</v>
      </c>
      <c r="D64" s="144" t="s">
        <v>421</v>
      </c>
      <c r="E64" s="145" t="s">
        <v>82</v>
      </c>
      <c r="F64" s="145" t="s">
        <v>137</v>
      </c>
      <c r="G64" s="37" t="s">
        <v>422</v>
      </c>
      <c r="H64" s="62">
        <v>1</v>
      </c>
    </row>
    <row r="65" spans="2:8" x14ac:dyDescent="0.25">
      <c r="B65" s="53" t="s">
        <v>388</v>
      </c>
      <c r="C65" s="53" t="s">
        <v>456</v>
      </c>
      <c r="D65" s="144" t="s">
        <v>457</v>
      </c>
      <c r="E65" s="145" t="s">
        <v>82</v>
      </c>
      <c r="F65" s="145" t="s">
        <v>103</v>
      </c>
      <c r="G65" s="37" t="s">
        <v>422</v>
      </c>
      <c r="H65" s="62">
        <v>1</v>
      </c>
    </row>
    <row r="66" spans="2:8" x14ac:dyDescent="0.25">
      <c r="B66" s="53" t="s">
        <v>389</v>
      </c>
      <c r="C66" s="53" t="s">
        <v>456</v>
      </c>
      <c r="D66" s="144" t="s">
        <v>457</v>
      </c>
      <c r="E66" s="145" t="s">
        <v>82</v>
      </c>
      <c r="F66" s="145" t="s">
        <v>136</v>
      </c>
      <c r="G66" s="37" t="s">
        <v>422</v>
      </c>
      <c r="H66" s="62">
        <v>1</v>
      </c>
    </row>
    <row r="67" spans="2:8" s="62" customFormat="1" x14ac:dyDescent="0.25">
      <c r="B67" s="53"/>
      <c r="C67" s="53" t="s">
        <v>456</v>
      </c>
      <c r="D67" s="144" t="s">
        <v>1436</v>
      </c>
      <c r="E67" s="145" t="s">
        <v>82</v>
      </c>
      <c r="F67" s="145" t="s">
        <v>2091</v>
      </c>
      <c r="G67" s="37" t="s">
        <v>422</v>
      </c>
      <c r="H67" s="62">
        <v>1</v>
      </c>
    </row>
    <row r="68" spans="2:8" x14ac:dyDescent="0.25">
      <c r="B68" s="53" t="s">
        <v>389</v>
      </c>
      <c r="C68" s="53" t="s">
        <v>454</v>
      </c>
      <c r="D68" s="144" t="s">
        <v>421</v>
      </c>
      <c r="E68" s="145" t="s">
        <v>82</v>
      </c>
      <c r="F68" s="145" t="s">
        <v>280</v>
      </c>
      <c r="G68" s="37" t="s">
        <v>422</v>
      </c>
      <c r="H68" s="62">
        <v>1</v>
      </c>
    </row>
    <row r="69" spans="2:8" s="62" customFormat="1" x14ac:dyDescent="0.25">
      <c r="B69" s="53"/>
      <c r="C69" s="53" t="s">
        <v>454</v>
      </c>
      <c r="D69" s="144" t="s">
        <v>423</v>
      </c>
      <c r="E69" s="145" t="s">
        <v>82</v>
      </c>
      <c r="F69" s="145" t="s">
        <v>1745</v>
      </c>
      <c r="G69" s="37" t="s">
        <v>422</v>
      </c>
      <c r="H69" s="62">
        <v>1</v>
      </c>
    </row>
    <row r="70" spans="2:8" x14ac:dyDescent="0.25">
      <c r="B70" s="53" t="s">
        <v>390</v>
      </c>
      <c r="C70" s="53" t="s">
        <v>452</v>
      </c>
      <c r="D70" s="144" t="s">
        <v>421</v>
      </c>
      <c r="E70" s="145" t="s">
        <v>82</v>
      </c>
      <c r="F70" s="145" t="s">
        <v>139</v>
      </c>
      <c r="G70" s="37" t="s">
        <v>422</v>
      </c>
      <c r="H70" s="62">
        <v>1</v>
      </c>
    </row>
    <row r="71" spans="2:8" x14ac:dyDescent="0.25">
      <c r="B71" s="53" t="s">
        <v>390</v>
      </c>
      <c r="C71" s="53" t="s">
        <v>452</v>
      </c>
      <c r="D71" s="144" t="s">
        <v>423</v>
      </c>
      <c r="E71" s="145" t="s">
        <v>82</v>
      </c>
      <c r="F71" s="145" t="s">
        <v>280</v>
      </c>
      <c r="G71" s="37" t="s">
        <v>422</v>
      </c>
      <c r="H71" s="62">
        <v>1</v>
      </c>
    </row>
    <row r="72" spans="2:8" x14ac:dyDescent="0.25">
      <c r="B72" s="53" t="s">
        <v>391</v>
      </c>
      <c r="C72" s="53" t="s">
        <v>452</v>
      </c>
      <c r="D72" s="144" t="s">
        <v>423</v>
      </c>
      <c r="E72" s="145" t="s">
        <v>82</v>
      </c>
      <c r="F72" s="145" t="s">
        <v>342</v>
      </c>
      <c r="G72" s="37" t="s">
        <v>422</v>
      </c>
      <c r="H72" s="62">
        <v>1</v>
      </c>
    </row>
    <row r="73" spans="2:8" x14ac:dyDescent="0.25">
      <c r="B73" s="53" t="s">
        <v>391</v>
      </c>
      <c r="C73" s="53" t="s">
        <v>452</v>
      </c>
      <c r="D73" s="144" t="s">
        <v>424</v>
      </c>
      <c r="E73" s="145" t="s">
        <v>82</v>
      </c>
      <c r="F73" s="145" t="s">
        <v>483</v>
      </c>
      <c r="G73" s="37" t="s">
        <v>422</v>
      </c>
      <c r="H73" s="62">
        <v>1</v>
      </c>
    </row>
    <row r="74" spans="2:8" s="62" customFormat="1" x14ac:dyDescent="0.25">
      <c r="B74" s="53"/>
      <c r="C74" s="53" t="s">
        <v>2202</v>
      </c>
      <c r="D74" s="144" t="s">
        <v>1728</v>
      </c>
      <c r="E74" s="145" t="s">
        <v>84</v>
      </c>
      <c r="F74" s="145" t="s">
        <v>280</v>
      </c>
      <c r="G74" s="37" t="s">
        <v>422</v>
      </c>
      <c r="H74" s="62">
        <v>2</v>
      </c>
    </row>
    <row r="75" spans="2:8" s="62" customFormat="1" x14ac:dyDescent="0.25">
      <c r="B75" s="53"/>
      <c r="C75" s="53" t="s">
        <v>452</v>
      </c>
      <c r="D75" s="144" t="s">
        <v>2025</v>
      </c>
      <c r="E75" s="145" t="s">
        <v>82</v>
      </c>
      <c r="F75" s="145" t="s">
        <v>1685</v>
      </c>
      <c r="G75" s="37" t="s">
        <v>422</v>
      </c>
      <c r="H75" s="62">
        <v>1</v>
      </c>
    </row>
    <row r="76" spans="2:8" x14ac:dyDescent="0.25">
      <c r="B76" s="53"/>
      <c r="C76" s="53" t="s">
        <v>453</v>
      </c>
      <c r="D76" s="144" t="s">
        <v>424</v>
      </c>
      <c r="E76" s="145" t="s">
        <v>82</v>
      </c>
      <c r="F76" s="145" t="s">
        <v>266</v>
      </c>
      <c r="G76" s="37" t="s">
        <v>422</v>
      </c>
      <c r="H76" s="62">
        <v>1</v>
      </c>
    </row>
    <row r="77" spans="2:8" x14ac:dyDescent="0.25">
      <c r="B77" s="53"/>
      <c r="C77" s="53" t="s">
        <v>453</v>
      </c>
      <c r="D77" s="144" t="s">
        <v>424</v>
      </c>
      <c r="E77" s="145" t="s">
        <v>82</v>
      </c>
      <c r="F77" s="145" t="s">
        <v>115</v>
      </c>
      <c r="G77" s="37" t="s">
        <v>422</v>
      </c>
      <c r="H77" s="62">
        <v>1</v>
      </c>
    </row>
    <row r="78" spans="2:8" x14ac:dyDescent="0.25">
      <c r="B78" s="53"/>
      <c r="C78" s="53" t="s">
        <v>441</v>
      </c>
      <c r="D78" s="144" t="s">
        <v>442</v>
      </c>
      <c r="E78" s="145" t="s">
        <v>82</v>
      </c>
      <c r="F78" s="145" t="s">
        <v>312</v>
      </c>
      <c r="G78" s="37" t="s">
        <v>422</v>
      </c>
      <c r="H78" s="62">
        <v>1</v>
      </c>
    </row>
    <row r="79" spans="2:8" x14ac:dyDescent="0.25">
      <c r="B79" s="53"/>
      <c r="C79" s="53" t="s">
        <v>459</v>
      </c>
      <c r="D79" s="144" t="s">
        <v>423</v>
      </c>
      <c r="E79" s="145" t="s">
        <v>82</v>
      </c>
      <c r="F79" s="145" t="s">
        <v>12</v>
      </c>
      <c r="G79" s="37" t="s">
        <v>422</v>
      </c>
      <c r="H79" s="62">
        <v>1</v>
      </c>
    </row>
    <row r="80" spans="2:8" x14ac:dyDescent="0.25">
      <c r="B80" s="53"/>
      <c r="C80" s="53" t="s">
        <v>443</v>
      </c>
      <c r="D80" s="144" t="s">
        <v>421</v>
      </c>
      <c r="E80" s="145" t="s">
        <v>82</v>
      </c>
      <c r="F80" s="145" t="s">
        <v>312</v>
      </c>
      <c r="G80" s="37" t="s">
        <v>422</v>
      </c>
      <c r="H80" s="62">
        <v>1</v>
      </c>
    </row>
    <row r="81" spans="2:8" s="62" customFormat="1" x14ac:dyDescent="0.25">
      <c r="B81" s="53"/>
      <c r="C81" s="53" t="s">
        <v>2417</v>
      </c>
      <c r="D81" s="144" t="s">
        <v>421</v>
      </c>
      <c r="E81" s="145" t="s">
        <v>82</v>
      </c>
      <c r="F81" s="145" t="s">
        <v>1685</v>
      </c>
      <c r="G81" s="37" t="s">
        <v>422</v>
      </c>
      <c r="H81" s="62">
        <v>1</v>
      </c>
    </row>
    <row r="82" spans="2:8" s="62" customFormat="1" x14ac:dyDescent="0.25">
      <c r="B82" s="53"/>
      <c r="C82" s="53" t="s">
        <v>2417</v>
      </c>
      <c r="D82" s="144" t="s">
        <v>421</v>
      </c>
      <c r="E82" s="145" t="s">
        <v>82</v>
      </c>
      <c r="F82" s="145" t="s">
        <v>316</v>
      </c>
      <c r="G82" s="37" t="s">
        <v>422</v>
      </c>
      <c r="H82" s="62">
        <v>1</v>
      </c>
    </row>
    <row r="83" spans="2:8" s="62" customFormat="1" x14ac:dyDescent="0.25">
      <c r="B83" s="53"/>
      <c r="C83" s="53" t="s">
        <v>2417</v>
      </c>
      <c r="D83" s="144" t="s">
        <v>421</v>
      </c>
      <c r="E83" s="145" t="s">
        <v>84</v>
      </c>
      <c r="F83" s="145" t="s">
        <v>316</v>
      </c>
      <c r="G83" s="37" t="s">
        <v>422</v>
      </c>
      <c r="H83" s="62">
        <v>2</v>
      </c>
    </row>
    <row r="84" spans="2:8" s="62" customFormat="1" x14ac:dyDescent="0.25">
      <c r="B84" s="53"/>
      <c r="C84" s="53" t="s">
        <v>2417</v>
      </c>
      <c r="D84" s="144" t="s">
        <v>421</v>
      </c>
      <c r="E84" s="145" t="s">
        <v>84</v>
      </c>
      <c r="F84" s="145" t="s">
        <v>1685</v>
      </c>
      <c r="G84" s="37" t="s">
        <v>422</v>
      </c>
      <c r="H84" s="62">
        <v>2</v>
      </c>
    </row>
    <row r="85" spans="2:8" x14ac:dyDescent="0.25">
      <c r="B85" s="53" t="s">
        <v>392</v>
      </c>
      <c r="C85" s="53" t="s">
        <v>407</v>
      </c>
      <c r="D85" s="144" t="s">
        <v>435</v>
      </c>
      <c r="E85" s="145" t="s">
        <v>84</v>
      </c>
      <c r="F85" s="145" t="s">
        <v>12</v>
      </c>
      <c r="G85" s="37" t="s">
        <v>422</v>
      </c>
      <c r="H85" s="62">
        <v>2</v>
      </c>
    </row>
    <row r="86" spans="2:8" x14ac:dyDescent="0.25">
      <c r="B86" s="53" t="s">
        <v>408</v>
      </c>
      <c r="C86" s="53" t="s">
        <v>407</v>
      </c>
      <c r="D86" s="144" t="s">
        <v>435</v>
      </c>
      <c r="E86" s="145" t="s">
        <v>84</v>
      </c>
      <c r="F86" s="145" t="s">
        <v>86</v>
      </c>
      <c r="G86" s="37" t="s">
        <v>422</v>
      </c>
      <c r="H86" s="62">
        <v>2</v>
      </c>
    </row>
    <row r="87" spans="2:8" s="62" customFormat="1" x14ac:dyDescent="0.25">
      <c r="B87" s="53"/>
      <c r="C87" s="53" t="s">
        <v>407</v>
      </c>
      <c r="D87" s="144" t="s">
        <v>435</v>
      </c>
      <c r="E87" s="145" t="s">
        <v>84</v>
      </c>
      <c r="F87" s="145" t="s">
        <v>1511</v>
      </c>
      <c r="G87" s="37" t="s">
        <v>422</v>
      </c>
      <c r="H87" s="62">
        <v>2</v>
      </c>
    </row>
    <row r="88" spans="2:8" x14ac:dyDescent="0.25">
      <c r="B88" s="53" t="s">
        <v>408</v>
      </c>
      <c r="C88" s="53" t="s">
        <v>407</v>
      </c>
      <c r="D88" s="144" t="s">
        <v>469</v>
      </c>
      <c r="E88" s="145" t="s">
        <v>84</v>
      </c>
      <c r="F88" s="145" t="s">
        <v>137</v>
      </c>
      <c r="G88" s="37" t="s">
        <v>422</v>
      </c>
      <c r="H88" s="62">
        <v>2</v>
      </c>
    </row>
    <row r="89" spans="2:8" x14ac:dyDescent="0.25">
      <c r="B89" s="53"/>
      <c r="C89" s="53" t="s">
        <v>407</v>
      </c>
      <c r="D89" s="144" t="s">
        <v>437</v>
      </c>
      <c r="E89" s="145" t="s">
        <v>84</v>
      </c>
      <c r="F89" s="145" t="s">
        <v>139</v>
      </c>
      <c r="G89" s="37" t="s">
        <v>422</v>
      </c>
      <c r="H89" s="62">
        <v>2</v>
      </c>
    </row>
    <row r="90" spans="2:8" x14ac:dyDescent="0.25">
      <c r="B90" s="53"/>
      <c r="C90" s="53" t="s">
        <v>407</v>
      </c>
      <c r="D90" s="144" t="s">
        <v>437</v>
      </c>
      <c r="E90" s="145" t="s">
        <v>84</v>
      </c>
      <c r="F90" s="145" t="s">
        <v>266</v>
      </c>
      <c r="G90" s="37" t="s">
        <v>422</v>
      </c>
      <c r="H90" s="62">
        <v>2</v>
      </c>
    </row>
    <row r="91" spans="2:8" x14ac:dyDescent="0.25">
      <c r="B91" s="53"/>
      <c r="C91" s="53" t="s">
        <v>407</v>
      </c>
      <c r="D91" s="144" t="s">
        <v>437</v>
      </c>
      <c r="E91" s="145" t="s">
        <v>84</v>
      </c>
      <c r="F91" s="145" t="s">
        <v>330</v>
      </c>
      <c r="G91" s="37" t="s">
        <v>422</v>
      </c>
      <c r="H91" s="62">
        <v>2</v>
      </c>
    </row>
    <row r="92" spans="2:8" x14ac:dyDescent="0.25">
      <c r="B92" s="53" t="s">
        <v>409</v>
      </c>
      <c r="C92" s="53" t="s">
        <v>407</v>
      </c>
      <c r="D92" s="150" t="s">
        <v>426</v>
      </c>
      <c r="E92" s="145" t="s">
        <v>84</v>
      </c>
      <c r="F92" s="145" t="s">
        <v>312</v>
      </c>
      <c r="G92" s="37" t="s">
        <v>422</v>
      </c>
      <c r="H92" s="62">
        <v>2</v>
      </c>
    </row>
    <row r="93" spans="2:8" x14ac:dyDescent="0.25">
      <c r="B93" s="53" t="s">
        <v>409</v>
      </c>
      <c r="C93" s="53" t="s">
        <v>407</v>
      </c>
      <c r="D93" s="150" t="s">
        <v>436</v>
      </c>
      <c r="E93" s="145" t="s">
        <v>84</v>
      </c>
      <c r="F93" s="145" t="s">
        <v>314</v>
      </c>
      <c r="G93" s="37" t="s">
        <v>422</v>
      </c>
      <c r="H93" s="62">
        <v>2</v>
      </c>
    </row>
    <row r="94" spans="2:8" x14ac:dyDescent="0.25">
      <c r="B94" s="53" t="s">
        <v>410</v>
      </c>
      <c r="C94" s="56" t="s">
        <v>407</v>
      </c>
      <c r="D94" s="150" t="s">
        <v>438</v>
      </c>
      <c r="E94" s="145" t="s">
        <v>84</v>
      </c>
      <c r="F94" s="145" t="s">
        <v>331</v>
      </c>
      <c r="G94" s="37" t="s">
        <v>422</v>
      </c>
      <c r="H94" s="62">
        <v>2</v>
      </c>
    </row>
    <row r="95" spans="2:8" x14ac:dyDescent="0.25">
      <c r="B95" s="53" t="s">
        <v>410</v>
      </c>
      <c r="C95" s="56" t="s">
        <v>407</v>
      </c>
      <c r="D95" s="150" t="s">
        <v>438</v>
      </c>
      <c r="E95" s="145" t="s">
        <v>84</v>
      </c>
      <c r="F95" s="145" t="s">
        <v>342</v>
      </c>
      <c r="G95" s="37" t="s">
        <v>422</v>
      </c>
      <c r="H95" s="62">
        <v>2</v>
      </c>
    </row>
    <row r="96" spans="2:8" x14ac:dyDescent="0.25">
      <c r="B96" s="53" t="s">
        <v>374</v>
      </c>
      <c r="C96" s="56" t="s">
        <v>407</v>
      </c>
      <c r="D96" s="150" t="s">
        <v>439</v>
      </c>
      <c r="E96" s="145" t="s">
        <v>84</v>
      </c>
      <c r="F96" s="145" t="s">
        <v>103</v>
      </c>
      <c r="G96" s="37" t="s">
        <v>422</v>
      </c>
      <c r="H96" s="62">
        <v>2</v>
      </c>
    </row>
    <row r="97" spans="1:8" x14ac:dyDescent="0.25">
      <c r="B97" s="53" t="s">
        <v>374</v>
      </c>
      <c r="C97" s="56" t="s">
        <v>407</v>
      </c>
      <c r="D97" s="150" t="s">
        <v>930</v>
      </c>
      <c r="E97" s="145" t="s">
        <v>84</v>
      </c>
      <c r="F97" s="145" t="s">
        <v>316</v>
      </c>
      <c r="G97" s="37" t="s">
        <v>422</v>
      </c>
      <c r="H97" s="62">
        <v>2</v>
      </c>
    </row>
    <row r="98" spans="1:8" s="62" customFormat="1" x14ac:dyDescent="0.25">
      <c r="B98" s="53"/>
      <c r="C98" s="56" t="s">
        <v>407</v>
      </c>
      <c r="D98" s="150" t="s">
        <v>930</v>
      </c>
      <c r="E98" s="145" t="s">
        <v>84</v>
      </c>
      <c r="F98" s="145" t="s">
        <v>1685</v>
      </c>
      <c r="G98" s="37" t="s">
        <v>422</v>
      </c>
      <c r="H98" s="62">
        <v>2</v>
      </c>
    </row>
    <row r="99" spans="1:8" x14ac:dyDescent="0.25">
      <c r="B99" s="53" t="s">
        <v>375</v>
      </c>
      <c r="C99" s="56" t="s">
        <v>407</v>
      </c>
      <c r="D99" s="150" t="s">
        <v>930</v>
      </c>
      <c r="E99" s="145" t="s">
        <v>84</v>
      </c>
      <c r="F99" s="145" t="s">
        <v>483</v>
      </c>
      <c r="G99" s="37" t="s">
        <v>422</v>
      </c>
      <c r="H99" s="62">
        <v>2</v>
      </c>
    </row>
    <row r="100" spans="1:8" x14ac:dyDescent="0.25">
      <c r="B100" s="53" t="s">
        <v>375</v>
      </c>
      <c r="C100" s="56" t="s">
        <v>407</v>
      </c>
      <c r="D100" s="150" t="s">
        <v>1441</v>
      </c>
      <c r="E100" s="145" t="s">
        <v>84</v>
      </c>
      <c r="F100" s="145" t="s">
        <v>136</v>
      </c>
      <c r="G100" s="37" t="s">
        <v>422</v>
      </c>
      <c r="H100" s="62">
        <v>2</v>
      </c>
    </row>
    <row r="101" spans="1:8" x14ac:dyDescent="0.25">
      <c r="B101" s="53" t="s">
        <v>376</v>
      </c>
      <c r="C101" s="56" t="s">
        <v>407</v>
      </c>
      <c r="D101" s="150" t="s">
        <v>1442</v>
      </c>
      <c r="E101" s="145" t="s">
        <v>84</v>
      </c>
      <c r="F101" s="145" t="s">
        <v>348</v>
      </c>
      <c r="G101" s="37" t="s">
        <v>422</v>
      </c>
      <c r="H101" s="62">
        <v>2</v>
      </c>
    </row>
    <row r="102" spans="1:8" s="62" customFormat="1" x14ac:dyDescent="0.25">
      <c r="B102" s="53"/>
      <c r="C102" s="56" t="s">
        <v>407</v>
      </c>
      <c r="D102" s="150" t="s">
        <v>1718</v>
      </c>
      <c r="E102" s="145" t="s">
        <v>84</v>
      </c>
      <c r="F102" s="145" t="s">
        <v>115</v>
      </c>
      <c r="G102" s="37" t="s">
        <v>422</v>
      </c>
      <c r="H102" s="62">
        <v>2</v>
      </c>
    </row>
    <row r="103" spans="1:8" x14ac:dyDescent="0.25">
      <c r="B103" s="53" t="s">
        <v>376</v>
      </c>
      <c r="C103" s="56" t="s">
        <v>407</v>
      </c>
      <c r="D103" s="150" t="s">
        <v>2324</v>
      </c>
      <c r="E103" s="145" t="s">
        <v>84</v>
      </c>
      <c r="F103" s="145" t="s">
        <v>280</v>
      </c>
      <c r="G103" s="37" t="s">
        <v>422</v>
      </c>
      <c r="H103" s="62">
        <v>2</v>
      </c>
    </row>
    <row r="104" spans="1:8" x14ac:dyDescent="0.25">
      <c r="B104" s="53" t="s">
        <v>384</v>
      </c>
      <c r="C104" s="56" t="s">
        <v>407</v>
      </c>
      <c r="D104" s="150" t="s">
        <v>470</v>
      </c>
      <c r="E104" s="145" t="s">
        <v>84</v>
      </c>
      <c r="F104" s="145" t="s">
        <v>92</v>
      </c>
      <c r="G104" s="37" t="s">
        <v>422</v>
      </c>
      <c r="H104" s="62">
        <v>2</v>
      </c>
    </row>
    <row r="105" spans="1:8" x14ac:dyDescent="0.25">
      <c r="B105" s="53" t="s">
        <v>384</v>
      </c>
      <c r="C105" s="56" t="s">
        <v>458</v>
      </c>
      <c r="D105" s="150" t="s">
        <v>421</v>
      </c>
      <c r="E105" s="145" t="s">
        <v>84</v>
      </c>
      <c r="F105" s="145" t="s">
        <v>312</v>
      </c>
      <c r="G105" s="37" t="s">
        <v>422</v>
      </c>
      <c r="H105" s="62">
        <v>2</v>
      </c>
    </row>
    <row r="106" spans="1:8" ht="43.5" customHeight="1" x14ac:dyDescent="0.25">
      <c r="A106" s="55" t="s">
        <v>365</v>
      </c>
      <c r="B106" s="56" t="s">
        <v>385</v>
      </c>
      <c r="C106" s="56" t="s">
        <v>458</v>
      </c>
      <c r="D106" s="150" t="s">
        <v>421</v>
      </c>
      <c r="E106" s="145" t="s">
        <v>84</v>
      </c>
      <c r="F106" s="145" t="s">
        <v>312</v>
      </c>
      <c r="G106" s="37" t="s">
        <v>422</v>
      </c>
      <c r="H106" s="62">
        <v>2</v>
      </c>
    </row>
    <row r="107" spans="1:8" x14ac:dyDescent="0.25">
      <c r="A107" s="57"/>
      <c r="B107" s="56" t="s">
        <v>385</v>
      </c>
      <c r="C107" s="184" t="s">
        <v>364</v>
      </c>
      <c r="D107" s="149" t="s">
        <v>429</v>
      </c>
      <c r="E107" s="145" t="s">
        <v>84</v>
      </c>
      <c r="F107" s="145" t="s">
        <v>160</v>
      </c>
      <c r="G107" s="37" t="s">
        <v>422</v>
      </c>
      <c r="H107" s="62">
        <v>2</v>
      </c>
    </row>
    <row r="108" spans="1:8" x14ac:dyDescent="0.25">
      <c r="A108" s="57"/>
      <c r="B108" s="56" t="s">
        <v>377</v>
      </c>
      <c r="C108" s="184" t="s">
        <v>364</v>
      </c>
      <c r="D108" s="149" t="s">
        <v>429</v>
      </c>
      <c r="E108" s="145" t="s">
        <v>84</v>
      </c>
      <c r="F108" s="145" t="s">
        <v>136</v>
      </c>
      <c r="G108" s="37" t="s">
        <v>422</v>
      </c>
      <c r="H108" s="62">
        <v>2</v>
      </c>
    </row>
    <row r="109" spans="1:8" x14ac:dyDescent="0.25">
      <c r="A109" s="57"/>
      <c r="B109" s="56"/>
      <c r="C109" s="184" t="s">
        <v>364</v>
      </c>
      <c r="D109" s="149" t="s">
        <v>429</v>
      </c>
      <c r="E109" s="145" t="s">
        <v>84</v>
      </c>
      <c r="F109" s="145" t="s">
        <v>139</v>
      </c>
      <c r="G109" s="37" t="s">
        <v>422</v>
      </c>
      <c r="H109" s="62">
        <v>2</v>
      </c>
    </row>
    <row r="110" spans="1:8" x14ac:dyDescent="0.25">
      <c r="A110" s="57"/>
      <c r="B110" s="56" t="s">
        <v>377</v>
      </c>
      <c r="C110" s="184" t="s">
        <v>364</v>
      </c>
      <c r="D110" s="149" t="s">
        <v>429</v>
      </c>
      <c r="E110" s="145" t="s">
        <v>84</v>
      </c>
      <c r="F110" s="145" t="s">
        <v>92</v>
      </c>
      <c r="G110" s="37" t="s">
        <v>422</v>
      </c>
      <c r="H110" s="62">
        <v>2</v>
      </c>
    </row>
    <row r="111" spans="1:8" x14ac:dyDescent="0.25">
      <c r="A111" s="57"/>
      <c r="B111" s="56" t="s">
        <v>412</v>
      </c>
      <c r="C111" s="184" t="s">
        <v>364</v>
      </c>
      <c r="D111" s="149" t="s">
        <v>429</v>
      </c>
      <c r="E111" s="145" t="s">
        <v>84</v>
      </c>
      <c r="F111" s="145" t="s">
        <v>96</v>
      </c>
      <c r="G111" s="37" t="s">
        <v>422</v>
      </c>
      <c r="H111" s="62">
        <v>2</v>
      </c>
    </row>
    <row r="112" spans="1:8" x14ac:dyDescent="0.25">
      <c r="A112" s="57"/>
      <c r="B112" s="56" t="s">
        <v>412</v>
      </c>
      <c r="C112" s="184" t="s">
        <v>364</v>
      </c>
      <c r="D112" s="149" t="s">
        <v>429</v>
      </c>
      <c r="E112" s="145" t="s">
        <v>84</v>
      </c>
      <c r="F112" s="145" t="s">
        <v>115</v>
      </c>
      <c r="G112" s="37" t="s">
        <v>422</v>
      </c>
      <c r="H112" s="62">
        <v>2</v>
      </c>
    </row>
    <row r="113" spans="1:8" x14ac:dyDescent="0.25">
      <c r="A113" s="57"/>
      <c r="B113" s="56" t="s">
        <v>411</v>
      </c>
      <c r="C113" s="184" t="s">
        <v>364</v>
      </c>
      <c r="D113" s="149" t="s">
        <v>429</v>
      </c>
      <c r="E113" s="145" t="s">
        <v>84</v>
      </c>
      <c r="F113" s="145" t="s">
        <v>86</v>
      </c>
      <c r="G113" s="37" t="s">
        <v>422</v>
      </c>
      <c r="H113" s="62">
        <v>2</v>
      </c>
    </row>
    <row r="114" spans="1:8" s="62" customFormat="1" x14ac:dyDescent="0.25">
      <c r="A114" s="57"/>
      <c r="B114" s="56"/>
      <c r="C114" s="184" t="s">
        <v>364</v>
      </c>
      <c r="D114" s="149" t="s">
        <v>429</v>
      </c>
      <c r="E114" s="145" t="s">
        <v>84</v>
      </c>
      <c r="F114" s="145" t="s">
        <v>1511</v>
      </c>
      <c r="G114" s="37" t="s">
        <v>422</v>
      </c>
      <c r="H114" s="62">
        <v>2</v>
      </c>
    </row>
    <row r="115" spans="1:8" x14ac:dyDescent="0.25">
      <c r="A115" s="57"/>
      <c r="B115" s="56"/>
      <c r="C115" s="56" t="s">
        <v>455</v>
      </c>
      <c r="D115" s="150" t="s">
        <v>421</v>
      </c>
      <c r="E115" s="145" t="s">
        <v>84</v>
      </c>
      <c r="F115" s="145" t="s">
        <v>316</v>
      </c>
      <c r="G115" s="37" t="s">
        <v>422</v>
      </c>
      <c r="H115" s="62">
        <v>2</v>
      </c>
    </row>
    <row r="116" spans="1:8" x14ac:dyDescent="0.25">
      <c r="A116" s="57"/>
      <c r="B116" s="56"/>
      <c r="C116" s="53" t="s">
        <v>455</v>
      </c>
      <c r="D116" s="144" t="s">
        <v>421</v>
      </c>
      <c r="E116" s="145" t="s">
        <v>84</v>
      </c>
      <c r="F116" s="145" t="s">
        <v>316</v>
      </c>
      <c r="G116" s="37" t="s">
        <v>422</v>
      </c>
      <c r="H116" s="62">
        <v>2</v>
      </c>
    </row>
    <row r="117" spans="1:8" s="62" customFormat="1" x14ac:dyDescent="0.25">
      <c r="A117" s="57"/>
      <c r="B117" s="56"/>
      <c r="C117" s="53" t="s">
        <v>463</v>
      </c>
      <c r="D117" s="144" t="s">
        <v>465</v>
      </c>
      <c r="E117" s="145" t="s">
        <v>84</v>
      </c>
      <c r="F117" s="145" t="s">
        <v>280</v>
      </c>
      <c r="G117" s="37" t="s">
        <v>422</v>
      </c>
      <c r="H117" s="62">
        <v>2</v>
      </c>
    </row>
    <row r="118" spans="1:8" s="62" customFormat="1" x14ac:dyDescent="0.25">
      <c r="A118" s="57"/>
      <c r="B118" s="56"/>
      <c r="C118" s="53" t="s">
        <v>463</v>
      </c>
      <c r="D118" s="144" t="s">
        <v>465</v>
      </c>
      <c r="E118" s="145" t="s">
        <v>84</v>
      </c>
      <c r="F118" s="145" t="s">
        <v>266</v>
      </c>
      <c r="G118" s="37" t="s">
        <v>422</v>
      </c>
      <c r="H118" s="62">
        <v>2</v>
      </c>
    </row>
    <row r="119" spans="1:8" x14ac:dyDescent="0.25">
      <c r="A119" s="57"/>
      <c r="B119" s="56" t="s">
        <v>378</v>
      </c>
      <c r="C119" s="53" t="s">
        <v>456</v>
      </c>
      <c r="D119" s="144" t="s">
        <v>421</v>
      </c>
      <c r="E119" s="145" t="s">
        <v>84</v>
      </c>
      <c r="F119" s="145" t="s">
        <v>86</v>
      </c>
      <c r="G119" s="37" t="s">
        <v>422</v>
      </c>
      <c r="H119" s="62">
        <v>2</v>
      </c>
    </row>
    <row r="120" spans="1:8" s="62" customFormat="1" x14ac:dyDescent="0.25">
      <c r="A120" s="57"/>
      <c r="B120" s="56"/>
      <c r="C120" s="53" t="s">
        <v>456</v>
      </c>
      <c r="D120" s="144" t="s">
        <v>421</v>
      </c>
      <c r="E120" s="145" t="s">
        <v>84</v>
      </c>
      <c r="F120" s="145" t="s">
        <v>1511</v>
      </c>
      <c r="G120" s="37" t="s">
        <v>422</v>
      </c>
      <c r="H120" s="62">
        <v>2</v>
      </c>
    </row>
    <row r="121" spans="1:8" x14ac:dyDescent="0.25">
      <c r="A121" s="57"/>
      <c r="B121" s="56" t="s">
        <v>378</v>
      </c>
      <c r="C121" s="53" t="s">
        <v>456</v>
      </c>
      <c r="D121" s="144" t="s">
        <v>421</v>
      </c>
      <c r="E121" s="145" t="s">
        <v>84</v>
      </c>
      <c r="F121" s="145" t="s">
        <v>312</v>
      </c>
      <c r="G121" s="37" t="s">
        <v>422</v>
      </c>
      <c r="H121" s="62">
        <v>2</v>
      </c>
    </row>
    <row r="122" spans="1:8" x14ac:dyDescent="0.25">
      <c r="A122" s="57"/>
      <c r="B122" s="56" t="s">
        <v>416</v>
      </c>
      <c r="C122" s="53" t="s">
        <v>456</v>
      </c>
      <c r="D122" s="144" t="s">
        <v>421</v>
      </c>
      <c r="E122" s="145" t="s">
        <v>84</v>
      </c>
      <c r="F122" s="145" t="s">
        <v>137</v>
      </c>
      <c r="G122" s="37" t="s">
        <v>422</v>
      </c>
      <c r="H122" s="62">
        <v>2</v>
      </c>
    </row>
    <row r="123" spans="1:8" x14ac:dyDescent="0.25">
      <c r="A123" s="57"/>
      <c r="B123" s="56" t="s">
        <v>416</v>
      </c>
      <c r="C123" s="53" t="s">
        <v>456</v>
      </c>
      <c r="D123" s="144" t="s">
        <v>421</v>
      </c>
      <c r="E123" s="145" t="s">
        <v>84</v>
      </c>
      <c r="F123" s="145" t="s">
        <v>1511</v>
      </c>
      <c r="G123" s="37" t="s">
        <v>422</v>
      </c>
      <c r="H123" s="62">
        <v>2</v>
      </c>
    </row>
    <row r="124" spans="1:8" s="62" customFormat="1" x14ac:dyDescent="0.25">
      <c r="A124" s="57"/>
      <c r="B124" s="56"/>
      <c r="C124" s="53" t="s">
        <v>456</v>
      </c>
      <c r="D124" s="144" t="s">
        <v>421</v>
      </c>
      <c r="E124" s="145" t="s">
        <v>84</v>
      </c>
      <c r="F124" s="145" t="s">
        <v>86</v>
      </c>
      <c r="G124" s="37" t="s">
        <v>422</v>
      </c>
      <c r="H124" s="62">
        <v>2</v>
      </c>
    </row>
    <row r="125" spans="1:8" x14ac:dyDescent="0.25">
      <c r="A125" s="57"/>
      <c r="B125" s="56" t="s">
        <v>414</v>
      </c>
      <c r="C125" s="53" t="s">
        <v>456</v>
      </c>
      <c r="D125" s="144" t="s">
        <v>421</v>
      </c>
      <c r="E125" s="145" t="s">
        <v>84</v>
      </c>
      <c r="F125" s="145" t="s">
        <v>312</v>
      </c>
      <c r="G125" s="37" t="s">
        <v>422</v>
      </c>
      <c r="H125" s="62">
        <v>2</v>
      </c>
    </row>
    <row r="126" spans="1:8" x14ac:dyDescent="0.25">
      <c r="A126" s="162"/>
      <c r="B126" s="56"/>
      <c r="C126" s="53" t="s">
        <v>456</v>
      </c>
      <c r="D126" s="144" t="s">
        <v>421</v>
      </c>
      <c r="E126" s="145" t="s">
        <v>84</v>
      </c>
      <c r="F126" s="145" t="s">
        <v>137</v>
      </c>
      <c r="G126" s="37" t="s">
        <v>422</v>
      </c>
      <c r="H126" s="62">
        <v>2</v>
      </c>
    </row>
    <row r="127" spans="1:8" x14ac:dyDescent="0.25">
      <c r="B127" s="58" t="s">
        <v>413</v>
      </c>
      <c r="C127" s="53" t="s">
        <v>467</v>
      </c>
      <c r="D127" s="144" t="s">
        <v>444</v>
      </c>
      <c r="E127" s="145" t="s">
        <v>84</v>
      </c>
      <c r="F127" s="145" t="s">
        <v>312</v>
      </c>
      <c r="G127" s="37" t="s">
        <v>422</v>
      </c>
      <c r="H127" s="62">
        <v>2</v>
      </c>
    </row>
    <row r="128" spans="1:8" x14ac:dyDescent="0.25">
      <c r="B128" s="53" t="s">
        <v>394</v>
      </c>
      <c r="C128" s="56" t="s">
        <v>467</v>
      </c>
      <c r="D128" s="150" t="s">
        <v>447</v>
      </c>
      <c r="E128" s="145" t="s">
        <v>84</v>
      </c>
      <c r="F128" s="145" t="s">
        <v>92</v>
      </c>
      <c r="G128" s="37" t="s">
        <v>422</v>
      </c>
      <c r="H128" s="62">
        <v>2</v>
      </c>
    </row>
    <row r="129" spans="2:8" x14ac:dyDescent="0.25">
      <c r="B129" s="53"/>
      <c r="C129" s="53" t="s">
        <v>467</v>
      </c>
      <c r="D129" s="144" t="s">
        <v>448</v>
      </c>
      <c r="E129" s="145" t="s">
        <v>84</v>
      </c>
      <c r="F129" s="145" t="s">
        <v>342</v>
      </c>
      <c r="G129" s="37" t="s">
        <v>422</v>
      </c>
      <c r="H129" s="62">
        <v>2</v>
      </c>
    </row>
    <row r="130" spans="2:8" x14ac:dyDescent="0.25">
      <c r="B130" s="53"/>
      <c r="C130" s="53" t="s">
        <v>467</v>
      </c>
      <c r="D130" s="144" t="s">
        <v>449</v>
      </c>
      <c r="E130" s="145" t="s">
        <v>84</v>
      </c>
      <c r="F130" s="145" t="s">
        <v>103</v>
      </c>
      <c r="G130" s="37" t="s">
        <v>422</v>
      </c>
      <c r="H130" s="62">
        <v>2</v>
      </c>
    </row>
    <row r="131" spans="2:8" x14ac:dyDescent="0.25">
      <c r="B131" s="53" t="s">
        <v>394</v>
      </c>
      <c r="C131" s="53" t="s">
        <v>467</v>
      </c>
      <c r="D131" s="144" t="s">
        <v>1153</v>
      </c>
      <c r="E131" s="145" t="s">
        <v>84</v>
      </c>
      <c r="F131" s="145" t="s">
        <v>348</v>
      </c>
      <c r="G131" s="37" t="s">
        <v>422</v>
      </c>
      <c r="H131" s="62">
        <v>2</v>
      </c>
    </row>
    <row r="132" spans="2:8" s="36" customFormat="1" x14ac:dyDescent="0.25">
      <c r="B132" s="53" t="s">
        <v>393</v>
      </c>
      <c r="C132" s="53" t="s">
        <v>467</v>
      </c>
      <c r="D132" s="144" t="s">
        <v>450</v>
      </c>
      <c r="E132" s="145" t="s">
        <v>84</v>
      </c>
      <c r="F132" s="145" t="s">
        <v>331</v>
      </c>
      <c r="G132" s="37" t="s">
        <v>422</v>
      </c>
      <c r="H132" s="62">
        <v>2</v>
      </c>
    </row>
    <row r="133" spans="2:8" s="36" customFormat="1" x14ac:dyDescent="0.25">
      <c r="B133" s="53"/>
      <c r="C133" s="53" t="s">
        <v>467</v>
      </c>
      <c r="D133" s="144" t="s">
        <v>468</v>
      </c>
      <c r="E133" s="145" t="s">
        <v>84</v>
      </c>
      <c r="F133" s="145" t="s">
        <v>316</v>
      </c>
      <c r="G133" s="37" t="s">
        <v>422</v>
      </c>
      <c r="H133" s="62">
        <v>2</v>
      </c>
    </row>
    <row r="134" spans="2:8" s="36" customFormat="1" x14ac:dyDescent="0.25">
      <c r="B134" s="53"/>
      <c r="C134" s="53" t="s">
        <v>467</v>
      </c>
      <c r="D134" s="144" t="s">
        <v>2690</v>
      </c>
      <c r="E134" s="145" t="s">
        <v>84</v>
      </c>
      <c r="F134" s="145" t="s">
        <v>115</v>
      </c>
      <c r="G134" s="37" t="s">
        <v>422</v>
      </c>
      <c r="H134" s="62">
        <v>2</v>
      </c>
    </row>
    <row r="135" spans="2:8" s="36" customFormat="1" x14ac:dyDescent="0.25">
      <c r="B135" s="53"/>
      <c r="C135" s="53" t="s">
        <v>467</v>
      </c>
      <c r="D135" s="144" t="s">
        <v>445</v>
      </c>
      <c r="E135" s="145" t="s">
        <v>84</v>
      </c>
      <c r="F135" s="145" t="s">
        <v>1685</v>
      </c>
      <c r="G135" s="37" t="s">
        <v>422</v>
      </c>
      <c r="H135" s="62">
        <v>2</v>
      </c>
    </row>
    <row r="136" spans="2:8" s="36" customFormat="1" x14ac:dyDescent="0.25">
      <c r="B136" s="53"/>
      <c r="C136" s="53" t="s">
        <v>467</v>
      </c>
      <c r="D136" s="144" t="s">
        <v>446</v>
      </c>
      <c r="E136" s="145" t="s">
        <v>84</v>
      </c>
      <c r="F136" s="145" t="s">
        <v>2091</v>
      </c>
      <c r="G136" s="37" t="s">
        <v>422</v>
      </c>
      <c r="H136" s="62">
        <v>2</v>
      </c>
    </row>
    <row r="137" spans="2:8" s="36" customFormat="1" x14ac:dyDescent="0.25">
      <c r="B137" s="53"/>
      <c r="C137" s="53" t="s">
        <v>467</v>
      </c>
      <c r="D137" s="144" t="s">
        <v>2690</v>
      </c>
      <c r="E137" s="145" t="s">
        <v>84</v>
      </c>
      <c r="F137" s="145" t="s">
        <v>136</v>
      </c>
      <c r="G137" s="37" t="s">
        <v>422</v>
      </c>
      <c r="H137" s="62">
        <v>2</v>
      </c>
    </row>
    <row r="138" spans="2:8" s="36" customFormat="1" x14ac:dyDescent="0.25">
      <c r="B138" s="53"/>
      <c r="C138" s="53" t="s">
        <v>466</v>
      </c>
      <c r="D138" s="144" t="s">
        <v>444</v>
      </c>
      <c r="E138" s="145" t="s">
        <v>84</v>
      </c>
      <c r="F138" s="145" t="s">
        <v>312</v>
      </c>
      <c r="G138" s="37" t="s">
        <v>422</v>
      </c>
      <c r="H138" s="62">
        <v>2</v>
      </c>
    </row>
    <row r="139" spans="2:8" x14ac:dyDescent="0.25">
      <c r="B139" s="53" t="s">
        <v>393</v>
      </c>
      <c r="C139" s="53" t="s">
        <v>466</v>
      </c>
      <c r="D139" s="144" t="s">
        <v>468</v>
      </c>
      <c r="E139" s="145" t="s">
        <v>84</v>
      </c>
      <c r="F139" s="145" t="s">
        <v>92</v>
      </c>
      <c r="G139" s="37" t="s">
        <v>422</v>
      </c>
      <c r="H139" s="62">
        <v>2</v>
      </c>
    </row>
    <row r="140" spans="2:8" x14ac:dyDescent="0.25">
      <c r="B140" s="53" t="s">
        <v>379</v>
      </c>
      <c r="C140" s="53" t="s">
        <v>466</v>
      </c>
      <c r="D140" s="144" t="s">
        <v>445</v>
      </c>
      <c r="E140" s="145" t="s">
        <v>84</v>
      </c>
      <c r="F140" s="145" t="s">
        <v>342</v>
      </c>
      <c r="G140" s="37" t="s">
        <v>422</v>
      </c>
      <c r="H140" s="62">
        <v>2</v>
      </c>
    </row>
    <row r="141" spans="2:8" x14ac:dyDescent="0.25">
      <c r="B141" s="53"/>
      <c r="C141" s="53" t="s">
        <v>466</v>
      </c>
      <c r="D141" s="144" t="s">
        <v>446</v>
      </c>
      <c r="E141" s="145" t="s">
        <v>84</v>
      </c>
      <c r="F141" s="145" t="s">
        <v>103</v>
      </c>
      <c r="G141" s="37" t="s">
        <v>422</v>
      </c>
      <c r="H141" s="62">
        <v>2</v>
      </c>
    </row>
    <row r="142" spans="2:8" x14ac:dyDescent="0.25">
      <c r="B142" s="53"/>
      <c r="C142" s="53" t="s">
        <v>466</v>
      </c>
      <c r="D142" s="144" t="s">
        <v>1717</v>
      </c>
      <c r="E142" s="145" t="s">
        <v>84</v>
      </c>
      <c r="F142" s="145" t="s">
        <v>348</v>
      </c>
      <c r="G142" s="37" t="s">
        <v>422</v>
      </c>
      <c r="H142" s="62">
        <v>2</v>
      </c>
    </row>
    <row r="143" spans="2:8" x14ac:dyDescent="0.25">
      <c r="B143" s="53"/>
      <c r="C143" s="53" t="s">
        <v>466</v>
      </c>
      <c r="D143" s="144" t="s">
        <v>446</v>
      </c>
      <c r="E143" s="145" t="s">
        <v>84</v>
      </c>
      <c r="F143" s="145" t="s">
        <v>331</v>
      </c>
      <c r="G143" s="37" t="s">
        <v>422</v>
      </c>
      <c r="H143" s="62">
        <v>2</v>
      </c>
    </row>
    <row r="144" spans="2:8" x14ac:dyDescent="0.25">
      <c r="B144" s="53" t="s">
        <v>379</v>
      </c>
      <c r="C144" s="53" t="s">
        <v>466</v>
      </c>
      <c r="D144" s="144" t="s">
        <v>2323</v>
      </c>
      <c r="E144" s="145" t="s">
        <v>84</v>
      </c>
      <c r="F144" s="145" t="s">
        <v>316</v>
      </c>
      <c r="G144" s="37" t="s">
        <v>422</v>
      </c>
      <c r="H144" s="62">
        <v>2</v>
      </c>
    </row>
    <row r="145" spans="2:8" s="62" customFormat="1" x14ac:dyDescent="0.25">
      <c r="B145" s="53"/>
      <c r="C145" s="53" t="s">
        <v>466</v>
      </c>
      <c r="D145" s="144" t="s">
        <v>2689</v>
      </c>
      <c r="E145" s="145" t="s">
        <v>84</v>
      </c>
      <c r="F145" s="145" t="s">
        <v>115</v>
      </c>
      <c r="G145" s="37" t="s">
        <v>422</v>
      </c>
      <c r="H145" s="62">
        <v>2</v>
      </c>
    </row>
    <row r="146" spans="2:8" x14ac:dyDescent="0.25">
      <c r="B146" s="53" t="s">
        <v>380</v>
      </c>
      <c r="C146" s="53" t="s">
        <v>466</v>
      </c>
      <c r="D146" s="144" t="s">
        <v>2689</v>
      </c>
      <c r="E146" s="145" t="s">
        <v>84</v>
      </c>
      <c r="F146" s="145" t="s">
        <v>136</v>
      </c>
      <c r="G146" s="37" t="s">
        <v>422</v>
      </c>
      <c r="H146" s="62">
        <v>2</v>
      </c>
    </row>
    <row r="147" spans="2:8" s="62" customFormat="1" x14ac:dyDescent="0.25">
      <c r="B147" s="53"/>
      <c r="C147" s="53" t="s">
        <v>466</v>
      </c>
      <c r="D147" s="144" t="s">
        <v>1717</v>
      </c>
      <c r="E147" s="145" t="s">
        <v>84</v>
      </c>
      <c r="F147" s="145" t="s">
        <v>1685</v>
      </c>
      <c r="G147" s="37" t="s">
        <v>422</v>
      </c>
      <c r="H147" s="62">
        <v>2</v>
      </c>
    </row>
    <row r="148" spans="2:8" s="62" customFormat="1" x14ac:dyDescent="0.25">
      <c r="B148" s="53"/>
      <c r="C148" s="53" t="s">
        <v>466</v>
      </c>
      <c r="D148" s="144" t="s">
        <v>2323</v>
      </c>
      <c r="E148" s="145" t="s">
        <v>84</v>
      </c>
      <c r="F148" s="145" t="s">
        <v>2091</v>
      </c>
      <c r="G148" s="37" t="s">
        <v>422</v>
      </c>
      <c r="H148" s="62">
        <v>2</v>
      </c>
    </row>
    <row r="149" spans="2:8" s="62" customFormat="1" x14ac:dyDescent="0.25">
      <c r="B149" s="53"/>
      <c r="C149" s="53" t="s">
        <v>2194</v>
      </c>
      <c r="D149" s="145" t="s">
        <v>1726</v>
      </c>
      <c r="E149" s="145" t="s">
        <v>84</v>
      </c>
      <c r="F149" s="145" t="s">
        <v>1685</v>
      </c>
      <c r="G149" s="37" t="s">
        <v>422</v>
      </c>
      <c r="H149" s="62">
        <v>2</v>
      </c>
    </row>
    <row r="150" spans="2:8" s="62" customFormat="1" x14ac:dyDescent="0.25">
      <c r="B150" s="53"/>
      <c r="C150" s="53" t="s">
        <v>2194</v>
      </c>
      <c r="D150" s="145" t="s">
        <v>1726</v>
      </c>
      <c r="E150" s="145" t="s">
        <v>84</v>
      </c>
      <c r="F150" s="145" t="s">
        <v>280</v>
      </c>
      <c r="G150" s="37" t="s">
        <v>422</v>
      </c>
      <c r="H150" s="62">
        <v>2</v>
      </c>
    </row>
    <row r="151" spans="2:8" x14ac:dyDescent="0.25">
      <c r="B151" s="53"/>
      <c r="C151" s="53" t="s">
        <v>454</v>
      </c>
      <c r="D151" s="144" t="s">
        <v>421</v>
      </c>
      <c r="E151" s="145" t="s">
        <v>84</v>
      </c>
      <c r="F151" s="145" t="s">
        <v>280</v>
      </c>
      <c r="G151" s="37" t="s">
        <v>422</v>
      </c>
      <c r="H151" s="62">
        <v>2</v>
      </c>
    </row>
    <row r="152" spans="2:8" x14ac:dyDescent="0.25">
      <c r="B152" s="53" t="s">
        <v>380</v>
      </c>
      <c r="C152" s="53" t="s">
        <v>453</v>
      </c>
      <c r="D152" s="144" t="s">
        <v>423</v>
      </c>
      <c r="E152" s="145" t="s">
        <v>84</v>
      </c>
      <c r="F152" s="145" t="s">
        <v>266</v>
      </c>
      <c r="G152" s="37" t="s">
        <v>422</v>
      </c>
      <c r="H152" s="62">
        <v>2</v>
      </c>
    </row>
    <row r="153" spans="2:8" x14ac:dyDescent="0.25">
      <c r="B153" s="53" t="s">
        <v>395</v>
      </c>
      <c r="C153" s="53" t="s">
        <v>453</v>
      </c>
      <c r="D153" s="144" t="s">
        <v>423</v>
      </c>
      <c r="E153" s="145" t="s">
        <v>84</v>
      </c>
      <c r="F153" s="145" t="s">
        <v>115</v>
      </c>
      <c r="G153" s="37" t="s">
        <v>422</v>
      </c>
      <c r="H153" s="62">
        <v>2</v>
      </c>
    </row>
    <row r="154" spans="2:8" x14ac:dyDescent="0.25">
      <c r="B154" s="53" t="s">
        <v>395</v>
      </c>
      <c r="C154" s="53" t="s">
        <v>459</v>
      </c>
      <c r="D154" s="144" t="s">
        <v>423</v>
      </c>
      <c r="E154" s="145" t="s">
        <v>84</v>
      </c>
      <c r="F154" s="145" t="s">
        <v>12</v>
      </c>
      <c r="G154" s="37" t="s">
        <v>422</v>
      </c>
      <c r="H154" s="62">
        <v>2</v>
      </c>
    </row>
    <row r="155" spans="2:8" x14ac:dyDescent="0.25">
      <c r="B155" s="53" t="s">
        <v>399</v>
      </c>
      <c r="C155" s="53" t="s">
        <v>459</v>
      </c>
      <c r="D155" s="144" t="s">
        <v>423</v>
      </c>
      <c r="E155" s="145" t="s">
        <v>84</v>
      </c>
      <c r="F155" s="145" t="s">
        <v>12</v>
      </c>
      <c r="G155" s="37" t="s">
        <v>422</v>
      </c>
      <c r="H155" s="62">
        <v>2</v>
      </c>
    </row>
    <row r="156" spans="2:8" x14ac:dyDescent="0.25">
      <c r="B156" s="53" t="s">
        <v>399</v>
      </c>
      <c r="C156" s="53" t="s">
        <v>443</v>
      </c>
      <c r="D156" s="144" t="s">
        <v>423</v>
      </c>
      <c r="E156" s="145" t="s">
        <v>84</v>
      </c>
      <c r="F156" s="145" t="s">
        <v>312</v>
      </c>
      <c r="G156" s="37" t="s">
        <v>422</v>
      </c>
      <c r="H156" s="62">
        <v>2</v>
      </c>
    </row>
    <row r="157" spans="2:8" x14ac:dyDescent="0.25">
      <c r="B157" s="53"/>
      <c r="C157" s="53" t="s">
        <v>420</v>
      </c>
      <c r="D157" s="144" t="s">
        <v>427</v>
      </c>
      <c r="E157" s="145" t="s">
        <v>78</v>
      </c>
      <c r="F157" s="145" t="s">
        <v>115</v>
      </c>
      <c r="G157" s="37" t="s">
        <v>422</v>
      </c>
      <c r="H157" s="62">
        <v>3</v>
      </c>
    </row>
    <row r="158" spans="2:8" x14ac:dyDescent="0.25">
      <c r="B158" s="53"/>
      <c r="C158" s="142" t="s">
        <v>420</v>
      </c>
      <c r="D158" s="146" t="s">
        <v>423</v>
      </c>
      <c r="E158" s="145" t="s">
        <v>78</v>
      </c>
      <c r="F158" s="151" t="s">
        <v>12</v>
      </c>
      <c r="G158" s="37" t="s">
        <v>422</v>
      </c>
      <c r="H158" s="62">
        <v>3</v>
      </c>
    </row>
    <row r="159" spans="2:8" x14ac:dyDescent="0.25">
      <c r="B159" s="53" t="s">
        <v>381</v>
      </c>
      <c r="C159" s="53" t="s">
        <v>420</v>
      </c>
      <c r="D159" s="144" t="s">
        <v>423</v>
      </c>
      <c r="E159" s="145" t="s">
        <v>78</v>
      </c>
      <c r="F159" s="151" t="s">
        <v>139</v>
      </c>
      <c r="G159" s="37" t="s">
        <v>422</v>
      </c>
      <c r="H159" s="62">
        <v>3</v>
      </c>
    </row>
    <row r="160" spans="2:8" x14ac:dyDescent="0.25">
      <c r="B160" s="53" t="s">
        <v>403</v>
      </c>
      <c r="C160" s="53" t="s">
        <v>420</v>
      </c>
      <c r="D160" s="144" t="s">
        <v>423</v>
      </c>
      <c r="E160" s="145" t="s">
        <v>78</v>
      </c>
      <c r="F160" s="151" t="s">
        <v>1511</v>
      </c>
      <c r="G160" s="37" t="s">
        <v>422</v>
      </c>
      <c r="H160" s="62">
        <v>3</v>
      </c>
    </row>
    <row r="161" spans="2:8" s="62" customFormat="1" x14ac:dyDescent="0.25">
      <c r="B161" s="53"/>
      <c r="C161" s="53" t="s">
        <v>420</v>
      </c>
      <c r="D161" s="144" t="s">
        <v>423</v>
      </c>
      <c r="E161" s="145" t="s">
        <v>78</v>
      </c>
      <c r="F161" s="151" t="s">
        <v>86</v>
      </c>
      <c r="G161" s="37" t="s">
        <v>422</v>
      </c>
      <c r="H161" s="62">
        <v>3</v>
      </c>
    </row>
    <row r="162" spans="2:8" x14ac:dyDescent="0.25">
      <c r="B162" s="53" t="s">
        <v>403</v>
      </c>
      <c r="C162" s="53" t="s">
        <v>420</v>
      </c>
      <c r="D162" s="144" t="s">
        <v>424</v>
      </c>
      <c r="E162" s="145" t="s">
        <v>78</v>
      </c>
      <c r="F162" s="145" t="s">
        <v>96</v>
      </c>
      <c r="G162" s="37" t="s">
        <v>422</v>
      </c>
      <c r="H162" s="62">
        <v>3</v>
      </c>
    </row>
    <row r="163" spans="2:8" x14ac:dyDescent="0.25">
      <c r="B163" s="53" t="s">
        <v>382</v>
      </c>
      <c r="C163" s="53" t="s">
        <v>420</v>
      </c>
      <c r="D163" s="144" t="s">
        <v>425</v>
      </c>
      <c r="E163" s="145" t="s">
        <v>78</v>
      </c>
      <c r="F163" s="145" t="s">
        <v>312</v>
      </c>
      <c r="G163" s="37" t="s">
        <v>422</v>
      </c>
      <c r="H163" s="62">
        <v>3</v>
      </c>
    </row>
    <row r="164" spans="2:8" x14ac:dyDescent="0.25">
      <c r="B164" s="53" t="s">
        <v>382</v>
      </c>
      <c r="C164" s="53" t="s">
        <v>420</v>
      </c>
      <c r="D164" s="144" t="s">
        <v>425</v>
      </c>
      <c r="E164" s="145" t="s">
        <v>78</v>
      </c>
      <c r="F164" s="145" t="s">
        <v>266</v>
      </c>
      <c r="G164" s="37" t="s">
        <v>422</v>
      </c>
      <c r="H164" s="62">
        <v>3</v>
      </c>
    </row>
    <row r="165" spans="2:8" x14ac:dyDescent="0.25">
      <c r="B165" s="53" t="s">
        <v>383</v>
      </c>
      <c r="C165" s="53" t="s">
        <v>420</v>
      </c>
      <c r="D165" s="144" t="s">
        <v>425</v>
      </c>
      <c r="E165" s="145" t="s">
        <v>78</v>
      </c>
      <c r="F165" s="145" t="s">
        <v>314</v>
      </c>
      <c r="G165" s="37" t="s">
        <v>422</v>
      </c>
      <c r="H165" s="62">
        <v>3</v>
      </c>
    </row>
    <row r="166" spans="2:8" x14ac:dyDescent="0.25">
      <c r="B166" s="53" t="s">
        <v>383</v>
      </c>
      <c r="C166" s="53" t="s">
        <v>420</v>
      </c>
      <c r="D166" s="144" t="s">
        <v>426</v>
      </c>
      <c r="E166" s="145" t="s">
        <v>78</v>
      </c>
      <c r="F166" s="145" t="s">
        <v>280</v>
      </c>
      <c r="G166" s="37" t="s">
        <v>422</v>
      </c>
      <c r="H166" s="62">
        <v>3</v>
      </c>
    </row>
    <row r="167" spans="2:8" x14ac:dyDescent="0.25">
      <c r="B167" s="53" t="s">
        <v>396</v>
      </c>
      <c r="C167" s="53" t="s">
        <v>420</v>
      </c>
      <c r="D167" s="144" t="s">
        <v>426</v>
      </c>
      <c r="E167" s="145" t="s">
        <v>78</v>
      </c>
      <c r="F167" s="145" t="s">
        <v>342</v>
      </c>
      <c r="G167" s="37" t="s">
        <v>422</v>
      </c>
      <c r="H167" s="62">
        <v>3</v>
      </c>
    </row>
    <row r="168" spans="2:8" s="62" customFormat="1" x14ac:dyDescent="0.25">
      <c r="B168" s="53"/>
      <c r="C168" s="53" t="s">
        <v>420</v>
      </c>
      <c r="D168" s="144" t="s">
        <v>427</v>
      </c>
      <c r="E168" s="145" t="s">
        <v>78</v>
      </c>
      <c r="F168" s="145" t="s">
        <v>1685</v>
      </c>
      <c r="G168" s="37" t="s">
        <v>422</v>
      </c>
      <c r="H168" s="62">
        <v>3</v>
      </c>
    </row>
    <row r="169" spans="2:8" x14ac:dyDescent="0.25">
      <c r="B169" s="53"/>
      <c r="C169" s="53" t="s">
        <v>420</v>
      </c>
      <c r="D169" s="144" t="s">
        <v>427</v>
      </c>
      <c r="E169" s="145" t="s">
        <v>78</v>
      </c>
      <c r="F169" s="145" t="s">
        <v>136</v>
      </c>
      <c r="G169" s="37" t="s">
        <v>422</v>
      </c>
      <c r="H169" s="62">
        <v>3</v>
      </c>
    </row>
    <row r="170" spans="2:8" x14ac:dyDescent="0.25">
      <c r="B170" s="53" t="s">
        <v>396</v>
      </c>
      <c r="C170" s="53" t="s">
        <v>420</v>
      </c>
      <c r="D170" s="144" t="s">
        <v>427</v>
      </c>
      <c r="E170" s="145" t="s">
        <v>78</v>
      </c>
      <c r="F170" s="145" t="s">
        <v>483</v>
      </c>
      <c r="G170" s="37" t="s">
        <v>422</v>
      </c>
      <c r="H170" s="62">
        <v>3</v>
      </c>
    </row>
    <row r="171" spans="2:8" x14ac:dyDescent="0.25">
      <c r="B171" s="53"/>
      <c r="C171" s="53" t="s">
        <v>420</v>
      </c>
      <c r="D171" s="144" t="s">
        <v>427</v>
      </c>
      <c r="E171" s="145" t="s">
        <v>78</v>
      </c>
      <c r="F171" s="145" t="s">
        <v>726</v>
      </c>
      <c r="G171" s="37" t="s">
        <v>422</v>
      </c>
      <c r="H171" s="62">
        <v>3</v>
      </c>
    </row>
    <row r="172" spans="2:8" x14ac:dyDescent="0.25">
      <c r="B172" s="53"/>
      <c r="C172" s="53" t="s">
        <v>420</v>
      </c>
      <c r="D172" s="144" t="s">
        <v>427</v>
      </c>
      <c r="E172" s="145" t="s">
        <v>78</v>
      </c>
      <c r="F172" s="145" t="s">
        <v>316</v>
      </c>
      <c r="G172" s="37" t="s">
        <v>422</v>
      </c>
      <c r="H172" s="62">
        <v>3</v>
      </c>
    </row>
    <row r="173" spans="2:8" x14ac:dyDescent="0.25">
      <c r="B173" s="53" t="s">
        <v>386</v>
      </c>
      <c r="C173" s="53" t="s">
        <v>420</v>
      </c>
      <c r="D173" s="144" t="s">
        <v>427</v>
      </c>
      <c r="E173" s="145" t="s">
        <v>78</v>
      </c>
      <c r="F173" s="145" t="s">
        <v>331</v>
      </c>
      <c r="G173" s="37" t="s">
        <v>422</v>
      </c>
      <c r="H173" s="62">
        <v>3</v>
      </c>
    </row>
    <row r="174" spans="2:8" x14ac:dyDescent="0.25">
      <c r="B174" s="53" t="s">
        <v>386</v>
      </c>
      <c r="C174" s="53" t="s">
        <v>420</v>
      </c>
      <c r="D174" s="144" t="s">
        <v>427</v>
      </c>
      <c r="E174" s="145" t="s">
        <v>78</v>
      </c>
      <c r="F174" s="145" t="s">
        <v>330</v>
      </c>
      <c r="G174" s="37" t="s">
        <v>422</v>
      </c>
      <c r="H174" s="62">
        <v>3</v>
      </c>
    </row>
    <row r="175" spans="2:8" x14ac:dyDescent="0.25">
      <c r="B175" s="53" t="s">
        <v>400</v>
      </c>
      <c r="C175" s="53" t="s">
        <v>420</v>
      </c>
      <c r="D175" s="144" t="s">
        <v>427</v>
      </c>
      <c r="E175" s="145" t="s">
        <v>78</v>
      </c>
      <c r="F175" s="145" t="s">
        <v>348</v>
      </c>
      <c r="G175" s="37" t="s">
        <v>422</v>
      </c>
      <c r="H175" s="62">
        <v>3</v>
      </c>
    </row>
    <row r="176" spans="2:8" x14ac:dyDescent="0.25">
      <c r="B176" s="53" t="s">
        <v>400</v>
      </c>
      <c r="C176" s="53" t="s">
        <v>420</v>
      </c>
      <c r="D176" s="144" t="s">
        <v>427</v>
      </c>
      <c r="E176" s="145" t="s">
        <v>78</v>
      </c>
      <c r="F176" s="145" t="s">
        <v>103</v>
      </c>
      <c r="G176" s="37" t="s">
        <v>422</v>
      </c>
      <c r="H176" s="62">
        <v>3</v>
      </c>
    </row>
    <row r="177" spans="2:8" s="62" customFormat="1" x14ac:dyDescent="0.25">
      <c r="B177" s="53" t="s">
        <v>400</v>
      </c>
      <c r="C177" s="53" t="s">
        <v>420</v>
      </c>
      <c r="D177" s="144" t="s">
        <v>427</v>
      </c>
      <c r="E177" s="145" t="s">
        <v>78</v>
      </c>
      <c r="F177" s="145" t="s">
        <v>1738</v>
      </c>
      <c r="G177" s="37" t="s">
        <v>422</v>
      </c>
      <c r="H177" s="62">
        <v>3</v>
      </c>
    </row>
    <row r="178" spans="2:8" s="62" customFormat="1" x14ac:dyDescent="0.25">
      <c r="B178" s="330"/>
      <c r="C178" s="53" t="s">
        <v>420</v>
      </c>
      <c r="D178" s="144" t="s">
        <v>427</v>
      </c>
      <c r="E178" s="145" t="s">
        <v>78</v>
      </c>
      <c r="F178" s="145" t="s">
        <v>1685</v>
      </c>
      <c r="G178" s="37" t="s">
        <v>422</v>
      </c>
      <c r="H178" s="62">
        <v>3</v>
      </c>
    </row>
    <row r="179" spans="2:8" x14ac:dyDescent="0.25">
      <c r="C179" s="53" t="s">
        <v>458</v>
      </c>
      <c r="D179" s="144" t="s">
        <v>421</v>
      </c>
      <c r="E179" s="145"/>
      <c r="F179" s="145"/>
      <c r="G179" s="37"/>
      <c r="H179" s="62"/>
    </row>
    <row r="180" spans="2:8" x14ac:dyDescent="0.25">
      <c r="C180" s="53" t="s">
        <v>2202</v>
      </c>
      <c r="D180" s="145" t="s">
        <v>2691</v>
      </c>
      <c r="E180" s="145" t="s">
        <v>84</v>
      </c>
      <c r="F180" s="145" t="s">
        <v>1685</v>
      </c>
      <c r="G180" s="37" t="s">
        <v>422</v>
      </c>
      <c r="H180" s="510">
        <v>2</v>
      </c>
    </row>
    <row r="181" spans="2:8" x14ac:dyDescent="0.25">
      <c r="C181" s="53"/>
      <c r="D181" s="144"/>
      <c r="E181" s="145"/>
      <c r="F181" s="145"/>
      <c r="G181" s="37"/>
      <c r="H181" s="62"/>
    </row>
  </sheetData>
  <sortState ref="A108:H119">
    <sortCondition ref="D2"/>
  </sortState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83"/>
  <sheetViews>
    <sheetView workbookViewId="0">
      <pane xSplit="2" ySplit="4" topLeftCell="C56" activePane="bottomRight" state="frozen"/>
      <selection pane="topRight" activeCell="C1" sqref="C1"/>
      <selection pane="bottomLeft" activeCell="A5" sqref="A5"/>
      <selection pane="bottomRight" activeCell="R72" sqref="R72"/>
    </sheetView>
  </sheetViews>
  <sheetFormatPr defaultRowHeight="15" x14ac:dyDescent="0.25"/>
  <cols>
    <col min="1" max="1" width="15.7109375" style="60" customWidth="1"/>
    <col min="2" max="2" width="7" customWidth="1"/>
    <col min="3" max="3" width="10.7109375" customWidth="1"/>
    <col min="4" max="4" width="9.42578125" customWidth="1"/>
    <col min="5" max="5" width="4.5703125" customWidth="1"/>
    <col min="6" max="6" width="4.85546875" customWidth="1"/>
    <col min="7" max="7" width="5" customWidth="1"/>
    <col min="8" max="8" width="4.5703125" customWidth="1"/>
    <col min="9" max="9" width="5.28515625" customWidth="1"/>
    <col min="10" max="10" width="4.28515625" customWidth="1"/>
    <col min="11" max="11" width="4.5703125" customWidth="1"/>
    <col min="12" max="12" width="9.28515625" customWidth="1"/>
    <col min="13" max="13" width="7.5703125" customWidth="1"/>
    <col min="14" max="14" width="4.7109375" customWidth="1"/>
    <col min="15" max="15" width="4.5703125" customWidth="1"/>
    <col min="16" max="16" width="6.42578125" customWidth="1"/>
    <col min="17" max="17" width="3.85546875" customWidth="1"/>
    <col min="18" max="18" width="7" customWidth="1"/>
    <col min="19" max="19" width="4.85546875" customWidth="1"/>
    <col min="20" max="20" width="4.42578125" customWidth="1"/>
    <col min="21" max="22" width="5" customWidth="1"/>
    <col min="23" max="23" width="5.140625" customWidth="1"/>
    <col min="24" max="24" width="6.140625" customWidth="1"/>
    <col min="25" max="25" width="5.140625" customWidth="1"/>
    <col min="26" max="26" width="7.85546875" customWidth="1"/>
    <col min="27" max="27" width="4.5703125" customWidth="1"/>
    <col min="28" max="28" width="15.5703125" customWidth="1"/>
    <col min="29" max="29" width="5" customWidth="1"/>
    <col min="30" max="30" width="8.7109375" customWidth="1"/>
    <col min="31" max="31" width="15.5703125" bestFit="1" customWidth="1"/>
    <col min="32" max="32" width="5" customWidth="1"/>
  </cols>
  <sheetData>
    <row r="1" spans="1:30" ht="14.25" customHeight="1" thickTop="1" thickBot="1" x14ac:dyDescent="0.3">
      <c r="A1" s="72" t="s">
        <v>8</v>
      </c>
      <c r="B1" s="62" t="s">
        <v>99</v>
      </c>
    </row>
    <row r="2" spans="1:30" ht="15.75" thickTop="1" x14ac:dyDescent="0.25"/>
    <row r="3" spans="1:30" ht="15.75" thickBot="1" x14ac:dyDescent="0.3">
      <c r="A3" s="75" t="s">
        <v>460</v>
      </c>
      <c r="B3" s="69"/>
      <c r="C3" s="69"/>
      <c r="D3" s="74" t="s">
        <v>464</v>
      </c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</row>
    <row r="4" spans="1:30" ht="16.5" customHeight="1" thickTop="1" thickBot="1" x14ac:dyDescent="0.3">
      <c r="A4" s="72" t="s">
        <v>309</v>
      </c>
      <c r="B4" s="73" t="s">
        <v>406</v>
      </c>
      <c r="C4" s="73" t="s">
        <v>471</v>
      </c>
      <c r="D4" s="70" t="s">
        <v>316</v>
      </c>
      <c r="E4" s="70" t="s">
        <v>92</v>
      </c>
      <c r="F4" s="70" t="s">
        <v>115</v>
      </c>
      <c r="G4" s="70" t="s">
        <v>96</v>
      </c>
      <c r="H4" s="70" t="s">
        <v>331</v>
      </c>
      <c r="I4" s="70" t="s">
        <v>136</v>
      </c>
      <c r="J4" s="70" t="s">
        <v>160</v>
      </c>
      <c r="K4" s="70" t="s">
        <v>330</v>
      </c>
      <c r="L4" s="70" t="s">
        <v>314</v>
      </c>
      <c r="M4" s="70" t="s">
        <v>342</v>
      </c>
      <c r="N4" s="70" t="s">
        <v>139</v>
      </c>
      <c r="O4" s="70" t="s">
        <v>348</v>
      </c>
      <c r="P4" s="70" t="s">
        <v>266</v>
      </c>
      <c r="Q4" s="70" t="s">
        <v>280</v>
      </c>
      <c r="R4" s="70" t="s">
        <v>312</v>
      </c>
      <c r="S4" s="70" t="s">
        <v>137</v>
      </c>
      <c r="T4" s="70" t="s">
        <v>12</v>
      </c>
      <c r="U4" s="538" t="s">
        <v>103</v>
      </c>
      <c r="V4" s="538" t="s">
        <v>17</v>
      </c>
      <c r="W4" s="538" t="s">
        <v>483</v>
      </c>
      <c r="X4" s="538" t="s">
        <v>726</v>
      </c>
      <c r="Y4" s="538" t="s">
        <v>86</v>
      </c>
      <c r="Z4" s="538" t="s">
        <v>1511</v>
      </c>
      <c r="AA4" s="538" t="s">
        <v>1685</v>
      </c>
      <c r="AB4" s="538" t="s">
        <v>2325</v>
      </c>
      <c r="AC4" s="538" t="s">
        <v>2091</v>
      </c>
      <c r="AD4" s="538" t="s">
        <v>1745</v>
      </c>
    </row>
    <row r="5" spans="1:30" ht="16.5" thickTop="1" thickBot="1" x14ac:dyDescent="0.3">
      <c r="A5" s="594" t="s">
        <v>407</v>
      </c>
      <c r="B5" s="539" t="s">
        <v>434</v>
      </c>
      <c r="C5" s="539" t="s">
        <v>82</v>
      </c>
      <c r="D5" s="71"/>
      <c r="E5" s="71"/>
      <c r="F5" s="71">
        <v>1</v>
      </c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>
        <v>1</v>
      </c>
      <c r="T5" s="71">
        <v>1</v>
      </c>
      <c r="U5" s="71"/>
      <c r="V5" s="71"/>
      <c r="W5" s="71"/>
      <c r="X5" s="71"/>
      <c r="Y5" s="71">
        <v>1</v>
      </c>
      <c r="Z5" s="71">
        <v>1</v>
      </c>
      <c r="AA5" s="71"/>
      <c r="AB5" s="71"/>
      <c r="AC5" s="71"/>
      <c r="AD5" s="71"/>
    </row>
    <row r="6" spans="1:30" ht="16.5" thickTop="1" thickBot="1" x14ac:dyDescent="0.3">
      <c r="A6" s="596"/>
      <c r="B6" s="539" t="s">
        <v>435</v>
      </c>
      <c r="C6" s="539" t="s">
        <v>84</v>
      </c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>
        <v>2</v>
      </c>
      <c r="U6" s="71"/>
      <c r="V6" s="71"/>
      <c r="W6" s="71"/>
      <c r="X6" s="71"/>
      <c r="Y6" s="71">
        <v>2</v>
      </c>
      <c r="Z6" s="71">
        <v>2</v>
      </c>
      <c r="AA6" s="71"/>
      <c r="AB6" s="71"/>
      <c r="AC6" s="71"/>
      <c r="AD6" s="71"/>
    </row>
    <row r="7" spans="1:30" ht="16.5" thickTop="1" thickBot="1" x14ac:dyDescent="0.3">
      <c r="A7" s="596"/>
      <c r="B7" s="539" t="s">
        <v>425</v>
      </c>
      <c r="C7" s="539" t="s">
        <v>82</v>
      </c>
      <c r="D7" s="71"/>
      <c r="E7" s="71"/>
      <c r="F7" s="71"/>
      <c r="G7" s="71"/>
      <c r="H7" s="71"/>
      <c r="I7" s="71"/>
      <c r="J7" s="71"/>
      <c r="K7" s="71">
        <v>1</v>
      </c>
      <c r="L7" s="71"/>
      <c r="M7" s="71"/>
      <c r="N7" s="71">
        <v>1</v>
      </c>
      <c r="O7" s="71"/>
      <c r="P7" s="71">
        <v>1</v>
      </c>
      <c r="Q7" s="71">
        <v>1</v>
      </c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</row>
    <row r="8" spans="1:30" ht="16.5" thickTop="1" thickBot="1" x14ac:dyDescent="0.3">
      <c r="A8" s="596"/>
      <c r="B8" s="538" t="s">
        <v>469</v>
      </c>
      <c r="C8" s="538" t="s">
        <v>84</v>
      </c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>
        <v>2</v>
      </c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</row>
    <row r="9" spans="1:30" ht="16.5" customHeight="1" thickTop="1" thickBot="1" x14ac:dyDescent="0.3">
      <c r="A9" s="596"/>
      <c r="B9" s="539" t="s">
        <v>437</v>
      </c>
      <c r="C9" s="539" t="s">
        <v>84</v>
      </c>
      <c r="D9" s="71"/>
      <c r="E9" s="71"/>
      <c r="F9" s="71"/>
      <c r="G9" s="71"/>
      <c r="H9" s="71"/>
      <c r="I9" s="71"/>
      <c r="J9" s="71"/>
      <c r="K9" s="71">
        <v>2</v>
      </c>
      <c r="L9" s="71"/>
      <c r="M9" s="71"/>
      <c r="N9" s="71">
        <v>2</v>
      </c>
      <c r="O9" s="71"/>
      <c r="P9" s="71">
        <v>2</v>
      </c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ht="16.5" thickTop="1" thickBot="1" x14ac:dyDescent="0.3">
      <c r="A10" s="596"/>
      <c r="B10" s="594" t="s">
        <v>426</v>
      </c>
      <c r="C10" s="539" t="s">
        <v>82</v>
      </c>
      <c r="D10" s="71"/>
      <c r="E10" s="71"/>
      <c r="F10" s="71"/>
      <c r="G10" s="71"/>
      <c r="H10" s="71"/>
      <c r="I10" s="71"/>
      <c r="J10" s="71"/>
      <c r="K10" s="71"/>
      <c r="L10" s="71">
        <v>1</v>
      </c>
      <c r="M10" s="71"/>
      <c r="N10" s="71"/>
      <c r="O10" s="71"/>
      <c r="P10" s="71"/>
      <c r="Q10" s="71"/>
      <c r="R10" s="71">
        <v>1</v>
      </c>
      <c r="S10" s="71"/>
      <c r="T10" s="71"/>
      <c r="U10" s="71"/>
      <c r="V10" s="71">
        <v>1</v>
      </c>
      <c r="W10" s="71"/>
      <c r="X10" s="71"/>
      <c r="Y10" s="71"/>
      <c r="Z10" s="71"/>
      <c r="AA10" s="71"/>
      <c r="AB10" s="71"/>
      <c r="AC10" s="71"/>
      <c r="AD10" s="71"/>
    </row>
    <row r="11" spans="1:30" ht="16.5" customHeight="1" thickTop="1" thickBot="1" x14ac:dyDescent="0.3">
      <c r="A11" s="596"/>
      <c r="B11" s="595"/>
      <c r="C11" s="539" t="s">
        <v>84</v>
      </c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>
        <v>2</v>
      </c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</row>
    <row r="12" spans="1:30" ht="16.5" thickTop="1" thickBot="1" x14ac:dyDescent="0.3">
      <c r="A12" s="596"/>
      <c r="B12" s="539" t="s">
        <v>436</v>
      </c>
      <c r="C12" s="539" t="s">
        <v>84</v>
      </c>
      <c r="D12" s="71"/>
      <c r="E12" s="71"/>
      <c r="F12" s="71"/>
      <c r="G12" s="71"/>
      <c r="H12" s="71"/>
      <c r="I12" s="71"/>
      <c r="J12" s="71"/>
      <c r="K12" s="71"/>
      <c r="L12" s="71">
        <v>2</v>
      </c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71"/>
      <c r="AD12" s="71"/>
    </row>
    <row r="13" spans="1:30" ht="16.5" thickTop="1" thickBot="1" x14ac:dyDescent="0.3">
      <c r="A13" s="596"/>
      <c r="B13" s="539" t="s">
        <v>47</v>
      </c>
      <c r="C13" s="539" t="s">
        <v>82</v>
      </c>
      <c r="D13" s="71">
        <v>1</v>
      </c>
      <c r="E13" s="71"/>
      <c r="F13" s="71"/>
      <c r="G13" s="71"/>
      <c r="H13" s="71">
        <v>1</v>
      </c>
      <c r="I13" s="71">
        <v>1</v>
      </c>
      <c r="J13" s="71"/>
      <c r="K13" s="71"/>
      <c r="L13" s="71"/>
      <c r="M13" s="71">
        <v>1</v>
      </c>
      <c r="N13" s="71"/>
      <c r="O13" s="71">
        <v>1</v>
      </c>
      <c r="P13" s="71"/>
      <c r="Q13" s="71"/>
      <c r="R13" s="71"/>
      <c r="S13" s="71"/>
      <c r="T13" s="71"/>
      <c r="U13" s="71">
        <v>1</v>
      </c>
      <c r="V13" s="71"/>
      <c r="W13" s="71">
        <v>1</v>
      </c>
      <c r="X13" s="71"/>
      <c r="Y13" s="71"/>
      <c r="Z13" s="71"/>
      <c r="AA13" s="71">
        <v>1</v>
      </c>
      <c r="AB13" s="71"/>
      <c r="AC13" s="71"/>
      <c r="AD13" s="71"/>
    </row>
    <row r="14" spans="1:30" ht="16.5" thickTop="1" thickBot="1" x14ac:dyDescent="0.3">
      <c r="A14" s="596"/>
      <c r="B14" s="538" t="s">
        <v>470</v>
      </c>
      <c r="C14" s="538" t="s">
        <v>84</v>
      </c>
      <c r="D14" s="71"/>
      <c r="E14" s="71">
        <v>2</v>
      </c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</row>
    <row r="15" spans="1:30" ht="16.5" customHeight="1" thickTop="1" thickBot="1" x14ac:dyDescent="0.3">
      <c r="A15" s="596"/>
      <c r="B15" s="539" t="s">
        <v>438</v>
      </c>
      <c r="C15" s="539" t="s">
        <v>84</v>
      </c>
      <c r="D15" s="71"/>
      <c r="E15" s="71"/>
      <c r="F15" s="71"/>
      <c r="G15" s="71"/>
      <c r="H15" s="71">
        <v>2</v>
      </c>
      <c r="I15" s="71"/>
      <c r="J15" s="71"/>
      <c r="K15" s="71"/>
      <c r="L15" s="71"/>
      <c r="M15" s="71">
        <v>2</v>
      </c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</row>
    <row r="16" spans="1:30" ht="16.5" thickTop="1" thickBot="1" x14ac:dyDescent="0.3">
      <c r="A16" s="596"/>
      <c r="B16" s="539" t="s">
        <v>439</v>
      </c>
      <c r="C16" s="539" t="s">
        <v>84</v>
      </c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>
        <v>2</v>
      </c>
      <c r="V16" s="71"/>
      <c r="W16" s="71"/>
      <c r="X16" s="71"/>
      <c r="Y16" s="71"/>
      <c r="Z16" s="71"/>
      <c r="AA16" s="71"/>
      <c r="AB16" s="71"/>
      <c r="AC16" s="71"/>
      <c r="AD16" s="71"/>
    </row>
    <row r="17" spans="1:30" ht="16.5" customHeight="1" thickTop="1" thickBot="1" x14ac:dyDescent="0.3">
      <c r="A17" s="596"/>
      <c r="B17" s="538" t="s">
        <v>930</v>
      </c>
      <c r="C17" s="538" t="s">
        <v>84</v>
      </c>
      <c r="D17" s="71">
        <v>2</v>
      </c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>
        <v>2</v>
      </c>
      <c r="X17" s="71"/>
      <c r="Y17" s="71"/>
      <c r="Z17" s="71"/>
      <c r="AA17" s="71">
        <v>2</v>
      </c>
      <c r="AB17" s="71"/>
      <c r="AC17" s="71"/>
      <c r="AD17" s="71"/>
    </row>
    <row r="18" spans="1:30" ht="16.5" customHeight="1" thickTop="1" thickBot="1" x14ac:dyDescent="0.3">
      <c r="A18" s="596"/>
      <c r="B18" s="538" t="s">
        <v>1441</v>
      </c>
      <c r="C18" s="538" t="s">
        <v>84</v>
      </c>
      <c r="D18" s="71"/>
      <c r="E18" s="71"/>
      <c r="F18" s="71"/>
      <c r="G18" s="71"/>
      <c r="H18" s="71"/>
      <c r="I18" s="71">
        <v>2</v>
      </c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</row>
    <row r="19" spans="1:30" ht="16.5" thickTop="1" thickBot="1" x14ac:dyDescent="0.3">
      <c r="A19" s="596"/>
      <c r="B19" s="538" t="s">
        <v>1442</v>
      </c>
      <c r="C19" s="538" t="s">
        <v>84</v>
      </c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>
        <v>2</v>
      </c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</row>
    <row r="20" spans="1:30" ht="16.5" thickTop="1" thickBot="1" x14ac:dyDescent="0.3">
      <c r="A20" s="596"/>
      <c r="B20" s="538" t="s">
        <v>1718</v>
      </c>
      <c r="C20" s="538" t="s">
        <v>84</v>
      </c>
      <c r="D20" s="71"/>
      <c r="E20" s="71"/>
      <c r="F20" s="71">
        <v>2</v>
      </c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</row>
    <row r="21" spans="1:30" ht="16.5" thickTop="1" thickBot="1" x14ac:dyDescent="0.3">
      <c r="A21" s="596"/>
      <c r="B21" s="538" t="s">
        <v>2324</v>
      </c>
      <c r="C21" s="538" t="s">
        <v>84</v>
      </c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>
        <v>2</v>
      </c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</row>
    <row r="22" spans="1:30" ht="16.5" customHeight="1" thickTop="1" thickBot="1" x14ac:dyDescent="0.3">
      <c r="A22" s="539" t="s">
        <v>458</v>
      </c>
      <c r="B22" s="594" t="s">
        <v>421</v>
      </c>
      <c r="C22" s="539" t="s">
        <v>84</v>
      </c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>
        <v>4</v>
      </c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</row>
    <row r="23" spans="1:30" ht="16.5" customHeight="1" thickTop="1" thickBot="1" x14ac:dyDescent="0.3">
      <c r="A23" s="539" t="s">
        <v>440</v>
      </c>
      <c r="B23" s="566" t="s">
        <v>421</v>
      </c>
      <c r="C23" s="539" t="s">
        <v>82</v>
      </c>
      <c r="D23" s="71"/>
      <c r="E23" s="71"/>
      <c r="F23" s="71"/>
      <c r="G23" s="71"/>
      <c r="H23" s="71"/>
      <c r="I23" s="71"/>
      <c r="J23" s="71"/>
      <c r="K23" s="71"/>
      <c r="L23" s="71">
        <v>1</v>
      </c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</row>
    <row r="24" spans="1:30" ht="16.5" customHeight="1" thickTop="1" thickBot="1" x14ac:dyDescent="0.3">
      <c r="A24" s="594" t="s">
        <v>451</v>
      </c>
      <c r="B24" s="566" t="s">
        <v>421</v>
      </c>
      <c r="C24" s="539" t="s">
        <v>82</v>
      </c>
      <c r="D24" s="71"/>
      <c r="E24" s="71"/>
      <c r="F24" s="71"/>
      <c r="G24" s="71"/>
      <c r="H24" s="71"/>
      <c r="I24" s="71"/>
      <c r="J24" s="71"/>
      <c r="K24" s="71"/>
      <c r="L24" s="71">
        <v>1</v>
      </c>
      <c r="M24" s="71"/>
      <c r="N24" s="71">
        <v>1</v>
      </c>
      <c r="O24" s="71"/>
      <c r="P24" s="71"/>
      <c r="Q24" s="71"/>
      <c r="R24" s="71">
        <v>1</v>
      </c>
      <c r="S24" s="71"/>
      <c r="T24" s="71"/>
      <c r="U24" s="71"/>
      <c r="V24" s="71"/>
      <c r="W24" s="71"/>
      <c r="X24" s="71"/>
      <c r="Y24" s="71">
        <v>1</v>
      </c>
      <c r="Z24" s="71">
        <v>1</v>
      </c>
      <c r="AA24" s="71"/>
      <c r="AB24" s="71"/>
      <c r="AC24" s="71"/>
      <c r="AD24" s="71"/>
    </row>
    <row r="25" spans="1:30" ht="16.5" customHeight="1" thickTop="1" thickBot="1" x14ac:dyDescent="0.3">
      <c r="A25" s="596"/>
      <c r="B25" s="227" t="s">
        <v>423</v>
      </c>
      <c r="C25" s="539" t="s">
        <v>82</v>
      </c>
      <c r="D25" s="71"/>
      <c r="E25" s="71"/>
      <c r="F25" s="71">
        <v>1</v>
      </c>
      <c r="G25" s="71"/>
      <c r="H25" s="71"/>
      <c r="I25" s="71"/>
      <c r="J25" s="71"/>
      <c r="K25" s="71"/>
      <c r="L25" s="71"/>
      <c r="M25" s="71"/>
      <c r="N25" s="71"/>
      <c r="O25" s="71"/>
      <c r="P25" s="71">
        <v>1</v>
      </c>
      <c r="Q25" s="71">
        <v>1</v>
      </c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</row>
    <row r="26" spans="1:30" ht="16.5" thickTop="1" thickBot="1" x14ac:dyDescent="0.3">
      <c r="A26" s="596"/>
      <c r="B26" s="76" t="s">
        <v>424</v>
      </c>
      <c r="C26" s="539" t="s">
        <v>82</v>
      </c>
      <c r="D26" s="71">
        <v>1</v>
      </c>
      <c r="E26" s="71"/>
      <c r="F26" s="71"/>
      <c r="G26" s="71"/>
      <c r="H26" s="71">
        <v>1</v>
      </c>
      <c r="I26" s="71"/>
      <c r="J26" s="71"/>
      <c r="K26" s="71">
        <v>1</v>
      </c>
      <c r="L26" s="71"/>
      <c r="M26" s="71">
        <v>1</v>
      </c>
      <c r="N26" s="71"/>
      <c r="O26" s="71">
        <v>1</v>
      </c>
      <c r="P26" s="71"/>
      <c r="Q26" s="71"/>
      <c r="R26" s="71"/>
      <c r="S26" s="71"/>
      <c r="T26" s="71"/>
      <c r="U26" s="71"/>
      <c r="V26" s="71"/>
      <c r="W26" s="71">
        <v>1</v>
      </c>
      <c r="X26" s="71"/>
      <c r="Y26" s="71"/>
      <c r="Z26" s="71"/>
      <c r="AA26" s="71">
        <v>1</v>
      </c>
      <c r="AB26" s="71">
        <v>1</v>
      </c>
      <c r="AC26" s="71"/>
      <c r="AD26" s="71"/>
    </row>
    <row r="27" spans="1:30" ht="16.5" customHeight="1" thickTop="1" thickBot="1" x14ac:dyDescent="0.3">
      <c r="A27" s="539" t="s">
        <v>364</v>
      </c>
      <c r="B27" s="539" t="s">
        <v>429</v>
      </c>
      <c r="C27" s="539" t="s">
        <v>84</v>
      </c>
      <c r="D27" s="71"/>
      <c r="E27" s="71">
        <v>2</v>
      </c>
      <c r="F27" s="71">
        <v>2</v>
      </c>
      <c r="G27" s="71">
        <v>2</v>
      </c>
      <c r="H27" s="71"/>
      <c r="I27" s="71">
        <v>2</v>
      </c>
      <c r="J27" s="71">
        <v>2</v>
      </c>
      <c r="K27" s="71"/>
      <c r="L27" s="71"/>
      <c r="M27" s="71"/>
      <c r="N27" s="71">
        <v>2</v>
      </c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>
        <v>2</v>
      </c>
      <c r="Z27" s="71">
        <v>2</v>
      </c>
      <c r="AA27" s="71"/>
      <c r="AB27" s="71"/>
      <c r="AC27" s="71"/>
      <c r="AD27" s="71"/>
    </row>
    <row r="28" spans="1:30" ht="16.5" customHeight="1" thickTop="1" thickBot="1" x14ac:dyDescent="0.3">
      <c r="A28" s="594" t="s">
        <v>420</v>
      </c>
      <c r="B28" s="539" t="s">
        <v>423</v>
      </c>
      <c r="C28" s="539" t="s">
        <v>78</v>
      </c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>
        <v>3</v>
      </c>
      <c r="O28" s="71"/>
      <c r="P28" s="71"/>
      <c r="Q28" s="71"/>
      <c r="R28" s="71"/>
      <c r="S28" s="71"/>
      <c r="T28" s="71">
        <v>3</v>
      </c>
      <c r="U28" s="71"/>
      <c r="V28" s="71"/>
      <c r="W28" s="71"/>
      <c r="X28" s="71"/>
      <c r="Y28" s="71">
        <v>3</v>
      </c>
      <c r="Z28" s="71">
        <v>3</v>
      </c>
      <c r="AA28" s="71"/>
      <c r="AB28" s="71"/>
      <c r="AC28" s="71"/>
      <c r="AD28" s="71"/>
    </row>
    <row r="29" spans="1:30" ht="16.5" customHeight="1" thickTop="1" thickBot="1" x14ac:dyDescent="0.3">
      <c r="A29" s="596"/>
      <c r="B29" s="539" t="s">
        <v>424</v>
      </c>
      <c r="C29" s="539" t="s">
        <v>78</v>
      </c>
      <c r="D29" s="71"/>
      <c r="E29" s="71"/>
      <c r="F29" s="71"/>
      <c r="G29" s="71">
        <v>3</v>
      </c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</row>
    <row r="30" spans="1:30" ht="16.5" customHeight="1" thickTop="1" thickBot="1" x14ac:dyDescent="0.3">
      <c r="A30" s="596"/>
      <c r="B30" s="539" t="s">
        <v>425</v>
      </c>
      <c r="C30" s="539" t="s">
        <v>78</v>
      </c>
      <c r="D30" s="71"/>
      <c r="E30" s="71"/>
      <c r="F30" s="71"/>
      <c r="G30" s="71"/>
      <c r="H30" s="71"/>
      <c r="I30" s="71"/>
      <c r="J30" s="71"/>
      <c r="K30" s="71"/>
      <c r="L30" s="71">
        <v>3</v>
      </c>
      <c r="M30" s="71"/>
      <c r="N30" s="71"/>
      <c r="O30" s="71"/>
      <c r="P30" s="71">
        <v>3</v>
      </c>
      <c r="Q30" s="71"/>
      <c r="R30" s="71">
        <v>3</v>
      </c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</row>
    <row r="31" spans="1:30" ht="16.5" customHeight="1" thickTop="1" thickBot="1" x14ac:dyDescent="0.3">
      <c r="A31" s="596"/>
      <c r="B31" s="539" t="s">
        <v>426</v>
      </c>
      <c r="C31" s="539" t="s">
        <v>78</v>
      </c>
      <c r="D31" s="71"/>
      <c r="E31" s="71"/>
      <c r="F31" s="71"/>
      <c r="G31" s="71"/>
      <c r="H31" s="71"/>
      <c r="I31" s="71"/>
      <c r="J31" s="71"/>
      <c r="K31" s="71"/>
      <c r="L31" s="71"/>
      <c r="M31" s="71">
        <v>3</v>
      </c>
      <c r="N31" s="71"/>
      <c r="O31" s="71"/>
      <c r="P31" s="71"/>
      <c r="Q31" s="71">
        <v>3</v>
      </c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</row>
    <row r="32" spans="1:30" ht="16.5" customHeight="1" thickTop="1" thickBot="1" x14ac:dyDescent="0.3">
      <c r="A32" s="596"/>
      <c r="B32" s="539" t="s">
        <v>427</v>
      </c>
      <c r="C32" s="539" t="s">
        <v>78</v>
      </c>
      <c r="D32" s="71">
        <v>3</v>
      </c>
      <c r="E32" s="71"/>
      <c r="F32" s="71">
        <v>3</v>
      </c>
      <c r="G32" s="71"/>
      <c r="H32" s="71">
        <v>3</v>
      </c>
      <c r="I32" s="71">
        <v>3</v>
      </c>
      <c r="J32" s="71"/>
      <c r="K32" s="71">
        <v>3</v>
      </c>
      <c r="L32" s="71"/>
      <c r="M32" s="71"/>
      <c r="N32" s="71"/>
      <c r="O32" s="71">
        <v>3</v>
      </c>
      <c r="P32" s="71"/>
      <c r="Q32" s="71"/>
      <c r="R32" s="71"/>
      <c r="S32" s="71"/>
      <c r="T32" s="71"/>
      <c r="U32" s="71">
        <v>3</v>
      </c>
      <c r="V32" s="71"/>
      <c r="W32" s="71">
        <v>3</v>
      </c>
      <c r="X32" s="71">
        <v>3</v>
      </c>
      <c r="Y32" s="71"/>
      <c r="Z32" s="71"/>
      <c r="AA32" s="71">
        <v>3</v>
      </c>
      <c r="AB32" s="71"/>
      <c r="AC32" s="71"/>
      <c r="AD32" s="71"/>
    </row>
    <row r="33" spans="1:30" ht="16.5" customHeight="1" thickTop="1" thickBot="1" x14ac:dyDescent="0.3">
      <c r="A33" s="594" t="s">
        <v>455</v>
      </c>
      <c r="B33" s="594" t="s">
        <v>421</v>
      </c>
      <c r="C33" s="539" t="s">
        <v>82</v>
      </c>
      <c r="D33" s="71">
        <v>2</v>
      </c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</row>
    <row r="34" spans="1:30" ht="16.5" customHeight="1" thickTop="1" thickBot="1" x14ac:dyDescent="0.3">
      <c r="A34" s="596"/>
      <c r="B34" s="595"/>
      <c r="C34" s="539" t="s">
        <v>84</v>
      </c>
      <c r="D34" s="71">
        <v>4</v>
      </c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</row>
    <row r="35" spans="1:30" ht="16.5" customHeight="1" thickTop="1" thickBot="1" x14ac:dyDescent="0.3">
      <c r="A35" s="594" t="s">
        <v>431</v>
      </c>
      <c r="B35" s="538" t="s">
        <v>428</v>
      </c>
      <c r="C35" s="538" t="s">
        <v>82</v>
      </c>
      <c r="D35" s="71"/>
      <c r="E35" s="71">
        <v>1</v>
      </c>
      <c r="F35" s="71"/>
      <c r="G35" s="71">
        <v>1</v>
      </c>
      <c r="H35" s="71"/>
      <c r="I35" s="71"/>
      <c r="J35" s="71">
        <v>1</v>
      </c>
      <c r="K35" s="71"/>
      <c r="L35" s="71"/>
      <c r="M35" s="71"/>
      <c r="N35" s="71">
        <v>1</v>
      </c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</row>
    <row r="36" spans="1:30" ht="16.5" customHeight="1" thickTop="1" thickBot="1" x14ac:dyDescent="0.3">
      <c r="A36" s="596"/>
      <c r="B36" s="538" t="s">
        <v>430</v>
      </c>
      <c r="C36" s="538" t="s">
        <v>82</v>
      </c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>
        <v>1</v>
      </c>
      <c r="Z36" s="71">
        <v>1</v>
      </c>
      <c r="AA36" s="71"/>
      <c r="AB36" s="71"/>
      <c r="AC36" s="71"/>
      <c r="AD36" s="71"/>
    </row>
    <row r="37" spans="1:30" ht="16.5" thickTop="1" thickBot="1" x14ac:dyDescent="0.3">
      <c r="A37" s="596"/>
      <c r="B37" s="538" t="s">
        <v>465</v>
      </c>
      <c r="C37" s="538" t="s">
        <v>82</v>
      </c>
      <c r="D37" s="71"/>
      <c r="E37" s="71"/>
      <c r="F37" s="71"/>
      <c r="G37" s="71"/>
      <c r="H37" s="71"/>
      <c r="I37" s="71"/>
      <c r="J37" s="71"/>
      <c r="K37" s="71"/>
      <c r="L37" s="71">
        <v>1</v>
      </c>
      <c r="M37" s="71"/>
      <c r="N37" s="71"/>
      <c r="O37" s="71"/>
      <c r="P37" s="71">
        <v>1</v>
      </c>
      <c r="Q37" s="71"/>
      <c r="R37" s="71">
        <v>1</v>
      </c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</row>
    <row r="38" spans="1:30" ht="16.5" thickTop="1" thickBot="1" x14ac:dyDescent="0.3">
      <c r="A38" s="596"/>
      <c r="B38" s="539" t="s">
        <v>432</v>
      </c>
      <c r="C38" s="539" t="s">
        <v>82</v>
      </c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>
        <v>1</v>
      </c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</row>
    <row r="39" spans="1:30" ht="16.5" customHeight="1" thickTop="1" thickBot="1" x14ac:dyDescent="0.3">
      <c r="A39" s="596"/>
      <c r="B39" s="539" t="s">
        <v>433</v>
      </c>
      <c r="C39" s="539" t="s">
        <v>82</v>
      </c>
      <c r="D39" s="71">
        <v>1</v>
      </c>
      <c r="E39" s="71"/>
      <c r="F39" s="71"/>
      <c r="G39" s="71"/>
      <c r="H39" s="71">
        <v>1</v>
      </c>
      <c r="I39" s="71">
        <v>1</v>
      </c>
      <c r="J39" s="71"/>
      <c r="K39" s="71"/>
      <c r="L39" s="71"/>
      <c r="M39" s="71">
        <v>1</v>
      </c>
      <c r="N39" s="71"/>
      <c r="O39" s="71">
        <v>1</v>
      </c>
      <c r="P39" s="71"/>
      <c r="Q39" s="71"/>
      <c r="R39" s="71"/>
      <c r="S39" s="71"/>
      <c r="T39" s="71"/>
      <c r="U39" s="71">
        <v>1</v>
      </c>
      <c r="V39" s="71"/>
      <c r="W39" s="71"/>
      <c r="X39" s="71"/>
      <c r="Y39" s="71"/>
      <c r="Z39" s="71"/>
      <c r="AA39" s="71"/>
      <c r="AB39" s="71"/>
      <c r="AC39" s="71"/>
      <c r="AD39" s="71"/>
    </row>
    <row r="40" spans="1:30" ht="16.5" thickTop="1" thickBot="1" x14ac:dyDescent="0.3">
      <c r="A40" s="596"/>
      <c r="B40" s="538" t="s">
        <v>1435</v>
      </c>
      <c r="C40" s="538" t="s">
        <v>82</v>
      </c>
      <c r="D40" s="71"/>
      <c r="E40" s="71"/>
      <c r="F40" s="71">
        <v>1</v>
      </c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>
        <v>1</v>
      </c>
      <c r="AB40" s="71"/>
      <c r="AC40" s="71">
        <v>1</v>
      </c>
      <c r="AD40" s="71"/>
    </row>
    <row r="41" spans="1:30" ht="16.5" thickTop="1" thickBot="1" x14ac:dyDescent="0.3">
      <c r="A41" s="596"/>
      <c r="B41" s="538" t="s">
        <v>2685</v>
      </c>
      <c r="C41" s="538" t="s">
        <v>82</v>
      </c>
      <c r="D41" s="71"/>
      <c r="E41" s="71"/>
      <c r="F41" s="71"/>
      <c r="G41" s="71"/>
      <c r="H41" s="71"/>
      <c r="I41" s="71">
        <v>1</v>
      </c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</row>
    <row r="42" spans="1:30" ht="16.5" thickTop="1" thickBot="1" x14ac:dyDescent="0.3">
      <c r="A42" s="594" t="s">
        <v>456</v>
      </c>
      <c r="B42" s="594" t="s">
        <v>421</v>
      </c>
      <c r="C42" s="539" t="s">
        <v>82</v>
      </c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>
        <v>1</v>
      </c>
      <c r="S42" s="71">
        <v>1</v>
      </c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1"/>
    </row>
    <row r="43" spans="1:30" ht="16.5" thickTop="1" thickBot="1" x14ac:dyDescent="0.3">
      <c r="A43" s="596"/>
      <c r="B43" s="595"/>
      <c r="C43" s="539" t="s">
        <v>84</v>
      </c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>
        <v>4</v>
      </c>
      <c r="S43" s="71">
        <v>4</v>
      </c>
      <c r="T43" s="71"/>
      <c r="U43" s="71"/>
      <c r="V43" s="71"/>
      <c r="W43" s="71"/>
      <c r="X43" s="71"/>
      <c r="Y43" s="71">
        <v>4</v>
      </c>
      <c r="Z43" s="71">
        <v>4</v>
      </c>
      <c r="AA43" s="71"/>
      <c r="AB43" s="71"/>
      <c r="AC43" s="71"/>
      <c r="AD43" s="71"/>
    </row>
    <row r="44" spans="1:30" ht="16.5" customHeight="1" thickTop="1" thickBot="1" x14ac:dyDescent="0.3">
      <c r="A44" s="596"/>
      <c r="B44" s="539" t="s">
        <v>457</v>
      </c>
      <c r="C44" s="539" t="s">
        <v>82</v>
      </c>
      <c r="D44" s="71"/>
      <c r="E44" s="71"/>
      <c r="F44" s="71"/>
      <c r="G44" s="71"/>
      <c r="H44" s="71"/>
      <c r="I44" s="71">
        <v>1</v>
      </c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>
        <v>1</v>
      </c>
      <c r="V44" s="71"/>
      <c r="W44" s="71"/>
      <c r="X44" s="71"/>
      <c r="Y44" s="71"/>
      <c r="Z44" s="71"/>
      <c r="AA44" s="71"/>
      <c r="AB44" s="71"/>
      <c r="AC44" s="71"/>
      <c r="AD44" s="71"/>
    </row>
    <row r="45" spans="1:30" ht="16.5" thickTop="1" thickBot="1" x14ac:dyDescent="0.3">
      <c r="A45" s="596"/>
      <c r="B45" s="538" t="s">
        <v>1436</v>
      </c>
      <c r="C45" s="538" t="s">
        <v>82</v>
      </c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>
        <v>1</v>
      </c>
      <c r="AD45" s="71"/>
    </row>
    <row r="46" spans="1:30" ht="16.5" customHeight="1" thickTop="1" thickBot="1" x14ac:dyDescent="0.3">
      <c r="A46" s="594" t="s">
        <v>454</v>
      </c>
      <c r="B46" s="594" t="s">
        <v>421</v>
      </c>
      <c r="C46" s="539" t="s">
        <v>82</v>
      </c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>
        <v>1</v>
      </c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</row>
    <row r="47" spans="1:30" ht="16.5" thickTop="1" thickBot="1" x14ac:dyDescent="0.3">
      <c r="A47" s="596"/>
      <c r="B47" s="595"/>
      <c r="C47" s="539" t="s">
        <v>84</v>
      </c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>
        <v>2</v>
      </c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</row>
    <row r="48" spans="1:30" ht="16.5" thickTop="1" thickBot="1" x14ac:dyDescent="0.3">
      <c r="A48" s="596"/>
      <c r="B48" s="539" t="s">
        <v>423</v>
      </c>
      <c r="C48" s="538" t="s">
        <v>82</v>
      </c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>
        <v>1</v>
      </c>
    </row>
    <row r="49" spans="1:30" ht="16.5" customHeight="1" thickTop="1" thickBot="1" x14ac:dyDescent="0.3">
      <c r="A49" s="594" t="s">
        <v>452</v>
      </c>
      <c r="B49" s="538" t="s">
        <v>421</v>
      </c>
      <c r="C49" s="539" t="s">
        <v>82</v>
      </c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>
        <v>1</v>
      </c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</row>
    <row r="50" spans="1:30" ht="16.5" thickTop="1" thickBot="1" x14ac:dyDescent="0.3">
      <c r="A50" s="596"/>
      <c r="B50" s="227" t="s">
        <v>423</v>
      </c>
      <c r="C50" s="539" t="s">
        <v>82</v>
      </c>
      <c r="D50" s="71"/>
      <c r="E50" s="71"/>
      <c r="F50" s="71"/>
      <c r="G50" s="71"/>
      <c r="H50" s="71"/>
      <c r="I50" s="71"/>
      <c r="J50" s="71"/>
      <c r="K50" s="71"/>
      <c r="L50" s="71"/>
      <c r="M50" s="71">
        <v>1</v>
      </c>
      <c r="N50" s="71"/>
      <c r="O50" s="71"/>
      <c r="P50" s="71"/>
      <c r="Q50" s="71">
        <v>1</v>
      </c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71"/>
    </row>
    <row r="51" spans="1:30" ht="16.5" customHeight="1" thickTop="1" thickBot="1" x14ac:dyDescent="0.3">
      <c r="A51" s="596"/>
      <c r="B51" s="538" t="s">
        <v>424</v>
      </c>
      <c r="C51" s="538" t="s">
        <v>82</v>
      </c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>
        <v>1</v>
      </c>
      <c r="X51" s="71"/>
      <c r="Y51" s="71"/>
      <c r="Z51" s="71"/>
      <c r="AA51" s="71"/>
      <c r="AB51" s="71"/>
      <c r="AC51" s="71"/>
      <c r="AD51" s="71"/>
    </row>
    <row r="52" spans="1:30" ht="16.5" customHeight="1" thickTop="1" thickBot="1" x14ac:dyDescent="0.3">
      <c r="A52" s="596"/>
      <c r="B52" s="538" t="s">
        <v>2025</v>
      </c>
      <c r="C52" s="538" t="s">
        <v>82</v>
      </c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>
        <v>1</v>
      </c>
      <c r="AB52" s="71"/>
      <c r="AC52" s="71"/>
      <c r="AD52" s="71"/>
    </row>
    <row r="53" spans="1:30" ht="16.5" customHeight="1" thickTop="1" thickBot="1" x14ac:dyDescent="0.3">
      <c r="A53" s="594" t="s">
        <v>453</v>
      </c>
      <c r="B53" s="538" t="s">
        <v>423</v>
      </c>
      <c r="C53" s="539" t="s">
        <v>84</v>
      </c>
      <c r="D53" s="71"/>
      <c r="E53" s="71"/>
      <c r="F53" s="71">
        <v>2</v>
      </c>
      <c r="G53" s="71"/>
      <c r="H53" s="71"/>
      <c r="I53" s="71"/>
      <c r="J53" s="71"/>
      <c r="K53" s="71"/>
      <c r="L53" s="71"/>
      <c r="M53" s="71"/>
      <c r="N53" s="71"/>
      <c r="O53" s="71"/>
      <c r="P53" s="71">
        <v>2</v>
      </c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71"/>
    </row>
    <row r="54" spans="1:30" ht="16.5" customHeight="1" thickTop="1" thickBot="1" x14ac:dyDescent="0.3">
      <c r="A54" s="596"/>
      <c r="B54" s="538" t="s">
        <v>424</v>
      </c>
      <c r="C54" s="539" t="s">
        <v>82</v>
      </c>
      <c r="D54" s="71"/>
      <c r="E54" s="71"/>
      <c r="F54" s="71">
        <v>1</v>
      </c>
      <c r="G54" s="71"/>
      <c r="H54" s="71"/>
      <c r="I54" s="71"/>
      <c r="J54" s="71"/>
      <c r="K54" s="71"/>
      <c r="L54" s="71"/>
      <c r="M54" s="71"/>
      <c r="N54" s="71"/>
      <c r="O54" s="71"/>
      <c r="P54" s="71">
        <v>1</v>
      </c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71"/>
    </row>
    <row r="55" spans="1:30" ht="16.5" customHeight="1" thickTop="1" thickBot="1" x14ac:dyDescent="0.3">
      <c r="A55" s="594" t="s">
        <v>441</v>
      </c>
      <c r="B55" s="594" t="s">
        <v>442</v>
      </c>
      <c r="C55" s="539" t="s">
        <v>89</v>
      </c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>
        <v>4</v>
      </c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</row>
    <row r="56" spans="1:30" ht="16.5" customHeight="1" thickTop="1" thickBot="1" x14ac:dyDescent="0.3">
      <c r="A56" s="596"/>
      <c r="B56" s="595"/>
      <c r="C56" s="539" t="s">
        <v>82</v>
      </c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>
        <v>1</v>
      </c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71"/>
    </row>
    <row r="57" spans="1:30" ht="16.5" customHeight="1" thickTop="1" thickBot="1" x14ac:dyDescent="0.3">
      <c r="A57" s="594" t="s">
        <v>459</v>
      </c>
      <c r="B57" s="594" t="s">
        <v>423</v>
      </c>
      <c r="C57" s="539" t="s">
        <v>82</v>
      </c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>
        <v>1</v>
      </c>
      <c r="U57" s="71"/>
      <c r="V57" s="71"/>
      <c r="W57" s="71"/>
      <c r="X57" s="71"/>
      <c r="Y57" s="71"/>
      <c r="Z57" s="71"/>
      <c r="AA57" s="71"/>
      <c r="AB57" s="71"/>
      <c r="AC57" s="71"/>
      <c r="AD57" s="71"/>
    </row>
    <row r="58" spans="1:30" ht="16.5" customHeight="1" thickTop="1" thickBot="1" x14ac:dyDescent="0.3">
      <c r="A58" s="596"/>
      <c r="B58" s="595"/>
      <c r="C58" s="539" t="s">
        <v>84</v>
      </c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>
        <v>4</v>
      </c>
      <c r="U58" s="71"/>
      <c r="V58" s="71"/>
      <c r="W58" s="71"/>
      <c r="X58" s="71"/>
      <c r="Y58" s="71"/>
      <c r="Z58" s="71"/>
      <c r="AA58" s="71"/>
      <c r="AB58" s="71"/>
      <c r="AC58" s="71"/>
      <c r="AD58" s="71"/>
    </row>
    <row r="59" spans="1:30" ht="16.5" customHeight="1" thickTop="1" thickBot="1" x14ac:dyDescent="0.3">
      <c r="A59" s="594" t="s">
        <v>443</v>
      </c>
      <c r="B59" s="539" t="s">
        <v>421</v>
      </c>
      <c r="C59" s="539" t="s">
        <v>82</v>
      </c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>
        <v>1</v>
      </c>
      <c r="S59" s="71"/>
      <c r="T59" s="71"/>
      <c r="U59" s="71"/>
      <c r="V59" s="71"/>
      <c r="W59" s="71"/>
      <c r="X59" s="71"/>
      <c r="Y59" s="71"/>
      <c r="Z59" s="71"/>
      <c r="AA59" s="71"/>
      <c r="AB59" s="71"/>
      <c r="AC59" s="71"/>
      <c r="AD59" s="71"/>
    </row>
    <row r="60" spans="1:30" ht="16.5" customHeight="1" thickTop="1" thickBot="1" x14ac:dyDescent="0.3">
      <c r="A60" s="596"/>
      <c r="B60" s="539" t="s">
        <v>423</v>
      </c>
      <c r="C60" s="539" t="s">
        <v>84</v>
      </c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>
        <v>2</v>
      </c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71"/>
    </row>
    <row r="61" spans="1:30" ht="16.5" customHeight="1" thickTop="1" thickBot="1" x14ac:dyDescent="0.3">
      <c r="A61" s="538" t="s">
        <v>463</v>
      </c>
      <c r="B61" s="538" t="s">
        <v>465</v>
      </c>
      <c r="C61" s="538" t="s">
        <v>84</v>
      </c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>
        <v>2</v>
      </c>
      <c r="Q61" s="71">
        <v>2</v>
      </c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</row>
    <row r="62" spans="1:30" ht="16.5" customHeight="1" thickTop="1" thickBot="1" x14ac:dyDescent="0.3">
      <c r="A62" s="593" t="s">
        <v>466</v>
      </c>
      <c r="B62" s="538" t="s">
        <v>444</v>
      </c>
      <c r="C62" s="538" t="s">
        <v>84</v>
      </c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>
        <v>2</v>
      </c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71"/>
    </row>
    <row r="63" spans="1:30" ht="16.5" customHeight="1" thickTop="1" thickBot="1" x14ac:dyDescent="0.3">
      <c r="A63" s="566"/>
      <c r="B63" s="538" t="s">
        <v>468</v>
      </c>
      <c r="C63" s="538" t="s">
        <v>84</v>
      </c>
      <c r="D63" s="71"/>
      <c r="E63" s="71">
        <v>2</v>
      </c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71"/>
      <c r="AD63" s="71"/>
    </row>
    <row r="64" spans="1:30" ht="16.5" thickTop="1" thickBot="1" x14ac:dyDescent="0.3">
      <c r="A64" s="566"/>
      <c r="B64" s="538" t="s">
        <v>445</v>
      </c>
      <c r="C64" s="538" t="s">
        <v>84</v>
      </c>
      <c r="D64" s="71"/>
      <c r="E64" s="71"/>
      <c r="F64" s="71"/>
      <c r="G64" s="71"/>
      <c r="H64" s="71"/>
      <c r="I64" s="71"/>
      <c r="J64" s="71"/>
      <c r="K64" s="71"/>
      <c r="L64" s="71"/>
      <c r="M64" s="71">
        <v>2</v>
      </c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D64" s="71"/>
    </row>
    <row r="65" spans="1:30" ht="16.5" thickTop="1" thickBot="1" x14ac:dyDescent="0.3">
      <c r="A65" s="566"/>
      <c r="B65" s="538" t="s">
        <v>446</v>
      </c>
      <c r="C65" s="538" t="s">
        <v>84</v>
      </c>
      <c r="D65" s="71"/>
      <c r="E65" s="71"/>
      <c r="F65" s="71"/>
      <c r="G65" s="71"/>
      <c r="H65" s="71">
        <v>2</v>
      </c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>
        <v>2</v>
      </c>
      <c r="V65" s="71"/>
      <c r="W65" s="71"/>
      <c r="X65" s="71"/>
      <c r="Y65" s="71"/>
      <c r="Z65" s="71"/>
      <c r="AA65" s="71"/>
      <c r="AB65" s="71"/>
      <c r="AC65" s="71"/>
      <c r="AD65" s="71"/>
    </row>
    <row r="66" spans="1:30" ht="16.5" customHeight="1" thickTop="1" thickBot="1" x14ac:dyDescent="0.3">
      <c r="A66" s="566"/>
      <c r="B66" s="538" t="s">
        <v>1717</v>
      </c>
      <c r="C66" s="538" t="s">
        <v>84</v>
      </c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>
        <v>2</v>
      </c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>
        <v>2</v>
      </c>
      <c r="AB66" s="71"/>
      <c r="AC66" s="71"/>
      <c r="AD66" s="71"/>
    </row>
    <row r="67" spans="1:30" ht="16.5" customHeight="1" thickTop="1" thickBot="1" x14ac:dyDescent="0.3">
      <c r="A67" s="566"/>
      <c r="B67" s="538" t="s">
        <v>2323</v>
      </c>
      <c r="C67" s="538" t="s">
        <v>84</v>
      </c>
      <c r="D67" s="71">
        <v>2</v>
      </c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>
        <v>2</v>
      </c>
      <c r="AD67" s="71"/>
    </row>
    <row r="68" spans="1:30" ht="16.5" customHeight="1" thickTop="1" thickBot="1" x14ac:dyDescent="0.3">
      <c r="A68" s="566"/>
      <c r="B68" s="538" t="s">
        <v>2689</v>
      </c>
      <c r="C68" s="538" t="s">
        <v>84</v>
      </c>
      <c r="D68" s="71"/>
      <c r="E68" s="71"/>
      <c r="F68" s="71">
        <v>2</v>
      </c>
      <c r="G68" s="71"/>
      <c r="H68" s="71"/>
      <c r="I68" s="71">
        <v>2</v>
      </c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71"/>
    </row>
    <row r="69" spans="1:30" ht="16.5" customHeight="1" thickTop="1" thickBot="1" x14ac:dyDescent="0.3">
      <c r="A69" s="593" t="s">
        <v>467</v>
      </c>
      <c r="B69" s="538" t="s">
        <v>444</v>
      </c>
      <c r="C69" s="538" t="s">
        <v>84</v>
      </c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>
        <v>2</v>
      </c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71"/>
    </row>
    <row r="70" spans="1:30" ht="16.5" thickTop="1" thickBot="1" x14ac:dyDescent="0.3">
      <c r="A70" s="566"/>
      <c r="B70" s="538" t="s">
        <v>447</v>
      </c>
      <c r="C70" s="538" t="s">
        <v>84</v>
      </c>
      <c r="D70" s="71"/>
      <c r="E70" s="71">
        <v>2</v>
      </c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71"/>
    </row>
    <row r="71" spans="1:30" ht="16.5" thickTop="1" thickBot="1" x14ac:dyDescent="0.3">
      <c r="A71" s="566"/>
      <c r="B71" s="538" t="s">
        <v>448</v>
      </c>
      <c r="C71" s="538" t="s">
        <v>84</v>
      </c>
      <c r="D71" s="71"/>
      <c r="E71" s="71"/>
      <c r="F71" s="71"/>
      <c r="G71" s="71"/>
      <c r="H71" s="71"/>
      <c r="I71" s="71"/>
      <c r="J71" s="71"/>
      <c r="K71" s="71"/>
      <c r="L71" s="71"/>
      <c r="M71" s="71">
        <v>2</v>
      </c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71"/>
    </row>
    <row r="72" spans="1:30" ht="16.5" thickTop="1" thickBot="1" x14ac:dyDescent="0.3">
      <c r="A72" s="566"/>
      <c r="B72" s="538" t="s">
        <v>449</v>
      </c>
      <c r="C72" s="538" t="s">
        <v>84</v>
      </c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>
        <v>2</v>
      </c>
      <c r="V72" s="71"/>
      <c r="W72" s="71"/>
      <c r="X72" s="71"/>
      <c r="Y72" s="71"/>
      <c r="Z72" s="71"/>
      <c r="AA72" s="71"/>
      <c r="AB72" s="71"/>
      <c r="AC72" s="71"/>
      <c r="AD72" s="71"/>
    </row>
    <row r="73" spans="1:30" ht="16.5" thickTop="1" thickBot="1" x14ac:dyDescent="0.3">
      <c r="A73" s="566"/>
      <c r="B73" s="538" t="s">
        <v>450</v>
      </c>
      <c r="C73" s="538" t="s">
        <v>84</v>
      </c>
      <c r="D73" s="71"/>
      <c r="E73" s="71"/>
      <c r="F73" s="71"/>
      <c r="G73" s="71"/>
      <c r="H73" s="71">
        <v>2</v>
      </c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71"/>
    </row>
    <row r="74" spans="1:30" ht="16.5" thickTop="1" thickBot="1" x14ac:dyDescent="0.3">
      <c r="A74" s="566"/>
      <c r="B74" s="538" t="s">
        <v>468</v>
      </c>
      <c r="C74" s="538" t="s">
        <v>84</v>
      </c>
      <c r="D74" s="71">
        <v>2</v>
      </c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  <c r="AB74" s="71"/>
      <c r="AC74" s="71"/>
      <c r="AD74" s="71"/>
    </row>
    <row r="75" spans="1:30" ht="16.5" customHeight="1" thickTop="1" thickBot="1" x14ac:dyDescent="0.3">
      <c r="A75" s="566"/>
      <c r="B75" s="538" t="s">
        <v>445</v>
      </c>
      <c r="C75" s="538" t="s">
        <v>84</v>
      </c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>
        <v>2</v>
      </c>
      <c r="AB75" s="71"/>
      <c r="AC75" s="71"/>
      <c r="AD75" s="71"/>
    </row>
    <row r="76" spans="1:30" ht="16.5" thickTop="1" thickBot="1" x14ac:dyDescent="0.3">
      <c r="A76" s="566"/>
      <c r="B76" s="538" t="s">
        <v>446</v>
      </c>
      <c r="C76" s="538" t="s">
        <v>84</v>
      </c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  <c r="AB76" s="71"/>
      <c r="AC76" s="71">
        <v>2</v>
      </c>
      <c r="AD76" s="71"/>
    </row>
    <row r="77" spans="1:30" ht="16.5" thickTop="1" thickBot="1" x14ac:dyDescent="0.3">
      <c r="A77" s="566"/>
      <c r="B77" s="538" t="s">
        <v>1153</v>
      </c>
      <c r="C77" s="538" t="s">
        <v>84</v>
      </c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>
        <v>2</v>
      </c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</row>
    <row r="78" spans="1:30" ht="16.5" thickTop="1" thickBot="1" x14ac:dyDescent="0.3">
      <c r="A78" s="566"/>
      <c r="B78" s="538" t="s">
        <v>2690</v>
      </c>
      <c r="C78" s="538" t="s">
        <v>84</v>
      </c>
      <c r="D78" s="71"/>
      <c r="E78" s="71"/>
      <c r="F78" s="71">
        <v>2</v>
      </c>
      <c r="G78" s="71"/>
      <c r="H78" s="71"/>
      <c r="I78" s="71">
        <v>2</v>
      </c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  <c r="AB78" s="71"/>
      <c r="AC78" s="71"/>
      <c r="AD78" s="71"/>
    </row>
    <row r="79" spans="1:30" ht="31.5" thickTop="1" thickBot="1" x14ac:dyDescent="0.3">
      <c r="A79" s="538" t="s">
        <v>2194</v>
      </c>
      <c r="B79" s="538" t="s">
        <v>1726</v>
      </c>
      <c r="C79" s="538" t="s">
        <v>84</v>
      </c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>
        <v>2</v>
      </c>
      <c r="R79" s="71"/>
      <c r="S79" s="71"/>
      <c r="T79" s="71"/>
      <c r="U79" s="71"/>
      <c r="V79" s="71"/>
      <c r="W79" s="71"/>
      <c r="X79" s="71"/>
      <c r="Y79" s="71"/>
      <c r="Z79" s="71"/>
      <c r="AA79" s="71">
        <v>2</v>
      </c>
      <c r="AB79" s="71"/>
      <c r="AC79" s="71"/>
      <c r="AD79" s="71"/>
    </row>
    <row r="80" spans="1:30" ht="16.5" thickTop="1" thickBot="1" x14ac:dyDescent="0.3">
      <c r="A80" s="538" t="s">
        <v>2202</v>
      </c>
      <c r="B80" s="538" t="s">
        <v>1728</v>
      </c>
      <c r="C80" s="538" t="s">
        <v>84</v>
      </c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>
        <v>2</v>
      </c>
      <c r="R80" s="71"/>
      <c r="S80" s="71"/>
      <c r="T80" s="71"/>
      <c r="U80" s="71"/>
      <c r="V80" s="71"/>
      <c r="W80" s="71"/>
      <c r="X80" s="71"/>
      <c r="Y80" s="71"/>
      <c r="Z80" s="71"/>
      <c r="AA80" s="71"/>
      <c r="AB80" s="71"/>
      <c r="AC80" s="71"/>
      <c r="AD80" s="71"/>
    </row>
    <row r="81" spans="1:30" ht="16.5" thickTop="1" thickBot="1" x14ac:dyDescent="0.3">
      <c r="A81" s="593" t="s">
        <v>2417</v>
      </c>
      <c r="B81" s="593" t="s">
        <v>421</v>
      </c>
      <c r="C81" s="538" t="s">
        <v>82</v>
      </c>
      <c r="D81" s="71">
        <v>1</v>
      </c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  <c r="AA81" s="71">
        <v>1</v>
      </c>
      <c r="AB81" s="71"/>
      <c r="AC81" s="71"/>
      <c r="AD81" s="71"/>
    </row>
    <row r="82" spans="1:30" ht="16.5" thickTop="1" thickBot="1" x14ac:dyDescent="0.3">
      <c r="A82" s="566"/>
      <c r="B82" s="566"/>
      <c r="C82" s="538" t="s">
        <v>84</v>
      </c>
      <c r="D82" s="71">
        <v>2</v>
      </c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>
        <v>2</v>
      </c>
      <c r="AB82" s="71"/>
      <c r="AC82" s="71"/>
      <c r="AD82" s="71"/>
    </row>
    <row r="83" spans="1:30" ht="15.75" thickTop="1" x14ac:dyDescent="0.25"/>
  </sheetData>
  <mergeCells count="23">
    <mergeCell ref="A62:A68"/>
    <mergeCell ref="A69:A78"/>
    <mergeCell ref="A28:A32"/>
    <mergeCell ref="A33:A34"/>
    <mergeCell ref="A35:A41"/>
    <mergeCell ref="A57:A58"/>
    <mergeCell ref="A59:A60"/>
    <mergeCell ref="A81:A82"/>
    <mergeCell ref="B10:B11"/>
    <mergeCell ref="B22:B24"/>
    <mergeCell ref="B33:B34"/>
    <mergeCell ref="B42:B43"/>
    <mergeCell ref="B46:B47"/>
    <mergeCell ref="B55:B56"/>
    <mergeCell ref="B57:B58"/>
    <mergeCell ref="B81:B82"/>
    <mergeCell ref="A42:A45"/>
    <mergeCell ref="A46:A48"/>
    <mergeCell ref="A49:A52"/>
    <mergeCell ref="A53:A54"/>
    <mergeCell ref="A55:A56"/>
    <mergeCell ref="A5:A21"/>
    <mergeCell ref="A24:A26"/>
  </mergeCells>
  <conditionalFormatting sqref="D4:V4">
    <cfRule type="cellIs" dxfId="603" priority="22" operator="equal">
      <formula>4</formula>
    </cfRule>
    <cfRule type="cellIs" dxfId="602" priority="23" operator="equal">
      <formula>3</formula>
    </cfRule>
    <cfRule type="cellIs" dxfId="601" priority="24" operator="equal">
      <formula>2</formula>
    </cfRule>
    <cfRule type="cellIs" dxfId="600" priority="25" operator="equal">
      <formula>1</formula>
    </cfRule>
  </conditionalFormatting>
  <conditionalFormatting sqref="D4:V4">
    <cfRule type="cellIs" dxfId="599" priority="19" operator="equal">
      <formula>3</formula>
    </cfRule>
    <cfRule type="cellIs" dxfId="598" priority="20" operator="equal">
      <formula>2</formula>
    </cfRule>
    <cfRule type="cellIs" dxfId="597" priority="21" operator="equal">
      <formula>1</formula>
    </cfRule>
  </conditionalFormatting>
  <conditionalFormatting pivot="1" sqref="D5:AD82">
    <cfRule type="cellIs" dxfId="596" priority="18" operator="equal">
      <formula>4</formula>
    </cfRule>
  </conditionalFormatting>
  <conditionalFormatting pivot="1" sqref="L34">
    <cfRule type="cellIs" dxfId="595" priority="17" operator="equal">
      <formula>1</formula>
    </cfRule>
  </conditionalFormatting>
  <conditionalFormatting sqref="B13:B17 D1:XFD4 C1:C1048576 B7:B9 A1:B5 B19:B1048576 A20:A1048576 D83:XFD1048576 AG5:XFD77 AE78:XFD82">
    <cfRule type="cellIs" dxfId="594" priority="14" operator="equal">
      <formula>3</formula>
    </cfRule>
    <cfRule type="cellIs" dxfId="593" priority="15" operator="equal">
      <formula>2</formula>
    </cfRule>
    <cfRule type="cellIs" dxfId="592" priority="16" operator="equal">
      <formula>1</formula>
    </cfRule>
  </conditionalFormatting>
  <conditionalFormatting sqref="B7:B9 C4:C20 B13:B20 A4:B5 D4:XFD4 A20 AG5:XFD20">
    <cfRule type="cellIs" dxfId="591" priority="12" operator="equal">
      <formula>2</formula>
    </cfRule>
    <cfRule type="cellIs" dxfId="590" priority="13" operator="equal">
      <formula>1</formula>
    </cfRule>
  </conditionalFormatting>
  <conditionalFormatting sqref="D4:XFD4 A4:B5 C4:C18 B12:B18 B7:B9 AG5:XFD18">
    <cfRule type="cellIs" dxfId="589" priority="10" operator="equal">
      <formula>2</formula>
    </cfRule>
    <cfRule type="cellIs" dxfId="588" priority="11" operator="equal">
      <formula>1</formula>
    </cfRule>
  </conditionalFormatting>
  <conditionalFormatting sqref="A9 B11:B18 C5:C18 A15 A11 B5:B9 A5 AG5:XFD18">
    <cfRule type="cellIs" dxfId="587" priority="8" operator="equal">
      <formula>2</formula>
    </cfRule>
    <cfRule type="cellIs" dxfId="586" priority="9" operator="equal">
      <formula>1</formula>
    </cfRule>
  </conditionalFormatting>
  <conditionalFormatting sqref="B11:B19 A9 A15 A11 B5:B9 A5 C5:C19 AG5:XFD19">
    <cfRule type="cellIs" dxfId="585" priority="6" operator="equal">
      <formula>2</formula>
    </cfRule>
    <cfRule type="cellIs" dxfId="584" priority="7" operator="equal">
      <formula>1</formula>
    </cfRule>
  </conditionalFormatting>
  <conditionalFormatting sqref="A5:C18 AG5:XFD18">
    <cfRule type="cellIs" dxfId="583" priority="4" operator="equal">
      <formula>2</formula>
    </cfRule>
    <cfRule type="cellIs" dxfId="582" priority="5" operator="equal">
      <formula>1</formula>
    </cfRule>
  </conditionalFormatting>
  <conditionalFormatting sqref="A5:C12 AG5:XFD12">
    <cfRule type="cellIs" dxfId="581" priority="1" operator="equal">
      <formula>3</formula>
    </cfRule>
    <cfRule type="cellIs" dxfId="580" priority="2" operator="equal">
      <formula>2</formula>
    </cfRule>
    <cfRule type="cellIs" dxfId="579" priority="3" operator="equal">
      <formula>1</formula>
    </cfRule>
  </conditionalFormatting>
  <pageMargins left="0.7" right="0.7" top="0.75" bottom="0.75" header="0.3" footer="0.3"/>
  <pageSetup orientation="portrait" horizontalDpi="200" verticalDpi="200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85"/>
  <sheetViews>
    <sheetView topLeftCell="A145" workbookViewId="0">
      <selection activeCell="A4" sqref="A4"/>
    </sheetView>
  </sheetViews>
  <sheetFormatPr defaultColWidth="9.140625" defaultRowHeight="15" x14ac:dyDescent="0.25"/>
  <cols>
    <col min="1" max="1" width="34.7109375" style="69" bestFit="1" customWidth="1"/>
    <col min="2" max="2" width="24.28515625" style="62" customWidth="1"/>
    <col min="3" max="3" width="10.7109375" style="62" bestFit="1" customWidth="1"/>
    <col min="4" max="4" width="9.42578125" style="62" customWidth="1"/>
    <col min="5" max="5" width="4.5703125" style="62" customWidth="1"/>
    <col min="6" max="6" width="4.85546875" style="62" customWidth="1"/>
    <col min="7" max="7" width="5" style="62" customWidth="1"/>
    <col min="8" max="8" width="4.5703125" style="62" customWidth="1"/>
    <col min="9" max="9" width="5.28515625" style="62" customWidth="1"/>
    <col min="10" max="10" width="4.28515625" style="62" customWidth="1"/>
    <col min="11" max="11" width="4.5703125" style="62" customWidth="1"/>
    <col min="12" max="12" width="9.28515625" style="62" customWidth="1"/>
    <col min="13" max="13" width="7.5703125" style="62" customWidth="1"/>
    <col min="14" max="14" width="4.7109375" style="62" customWidth="1"/>
    <col min="15" max="15" width="4.5703125" style="62" customWidth="1"/>
    <col min="16" max="16" width="6.42578125" style="62" customWidth="1"/>
    <col min="17" max="17" width="3.85546875" style="62" customWidth="1"/>
    <col min="18" max="18" width="7" style="62" customWidth="1"/>
    <col min="19" max="19" width="4.85546875" style="62" customWidth="1"/>
    <col min="20" max="20" width="4.42578125" style="62" customWidth="1"/>
    <col min="21" max="21" width="7.28515625" style="62" customWidth="1"/>
    <col min="22" max="23" width="5" style="62" customWidth="1"/>
    <col min="24" max="24" width="5.140625" style="62" customWidth="1"/>
    <col min="25" max="25" width="6.140625" style="62" customWidth="1"/>
    <col min="26" max="26" width="5.140625" style="62" customWidth="1"/>
    <col min="27" max="27" width="7.85546875" style="62" customWidth="1"/>
    <col min="28" max="28" width="4.5703125" style="62" customWidth="1"/>
    <col min="29" max="29" width="6.5703125" style="62" customWidth="1"/>
    <col min="30" max="30" width="15.5703125" style="62" customWidth="1"/>
    <col min="31" max="31" width="5" style="62" customWidth="1"/>
    <col min="32" max="32" width="8.7109375" style="62" customWidth="1"/>
    <col min="33" max="16384" width="9.140625" style="62"/>
  </cols>
  <sheetData>
    <row r="1" spans="1:32" ht="14.25" customHeight="1" thickTop="1" thickBot="1" x14ac:dyDescent="0.3">
      <c r="A1" s="72" t="s">
        <v>8</v>
      </c>
      <c r="B1" s="62" t="s">
        <v>99</v>
      </c>
    </row>
    <row r="2" spans="1:32" ht="15.75" thickTop="1" x14ac:dyDescent="0.25"/>
    <row r="3" spans="1:32" ht="15.75" thickBot="1" x14ac:dyDescent="0.3">
      <c r="A3" s="75" t="s">
        <v>460</v>
      </c>
      <c r="B3" s="69"/>
      <c r="C3" s="69"/>
      <c r="D3" s="74" t="s">
        <v>464</v>
      </c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</row>
    <row r="4" spans="1:32" ht="16.5" customHeight="1" thickTop="1" thickBot="1" x14ac:dyDescent="0.3">
      <c r="A4" s="72" t="s">
        <v>309</v>
      </c>
      <c r="B4" s="73" t="s">
        <v>406</v>
      </c>
      <c r="C4" s="73" t="s">
        <v>471</v>
      </c>
      <c r="D4" s="70" t="s">
        <v>316</v>
      </c>
      <c r="E4" s="70" t="s">
        <v>92</v>
      </c>
      <c r="F4" s="70" t="s">
        <v>115</v>
      </c>
      <c r="G4" s="70" t="s">
        <v>96</v>
      </c>
      <c r="H4" s="70" t="s">
        <v>331</v>
      </c>
      <c r="I4" s="70" t="s">
        <v>136</v>
      </c>
      <c r="J4" s="70" t="s">
        <v>160</v>
      </c>
      <c r="K4" s="70" t="s">
        <v>330</v>
      </c>
      <c r="L4" s="70" t="s">
        <v>314</v>
      </c>
      <c r="M4" s="70" t="s">
        <v>342</v>
      </c>
      <c r="N4" s="70" t="s">
        <v>139</v>
      </c>
      <c r="O4" s="70" t="s">
        <v>348</v>
      </c>
      <c r="P4" s="70" t="s">
        <v>266</v>
      </c>
      <c r="Q4" s="70" t="s">
        <v>280</v>
      </c>
      <c r="R4" s="70" t="s">
        <v>312</v>
      </c>
      <c r="S4" s="70" t="s">
        <v>137</v>
      </c>
      <c r="T4" s="70" t="s">
        <v>12</v>
      </c>
      <c r="U4" s="538" t="s">
        <v>461</v>
      </c>
      <c r="V4" s="538" t="s">
        <v>103</v>
      </c>
      <c r="W4" s="538" t="s">
        <v>17</v>
      </c>
      <c r="X4" s="538" t="s">
        <v>483</v>
      </c>
      <c r="Y4" s="538" t="s">
        <v>726</v>
      </c>
      <c r="Z4" s="538" t="s">
        <v>86</v>
      </c>
      <c r="AA4" s="538" t="s">
        <v>1511</v>
      </c>
      <c r="AB4" s="538" t="s">
        <v>1685</v>
      </c>
      <c r="AC4" s="538" t="s">
        <v>1738</v>
      </c>
      <c r="AD4" s="538" t="s">
        <v>2325</v>
      </c>
      <c r="AE4" s="538" t="s">
        <v>2091</v>
      </c>
      <c r="AF4" s="538" t="s">
        <v>1745</v>
      </c>
    </row>
    <row r="5" spans="1:32" ht="16.5" thickTop="1" thickBot="1" x14ac:dyDescent="0.3">
      <c r="A5" s="594" t="s">
        <v>407</v>
      </c>
      <c r="B5" s="539" t="s">
        <v>434</v>
      </c>
      <c r="C5" s="539" t="s">
        <v>82</v>
      </c>
      <c r="D5" s="71"/>
      <c r="E5" s="71"/>
      <c r="F5" s="71">
        <v>1</v>
      </c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>
        <v>1</v>
      </c>
      <c r="T5" s="71">
        <v>1</v>
      </c>
      <c r="U5" s="71"/>
      <c r="V5" s="71"/>
      <c r="W5" s="71"/>
      <c r="X5" s="71"/>
      <c r="Y5" s="71"/>
      <c r="Z5" s="71">
        <v>1</v>
      </c>
      <c r="AA5" s="71">
        <v>1</v>
      </c>
      <c r="AB5" s="71"/>
      <c r="AC5" s="71"/>
      <c r="AD5" s="71"/>
      <c r="AE5" s="71"/>
      <c r="AF5" s="71"/>
    </row>
    <row r="6" spans="1:32" ht="16.5" thickTop="1" thickBot="1" x14ac:dyDescent="0.3">
      <c r="A6" s="596"/>
      <c r="B6" s="539" t="s">
        <v>435</v>
      </c>
      <c r="C6" s="539" t="s">
        <v>84</v>
      </c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>
        <v>2</v>
      </c>
      <c r="U6" s="71"/>
      <c r="V6" s="71"/>
      <c r="W6" s="71"/>
      <c r="X6" s="71"/>
      <c r="Y6" s="71"/>
      <c r="Z6" s="71">
        <v>2</v>
      </c>
      <c r="AA6" s="71">
        <v>2</v>
      </c>
      <c r="AB6" s="71"/>
      <c r="AC6" s="71"/>
      <c r="AD6" s="71"/>
      <c r="AE6" s="71"/>
      <c r="AF6" s="71"/>
    </row>
    <row r="7" spans="1:32" ht="16.5" thickTop="1" thickBot="1" x14ac:dyDescent="0.3">
      <c r="A7" s="596"/>
      <c r="B7" s="539" t="s">
        <v>425</v>
      </c>
      <c r="C7" s="539" t="s">
        <v>82</v>
      </c>
      <c r="D7" s="71"/>
      <c r="E7" s="71"/>
      <c r="F7" s="71"/>
      <c r="G7" s="71"/>
      <c r="H7" s="71"/>
      <c r="I7" s="71"/>
      <c r="J7" s="71"/>
      <c r="K7" s="71">
        <v>1</v>
      </c>
      <c r="L7" s="71"/>
      <c r="M7" s="71"/>
      <c r="N7" s="71">
        <v>1</v>
      </c>
      <c r="O7" s="71"/>
      <c r="P7" s="71">
        <v>1</v>
      </c>
      <c r="Q7" s="71">
        <v>1</v>
      </c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</row>
    <row r="8" spans="1:32" ht="16.5" thickTop="1" thickBot="1" x14ac:dyDescent="0.3">
      <c r="A8" s="596"/>
      <c r="B8" s="538" t="s">
        <v>469</v>
      </c>
      <c r="C8" s="538" t="s">
        <v>84</v>
      </c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>
        <v>2</v>
      </c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</row>
    <row r="9" spans="1:32" ht="16.5" customHeight="1" thickTop="1" thickBot="1" x14ac:dyDescent="0.3">
      <c r="A9" s="596"/>
      <c r="B9" s="539" t="s">
        <v>437</v>
      </c>
      <c r="C9" s="539" t="s">
        <v>84</v>
      </c>
      <c r="D9" s="71"/>
      <c r="E9" s="71"/>
      <c r="F9" s="71"/>
      <c r="G9" s="71"/>
      <c r="H9" s="71"/>
      <c r="I9" s="71"/>
      <c r="J9" s="71"/>
      <c r="K9" s="71">
        <v>2</v>
      </c>
      <c r="L9" s="71"/>
      <c r="M9" s="71"/>
      <c r="N9" s="71">
        <v>2</v>
      </c>
      <c r="O9" s="71"/>
      <c r="P9" s="71">
        <v>2</v>
      </c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</row>
    <row r="10" spans="1:32" ht="16.5" thickTop="1" thickBot="1" x14ac:dyDescent="0.3">
      <c r="A10" s="596"/>
      <c r="B10" s="594" t="s">
        <v>426</v>
      </c>
      <c r="C10" s="539" t="s">
        <v>82</v>
      </c>
      <c r="D10" s="71"/>
      <c r="E10" s="71"/>
      <c r="F10" s="71"/>
      <c r="G10" s="71"/>
      <c r="H10" s="71"/>
      <c r="I10" s="71"/>
      <c r="J10" s="71"/>
      <c r="K10" s="71"/>
      <c r="L10" s="71">
        <v>1</v>
      </c>
      <c r="M10" s="71"/>
      <c r="N10" s="71"/>
      <c r="O10" s="71"/>
      <c r="P10" s="71"/>
      <c r="Q10" s="71"/>
      <c r="R10" s="71">
        <v>1</v>
      </c>
      <c r="S10" s="71"/>
      <c r="T10" s="71"/>
      <c r="U10" s="71"/>
      <c r="V10" s="71"/>
      <c r="W10" s="71">
        <v>1</v>
      </c>
      <c r="X10" s="71"/>
      <c r="Y10" s="71"/>
      <c r="Z10" s="71"/>
      <c r="AA10" s="71"/>
      <c r="AB10" s="71"/>
      <c r="AC10" s="71"/>
      <c r="AD10" s="71"/>
      <c r="AE10" s="71"/>
      <c r="AF10" s="71"/>
    </row>
    <row r="11" spans="1:32" ht="16.5" customHeight="1" thickTop="1" thickBot="1" x14ac:dyDescent="0.3">
      <c r="A11" s="596"/>
      <c r="B11" s="595"/>
      <c r="C11" s="539" t="s">
        <v>84</v>
      </c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>
        <v>2</v>
      </c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</row>
    <row r="12" spans="1:32" ht="24.75" customHeight="1" thickTop="1" thickBot="1" x14ac:dyDescent="0.3">
      <c r="A12" s="596"/>
      <c r="B12" s="539" t="s">
        <v>436</v>
      </c>
      <c r="C12" s="539" t="s">
        <v>84</v>
      </c>
      <c r="D12" s="71"/>
      <c r="E12" s="71"/>
      <c r="F12" s="71"/>
      <c r="G12" s="71"/>
      <c r="H12" s="71"/>
      <c r="I12" s="71"/>
      <c r="J12" s="71"/>
      <c r="K12" s="71"/>
      <c r="L12" s="71">
        <v>2</v>
      </c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71"/>
      <c r="AD12" s="71"/>
      <c r="AE12" s="71"/>
      <c r="AF12" s="71"/>
    </row>
    <row r="13" spans="1:32" ht="16.5" customHeight="1" thickTop="1" thickBot="1" x14ac:dyDescent="0.3">
      <c r="A13" s="596"/>
      <c r="B13" s="539" t="s">
        <v>47</v>
      </c>
      <c r="C13" s="539" t="s">
        <v>82</v>
      </c>
      <c r="D13" s="71">
        <v>1</v>
      </c>
      <c r="E13" s="71"/>
      <c r="F13" s="71"/>
      <c r="G13" s="71"/>
      <c r="H13" s="71">
        <v>1</v>
      </c>
      <c r="I13" s="71">
        <v>1</v>
      </c>
      <c r="J13" s="71"/>
      <c r="K13" s="71"/>
      <c r="L13" s="71"/>
      <c r="M13" s="71">
        <v>1</v>
      </c>
      <c r="N13" s="71"/>
      <c r="O13" s="71">
        <v>1</v>
      </c>
      <c r="P13" s="71"/>
      <c r="Q13" s="71"/>
      <c r="R13" s="71"/>
      <c r="S13" s="71"/>
      <c r="T13" s="71"/>
      <c r="U13" s="71"/>
      <c r="V13" s="71">
        <v>1</v>
      </c>
      <c r="W13" s="71"/>
      <c r="X13" s="71">
        <v>1</v>
      </c>
      <c r="Y13" s="71"/>
      <c r="Z13" s="71"/>
      <c r="AA13" s="71"/>
      <c r="AB13" s="71">
        <v>1</v>
      </c>
      <c r="AC13" s="71"/>
      <c r="AD13" s="71"/>
      <c r="AE13" s="71"/>
      <c r="AF13" s="71"/>
    </row>
    <row r="14" spans="1:32" ht="16.5" customHeight="1" thickTop="1" thickBot="1" x14ac:dyDescent="0.3">
      <c r="A14" s="596"/>
      <c r="B14" s="538" t="s">
        <v>470</v>
      </c>
      <c r="C14" s="538" t="s">
        <v>84</v>
      </c>
      <c r="D14" s="71"/>
      <c r="E14" s="71">
        <v>2</v>
      </c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</row>
    <row r="15" spans="1:32" ht="16.5" customHeight="1" thickTop="1" thickBot="1" x14ac:dyDescent="0.3">
      <c r="A15" s="596"/>
      <c r="B15" s="539" t="s">
        <v>438</v>
      </c>
      <c r="C15" s="539" t="s">
        <v>84</v>
      </c>
      <c r="D15" s="71"/>
      <c r="E15" s="71"/>
      <c r="F15" s="71"/>
      <c r="G15" s="71"/>
      <c r="H15" s="71">
        <v>2</v>
      </c>
      <c r="I15" s="71"/>
      <c r="J15" s="71"/>
      <c r="K15" s="71"/>
      <c r="L15" s="71"/>
      <c r="M15" s="71">
        <v>2</v>
      </c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</row>
    <row r="16" spans="1:32" ht="16.5" thickTop="1" thickBot="1" x14ac:dyDescent="0.3">
      <c r="A16" s="596"/>
      <c r="B16" s="539" t="s">
        <v>439</v>
      </c>
      <c r="C16" s="539" t="s">
        <v>84</v>
      </c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>
        <v>2</v>
      </c>
      <c r="W16" s="71"/>
      <c r="X16" s="71"/>
      <c r="Y16" s="71"/>
      <c r="Z16" s="71"/>
      <c r="AA16" s="71"/>
      <c r="AB16" s="71"/>
      <c r="AC16" s="71"/>
      <c r="AD16" s="71"/>
      <c r="AE16" s="71"/>
      <c r="AF16" s="71"/>
    </row>
    <row r="17" spans="1:32" ht="16.5" customHeight="1" thickTop="1" thickBot="1" x14ac:dyDescent="0.3">
      <c r="A17" s="596"/>
      <c r="B17" s="538" t="s">
        <v>930</v>
      </c>
      <c r="C17" s="538" t="s">
        <v>84</v>
      </c>
      <c r="D17" s="71">
        <v>2</v>
      </c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>
        <v>2</v>
      </c>
      <c r="Y17" s="71"/>
      <c r="Z17" s="71"/>
      <c r="AA17" s="71"/>
      <c r="AB17" s="71">
        <v>2</v>
      </c>
      <c r="AC17" s="71"/>
      <c r="AD17" s="71"/>
      <c r="AE17" s="71"/>
      <c r="AF17" s="71"/>
    </row>
    <row r="18" spans="1:32" ht="16.5" customHeight="1" thickTop="1" thickBot="1" x14ac:dyDescent="0.3">
      <c r="A18" s="596"/>
      <c r="B18" s="538" t="s">
        <v>1441</v>
      </c>
      <c r="C18" s="538" t="s">
        <v>84</v>
      </c>
      <c r="D18" s="71"/>
      <c r="E18" s="71"/>
      <c r="F18" s="71"/>
      <c r="G18" s="71"/>
      <c r="H18" s="71"/>
      <c r="I18" s="71">
        <v>2</v>
      </c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</row>
    <row r="19" spans="1:32" ht="16.5" customHeight="1" thickTop="1" thickBot="1" x14ac:dyDescent="0.3">
      <c r="A19" s="596"/>
      <c r="B19" s="538" t="s">
        <v>1442</v>
      </c>
      <c r="C19" s="538" t="s">
        <v>84</v>
      </c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>
        <v>2</v>
      </c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</row>
    <row r="20" spans="1:32" ht="16.5" customHeight="1" thickTop="1" thickBot="1" x14ac:dyDescent="0.3">
      <c r="A20" s="596"/>
      <c r="B20" s="538" t="s">
        <v>1718</v>
      </c>
      <c r="C20" s="538" t="s">
        <v>84</v>
      </c>
      <c r="D20" s="71"/>
      <c r="E20" s="71"/>
      <c r="F20" s="71">
        <v>2</v>
      </c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</row>
    <row r="21" spans="1:32" ht="16.5" thickTop="1" thickBot="1" x14ac:dyDescent="0.3">
      <c r="A21" s="596"/>
      <c r="B21" s="538" t="s">
        <v>2324</v>
      </c>
      <c r="C21" s="538" t="s">
        <v>84</v>
      </c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>
        <v>2</v>
      </c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</row>
    <row r="22" spans="1:32" ht="16.5" thickTop="1" thickBot="1" x14ac:dyDescent="0.3">
      <c r="A22" s="594" t="s">
        <v>458</v>
      </c>
      <c r="B22" s="594" t="s">
        <v>421</v>
      </c>
      <c r="C22" s="539" t="s">
        <v>84</v>
      </c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>
        <v>4</v>
      </c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</row>
    <row r="23" spans="1:32" ht="16.5" customHeight="1" thickTop="1" thickBot="1" x14ac:dyDescent="0.3">
      <c r="A23" s="596"/>
      <c r="B23" s="595"/>
      <c r="C23" s="538" t="s">
        <v>461</v>
      </c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</row>
    <row r="24" spans="1:32" ht="16.5" customHeight="1" thickTop="1" thickBot="1" x14ac:dyDescent="0.3">
      <c r="A24" s="539" t="s">
        <v>440</v>
      </c>
      <c r="B24" s="566" t="s">
        <v>421</v>
      </c>
      <c r="C24" s="539" t="s">
        <v>82</v>
      </c>
      <c r="D24" s="71"/>
      <c r="E24" s="71"/>
      <c r="F24" s="71"/>
      <c r="G24" s="71"/>
      <c r="H24" s="71"/>
      <c r="I24" s="71"/>
      <c r="J24" s="71"/>
      <c r="K24" s="71"/>
      <c r="L24" s="71">
        <v>1</v>
      </c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  <c r="AE24" s="71"/>
      <c r="AF24" s="71"/>
    </row>
    <row r="25" spans="1:32" ht="16.5" thickTop="1" thickBot="1" x14ac:dyDescent="0.3">
      <c r="A25" s="594" t="s">
        <v>451</v>
      </c>
      <c r="B25" s="566" t="s">
        <v>421</v>
      </c>
      <c r="C25" s="539" t="s">
        <v>82</v>
      </c>
      <c r="D25" s="71"/>
      <c r="E25" s="71"/>
      <c r="F25" s="71"/>
      <c r="G25" s="71"/>
      <c r="H25" s="71"/>
      <c r="I25" s="71"/>
      <c r="J25" s="71"/>
      <c r="K25" s="71"/>
      <c r="L25" s="71">
        <v>1</v>
      </c>
      <c r="M25" s="71"/>
      <c r="N25" s="71">
        <v>1</v>
      </c>
      <c r="O25" s="71"/>
      <c r="P25" s="71"/>
      <c r="Q25" s="71"/>
      <c r="R25" s="71">
        <v>1</v>
      </c>
      <c r="S25" s="71"/>
      <c r="T25" s="71"/>
      <c r="U25" s="71"/>
      <c r="V25" s="71"/>
      <c r="W25" s="71"/>
      <c r="X25" s="71"/>
      <c r="Y25" s="71"/>
      <c r="Z25" s="71">
        <v>1</v>
      </c>
      <c r="AA25" s="71">
        <v>1</v>
      </c>
      <c r="AB25" s="71"/>
      <c r="AC25" s="71"/>
      <c r="AD25" s="71"/>
      <c r="AE25" s="71"/>
      <c r="AF25" s="71"/>
    </row>
    <row r="26" spans="1:32" ht="16.5" thickTop="1" thickBot="1" x14ac:dyDescent="0.3">
      <c r="A26" s="596"/>
      <c r="B26" s="227" t="s">
        <v>423</v>
      </c>
      <c r="C26" s="539" t="s">
        <v>82</v>
      </c>
      <c r="D26" s="71"/>
      <c r="E26" s="71"/>
      <c r="F26" s="71">
        <v>1</v>
      </c>
      <c r="G26" s="71"/>
      <c r="H26" s="71"/>
      <c r="I26" s="71"/>
      <c r="J26" s="71"/>
      <c r="K26" s="71"/>
      <c r="L26" s="71"/>
      <c r="M26" s="71"/>
      <c r="N26" s="71"/>
      <c r="O26" s="71"/>
      <c r="P26" s="71">
        <v>1</v>
      </c>
      <c r="Q26" s="71">
        <v>1</v>
      </c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</row>
    <row r="27" spans="1:32" ht="16.5" customHeight="1" thickTop="1" thickBot="1" x14ac:dyDescent="0.3">
      <c r="A27" s="596"/>
      <c r="B27" s="76" t="s">
        <v>424</v>
      </c>
      <c r="C27" s="539" t="s">
        <v>82</v>
      </c>
      <c r="D27" s="71">
        <v>1</v>
      </c>
      <c r="E27" s="71"/>
      <c r="F27" s="71"/>
      <c r="G27" s="71"/>
      <c r="H27" s="71">
        <v>1</v>
      </c>
      <c r="I27" s="71"/>
      <c r="J27" s="71"/>
      <c r="K27" s="71">
        <v>1</v>
      </c>
      <c r="L27" s="71"/>
      <c r="M27" s="71">
        <v>1</v>
      </c>
      <c r="N27" s="71"/>
      <c r="O27" s="71">
        <v>1</v>
      </c>
      <c r="P27" s="71"/>
      <c r="Q27" s="71"/>
      <c r="R27" s="71"/>
      <c r="S27" s="71"/>
      <c r="T27" s="71"/>
      <c r="U27" s="71"/>
      <c r="V27" s="71"/>
      <c r="W27" s="71"/>
      <c r="X27" s="71">
        <v>1</v>
      </c>
      <c r="Y27" s="71"/>
      <c r="Z27" s="71"/>
      <c r="AA27" s="71"/>
      <c r="AB27" s="71">
        <v>1</v>
      </c>
      <c r="AC27" s="71"/>
      <c r="AD27" s="71">
        <v>1</v>
      </c>
      <c r="AE27" s="71"/>
      <c r="AF27" s="71"/>
    </row>
    <row r="28" spans="1:32" ht="16.5" thickTop="1" thickBot="1" x14ac:dyDescent="0.3">
      <c r="A28" s="539" t="s">
        <v>364</v>
      </c>
      <c r="B28" s="539" t="s">
        <v>429</v>
      </c>
      <c r="C28" s="539" t="s">
        <v>84</v>
      </c>
      <c r="D28" s="71"/>
      <c r="E28" s="71">
        <v>2</v>
      </c>
      <c r="F28" s="71">
        <v>2</v>
      </c>
      <c r="G28" s="71">
        <v>2</v>
      </c>
      <c r="H28" s="71"/>
      <c r="I28" s="71">
        <v>2</v>
      </c>
      <c r="J28" s="71">
        <v>2</v>
      </c>
      <c r="K28" s="71"/>
      <c r="L28" s="71"/>
      <c r="M28" s="71"/>
      <c r="N28" s="71">
        <v>2</v>
      </c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>
        <v>2</v>
      </c>
      <c r="AA28" s="71">
        <v>2</v>
      </c>
      <c r="AB28" s="71"/>
      <c r="AC28" s="71"/>
      <c r="AD28" s="71"/>
      <c r="AE28" s="71"/>
      <c r="AF28" s="71"/>
    </row>
    <row r="29" spans="1:32" ht="16.5" thickTop="1" thickBot="1" x14ac:dyDescent="0.3">
      <c r="A29" s="594" t="s">
        <v>420</v>
      </c>
      <c r="B29" s="539" t="s">
        <v>423</v>
      </c>
      <c r="C29" s="539" t="s">
        <v>78</v>
      </c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>
        <v>3</v>
      </c>
      <c r="O29" s="71"/>
      <c r="P29" s="71"/>
      <c r="Q29" s="71"/>
      <c r="R29" s="71"/>
      <c r="S29" s="71"/>
      <c r="T29" s="71">
        <v>3</v>
      </c>
      <c r="U29" s="71"/>
      <c r="V29" s="71"/>
      <c r="W29" s="71"/>
      <c r="X29" s="71"/>
      <c r="Y29" s="71"/>
      <c r="Z29" s="71">
        <v>3</v>
      </c>
      <c r="AA29" s="71">
        <v>3</v>
      </c>
      <c r="AB29" s="71"/>
      <c r="AC29" s="71"/>
      <c r="AD29" s="71"/>
      <c r="AE29" s="71"/>
      <c r="AF29" s="71"/>
    </row>
    <row r="30" spans="1:32" ht="16.5" customHeight="1" thickTop="1" thickBot="1" x14ac:dyDescent="0.3">
      <c r="A30" s="596"/>
      <c r="B30" s="539" t="s">
        <v>424</v>
      </c>
      <c r="C30" s="539" t="s">
        <v>78</v>
      </c>
      <c r="D30" s="71"/>
      <c r="E30" s="71"/>
      <c r="F30" s="71"/>
      <c r="G30" s="71">
        <v>3</v>
      </c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</row>
    <row r="31" spans="1:32" ht="16.5" customHeight="1" thickTop="1" thickBot="1" x14ac:dyDescent="0.3">
      <c r="A31" s="596"/>
      <c r="B31" s="539" t="s">
        <v>425</v>
      </c>
      <c r="C31" s="539" t="s">
        <v>78</v>
      </c>
      <c r="D31" s="71"/>
      <c r="E31" s="71"/>
      <c r="F31" s="71"/>
      <c r="G31" s="71"/>
      <c r="H31" s="71"/>
      <c r="I31" s="71"/>
      <c r="J31" s="71"/>
      <c r="K31" s="71"/>
      <c r="L31" s="71">
        <v>3</v>
      </c>
      <c r="M31" s="71"/>
      <c r="N31" s="71"/>
      <c r="O31" s="71"/>
      <c r="P31" s="71">
        <v>3</v>
      </c>
      <c r="Q31" s="71"/>
      <c r="R31" s="71">
        <v>3</v>
      </c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</row>
    <row r="32" spans="1:32" ht="16.5" customHeight="1" thickTop="1" thickBot="1" x14ac:dyDescent="0.3">
      <c r="A32" s="596"/>
      <c r="B32" s="539" t="s">
        <v>426</v>
      </c>
      <c r="C32" s="539" t="s">
        <v>78</v>
      </c>
      <c r="D32" s="71"/>
      <c r="E32" s="71"/>
      <c r="F32" s="71"/>
      <c r="G32" s="71"/>
      <c r="H32" s="71"/>
      <c r="I32" s="71"/>
      <c r="J32" s="71"/>
      <c r="K32" s="71"/>
      <c r="L32" s="71"/>
      <c r="M32" s="71">
        <v>3</v>
      </c>
      <c r="N32" s="71"/>
      <c r="O32" s="71"/>
      <c r="P32" s="71"/>
      <c r="Q32" s="71">
        <v>3</v>
      </c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</row>
    <row r="33" spans="1:32" ht="16.5" customHeight="1" thickTop="1" thickBot="1" x14ac:dyDescent="0.3">
      <c r="A33" s="596"/>
      <c r="B33" s="539" t="s">
        <v>427</v>
      </c>
      <c r="C33" s="539" t="s">
        <v>78</v>
      </c>
      <c r="D33" s="71">
        <v>3</v>
      </c>
      <c r="E33" s="71"/>
      <c r="F33" s="71">
        <v>3</v>
      </c>
      <c r="G33" s="71"/>
      <c r="H33" s="71">
        <v>3</v>
      </c>
      <c r="I33" s="71">
        <v>3</v>
      </c>
      <c r="J33" s="71"/>
      <c r="K33" s="71">
        <v>3</v>
      </c>
      <c r="L33" s="71"/>
      <c r="M33" s="71"/>
      <c r="N33" s="71"/>
      <c r="O33" s="71">
        <v>3</v>
      </c>
      <c r="P33" s="71"/>
      <c r="Q33" s="71"/>
      <c r="R33" s="71"/>
      <c r="S33" s="71"/>
      <c r="T33" s="71"/>
      <c r="U33" s="71"/>
      <c r="V33" s="71">
        <v>3</v>
      </c>
      <c r="W33" s="71"/>
      <c r="X33" s="71">
        <v>3</v>
      </c>
      <c r="Y33" s="71">
        <v>3</v>
      </c>
      <c r="Z33" s="71"/>
      <c r="AA33" s="71"/>
      <c r="AB33" s="71">
        <v>6</v>
      </c>
      <c r="AC33" s="71">
        <v>3</v>
      </c>
      <c r="AD33" s="71"/>
      <c r="AE33" s="71"/>
      <c r="AF33" s="71"/>
    </row>
    <row r="34" spans="1:32" ht="16.5" thickTop="1" thickBot="1" x14ac:dyDescent="0.3">
      <c r="A34" s="594" t="s">
        <v>455</v>
      </c>
      <c r="B34" s="594" t="s">
        <v>421</v>
      </c>
      <c r="C34" s="539" t="s">
        <v>82</v>
      </c>
      <c r="D34" s="71">
        <v>2</v>
      </c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</row>
    <row r="35" spans="1:32" ht="16.5" thickTop="1" thickBot="1" x14ac:dyDescent="0.3">
      <c r="A35" s="596"/>
      <c r="B35" s="595"/>
      <c r="C35" s="539" t="s">
        <v>84</v>
      </c>
      <c r="D35" s="71">
        <v>4</v>
      </c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</row>
    <row r="36" spans="1:32" ht="16.5" customHeight="1" thickTop="1" thickBot="1" x14ac:dyDescent="0.3">
      <c r="A36" s="594" t="s">
        <v>431</v>
      </c>
      <c r="B36" s="538" t="s">
        <v>428</v>
      </c>
      <c r="C36" s="538" t="s">
        <v>82</v>
      </c>
      <c r="D36" s="71"/>
      <c r="E36" s="71">
        <v>1</v>
      </c>
      <c r="F36" s="71"/>
      <c r="G36" s="71">
        <v>1</v>
      </c>
      <c r="H36" s="71"/>
      <c r="I36" s="71"/>
      <c r="J36" s="71">
        <v>1</v>
      </c>
      <c r="K36" s="71"/>
      <c r="L36" s="71"/>
      <c r="M36" s="71"/>
      <c r="N36" s="71">
        <v>1</v>
      </c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</row>
    <row r="37" spans="1:32" ht="16.5" customHeight="1" thickTop="1" thickBot="1" x14ac:dyDescent="0.3">
      <c r="A37" s="596"/>
      <c r="B37" s="538" t="s">
        <v>430</v>
      </c>
      <c r="C37" s="538" t="s">
        <v>82</v>
      </c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>
        <v>1</v>
      </c>
      <c r="AA37" s="71">
        <v>1</v>
      </c>
      <c r="AB37" s="71"/>
      <c r="AC37" s="71"/>
      <c r="AD37" s="71"/>
      <c r="AE37" s="71"/>
      <c r="AF37" s="71"/>
    </row>
    <row r="38" spans="1:32" ht="16.5" customHeight="1" thickTop="1" thickBot="1" x14ac:dyDescent="0.3">
      <c r="A38" s="596"/>
      <c r="B38" s="538" t="s">
        <v>465</v>
      </c>
      <c r="C38" s="538" t="s">
        <v>82</v>
      </c>
      <c r="D38" s="71"/>
      <c r="E38" s="71"/>
      <c r="F38" s="71"/>
      <c r="G38" s="71"/>
      <c r="H38" s="71"/>
      <c r="I38" s="71"/>
      <c r="J38" s="71"/>
      <c r="K38" s="71"/>
      <c r="L38" s="71">
        <v>1</v>
      </c>
      <c r="M38" s="71"/>
      <c r="N38" s="71"/>
      <c r="O38" s="71"/>
      <c r="P38" s="71">
        <v>1</v>
      </c>
      <c r="Q38" s="71"/>
      <c r="R38" s="71">
        <v>1</v>
      </c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</row>
    <row r="39" spans="1:32" ht="16.5" customHeight="1" thickTop="1" thickBot="1" x14ac:dyDescent="0.3">
      <c r="A39" s="596"/>
      <c r="B39" s="539" t="s">
        <v>432</v>
      </c>
      <c r="C39" s="539" t="s">
        <v>82</v>
      </c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>
        <v>1</v>
      </c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</row>
    <row r="40" spans="1:32" ht="16.5" thickTop="1" thickBot="1" x14ac:dyDescent="0.3">
      <c r="A40" s="596"/>
      <c r="B40" s="539" t="s">
        <v>433</v>
      </c>
      <c r="C40" s="539" t="s">
        <v>82</v>
      </c>
      <c r="D40" s="71">
        <v>1</v>
      </c>
      <c r="E40" s="71"/>
      <c r="F40" s="71"/>
      <c r="G40" s="71"/>
      <c r="H40" s="71">
        <v>1</v>
      </c>
      <c r="I40" s="71">
        <v>1</v>
      </c>
      <c r="J40" s="71"/>
      <c r="K40" s="71"/>
      <c r="L40" s="71"/>
      <c r="M40" s="71">
        <v>1</v>
      </c>
      <c r="N40" s="71"/>
      <c r="O40" s="71">
        <v>1</v>
      </c>
      <c r="P40" s="71"/>
      <c r="Q40" s="71"/>
      <c r="R40" s="71"/>
      <c r="S40" s="71"/>
      <c r="T40" s="71"/>
      <c r="U40" s="71"/>
      <c r="V40" s="71">
        <v>1</v>
      </c>
      <c r="W40" s="71"/>
      <c r="X40" s="71"/>
      <c r="Y40" s="71"/>
      <c r="Z40" s="71"/>
      <c r="AA40" s="71"/>
      <c r="AB40" s="71"/>
      <c r="AC40" s="71"/>
      <c r="AD40" s="71"/>
      <c r="AE40" s="71"/>
      <c r="AF40" s="71"/>
    </row>
    <row r="41" spans="1:32" ht="16.5" thickTop="1" thickBot="1" x14ac:dyDescent="0.3">
      <c r="A41" s="596"/>
      <c r="B41" s="538" t="s">
        <v>1435</v>
      </c>
      <c r="C41" s="538" t="s">
        <v>82</v>
      </c>
      <c r="D41" s="71"/>
      <c r="E41" s="71"/>
      <c r="F41" s="71">
        <v>1</v>
      </c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>
        <v>1</v>
      </c>
      <c r="AC41" s="71"/>
      <c r="AD41" s="71"/>
      <c r="AE41" s="71">
        <v>1</v>
      </c>
      <c r="AF41" s="71"/>
    </row>
    <row r="42" spans="1:32" ht="16.5" thickTop="1" thickBot="1" x14ac:dyDescent="0.3">
      <c r="A42" s="596"/>
      <c r="B42" s="538" t="s">
        <v>2685</v>
      </c>
      <c r="C42" s="538" t="s">
        <v>82</v>
      </c>
      <c r="D42" s="71"/>
      <c r="E42" s="71"/>
      <c r="F42" s="71"/>
      <c r="G42" s="71"/>
      <c r="H42" s="71"/>
      <c r="I42" s="71">
        <v>1</v>
      </c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</row>
    <row r="43" spans="1:32" ht="16.5" thickTop="1" thickBot="1" x14ac:dyDescent="0.3">
      <c r="A43" s="594" t="s">
        <v>456</v>
      </c>
      <c r="B43" s="594" t="s">
        <v>421</v>
      </c>
      <c r="C43" s="539" t="s">
        <v>82</v>
      </c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>
        <v>1</v>
      </c>
      <c r="S43" s="71">
        <v>1</v>
      </c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</row>
    <row r="44" spans="1:32" ht="16.5" customHeight="1" thickTop="1" thickBot="1" x14ac:dyDescent="0.3">
      <c r="A44" s="596"/>
      <c r="B44" s="595"/>
      <c r="C44" s="539" t="s">
        <v>84</v>
      </c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>
        <v>4</v>
      </c>
      <c r="S44" s="71">
        <v>4</v>
      </c>
      <c r="T44" s="71"/>
      <c r="U44" s="71"/>
      <c r="V44" s="71"/>
      <c r="W44" s="71"/>
      <c r="X44" s="71"/>
      <c r="Y44" s="71"/>
      <c r="Z44" s="71">
        <v>4</v>
      </c>
      <c r="AA44" s="71">
        <v>4</v>
      </c>
      <c r="AB44" s="71"/>
      <c r="AC44" s="71"/>
      <c r="AD44" s="71"/>
      <c r="AE44" s="71"/>
      <c r="AF44" s="71"/>
    </row>
    <row r="45" spans="1:32" ht="16.5" thickTop="1" thickBot="1" x14ac:dyDescent="0.3">
      <c r="A45" s="596"/>
      <c r="B45" s="539" t="s">
        <v>457</v>
      </c>
      <c r="C45" s="539" t="s">
        <v>82</v>
      </c>
      <c r="D45" s="71"/>
      <c r="E45" s="71"/>
      <c r="F45" s="71"/>
      <c r="G45" s="71"/>
      <c r="H45" s="71"/>
      <c r="I45" s="71">
        <v>1</v>
      </c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>
        <v>1</v>
      </c>
      <c r="W45" s="71"/>
      <c r="X45" s="71"/>
      <c r="Y45" s="71"/>
      <c r="Z45" s="71"/>
      <c r="AA45" s="71"/>
      <c r="AB45" s="71"/>
      <c r="AC45" s="71"/>
      <c r="AD45" s="71"/>
      <c r="AE45" s="71"/>
      <c r="AF45" s="71"/>
    </row>
    <row r="46" spans="1:32" ht="16.5" thickTop="1" thickBot="1" x14ac:dyDescent="0.3">
      <c r="A46" s="596"/>
      <c r="B46" s="538" t="s">
        <v>1436</v>
      </c>
      <c r="C46" s="538" t="s">
        <v>82</v>
      </c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>
        <v>1</v>
      </c>
      <c r="AF46" s="71"/>
    </row>
    <row r="47" spans="1:32" ht="16.5" thickTop="1" thickBot="1" x14ac:dyDescent="0.3">
      <c r="A47" s="594" t="s">
        <v>454</v>
      </c>
      <c r="B47" s="594" t="s">
        <v>421</v>
      </c>
      <c r="C47" s="539" t="s">
        <v>82</v>
      </c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>
        <v>1</v>
      </c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</row>
    <row r="48" spans="1:32" ht="16.5" thickTop="1" thickBot="1" x14ac:dyDescent="0.3">
      <c r="A48" s="596"/>
      <c r="B48" s="595"/>
      <c r="C48" s="539" t="s">
        <v>84</v>
      </c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>
        <v>2</v>
      </c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</row>
    <row r="49" spans="1:32" ht="16.5" customHeight="1" thickTop="1" thickBot="1" x14ac:dyDescent="0.3">
      <c r="A49" s="596"/>
      <c r="B49" s="539" t="s">
        <v>423</v>
      </c>
      <c r="C49" s="538" t="s">
        <v>82</v>
      </c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>
        <v>1</v>
      </c>
    </row>
    <row r="50" spans="1:32" ht="16.5" customHeight="1" thickTop="1" thickBot="1" x14ac:dyDescent="0.3">
      <c r="A50" s="594" t="s">
        <v>452</v>
      </c>
      <c r="B50" s="538" t="s">
        <v>421</v>
      </c>
      <c r="C50" s="539" t="s">
        <v>82</v>
      </c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>
        <v>1</v>
      </c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71"/>
      <c r="AE50" s="71"/>
      <c r="AF50" s="71"/>
    </row>
    <row r="51" spans="1:32" ht="16.5" customHeight="1" thickTop="1" thickBot="1" x14ac:dyDescent="0.3">
      <c r="A51" s="596"/>
      <c r="B51" s="227" t="s">
        <v>423</v>
      </c>
      <c r="C51" s="539" t="s">
        <v>82</v>
      </c>
      <c r="D51" s="71"/>
      <c r="E51" s="71"/>
      <c r="F51" s="71"/>
      <c r="G51" s="71"/>
      <c r="H51" s="71"/>
      <c r="I51" s="71"/>
      <c r="J51" s="71"/>
      <c r="K51" s="71"/>
      <c r="L51" s="71"/>
      <c r="M51" s="71">
        <v>1</v>
      </c>
      <c r="N51" s="71"/>
      <c r="O51" s="71"/>
      <c r="P51" s="71"/>
      <c r="Q51" s="71">
        <v>1</v>
      </c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71"/>
      <c r="AE51" s="71"/>
      <c r="AF51" s="71"/>
    </row>
    <row r="52" spans="1:32" ht="16.5" customHeight="1" thickTop="1" thickBot="1" x14ac:dyDescent="0.3">
      <c r="A52" s="596"/>
      <c r="B52" s="538" t="s">
        <v>424</v>
      </c>
      <c r="C52" s="538" t="s">
        <v>82</v>
      </c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>
        <v>1</v>
      </c>
      <c r="Y52" s="71"/>
      <c r="Z52" s="71"/>
      <c r="AA52" s="71"/>
      <c r="AB52" s="71"/>
      <c r="AC52" s="71"/>
      <c r="AD52" s="71"/>
      <c r="AE52" s="71"/>
      <c r="AF52" s="71"/>
    </row>
    <row r="53" spans="1:32" ht="16.5" customHeight="1" thickTop="1" thickBot="1" x14ac:dyDescent="0.3">
      <c r="A53" s="596"/>
      <c r="B53" s="538" t="s">
        <v>2025</v>
      </c>
      <c r="C53" s="538" t="s">
        <v>82</v>
      </c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>
        <v>1</v>
      </c>
      <c r="AC53" s="71"/>
      <c r="AD53" s="71"/>
      <c r="AE53" s="71"/>
      <c r="AF53" s="71"/>
    </row>
    <row r="54" spans="1:32" ht="16.5" thickTop="1" thickBot="1" x14ac:dyDescent="0.3">
      <c r="A54" s="594" t="s">
        <v>453</v>
      </c>
      <c r="B54" s="538" t="s">
        <v>423</v>
      </c>
      <c r="C54" s="539" t="s">
        <v>84</v>
      </c>
      <c r="D54" s="71"/>
      <c r="E54" s="71"/>
      <c r="F54" s="71">
        <v>2</v>
      </c>
      <c r="G54" s="71"/>
      <c r="H54" s="71"/>
      <c r="I54" s="71"/>
      <c r="J54" s="71"/>
      <c r="K54" s="71"/>
      <c r="L54" s="71"/>
      <c r="M54" s="71"/>
      <c r="N54" s="71"/>
      <c r="O54" s="71"/>
      <c r="P54" s="71">
        <v>2</v>
      </c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71"/>
      <c r="AE54" s="71"/>
      <c r="AF54" s="71"/>
    </row>
    <row r="55" spans="1:32" ht="16.5" customHeight="1" thickTop="1" thickBot="1" x14ac:dyDescent="0.3">
      <c r="A55" s="596"/>
      <c r="B55" s="538" t="s">
        <v>424</v>
      </c>
      <c r="C55" s="539" t="s">
        <v>82</v>
      </c>
      <c r="D55" s="71"/>
      <c r="E55" s="71"/>
      <c r="F55" s="71">
        <v>1</v>
      </c>
      <c r="G55" s="71"/>
      <c r="H55" s="71"/>
      <c r="I55" s="71"/>
      <c r="J55" s="71"/>
      <c r="K55" s="71"/>
      <c r="L55" s="71"/>
      <c r="M55" s="71"/>
      <c r="N55" s="71"/>
      <c r="O55" s="71"/>
      <c r="P55" s="71">
        <v>1</v>
      </c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</row>
    <row r="56" spans="1:32" ht="16.5" thickTop="1" thickBot="1" x14ac:dyDescent="0.3">
      <c r="A56" s="594" t="s">
        <v>441</v>
      </c>
      <c r="B56" s="594" t="s">
        <v>442</v>
      </c>
      <c r="C56" s="539" t="s">
        <v>89</v>
      </c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>
        <v>4</v>
      </c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71"/>
      <c r="AE56" s="71"/>
      <c r="AF56" s="71"/>
    </row>
    <row r="57" spans="1:32" ht="16.5" customHeight="1" thickTop="1" thickBot="1" x14ac:dyDescent="0.3">
      <c r="A57" s="596"/>
      <c r="B57" s="595"/>
      <c r="C57" s="539" t="s">
        <v>82</v>
      </c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>
        <v>1</v>
      </c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71"/>
      <c r="AE57" s="71"/>
      <c r="AF57" s="71"/>
    </row>
    <row r="58" spans="1:32" ht="16.5" thickTop="1" thickBot="1" x14ac:dyDescent="0.3">
      <c r="A58" s="594" t="s">
        <v>459</v>
      </c>
      <c r="B58" s="594" t="s">
        <v>423</v>
      </c>
      <c r="C58" s="539" t="s">
        <v>82</v>
      </c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>
        <v>1</v>
      </c>
      <c r="U58" s="71"/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</row>
    <row r="59" spans="1:32" ht="16.5" customHeight="1" thickTop="1" thickBot="1" x14ac:dyDescent="0.3">
      <c r="A59" s="596"/>
      <c r="B59" s="595"/>
      <c r="C59" s="539" t="s">
        <v>84</v>
      </c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>
        <v>4</v>
      </c>
      <c r="U59" s="71"/>
      <c r="V59" s="71"/>
      <c r="W59" s="71"/>
      <c r="X59" s="71"/>
      <c r="Y59" s="71"/>
      <c r="Z59" s="71"/>
      <c r="AA59" s="71"/>
      <c r="AB59" s="71"/>
      <c r="AC59" s="71"/>
      <c r="AD59" s="71"/>
      <c r="AE59" s="71"/>
      <c r="AF59" s="71"/>
    </row>
    <row r="60" spans="1:32" ht="16.5" customHeight="1" thickTop="1" thickBot="1" x14ac:dyDescent="0.3">
      <c r="A60" s="594" t="s">
        <v>443</v>
      </c>
      <c r="B60" s="539" t="s">
        <v>421</v>
      </c>
      <c r="C60" s="539" t="s">
        <v>82</v>
      </c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>
        <v>1</v>
      </c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71"/>
      <c r="AE60" s="71"/>
      <c r="AF60" s="71"/>
    </row>
    <row r="61" spans="1:32" ht="16.5" thickTop="1" thickBot="1" x14ac:dyDescent="0.3">
      <c r="A61" s="596"/>
      <c r="B61" s="539" t="s">
        <v>423</v>
      </c>
      <c r="C61" s="539" t="s">
        <v>84</v>
      </c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>
        <v>2</v>
      </c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</row>
    <row r="62" spans="1:32" ht="16.5" thickTop="1" thickBot="1" x14ac:dyDescent="0.3">
      <c r="A62" s="538" t="s">
        <v>463</v>
      </c>
      <c r="B62" s="538" t="s">
        <v>465</v>
      </c>
      <c r="C62" s="538" t="s">
        <v>84</v>
      </c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>
        <v>2</v>
      </c>
      <c r="Q62" s="71">
        <v>2</v>
      </c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71"/>
      <c r="AE62" s="71"/>
      <c r="AF62" s="71"/>
    </row>
    <row r="63" spans="1:32" ht="16.5" thickTop="1" thickBot="1" x14ac:dyDescent="0.3">
      <c r="A63" s="593" t="s">
        <v>466</v>
      </c>
      <c r="B63" s="538" t="s">
        <v>444</v>
      </c>
      <c r="C63" s="538" t="s">
        <v>84</v>
      </c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>
        <v>2</v>
      </c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71"/>
      <c r="AD63" s="71"/>
      <c r="AE63" s="71"/>
      <c r="AF63" s="71"/>
    </row>
    <row r="64" spans="1:32" ht="16.5" thickTop="1" thickBot="1" x14ac:dyDescent="0.3">
      <c r="A64" s="566"/>
      <c r="B64" s="538" t="s">
        <v>468</v>
      </c>
      <c r="C64" s="538" t="s">
        <v>84</v>
      </c>
      <c r="D64" s="71"/>
      <c r="E64" s="71">
        <v>2</v>
      </c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D64" s="71"/>
      <c r="AE64" s="71"/>
      <c r="AF64" s="71"/>
    </row>
    <row r="65" spans="1:32" ht="16.5" customHeight="1" thickTop="1" thickBot="1" x14ac:dyDescent="0.3">
      <c r="A65" s="566"/>
      <c r="B65" s="538" t="s">
        <v>445</v>
      </c>
      <c r="C65" s="538" t="s">
        <v>84</v>
      </c>
      <c r="D65" s="71"/>
      <c r="E65" s="71"/>
      <c r="F65" s="71"/>
      <c r="G65" s="71"/>
      <c r="H65" s="71"/>
      <c r="I65" s="71"/>
      <c r="J65" s="71"/>
      <c r="K65" s="71"/>
      <c r="L65" s="71"/>
      <c r="M65" s="71">
        <v>2</v>
      </c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71"/>
      <c r="AE65" s="71"/>
      <c r="AF65" s="71"/>
    </row>
    <row r="66" spans="1:32" ht="16.5" thickTop="1" thickBot="1" x14ac:dyDescent="0.3">
      <c r="A66" s="566"/>
      <c r="B66" s="538" t="s">
        <v>446</v>
      </c>
      <c r="C66" s="538" t="s">
        <v>84</v>
      </c>
      <c r="D66" s="71"/>
      <c r="E66" s="71"/>
      <c r="F66" s="71"/>
      <c r="G66" s="71"/>
      <c r="H66" s="71">
        <v>2</v>
      </c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>
        <v>2</v>
      </c>
      <c r="W66" s="71"/>
      <c r="X66" s="71"/>
      <c r="Y66" s="71"/>
      <c r="Z66" s="71"/>
      <c r="AA66" s="71"/>
      <c r="AB66" s="71"/>
      <c r="AC66" s="71"/>
      <c r="AD66" s="71"/>
      <c r="AE66" s="71"/>
      <c r="AF66" s="71"/>
    </row>
    <row r="67" spans="1:32" ht="16.5" thickTop="1" thickBot="1" x14ac:dyDescent="0.3">
      <c r="A67" s="566"/>
      <c r="B67" s="538" t="s">
        <v>1717</v>
      </c>
      <c r="C67" s="538" t="s">
        <v>84</v>
      </c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>
        <v>2</v>
      </c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>
        <v>2</v>
      </c>
      <c r="AC67" s="71"/>
      <c r="AD67" s="71"/>
      <c r="AE67" s="71"/>
      <c r="AF67" s="71"/>
    </row>
    <row r="68" spans="1:32" ht="16.5" thickTop="1" thickBot="1" x14ac:dyDescent="0.3">
      <c r="A68" s="566"/>
      <c r="B68" s="538" t="s">
        <v>2323</v>
      </c>
      <c r="C68" s="538" t="s">
        <v>84</v>
      </c>
      <c r="D68" s="71">
        <v>2</v>
      </c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71"/>
      <c r="AE68" s="71">
        <v>2</v>
      </c>
      <c r="AF68" s="71"/>
    </row>
    <row r="69" spans="1:32" ht="16.5" thickTop="1" thickBot="1" x14ac:dyDescent="0.3">
      <c r="A69" s="566"/>
      <c r="B69" s="538" t="s">
        <v>2689</v>
      </c>
      <c r="C69" s="538" t="s">
        <v>84</v>
      </c>
      <c r="D69" s="71"/>
      <c r="E69" s="71"/>
      <c r="F69" s="71">
        <v>2</v>
      </c>
      <c r="G69" s="71"/>
      <c r="H69" s="71"/>
      <c r="I69" s="71">
        <v>2</v>
      </c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71"/>
      <c r="AE69" s="71"/>
      <c r="AF69" s="71"/>
    </row>
    <row r="70" spans="1:32" ht="16.5" thickTop="1" thickBot="1" x14ac:dyDescent="0.3">
      <c r="A70" s="593" t="s">
        <v>467</v>
      </c>
      <c r="B70" s="538" t="s">
        <v>444</v>
      </c>
      <c r="C70" s="538" t="s">
        <v>84</v>
      </c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>
        <v>2</v>
      </c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71"/>
      <c r="AE70" s="71"/>
      <c r="AF70" s="71"/>
    </row>
    <row r="71" spans="1:32" ht="16.5" thickTop="1" thickBot="1" x14ac:dyDescent="0.3">
      <c r="A71" s="566"/>
      <c r="B71" s="538" t="s">
        <v>447</v>
      </c>
      <c r="C71" s="538" t="s">
        <v>84</v>
      </c>
      <c r="D71" s="71"/>
      <c r="E71" s="71">
        <v>2</v>
      </c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71"/>
      <c r="AE71" s="71"/>
      <c r="AF71" s="71"/>
    </row>
    <row r="72" spans="1:32" ht="16.5" thickTop="1" thickBot="1" x14ac:dyDescent="0.3">
      <c r="A72" s="566"/>
      <c r="B72" s="538" t="s">
        <v>448</v>
      </c>
      <c r="C72" s="538" t="s">
        <v>84</v>
      </c>
      <c r="D72" s="71"/>
      <c r="E72" s="71"/>
      <c r="F72" s="71"/>
      <c r="G72" s="71"/>
      <c r="H72" s="71"/>
      <c r="I72" s="71"/>
      <c r="J72" s="71"/>
      <c r="K72" s="71"/>
      <c r="L72" s="71"/>
      <c r="M72" s="71">
        <v>2</v>
      </c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71"/>
      <c r="AE72" s="71"/>
      <c r="AF72" s="71"/>
    </row>
    <row r="73" spans="1:32" ht="16.5" thickTop="1" thickBot="1" x14ac:dyDescent="0.3">
      <c r="A73" s="566"/>
      <c r="B73" s="538" t="s">
        <v>449</v>
      </c>
      <c r="C73" s="538" t="s">
        <v>84</v>
      </c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>
        <v>2</v>
      </c>
      <c r="W73" s="71"/>
      <c r="X73" s="71"/>
      <c r="Y73" s="71"/>
      <c r="Z73" s="71"/>
      <c r="AA73" s="71"/>
      <c r="AB73" s="71"/>
      <c r="AC73" s="71"/>
      <c r="AD73" s="71"/>
      <c r="AE73" s="71"/>
      <c r="AF73" s="71"/>
    </row>
    <row r="74" spans="1:32" ht="16.5" thickTop="1" thickBot="1" x14ac:dyDescent="0.3">
      <c r="A74" s="566"/>
      <c r="B74" s="538" t="s">
        <v>450</v>
      </c>
      <c r="C74" s="538" t="s">
        <v>84</v>
      </c>
      <c r="D74" s="71"/>
      <c r="E74" s="71"/>
      <c r="F74" s="71"/>
      <c r="G74" s="71"/>
      <c r="H74" s="71">
        <v>2</v>
      </c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  <c r="AB74" s="71"/>
      <c r="AC74" s="71"/>
      <c r="AD74" s="71"/>
      <c r="AE74" s="71"/>
      <c r="AF74" s="71"/>
    </row>
    <row r="75" spans="1:32" ht="16.5" thickTop="1" thickBot="1" x14ac:dyDescent="0.3">
      <c r="A75" s="566"/>
      <c r="B75" s="538" t="s">
        <v>468</v>
      </c>
      <c r="C75" s="538" t="s">
        <v>84</v>
      </c>
      <c r="D75" s="71">
        <v>2</v>
      </c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  <c r="AB75" s="71"/>
      <c r="AC75" s="71"/>
      <c r="AD75" s="71"/>
      <c r="AE75" s="71"/>
      <c r="AF75" s="71"/>
    </row>
    <row r="76" spans="1:32" ht="16.5" thickTop="1" thickBot="1" x14ac:dyDescent="0.3">
      <c r="A76" s="566"/>
      <c r="B76" s="538" t="s">
        <v>445</v>
      </c>
      <c r="C76" s="538" t="s">
        <v>84</v>
      </c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  <c r="AB76" s="71">
        <v>2</v>
      </c>
      <c r="AC76" s="71"/>
      <c r="AD76" s="71"/>
      <c r="AE76" s="71"/>
      <c r="AF76" s="71"/>
    </row>
    <row r="77" spans="1:32" ht="16.5" thickTop="1" thickBot="1" x14ac:dyDescent="0.3">
      <c r="A77" s="566"/>
      <c r="B77" s="538" t="s">
        <v>446</v>
      </c>
      <c r="C77" s="538" t="s">
        <v>84</v>
      </c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>
        <v>2</v>
      </c>
      <c r="AF77" s="71"/>
    </row>
    <row r="78" spans="1:32" ht="16.5" thickTop="1" thickBot="1" x14ac:dyDescent="0.3">
      <c r="A78" s="566"/>
      <c r="B78" s="538" t="s">
        <v>1153</v>
      </c>
      <c r="C78" s="538" t="s">
        <v>84</v>
      </c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>
        <v>2</v>
      </c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  <c r="AB78" s="71"/>
      <c r="AC78" s="71"/>
      <c r="AD78" s="71"/>
      <c r="AE78" s="71"/>
      <c r="AF78" s="71"/>
    </row>
    <row r="79" spans="1:32" ht="16.5" thickTop="1" thickBot="1" x14ac:dyDescent="0.3">
      <c r="A79" s="566"/>
      <c r="B79" s="538" t="s">
        <v>2690</v>
      </c>
      <c r="C79" s="538" t="s">
        <v>84</v>
      </c>
      <c r="D79" s="71"/>
      <c r="E79" s="71"/>
      <c r="F79" s="71">
        <v>2</v>
      </c>
      <c r="G79" s="71"/>
      <c r="H79" s="71"/>
      <c r="I79" s="71">
        <v>2</v>
      </c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  <c r="AB79" s="71"/>
      <c r="AC79" s="71"/>
      <c r="AD79" s="71"/>
      <c r="AE79" s="71"/>
      <c r="AF79" s="71"/>
    </row>
    <row r="80" spans="1:32" ht="16.5" thickTop="1" thickBot="1" x14ac:dyDescent="0.3">
      <c r="A80" s="538" t="s">
        <v>2194</v>
      </c>
      <c r="B80" s="538" t="s">
        <v>1726</v>
      </c>
      <c r="C80" s="538" t="s">
        <v>84</v>
      </c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>
        <v>2</v>
      </c>
      <c r="R80" s="71"/>
      <c r="S80" s="71"/>
      <c r="T80" s="71"/>
      <c r="U80" s="71"/>
      <c r="V80" s="71"/>
      <c r="W80" s="71"/>
      <c r="X80" s="71"/>
      <c r="Y80" s="71"/>
      <c r="Z80" s="71"/>
      <c r="AA80" s="71"/>
      <c r="AB80" s="71">
        <v>2</v>
      </c>
      <c r="AC80" s="71"/>
      <c r="AD80" s="71"/>
      <c r="AE80" s="71"/>
      <c r="AF80" s="71"/>
    </row>
    <row r="81" spans="1:32" ht="16.5" thickTop="1" thickBot="1" x14ac:dyDescent="0.3">
      <c r="A81" s="593" t="s">
        <v>2202</v>
      </c>
      <c r="B81" s="538" t="s">
        <v>1728</v>
      </c>
      <c r="C81" s="538" t="s">
        <v>84</v>
      </c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>
        <v>2</v>
      </c>
      <c r="R81" s="71"/>
      <c r="S81" s="71"/>
      <c r="T81" s="71"/>
      <c r="U81" s="71"/>
      <c r="V81" s="71"/>
      <c r="W81" s="71"/>
      <c r="X81" s="71"/>
      <c r="Y81" s="71"/>
      <c r="Z81" s="71"/>
      <c r="AA81" s="71"/>
      <c r="AB81" s="71"/>
      <c r="AC81" s="71"/>
      <c r="AD81" s="71"/>
      <c r="AE81" s="71"/>
      <c r="AF81" s="71"/>
    </row>
    <row r="82" spans="1:32" ht="16.5" thickTop="1" thickBot="1" x14ac:dyDescent="0.3">
      <c r="A82" s="566"/>
      <c r="B82" s="538" t="s">
        <v>2691</v>
      </c>
      <c r="C82" s="538" t="s">
        <v>84</v>
      </c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/>
      <c r="AB82" s="71">
        <v>2</v>
      </c>
      <c r="AC82" s="71"/>
      <c r="AD82" s="71"/>
      <c r="AE82" s="71"/>
      <c r="AF82" s="71"/>
    </row>
    <row r="83" spans="1:32" ht="16.5" thickTop="1" thickBot="1" x14ac:dyDescent="0.3">
      <c r="A83" s="593" t="s">
        <v>2417</v>
      </c>
      <c r="B83" s="593" t="s">
        <v>421</v>
      </c>
      <c r="C83" s="538" t="s">
        <v>82</v>
      </c>
      <c r="D83" s="71">
        <v>1</v>
      </c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  <c r="AB83" s="71">
        <v>1</v>
      </c>
      <c r="AC83" s="71"/>
      <c r="AD83" s="71"/>
      <c r="AE83" s="71"/>
      <c r="AF83" s="71"/>
    </row>
    <row r="84" spans="1:32" ht="16.5" thickTop="1" thickBot="1" x14ac:dyDescent="0.3">
      <c r="A84" s="566"/>
      <c r="B84" s="566"/>
      <c r="C84" s="538" t="s">
        <v>84</v>
      </c>
      <c r="D84" s="71">
        <v>2</v>
      </c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  <c r="AB84" s="71">
        <v>2</v>
      </c>
      <c r="AC84" s="71"/>
      <c r="AD84" s="71"/>
      <c r="AE84" s="71"/>
      <c r="AF84" s="71"/>
    </row>
    <row r="85" spans="1:32" ht="15.75" thickTop="1" x14ac:dyDescent="0.25"/>
  </sheetData>
  <mergeCells count="25">
    <mergeCell ref="A36:A42"/>
    <mergeCell ref="A43:A46"/>
    <mergeCell ref="A5:A21"/>
    <mergeCell ref="A22:A23"/>
    <mergeCell ref="A25:A27"/>
    <mergeCell ref="A29:A33"/>
    <mergeCell ref="A34:A35"/>
    <mergeCell ref="A47:A49"/>
    <mergeCell ref="A50:A53"/>
    <mergeCell ref="A54:A55"/>
    <mergeCell ref="A56:A57"/>
    <mergeCell ref="A58:A59"/>
    <mergeCell ref="A60:A61"/>
    <mergeCell ref="A63:A69"/>
    <mergeCell ref="A70:A79"/>
    <mergeCell ref="A81:A82"/>
    <mergeCell ref="A83:A84"/>
    <mergeCell ref="B56:B57"/>
    <mergeCell ref="B58:B59"/>
    <mergeCell ref="B83:B84"/>
    <mergeCell ref="B10:B11"/>
    <mergeCell ref="B22:B25"/>
    <mergeCell ref="B34:B35"/>
    <mergeCell ref="B43:B44"/>
    <mergeCell ref="B47:B48"/>
  </mergeCells>
  <conditionalFormatting sqref="D4:V4">
    <cfRule type="cellIs" dxfId="490" priority="44" operator="equal">
      <formula>4</formula>
    </cfRule>
    <cfRule type="cellIs" dxfId="489" priority="45" operator="equal">
      <formula>3</formula>
    </cfRule>
    <cfRule type="cellIs" dxfId="488" priority="46" operator="equal">
      <formula>2</formula>
    </cfRule>
    <cfRule type="cellIs" dxfId="487" priority="47" operator="equal">
      <formula>1</formula>
    </cfRule>
  </conditionalFormatting>
  <conditionalFormatting sqref="D4:V4">
    <cfRule type="cellIs" dxfId="486" priority="41" operator="equal">
      <formula>3</formula>
    </cfRule>
    <cfRule type="cellIs" dxfId="485" priority="42" operator="equal">
      <formula>2</formula>
    </cfRule>
    <cfRule type="cellIs" dxfId="484" priority="43" operator="equal">
      <formula>1</formula>
    </cfRule>
  </conditionalFormatting>
  <conditionalFormatting pivot="1" sqref="D5:AF84">
    <cfRule type="cellIs" dxfId="483" priority="40" operator="equal">
      <formula>4</formula>
    </cfRule>
  </conditionalFormatting>
  <conditionalFormatting pivot="1" sqref="L35">
    <cfRule type="cellIs" dxfId="482" priority="39" operator="equal">
      <formula>1</formula>
    </cfRule>
  </conditionalFormatting>
  <conditionalFormatting sqref="A1:B5 A20:A1048576 D1:XFD4 D85:XFD1048576 B5:B1048576 C1:C1048576 B12:C12 AG5:XFD84">
    <cfRule type="cellIs" dxfId="481" priority="36" operator="equal">
      <formula>3</formula>
    </cfRule>
    <cfRule type="cellIs" dxfId="480" priority="37" operator="equal">
      <formula>2</formula>
    </cfRule>
    <cfRule type="cellIs" dxfId="479" priority="38" operator="equal">
      <formula>1</formula>
    </cfRule>
  </conditionalFormatting>
  <conditionalFormatting sqref="A4:B5 A20 D4:XFD4 AG5:XFD20 B5:B20 C4:C44 B12:C12">
    <cfRule type="cellIs" dxfId="478" priority="34" operator="equal">
      <formula>2</formula>
    </cfRule>
    <cfRule type="cellIs" dxfId="477" priority="35" operator="equal">
      <formula>1</formula>
    </cfRule>
  </conditionalFormatting>
  <conditionalFormatting sqref="A4:B5 D4:XFD4 AG5:XFD18 B5:B44 C4:C44 B12:C12">
    <cfRule type="cellIs" dxfId="476" priority="32" operator="equal">
      <formula>2</formula>
    </cfRule>
    <cfRule type="cellIs" dxfId="475" priority="33" operator="equal">
      <formula>1</formula>
    </cfRule>
  </conditionalFormatting>
  <conditionalFormatting sqref="A9 A15 A11 A5:B5 AG5:XFD18 B5:C44">
    <cfRule type="cellIs" dxfId="474" priority="30" operator="equal">
      <formula>2</formula>
    </cfRule>
    <cfRule type="cellIs" dxfId="473" priority="31" operator="equal">
      <formula>1</formula>
    </cfRule>
  </conditionalFormatting>
  <conditionalFormatting sqref="A9 A15 A11 A5:B5 AG5:XFD19 B5:C44">
    <cfRule type="cellIs" dxfId="472" priority="28" operator="equal">
      <formula>2</formula>
    </cfRule>
    <cfRule type="cellIs" dxfId="471" priority="29" operator="equal">
      <formula>1</formula>
    </cfRule>
  </conditionalFormatting>
  <conditionalFormatting sqref="A5:A18 AG5:XFD18 B5:C44">
    <cfRule type="cellIs" dxfId="470" priority="26" operator="equal">
      <formula>2</formula>
    </cfRule>
    <cfRule type="cellIs" dxfId="469" priority="27" operator="equal">
      <formula>1</formula>
    </cfRule>
  </conditionalFormatting>
  <conditionalFormatting sqref="B7:B11 A5:A12 B5 AG5:XFD12 C5:C44 B12:C12">
    <cfRule type="cellIs" dxfId="468" priority="23" operator="equal">
      <formula>3</formula>
    </cfRule>
    <cfRule type="cellIs" dxfId="467" priority="24" operator="equal">
      <formula>2</formula>
    </cfRule>
    <cfRule type="cellIs" dxfId="466" priority="25" operator="equal">
      <formula>1</formula>
    </cfRule>
  </conditionalFormatting>
  <conditionalFormatting pivot="1" sqref="D5:AF84">
    <cfRule type="cellIs" dxfId="465" priority="22" operator="equal">
      <formula>1</formula>
    </cfRule>
  </conditionalFormatting>
  <conditionalFormatting pivot="1" sqref="D5:AF84">
    <cfRule type="cellIs" dxfId="464" priority="21" operator="equal">
      <formula>2</formula>
    </cfRule>
  </conditionalFormatting>
  <conditionalFormatting pivot="1" sqref="D5:AF84">
    <cfRule type="cellIs" dxfId="463" priority="20" operator="equal">
      <formula>3</formula>
    </cfRule>
  </conditionalFormatting>
  <conditionalFormatting sqref="C20:C27">
    <cfRule type="cellIs" dxfId="462" priority="18" operator="equal">
      <formula>2</formula>
    </cfRule>
    <cfRule type="cellIs" dxfId="461" priority="19" operator="equal">
      <formula>1</formula>
    </cfRule>
  </conditionalFormatting>
  <conditionalFormatting sqref="C20:C27">
    <cfRule type="cellIs" dxfId="460" priority="16" operator="equal">
      <formula>2</formula>
    </cfRule>
    <cfRule type="cellIs" dxfId="459" priority="17" operator="equal">
      <formula>1</formula>
    </cfRule>
  </conditionalFormatting>
  <conditionalFormatting sqref="C20:C27">
    <cfRule type="cellIs" dxfId="458" priority="14" operator="equal">
      <formula>2</formula>
    </cfRule>
    <cfRule type="cellIs" dxfId="457" priority="15" operator="equal">
      <formula>1</formula>
    </cfRule>
  </conditionalFormatting>
  <conditionalFormatting sqref="C20:C27">
    <cfRule type="cellIs" dxfId="456" priority="12" operator="equal">
      <formula>2</formula>
    </cfRule>
    <cfRule type="cellIs" dxfId="455" priority="13" operator="equal">
      <formula>1</formula>
    </cfRule>
  </conditionalFormatting>
  <conditionalFormatting sqref="C20:C27">
    <cfRule type="cellIs" dxfId="454" priority="9" operator="equal">
      <formula>3</formula>
    </cfRule>
    <cfRule type="cellIs" dxfId="453" priority="10" operator="equal">
      <formula>2</formula>
    </cfRule>
    <cfRule type="cellIs" dxfId="452" priority="11" operator="equal">
      <formula>1</formula>
    </cfRule>
  </conditionalFormatting>
  <conditionalFormatting sqref="B21:B44">
    <cfRule type="cellIs" dxfId="451" priority="7" operator="equal">
      <formula>2</formula>
    </cfRule>
    <cfRule type="cellIs" dxfId="450" priority="8" operator="equal">
      <formula>1</formula>
    </cfRule>
  </conditionalFormatting>
  <conditionalFormatting sqref="B21 B37 B23:B27 B39:B43">
    <cfRule type="cellIs" dxfId="449" priority="4" operator="equal">
      <formula>3</formula>
    </cfRule>
    <cfRule type="cellIs" dxfId="448" priority="5" operator="equal">
      <formula>2</formula>
    </cfRule>
    <cfRule type="cellIs" dxfId="447" priority="6" operator="equal">
      <formula>1</formula>
    </cfRule>
  </conditionalFormatting>
  <conditionalFormatting sqref="B12:B13">
    <cfRule type="cellIs" dxfId="446" priority="1" operator="equal">
      <formula>3</formula>
    </cfRule>
    <cfRule type="cellIs" dxfId="445" priority="2" operator="equal">
      <formula>2</formula>
    </cfRule>
    <cfRule type="cellIs" dxfId="444" priority="3" operator="equal">
      <formula>1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Q9"/>
  <sheetViews>
    <sheetView zoomScale="85" zoomScaleNormal="85" workbookViewId="0">
      <selection activeCell="D16" sqref="D16"/>
    </sheetView>
  </sheetViews>
  <sheetFormatPr defaultRowHeight="15" x14ac:dyDescent="0.25"/>
  <cols>
    <col min="2" max="2" width="13.7109375" style="62" bestFit="1" customWidth="1"/>
    <col min="3" max="8" width="13.5703125" bestFit="1" customWidth="1"/>
    <col min="9" max="10" width="10.28515625" bestFit="1" customWidth="1"/>
    <col min="11" max="11" width="10.28515625" style="62" customWidth="1"/>
    <col min="12" max="12" width="16.28515625" bestFit="1" customWidth="1"/>
    <col min="14" max="17" width="13.5703125" bestFit="1" customWidth="1"/>
  </cols>
  <sheetData>
    <row r="2" spans="1:17" x14ac:dyDescent="0.25">
      <c r="A2" s="36"/>
      <c r="B2" s="36" t="s">
        <v>309</v>
      </c>
      <c r="C2" s="36" t="s">
        <v>331</v>
      </c>
      <c r="D2" s="36" t="s">
        <v>348</v>
      </c>
      <c r="E2" s="36" t="s">
        <v>103</v>
      </c>
      <c r="F2" s="36" t="s">
        <v>316</v>
      </c>
      <c r="G2" s="36" t="s">
        <v>280</v>
      </c>
      <c r="H2" s="36" t="s">
        <v>136</v>
      </c>
      <c r="I2" s="36" t="s">
        <v>266</v>
      </c>
      <c r="J2" s="36" t="s">
        <v>139</v>
      </c>
      <c r="K2" s="36" t="s">
        <v>483</v>
      </c>
      <c r="L2" s="36" t="s">
        <v>923</v>
      </c>
      <c r="M2" s="36" t="s">
        <v>106</v>
      </c>
      <c r="N2" s="36" t="s">
        <v>115</v>
      </c>
      <c r="O2" s="36" t="s">
        <v>1685</v>
      </c>
      <c r="P2" s="36" t="s">
        <v>2091</v>
      </c>
      <c r="Q2" s="36" t="s">
        <v>2484</v>
      </c>
    </row>
    <row r="3" spans="1:17" x14ac:dyDescent="0.25">
      <c r="A3" s="36" t="s">
        <v>260</v>
      </c>
      <c r="B3" s="36" t="s">
        <v>2577</v>
      </c>
      <c r="C3" s="62" t="s">
        <v>924</v>
      </c>
      <c r="D3" s="62" t="s">
        <v>1249</v>
      </c>
      <c r="E3" s="62" t="s">
        <v>2577</v>
      </c>
      <c r="F3" s="62" t="s">
        <v>1249</v>
      </c>
      <c r="G3" s="62"/>
      <c r="H3" s="62" t="s">
        <v>1249</v>
      </c>
      <c r="I3" s="62"/>
      <c r="J3" s="62"/>
      <c r="L3" s="62" t="s">
        <v>925</v>
      </c>
      <c r="M3" s="62"/>
      <c r="N3" s="62" t="s">
        <v>1249</v>
      </c>
      <c r="O3" s="62" t="s">
        <v>1249</v>
      </c>
      <c r="P3" s="62" t="s">
        <v>1249</v>
      </c>
      <c r="Q3" t="s">
        <v>1896</v>
      </c>
    </row>
    <row r="4" spans="1:17" x14ac:dyDescent="0.25">
      <c r="A4" s="36" t="s">
        <v>176</v>
      </c>
      <c r="B4" s="36"/>
      <c r="C4" s="62" t="s">
        <v>924</v>
      </c>
      <c r="D4" s="62" t="s">
        <v>1249</v>
      </c>
      <c r="E4" s="62" t="s">
        <v>924</v>
      </c>
      <c r="F4" s="62" t="s">
        <v>1896</v>
      </c>
      <c r="G4" s="62" t="s">
        <v>1249</v>
      </c>
      <c r="H4" s="62" t="s">
        <v>1896</v>
      </c>
      <c r="I4" s="62"/>
      <c r="J4" s="62"/>
      <c r="L4" s="62" t="s">
        <v>925</v>
      </c>
      <c r="M4" s="62"/>
      <c r="N4" s="62" t="s">
        <v>1249</v>
      </c>
      <c r="O4" s="62" t="s">
        <v>1249</v>
      </c>
      <c r="P4" s="62" t="s">
        <v>1249</v>
      </c>
      <c r="Q4" t="s">
        <v>1896</v>
      </c>
    </row>
    <row r="5" spans="1:17" x14ac:dyDescent="0.25">
      <c r="A5" s="36" t="s">
        <v>407</v>
      </c>
      <c r="B5" s="36"/>
      <c r="C5" s="62" t="s">
        <v>926</v>
      </c>
      <c r="D5" s="62" t="s">
        <v>588</v>
      </c>
      <c r="E5" s="62" t="s">
        <v>927</v>
      </c>
      <c r="F5" s="62" t="s">
        <v>588</v>
      </c>
      <c r="G5" s="62" t="s">
        <v>2314</v>
      </c>
      <c r="H5" s="62" t="s">
        <v>1249</v>
      </c>
      <c r="I5" s="62" t="s">
        <v>928</v>
      </c>
      <c r="J5" s="62" t="s">
        <v>928</v>
      </c>
      <c r="K5" s="62" t="s">
        <v>588</v>
      </c>
      <c r="L5" s="62" t="s">
        <v>929</v>
      </c>
      <c r="M5" s="62" t="s">
        <v>929</v>
      </c>
      <c r="N5" s="62" t="s">
        <v>1249</v>
      </c>
      <c r="O5" t="s">
        <v>1730</v>
      </c>
      <c r="Q5" s="62" t="s">
        <v>2427</v>
      </c>
    </row>
    <row r="6" spans="1:17" x14ac:dyDescent="0.25">
      <c r="A6" s="36" t="s">
        <v>78</v>
      </c>
      <c r="B6" s="36" t="s">
        <v>2427</v>
      </c>
      <c r="C6" s="62"/>
      <c r="D6" s="62"/>
      <c r="E6" s="62"/>
      <c r="F6" s="62" t="s">
        <v>926</v>
      </c>
      <c r="G6" s="62"/>
      <c r="H6" s="62"/>
      <c r="I6" s="62"/>
      <c r="J6" s="62"/>
      <c r="L6" s="62"/>
      <c r="M6" s="62"/>
      <c r="N6" s="62"/>
      <c r="O6" s="62" t="s">
        <v>926</v>
      </c>
      <c r="Q6" t="s">
        <v>926</v>
      </c>
    </row>
    <row r="7" spans="1:17" x14ac:dyDescent="0.25">
      <c r="A7" s="36" t="s">
        <v>146</v>
      </c>
      <c r="B7" s="36"/>
      <c r="C7" s="62"/>
      <c r="D7" s="62"/>
      <c r="E7" s="62"/>
      <c r="F7" s="62"/>
      <c r="G7" s="62" t="s">
        <v>1729</v>
      </c>
      <c r="H7" s="62"/>
      <c r="I7" s="62"/>
      <c r="J7" s="62"/>
      <c r="L7" s="62"/>
      <c r="M7" s="62"/>
      <c r="N7" s="62"/>
    </row>
    <row r="8" spans="1:17" x14ac:dyDescent="0.25">
      <c r="A8" s="36" t="s">
        <v>333</v>
      </c>
      <c r="B8" s="36"/>
      <c r="C8" s="62"/>
      <c r="D8" s="62"/>
      <c r="E8" s="62"/>
      <c r="F8" s="62"/>
      <c r="G8" s="62" t="s">
        <v>1116</v>
      </c>
      <c r="H8" s="62"/>
      <c r="I8" s="62"/>
      <c r="J8" s="62"/>
      <c r="L8" s="62"/>
      <c r="M8" s="62"/>
      <c r="N8" s="62"/>
      <c r="Q8" t="s">
        <v>1116</v>
      </c>
    </row>
    <row r="9" spans="1:17" x14ac:dyDescent="0.25">
      <c r="A9" s="36" t="s">
        <v>275</v>
      </c>
      <c r="B9" s="36"/>
      <c r="C9" s="62"/>
      <c r="D9" s="62"/>
      <c r="E9" s="62"/>
      <c r="F9" s="62"/>
      <c r="G9" s="62"/>
      <c r="H9" s="62"/>
      <c r="I9" s="62"/>
      <c r="J9" s="62"/>
      <c r="L9" s="62"/>
      <c r="M9" s="62"/>
      <c r="N9" s="6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2:M40"/>
  <sheetViews>
    <sheetView topLeftCell="B7" workbookViewId="0">
      <selection activeCell="G18" sqref="G18"/>
    </sheetView>
  </sheetViews>
  <sheetFormatPr defaultRowHeight="15" x14ac:dyDescent="0.25"/>
  <cols>
    <col min="3" max="3" width="23.5703125" bestFit="1" customWidth="1"/>
    <col min="4" max="4" width="7.85546875" bestFit="1" customWidth="1"/>
    <col min="5" max="5" width="14.42578125" bestFit="1" customWidth="1"/>
    <col min="6" max="6" width="23.28515625" customWidth="1"/>
    <col min="7" max="7" width="21.7109375" customWidth="1"/>
    <col min="8" max="8" width="29.5703125" customWidth="1"/>
    <col min="9" max="9" width="26.140625" customWidth="1"/>
    <col min="10" max="10" width="18.140625" customWidth="1"/>
    <col min="11" max="11" width="32.42578125" customWidth="1"/>
    <col min="12" max="12" width="25.85546875" customWidth="1"/>
  </cols>
  <sheetData>
    <row r="2" spans="3:12" ht="15.75" x14ac:dyDescent="0.25">
      <c r="C2" s="274" t="s">
        <v>309</v>
      </c>
      <c r="D2" s="274" t="s">
        <v>406</v>
      </c>
      <c r="E2" s="274" t="s">
        <v>1708</v>
      </c>
      <c r="F2" s="274" t="s">
        <v>1802</v>
      </c>
      <c r="G2" s="274" t="s">
        <v>1708</v>
      </c>
      <c r="H2" s="274" t="s">
        <v>2645</v>
      </c>
    </row>
    <row r="3" spans="3:12" x14ac:dyDescent="0.25">
      <c r="C3" s="275" t="s">
        <v>1706</v>
      </c>
      <c r="D3" s="275" t="s">
        <v>1707</v>
      </c>
      <c r="E3" s="275" t="s">
        <v>1709</v>
      </c>
      <c r="F3" s="275" t="s">
        <v>1803</v>
      </c>
      <c r="G3" s="275" t="s">
        <v>2646</v>
      </c>
      <c r="H3" s="275" t="s">
        <v>2647</v>
      </c>
    </row>
    <row r="4" spans="3:12" x14ac:dyDescent="0.25">
      <c r="C4" s="275" t="s">
        <v>1737</v>
      </c>
      <c r="D4" s="275" t="s">
        <v>1726</v>
      </c>
      <c r="E4" s="275" t="s">
        <v>1736</v>
      </c>
      <c r="F4" s="275" t="s">
        <v>1804</v>
      </c>
      <c r="G4" s="505"/>
      <c r="H4" s="505"/>
    </row>
    <row r="5" spans="3:12" x14ac:dyDescent="0.25">
      <c r="C5" s="275" t="s">
        <v>1737</v>
      </c>
      <c r="D5" s="275" t="s">
        <v>18</v>
      </c>
      <c r="E5" s="275" t="s">
        <v>1736</v>
      </c>
      <c r="F5" s="275" t="s">
        <v>2419</v>
      </c>
      <c r="G5" s="275" t="s">
        <v>2651</v>
      </c>
      <c r="H5" s="275" t="s">
        <v>2652</v>
      </c>
    </row>
    <row r="6" spans="3:12" x14ac:dyDescent="0.25">
      <c r="C6" s="275" t="s">
        <v>2644</v>
      </c>
      <c r="D6" s="275" t="s">
        <v>2648</v>
      </c>
      <c r="E6" s="505"/>
      <c r="F6" s="505"/>
      <c r="G6" s="275" t="s">
        <v>2649</v>
      </c>
      <c r="H6" s="275" t="s">
        <v>2650</v>
      </c>
    </row>
    <row r="8" spans="3:12" x14ac:dyDescent="0.25">
      <c r="C8" s="614" t="s">
        <v>2193</v>
      </c>
      <c r="D8" s="615"/>
      <c r="E8" s="615"/>
      <c r="F8" s="615"/>
      <c r="G8" s="615"/>
      <c r="H8" s="615"/>
      <c r="I8" s="615"/>
      <c r="J8" s="615"/>
      <c r="K8" s="616"/>
    </row>
    <row r="9" spans="3:12" x14ac:dyDescent="0.25">
      <c r="C9" s="371" t="s">
        <v>309</v>
      </c>
      <c r="D9" s="617" t="s">
        <v>407</v>
      </c>
      <c r="E9" s="617"/>
      <c r="F9" s="372" t="s">
        <v>451</v>
      </c>
      <c r="G9" s="618" t="s">
        <v>431</v>
      </c>
      <c r="H9" s="619"/>
      <c r="I9" s="373"/>
      <c r="J9" s="619" t="s">
        <v>2189</v>
      </c>
      <c r="K9" s="620"/>
    </row>
    <row r="10" spans="3:12" x14ac:dyDescent="0.25">
      <c r="C10" s="374" t="s">
        <v>2190</v>
      </c>
      <c r="D10" s="621">
        <v>4</v>
      </c>
      <c r="E10" s="621"/>
      <c r="F10" s="372">
        <v>2.1</v>
      </c>
      <c r="G10" s="617">
        <v>4.7</v>
      </c>
      <c r="H10" s="617"/>
      <c r="I10" s="617"/>
      <c r="J10" s="617">
        <v>2.5</v>
      </c>
      <c r="K10" s="617"/>
    </row>
    <row r="11" spans="3:12" x14ac:dyDescent="0.25">
      <c r="C11" s="374" t="s">
        <v>3</v>
      </c>
      <c r="D11" s="375" t="s">
        <v>82</v>
      </c>
      <c r="E11" s="376" t="s">
        <v>84</v>
      </c>
      <c r="F11" s="372" t="s">
        <v>82</v>
      </c>
      <c r="G11" s="376" t="s">
        <v>82</v>
      </c>
      <c r="H11" s="613" t="s">
        <v>84</v>
      </c>
      <c r="I11" s="613"/>
      <c r="J11" s="372" t="s">
        <v>82</v>
      </c>
      <c r="K11" s="372" t="s">
        <v>84</v>
      </c>
    </row>
    <row r="12" spans="3:12" x14ac:dyDescent="0.25">
      <c r="C12" s="372"/>
      <c r="D12" s="376" t="s">
        <v>47</v>
      </c>
      <c r="E12" s="376" t="s">
        <v>2029</v>
      </c>
      <c r="F12" s="377">
        <v>2.1</v>
      </c>
      <c r="G12" s="376">
        <v>4.7</v>
      </c>
      <c r="H12" s="376" t="s">
        <v>2191</v>
      </c>
      <c r="I12" s="375" t="s">
        <v>2192</v>
      </c>
      <c r="J12" s="377">
        <v>2.1</v>
      </c>
      <c r="K12" s="372" t="s">
        <v>1728</v>
      </c>
    </row>
    <row r="13" spans="3:12" x14ac:dyDescent="0.25">
      <c r="C13" s="62"/>
      <c r="D13" s="370"/>
      <c r="E13" s="62"/>
      <c r="F13" s="370"/>
      <c r="G13" s="370"/>
      <c r="H13" s="370"/>
      <c r="I13" s="370"/>
      <c r="J13" s="370"/>
      <c r="K13" s="370"/>
    </row>
    <row r="14" spans="3:12" s="62" customFormat="1" x14ac:dyDescent="0.25">
      <c r="D14" s="506"/>
      <c r="F14" s="506"/>
      <c r="G14" s="506"/>
      <c r="H14" s="506"/>
      <c r="I14" s="506"/>
      <c r="J14" s="506"/>
      <c r="K14" s="506"/>
    </row>
    <row r="15" spans="3:12" s="62" customFormat="1" x14ac:dyDescent="0.25">
      <c r="C15" s="523"/>
      <c r="D15" s="524"/>
      <c r="E15" s="524"/>
      <c r="F15" s="524"/>
      <c r="G15" s="524"/>
      <c r="H15" s="524" t="s">
        <v>2726</v>
      </c>
      <c r="I15" s="524"/>
      <c r="J15" s="524"/>
      <c r="K15" s="525"/>
      <c r="L15" s="505"/>
    </row>
    <row r="16" spans="3:12" s="62" customFormat="1" ht="15" customHeight="1" x14ac:dyDescent="0.25">
      <c r="C16" s="522" t="s">
        <v>309</v>
      </c>
      <c r="D16" s="622" t="s">
        <v>407</v>
      </c>
      <c r="E16" s="622"/>
      <c r="F16" s="526" t="s">
        <v>451</v>
      </c>
      <c r="G16" s="627" t="s">
        <v>431</v>
      </c>
      <c r="H16" s="628"/>
      <c r="I16" s="629"/>
      <c r="J16" s="627" t="s">
        <v>2189</v>
      </c>
      <c r="K16" s="628"/>
      <c r="L16" s="629"/>
    </row>
    <row r="17" spans="3:13" s="62" customFormat="1" x14ac:dyDescent="0.25">
      <c r="C17" s="374" t="s">
        <v>2190</v>
      </c>
      <c r="D17" s="623">
        <v>4</v>
      </c>
      <c r="E17" s="623"/>
      <c r="F17" s="527">
        <v>2.1</v>
      </c>
      <c r="G17" s="624">
        <v>4.8</v>
      </c>
      <c r="H17" s="625"/>
      <c r="I17" s="626"/>
      <c r="J17" s="630">
        <v>3</v>
      </c>
      <c r="K17" s="631"/>
      <c r="L17" s="632"/>
    </row>
    <row r="18" spans="3:13" s="62" customFormat="1" x14ac:dyDescent="0.25">
      <c r="C18" s="374" t="s">
        <v>3</v>
      </c>
      <c r="D18" s="375" t="s">
        <v>82</v>
      </c>
      <c r="E18" s="520" t="s">
        <v>84</v>
      </c>
      <c r="F18" s="520" t="s">
        <v>82</v>
      </c>
      <c r="G18" s="520" t="s">
        <v>82</v>
      </c>
      <c r="H18" s="520" t="s">
        <v>2724</v>
      </c>
      <c r="I18" s="520" t="s">
        <v>2725</v>
      </c>
      <c r="J18" s="520" t="s">
        <v>82</v>
      </c>
      <c r="K18" s="520" t="s">
        <v>2725</v>
      </c>
      <c r="L18" s="520" t="s">
        <v>2724</v>
      </c>
    </row>
    <row r="19" spans="3:13" s="62" customFormat="1" ht="45" x14ac:dyDescent="0.25">
      <c r="C19" s="521"/>
      <c r="D19" s="520" t="s">
        <v>2780</v>
      </c>
      <c r="E19" s="520" t="s">
        <v>2777</v>
      </c>
      <c r="F19" s="520" t="s">
        <v>2722</v>
      </c>
      <c r="G19" s="520" t="s">
        <v>2611</v>
      </c>
      <c r="H19" s="520" t="s">
        <v>2664</v>
      </c>
      <c r="I19" s="375" t="s">
        <v>2665</v>
      </c>
      <c r="J19" s="375" t="s">
        <v>2169</v>
      </c>
      <c r="K19" s="375" t="s">
        <v>2723</v>
      </c>
      <c r="L19" s="375" t="s">
        <v>2173</v>
      </c>
    </row>
    <row r="20" spans="3:13" s="62" customFormat="1" x14ac:dyDescent="0.25">
      <c r="D20" s="536" t="s">
        <v>2779</v>
      </c>
      <c r="E20" s="62" t="s">
        <v>2778</v>
      </c>
      <c r="F20" s="506"/>
      <c r="G20" s="519"/>
      <c r="H20" s="506"/>
      <c r="I20" s="506"/>
      <c r="J20" s="506"/>
      <c r="K20" s="506"/>
    </row>
    <row r="21" spans="3:13" s="62" customFormat="1" x14ac:dyDescent="0.25">
      <c r="D21" s="506"/>
      <c r="F21" s="506"/>
      <c r="G21" s="506"/>
      <c r="H21" s="506"/>
      <c r="I21" s="506"/>
      <c r="J21" s="506"/>
      <c r="K21" s="506"/>
    </row>
    <row r="22" spans="3:13" ht="15.75" thickBot="1" x14ac:dyDescent="0.3"/>
    <row r="23" spans="3:13" x14ac:dyDescent="0.25">
      <c r="C23" s="599" t="s">
        <v>2203</v>
      </c>
      <c r="D23" s="602" t="s">
        <v>2204</v>
      </c>
      <c r="E23" s="603"/>
      <c r="F23" s="604"/>
      <c r="G23" s="608" t="s">
        <v>407</v>
      </c>
      <c r="H23" s="604"/>
      <c r="I23" s="608" t="s">
        <v>1737</v>
      </c>
      <c r="J23" s="604"/>
      <c r="K23" s="611" t="s">
        <v>2205</v>
      </c>
      <c r="L23" s="597" t="s">
        <v>78</v>
      </c>
      <c r="M23" s="379"/>
    </row>
    <row r="24" spans="3:13" ht="15.75" thickBot="1" x14ac:dyDescent="0.3">
      <c r="C24" s="600"/>
      <c r="D24" s="605"/>
      <c r="E24" s="606"/>
      <c r="F24" s="607"/>
      <c r="G24" s="609"/>
      <c r="H24" s="610"/>
      <c r="I24" s="609"/>
      <c r="J24" s="610"/>
      <c r="K24" s="612"/>
      <c r="L24" s="598"/>
      <c r="M24" s="379"/>
    </row>
    <row r="25" spans="3:13" ht="15.75" thickBot="1" x14ac:dyDescent="0.3">
      <c r="C25" s="601"/>
      <c r="D25" s="380" t="s">
        <v>2206</v>
      </c>
      <c r="E25" s="381" t="s">
        <v>176</v>
      </c>
      <c r="F25" s="381" t="s">
        <v>260</v>
      </c>
      <c r="G25" s="381" t="s">
        <v>2206</v>
      </c>
      <c r="H25" s="381" t="s">
        <v>84</v>
      </c>
      <c r="I25" s="381" t="s">
        <v>2206</v>
      </c>
      <c r="J25" s="381" t="s">
        <v>84</v>
      </c>
      <c r="K25" s="381" t="s">
        <v>84</v>
      </c>
      <c r="L25" s="381" t="s">
        <v>84</v>
      </c>
      <c r="M25" s="379"/>
    </row>
    <row r="26" spans="3:13" ht="15.75" thickBot="1" x14ac:dyDescent="0.3">
      <c r="C26" s="382" t="s">
        <v>103</v>
      </c>
      <c r="D26" s="383">
        <v>4.5999999999999996</v>
      </c>
      <c r="E26" s="384">
        <v>4.5999999999999996</v>
      </c>
      <c r="F26" s="384">
        <v>4.5999999999999996</v>
      </c>
      <c r="G26" s="383">
        <v>4</v>
      </c>
      <c r="H26" s="383">
        <v>4</v>
      </c>
      <c r="I26" s="383"/>
      <c r="J26" s="383"/>
      <c r="K26" s="383"/>
      <c r="L26" s="383"/>
      <c r="M26" s="379"/>
    </row>
    <row r="27" spans="3:13" ht="15.75" thickBot="1" x14ac:dyDescent="0.3">
      <c r="C27" s="382" t="s">
        <v>136</v>
      </c>
      <c r="D27" s="383">
        <v>4.5999999999999996</v>
      </c>
      <c r="E27" s="384">
        <v>4.5999999999999996</v>
      </c>
      <c r="F27" s="384" t="s">
        <v>2207</v>
      </c>
      <c r="G27" s="383">
        <v>4</v>
      </c>
      <c r="H27" s="383">
        <v>4</v>
      </c>
      <c r="I27" s="383"/>
      <c r="J27" s="383"/>
      <c r="K27" s="383"/>
      <c r="L27" s="383"/>
      <c r="M27" s="379"/>
    </row>
    <row r="28" spans="3:13" ht="15.75" thickBot="1" x14ac:dyDescent="0.3">
      <c r="C28" s="382" t="s">
        <v>115</v>
      </c>
      <c r="D28" s="385">
        <v>4.7</v>
      </c>
      <c r="E28" s="385">
        <v>4.7</v>
      </c>
      <c r="F28" s="385">
        <v>4.7</v>
      </c>
      <c r="G28" s="385">
        <v>4</v>
      </c>
      <c r="H28" s="385">
        <v>4</v>
      </c>
      <c r="I28" s="383"/>
      <c r="J28" s="383"/>
      <c r="K28" s="383"/>
      <c r="L28" s="383"/>
      <c r="M28" s="379"/>
    </row>
    <row r="29" spans="3:13" ht="15.75" thickBot="1" x14ac:dyDescent="0.3">
      <c r="C29" s="382" t="s">
        <v>2208</v>
      </c>
      <c r="D29" s="383">
        <v>4.0999999999999996</v>
      </c>
      <c r="E29" s="384" t="s">
        <v>2209</v>
      </c>
      <c r="F29" s="384">
        <v>4.0999999999999996</v>
      </c>
      <c r="G29" s="386">
        <v>3</v>
      </c>
      <c r="H29" s="383">
        <v>3</v>
      </c>
      <c r="I29" s="383"/>
      <c r="J29" s="383"/>
      <c r="K29" s="383"/>
      <c r="L29" s="383"/>
      <c r="M29" s="379"/>
    </row>
    <row r="30" spans="3:13" ht="15.75" thickBot="1" x14ac:dyDescent="0.3">
      <c r="C30" s="382" t="s">
        <v>160</v>
      </c>
      <c r="D30" s="383">
        <v>3.5</v>
      </c>
      <c r="E30" s="387" t="s">
        <v>2210</v>
      </c>
      <c r="F30" s="384">
        <v>3.5</v>
      </c>
      <c r="G30" s="383"/>
      <c r="H30" s="383"/>
      <c r="I30" s="383"/>
      <c r="J30" s="383"/>
      <c r="K30" s="383"/>
      <c r="L30" s="383"/>
      <c r="M30" s="379"/>
    </row>
    <row r="31" spans="3:13" ht="15.75" thickBot="1" x14ac:dyDescent="0.3">
      <c r="C31" s="382" t="s">
        <v>348</v>
      </c>
      <c r="D31" s="388">
        <v>4.5999999999999996</v>
      </c>
      <c r="E31" s="389">
        <v>4.5999999999999996</v>
      </c>
      <c r="F31" s="383">
        <v>4.5999999999999996</v>
      </c>
      <c r="G31" s="384">
        <v>4</v>
      </c>
      <c r="H31" s="383">
        <v>4</v>
      </c>
      <c r="I31" s="383"/>
      <c r="J31" s="383"/>
      <c r="K31" s="383"/>
      <c r="L31" s="383"/>
      <c r="M31" s="379"/>
    </row>
    <row r="32" spans="3:13" ht="15.75" thickBot="1" x14ac:dyDescent="0.3">
      <c r="C32" s="382" t="s">
        <v>2211</v>
      </c>
      <c r="D32" s="388">
        <v>4.5999999999999996</v>
      </c>
      <c r="E32" s="382">
        <v>4.5999999999999996</v>
      </c>
      <c r="F32" s="383">
        <v>4.5999999999999996</v>
      </c>
      <c r="G32" s="384">
        <v>4</v>
      </c>
      <c r="H32" s="383">
        <v>4</v>
      </c>
      <c r="I32" s="383"/>
      <c r="J32" s="383"/>
      <c r="K32" s="383"/>
      <c r="L32" s="383"/>
      <c r="M32" s="379"/>
    </row>
    <row r="33" spans="3:13" ht="15.75" thickBot="1" x14ac:dyDescent="0.3">
      <c r="C33" s="382" t="s">
        <v>280</v>
      </c>
      <c r="D33" s="383">
        <v>4</v>
      </c>
      <c r="E33" s="384">
        <v>4.0999999999999996</v>
      </c>
      <c r="F33" s="384">
        <v>4.0999999999999996</v>
      </c>
      <c r="G33" s="384">
        <v>4</v>
      </c>
      <c r="H33" s="384">
        <v>4</v>
      </c>
      <c r="I33" s="385">
        <v>2.1</v>
      </c>
      <c r="J33" s="385">
        <v>2.5</v>
      </c>
      <c r="K33" s="384">
        <v>2</v>
      </c>
      <c r="L33" s="384"/>
      <c r="M33" s="379"/>
    </row>
    <row r="34" spans="3:13" ht="15.75" thickBot="1" x14ac:dyDescent="0.3">
      <c r="C34" s="382" t="s">
        <v>139</v>
      </c>
      <c r="D34" s="384">
        <v>3</v>
      </c>
      <c r="E34" s="384">
        <v>3</v>
      </c>
      <c r="F34" s="384">
        <v>3</v>
      </c>
      <c r="G34" s="384">
        <v>2.4</v>
      </c>
      <c r="H34" s="384">
        <v>2.4</v>
      </c>
      <c r="I34" s="384"/>
      <c r="J34" s="384"/>
      <c r="K34" s="384">
        <v>1</v>
      </c>
      <c r="L34" s="384"/>
      <c r="M34" s="379"/>
    </row>
    <row r="35" spans="3:13" ht="15.75" thickBot="1" x14ac:dyDescent="0.3">
      <c r="C35" s="382" t="s">
        <v>43</v>
      </c>
      <c r="D35" s="384">
        <v>4</v>
      </c>
      <c r="E35" s="384">
        <v>4</v>
      </c>
      <c r="F35" s="384">
        <v>4</v>
      </c>
      <c r="G35" s="384">
        <v>2.4</v>
      </c>
      <c r="H35" s="384">
        <v>2.5</v>
      </c>
      <c r="I35" s="384"/>
      <c r="J35" s="384"/>
      <c r="K35" s="384">
        <v>1</v>
      </c>
      <c r="L35" s="384"/>
      <c r="M35" s="379"/>
    </row>
    <row r="36" spans="3:13" ht="15.75" thickBot="1" x14ac:dyDescent="0.3">
      <c r="C36" s="390" t="s">
        <v>316</v>
      </c>
      <c r="D36" s="387">
        <v>4.5999999999999996</v>
      </c>
      <c r="E36" s="387">
        <v>2.1</v>
      </c>
      <c r="F36" s="387">
        <v>2.1</v>
      </c>
      <c r="G36" s="387">
        <v>4</v>
      </c>
      <c r="H36" s="387">
        <v>4</v>
      </c>
      <c r="I36" s="387"/>
      <c r="J36" s="387"/>
      <c r="K36" s="391">
        <v>2.1</v>
      </c>
      <c r="L36" s="391">
        <v>1</v>
      </c>
      <c r="M36" s="379"/>
    </row>
    <row r="37" spans="3:13" ht="15.75" thickBot="1" x14ac:dyDescent="0.3">
      <c r="C37" s="392" t="s">
        <v>312</v>
      </c>
      <c r="D37" s="393">
        <v>4.0999999999999996</v>
      </c>
      <c r="E37" s="393">
        <v>4.5</v>
      </c>
      <c r="F37" s="393">
        <v>4.5</v>
      </c>
      <c r="G37" s="394">
        <v>3.1</v>
      </c>
      <c r="H37" s="393">
        <v>3.1</v>
      </c>
      <c r="I37" s="393"/>
      <c r="J37" s="393"/>
      <c r="K37" s="393">
        <v>1</v>
      </c>
      <c r="L37" s="393"/>
      <c r="M37" s="379"/>
    </row>
    <row r="38" spans="3:13" ht="15.75" thickBot="1" x14ac:dyDescent="0.3">
      <c r="C38" s="395" t="s">
        <v>2212</v>
      </c>
      <c r="D38" s="384">
        <v>4</v>
      </c>
      <c r="E38" s="384">
        <v>4</v>
      </c>
      <c r="F38" s="384">
        <v>4</v>
      </c>
      <c r="G38" s="394">
        <v>2.4</v>
      </c>
      <c r="H38" s="384">
        <v>2.4</v>
      </c>
      <c r="I38" s="384"/>
      <c r="J38" s="384"/>
      <c r="K38" s="384"/>
      <c r="L38" s="384"/>
      <c r="M38" s="379"/>
    </row>
    <row r="39" spans="3:13" ht="15.75" thickBot="1" x14ac:dyDescent="0.3">
      <c r="C39" s="395" t="s">
        <v>2213</v>
      </c>
      <c r="D39" s="384">
        <v>4.5999999999999996</v>
      </c>
      <c r="E39" s="384">
        <v>4.5999999999999996</v>
      </c>
      <c r="F39" s="384">
        <v>2.5</v>
      </c>
      <c r="G39" s="394">
        <v>4</v>
      </c>
      <c r="H39" s="384">
        <v>4</v>
      </c>
      <c r="I39" s="387">
        <v>2</v>
      </c>
      <c r="J39" s="384"/>
      <c r="K39" s="384">
        <v>2.1</v>
      </c>
      <c r="L39" s="384"/>
      <c r="M39" s="379"/>
    </row>
    <row r="40" spans="3:13" ht="15.75" thickBot="1" x14ac:dyDescent="0.3">
      <c r="C40" s="395" t="s">
        <v>2214</v>
      </c>
      <c r="D40" s="384"/>
      <c r="E40" s="384"/>
      <c r="F40" s="384"/>
      <c r="G40" s="393"/>
      <c r="H40" s="384"/>
      <c r="I40" s="393">
        <v>2</v>
      </c>
      <c r="J40" s="384"/>
      <c r="K40" s="384"/>
      <c r="L40" s="384"/>
      <c r="M40" s="379"/>
    </row>
  </sheetData>
  <mergeCells count="20">
    <mergeCell ref="D16:E16"/>
    <mergeCell ref="D17:E17"/>
    <mergeCell ref="G17:I17"/>
    <mergeCell ref="G16:I16"/>
    <mergeCell ref="J16:L16"/>
    <mergeCell ref="J17:L17"/>
    <mergeCell ref="H11:I11"/>
    <mergeCell ref="C8:K8"/>
    <mergeCell ref="D9:E9"/>
    <mergeCell ref="G9:H9"/>
    <mergeCell ref="J9:K9"/>
    <mergeCell ref="D10:E10"/>
    <mergeCell ref="G10:I10"/>
    <mergeCell ref="J10:K10"/>
    <mergeCell ref="L23:L24"/>
    <mergeCell ref="C23:C25"/>
    <mergeCell ref="D23:F24"/>
    <mergeCell ref="G23:H24"/>
    <mergeCell ref="I23:J24"/>
    <mergeCell ref="K23:K24"/>
  </mergeCells>
  <conditionalFormatting sqref="E11:E12 J11 H11 C10:D12 C8:C9">
    <cfRule type="cellIs" dxfId="373" priority="398" operator="equal">
      <formula>3</formula>
    </cfRule>
    <cfRule type="cellIs" dxfId="372" priority="399" operator="equal">
      <formula>2</formula>
    </cfRule>
    <cfRule type="cellIs" dxfId="371" priority="400" operator="equal">
      <formula>1</formula>
    </cfRule>
  </conditionalFormatting>
  <conditionalFormatting sqref="C11:E12 J11 H11 C10:D10 C8:C9">
    <cfRule type="cellIs" dxfId="370" priority="396" operator="equal">
      <formula>2</formula>
    </cfRule>
    <cfRule type="cellIs" dxfId="369" priority="397" operator="equal">
      <formula>1</formula>
    </cfRule>
  </conditionalFormatting>
  <conditionalFormatting sqref="E11:E12 J11 H11 C10:D12 C8:C9 I9 G9">
    <cfRule type="cellIs" dxfId="368" priority="394" operator="equal">
      <formula>2</formula>
    </cfRule>
    <cfRule type="cellIs" dxfId="367" priority="395" operator="equal">
      <formula>1</formula>
    </cfRule>
  </conditionalFormatting>
  <conditionalFormatting sqref="C12:E12">
    <cfRule type="cellIs" dxfId="366" priority="392" operator="equal">
      <formula>2</formula>
    </cfRule>
    <cfRule type="cellIs" dxfId="365" priority="393" operator="equal">
      <formula>1</formula>
    </cfRule>
  </conditionalFormatting>
  <conditionalFormatting sqref="C12:E12">
    <cfRule type="cellIs" dxfId="364" priority="390" operator="equal">
      <formula>2</formula>
    </cfRule>
    <cfRule type="cellIs" dxfId="363" priority="391" operator="equal">
      <formula>1</formula>
    </cfRule>
  </conditionalFormatting>
  <conditionalFormatting sqref="C12:E12">
    <cfRule type="cellIs" dxfId="362" priority="388" operator="equal">
      <formula>2</formula>
    </cfRule>
    <cfRule type="cellIs" dxfId="361" priority="389" operator="equal">
      <formula>1</formula>
    </cfRule>
  </conditionalFormatting>
  <conditionalFormatting sqref="C12:E12 I9 G9">
    <cfRule type="cellIs" dxfId="360" priority="385" operator="equal">
      <formula>3</formula>
    </cfRule>
    <cfRule type="cellIs" dxfId="359" priority="386" operator="equal">
      <formula>2</formula>
    </cfRule>
    <cfRule type="cellIs" dxfId="358" priority="387" operator="equal">
      <formula>1</formula>
    </cfRule>
  </conditionalFormatting>
  <conditionalFormatting sqref="E11">
    <cfRule type="cellIs" dxfId="357" priority="383" operator="equal">
      <formula>2</formula>
    </cfRule>
    <cfRule type="cellIs" dxfId="356" priority="384" operator="equal">
      <formula>1</formula>
    </cfRule>
  </conditionalFormatting>
  <conditionalFormatting sqref="E11">
    <cfRule type="cellIs" dxfId="355" priority="381" operator="equal">
      <formula>2</formula>
    </cfRule>
    <cfRule type="cellIs" dxfId="354" priority="382" operator="equal">
      <formula>1</formula>
    </cfRule>
  </conditionalFormatting>
  <conditionalFormatting sqref="E11">
    <cfRule type="cellIs" dxfId="353" priority="379" operator="equal">
      <formula>2</formula>
    </cfRule>
    <cfRule type="cellIs" dxfId="352" priority="380" operator="equal">
      <formula>1</formula>
    </cfRule>
  </conditionalFormatting>
  <conditionalFormatting sqref="E11">
    <cfRule type="cellIs" dxfId="351" priority="376" operator="equal">
      <formula>3</formula>
    </cfRule>
    <cfRule type="cellIs" dxfId="350" priority="377" operator="equal">
      <formula>2</formula>
    </cfRule>
    <cfRule type="cellIs" dxfId="349" priority="378" operator="equal">
      <formula>1</formula>
    </cfRule>
  </conditionalFormatting>
  <conditionalFormatting sqref="F10:F11">
    <cfRule type="cellIs" dxfId="348" priority="374" operator="equal">
      <formula>2</formula>
    </cfRule>
    <cfRule type="cellIs" dxfId="347" priority="375" operator="equal">
      <formula>1</formula>
    </cfRule>
  </conditionalFormatting>
  <conditionalFormatting sqref="F10:F11">
    <cfRule type="cellIs" dxfId="346" priority="371" operator="equal">
      <formula>3</formula>
    </cfRule>
    <cfRule type="cellIs" dxfId="345" priority="372" operator="equal">
      <formula>2</formula>
    </cfRule>
    <cfRule type="cellIs" dxfId="344" priority="373" operator="equal">
      <formula>1</formula>
    </cfRule>
  </conditionalFormatting>
  <conditionalFormatting sqref="G10:H10">
    <cfRule type="cellIs" dxfId="343" priority="369" operator="equal">
      <formula>2</formula>
    </cfRule>
    <cfRule type="cellIs" dxfId="342" priority="370" operator="equal">
      <formula>1</formula>
    </cfRule>
  </conditionalFormatting>
  <conditionalFormatting sqref="G10:H10">
    <cfRule type="cellIs" dxfId="341" priority="366" operator="equal">
      <formula>3</formula>
    </cfRule>
    <cfRule type="cellIs" dxfId="340" priority="367" operator="equal">
      <formula>2</formula>
    </cfRule>
    <cfRule type="cellIs" dxfId="339" priority="368" operator="equal">
      <formula>1</formula>
    </cfRule>
  </conditionalFormatting>
  <conditionalFormatting sqref="J10">
    <cfRule type="cellIs" dxfId="338" priority="364" operator="equal">
      <formula>2</formula>
    </cfRule>
    <cfRule type="cellIs" dxfId="337" priority="365" operator="equal">
      <formula>1</formula>
    </cfRule>
  </conditionalFormatting>
  <conditionalFormatting sqref="J10">
    <cfRule type="cellIs" dxfId="336" priority="361" operator="equal">
      <formula>3</formula>
    </cfRule>
    <cfRule type="cellIs" dxfId="335" priority="362" operator="equal">
      <formula>2</formula>
    </cfRule>
    <cfRule type="cellIs" dxfId="334" priority="363" operator="equal">
      <formula>1</formula>
    </cfRule>
  </conditionalFormatting>
  <conditionalFormatting sqref="D10">
    <cfRule type="cellIs" dxfId="333" priority="359" operator="equal">
      <formula>2</formula>
    </cfRule>
    <cfRule type="cellIs" dxfId="332" priority="360" operator="equal">
      <formula>1</formula>
    </cfRule>
  </conditionalFormatting>
  <conditionalFormatting sqref="D10">
    <cfRule type="cellIs" dxfId="331" priority="357" operator="equal">
      <formula>2</formula>
    </cfRule>
    <cfRule type="cellIs" dxfId="330" priority="358" operator="equal">
      <formula>1</formula>
    </cfRule>
  </conditionalFormatting>
  <conditionalFormatting sqref="D10">
    <cfRule type="cellIs" dxfId="329" priority="355" operator="equal">
      <formula>2</formula>
    </cfRule>
    <cfRule type="cellIs" dxfId="328" priority="356" operator="equal">
      <formula>1</formula>
    </cfRule>
  </conditionalFormatting>
  <conditionalFormatting sqref="D10">
    <cfRule type="cellIs" dxfId="327" priority="352" operator="equal">
      <formula>3</formula>
    </cfRule>
    <cfRule type="cellIs" dxfId="326" priority="353" operator="equal">
      <formula>2</formula>
    </cfRule>
    <cfRule type="cellIs" dxfId="325" priority="354" operator="equal">
      <formula>1</formula>
    </cfRule>
  </conditionalFormatting>
  <conditionalFormatting sqref="J11">
    <cfRule type="cellIs" dxfId="324" priority="343" operator="equal">
      <formula>3</formula>
    </cfRule>
    <cfRule type="cellIs" dxfId="323" priority="344" operator="equal">
      <formula>2</formula>
    </cfRule>
    <cfRule type="cellIs" dxfId="322" priority="345" operator="equal">
      <formula>1</formula>
    </cfRule>
  </conditionalFormatting>
  <conditionalFormatting sqref="J11">
    <cfRule type="cellIs" dxfId="321" priority="350" operator="equal">
      <formula>2</formula>
    </cfRule>
    <cfRule type="cellIs" dxfId="320" priority="351" operator="equal">
      <formula>1</formula>
    </cfRule>
  </conditionalFormatting>
  <conditionalFormatting sqref="J11">
    <cfRule type="cellIs" dxfId="319" priority="348" operator="equal">
      <formula>2</formula>
    </cfRule>
    <cfRule type="cellIs" dxfId="318" priority="349" operator="equal">
      <formula>1</formula>
    </cfRule>
  </conditionalFormatting>
  <conditionalFormatting sqref="J11">
    <cfRule type="cellIs" dxfId="317" priority="346" operator="equal">
      <formula>2</formula>
    </cfRule>
    <cfRule type="cellIs" dxfId="316" priority="347" operator="equal">
      <formula>1</formula>
    </cfRule>
  </conditionalFormatting>
  <conditionalFormatting sqref="H12">
    <cfRule type="cellIs" dxfId="315" priority="318" operator="equal">
      <formula>3</formula>
    </cfRule>
    <cfRule type="cellIs" dxfId="314" priority="319" operator="equal">
      <formula>2</formula>
    </cfRule>
    <cfRule type="cellIs" dxfId="313" priority="320" operator="equal">
      <formula>1</formula>
    </cfRule>
  </conditionalFormatting>
  <conditionalFormatting sqref="H11">
    <cfRule type="cellIs" dxfId="312" priority="334" operator="equal">
      <formula>3</formula>
    </cfRule>
    <cfRule type="cellIs" dxfId="311" priority="335" operator="equal">
      <formula>2</formula>
    </cfRule>
    <cfRule type="cellIs" dxfId="310" priority="336" operator="equal">
      <formula>1</formula>
    </cfRule>
  </conditionalFormatting>
  <conditionalFormatting sqref="H11">
    <cfRule type="cellIs" dxfId="309" priority="341" operator="equal">
      <formula>2</formula>
    </cfRule>
    <cfRule type="cellIs" dxfId="308" priority="342" operator="equal">
      <formula>1</formula>
    </cfRule>
  </conditionalFormatting>
  <conditionalFormatting sqref="H11">
    <cfRule type="cellIs" dxfId="307" priority="339" operator="equal">
      <formula>2</formula>
    </cfRule>
    <cfRule type="cellIs" dxfId="306" priority="340" operator="equal">
      <formula>1</formula>
    </cfRule>
  </conditionalFormatting>
  <conditionalFormatting sqref="H11">
    <cfRule type="cellIs" dxfId="305" priority="337" operator="equal">
      <formula>2</formula>
    </cfRule>
    <cfRule type="cellIs" dxfId="304" priority="338" operator="equal">
      <formula>1</formula>
    </cfRule>
  </conditionalFormatting>
  <conditionalFormatting sqref="H12">
    <cfRule type="cellIs" dxfId="303" priority="331" operator="equal">
      <formula>3</formula>
    </cfRule>
    <cfRule type="cellIs" dxfId="302" priority="332" operator="equal">
      <formula>2</formula>
    </cfRule>
    <cfRule type="cellIs" dxfId="301" priority="333" operator="equal">
      <formula>1</formula>
    </cfRule>
  </conditionalFormatting>
  <conditionalFormatting sqref="H12">
    <cfRule type="cellIs" dxfId="300" priority="329" operator="equal">
      <formula>2</formula>
    </cfRule>
    <cfRule type="cellIs" dxfId="299" priority="330" operator="equal">
      <formula>1</formula>
    </cfRule>
  </conditionalFormatting>
  <conditionalFormatting sqref="H12">
    <cfRule type="cellIs" dxfId="298" priority="327" operator="equal">
      <formula>2</formula>
    </cfRule>
    <cfRule type="cellIs" dxfId="297" priority="328" operator="equal">
      <formula>1</formula>
    </cfRule>
  </conditionalFormatting>
  <conditionalFormatting sqref="H12">
    <cfRule type="cellIs" dxfId="296" priority="325" operator="equal">
      <formula>2</formula>
    </cfRule>
    <cfRule type="cellIs" dxfId="295" priority="326" operator="equal">
      <formula>1</formula>
    </cfRule>
  </conditionalFormatting>
  <conditionalFormatting sqref="H12">
    <cfRule type="cellIs" dxfId="294" priority="323" operator="equal">
      <formula>2</formula>
    </cfRule>
    <cfRule type="cellIs" dxfId="293" priority="324" operator="equal">
      <formula>1</formula>
    </cfRule>
  </conditionalFormatting>
  <conditionalFormatting sqref="H12">
    <cfRule type="cellIs" dxfId="292" priority="321" operator="equal">
      <formula>2</formula>
    </cfRule>
    <cfRule type="cellIs" dxfId="291" priority="322" operator="equal">
      <formula>1</formula>
    </cfRule>
  </conditionalFormatting>
  <conditionalFormatting sqref="K11">
    <cfRule type="cellIs" dxfId="290" priority="315" operator="equal">
      <formula>3</formula>
    </cfRule>
    <cfRule type="cellIs" dxfId="289" priority="316" operator="equal">
      <formula>2</formula>
    </cfRule>
    <cfRule type="cellIs" dxfId="288" priority="317" operator="equal">
      <formula>1</formula>
    </cfRule>
  </conditionalFormatting>
  <conditionalFormatting sqref="K11">
    <cfRule type="cellIs" dxfId="287" priority="313" operator="equal">
      <formula>2</formula>
    </cfRule>
    <cfRule type="cellIs" dxfId="286" priority="314" operator="equal">
      <formula>1</formula>
    </cfRule>
  </conditionalFormatting>
  <conditionalFormatting sqref="K11">
    <cfRule type="cellIs" dxfId="285" priority="311" operator="equal">
      <formula>2</formula>
    </cfRule>
    <cfRule type="cellIs" dxfId="284" priority="312" operator="equal">
      <formula>1</formula>
    </cfRule>
  </conditionalFormatting>
  <conditionalFormatting sqref="K11">
    <cfRule type="cellIs" dxfId="283" priority="302" operator="equal">
      <formula>3</formula>
    </cfRule>
    <cfRule type="cellIs" dxfId="282" priority="303" operator="equal">
      <formula>2</formula>
    </cfRule>
    <cfRule type="cellIs" dxfId="281" priority="304" operator="equal">
      <formula>1</formula>
    </cfRule>
  </conditionalFormatting>
  <conditionalFormatting sqref="K11">
    <cfRule type="cellIs" dxfId="280" priority="309" operator="equal">
      <formula>2</formula>
    </cfRule>
    <cfRule type="cellIs" dxfId="279" priority="310" operator="equal">
      <formula>1</formula>
    </cfRule>
  </conditionalFormatting>
  <conditionalFormatting sqref="K11">
    <cfRule type="cellIs" dxfId="278" priority="307" operator="equal">
      <formula>2</formula>
    </cfRule>
    <cfRule type="cellIs" dxfId="277" priority="308" operator="equal">
      <formula>1</formula>
    </cfRule>
  </conditionalFormatting>
  <conditionalFormatting sqref="K11">
    <cfRule type="cellIs" dxfId="276" priority="305" operator="equal">
      <formula>2</formula>
    </cfRule>
    <cfRule type="cellIs" dxfId="275" priority="306" operator="equal">
      <formula>1</formula>
    </cfRule>
  </conditionalFormatting>
  <conditionalFormatting sqref="K12">
    <cfRule type="cellIs" dxfId="274" priority="293" operator="equal">
      <formula>2</formula>
    </cfRule>
    <cfRule type="cellIs" dxfId="273" priority="294" operator="equal">
      <formula>1</formula>
    </cfRule>
  </conditionalFormatting>
  <conditionalFormatting sqref="K12">
    <cfRule type="cellIs" dxfId="272" priority="291" operator="equal">
      <formula>2</formula>
    </cfRule>
    <cfRule type="cellIs" dxfId="271" priority="292" operator="equal">
      <formula>1</formula>
    </cfRule>
  </conditionalFormatting>
  <conditionalFormatting sqref="K12">
    <cfRule type="cellIs" dxfId="270" priority="299" operator="equal">
      <formula>3</formula>
    </cfRule>
    <cfRule type="cellIs" dxfId="269" priority="300" operator="equal">
      <formula>2</formula>
    </cfRule>
    <cfRule type="cellIs" dxfId="268" priority="301" operator="equal">
      <formula>1</formula>
    </cfRule>
  </conditionalFormatting>
  <conditionalFormatting sqref="K12">
    <cfRule type="cellIs" dxfId="267" priority="297" operator="equal">
      <formula>2</formula>
    </cfRule>
    <cfRule type="cellIs" dxfId="266" priority="298" operator="equal">
      <formula>1</formula>
    </cfRule>
  </conditionalFormatting>
  <conditionalFormatting sqref="K12">
    <cfRule type="cellIs" dxfId="265" priority="295" operator="equal">
      <formula>2</formula>
    </cfRule>
    <cfRule type="cellIs" dxfId="264" priority="296" operator="equal">
      <formula>1</formula>
    </cfRule>
  </conditionalFormatting>
  <conditionalFormatting sqref="K12">
    <cfRule type="cellIs" dxfId="263" priority="289" operator="equal">
      <formula>2</formula>
    </cfRule>
    <cfRule type="cellIs" dxfId="262" priority="290" operator="equal">
      <formula>1</formula>
    </cfRule>
  </conditionalFormatting>
  <conditionalFormatting sqref="K12">
    <cfRule type="cellIs" dxfId="261" priority="286" operator="equal">
      <formula>3</formula>
    </cfRule>
    <cfRule type="cellIs" dxfId="260" priority="287" operator="equal">
      <formula>2</formula>
    </cfRule>
    <cfRule type="cellIs" dxfId="259" priority="288" operator="equal">
      <formula>1</formula>
    </cfRule>
  </conditionalFormatting>
  <conditionalFormatting sqref="G11:G12">
    <cfRule type="cellIs" dxfId="258" priority="270" operator="equal">
      <formula>3</formula>
    </cfRule>
    <cfRule type="cellIs" dxfId="257" priority="271" operator="equal">
      <formula>2</formula>
    </cfRule>
    <cfRule type="cellIs" dxfId="256" priority="272" operator="equal">
      <formula>1</formula>
    </cfRule>
  </conditionalFormatting>
  <conditionalFormatting sqref="G11:G12">
    <cfRule type="cellIs" dxfId="255" priority="283" operator="equal">
      <formula>3</formula>
    </cfRule>
    <cfRule type="cellIs" dxfId="254" priority="284" operator="equal">
      <formula>2</formula>
    </cfRule>
    <cfRule type="cellIs" dxfId="253" priority="285" operator="equal">
      <formula>1</formula>
    </cfRule>
  </conditionalFormatting>
  <conditionalFormatting sqref="G11:G12">
    <cfRule type="cellIs" dxfId="252" priority="281" operator="equal">
      <formula>2</formula>
    </cfRule>
    <cfRule type="cellIs" dxfId="251" priority="282" operator="equal">
      <formula>1</formula>
    </cfRule>
  </conditionalFormatting>
  <conditionalFormatting sqref="G11:G12">
    <cfRule type="cellIs" dxfId="250" priority="279" operator="equal">
      <formula>2</formula>
    </cfRule>
    <cfRule type="cellIs" dxfId="249" priority="280" operator="equal">
      <formula>1</formula>
    </cfRule>
  </conditionalFormatting>
  <conditionalFormatting sqref="G11:G12">
    <cfRule type="cellIs" dxfId="248" priority="277" operator="equal">
      <formula>2</formula>
    </cfRule>
    <cfRule type="cellIs" dxfId="247" priority="278" operator="equal">
      <formula>1</formula>
    </cfRule>
  </conditionalFormatting>
  <conditionalFormatting sqref="G11:G12">
    <cfRule type="cellIs" dxfId="246" priority="275" operator="equal">
      <formula>2</formula>
    </cfRule>
    <cfRule type="cellIs" dxfId="245" priority="276" operator="equal">
      <formula>1</formula>
    </cfRule>
  </conditionalFormatting>
  <conditionalFormatting sqref="G11:G12">
    <cfRule type="cellIs" dxfId="244" priority="273" operator="equal">
      <formula>2</formula>
    </cfRule>
    <cfRule type="cellIs" dxfId="243" priority="274" operator="equal">
      <formula>1</formula>
    </cfRule>
  </conditionalFormatting>
  <conditionalFormatting sqref="D9">
    <cfRule type="cellIs" dxfId="242" priority="267" operator="equal">
      <formula>3</formula>
    </cfRule>
    <cfRule type="cellIs" dxfId="241" priority="268" operator="equal">
      <formula>2</formula>
    </cfRule>
    <cfRule type="cellIs" dxfId="240" priority="269" operator="equal">
      <formula>1</formula>
    </cfRule>
  </conditionalFormatting>
  <conditionalFormatting sqref="D9">
    <cfRule type="cellIs" dxfId="239" priority="265" operator="equal">
      <formula>2</formula>
    </cfRule>
    <cfRule type="cellIs" dxfId="238" priority="266" operator="equal">
      <formula>1</formula>
    </cfRule>
  </conditionalFormatting>
  <conditionalFormatting sqref="D9">
    <cfRule type="cellIs" dxfId="237" priority="263" operator="equal">
      <formula>2</formula>
    </cfRule>
    <cfRule type="cellIs" dxfId="236" priority="264" operator="equal">
      <formula>1</formula>
    </cfRule>
  </conditionalFormatting>
  <conditionalFormatting sqref="D9">
    <cfRule type="cellIs" dxfId="235" priority="261" operator="equal">
      <formula>2</formula>
    </cfRule>
    <cfRule type="cellIs" dxfId="234" priority="262" operator="equal">
      <formula>1</formula>
    </cfRule>
  </conditionalFormatting>
  <conditionalFormatting sqref="D9">
    <cfRule type="cellIs" dxfId="233" priority="259" operator="equal">
      <formula>2</formula>
    </cfRule>
    <cfRule type="cellIs" dxfId="232" priority="260" operator="equal">
      <formula>1</formula>
    </cfRule>
  </conditionalFormatting>
  <conditionalFormatting sqref="D9">
    <cfRule type="cellIs" dxfId="231" priority="257" operator="equal">
      <formula>2</formula>
    </cfRule>
    <cfRule type="cellIs" dxfId="230" priority="258" operator="equal">
      <formula>1</formula>
    </cfRule>
  </conditionalFormatting>
  <conditionalFormatting sqref="D9">
    <cfRule type="cellIs" dxfId="229" priority="254" operator="equal">
      <formula>3</formula>
    </cfRule>
    <cfRule type="cellIs" dxfId="228" priority="255" operator="equal">
      <formula>2</formula>
    </cfRule>
    <cfRule type="cellIs" dxfId="227" priority="256" operator="equal">
      <formula>1</formula>
    </cfRule>
  </conditionalFormatting>
  <conditionalFormatting sqref="F9">
    <cfRule type="cellIs" dxfId="226" priority="252" operator="equal">
      <formula>2</formula>
    </cfRule>
    <cfRule type="cellIs" dxfId="225" priority="253" operator="equal">
      <formula>1</formula>
    </cfRule>
  </conditionalFormatting>
  <conditionalFormatting sqref="F9">
    <cfRule type="cellIs" dxfId="224" priority="249" operator="equal">
      <formula>3</formula>
    </cfRule>
    <cfRule type="cellIs" dxfId="223" priority="250" operator="equal">
      <formula>2</formula>
    </cfRule>
    <cfRule type="cellIs" dxfId="222" priority="251" operator="equal">
      <formula>1</formula>
    </cfRule>
  </conditionalFormatting>
  <conditionalFormatting sqref="E18 H18 C17:D18 C15:C16 C19">
    <cfRule type="cellIs" dxfId="221" priority="246" operator="equal">
      <formula>3</formula>
    </cfRule>
    <cfRule type="cellIs" dxfId="220" priority="247" operator="equal">
      <formula>2</formula>
    </cfRule>
    <cfRule type="cellIs" dxfId="219" priority="248" operator="equal">
      <formula>1</formula>
    </cfRule>
  </conditionalFormatting>
  <conditionalFormatting sqref="C18:E18 H18 C17:D17 C15:C16 C19">
    <cfRule type="cellIs" dxfId="218" priority="244" operator="equal">
      <formula>2</formula>
    </cfRule>
    <cfRule type="cellIs" dxfId="217" priority="245" operator="equal">
      <formula>1</formula>
    </cfRule>
  </conditionalFormatting>
  <conditionalFormatting sqref="E18 H18 C17:D18 C15:C16 G16 C19">
    <cfRule type="cellIs" dxfId="216" priority="242" operator="equal">
      <formula>2</formula>
    </cfRule>
    <cfRule type="cellIs" dxfId="215" priority="243" operator="equal">
      <formula>1</formula>
    </cfRule>
  </conditionalFormatting>
  <conditionalFormatting sqref="C19">
    <cfRule type="cellIs" dxfId="214" priority="240" operator="equal">
      <formula>2</formula>
    </cfRule>
    <cfRule type="cellIs" dxfId="213" priority="241" operator="equal">
      <formula>1</formula>
    </cfRule>
  </conditionalFormatting>
  <conditionalFormatting sqref="C19">
    <cfRule type="cellIs" dxfId="212" priority="238" operator="equal">
      <formula>2</formula>
    </cfRule>
    <cfRule type="cellIs" dxfId="211" priority="239" operator="equal">
      <formula>1</formula>
    </cfRule>
  </conditionalFormatting>
  <conditionalFormatting sqref="C19">
    <cfRule type="cellIs" dxfId="210" priority="236" operator="equal">
      <formula>2</formula>
    </cfRule>
    <cfRule type="cellIs" dxfId="209" priority="237" operator="equal">
      <formula>1</formula>
    </cfRule>
  </conditionalFormatting>
  <conditionalFormatting sqref="C19 G16">
    <cfRule type="cellIs" dxfId="208" priority="233" operator="equal">
      <formula>3</formula>
    </cfRule>
    <cfRule type="cellIs" dxfId="207" priority="234" operator="equal">
      <formula>2</formula>
    </cfRule>
    <cfRule type="cellIs" dxfId="206" priority="235" operator="equal">
      <formula>1</formula>
    </cfRule>
  </conditionalFormatting>
  <conditionalFormatting sqref="E18">
    <cfRule type="cellIs" dxfId="205" priority="231" operator="equal">
      <formula>2</formula>
    </cfRule>
    <cfRule type="cellIs" dxfId="204" priority="232" operator="equal">
      <formula>1</formula>
    </cfRule>
  </conditionalFormatting>
  <conditionalFormatting sqref="E18">
    <cfRule type="cellIs" dxfId="203" priority="229" operator="equal">
      <formula>2</formula>
    </cfRule>
    <cfRule type="cellIs" dxfId="202" priority="230" operator="equal">
      <formula>1</formula>
    </cfRule>
  </conditionalFormatting>
  <conditionalFormatting sqref="E18">
    <cfRule type="cellIs" dxfId="201" priority="227" operator="equal">
      <formula>2</formula>
    </cfRule>
    <cfRule type="cellIs" dxfId="200" priority="228" operator="equal">
      <formula>1</formula>
    </cfRule>
  </conditionalFormatting>
  <conditionalFormatting sqref="E18">
    <cfRule type="cellIs" dxfId="199" priority="224" operator="equal">
      <formula>3</formula>
    </cfRule>
    <cfRule type="cellIs" dxfId="198" priority="225" operator="equal">
      <formula>2</formula>
    </cfRule>
    <cfRule type="cellIs" dxfId="197" priority="226" operator="equal">
      <formula>1</formula>
    </cfRule>
  </conditionalFormatting>
  <conditionalFormatting sqref="F17">
    <cfRule type="cellIs" dxfId="196" priority="222" operator="equal">
      <formula>2</formula>
    </cfRule>
    <cfRule type="cellIs" dxfId="195" priority="223" operator="equal">
      <formula>1</formula>
    </cfRule>
  </conditionalFormatting>
  <conditionalFormatting sqref="F17">
    <cfRule type="cellIs" dxfId="194" priority="219" operator="equal">
      <formula>3</formula>
    </cfRule>
    <cfRule type="cellIs" dxfId="193" priority="220" operator="equal">
      <formula>2</formula>
    </cfRule>
    <cfRule type="cellIs" dxfId="192" priority="221" operator="equal">
      <formula>1</formula>
    </cfRule>
  </conditionalFormatting>
  <conditionalFormatting sqref="G17">
    <cfRule type="cellIs" dxfId="191" priority="217" operator="equal">
      <formula>2</formula>
    </cfRule>
    <cfRule type="cellIs" dxfId="190" priority="218" operator="equal">
      <formula>1</formula>
    </cfRule>
  </conditionalFormatting>
  <conditionalFormatting sqref="G17">
    <cfRule type="cellIs" dxfId="189" priority="214" operator="equal">
      <formula>3</formula>
    </cfRule>
    <cfRule type="cellIs" dxfId="188" priority="215" operator="equal">
      <formula>2</formula>
    </cfRule>
    <cfRule type="cellIs" dxfId="187" priority="216" operator="equal">
      <formula>1</formula>
    </cfRule>
  </conditionalFormatting>
  <conditionalFormatting sqref="D17">
    <cfRule type="cellIs" dxfId="186" priority="207" operator="equal">
      <formula>2</formula>
    </cfRule>
    <cfRule type="cellIs" dxfId="185" priority="208" operator="equal">
      <formula>1</formula>
    </cfRule>
  </conditionalFormatting>
  <conditionalFormatting sqref="D17">
    <cfRule type="cellIs" dxfId="184" priority="205" operator="equal">
      <formula>2</formula>
    </cfRule>
    <cfRule type="cellIs" dxfId="183" priority="206" operator="equal">
      <formula>1</formula>
    </cfRule>
  </conditionalFormatting>
  <conditionalFormatting sqref="D17">
    <cfRule type="cellIs" dxfId="182" priority="203" operator="equal">
      <formula>2</formula>
    </cfRule>
    <cfRule type="cellIs" dxfId="181" priority="204" operator="equal">
      <formula>1</formula>
    </cfRule>
  </conditionalFormatting>
  <conditionalFormatting sqref="D17">
    <cfRule type="cellIs" dxfId="180" priority="200" operator="equal">
      <formula>3</formula>
    </cfRule>
    <cfRule type="cellIs" dxfId="179" priority="201" operator="equal">
      <formula>2</formula>
    </cfRule>
    <cfRule type="cellIs" dxfId="178" priority="202" operator="equal">
      <formula>1</formula>
    </cfRule>
  </conditionalFormatting>
  <conditionalFormatting sqref="H19">
    <cfRule type="cellIs" dxfId="177" priority="166" operator="equal">
      <formula>3</formula>
    </cfRule>
    <cfRule type="cellIs" dxfId="176" priority="167" operator="equal">
      <formula>2</formula>
    </cfRule>
    <cfRule type="cellIs" dxfId="175" priority="168" operator="equal">
      <formula>1</formula>
    </cfRule>
  </conditionalFormatting>
  <conditionalFormatting sqref="H18">
    <cfRule type="cellIs" dxfId="174" priority="182" operator="equal">
      <formula>3</formula>
    </cfRule>
    <cfRule type="cellIs" dxfId="173" priority="183" operator="equal">
      <formula>2</formula>
    </cfRule>
    <cfRule type="cellIs" dxfId="172" priority="184" operator="equal">
      <formula>1</formula>
    </cfRule>
  </conditionalFormatting>
  <conditionalFormatting sqref="H18">
    <cfRule type="cellIs" dxfId="171" priority="189" operator="equal">
      <formula>2</formula>
    </cfRule>
    <cfRule type="cellIs" dxfId="170" priority="190" operator="equal">
      <formula>1</formula>
    </cfRule>
  </conditionalFormatting>
  <conditionalFormatting sqref="H18">
    <cfRule type="cellIs" dxfId="169" priority="187" operator="equal">
      <formula>2</formula>
    </cfRule>
    <cfRule type="cellIs" dxfId="168" priority="188" operator="equal">
      <formula>1</formula>
    </cfRule>
  </conditionalFormatting>
  <conditionalFormatting sqref="H18">
    <cfRule type="cellIs" dxfId="167" priority="185" operator="equal">
      <formula>2</formula>
    </cfRule>
    <cfRule type="cellIs" dxfId="166" priority="186" operator="equal">
      <formula>1</formula>
    </cfRule>
  </conditionalFormatting>
  <conditionalFormatting sqref="H19">
    <cfRule type="cellIs" dxfId="165" priority="179" operator="equal">
      <formula>3</formula>
    </cfRule>
    <cfRule type="cellIs" dxfId="164" priority="180" operator="equal">
      <formula>2</formula>
    </cfRule>
    <cfRule type="cellIs" dxfId="163" priority="181" operator="equal">
      <formula>1</formula>
    </cfRule>
  </conditionalFormatting>
  <conditionalFormatting sqref="H19">
    <cfRule type="cellIs" dxfId="162" priority="177" operator="equal">
      <formula>2</formula>
    </cfRule>
    <cfRule type="cellIs" dxfId="161" priority="178" operator="equal">
      <formula>1</formula>
    </cfRule>
  </conditionalFormatting>
  <conditionalFormatting sqref="H19">
    <cfRule type="cellIs" dxfId="160" priority="175" operator="equal">
      <formula>2</formula>
    </cfRule>
    <cfRule type="cellIs" dxfId="159" priority="176" operator="equal">
      <formula>1</formula>
    </cfRule>
  </conditionalFormatting>
  <conditionalFormatting sqref="H19">
    <cfRule type="cellIs" dxfId="158" priority="173" operator="equal">
      <formula>2</formula>
    </cfRule>
    <cfRule type="cellIs" dxfId="157" priority="174" operator="equal">
      <formula>1</formula>
    </cfRule>
  </conditionalFormatting>
  <conditionalFormatting sqref="H19">
    <cfRule type="cellIs" dxfId="156" priority="171" operator="equal">
      <formula>2</formula>
    </cfRule>
    <cfRule type="cellIs" dxfId="155" priority="172" operator="equal">
      <formula>1</formula>
    </cfRule>
  </conditionalFormatting>
  <conditionalFormatting sqref="H19">
    <cfRule type="cellIs" dxfId="154" priority="169" operator="equal">
      <formula>2</formula>
    </cfRule>
    <cfRule type="cellIs" dxfId="153" priority="170" operator="equal">
      <formula>1</formula>
    </cfRule>
  </conditionalFormatting>
  <conditionalFormatting sqref="G18">
    <cfRule type="cellIs" dxfId="152" priority="118" operator="equal">
      <formula>3</formula>
    </cfRule>
    <cfRule type="cellIs" dxfId="151" priority="119" operator="equal">
      <formula>2</formula>
    </cfRule>
    <cfRule type="cellIs" dxfId="150" priority="120" operator="equal">
      <formula>1</formula>
    </cfRule>
  </conditionalFormatting>
  <conditionalFormatting sqref="G18">
    <cfRule type="cellIs" dxfId="149" priority="131" operator="equal">
      <formula>3</formula>
    </cfRule>
    <cfRule type="cellIs" dxfId="148" priority="132" operator="equal">
      <formula>2</formula>
    </cfRule>
    <cfRule type="cellIs" dxfId="147" priority="133" operator="equal">
      <formula>1</formula>
    </cfRule>
  </conditionalFormatting>
  <conditionalFormatting sqref="G18">
    <cfRule type="cellIs" dxfId="146" priority="129" operator="equal">
      <formula>2</formula>
    </cfRule>
    <cfRule type="cellIs" dxfId="145" priority="130" operator="equal">
      <formula>1</formula>
    </cfRule>
  </conditionalFormatting>
  <conditionalFormatting sqref="G18">
    <cfRule type="cellIs" dxfId="144" priority="127" operator="equal">
      <formula>2</formula>
    </cfRule>
    <cfRule type="cellIs" dxfId="143" priority="128" operator="equal">
      <formula>1</formula>
    </cfRule>
  </conditionalFormatting>
  <conditionalFormatting sqref="G18">
    <cfRule type="cellIs" dxfId="142" priority="125" operator="equal">
      <formula>2</formula>
    </cfRule>
    <cfRule type="cellIs" dxfId="141" priority="126" operator="equal">
      <formula>1</formula>
    </cfRule>
  </conditionalFormatting>
  <conditionalFormatting sqref="G18">
    <cfRule type="cellIs" dxfId="140" priority="123" operator="equal">
      <formula>2</formula>
    </cfRule>
    <cfRule type="cellIs" dxfId="139" priority="124" operator="equal">
      <formula>1</formula>
    </cfRule>
  </conditionalFormatting>
  <conditionalFormatting sqref="G18">
    <cfRule type="cellIs" dxfId="138" priority="121" operator="equal">
      <formula>2</formula>
    </cfRule>
    <cfRule type="cellIs" dxfId="137" priority="122" operator="equal">
      <formula>1</formula>
    </cfRule>
  </conditionalFormatting>
  <conditionalFormatting sqref="D16">
    <cfRule type="cellIs" dxfId="136" priority="115" operator="equal">
      <formula>3</formula>
    </cfRule>
    <cfRule type="cellIs" dxfId="135" priority="116" operator="equal">
      <formula>2</formula>
    </cfRule>
    <cfRule type="cellIs" dxfId="134" priority="117" operator="equal">
      <formula>1</formula>
    </cfRule>
  </conditionalFormatting>
  <conditionalFormatting sqref="D16">
    <cfRule type="cellIs" dxfId="133" priority="113" operator="equal">
      <formula>2</formula>
    </cfRule>
    <cfRule type="cellIs" dxfId="132" priority="114" operator="equal">
      <formula>1</formula>
    </cfRule>
  </conditionalFormatting>
  <conditionalFormatting sqref="D16">
    <cfRule type="cellIs" dxfId="131" priority="111" operator="equal">
      <formula>2</formula>
    </cfRule>
    <cfRule type="cellIs" dxfId="130" priority="112" operator="equal">
      <formula>1</formula>
    </cfRule>
  </conditionalFormatting>
  <conditionalFormatting sqref="D16">
    <cfRule type="cellIs" dxfId="129" priority="109" operator="equal">
      <formula>2</formula>
    </cfRule>
    <cfRule type="cellIs" dxfId="128" priority="110" operator="equal">
      <formula>1</formula>
    </cfRule>
  </conditionalFormatting>
  <conditionalFormatting sqref="D16">
    <cfRule type="cellIs" dxfId="127" priority="107" operator="equal">
      <formula>2</formula>
    </cfRule>
    <cfRule type="cellIs" dxfId="126" priority="108" operator="equal">
      <formula>1</formula>
    </cfRule>
  </conditionalFormatting>
  <conditionalFormatting sqref="D16">
    <cfRule type="cellIs" dxfId="125" priority="105" operator="equal">
      <formula>2</formula>
    </cfRule>
    <cfRule type="cellIs" dxfId="124" priority="106" operator="equal">
      <formula>1</formula>
    </cfRule>
  </conditionalFormatting>
  <conditionalFormatting sqref="D16">
    <cfRule type="cellIs" dxfId="123" priority="102" operator="equal">
      <formula>3</formula>
    </cfRule>
    <cfRule type="cellIs" dxfId="122" priority="103" operator="equal">
      <formula>2</formula>
    </cfRule>
    <cfRule type="cellIs" dxfId="121" priority="104" operator="equal">
      <formula>1</formula>
    </cfRule>
  </conditionalFormatting>
  <conditionalFormatting sqref="F16">
    <cfRule type="cellIs" dxfId="120" priority="100" operator="equal">
      <formula>2</formula>
    </cfRule>
    <cfRule type="cellIs" dxfId="119" priority="101" operator="equal">
      <formula>1</formula>
    </cfRule>
  </conditionalFormatting>
  <conditionalFormatting sqref="F16">
    <cfRule type="cellIs" dxfId="118" priority="97" operator="equal">
      <formula>3</formula>
    </cfRule>
    <cfRule type="cellIs" dxfId="117" priority="98" operator="equal">
      <formula>2</formula>
    </cfRule>
    <cfRule type="cellIs" dxfId="116" priority="99" operator="equal">
      <formula>1</formula>
    </cfRule>
  </conditionalFormatting>
  <conditionalFormatting sqref="E19">
    <cfRule type="cellIs" dxfId="115" priority="94" operator="equal">
      <formula>3</formula>
    </cfRule>
    <cfRule type="cellIs" dxfId="114" priority="95" operator="equal">
      <formula>2</formula>
    </cfRule>
    <cfRule type="cellIs" dxfId="113" priority="96" operator="equal">
      <formula>1</formula>
    </cfRule>
  </conditionalFormatting>
  <conditionalFormatting sqref="E19">
    <cfRule type="cellIs" dxfId="112" priority="92" operator="equal">
      <formula>2</formula>
    </cfRule>
    <cfRule type="cellIs" dxfId="111" priority="93" operator="equal">
      <formula>1</formula>
    </cfRule>
  </conditionalFormatting>
  <conditionalFormatting sqref="E19">
    <cfRule type="cellIs" dxfId="110" priority="90" operator="equal">
      <formula>2</formula>
    </cfRule>
    <cfRule type="cellIs" dxfId="109" priority="91" operator="equal">
      <formula>1</formula>
    </cfRule>
  </conditionalFormatting>
  <conditionalFormatting sqref="E19">
    <cfRule type="cellIs" dxfId="108" priority="88" operator="equal">
      <formula>2</formula>
    </cfRule>
    <cfRule type="cellIs" dxfId="107" priority="89" operator="equal">
      <formula>1</formula>
    </cfRule>
  </conditionalFormatting>
  <conditionalFormatting sqref="E19">
    <cfRule type="cellIs" dxfId="106" priority="86" operator="equal">
      <formula>2</formula>
    </cfRule>
    <cfRule type="cellIs" dxfId="105" priority="87" operator="equal">
      <formula>1</formula>
    </cfRule>
  </conditionalFormatting>
  <conditionalFormatting sqref="E19">
    <cfRule type="cellIs" dxfId="104" priority="84" operator="equal">
      <formula>2</formula>
    </cfRule>
    <cfRule type="cellIs" dxfId="103" priority="85" operator="equal">
      <formula>1</formula>
    </cfRule>
  </conditionalFormatting>
  <conditionalFormatting sqref="E19">
    <cfRule type="cellIs" dxfId="102" priority="81" operator="equal">
      <formula>3</formula>
    </cfRule>
    <cfRule type="cellIs" dxfId="101" priority="82" operator="equal">
      <formula>2</formula>
    </cfRule>
    <cfRule type="cellIs" dxfId="100" priority="83" operator="equal">
      <formula>1</formula>
    </cfRule>
  </conditionalFormatting>
  <conditionalFormatting sqref="D19">
    <cfRule type="cellIs" dxfId="99" priority="78" operator="equal">
      <formula>3</formula>
    </cfRule>
    <cfRule type="cellIs" dxfId="98" priority="79" operator="equal">
      <formula>2</formula>
    </cfRule>
    <cfRule type="cellIs" dxfId="97" priority="80" operator="equal">
      <formula>1</formula>
    </cfRule>
  </conditionalFormatting>
  <conditionalFormatting sqref="D19">
    <cfRule type="cellIs" dxfId="96" priority="76" operator="equal">
      <formula>2</formula>
    </cfRule>
    <cfRule type="cellIs" dxfId="95" priority="77" operator="equal">
      <formula>1</formula>
    </cfRule>
  </conditionalFormatting>
  <conditionalFormatting sqref="D19">
    <cfRule type="cellIs" dxfId="94" priority="74" operator="equal">
      <formula>2</formula>
    </cfRule>
    <cfRule type="cellIs" dxfId="93" priority="75" operator="equal">
      <formula>1</formula>
    </cfRule>
  </conditionalFormatting>
  <conditionalFormatting sqref="D19">
    <cfRule type="cellIs" dxfId="92" priority="72" operator="equal">
      <formula>2</formula>
    </cfRule>
    <cfRule type="cellIs" dxfId="91" priority="73" operator="equal">
      <formula>1</formula>
    </cfRule>
  </conditionalFormatting>
  <conditionalFormatting sqref="D19">
    <cfRule type="cellIs" dxfId="90" priority="70" operator="equal">
      <formula>2</formula>
    </cfRule>
    <cfRule type="cellIs" dxfId="89" priority="71" operator="equal">
      <formula>1</formula>
    </cfRule>
  </conditionalFormatting>
  <conditionalFormatting sqref="D19">
    <cfRule type="cellIs" dxfId="88" priority="68" operator="equal">
      <formula>2</formula>
    </cfRule>
    <cfRule type="cellIs" dxfId="87" priority="69" operator="equal">
      <formula>1</formula>
    </cfRule>
  </conditionalFormatting>
  <conditionalFormatting sqref="D19">
    <cfRule type="cellIs" dxfId="86" priority="65" operator="equal">
      <formula>3</formula>
    </cfRule>
    <cfRule type="cellIs" dxfId="85" priority="66" operator="equal">
      <formula>2</formula>
    </cfRule>
    <cfRule type="cellIs" dxfId="84" priority="67" operator="equal">
      <formula>1</formula>
    </cfRule>
  </conditionalFormatting>
  <conditionalFormatting sqref="F19">
    <cfRule type="cellIs" dxfId="83" priority="62" operator="equal">
      <formula>3</formula>
    </cfRule>
    <cfRule type="cellIs" dxfId="82" priority="63" operator="equal">
      <formula>2</formula>
    </cfRule>
    <cfRule type="cellIs" dxfId="81" priority="64" operator="equal">
      <formula>1</formula>
    </cfRule>
  </conditionalFormatting>
  <conditionalFormatting sqref="F19">
    <cfRule type="cellIs" dxfId="80" priority="60" operator="equal">
      <formula>2</formula>
    </cfRule>
    <cfRule type="cellIs" dxfId="79" priority="61" operator="equal">
      <formula>1</formula>
    </cfRule>
  </conditionalFormatting>
  <conditionalFormatting sqref="F19">
    <cfRule type="cellIs" dxfId="78" priority="58" operator="equal">
      <formula>2</formula>
    </cfRule>
    <cfRule type="cellIs" dxfId="77" priority="59" operator="equal">
      <formula>1</formula>
    </cfRule>
  </conditionalFormatting>
  <conditionalFormatting sqref="F19">
    <cfRule type="cellIs" dxfId="76" priority="56" operator="equal">
      <formula>2</formula>
    </cfRule>
    <cfRule type="cellIs" dxfId="75" priority="57" operator="equal">
      <formula>1</formula>
    </cfRule>
  </conditionalFormatting>
  <conditionalFormatting sqref="F19">
    <cfRule type="cellIs" dxfId="74" priority="54" operator="equal">
      <formula>2</formula>
    </cfRule>
    <cfRule type="cellIs" dxfId="73" priority="55" operator="equal">
      <formula>1</formula>
    </cfRule>
  </conditionalFormatting>
  <conditionalFormatting sqref="F19">
    <cfRule type="cellIs" dxfId="72" priority="52" operator="equal">
      <formula>2</formula>
    </cfRule>
    <cfRule type="cellIs" dxfId="71" priority="53" operator="equal">
      <formula>1</formula>
    </cfRule>
  </conditionalFormatting>
  <conditionalFormatting sqref="F19">
    <cfRule type="cellIs" dxfId="70" priority="49" operator="equal">
      <formula>3</formula>
    </cfRule>
    <cfRule type="cellIs" dxfId="69" priority="50" operator="equal">
      <formula>2</formula>
    </cfRule>
    <cfRule type="cellIs" dxfId="68" priority="51" operator="equal">
      <formula>1</formula>
    </cfRule>
  </conditionalFormatting>
  <conditionalFormatting sqref="G19">
    <cfRule type="cellIs" dxfId="67" priority="17" operator="equal">
      <formula>3</formula>
    </cfRule>
    <cfRule type="cellIs" dxfId="66" priority="18" operator="equal">
      <formula>2</formula>
    </cfRule>
    <cfRule type="cellIs" dxfId="65" priority="19" operator="equal">
      <formula>1</formula>
    </cfRule>
  </conditionalFormatting>
  <conditionalFormatting sqref="G19">
    <cfRule type="cellIs" dxfId="64" priority="30" operator="equal">
      <formula>3</formula>
    </cfRule>
    <cfRule type="cellIs" dxfId="63" priority="31" operator="equal">
      <formula>2</formula>
    </cfRule>
    <cfRule type="cellIs" dxfId="62" priority="32" operator="equal">
      <formula>1</formula>
    </cfRule>
  </conditionalFormatting>
  <conditionalFormatting sqref="G19">
    <cfRule type="cellIs" dxfId="61" priority="28" operator="equal">
      <formula>2</formula>
    </cfRule>
    <cfRule type="cellIs" dxfId="60" priority="29" operator="equal">
      <formula>1</formula>
    </cfRule>
  </conditionalFormatting>
  <conditionalFormatting sqref="G19">
    <cfRule type="cellIs" dxfId="59" priority="26" operator="equal">
      <formula>2</formula>
    </cfRule>
    <cfRule type="cellIs" dxfId="58" priority="27" operator="equal">
      <formula>1</formula>
    </cfRule>
  </conditionalFormatting>
  <conditionalFormatting sqref="G19">
    <cfRule type="cellIs" dxfId="57" priority="24" operator="equal">
      <formula>2</formula>
    </cfRule>
    <cfRule type="cellIs" dxfId="56" priority="25" operator="equal">
      <formula>1</formula>
    </cfRule>
  </conditionalFormatting>
  <conditionalFormatting sqref="G19">
    <cfRule type="cellIs" dxfId="55" priority="22" operator="equal">
      <formula>2</formula>
    </cfRule>
    <cfRule type="cellIs" dxfId="54" priority="23" operator="equal">
      <formula>1</formula>
    </cfRule>
  </conditionalFormatting>
  <conditionalFormatting sqref="G19">
    <cfRule type="cellIs" dxfId="53" priority="20" operator="equal">
      <formula>2</formula>
    </cfRule>
    <cfRule type="cellIs" dxfId="52" priority="21" operator="equal">
      <formula>1</formula>
    </cfRule>
  </conditionalFormatting>
  <conditionalFormatting sqref="F18">
    <cfRule type="cellIs" dxfId="51" priority="1" operator="equal">
      <formula>3</formula>
    </cfRule>
    <cfRule type="cellIs" dxfId="50" priority="2" operator="equal">
      <formula>2</formula>
    </cfRule>
    <cfRule type="cellIs" dxfId="49" priority="3" operator="equal">
      <formula>1</formula>
    </cfRule>
  </conditionalFormatting>
  <conditionalFormatting sqref="F18">
    <cfRule type="cellIs" dxfId="48" priority="14" operator="equal">
      <formula>3</formula>
    </cfRule>
    <cfRule type="cellIs" dxfId="47" priority="15" operator="equal">
      <formula>2</formula>
    </cfRule>
    <cfRule type="cellIs" dxfId="46" priority="16" operator="equal">
      <formula>1</formula>
    </cfRule>
  </conditionalFormatting>
  <conditionalFormatting sqref="F18">
    <cfRule type="cellIs" dxfId="45" priority="12" operator="equal">
      <formula>2</formula>
    </cfRule>
    <cfRule type="cellIs" dxfId="44" priority="13" operator="equal">
      <formula>1</formula>
    </cfRule>
  </conditionalFormatting>
  <conditionalFormatting sqref="F18">
    <cfRule type="cellIs" dxfId="43" priority="10" operator="equal">
      <formula>2</formula>
    </cfRule>
    <cfRule type="cellIs" dxfId="42" priority="11" operator="equal">
      <formula>1</formula>
    </cfRule>
  </conditionalFormatting>
  <conditionalFormatting sqref="F18">
    <cfRule type="cellIs" dxfId="41" priority="8" operator="equal">
      <formula>2</formula>
    </cfRule>
    <cfRule type="cellIs" dxfId="40" priority="9" operator="equal">
      <formula>1</formula>
    </cfRule>
  </conditionalFormatting>
  <conditionalFormatting sqref="F18">
    <cfRule type="cellIs" dxfId="39" priority="6" operator="equal">
      <formula>2</formula>
    </cfRule>
    <cfRule type="cellIs" dxfId="38" priority="7" operator="equal">
      <formula>1</formula>
    </cfRule>
  </conditionalFormatting>
  <conditionalFormatting sqref="F18">
    <cfRule type="cellIs" dxfId="37" priority="4" operator="equal">
      <formula>2</formula>
    </cfRule>
    <cfRule type="cellIs" dxfId="36" priority="5" operator="equal">
      <formula>1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7"/>
  <sheetViews>
    <sheetView tabSelected="1" workbookViewId="0">
      <selection activeCell="I13" sqref="I13"/>
    </sheetView>
  </sheetViews>
  <sheetFormatPr defaultRowHeight="15" x14ac:dyDescent="0.25"/>
  <cols>
    <col min="1" max="1" width="27.42578125" style="62" customWidth="1"/>
    <col min="2" max="2" width="13.140625" style="62" customWidth="1"/>
    <col min="3" max="3" width="14.5703125" style="62" customWidth="1"/>
    <col min="4" max="5" width="13.5703125" style="62" customWidth="1"/>
    <col min="6" max="6" width="13.85546875" style="62" bestFit="1" customWidth="1"/>
    <col min="7" max="7" width="13.140625" style="62" customWidth="1"/>
    <col min="8" max="8" width="17" style="62" customWidth="1"/>
    <col min="9" max="9" width="12.7109375" style="62" customWidth="1"/>
    <col min="10" max="10" width="40.85546875" style="62" customWidth="1"/>
    <col min="11" max="16384" width="9.140625" style="62"/>
  </cols>
  <sheetData>
    <row r="1" spans="1:11" x14ac:dyDescent="0.25">
      <c r="A1" s="512" t="s">
        <v>1</v>
      </c>
      <c r="B1" s="512" t="s">
        <v>1706</v>
      </c>
      <c r="C1" s="513" t="s">
        <v>2644</v>
      </c>
      <c r="D1" s="513" t="s">
        <v>2205</v>
      </c>
      <c r="E1" s="513" t="s">
        <v>1737</v>
      </c>
      <c r="F1" s="513" t="s">
        <v>2692</v>
      </c>
      <c r="G1" s="512" t="s">
        <v>407</v>
      </c>
      <c r="H1" s="512" t="s">
        <v>2693</v>
      </c>
      <c r="I1" s="633" t="s">
        <v>176</v>
      </c>
      <c r="J1" s="633" t="s">
        <v>260</v>
      </c>
      <c r="K1" s="633" t="s">
        <v>146</v>
      </c>
    </row>
    <row r="2" spans="1:11" x14ac:dyDescent="0.25">
      <c r="A2" s="514" t="s">
        <v>316</v>
      </c>
      <c r="B2" s="515">
        <v>4.5999999999999996</v>
      </c>
      <c r="C2" s="515" t="s">
        <v>2694</v>
      </c>
      <c r="D2" s="515">
        <v>3.2</v>
      </c>
      <c r="E2" s="515" t="s">
        <v>2694</v>
      </c>
      <c r="F2" s="515" t="s">
        <v>2694</v>
      </c>
      <c r="G2" s="515" t="s">
        <v>430</v>
      </c>
      <c r="H2" s="515">
        <v>1</v>
      </c>
      <c r="J2" s="62" t="s">
        <v>1396</v>
      </c>
    </row>
    <row r="3" spans="1:11" x14ac:dyDescent="0.25">
      <c r="A3" s="514" t="s">
        <v>2695</v>
      </c>
      <c r="B3" s="515">
        <v>4.8</v>
      </c>
      <c r="C3" s="515" t="s">
        <v>2694</v>
      </c>
      <c r="D3" s="515">
        <v>3.2</v>
      </c>
      <c r="E3" s="515" t="s">
        <v>2694</v>
      </c>
      <c r="F3" s="515" t="s">
        <v>2694</v>
      </c>
      <c r="G3" s="515">
        <v>4</v>
      </c>
      <c r="H3" s="515" t="s">
        <v>2694</v>
      </c>
      <c r="I3" s="62" t="s">
        <v>2902</v>
      </c>
    </row>
    <row r="4" spans="1:11" x14ac:dyDescent="0.25">
      <c r="A4" s="514" t="s">
        <v>2696</v>
      </c>
      <c r="B4" s="515">
        <v>4.5999999999999996</v>
      </c>
      <c r="C4" s="516" t="s">
        <v>2694</v>
      </c>
      <c r="D4" s="515">
        <v>3.2</v>
      </c>
      <c r="E4" s="515" t="s">
        <v>2694</v>
      </c>
      <c r="F4" s="515" t="s">
        <v>2694</v>
      </c>
      <c r="G4" s="515">
        <v>4</v>
      </c>
      <c r="H4" s="515" t="s">
        <v>2694</v>
      </c>
      <c r="J4" s="62" t="s">
        <v>2903</v>
      </c>
    </row>
    <row r="5" spans="1:11" x14ac:dyDescent="0.25">
      <c r="A5" s="514" t="s">
        <v>2697</v>
      </c>
      <c r="B5" s="515">
        <v>4.5999999999999996</v>
      </c>
      <c r="C5" s="515">
        <v>1.2</v>
      </c>
      <c r="D5" s="515">
        <v>3.2</v>
      </c>
      <c r="E5" s="515" t="s">
        <v>2694</v>
      </c>
      <c r="F5" s="515" t="s">
        <v>2694</v>
      </c>
      <c r="G5" s="515">
        <v>4</v>
      </c>
      <c r="H5" s="515" t="s">
        <v>2694</v>
      </c>
      <c r="I5" s="62" t="s">
        <v>2620</v>
      </c>
    </row>
    <row r="6" spans="1:11" x14ac:dyDescent="0.25">
      <c r="A6" s="514" t="s">
        <v>2698</v>
      </c>
      <c r="B6" s="515">
        <v>3.5</v>
      </c>
      <c r="C6" s="515" t="s">
        <v>2694</v>
      </c>
      <c r="D6" s="515" t="s">
        <v>2694</v>
      </c>
      <c r="E6" s="515" t="s">
        <v>2694</v>
      </c>
      <c r="F6" s="515" t="s">
        <v>2694</v>
      </c>
      <c r="G6" s="515">
        <v>2</v>
      </c>
      <c r="H6" s="515" t="s">
        <v>2694</v>
      </c>
    </row>
    <row r="7" spans="1:11" x14ac:dyDescent="0.25">
      <c r="A7" s="514" t="s">
        <v>330</v>
      </c>
      <c r="B7" s="515" t="s">
        <v>2694</v>
      </c>
      <c r="C7" s="515" t="s">
        <v>2694</v>
      </c>
      <c r="D7" s="515">
        <v>3.2</v>
      </c>
      <c r="E7" s="515" t="s">
        <v>2694</v>
      </c>
      <c r="F7" s="515" t="s">
        <v>2694</v>
      </c>
      <c r="G7" s="515">
        <v>3</v>
      </c>
      <c r="H7" s="515" t="s">
        <v>2694</v>
      </c>
    </row>
    <row r="8" spans="1:11" x14ac:dyDescent="0.25">
      <c r="A8" s="514" t="s">
        <v>314</v>
      </c>
      <c r="B8" s="515" t="s">
        <v>2694</v>
      </c>
      <c r="C8" s="515" t="s">
        <v>2694</v>
      </c>
      <c r="D8" s="515">
        <v>3</v>
      </c>
      <c r="E8" s="515" t="s">
        <v>2694</v>
      </c>
      <c r="F8" s="515" t="s">
        <v>2694</v>
      </c>
      <c r="G8" s="515">
        <v>3.4</v>
      </c>
      <c r="H8" s="515" t="s">
        <v>2694</v>
      </c>
    </row>
    <row r="9" spans="1:11" x14ac:dyDescent="0.25">
      <c r="A9" s="514" t="s">
        <v>2699</v>
      </c>
      <c r="B9" s="515">
        <v>4.5999999999999996</v>
      </c>
      <c r="C9" s="516" t="s">
        <v>2694</v>
      </c>
      <c r="D9" s="515">
        <v>3.1</v>
      </c>
      <c r="E9" s="515">
        <v>2</v>
      </c>
      <c r="F9" s="515" t="s">
        <v>2694</v>
      </c>
      <c r="G9" s="515">
        <v>4</v>
      </c>
      <c r="H9" s="515" t="s">
        <v>2694</v>
      </c>
    </row>
    <row r="10" spans="1:11" x14ac:dyDescent="0.25">
      <c r="A10" s="514" t="s">
        <v>2700</v>
      </c>
      <c r="B10" s="515">
        <v>3.5</v>
      </c>
      <c r="C10" s="515" t="s">
        <v>2694</v>
      </c>
      <c r="D10" s="515">
        <v>2</v>
      </c>
      <c r="E10" s="515">
        <v>1</v>
      </c>
      <c r="F10" s="515" t="s">
        <v>2694</v>
      </c>
      <c r="G10" s="515">
        <v>3</v>
      </c>
      <c r="H10" s="515" t="s">
        <v>2694</v>
      </c>
    </row>
    <row r="11" spans="1:11" x14ac:dyDescent="0.25">
      <c r="A11" s="514" t="s">
        <v>2701</v>
      </c>
      <c r="B11" s="515">
        <v>4.5999999999999996</v>
      </c>
      <c r="C11" s="515" t="s">
        <v>2694</v>
      </c>
      <c r="D11" s="515">
        <v>3.2</v>
      </c>
      <c r="E11" s="515" t="s">
        <v>2694</v>
      </c>
      <c r="F11" s="515" t="s">
        <v>2694</v>
      </c>
      <c r="G11" s="515">
        <v>4</v>
      </c>
      <c r="H11" s="515" t="s">
        <v>2694</v>
      </c>
    </row>
    <row r="12" spans="1:11" x14ac:dyDescent="0.25">
      <c r="A12" s="514" t="s">
        <v>2702</v>
      </c>
      <c r="B12" s="515">
        <v>4.0999999999999996</v>
      </c>
      <c r="C12" s="515" t="s">
        <v>2694</v>
      </c>
      <c r="D12" s="515">
        <v>3</v>
      </c>
      <c r="E12" s="515" t="s">
        <v>2694</v>
      </c>
      <c r="F12" s="515" t="s">
        <v>2694</v>
      </c>
      <c r="G12" s="515">
        <v>3</v>
      </c>
      <c r="H12" s="515" t="s">
        <v>2694</v>
      </c>
    </row>
    <row r="13" spans="1:11" x14ac:dyDescent="0.25">
      <c r="A13" s="514" t="s">
        <v>313</v>
      </c>
      <c r="B13" s="515">
        <v>4</v>
      </c>
      <c r="C13" s="515" t="s">
        <v>2694</v>
      </c>
      <c r="D13" s="515">
        <v>3.1</v>
      </c>
      <c r="E13" s="515">
        <v>2</v>
      </c>
      <c r="F13" s="515">
        <v>1</v>
      </c>
      <c r="G13" s="515">
        <v>4</v>
      </c>
      <c r="H13" s="515" t="s">
        <v>2694</v>
      </c>
      <c r="J13" s="62" t="s">
        <v>2805</v>
      </c>
    </row>
    <row r="14" spans="1:11" x14ac:dyDescent="0.25">
      <c r="A14" s="514" t="s">
        <v>312</v>
      </c>
      <c r="B14" s="515">
        <v>4.5</v>
      </c>
      <c r="C14" s="515">
        <v>1</v>
      </c>
      <c r="D14" s="515">
        <v>3</v>
      </c>
      <c r="E14" s="515" t="s">
        <v>2694</v>
      </c>
      <c r="F14" s="515" t="s">
        <v>2694</v>
      </c>
      <c r="G14" s="515">
        <v>3</v>
      </c>
      <c r="H14" s="515" t="s">
        <v>2694</v>
      </c>
    </row>
    <row r="15" spans="1:11" x14ac:dyDescent="0.25">
      <c r="A15" s="514" t="s">
        <v>2703</v>
      </c>
      <c r="B15" s="515" t="s">
        <v>2694</v>
      </c>
      <c r="C15" s="515">
        <v>1</v>
      </c>
      <c r="D15" s="515" t="s">
        <v>2694</v>
      </c>
      <c r="E15" s="515" t="s">
        <v>2694</v>
      </c>
      <c r="F15" s="515" t="s">
        <v>2694</v>
      </c>
      <c r="G15" s="515">
        <v>3</v>
      </c>
      <c r="H15" s="515" t="s">
        <v>2694</v>
      </c>
    </row>
    <row r="16" spans="1:11" x14ac:dyDescent="0.25">
      <c r="A16" s="514" t="s">
        <v>12</v>
      </c>
      <c r="B16" s="515" t="s">
        <v>2694</v>
      </c>
      <c r="C16" s="515" t="s">
        <v>2694</v>
      </c>
      <c r="D16" s="515">
        <v>2</v>
      </c>
      <c r="E16" s="515" t="s">
        <v>2694</v>
      </c>
      <c r="F16" s="515" t="s">
        <v>2694</v>
      </c>
      <c r="G16" s="515">
        <v>2.5</v>
      </c>
      <c r="H16" s="515" t="s">
        <v>2694</v>
      </c>
    </row>
    <row r="17" spans="1:10" x14ac:dyDescent="0.25">
      <c r="A17" s="514" t="s">
        <v>2704</v>
      </c>
      <c r="B17" s="515">
        <v>4.5999999999999996</v>
      </c>
      <c r="C17" s="515">
        <v>1.2</v>
      </c>
      <c r="D17" s="515">
        <v>3.2</v>
      </c>
      <c r="E17" s="515" t="s">
        <v>2694</v>
      </c>
      <c r="F17" s="515" t="s">
        <v>2694</v>
      </c>
      <c r="G17" s="515">
        <v>4</v>
      </c>
      <c r="H17" s="515" t="s">
        <v>2694</v>
      </c>
      <c r="J17" s="62" t="s">
        <v>1749</v>
      </c>
    </row>
    <row r="18" spans="1:10" x14ac:dyDescent="0.25">
      <c r="A18" s="514" t="s">
        <v>2705</v>
      </c>
      <c r="B18" s="515" t="s">
        <v>2694</v>
      </c>
      <c r="C18" s="516" t="s">
        <v>2694</v>
      </c>
      <c r="D18" s="515">
        <v>3</v>
      </c>
      <c r="E18" s="515">
        <v>2.1</v>
      </c>
      <c r="F18" s="515" t="s">
        <v>2694</v>
      </c>
      <c r="G18" s="515">
        <v>4</v>
      </c>
      <c r="H18" s="515" t="s">
        <v>2694</v>
      </c>
    </row>
    <row r="19" spans="1:10" x14ac:dyDescent="0.25">
      <c r="A19" s="514" t="s">
        <v>2706</v>
      </c>
      <c r="B19" s="515">
        <v>4</v>
      </c>
      <c r="C19" s="515" t="s">
        <v>2694</v>
      </c>
      <c r="D19" s="515">
        <v>2</v>
      </c>
      <c r="E19" s="515" t="s">
        <v>2694</v>
      </c>
      <c r="F19" s="515" t="s">
        <v>2694</v>
      </c>
      <c r="G19" s="515">
        <v>2.4</v>
      </c>
      <c r="H19" s="515" t="s">
        <v>2694</v>
      </c>
    </row>
    <row r="20" spans="1:10" x14ac:dyDescent="0.25">
      <c r="A20" s="514" t="s">
        <v>1511</v>
      </c>
      <c r="B20" s="515">
        <v>4</v>
      </c>
      <c r="C20" s="515">
        <v>1</v>
      </c>
      <c r="D20" s="515">
        <v>2</v>
      </c>
      <c r="E20" s="515" t="s">
        <v>2694</v>
      </c>
      <c r="F20" s="515" t="s">
        <v>2694</v>
      </c>
      <c r="G20" s="515">
        <v>2.5</v>
      </c>
      <c r="H20" s="515" t="s">
        <v>2694</v>
      </c>
    </row>
    <row r="21" spans="1:10" x14ac:dyDescent="0.25">
      <c r="A21" s="514" t="s">
        <v>2707</v>
      </c>
      <c r="B21" s="515">
        <v>4.7</v>
      </c>
      <c r="C21" s="515" t="s">
        <v>2694</v>
      </c>
      <c r="D21" s="515">
        <v>3.2</v>
      </c>
      <c r="E21" s="515">
        <v>3</v>
      </c>
      <c r="F21" s="515" t="s">
        <v>2694</v>
      </c>
      <c r="G21" s="515">
        <v>4</v>
      </c>
      <c r="H21" s="515">
        <v>1</v>
      </c>
    </row>
    <row r="22" spans="1:10" x14ac:dyDescent="0.25">
      <c r="A22" s="514" t="s">
        <v>2325</v>
      </c>
      <c r="B22" s="515" t="s">
        <v>2694</v>
      </c>
      <c r="C22" s="515" t="s">
        <v>2694</v>
      </c>
      <c r="D22" s="515">
        <v>3.2</v>
      </c>
      <c r="E22" s="515" t="s">
        <v>2694</v>
      </c>
      <c r="F22" s="515">
        <v>2</v>
      </c>
      <c r="G22" s="515">
        <v>4</v>
      </c>
      <c r="H22" s="515" t="s">
        <v>2694</v>
      </c>
    </row>
    <row r="23" spans="1:10" x14ac:dyDescent="0.25">
      <c r="A23" s="514" t="s">
        <v>2708</v>
      </c>
      <c r="B23" s="515">
        <v>4.7</v>
      </c>
      <c r="C23" s="515">
        <v>1.2</v>
      </c>
      <c r="D23" s="515">
        <v>3.2</v>
      </c>
      <c r="E23" s="515" t="s">
        <v>2694</v>
      </c>
      <c r="F23" s="515" t="s">
        <v>2694</v>
      </c>
      <c r="G23" s="515">
        <v>4</v>
      </c>
      <c r="H23" s="515" t="s">
        <v>2694</v>
      </c>
    </row>
    <row r="24" spans="1:10" x14ac:dyDescent="0.25">
      <c r="A24" s="514" t="s">
        <v>2709</v>
      </c>
      <c r="B24" s="515">
        <v>4.7</v>
      </c>
      <c r="C24" s="515" t="s">
        <v>2694</v>
      </c>
      <c r="D24" s="515">
        <v>3.2</v>
      </c>
      <c r="E24" s="515">
        <v>3</v>
      </c>
      <c r="F24" s="515">
        <v>1</v>
      </c>
      <c r="G24" s="515">
        <v>4</v>
      </c>
      <c r="H24" s="515">
        <v>1</v>
      </c>
      <c r="J24" s="62" t="s">
        <v>2489</v>
      </c>
    </row>
    <row r="25" spans="1:10" x14ac:dyDescent="0.25">
      <c r="A25" s="634" t="s">
        <v>1685</v>
      </c>
      <c r="H25" s="515">
        <v>1</v>
      </c>
      <c r="J25" s="62" t="s">
        <v>2873</v>
      </c>
    </row>
    <row r="26" spans="1:10" x14ac:dyDescent="0.25">
      <c r="J26" s="62" t="s">
        <v>2005</v>
      </c>
    </row>
    <row r="27" spans="1:10" x14ac:dyDescent="0.25">
      <c r="A27" s="635" t="s">
        <v>348</v>
      </c>
      <c r="J27" s="62" t="s">
        <v>1132</v>
      </c>
    </row>
  </sheetData>
  <conditionalFormatting sqref="A2:A18">
    <cfRule type="cellIs" dxfId="35" priority="22" operator="equal">
      <formula>4</formula>
    </cfRule>
    <cfRule type="cellIs" dxfId="34" priority="23" operator="equal">
      <formula>3</formula>
    </cfRule>
    <cfRule type="cellIs" dxfId="33" priority="24" operator="equal">
      <formula>2</formula>
    </cfRule>
    <cfRule type="cellIs" dxfId="32" priority="25" operator="equal">
      <formula>1</formula>
    </cfRule>
  </conditionalFormatting>
  <conditionalFormatting sqref="A2:A18">
    <cfRule type="cellIs" dxfId="31" priority="19" operator="equal">
      <formula>3</formula>
    </cfRule>
    <cfRule type="cellIs" dxfId="30" priority="20" operator="equal">
      <formula>2</formula>
    </cfRule>
    <cfRule type="cellIs" dxfId="29" priority="21" operator="equal">
      <formula>1</formula>
    </cfRule>
  </conditionalFormatting>
  <conditionalFormatting sqref="A2:A23 A25 A27">
    <cfRule type="cellIs" dxfId="28" priority="16" operator="equal">
      <formula>3</formula>
    </cfRule>
    <cfRule type="cellIs" dxfId="27" priority="17" operator="equal">
      <formula>2</formula>
    </cfRule>
    <cfRule type="cellIs" dxfId="26" priority="18" operator="equal">
      <formula>1</formula>
    </cfRule>
  </conditionalFormatting>
  <conditionalFormatting sqref="A2:A23 A25 A27">
    <cfRule type="cellIs" dxfId="25" priority="14" operator="equal">
      <formula>2</formula>
    </cfRule>
    <cfRule type="cellIs" dxfId="24" priority="15" operator="equal">
      <formula>1</formula>
    </cfRule>
  </conditionalFormatting>
  <conditionalFormatting sqref="A2:A23 A25 A27">
    <cfRule type="cellIs" dxfId="23" priority="12" operator="equal">
      <formula>2</formula>
    </cfRule>
    <cfRule type="cellIs" dxfId="22" priority="13" operator="equal">
      <formula>1</formula>
    </cfRule>
  </conditionalFormatting>
  <conditionalFormatting sqref="G3:G23 B2:F23 H2:H23">
    <cfRule type="cellIs" dxfId="21" priority="11" operator="equal">
      <formula>"NA"</formula>
    </cfRule>
  </conditionalFormatting>
  <conditionalFormatting sqref="G2">
    <cfRule type="cellIs" dxfId="20" priority="10" operator="equal">
      <formula>"NA"</formula>
    </cfRule>
  </conditionalFormatting>
  <conditionalFormatting sqref="A24">
    <cfRule type="cellIs" dxfId="19" priority="7" operator="equal">
      <formula>3</formula>
    </cfRule>
    <cfRule type="cellIs" dxfId="18" priority="8" operator="equal">
      <formula>2</formula>
    </cfRule>
    <cfRule type="cellIs" dxfId="17" priority="9" operator="equal">
      <formula>1</formula>
    </cfRule>
  </conditionalFormatting>
  <conditionalFormatting sqref="A24">
    <cfRule type="cellIs" dxfId="16" priority="5" operator="equal">
      <formula>2</formula>
    </cfRule>
    <cfRule type="cellIs" dxfId="15" priority="6" operator="equal">
      <formula>1</formula>
    </cfRule>
  </conditionalFormatting>
  <conditionalFormatting sqref="A24">
    <cfRule type="cellIs" dxfId="14" priority="3" operator="equal">
      <formula>2</formula>
    </cfRule>
    <cfRule type="cellIs" dxfId="13" priority="4" operator="equal">
      <formula>1</formula>
    </cfRule>
  </conditionalFormatting>
  <conditionalFormatting sqref="B24:H24">
    <cfRule type="cellIs" dxfId="12" priority="2" operator="equal">
      <formula>"NA"</formula>
    </cfRule>
  </conditionalFormatting>
  <conditionalFormatting sqref="H25">
    <cfRule type="cellIs" dxfId="6" priority="1" operator="equal">
      <formula>"NA"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"/>
  <sheetViews>
    <sheetView workbookViewId="0">
      <selection activeCell="A2" sqref="A2:A9"/>
    </sheetView>
  </sheetViews>
  <sheetFormatPr defaultRowHeight="15" x14ac:dyDescent="0.25"/>
  <cols>
    <col min="2" max="2" width="12.42578125" bestFit="1" customWidth="1"/>
  </cols>
  <sheetData>
    <row r="1" spans="1:17" s="557" customFormat="1" ht="12.75" x14ac:dyDescent="0.2">
      <c r="A1" s="556" t="s">
        <v>2</v>
      </c>
      <c r="B1" s="556" t="s">
        <v>2851</v>
      </c>
      <c r="C1" s="556" t="s">
        <v>331</v>
      </c>
      <c r="D1" s="556" t="s">
        <v>348</v>
      </c>
      <c r="E1" s="556" t="s">
        <v>103</v>
      </c>
      <c r="F1" s="556" t="s">
        <v>316</v>
      </c>
      <c r="G1" s="556" t="s">
        <v>280</v>
      </c>
      <c r="H1" s="556" t="s">
        <v>136</v>
      </c>
      <c r="I1" s="556" t="s">
        <v>266</v>
      </c>
      <c r="J1" s="556" t="s">
        <v>139</v>
      </c>
      <c r="K1" s="556" t="s">
        <v>483</v>
      </c>
      <c r="L1" s="556" t="s">
        <v>923</v>
      </c>
      <c r="M1" s="556" t="s">
        <v>106</v>
      </c>
      <c r="N1" s="556" t="s">
        <v>115</v>
      </c>
      <c r="O1" s="556" t="s">
        <v>1685</v>
      </c>
      <c r="P1" s="556" t="s">
        <v>2091</v>
      </c>
      <c r="Q1" s="556" t="s">
        <v>2484</v>
      </c>
    </row>
    <row r="2" spans="1:17" s="557" customFormat="1" ht="12.75" x14ac:dyDescent="0.2">
      <c r="A2" s="556" t="s">
        <v>260</v>
      </c>
      <c r="B2" s="556" t="s">
        <v>2577</v>
      </c>
      <c r="C2" s="557" t="s">
        <v>924</v>
      </c>
      <c r="D2" s="557" t="s">
        <v>1249</v>
      </c>
      <c r="E2" s="557" t="s">
        <v>2577</v>
      </c>
      <c r="F2" s="557" t="s">
        <v>1249</v>
      </c>
      <c r="H2" s="557" t="s">
        <v>1249</v>
      </c>
      <c r="L2" s="557" t="s">
        <v>925</v>
      </c>
      <c r="N2" s="557" t="s">
        <v>1249</v>
      </c>
      <c r="O2" s="557" t="s">
        <v>1249</v>
      </c>
      <c r="P2" s="557" t="s">
        <v>1249</v>
      </c>
      <c r="Q2" s="557" t="s">
        <v>1896</v>
      </c>
    </row>
    <row r="3" spans="1:17" s="557" customFormat="1" ht="12.75" x14ac:dyDescent="0.2">
      <c r="A3" s="556" t="s">
        <v>176</v>
      </c>
      <c r="B3" s="556" t="s">
        <v>2659</v>
      </c>
      <c r="C3" s="557" t="s">
        <v>924</v>
      </c>
      <c r="D3" s="557" t="s">
        <v>1249</v>
      </c>
      <c r="E3" s="557" t="s">
        <v>924</v>
      </c>
      <c r="F3" s="557" t="s">
        <v>1896</v>
      </c>
      <c r="G3" s="557" t="s">
        <v>1249</v>
      </c>
      <c r="H3" s="557" t="s">
        <v>1896</v>
      </c>
      <c r="L3" s="557" t="s">
        <v>925</v>
      </c>
      <c r="N3" s="557" t="s">
        <v>1249</v>
      </c>
      <c r="O3" s="557" t="s">
        <v>1249</v>
      </c>
      <c r="P3" s="557" t="s">
        <v>1249</v>
      </c>
      <c r="Q3" s="557" t="s">
        <v>1896</v>
      </c>
    </row>
    <row r="4" spans="1:17" s="557" customFormat="1" ht="12.75" x14ac:dyDescent="0.2">
      <c r="A4" s="556" t="s">
        <v>407</v>
      </c>
      <c r="B4" s="556" t="s">
        <v>2659</v>
      </c>
      <c r="C4" s="557" t="s">
        <v>926</v>
      </c>
      <c r="D4" s="557" t="s">
        <v>588</v>
      </c>
      <c r="E4" s="557" t="s">
        <v>927</v>
      </c>
      <c r="F4" s="557" t="s">
        <v>588</v>
      </c>
      <c r="G4" s="557" t="s">
        <v>2314</v>
      </c>
      <c r="H4" s="557" t="s">
        <v>1249</v>
      </c>
      <c r="I4" s="557" t="s">
        <v>928</v>
      </c>
      <c r="J4" s="557" t="s">
        <v>928</v>
      </c>
      <c r="K4" s="557" t="s">
        <v>588</v>
      </c>
      <c r="L4" s="557" t="s">
        <v>929</v>
      </c>
      <c r="M4" s="557" t="s">
        <v>929</v>
      </c>
      <c r="N4" s="557" t="s">
        <v>1249</v>
      </c>
      <c r="O4" s="557" t="s">
        <v>1730</v>
      </c>
      <c r="Q4" s="557" t="s">
        <v>2427</v>
      </c>
    </row>
    <row r="5" spans="1:17" s="557" customFormat="1" ht="12.75" x14ac:dyDescent="0.2">
      <c r="A5" s="556" t="s">
        <v>2852</v>
      </c>
      <c r="B5" s="556" t="s">
        <v>2653</v>
      </c>
      <c r="F5" s="557" t="s">
        <v>926</v>
      </c>
      <c r="O5" s="557" t="s">
        <v>926</v>
      </c>
      <c r="Q5" s="557" t="s">
        <v>926</v>
      </c>
    </row>
    <row r="6" spans="1:17" s="557" customFormat="1" ht="12.75" x14ac:dyDescent="0.2">
      <c r="A6" s="556" t="s">
        <v>2853</v>
      </c>
      <c r="B6" s="556" t="s">
        <v>1249</v>
      </c>
      <c r="G6" s="557" t="s">
        <v>1729</v>
      </c>
    </row>
    <row r="7" spans="1:17" s="557" customFormat="1" ht="12.75" x14ac:dyDescent="0.2">
      <c r="A7" s="556" t="s">
        <v>333</v>
      </c>
      <c r="B7" s="556" t="s">
        <v>2659</v>
      </c>
      <c r="G7" s="557" t="s">
        <v>1116</v>
      </c>
      <c r="Q7" s="557" t="s">
        <v>1116</v>
      </c>
    </row>
    <row r="8" spans="1:17" s="557" customFormat="1" ht="12.75" x14ac:dyDescent="0.2">
      <c r="A8" s="556" t="s">
        <v>2854</v>
      </c>
      <c r="B8" s="556" t="s">
        <v>2855</v>
      </c>
    </row>
    <row r="9" spans="1:17" s="557" customFormat="1" ht="12.75" x14ac:dyDescent="0.2">
      <c r="A9" s="556" t="s">
        <v>292</v>
      </c>
      <c r="D9" s="557" t="s">
        <v>2856</v>
      </c>
      <c r="F9" s="557" t="s">
        <v>2856</v>
      </c>
      <c r="H9" s="557" t="s">
        <v>2856</v>
      </c>
      <c r="L9" s="557" t="s">
        <v>2856</v>
      </c>
      <c r="N9" s="557" t="s">
        <v>2857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Derived Data-Component Specific</vt:lpstr>
      <vt:lpstr>Total Dash</vt:lpstr>
      <vt:lpstr>Sequential Track Record</vt:lpstr>
      <vt:lpstr>Patch_Tracker_Template</vt:lpstr>
      <vt:lpstr>Sheet2</vt:lpstr>
      <vt:lpstr>Sheet1</vt:lpstr>
      <vt:lpstr>Release_Versions_graph</vt:lpstr>
      <vt:lpstr>Obsolete Releases</vt:lpstr>
      <vt:lpstr>Release_Versions</vt:lpstr>
      <vt:lpstr>Pivot_1</vt:lpstr>
      <vt:lpstr>Pivot</vt:lpstr>
      <vt:lpstr>AWF release new format</vt:lpstr>
      <vt:lpstr>Stable_Product_build</vt:lpstr>
      <vt:lpstr>Production_version_16july2015</vt:lpstr>
      <vt:lpstr>AWF_Version-(updated by CMteam)</vt:lpstr>
      <vt:lpstr>Sheet3</vt:lpstr>
      <vt:lpstr>Utility</vt:lpstr>
    </vt:vector>
  </TitlesOfParts>
  <Company>agilis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Release Tracker</dc:title>
  <dc:subject>Q3 Release Report</dc:subject>
  <dc:creator>CM Team</dc:creator>
  <cp:lastModifiedBy>Kumar Sanu. Pathak</cp:lastModifiedBy>
  <dcterms:created xsi:type="dcterms:W3CDTF">2010-06-30T07:25:37Z</dcterms:created>
  <dcterms:modified xsi:type="dcterms:W3CDTF">2015-10-27T05:01:25Z</dcterms:modified>
</cp:coreProperties>
</file>